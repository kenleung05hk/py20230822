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0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10.109.255.11\交易风控部\Dealing Room\ken leung\vba\"/>
    </mc:Choice>
  </mc:AlternateContent>
  <xr:revisionPtr revIDLastSave="0" documentId="13_ncr:1_{0CE561EE-3016-461C-AB64-9D155D47B955}" xr6:coauthVersionLast="36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T Day" sheetId="1" r:id="rId1"/>
    <sheet name="Data" sheetId="2" r:id="rId2"/>
    <sheet name="Helper1" sheetId="3" r:id="rId3"/>
    <sheet name="Helper2" sheetId="5" r:id="rId4"/>
    <sheet name="ATP Pos" sheetId="6" r:id="rId5"/>
    <sheet name="Helper3" sheetId="8" r:id="rId6"/>
    <sheet name="ATP Fills" sheetId="7" r:id="rId7"/>
    <sheet name="Helper4" sheetId="9" r:id="rId8"/>
    <sheet name="ATP Sort" sheetId="10" r:id="rId9"/>
    <sheet name="Helper5" sheetId="11" r:id="rId10"/>
    <sheet name="PHL code" sheetId="4" r:id="rId11"/>
  </sheets>
  <definedNames>
    <definedName name="_xlnm._FilterDatabase" localSheetId="3" hidden="1">Helper2!$A$1:$O$498</definedName>
    <definedName name="_xlnm._FilterDatabase" localSheetId="5" hidden="1">Helper3!$A$1:$O$500</definedName>
    <definedName name="_xlnm._FilterDatabase" localSheetId="7" hidden="1">Helper4!$A$1:$M$3000</definedName>
    <definedName name="_xlnm._FilterDatabase" localSheetId="9" hidden="1">Helper5!$A$1:$H$1</definedName>
    <definedName name="_xlnm._FilterDatabase" localSheetId="10" hidden="1">'PHL code'!$A$1:$E$755</definedName>
    <definedName name="CloseCheckSummaryReport_20210902" localSheetId="1">Data!$A$1:$K$27</definedName>
    <definedName name="transaction_ATP" localSheetId="6">'ATP Fills'!$A$1:$U$136</definedName>
  </definedNames>
  <calcPr calcId="191029"/>
  <pivotCaches>
    <pivotCache cacheId="10" r:id="rId1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01" i="5" l="1"/>
  <c r="B301" i="5"/>
  <c r="C301" i="5"/>
  <c r="D301" i="5"/>
  <c r="E301" i="5"/>
  <c r="H301" i="5"/>
  <c r="K301" i="5"/>
  <c r="A302" i="5"/>
  <c r="B302" i="5"/>
  <c r="C302" i="5"/>
  <c r="D302" i="5"/>
  <c r="E302" i="5"/>
  <c r="H302" i="5"/>
  <c r="K302" i="5"/>
  <c r="A303" i="5"/>
  <c r="B303" i="5"/>
  <c r="C303" i="5"/>
  <c r="D303" i="5"/>
  <c r="E303" i="5"/>
  <c r="H303" i="5"/>
  <c r="K303" i="5"/>
  <c r="A304" i="5"/>
  <c r="B304" i="5"/>
  <c r="C304" i="5"/>
  <c r="D304" i="5"/>
  <c r="E304" i="5"/>
  <c r="H304" i="5"/>
  <c r="K304" i="5"/>
  <c r="A305" i="5"/>
  <c r="B305" i="5"/>
  <c r="C305" i="5"/>
  <c r="D305" i="5"/>
  <c r="E305" i="5"/>
  <c r="H305" i="5"/>
  <c r="K305" i="5"/>
  <c r="A306" i="5"/>
  <c r="B306" i="5"/>
  <c r="C306" i="5"/>
  <c r="D306" i="5"/>
  <c r="E306" i="5"/>
  <c r="H306" i="5"/>
  <c r="K306" i="5"/>
  <c r="A307" i="5"/>
  <c r="B307" i="5"/>
  <c r="C307" i="5"/>
  <c r="D307" i="5"/>
  <c r="E307" i="5"/>
  <c r="H307" i="5"/>
  <c r="K307" i="5"/>
  <c r="A308" i="5"/>
  <c r="B308" i="5"/>
  <c r="C308" i="5"/>
  <c r="D308" i="5"/>
  <c r="E308" i="5"/>
  <c r="H308" i="5"/>
  <c r="K308" i="5"/>
  <c r="A309" i="5"/>
  <c r="B309" i="5"/>
  <c r="C309" i="5"/>
  <c r="D309" i="5"/>
  <c r="E309" i="5"/>
  <c r="H309" i="5"/>
  <c r="K309" i="5"/>
  <c r="A310" i="5"/>
  <c r="B310" i="5"/>
  <c r="C310" i="5"/>
  <c r="D310" i="5"/>
  <c r="E310" i="5"/>
  <c r="H310" i="5"/>
  <c r="K310" i="5"/>
  <c r="A311" i="5"/>
  <c r="B311" i="5"/>
  <c r="C311" i="5"/>
  <c r="D311" i="5"/>
  <c r="E311" i="5"/>
  <c r="H311" i="5"/>
  <c r="K311" i="5"/>
  <c r="A312" i="5"/>
  <c r="B312" i="5"/>
  <c r="C312" i="5"/>
  <c r="D312" i="5"/>
  <c r="E312" i="5"/>
  <c r="H312" i="5"/>
  <c r="K312" i="5"/>
  <c r="A313" i="5"/>
  <c r="B313" i="5"/>
  <c r="C313" i="5"/>
  <c r="D313" i="5"/>
  <c r="E313" i="5"/>
  <c r="H313" i="5"/>
  <c r="K313" i="5"/>
  <c r="A314" i="5"/>
  <c r="B314" i="5"/>
  <c r="C314" i="5"/>
  <c r="D314" i="5"/>
  <c r="E314" i="5"/>
  <c r="H314" i="5"/>
  <c r="K314" i="5"/>
  <c r="A315" i="5"/>
  <c r="B315" i="5"/>
  <c r="C315" i="5"/>
  <c r="D315" i="5"/>
  <c r="E315" i="5"/>
  <c r="H315" i="5"/>
  <c r="K315" i="5"/>
  <c r="A316" i="5"/>
  <c r="B316" i="5"/>
  <c r="C316" i="5"/>
  <c r="D316" i="5"/>
  <c r="E316" i="5"/>
  <c r="H316" i="5"/>
  <c r="K316" i="5"/>
  <c r="A317" i="5"/>
  <c r="B317" i="5"/>
  <c r="C317" i="5"/>
  <c r="D317" i="5"/>
  <c r="E317" i="5"/>
  <c r="H317" i="5"/>
  <c r="K317" i="5"/>
  <c r="A318" i="5"/>
  <c r="B318" i="5"/>
  <c r="C318" i="5"/>
  <c r="D318" i="5"/>
  <c r="E318" i="5"/>
  <c r="H318" i="5"/>
  <c r="K318" i="5"/>
  <c r="A319" i="5"/>
  <c r="B319" i="5"/>
  <c r="C319" i="5"/>
  <c r="D319" i="5"/>
  <c r="E319" i="5"/>
  <c r="H319" i="5"/>
  <c r="K319" i="5"/>
  <c r="A320" i="5"/>
  <c r="B320" i="5"/>
  <c r="C320" i="5"/>
  <c r="D320" i="5"/>
  <c r="E320" i="5"/>
  <c r="H320" i="5"/>
  <c r="K320" i="5"/>
  <c r="A321" i="5"/>
  <c r="B321" i="5"/>
  <c r="C321" i="5"/>
  <c r="D321" i="5"/>
  <c r="E321" i="5"/>
  <c r="H321" i="5"/>
  <c r="K321" i="5"/>
  <c r="A322" i="5"/>
  <c r="B322" i="5"/>
  <c r="C322" i="5"/>
  <c r="D322" i="5"/>
  <c r="E322" i="5"/>
  <c r="H322" i="5"/>
  <c r="K322" i="5"/>
  <c r="A323" i="5"/>
  <c r="B323" i="5"/>
  <c r="C323" i="5"/>
  <c r="D323" i="5"/>
  <c r="E323" i="5"/>
  <c r="H323" i="5"/>
  <c r="K323" i="5"/>
  <c r="A324" i="5"/>
  <c r="B324" i="5"/>
  <c r="C324" i="5"/>
  <c r="D324" i="5"/>
  <c r="E324" i="5"/>
  <c r="H324" i="5"/>
  <c r="K324" i="5"/>
  <c r="A325" i="5"/>
  <c r="B325" i="5"/>
  <c r="C325" i="5"/>
  <c r="D325" i="5"/>
  <c r="E325" i="5"/>
  <c r="H325" i="5"/>
  <c r="K325" i="5"/>
  <c r="A326" i="5"/>
  <c r="B326" i="5"/>
  <c r="C326" i="5"/>
  <c r="D326" i="5"/>
  <c r="E326" i="5"/>
  <c r="H326" i="5"/>
  <c r="K326" i="5"/>
  <c r="A327" i="5"/>
  <c r="B327" i="5"/>
  <c r="C327" i="5"/>
  <c r="D327" i="5"/>
  <c r="E327" i="5"/>
  <c r="H327" i="5"/>
  <c r="K327" i="5"/>
  <c r="A328" i="5"/>
  <c r="B328" i="5"/>
  <c r="C328" i="5"/>
  <c r="D328" i="5"/>
  <c r="E328" i="5"/>
  <c r="H328" i="5"/>
  <c r="K328" i="5"/>
  <c r="A329" i="5"/>
  <c r="B329" i="5"/>
  <c r="C329" i="5"/>
  <c r="D329" i="5"/>
  <c r="E329" i="5"/>
  <c r="H329" i="5"/>
  <c r="K329" i="5"/>
  <c r="A330" i="5"/>
  <c r="B330" i="5"/>
  <c r="C330" i="5"/>
  <c r="D330" i="5"/>
  <c r="E330" i="5"/>
  <c r="H330" i="5"/>
  <c r="K330" i="5"/>
  <c r="A331" i="5"/>
  <c r="B331" i="5"/>
  <c r="C331" i="5"/>
  <c r="D331" i="5"/>
  <c r="E331" i="5"/>
  <c r="H331" i="5"/>
  <c r="K331" i="5"/>
  <c r="A332" i="5"/>
  <c r="B332" i="5"/>
  <c r="C332" i="5"/>
  <c r="D332" i="5"/>
  <c r="E332" i="5"/>
  <c r="H332" i="5"/>
  <c r="K332" i="5"/>
  <c r="A333" i="5"/>
  <c r="B333" i="5"/>
  <c r="C333" i="5"/>
  <c r="D333" i="5"/>
  <c r="E333" i="5"/>
  <c r="H333" i="5"/>
  <c r="K333" i="5"/>
  <c r="A334" i="5"/>
  <c r="B334" i="5"/>
  <c r="C334" i="5"/>
  <c r="D334" i="5"/>
  <c r="E334" i="5"/>
  <c r="H334" i="5"/>
  <c r="K334" i="5"/>
  <c r="A335" i="5"/>
  <c r="B335" i="5"/>
  <c r="C335" i="5"/>
  <c r="D335" i="5"/>
  <c r="E335" i="5"/>
  <c r="H335" i="5"/>
  <c r="K335" i="5"/>
  <c r="A336" i="5"/>
  <c r="B336" i="5"/>
  <c r="C336" i="5"/>
  <c r="D336" i="5"/>
  <c r="E336" i="5"/>
  <c r="H336" i="5"/>
  <c r="K336" i="5"/>
  <c r="A337" i="5"/>
  <c r="B337" i="5"/>
  <c r="C337" i="5"/>
  <c r="D337" i="5"/>
  <c r="E337" i="5"/>
  <c r="H337" i="5"/>
  <c r="K337" i="5"/>
  <c r="A338" i="5"/>
  <c r="B338" i="5"/>
  <c r="C338" i="5"/>
  <c r="D338" i="5"/>
  <c r="E338" i="5"/>
  <c r="H338" i="5"/>
  <c r="K338" i="5"/>
  <c r="A339" i="5"/>
  <c r="B339" i="5"/>
  <c r="C339" i="5"/>
  <c r="D339" i="5"/>
  <c r="E339" i="5"/>
  <c r="H339" i="5"/>
  <c r="K339" i="5"/>
  <c r="A340" i="5"/>
  <c r="B340" i="5"/>
  <c r="C340" i="5"/>
  <c r="D340" i="5"/>
  <c r="E340" i="5"/>
  <c r="H340" i="5"/>
  <c r="K340" i="5"/>
  <c r="A341" i="5"/>
  <c r="B341" i="5"/>
  <c r="C341" i="5"/>
  <c r="D341" i="5"/>
  <c r="E341" i="5"/>
  <c r="H341" i="5"/>
  <c r="K341" i="5"/>
  <c r="A342" i="5"/>
  <c r="B342" i="5"/>
  <c r="C342" i="5"/>
  <c r="D342" i="5"/>
  <c r="E342" i="5"/>
  <c r="H342" i="5"/>
  <c r="K342" i="5"/>
  <c r="A343" i="5"/>
  <c r="B343" i="5"/>
  <c r="C343" i="5"/>
  <c r="D343" i="5"/>
  <c r="E343" i="5"/>
  <c r="H343" i="5"/>
  <c r="K343" i="5"/>
  <c r="A344" i="5"/>
  <c r="B344" i="5"/>
  <c r="C344" i="5"/>
  <c r="D344" i="5"/>
  <c r="E344" i="5"/>
  <c r="H344" i="5"/>
  <c r="K344" i="5"/>
  <c r="A345" i="5"/>
  <c r="B345" i="5"/>
  <c r="C345" i="5"/>
  <c r="D345" i="5"/>
  <c r="E345" i="5"/>
  <c r="H345" i="5"/>
  <c r="K345" i="5"/>
  <c r="A346" i="5"/>
  <c r="B346" i="5"/>
  <c r="C346" i="5"/>
  <c r="D346" i="5"/>
  <c r="E346" i="5"/>
  <c r="H346" i="5"/>
  <c r="K346" i="5"/>
  <c r="A347" i="5"/>
  <c r="B347" i="5"/>
  <c r="C347" i="5"/>
  <c r="D347" i="5"/>
  <c r="E347" i="5"/>
  <c r="H347" i="5"/>
  <c r="K347" i="5"/>
  <c r="A348" i="5"/>
  <c r="B348" i="5"/>
  <c r="C348" i="5"/>
  <c r="D348" i="5"/>
  <c r="E348" i="5"/>
  <c r="H348" i="5"/>
  <c r="K348" i="5"/>
  <c r="A349" i="5"/>
  <c r="B349" i="5"/>
  <c r="C349" i="5"/>
  <c r="D349" i="5"/>
  <c r="E349" i="5"/>
  <c r="H349" i="5"/>
  <c r="K349" i="5"/>
  <c r="A350" i="5"/>
  <c r="B350" i="5"/>
  <c r="C350" i="5"/>
  <c r="D350" i="5"/>
  <c r="E350" i="5"/>
  <c r="H350" i="5"/>
  <c r="K350" i="5"/>
  <c r="A351" i="5"/>
  <c r="B351" i="5"/>
  <c r="C351" i="5"/>
  <c r="D351" i="5"/>
  <c r="E351" i="5"/>
  <c r="H351" i="5"/>
  <c r="K351" i="5"/>
  <c r="A352" i="5"/>
  <c r="B352" i="5"/>
  <c r="C352" i="5"/>
  <c r="D352" i="5"/>
  <c r="E352" i="5"/>
  <c r="H352" i="5"/>
  <c r="K352" i="5"/>
  <c r="A353" i="5"/>
  <c r="B353" i="5"/>
  <c r="C353" i="5"/>
  <c r="D353" i="5"/>
  <c r="E353" i="5"/>
  <c r="H353" i="5"/>
  <c r="K353" i="5"/>
  <c r="A354" i="5"/>
  <c r="B354" i="5"/>
  <c r="C354" i="5"/>
  <c r="D354" i="5"/>
  <c r="E354" i="5"/>
  <c r="H354" i="5"/>
  <c r="K354" i="5"/>
  <c r="A355" i="5"/>
  <c r="B355" i="5"/>
  <c r="C355" i="5"/>
  <c r="D355" i="5"/>
  <c r="E355" i="5"/>
  <c r="H355" i="5"/>
  <c r="K355" i="5"/>
  <c r="A356" i="5"/>
  <c r="B356" i="5"/>
  <c r="C356" i="5"/>
  <c r="D356" i="5"/>
  <c r="E356" i="5"/>
  <c r="H356" i="5"/>
  <c r="K356" i="5"/>
  <c r="A357" i="5"/>
  <c r="B357" i="5"/>
  <c r="C357" i="5"/>
  <c r="D357" i="5"/>
  <c r="E357" i="5"/>
  <c r="H357" i="5"/>
  <c r="K357" i="5"/>
  <c r="A358" i="5"/>
  <c r="B358" i="5"/>
  <c r="C358" i="5"/>
  <c r="D358" i="5"/>
  <c r="E358" i="5"/>
  <c r="H358" i="5"/>
  <c r="K358" i="5"/>
  <c r="A359" i="5"/>
  <c r="B359" i="5"/>
  <c r="C359" i="5"/>
  <c r="D359" i="5"/>
  <c r="E359" i="5"/>
  <c r="H359" i="5"/>
  <c r="K359" i="5"/>
  <c r="A360" i="5"/>
  <c r="B360" i="5"/>
  <c r="C360" i="5"/>
  <c r="D360" i="5"/>
  <c r="E360" i="5"/>
  <c r="H360" i="5"/>
  <c r="K360" i="5"/>
  <c r="A361" i="5"/>
  <c r="B361" i="5"/>
  <c r="C361" i="5"/>
  <c r="D361" i="5"/>
  <c r="E361" i="5"/>
  <c r="H361" i="5"/>
  <c r="K361" i="5"/>
  <c r="A362" i="5"/>
  <c r="B362" i="5"/>
  <c r="C362" i="5"/>
  <c r="D362" i="5"/>
  <c r="E362" i="5"/>
  <c r="H362" i="5"/>
  <c r="K362" i="5"/>
  <c r="A363" i="5"/>
  <c r="B363" i="5"/>
  <c r="C363" i="5"/>
  <c r="D363" i="5"/>
  <c r="E363" i="5"/>
  <c r="H363" i="5"/>
  <c r="K363" i="5"/>
  <c r="A364" i="5"/>
  <c r="B364" i="5"/>
  <c r="C364" i="5"/>
  <c r="D364" i="5"/>
  <c r="E364" i="5"/>
  <c r="H364" i="5"/>
  <c r="K364" i="5"/>
  <c r="A365" i="5"/>
  <c r="B365" i="5"/>
  <c r="C365" i="5"/>
  <c r="D365" i="5"/>
  <c r="E365" i="5"/>
  <c r="H365" i="5"/>
  <c r="K365" i="5"/>
  <c r="A366" i="5"/>
  <c r="B366" i="5"/>
  <c r="C366" i="5"/>
  <c r="D366" i="5"/>
  <c r="E366" i="5"/>
  <c r="H366" i="5"/>
  <c r="K366" i="5"/>
  <c r="A367" i="5"/>
  <c r="B367" i="5"/>
  <c r="C367" i="5"/>
  <c r="D367" i="5"/>
  <c r="E367" i="5"/>
  <c r="H367" i="5"/>
  <c r="K367" i="5"/>
  <c r="A368" i="5"/>
  <c r="B368" i="5"/>
  <c r="C368" i="5"/>
  <c r="D368" i="5"/>
  <c r="E368" i="5"/>
  <c r="H368" i="5"/>
  <c r="K368" i="5"/>
  <c r="A369" i="5"/>
  <c r="B369" i="5"/>
  <c r="C369" i="5"/>
  <c r="D369" i="5"/>
  <c r="E369" i="5"/>
  <c r="H369" i="5"/>
  <c r="K369" i="5"/>
  <c r="A370" i="5"/>
  <c r="B370" i="5"/>
  <c r="C370" i="5"/>
  <c r="D370" i="5"/>
  <c r="E370" i="5"/>
  <c r="H370" i="5"/>
  <c r="K370" i="5"/>
  <c r="A371" i="5"/>
  <c r="B371" i="5"/>
  <c r="C371" i="5"/>
  <c r="D371" i="5"/>
  <c r="E371" i="5"/>
  <c r="H371" i="5"/>
  <c r="K371" i="5"/>
  <c r="A372" i="5"/>
  <c r="B372" i="5"/>
  <c r="C372" i="5"/>
  <c r="D372" i="5"/>
  <c r="E372" i="5"/>
  <c r="H372" i="5"/>
  <c r="K372" i="5"/>
  <c r="A373" i="5"/>
  <c r="B373" i="5"/>
  <c r="C373" i="5"/>
  <c r="D373" i="5"/>
  <c r="E373" i="5"/>
  <c r="H373" i="5"/>
  <c r="K373" i="5"/>
  <c r="A374" i="5"/>
  <c r="B374" i="5"/>
  <c r="C374" i="5"/>
  <c r="D374" i="5"/>
  <c r="E374" i="5"/>
  <c r="H374" i="5"/>
  <c r="K374" i="5"/>
  <c r="A375" i="5"/>
  <c r="B375" i="5"/>
  <c r="C375" i="5"/>
  <c r="D375" i="5"/>
  <c r="E375" i="5"/>
  <c r="H375" i="5"/>
  <c r="K375" i="5"/>
  <c r="A376" i="5"/>
  <c r="B376" i="5"/>
  <c r="C376" i="5"/>
  <c r="D376" i="5"/>
  <c r="E376" i="5"/>
  <c r="H376" i="5"/>
  <c r="K376" i="5"/>
  <c r="A377" i="5"/>
  <c r="B377" i="5"/>
  <c r="C377" i="5"/>
  <c r="D377" i="5"/>
  <c r="E377" i="5"/>
  <c r="H377" i="5"/>
  <c r="K377" i="5"/>
  <c r="A378" i="5"/>
  <c r="B378" i="5"/>
  <c r="C378" i="5"/>
  <c r="D378" i="5"/>
  <c r="E378" i="5"/>
  <c r="H378" i="5"/>
  <c r="K378" i="5"/>
  <c r="A379" i="5"/>
  <c r="B379" i="5"/>
  <c r="C379" i="5"/>
  <c r="D379" i="5"/>
  <c r="E379" i="5"/>
  <c r="H379" i="5"/>
  <c r="K379" i="5"/>
  <c r="A380" i="5"/>
  <c r="B380" i="5"/>
  <c r="C380" i="5"/>
  <c r="D380" i="5"/>
  <c r="E380" i="5"/>
  <c r="H380" i="5"/>
  <c r="K380" i="5"/>
  <c r="A381" i="5"/>
  <c r="B381" i="5"/>
  <c r="C381" i="5"/>
  <c r="D381" i="5"/>
  <c r="E381" i="5"/>
  <c r="H381" i="5"/>
  <c r="K381" i="5"/>
  <c r="A382" i="5"/>
  <c r="B382" i="5"/>
  <c r="C382" i="5"/>
  <c r="D382" i="5"/>
  <c r="E382" i="5"/>
  <c r="H382" i="5"/>
  <c r="K382" i="5"/>
  <c r="A383" i="5"/>
  <c r="B383" i="5"/>
  <c r="C383" i="5"/>
  <c r="D383" i="5"/>
  <c r="E383" i="5"/>
  <c r="H383" i="5"/>
  <c r="K383" i="5"/>
  <c r="A384" i="5"/>
  <c r="B384" i="5"/>
  <c r="C384" i="5"/>
  <c r="D384" i="5"/>
  <c r="E384" i="5"/>
  <c r="H384" i="5"/>
  <c r="K384" i="5"/>
  <c r="A385" i="5"/>
  <c r="B385" i="5"/>
  <c r="C385" i="5"/>
  <c r="D385" i="5"/>
  <c r="E385" i="5"/>
  <c r="H385" i="5"/>
  <c r="K385" i="5"/>
  <c r="A386" i="5"/>
  <c r="B386" i="5"/>
  <c r="C386" i="5"/>
  <c r="D386" i="5"/>
  <c r="E386" i="5"/>
  <c r="H386" i="5"/>
  <c r="K386" i="5"/>
  <c r="A387" i="5"/>
  <c r="B387" i="5"/>
  <c r="C387" i="5"/>
  <c r="D387" i="5"/>
  <c r="E387" i="5"/>
  <c r="H387" i="5"/>
  <c r="K387" i="5"/>
  <c r="A388" i="5"/>
  <c r="B388" i="5"/>
  <c r="C388" i="5"/>
  <c r="D388" i="5"/>
  <c r="E388" i="5"/>
  <c r="H388" i="5"/>
  <c r="K388" i="5"/>
  <c r="A389" i="5"/>
  <c r="B389" i="5"/>
  <c r="C389" i="5"/>
  <c r="D389" i="5"/>
  <c r="E389" i="5"/>
  <c r="H389" i="5"/>
  <c r="K389" i="5"/>
  <c r="A390" i="5"/>
  <c r="B390" i="5"/>
  <c r="C390" i="5"/>
  <c r="D390" i="5"/>
  <c r="E390" i="5"/>
  <c r="H390" i="5"/>
  <c r="K390" i="5"/>
  <c r="A391" i="5"/>
  <c r="B391" i="5"/>
  <c r="C391" i="5"/>
  <c r="D391" i="5"/>
  <c r="E391" i="5"/>
  <c r="H391" i="5"/>
  <c r="K391" i="5"/>
  <c r="A392" i="5"/>
  <c r="B392" i="5"/>
  <c r="C392" i="5"/>
  <c r="D392" i="5"/>
  <c r="E392" i="5"/>
  <c r="H392" i="5"/>
  <c r="K392" i="5"/>
  <c r="A393" i="5"/>
  <c r="B393" i="5"/>
  <c r="C393" i="5"/>
  <c r="D393" i="5"/>
  <c r="E393" i="5"/>
  <c r="H393" i="5"/>
  <c r="K393" i="5"/>
  <c r="A394" i="5"/>
  <c r="B394" i="5"/>
  <c r="C394" i="5"/>
  <c r="D394" i="5"/>
  <c r="E394" i="5"/>
  <c r="H394" i="5"/>
  <c r="K394" i="5"/>
  <c r="A395" i="5"/>
  <c r="B395" i="5"/>
  <c r="C395" i="5"/>
  <c r="D395" i="5"/>
  <c r="E395" i="5"/>
  <c r="H395" i="5"/>
  <c r="K395" i="5"/>
  <c r="A396" i="5"/>
  <c r="B396" i="5"/>
  <c r="C396" i="5"/>
  <c r="D396" i="5"/>
  <c r="E396" i="5"/>
  <c r="H396" i="5"/>
  <c r="K396" i="5"/>
  <c r="A397" i="5"/>
  <c r="B397" i="5"/>
  <c r="C397" i="5"/>
  <c r="D397" i="5"/>
  <c r="E397" i="5"/>
  <c r="H397" i="5"/>
  <c r="K397" i="5"/>
  <c r="A398" i="5"/>
  <c r="B398" i="5"/>
  <c r="C398" i="5"/>
  <c r="D398" i="5"/>
  <c r="E398" i="5"/>
  <c r="H398" i="5"/>
  <c r="K398" i="5"/>
  <c r="A399" i="5"/>
  <c r="B399" i="5"/>
  <c r="C399" i="5"/>
  <c r="D399" i="5"/>
  <c r="E399" i="5"/>
  <c r="H399" i="5"/>
  <c r="K399" i="5"/>
  <c r="A400" i="5"/>
  <c r="B400" i="5"/>
  <c r="C400" i="5"/>
  <c r="D400" i="5"/>
  <c r="E400" i="5"/>
  <c r="H400" i="5"/>
  <c r="K400" i="5"/>
  <c r="A401" i="5"/>
  <c r="B401" i="5"/>
  <c r="C401" i="5"/>
  <c r="D401" i="5"/>
  <c r="E401" i="5"/>
  <c r="H401" i="5"/>
  <c r="K401" i="5"/>
  <c r="A402" i="5"/>
  <c r="B402" i="5"/>
  <c r="C402" i="5"/>
  <c r="D402" i="5"/>
  <c r="E402" i="5"/>
  <c r="H402" i="5"/>
  <c r="K402" i="5"/>
  <c r="A403" i="5"/>
  <c r="B403" i="5"/>
  <c r="C403" i="5"/>
  <c r="D403" i="5"/>
  <c r="E403" i="5"/>
  <c r="H403" i="5"/>
  <c r="K403" i="5"/>
  <c r="A404" i="5"/>
  <c r="B404" i="5"/>
  <c r="C404" i="5"/>
  <c r="D404" i="5"/>
  <c r="E404" i="5"/>
  <c r="H404" i="5"/>
  <c r="K404" i="5"/>
  <c r="A405" i="5"/>
  <c r="B405" i="5"/>
  <c r="C405" i="5"/>
  <c r="D405" i="5"/>
  <c r="E405" i="5"/>
  <c r="H405" i="5"/>
  <c r="K405" i="5"/>
  <c r="A406" i="5"/>
  <c r="B406" i="5"/>
  <c r="C406" i="5"/>
  <c r="D406" i="5"/>
  <c r="E406" i="5"/>
  <c r="H406" i="5"/>
  <c r="K406" i="5"/>
  <c r="A407" i="5"/>
  <c r="B407" i="5"/>
  <c r="C407" i="5"/>
  <c r="D407" i="5"/>
  <c r="E407" i="5"/>
  <c r="H407" i="5"/>
  <c r="K407" i="5"/>
  <c r="A408" i="5"/>
  <c r="B408" i="5"/>
  <c r="C408" i="5"/>
  <c r="D408" i="5"/>
  <c r="E408" i="5"/>
  <c r="H408" i="5"/>
  <c r="K408" i="5"/>
  <c r="A409" i="5"/>
  <c r="B409" i="5"/>
  <c r="C409" i="5"/>
  <c r="D409" i="5"/>
  <c r="E409" i="5"/>
  <c r="H409" i="5"/>
  <c r="K409" i="5"/>
  <c r="A410" i="5"/>
  <c r="B410" i="5"/>
  <c r="C410" i="5"/>
  <c r="D410" i="5"/>
  <c r="E410" i="5"/>
  <c r="H410" i="5"/>
  <c r="K410" i="5"/>
  <c r="A411" i="5"/>
  <c r="B411" i="5"/>
  <c r="C411" i="5"/>
  <c r="D411" i="5"/>
  <c r="E411" i="5"/>
  <c r="H411" i="5"/>
  <c r="K411" i="5"/>
  <c r="A412" i="5"/>
  <c r="B412" i="5"/>
  <c r="C412" i="5"/>
  <c r="D412" i="5"/>
  <c r="E412" i="5"/>
  <c r="H412" i="5"/>
  <c r="K412" i="5"/>
  <c r="A413" i="5"/>
  <c r="B413" i="5"/>
  <c r="C413" i="5"/>
  <c r="D413" i="5"/>
  <c r="E413" i="5"/>
  <c r="H413" i="5"/>
  <c r="K413" i="5"/>
  <c r="A414" i="5"/>
  <c r="B414" i="5"/>
  <c r="C414" i="5"/>
  <c r="D414" i="5"/>
  <c r="E414" i="5"/>
  <c r="H414" i="5"/>
  <c r="K414" i="5"/>
  <c r="A415" i="5"/>
  <c r="B415" i="5"/>
  <c r="C415" i="5"/>
  <c r="D415" i="5"/>
  <c r="E415" i="5"/>
  <c r="H415" i="5"/>
  <c r="K415" i="5"/>
  <c r="A416" i="5"/>
  <c r="B416" i="5"/>
  <c r="C416" i="5"/>
  <c r="D416" i="5"/>
  <c r="E416" i="5"/>
  <c r="H416" i="5"/>
  <c r="K416" i="5"/>
  <c r="A417" i="5"/>
  <c r="B417" i="5"/>
  <c r="C417" i="5"/>
  <c r="D417" i="5"/>
  <c r="E417" i="5"/>
  <c r="H417" i="5"/>
  <c r="K417" i="5"/>
  <c r="A418" i="5"/>
  <c r="B418" i="5"/>
  <c r="C418" i="5"/>
  <c r="D418" i="5"/>
  <c r="E418" i="5"/>
  <c r="H418" i="5"/>
  <c r="K418" i="5"/>
  <c r="A419" i="5"/>
  <c r="B419" i="5"/>
  <c r="C419" i="5"/>
  <c r="D419" i="5"/>
  <c r="E419" i="5"/>
  <c r="H419" i="5"/>
  <c r="K419" i="5"/>
  <c r="A420" i="5"/>
  <c r="B420" i="5"/>
  <c r="C420" i="5"/>
  <c r="D420" i="5"/>
  <c r="E420" i="5"/>
  <c r="H420" i="5"/>
  <c r="K420" i="5"/>
  <c r="A421" i="5"/>
  <c r="B421" i="5"/>
  <c r="C421" i="5"/>
  <c r="D421" i="5"/>
  <c r="E421" i="5"/>
  <c r="H421" i="5"/>
  <c r="K421" i="5"/>
  <c r="A422" i="5"/>
  <c r="B422" i="5"/>
  <c r="C422" i="5"/>
  <c r="D422" i="5"/>
  <c r="E422" i="5"/>
  <c r="H422" i="5"/>
  <c r="K422" i="5"/>
  <c r="A423" i="5"/>
  <c r="B423" i="5"/>
  <c r="C423" i="5"/>
  <c r="D423" i="5"/>
  <c r="E423" i="5"/>
  <c r="H423" i="5"/>
  <c r="K423" i="5"/>
  <c r="A424" i="5"/>
  <c r="B424" i="5"/>
  <c r="C424" i="5"/>
  <c r="D424" i="5"/>
  <c r="E424" i="5"/>
  <c r="H424" i="5"/>
  <c r="K424" i="5"/>
  <c r="A425" i="5"/>
  <c r="B425" i="5"/>
  <c r="C425" i="5"/>
  <c r="D425" i="5"/>
  <c r="E425" i="5"/>
  <c r="H425" i="5"/>
  <c r="K425" i="5"/>
  <c r="A426" i="5"/>
  <c r="B426" i="5"/>
  <c r="C426" i="5"/>
  <c r="D426" i="5"/>
  <c r="E426" i="5"/>
  <c r="H426" i="5"/>
  <c r="K426" i="5"/>
  <c r="A427" i="5"/>
  <c r="B427" i="5"/>
  <c r="C427" i="5"/>
  <c r="D427" i="5"/>
  <c r="E427" i="5"/>
  <c r="H427" i="5"/>
  <c r="K427" i="5"/>
  <c r="A428" i="5"/>
  <c r="B428" i="5"/>
  <c r="C428" i="5"/>
  <c r="D428" i="5"/>
  <c r="E428" i="5"/>
  <c r="H428" i="5"/>
  <c r="K428" i="5"/>
  <c r="A429" i="5"/>
  <c r="B429" i="5"/>
  <c r="C429" i="5"/>
  <c r="D429" i="5"/>
  <c r="E429" i="5"/>
  <c r="H429" i="5"/>
  <c r="K429" i="5"/>
  <c r="A430" i="5"/>
  <c r="B430" i="5"/>
  <c r="C430" i="5"/>
  <c r="D430" i="5"/>
  <c r="E430" i="5"/>
  <c r="H430" i="5"/>
  <c r="K430" i="5"/>
  <c r="A431" i="5"/>
  <c r="B431" i="5"/>
  <c r="C431" i="5"/>
  <c r="D431" i="5"/>
  <c r="E431" i="5"/>
  <c r="H431" i="5"/>
  <c r="K431" i="5"/>
  <c r="A432" i="5"/>
  <c r="B432" i="5"/>
  <c r="C432" i="5"/>
  <c r="D432" i="5"/>
  <c r="E432" i="5"/>
  <c r="H432" i="5"/>
  <c r="K432" i="5"/>
  <c r="A433" i="5"/>
  <c r="B433" i="5"/>
  <c r="C433" i="5"/>
  <c r="D433" i="5"/>
  <c r="E433" i="5"/>
  <c r="H433" i="5"/>
  <c r="K433" i="5"/>
  <c r="A434" i="5"/>
  <c r="B434" i="5"/>
  <c r="C434" i="5"/>
  <c r="D434" i="5"/>
  <c r="E434" i="5"/>
  <c r="H434" i="5"/>
  <c r="K434" i="5"/>
  <c r="A435" i="5"/>
  <c r="B435" i="5"/>
  <c r="C435" i="5"/>
  <c r="D435" i="5"/>
  <c r="E435" i="5"/>
  <c r="H435" i="5"/>
  <c r="K435" i="5"/>
  <c r="A436" i="5"/>
  <c r="B436" i="5"/>
  <c r="C436" i="5"/>
  <c r="D436" i="5"/>
  <c r="E436" i="5"/>
  <c r="H436" i="5"/>
  <c r="K436" i="5"/>
  <c r="A437" i="5"/>
  <c r="B437" i="5"/>
  <c r="C437" i="5"/>
  <c r="D437" i="5"/>
  <c r="E437" i="5"/>
  <c r="H437" i="5"/>
  <c r="K437" i="5"/>
  <c r="A438" i="5"/>
  <c r="B438" i="5"/>
  <c r="C438" i="5"/>
  <c r="D438" i="5"/>
  <c r="E438" i="5"/>
  <c r="H438" i="5"/>
  <c r="K438" i="5"/>
  <c r="A439" i="5"/>
  <c r="B439" i="5"/>
  <c r="C439" i="5"/>
  <c r="D439" i="5"/>
  <c r="E439" i="5"/>
  <c r="H439" i="5"/>
  <c r="K439" i="5"/>
  <c r="A440" i="5"/>
  <c r="B440" i="5"/>
  <c r="C440" i="5"/>
  <c r="D440" i="5"/>
  <c r="E440" i="5"/>
  <c r="H440" i="5"/>
  <c r="K440" i="5"/>
  <c r="A441" i="5"/>
  <c r="B441" i="5"/>
  <c r="C441" i="5"/>
  <c r="D441" i="5"/>
  <c r="E441" i="5"/>
  <c r="H441" i="5"/>
  <c r="K441" i="5"/>
  <c r="A442" i="5"/>
  <c r="B442" i="5"/>
  <c r="C442" i="5"/>
  <c r="D442" i="5"/>
  <c r="E442" i="5"/>
  <c r="H442" i="5"/>
  <c r="K442" i="5"/>
  <c r="A443" i="5"/>
  <c r="B443" i="5"/>
  <c r="C443" i="5"/>
  <c r="D443" i="5"/>
  <c r="E443" i="5"/>
  <c r="H443" i="5"/>
  <c r="K443" i="5"/>
  <c r="A444" i="5"/>
  <c r="B444" i="5"/>
  <c r="C444" i="5"/>
  <c r="D444" i="5"/>
  <c r="E444" i="5"/>
  <c r="H444" i="5"/>
  <c r="K444" i="5"/>
  <c r="A445" i="5"/>
  <c r="B445" i="5"/>
  <c r="C445" i="5"/>
  <c r="D445" i="5"/>
  <c r="E445" i="5"/>
  <c r="H445" i="5"/>
  <c r="K445" i="5"/>
  <c r="A446" i="5"/>
  <c r="B446" i="5"/>
  <c r="C446" i="5"/>
  <c r="D446" i="5"/>
  <c r="E446" i="5"/>
  <c r="H446" i="5"/>
  <c r="K446" i="5"/>
  <c r="A447" i="5"/>
  <c r="B447" i="5"/>
  <c r="C447" i="5"/>
  <c r="D447" i="5"/>
  <c r="E447" i="5"/>
  <c r="H447" i="5"/>
  <c r="K447" i="5"/>
  <c r="A448" i="5"/>
  <c r="B448" i="5"/>
  <c r="C448" i="5"/>
  <c r="D448" i="5"/>
  <c r="E448" i="5"/>
  <c r="H448" i="5"/>
  <c r="K448" i="5"/>
  <c r="A449" i="5"/>
  <c r="B449" i="5"/>
  <c r="C449" i="5"/>
  <c r="D449" i="5"/>
  <c r="E449" i="5"/>
  <c r="H449" i="5"/>
  <c r="K449" i="5"/>
  <c r="A450" i="5"/>
  <c r="B450" i="5"/>
  <c r="C450" i="5"/>
  <c r="D450" i="5"/>
  <c r="E450" i="5"/>
  <c r="H450" i="5"/>
  <c r="K450" i="5"/>
  <c r="A451" i="5"/>
  <c r="B451" i="5"/>
  <c r="C451" i="5"/>
  <c r="D451" i="5"/>
  <c r="E451" i="5"/>
  <c r="H451" i="5"/>
  <c r="K451" i="5"/>
  <c r="A452" i="5"/>
  <c r="B452" i="5"/>
  <c r="C452" i="5"/>
  <c r="D452" i="5"/>
  <c r="E452" i="5"/>
  <c r="H452" i="5"/>
  <c r="K452" i="5"/>
  <c r="A453" i="5"/>
  <c r="B453" i="5"/>
  <c r="C453" i="5"/>
  <c r="D453" i="5"/>
  <c r="E453" i="5"/>
  <c r="H453" i="5"/>
  <c r="K453" i="5"/>
  <c r="A454" i="5"/>
  <c r="B454" i="5"/>
  <c r="C454" i="5"/>
  <c r="D454" i="5"/>
  <c r="E454" i="5"/>
  <c r="H454" i="5"/>
  <c r="K454" i="5"/>
  <c r="A455" i="5"/>
  <c r="B455" i="5"/>
  <c r="C455" i="5"/>
  <c r="D455" i="5"/>
  <c r="E455" i="5"/>
  <c r="H455" i="5"/>
  <c r="K455" i="5"/>
  <c r="A456" i="5"/>
  <c r="B456" i="5"/>
  <c r="C456" i="5"/>
  <c r="D456" i="5"/>
  <c r="E456" i="5"/>
  <c r="H456" i="5"/>
  <c r="K456" i="5"/>
  <c r="A457" i="5"/>
  <c r="B457" i="5"/>
  <c r="C457" i="5"/>
  <c r="D457" i="5"/>
  <c r="E457" i="5"/>
  <c r="H457" i="5"/>
  <c r="K457" i="5"/>
  <c r="A458" i="5"/>
  <c r="B458" i="5"/>
  <c r="C458" i="5"/>
  <c r="D458" i="5"/>
  <c r="E458" i="5"/>
  <c r="H458" i="5"/>
  <c r="K458" i="5"/>
  <c r="A459" i="5"/>
  <c r="B459" i="5"/>
  <c r="C459" i="5"/>
  <c r="D459" i="5"/>
  <c r="E459" i="5"/>
  <c r="H459" i="5"/>
  <c r="K459" i="5"/>
  <c r="A460" i="5"/>
  <c r="B460" i="5"/>
  <c r="C460" i="5"/>
  <c r="D460" i="5"/>
  <c r="E460" i="5"/>
  <c r="H460" i="5"/>
  <c r="K460" i="5"/>
  <c r="A461" i="5"/>
  <c r="B461" i="5"/>
  <c r="C461" i="5"/>
  <c r="D461" i="5"/>
  <c r="E461" i="5"/>
  <c r="H461" i="5"/>
  <c r="K461" i="5"/>
  <c r="A462" i="5"/>
  <c r="B462" i="5"/>
  <c r="C462" i="5"/>
  <c r="D462" i="5"/>
  <c r="E462" i="5"/>
  <c r="H462" i="5"/>
  <c r="K462" i="5"/>
  <c r="A463" i="5"/>
  <c r="B463" i="5"/>
  <c r="C463" i="5"/>
  <c r="D463" i="5"/>
  <c r="E463" i="5"/>
  <c r="H463" i="5"/>
  <c r="K463" i="5"/>
  <c r="A464" i="5"/>
  <c r="B464" i="5"/>
  <c r="C464" i="5"/>
  <c r="D464" i="5"/>
  <c r="E464" i="5"/>
  <c r="H464" i="5"/>
  <c r="K464" i="5"/>
  <c r="A465" i="5"/>
  <c r="B465" i="5"/>
  <c r="C465" i="5"/>
  <c r="D465" i="5"/>
  <c r="E465" i="5"/>
  <c r="H465" i="5"/>
  <c r="K465" i="5"/>
  <c r="A466" i="5"/>
  <c r="B466" i="5"/>
  <c r="C466" i="5"/>
  <c r="D466" i="5"/>
  <c r="E466" i="5"/>
  <c r="H466" i="5"/>
  <c r="K466" i="5"/>
  <c r="A467" i="5"/>
  <c r="B467" i="5"/>
  <c r="C467" i="5"/>
  <c r="D467" i="5"/>
  <c r="E467" i="5"/>
  <c r="H467" i="5"/>
  <c r="K467" i="5"/>
  <c r="A468" i="5"/>
  <c r="B468" i="5"/>
  <c r="C468" i="5"/>
  <c r="D468" i="5"/>
  <c r="E468" i="5"/>
  <c r="H468" i="5"/>
  <c r="K468" i="5"/>
  <c r="A469" i="5"/>
  <c r="B469" i="5"/>
  <c r="C469" i="5"/>
  <c r="D469" i="5"/>
  <c r="E469" i="5"/>
  <c r="H469" i="5"/>
  <c r="K469" i="5"/>
  <c r="A470" i="5"/>
  <c r="B470" i="5"/>
  <c r="C470" i="5"/>
  <c r="D470" i="5"/>
  <c r="E470" i="5"/>
  <c r="H470" i="5"/>
  <c r="K470" i="5"/>
  <c r="A471" i="5"/>
  <c r="B471" i="5"/>
  <c r="C471" i="5"/>
  <c r="D471" i="5"/>
  <c r="E471" i="5"/>
  <c r="H471" i="5"/>
  <c r="K471" i="5"/>
  <c r="A472" i="5"/>
  <c r="B472" i="5"/>
  <c r="C472" i="5"/>
  <c r="D472" i="5"/>
  <c r="E472" i="5"/>
  <c r="H472" i="5"/>
  <c r="K472" i="5"/>
  <c r="A473" i="5"/>
  <c r="B473" i="5"/>
  <c r="C473" i="5"/>
  <c r="D473" i="5"/>
  <c r="E473" i="5"/>
  <c r="H473" i="5"/>
  <c r="K473" i="5"/>
  <c r="A474" i="5"/>
  <c r="B474" i="5"/>
  <c r="C474" i="5"/>
  <c r="D474" i="5"/>
  <c r="E474" i="5"/>
  <c r="H474" i="5"/>
  <c r="K474" i="5"/>
  <c r="A475" i="5"/>
  <c r="B475" i="5"/>
  <c r="C475" i="5"/>
  <c r="D475" i="5"/>
  <c r="E475" i="5"/>
  <c r="H475" i="5"/>
  <c r="K475" i="5"/>
  <c r="A476" i="5"/>
  <c r="B476" i="5"/>
  <c r="C476" i="5"/>
  <c r="D476" i="5"/>
  <c r="E476" i="5"/>
  <c r="H476" i="5"/>
  <c r="K476" i="5"/>
  <c r="A477" i="5"/>
  <c r="B477" i="5"/>
  <c r="C477" i="5"/>
  <c r="D477" i="5"/>
  <c r="E477" i="5"/>
  <c r="H477" i="5"/>
  <c r="K477" i="5"/>
  <c r="A478" i="5"/>
  <c r="B478" i="5"/>
  <c r="C478" i="5"/>
  <c r="D478" i="5"/>
  <c r="E478" i="5"/>
  <c r="H478" i="5"/>
  <c r="K478" i="5"/>
  <c r="A479" i="5"/>
  <c r="B479" i="5"/>
  <c r="C479" i="5"/>
  <c r="D479" i="5"/>
  <c r="E479" i="5"/>
  <c r="H479" i="5"/>
  <c r="K479" i="5"/>
  <c r="A480" i="5"/>
  <c r="B480" i="5"/>
  <c r="C480" i="5"/>
  <c r="D480" i="5"/>
  <c r="E480" i="5"/>
  <c r="H480" i="5"/>
  <c r="K480" i="5"/>
  <c r="A481" i="5"/>
  <c r="B481" i="5"/>
  <c r="C481" i="5"/>
  <c r="D481" i="5"/>
  <c r="E481" i="5"/>
  <c r="H481" i="5"/>
  <c r="K481" i="5"/>
  <c r="A482" i="5"/>
  <c r="B482" i="5"/>
  <c r="C482" i="5"/>
  <c r="D482" i="5"/>
  <c r="E482" i="5"/>
  <c r="H482" i="5"/>
  <c r="K482" i="5"/>
  <c r="A483" i="5"/>
  <c r="B483" i="5"/>
  <c r="C483" i="5"/>
  <c r="D483" i="5"/>
  <c r="E483" i="5"/>
  <c r="H483" i="5"/>
  <c r="K483" i="5"/>
  <c r="A484" i="5"/>
  <c r="B484" i="5"/>
  <c r="C484" i="5"/>
  <c r="D484" i="5"/>
  <c r="E484" i="5"/>
  <c r="H484" i="5"/>
  <c r="K484" i="5"/>
  <c r="A485" i="5"/>
  <c r="B485" i="5"/>
  <c r="C485" i="5"/>
  <c r="D485" i="5"/>
  <c r="E485" i="5"/>
  <c r="H485" i="5"/>
  <c r="K485" i="5"/>
  <c r="A486" i="5"/>
  <c r="B486" i="5"/>
  <c r="C486" i="5"/>
  <c r="D486" i="5"/>
  <c r="E486" i="5"/>
  <c r="H486" i="5"/>
  <c r="K486" i="5"/>
  <c r="A487" i="5"/>
  <c r="B487" i="5"/>
  <c r="C487" i="5"/>
  <c r="D487" i="5"/>
  <c r="E487" i="5"/>
  <c r="H487" i="5"/>
  <c r="K487" i="5"/>
  <c r="A488" i="5"/>
  <c r="B488" i="5"/>
  <c r="C488" i="5"/>
  <c r="D488" i="5"/>
  <c r="E488" i="5"/>
  <c r="H488" i="5"/>
  <c r="K488" i="5"/>
  <c r="A489" i="5"/>
  <c r="B489" i="5"/>
  <c r="C489" i="5"/>
  <c r="D489" i="5"/>
  <c r="E489" i="5"/>
  <c r="H489" i="5"/>
  <c r="K489" i="5"/>
  <c r="A490" i="5"/>
  <c r="B490" i="5"/>
  <c r="C490" i="5"/>
  <c r="D490" i="5"/>
  <c r="E490" i="5"/>
  <c r="H490" i="5"/>
  <c r="K490" i="5"/>
  <c r="A491" i="5"/>
  <c r="B491" i="5"/>
  <c r="C491" i="5"/>
  <c r="D491" i="5"/>
  <c r="E491" i="5"/>
  <c r="H491" i="5"/>
  <c r="K491" i="5"/>
  <c r="A492" i="5"/>
  <c r="B492" i="5"/>
  <c r="C492" i="5"/>
  <c r="D492" i="5"/>
  <c r="E492" i="5"/>
  <c r="H492" i="5"/>
  <c r="K492" i="5"/>
  <c r="A493" i="5"/>
  <c r="B493" i="5"/>
  <c r="C493" i="5"/>
  <c r="D493" i="5"/>
  <c r="E493" i="5"/>
  <c r="H493" i="5"/>
  <c r="K493" i="5"/>
  <c r="A494" i="5"/>
  <c r="B494" i="5"/>
  <c r="C494" i="5"/>
  <c r="D494" i="5"/>
  <c r="E494" i="5"/>
  <c r="H494" i="5"/>
  <c r="K494" i="5"/>
  <c r="A495" i="5"/>
  <c r="B495" i="5"/>
  <c r="C495" i="5"/>
  <c r="D495" i="5"/>
  <c r="E495" i="5"/>
  <c r="H495" i="5"/>
  <c r="K495" i="5"/>
  <c r="A496" i="5"/>
  <c r="B496" i="5"/>
  <c r="C496" i="5"/>
  <c r="D496" i="5"/>
  <c r="E496" i="5"/>
  <c r="H496" i="5"/>
  <c r="K496" i="5"/>
  <c r="A497" i="5"/>
  <c r="B497" i="5"/>
  <c r="C497" i="5"/>
  <c r="D497" i="5"/>
  <c r="E497" i="5"/>
  <c r="H497" i="5"/>
  <c r="K497" i="5"/>
  <c r="A498" i="5"/>
  <c r="B498" i="5"/>
  <c r="C498" i="5"/>
  <c r="D498" i="5"/>
  <c r="E498" i="5"/>
  <c r="H498" i="5"/>
  <c r="K498" i="5"/>
  <c r="A3" i="5"/>
  <c r="B3" i="5"/>
  <c r="C3" i="5"/>
  <c r="D3" i="5"/>
  <c r="E3" i="5"/>
  <c r="H3" i="5"/>
  <c r="K3" i="5"/>
  <c r="A4" i="5"/>
  <c r="B4" i="5"/>
  <c r="C4" i="5"/>
  <c r="D4" i="5"/>
  <c r="E4" i="5"/>
  <c r="H4" i="5"/>
  <c r="K4" i="5"/>
  <c r="A5" i="5"/>
  <c r="B5" i="5"/>
  <c r="C5" i="5"/>
  <c r="D5" i="5"/>
  <c r="E5" i="5"/>
  <c r="H5" i="5"/>
  <c r="K5" i="5"/>
  <c r="A6" i="5"/>
  <c r="B6" i="5"/>
  <c r="C6" i="5"/>
  <c r="D6" i="5"/>
  <c r="E6" i="5"/>
  <c r="H6" i="5"/>
  <c r="K6" i="5"/>
  <c r="A7" i="5"/>
  <c r="B7" i="5"/>
  <c r="C7" i="5"/>
  <c r="D7" i="5"/>
  <c r="E7" i="5"/>
  <c r="H7" i="5"/>
  <c r="K7" i="5"/>
  <c r="A8" i="5"/>
  <c r="B8" i="5"/>
  <c r="C8" i="5"/>
  <c r="D8" i="5"/>
  <c r="E8" i="5"/>
  <c r="H8" i="5"/>
  <c r="K8" i="5"/>
  <c r="A9" i="5"/>
  <c r="B9" i="5"/>
  <c r="C9" i="5"/>
  <c r="D9" i="5"/>
  <c r="E9" i="5"/>
  <c r="H9" i="5"/>
  <c r="K9" i="5"/>
  <c r="A10" i="5"/>
  <c r="B10" i="5"/>
  <c r="C10" i="5"/>
  <c r="D10" i="5"/>
  <c r="E10" i="5"/>
  <c r="H10" i="5"/>
  <c r="K10" i="5"/>
  <c r="A11" i="5"/>
  <c r="B11" i="5"/>
  <c r="C11" i="5"/>
  <c r="D11" i="5"/>
  <c r="E11" i="5"/>
  <c r="H11" i="5"/>
  <c r="K11" i="5"/>
  <c r="A12" i="5"/>
  <c r="B12" i="5"/>
  <c r="C12" i="5"/>
  <c r="D12" i="5"/>
  <c r="E12" i="5"/>
  <c r="H12" i="5"/>
  <c r="K12" i="5"/>
  <c r="A13" i="5"/>
  <c r="B13" i="5"/>
  <c r="C13" i="5"/>
  <c r="D13" i="5"/>
  <c r="E13" i="5"/>
  <c r="H13" i="5"/>
  <c r="K13" i="5"/>
  <c r="A14" i="5"/>
  <c r="B14" i="5"/>
  <c r="C14" i="5"/>
  <c r="D14" i="5"/>
  <c r="E14" i="5"/>
  <c r="H14" i="5"/>
  <c r="K14" i="5"/>
  <c r="A15" i="5"/>
  <c r="B15" i="5"/>
  <c r="C15" i="5"/>
  <c r="D15" i="5"/>
  <c r="E15" i="5"/>
  <c r="H15" i="5"/>
  <c r="K15" i="5"/>
  <c r="A16" i="5"/>
  <c r="B16" i="5"/>
  <c r="C16" i="5"/>
  <c r="D16" i="5"/>
  <c r="E16" i="5"/>
  <c r="H16" i="5"/>
  <c r="K16" i="5"/>
  <c r="A17" i="5"/>
  <c r="B17" i="5"/>
  <c r="C17" i="5"/>
  <c r="D17" i="5"/>
  <c r="E17" i="5"/>
  <c r="H17" i="5"/>
  <c r="K17" i="5"/>
  <c r="A18" i="5"/>
  <c r="B18" i="5"/>
  <c r="C18" i="5"/>
  <c r="D18" i="5"/>
  <c r="E18" i="5"/>
  <c r="H18" i="5"/>
  <c r="K18" i="5"/>
  <c r="A19" i="5"/>
  <c r="B19" i="5"/>
  <c r="C19" i="5"/>
  <c r="D19" i="5"/>
  <c r="E19" i="5"/>
  <c r="H19" i="5"/>
  <c r="K19" i="5"/>
  <c r="A20" i="5"/>
  <c r="B20" i="5"/>
  <c r="C20" i="5"/>
  <c r="D20" i="5"/>
  <c r="E20" i="5"/>
  <c r="H20" i="5"/>
  <c r="K20" i="5"/>
  <c r="A21" i="5"/>
  <c r="B21" i="5"/>
  <c r="C21" i="5"/>
  <c r="D21" i="5"/>
  <c r="E21" i="5"/>
  <c r="H21" i="5"/>
  <c r="K21" i="5"/>
  <c r="A22" i="5"/>
  <c r="B22" i="5"/>
  <c r="C22" i="5"/>
  <c r="D22" i="5"/>
  <c r="E22" i="5"/>
  <c r="H22" i="5"/>
  <c r="K22" i="5"/>
  <c r="A23" i="5"/>
  <c r="B23" i="5"/>
  <c r="C23" i="5"/>
  <c r="D23" i="5"/>
  <c r="E23" i="5"/>
  <c r="H23" i="5"/>
  <c r="K23" i="5"/>
  <c r="A24" i="5"/>
  <c r="B24" i="5"/>
  <c r="C24" i="5"/>
  <c r="D24" i="5"/>
  <c r="E24" i="5"/>
  <c r="H24" i="5"/>
  <c r="K24" i="5"/>
  <c r="A25" i="5"/>
  <c r="B25" i="5"/>
  <c r="C25" i="5"/>
  <c r="D25" i="5"/>
  <c r="E25" i="5"/>
  <c r="H25" i="5"/>
  <c r="K25" i="5"/>
  <c r="A26" i="5"/>
  <c r="B26" i="5"/>
  <c r="C26" i="5"/>
  <c r="D26" i="5"/>
  <c r="E26" i="5"/>
  <c r="H26" i="5"/>
  <c r="K26" i="5"/>
  <c r="A27" i="5"/>
  <c r="B27" i="5"/>
  <c r="C27" i="5"/>
  <c r="D27" i="5"/>
  <c r="E27" i="5"/>
  <c r="H27" i="5"/>
  <c r="K27" i="5"/>
  <c r="A28" i="5"/>
  <c r="B28" i="5"/>
  <c r="C28" i="5"/>
  <c r="D28" i="5"/>
  <c r="E28" i="5"/>
  <c r="H28" i="5"/>
  <c r="K28" i="5"/>
  <c r="A29" i="5"/>
  <c r="B29" i="5"/>
  <c r="C29" i="5"/>
  <c r="D29" i="5"/>
  <c r="E29" i="5"/>
  <c r="H29" i="5"/>
  <c r="K29" i="5"/>
  <c r="A30" i="5"/>
  <c r="B30" i="5"/>
  <c r="C30" i="5"/>
  <c r="D30" i="5"/>
  <c r="E30" i="5"/>
  <c r="H30" i="5"/>
  <c r="K30" i="5"/>
  <c r="A31" i="5"/>
  <c r="B31" i="5"/>
  <c r="C31" i="5"/>
  <c r="D31" i="5"/>
  <c r="E31" i="5"/>
  <c r="H31" i="5"/>
  <c r="K31" i="5"/>
  <c r="A32" i="5"/>
  <c r="B32" i="5"/>
  <c r="C32" i="5"/>
  <c r="D32" i="5"/>
  <c r="E32" i="5"/>
  <c r="H32" i="5"/>
  <c r="K32" i="5"/>
  <c r="A33" i="5"/>
  <c r="B33" i="5"/>
  <c r="C33" i="5"/>
  <c r="D33" i="5"/>
  <c r="E33" i="5"/>
  <c r="H33" i="5"/>
  <c r="K33" i="5"/>
  <c r="A34" i="5"/>
  <c r="B34" i="5"/>
  <c r="C34" i="5"/>
  <c r="D34" i="5"/>
  <c r="E34" i="5"/>
  <c r="H34" i="5"/>
  <c r="K34" i="5"/>
  <c r="A35" i="5"/>
  <c r="B35" i="5"/>
  <c r="C35" i="5"/>
  <c r="D35" i="5"/>
  <c r="E35" i="5"/>
  <c r="H35" i="5"/>
  <c r="K35" i="5"/>
  <c r="A36" i="5"/>
  <c r="B36" i="5"/>
  <c r="C36" i="5"/>
  <c r="D36" i="5"/>
  <c r="E36" i="5"/>
  <c r="H36" i="5"/>
  <c r="K36" i="5"/>
  <c r="A37" i="5"/>
  <c r="B37" i="5"/>
  <c r="C37" i="5"/>
  <c r="D37" i="5"/>
  <c r="E37" i="5"/>
  <c r="H37" i="5"/>
  <c r="K37" i="5"/>
  <c r="A38" i="5"/>
  <c r="B38" i="5"/>
  <c r="C38" i="5"/>
  <c r="D38" i="5"/>
  <c r="E38" i="5"/>
  <c r="H38" i="5"/>
  <c r="K38" i="5"/>
  <c r="A39" i="5"/>
  <c r="B39" i="5"/>
  <c r="C39" i="5"/>
  <c r="D39" i="5"/>
  <c r="E39" i="5"/>
  <c r="H39" i="5"/>
  <c r="K39" i="5"/>
  <c r="A40" i="5"/>
  <c r="B40" i="5"/>
  <c r="C40" i="5"/>
  <c r="D40" i="5"/>
  <c r="E40" i="5"/>
  <c r="H40" i="5"/>
  <c r="K40" i="5"/>
  <c r="A41" i="5"/>
  <c r="B41" i="5"/>
  <c r="C41" i="5"/>
  <c r="D41" i="5"/>
  <c r="E41" i="5"/>
  <c r="H41" i="5"/>
  <c r="K41" i="5"/>
  <c r="A42" i="5"/>
  <c r="B42" i="5"/>
  <c r="C42" i="5"/>
  <c r="D42" i="5"/>
  <c r="E42" i="5"/>
  <c r="H42" i="5"/>
  <c r="K42" i="5"/>
  <c r="A43" i="5"/>
  <c r="B43" i="5"/>
  <c r="C43" i="5"/>
  <c r="D43" i="5"/>
  <c r="E43" i="5"/>
  <c r="H43" i="5"/>
  <c r="K43" i="5"/>
  <c r="A44" i="5"/>
  <c r="B44" i="5"/>
  <c r="C44" i="5"/>
  <c r="D44" i="5"/>
  <c r="E44" i="5"/>
  <c r="H44" i="5"/>
  <c r="K44" i="5"/>
  <c r="A45" i="5"/>
  <c r="B45" i="5"/>
  <c r="C45" i="5"/>
  <c r="D45" i="5"/>
  <c r="E45" i="5"/>
  <c r="H45" i="5"/>
  <c r="K45" i="5"/>
  <c r="A46" i="5"/>
  <c r="B46" i="5"/>
  <c r="C46" i="5"/>
  <c r="D46" i="5"/>
  <c r="E46" i="5"/>
  <c r="H46" i="5"/>
  <c r="K46" i="5"/>
  <c r="A47" i="5"/>
  <c r="B47" i="5"/>
  <c r="C47" i="5"/>
  <c r="D47" i="5"/>
  <c r="E47" i="5"/>
  <c r="H47" i="5"/>
  <c r="K47" i="5"/>
  <c r="A48" i="5"/>
  <c r="B48" i="5"/>
  <c r="C48" i="5"/>
  <c r="D48" i="5"/>
  <c r="E48" i="5"/>
  <c r="H48" i="5"/>
  <c r="K48" i="5"/>
  <c r="A49" i="5"/>
  <c r="B49" i="5"/>
  <c r="C49" i="5"/>
  <c r="D49" i="5"/>
  <c r="E49" i="5"/>
  <c r="H49" i="5"/>
  <c r="K49" i="5"/>
  <c r="A50" i="5"/>
  <c r="B50" i="5"/>
  <c r="C50" i="5"/>
  <c r="D50" i="5"/>
  <c r="E50" i="5"/>
  <c r="H50" i="5"/>
  <c r="K50" i="5"/>
  <c r="A51" i="5"/>
  <c r="B51" i="5"/>
  <c r="C51" i="5"/>
  <c r="D51" i="5"/>
  <c r="E51" i="5"/>
  <c r="H51" i="5"/>
  <c r="K51" i="5"/>
  <c r="A52" i="5"/>
  <c r="B52" i="5"/>
  <c r="C52" i="5"/>
  <c r="D52" i="5"/>
  <c r="E52" i="5"/>
  <c r="H52" i="5"/>
  <c r="K52" i="5"/>
  <c r="A53" i="5"/>
  <c r="B53" i="5"/>
  <c r="C53" i="5"/>
  <c r="D53" i="5"/>
  <c r="E53" i="5"/>
  <c r="H53" i="5"/>
  <c r="K53" i="5"/>
  <c r="A54" i="5"/>
  <c r="B54" i="5"/>
  <c r="C54" i="5"/>
  <c r="D54" i="5"/>
  <c r="E54" i="5"/>
  <c r="H54" i="5"/>
  <c r="K54" i="5"/>
  <c r="A55" i="5"/>
  <c r="B55" i="5"/>
  <c r="C55" i="5"/>
  <c r="D55" i="5"/>
  <c r="E55" i="5"/>
  <c r="H55" i="5"/>
  <c r="K55" i="5"/>
  <c r="A56" i="5"/>
  <c r="B56" i="5"/>
  <c r="C56" i="5"/>
  <c r="D56" i="5"/>
  <c r="E56" i="5"/>
  <c r="H56" i="5"/>
  <c r="K56" i="5"/>
  <c r="A57" i="5"/>
  <c r="B57" i="5"/>
  <c r="C57" i="5"/>
  <c r="D57" i="5"/>
  <c r="E57" i="5"/>
  <c r="H57" i="5"/>
  <c r="K57" i="5"/>
  <c r="A58" i="5"/>
  <c r="B58" i="5"/>
  <c r="C58" i="5"/>
  <c r="D58" i="5"/>
  <c r="E58" i="5"/>
  <c r="H58" i="5"/>
  <c r="K58" i="5"/>
  <c r="A59" i="5"/>
  <c r="B59" i="5"/>
  <c r="C59" i="5"/>
  <c r="D59" i="5"/>
  <c r="E59" i="5"/>
  <c r="H59" i="5"/>
  <c r="K59" i="5"/>
  <c r="A60" i="5"/>
  <c r="B60" i="5"/>
  <c r="C60" i="5"/>
  <c r="D60" i="5"/>
  <c r="E60" i="5"/>
  <c r="H60" i="5"/>
  <c r="K60" i="5"/>
  <c r="A61" i="5"/>
  <c r="B61" i="5"/>
  <c r="C61" i="5"/>
  <c r="D61" i="5"/>
  <c r="E61" i="5"/>
  <c r="H61" i="5"/>
  <c r="K61" i="5"/>
  <c r="A62" i="5"/>
  <c r="B62" i="5"/>
  <c r="C62" i="5"/>
  <c r="D62" i="5"/>
  <c r="E62" i="5"/>
  <c r="H62" i="5"/>
  <c r="K62" i="5"/>
  <c r="A63" i="5"/>
  <c r="B63" i="5"/>
  <c r="C63" i="5"/>
  <c r="D63" i="5"/>
  <c r="E63" i="5"/>
  <c r="H63" i="5"/>
  <c r="K63" i="5"/>
  <c r="A64" i="5"/>
  <c r="B64" i="5"/>
  <c r="C64" i="5"/>
  <c r="D64" i="5"/>
  <c r="E64" i="5"/>
  <c r="H64" i="5"/>
  <c r="K64" i="5"/>
  <c r="A65" i="5"/>
  <c r="B65" i="5"/>
  <c r="C65" i="5"/>
  <c r="D65" i="5"/>
  <c r="E65" i="5"/>
  <c r="H65" i="5"/>
  <c r="K65" i="5"/>
  <c r="A66" i="5"/>
  <c r="B66" i="5"/>
  <c r="C66" i="5"/>
  <c r="D66" i="5"/>
  <c r="E66" i="5"/>
  <c r="H66" i="5"/>
  <c r="K66" i="5"/>
  <c r="A67" i="5"/>
  <c r="B67" i="5"/>
  <c r="C67" i="5"/>
  <c r="D67" i="5"/>
  <c r="E67" i="5"/>
  <c r="H67" i="5"/>
  <c r="K67" i="5"/>
  <c r="A68" i="5"/>
  <c r="B68" i="5"/>
  <c r="C68" i="5"/>
  <c r="D68" i="5"/>
  <c r="E68" i="5"/>
  <c r="H68" i="5"/>
  <c r="K68" i="5"/>
  <c r="A69" i="5"/>
  <c r="B69" i="5"/>
  <c r="C69" i="5"/>
  <c r="D69" i="5"/>
  <c r="E69" i="5"/>
  <c r="H69" i="5"/>
  <c r="K69" i="5"/>
  <c r="A70" i="5"/>
  <c r="B70" i="5"/>
  <c r="C70" i="5"/>
  <c r="D70" i="5"/>
  <c r="E70" i="5"/>
  <c r="H70" i="5"/>
  <c r="K70" i="5"/>
  <c r="A71" i="5"/>
  <c r="B71" i="5"/>
  <c r="C71" i="5"/>
  <c r="D71" i="5"/>
  <c r="E71" i="5"/>
  <c r="H71" i="5"/>
  <c r="K71" i="5"/>
  <c r="A72" i="5"/>
  <c r="B72" i="5"/>
  <c r="C72" i="5"/>
  <c r="D72" i="5"/>
  <c r="E72" i="5"/>
  <c r="H72" i="5"/>
  <c r="K72" i="5"/>
  <c r="A73" i="5"/>
  <c r="B73" i="5"/>
  <c r="C73" i="5"/>
  <c r="D73" i="5"/>
  <c r="E73" i="5"/>
  <c r="H73" i="5"/>
  <c r="K73" i="5"/>
  <c r="A74" i="5"/>
  <c r="B74" i="5"/>
  <c r="C74" i="5"/>
  <c r="D74" i="5"/>
  <c r="E74" i="5"/>
  <c r="H74" i="5"/>
  <c r="K74" i="5"/>
  <c r="A75" i="5"/>
  <c r="B75" i="5"/>
  <c r="C75" i="5"/>
  <c r="D75" i="5"/>
  <c r="E75" i="5"/>
  <c r="H75" i="5"/>
  <c r="K75" i="5"/>
  <c r="A76" i="5"/>
  <c r="B76" i="5"/>
  <c r="C76" i="5"/>
  <c r="D76" i="5"/>
  <c r="E76" i="5"/>
  <c r="H76" i="5"/>
  <c r="K76" i="5"/>
  <c r="A77" i="5"/>
  <c r="B77" i="5"/>
  <c r="C77" i="5"/>
  <c r="D77" i="5"/>
  <c r="E77" i="5"/>
  <c r="H77" i="5"/>
  <c r="K77" i="5"/>
  <c r="A78" i="5"/>
  <c r="B78" i="5"/>
  <c r="C78" i="5"/>
  <c r="D78" i="5"/>
  <c r="E78" i="5"/>
  <c r="H78" i="5"/>
  <c r="K78" i="5"/>
  <c r="A79" i="5"/>
  <c r="B79" i="5"/>
  <c r="C79" i="5"/>
  <c r="D79" i="5"/>
  <c r="E79" i="5"/>
  <c r="H79" i="5"/>
  <c r="K79" i="5"/>
  <c r="A80" i="5"/>
  <c r="B80" i="5"/>
  <c r="C80" i="5"/>
  <c r="D80" i="5"/>
  <c r="E80" i="5"/>
  <c r="H80" i="5"/>
  <c r="K80" i="5"/>
  <c r="A81" i="5"/>
  <c r="B81" i="5"/>
  <c r="C81" i="5"/>
  <c r="D81" i="5"/>
  <c r="E81" i="5"/>
  <c r="H81" i="5"/>
  <c r="K81" i="5"/>
  <c r="A82" i="5"/>
  <c r="B82" i="5"/>
  <c r="C82" i="5"/>
  <c r="D82" i="5"/>
  <c r="E82" i="5"/>
  <c r="H82" i="5"/>
  <c r="K82" i="5"/>
  <c r="A83" i="5"/>
  <c r="B83" i="5"/>
  <c r="C83" i="5"/>
  <c r="D83" i="5"/>
  <c r="E83" i="5"/>
  <c r="H83" i="5"/>
  <c r="K83" i="5"/>
  <c r="A84" i="5"/>
  <c r="B84" i="5"/>
  <c r="C84" i="5"/>
  <c r="D84" i="5"/>
  <c r="E84" i="5"/>
  <c r="H84" i="5"/>
  <c r="K84" i="5"/>
  <c r="A85" i="5"/>
  <c r="B85" i="5"/>
  <c r="C85" i="5"/>
  <c r="D85" i="5"/>
  <c r="E85" i="5"/>
  <c r="H85" i="5"/>
  <c r="K85" i="5"/>
  <c r="A86" i="5"/>
  <c r="B86" i="5"/>
  <c r="C86" i="5"/>
  <c r="D86" i="5"/>
  <c r="E86" i="5"/>
  <c r="H86" i="5"/>
  <c r="K86" i="5"/>
  <c r="A87" i="5"/>
  <c r="B87" i="5"/>
  <c r="C87" i="5"/>
  <c r="D87" i="5"/>
  <c r="E87" i="5"/>
  <c r="H87" i="5"/>
  <c r="K87" i="5"/>
  <c r="A88" i="5"/>
  <c r="B88" i="5"/>
  <c r="C88" i="5"/>
  <c r="D88" i="5"/>
  <c r="E88" i="5"/>
  <c r="H88" i="5"/>
  <c r="K88" i="5"/>
  <c r="A89" i="5"/>
  <c r="B89" i="5"/>
  <c r="C89" i="5"/>
  <c r="D89" i="5"/>
  <c r="E89" i="5"/>
  <c r="H89" i="5"/>
  <c r="K89" i="5"/>
  <c r="A90" i="5"/>
  <c r="B90" i="5"/>
  <c r="C90" i="5"/>
  <c r="D90" i="5"/>
  <c r="E90" i="5"/>
  <c r="H90" i="5"/>
  <c r="K90" i="5"/>
  <c r="A91" i="5"/>
  <c r="B91" i="5"/>
  <c r="C91" i="5"/>
  <c r="D91" i="5"/>
  <c r="E91" i="5"/>
  <c r="H91" i="5"/>
  <c r="K91" i="5"/>
  <c r="A92" i="5"/>
  <c r="B92" i="5"/>
  <c r="C92" i="5"/>
  <c r="D92" i="5"/>
  <c r="E92" i="5"/>
  <c r="H92" i="5"/>
  <c r="K92" i="5"/>
  <c r="A93" i="5"/>
  <c r="B93" i="5"/>
  <c r="C93" i="5"/>
  <c r="D93" i="5"/>
  <c r="E93" i="5"/>
  <c r="H93" i="5"/>
  <c r="K93" i="5"/>
  <c r="A94" i="5"/>
  <c r="B94" i="5"/>
  <c r="C94" i="5"/>
  <c r="D94" i="5"/>
  <c r="E94" i="5"/>
  <c r="H94" i="5"/>
  <c r="K94" i="5"/>
  <c r="A95" i="5"/>
  <c r="B95" i="5"/>
  <c r="C95" i="5"/>
  <c r="D95" i="5"/>
  <c r="E95" i="5"/>
  <c r="H95" i="5"/>
  <c r="K95" i="5"/>
  <c r="A96" i="5"/>
  <c r="B96" i="5"/>
  <c r="C96" i="5"/>
  <c r="D96" i="5"/>
  <c r="E96" i="5"/>
  <c r="H96" i="5"/>
  <c r="K96" i="5"/>
  <c r="A97" i="5"/>
  <c r="B97" i="5"/>
  <c r="C97" i="5"/>
  <c r="D97" i="5"/>
  <c r="E97" i="5"/>
  <c r="H97" i="5"/>
  <c r="K97" i="5"/>
  <c r="A98" i="5"/>
  <c r="B98" i="5"/>
  <c r="C98" i="5"/>
  <c r="D98" i="5"/>
  <c r="E98" i="5"/>
  <c r="H98" i="5"/>
  <c r="K98" i="5"/>
  <c r="A99" i="5"/>
  <c r="B99" i="5"/>
  <c r="C99" i="5"/>
  <c r="D99" i="5"/>
  <c r="E99" i="5"/>
  <c r="H99" i="5"/>
  <c r="K99" i="5"/>
  <c r="A100" i="5"/>
  <c r="B100" i="5"/>
  <c r="C100" i="5"/>
  <c r="D100" i="5"/>
  <c r="E100" i="5"/>
  <c r="H100" i="5"/>
  <c r="K100" i="5"/>
  <c r="A101" i="5"/>
  <c r="B101" i="5"/>
  <c r="C101" i="5"/>
  <c r="D101" i="5"/>
  <c r="E101" i="5"/>
  <c r="H101" i="5"/>
  <c r="K101" i="5"/>
  <c r="A102" i="5"/>
  <c r="B102" i="5"/>
  <c r="C102" i="5"/>
  <c r="D102" i="5"/>
  <c r="E102" i="5"/>
  <c r="H102" i="5"/>
  <c r="K102" i="5"/>
  <c r="A103" i="5"/>
  <c r="B103" i="5"/>
  <c r="C103" i="5"/>
  <c r="D103" i="5"/>
  <c r="E103" i="5"/>
  <c r="H103" i="5"/>
  <c r="K103" i="5"/>
  <c r="A104" i="5"/>
  <c r="B104" i="5"/>
  <c r="C104" i="5"/>
  <c r="D104" i="5"/>
  <c r="E104" i="5"/>
  <c r="H104" i="5"/>
  <c r="K104" i="5"/>
  <c r="A105" i="5"/>
  <c r="B105" i="5"/>
  <c r="C105" i="5"/>
  <c r="D105" i="5"/>
  <c r="E105" i="5"/>
  <c r="H105" i="5"/>
  <c r="K105" i="5"/>
  <c r="A106" i="5"/>
  <c r="B106" i="5"/>
  <c r="C106" i="5"/>
  <c r="D106" i="5"/>
  <c r="E106" i="5"/>
  <c r="H106" i="5"/>
  <c r="K106" i="5"/>
  <c r="A107" i="5"/>
  <c r="B107" i="5"/>
  <c r="C107" i="5"/>
  <c r="D107" i="5"/>
  <c r="E107" i="5"/>
  <c r="H107" i="5"/>
  <c r="K107" i="5"/>
  <c r="A108" i="5"/>
  <c r="B108" i="5"/>
  <c r="C108" i="5"/>
  <c r="D108" i="5"/>
  <c r="E108" i="5"/>
  <c r="H108" i="5"/>
  <c r="K108" i="5"/>
  <c r="A109" i="5"/>
  <c r="B109" i="5"/>
  <c r="C109" i="5"/>
  <c r="D109" i="5"/>
  <c r="E109" i="5"/>
  <c r="H109" i="5"/>
  <c r="K109" i="5"/>
  <c r="A110" i="5"/>
  <c r="B110" i="5"/>
  <c r="C110" i="5"/>
  <c r="D110" i="5"/>
  <c r="E110" i="5"/>
  <c r="H110" i="5"/>
  <c r="K110" i="5"/>
  <c r="A111" i="5"/>
  <c r="B111" i="5"/>
  <c r="C111" i="5"/>
  <c r="D111" i="5"/>
  <c r="E111" i="5"/>
  <c r="H111" i="5"/>
  <c r="K111" i="5"/>
  <c r="A112" i="5"/>
  <c r="B112" i="5"/>
  <c r="C112" i="5"/>
  <c r="D112" i="5"/>
  <c r="E112" i="5"/>
  <c r="H112" i="5"/>
  <c r="K112" i="5"/>
  <c r="A113" i="5"/>
  <c r="B113" i="5"/>
  <c r="C113" i="5"/>
  <c r="D113" i="5"/>
  <c r="E113" i="5"/>
  <c r="H113" i="5"/>
  <c r="K113" i="5"/>
  <c r="A114" i="5"/>
  <c r="B114" i="5"/>
  <c r="C114" i="5"/>
  <c r="D114" i="5"/>
  <c r="E114" i="5"/>
  <c r="H114" i="5"/>
  <c r="K114" i="5"/>
  <c r="A115" i="5"/>
  <c r="B115" i="5"/>
  <c r="C115" i="5"/>
  <c r="D115" i="5"/>
  <c r="E115" i="5"/>
  <c r="H115" i="5"/>
  <c r="K115" i="5"/>
  <c r="A116" i="5"/>
  <c r="B116" i="5"/>
  <c r="C116" i="5"/>
  <c r="D116" i="5"/>
  <c r="E116" i="5"/>
  <c r="H116" i="5"/>
  <c r="K116" i="5"/>
  <c r="A117" i="5"/>
  <c r="B117" i="5"/>
  <c r="C117" i="5"/>
  <c r="D117" i="5"/>
  <c r="E117" i="5"/>
  <c r="H117" i="5"/>
  <c r="K117" i="5"/>
  <c r="A118" i="5"/>
  <c r="B118" i="5"/>
  <c r="C118" i="5"/>
  <c r="D118" i="5"/>
  <c r="E118" i="5"/>
  <c r="H118" i="5"/>
  <c r="K118" i="5"/>
  <c r="A119" i="5"/>
  <c r="B119" i="5"/>
  <c r="C119" i="5"/>
  <c r="D119" i="5"/>
  <c r="E119" i="5"/>
  <c r="H119" i="5"/>
  <c r="K119" i="5"/>
  <c r="A120" i="5"/>
  <c r="B120" i="5"/>
  <c r="C120" i="5"/>
  <c r="D120" i="5"/>
  <c r="E120" i="5"/>
  <c r="H120" i="5"/>
  <c r="K120" i="5"/>
  <c r="A121" i="5"/>
  <c r="B121" i="5"/>
  <c r="C121" i="5"/>
  <c r="D121" i="5"/>
  <c r="E121" i="5"/>
  <c r="H121" i="5"/>
  <c r="K121" i="5"/>
  <c r="A122" i="5"/>
  <c r="B122" i="5"/>
  <c r="C122" i="5"/>
  <c r="D122" i="5"/>
  <c r="E122" i="5"/>
  <c r="H122" i="5"/>
  <c r="K122" i="5"/>
  <c r="A123" i="5"/>
  <c r="B123" i="5"/>
  <c r="C123" i="5"/>
  <c r="D123" i="5"/>
  <c r="E123" i="5"/>
  <c r="H123" i="5"/>
  <c r="K123" i="5"/>
  <c r="A124" i="5"/>
  <c r="B124" i="5"/>
  <c r="C124" i="5"/>
  <c r="D124" i="5"/>
  <c r="E124" i="5"/>
  <c r="H124" i="5"/>
  <c r="K124" i="5"/>
  <c r="A125" i="5"/>
  <c r="B125" i="5"/>
  <c r="C125" i="5"/>
  <c r="D125" i="5"/>
  <c r="E125" i="5"/>
  <c r="H125" i="5"/>
  <c r="K125" i="5"/>
  <c r="A126" i="5"/>
  <c r="B126" i="5"/>
  <c r="C126" i="5"/>
  <c r="D126" i="5"/>
  <c r="E126" i="5"/>
  <c r="H126" i="5"/>
  <c r="K126" i="5"/>
  <c r="A127" i="5"/>
  <c r="B127" i="5"/>
  <c r="C127" i="5"/>
  <c r="D127" i="5"/>
  <c r="E127" i="5"/>
  <c r="H127" i="5"/>
  <c r="K127" i="5"/>
  <c r="A128" i="5"/>
  <c r="B128" i="5"/>
  <c r="C128" i="5"/>
  <c r="D128" i="5"/>
  <c r="E128" i="5"/>
  <c r="H128" i="5"/>
  <c r="K128" i="5"/>
  <c r="A129" i="5"/>
  <c r="B129" i="5"/>
  <c r="C129" i="5"/>
  <c r="D129" i="5"/>
  <c r="E129" i="5"/>
  <c r="H129" i="5"/>
  <c r="K129" i="5"/>
  <c r="A130" i="5"/>
  <c r="B130" i="5"/>
  <c r="C130" i="5"/>
  <c r="D130" i="5"/>
  <c r="E130" i="5"/>
  <c r="H130" i="5"/>
  <c r="K130" i="5"/>
  <c r="A131" i="5"/>
  <c r="B131" i="5"/>
  <c r="C131" i="5"/>
  <c r="D131" i="5"/>
  <c r="E131" i="5"/>
  <c r="H131" i="5"/>
  <c r="K131" i="5"/>
  <c r="A132" i="5"/>
  <c r="B132" i="5"/>
  <c r="C132" i="5"/>
  <c r="D132" i="5"/>
  <c r="E132" i="5"/>
  <c r="H132" i="5"/>
  <c r="K132" i="5"/>
  <c r="A133" i="5"/>
  <c r="B133" i="5"/>
  <c r="C133" i="5"/>
  <c r="D133" i="5"/>
  <c r="E133" i="5"/>
  <c r="H133" i="5"/>
  <c r="K133" i="5"/>
  <c r="A134" i="5"/>
  <c r="B134" i="5"/>
  <c r="C134" i="5"/>
  <c r="D134" i="5"/>
  <c r="E134" i="5"/>
  <c r="H134" i="5"/>
  <c r="K134" i="5"/>
  <c r="A135" i="5"/>
  <c r="B135" i="5"/>
  <c r="C135" i="5"/>
  <c r="D135" i="5"/>
  <c r="E135" i="5"/>
  <c r="H135" i="5"/>
  <c r="K135" i="5"/>
  <c r="A136" i="5"/>
  <c r="B136" i="5"/>
  <c r="C136" i="5"/>
  <c r="D136" i="5"/>
  <c r="E136" i="5"/>
  <c r="H136" i="5"/>
  <c r="K136" i="5"/>
  <c r="A137" i="5"/>
  <c r="B137" i="5"/>
  <c r="C137" i="5"/>
  <c r="D137" i="5"/>
  <c r="E137" i="5"/>
  <c r="H137" i="5"/>
  <c r="K137" i="5"/>
  <c r="A138" i="5"/>
  <c r="B138" i="5"/>
  <c r="C138" i="5"/>
  <c r="D138" i="5"/>
  <c r="E138" i="5"/>
  <c r="H138" i="5"/>
  <c r="K138" i="5"/>
  <c r="A139" i="5"/>
  <c r="B139" i="5"/>
  <c r="C139" i="5"/>
  <c r="D139" i="5"/>
  <c r="E139" i="5"/>
  <c r="H139" i="5"/>
  <c r="K139" i="5"/>
  <c r="A140" i="5"/>
  <c r="B140" i="5"/>
  <c r="C140" i="5"/>
  <c r="D140" i="5"/>
  <c r="E140" i="5"/>
  <c r="H140" i="5"/>
  <c r="K140" i="5"/>
  <c r="A141" i="5"/>
  <c r="B141" i="5"/>
  <c r="C141" i="5"/>
  <c r="D141" i="5"/>
  <c r="E141" i="5"/>
  <c r="H141" i="5"/>
  <c r="K141" i="5"/>
  <c r="A142" i="5"/>
  <c r="B142" i="5"/>
  <c r="C142" i="5"/>
  <c r="D142" i="5"/>
  <c r="E142" i="5"/>
  <c r="H142" i="5"/>
  <c r="K142" i="5"/>
  <c r="A143" i="5"/>
  <c r="B143" i="5"/>
  <c r="C143" i="5"/>
  <c r="D143" i="5"/>
  <c r="E143" i="5"/>
  <c r="H143" i="5"/>
  <c r="K143" i="5"/>
  <c r="A144" i="5"/>
  <c r="B144" i="5"/>
  <c r="C144" i="5"/>
  <c r="D144" i="5"/>
  <c r="E144" i="5"/>
  <c r="H144" i="5"/>
  <c r="K144" i="5"/>
  <c r="A145" i="5"/>
  <c r="B145" i="5"/>
  <c r="C145" i="5"/>
  <c r="D145" i="5"/>
  <c r="E145" i="5"/>
  <c r="H145" i="5"/>
  <c r="K145" i="5"/>
  <c r="A146" i="5"/>
  <c r="B146" i="5"/>
  <c r="C146" i="5"/>
  <c r="D146" i="5"/>
  <c r="E146" i="5"/>
  <c r="H146" i="5"/>
  <c r="K146" i="5"/>
  <c r="A147" i="5"/>
  <c r="B147" i="5"/>
  <c r="C147" i="5"/>
  <c r="D147" i="5"/>
  <c r="E147" i="5"/>
  <c r="H147" i="5"/>
  <c r="K147" i="5"/>
  <c r="A148" i="5"/>
  <c r="B148" i="5"/>
  <c r="C148" i="5"/>
  <c r="D148" i="5"/>
  <c r="E148" i="5"/>
  <c r="H148" i="5"/>
  <c r="K148" i="5"/>
  <c r="A149" i="5"/>
  <c r="B149" i="5"/>
  <c r="C149" i="5"/>
  <c r="D149" i="5"/>
  <c r="E149" i="5"/>
  <c r="H149" i="5"/>
  <c r="K149" i="5"/>
  <c r="A150" i="5"/>
  <c r="B150" i="5"/>
  <c r="C150" i="5"/>
  <c r="D150" i="5"/>
  <c r="E150" i="5"/>
  <c r="H150" i="5"/>
  <c r="K150" i="5"/>
  <c r="A151" i="5"/>
  <c r="B151" i="5"/>
  <c r="C151" i="5"/>
  <c r="D151" i="5"/>
  <c r="E151" i="5"/>
  <c r="H151" i="5"/>
  <c r="K151" i="5"/>
  <c r="A152" i="5"/>
  <c r="B152" i="5"/>
  <c r="C152" i="5"/>
  <c r="D152" i="5"/>
  <c r="E152" i="5"/>
  <c r="H152" i="5"/>
  <c r="K152" i="5"/>
  <c r="A153" i="5"/>
  <c r="B153" i="5"/>
  <c r="C153" i="5"/>
  <c r="D153" i="5"/>
  <c r="E153" i="5"/>
  <c r="H153" i="5"/>
  <c r="K153" i="5"/>
  <c r="A154" i="5"/>
  <c r="B154" i="5"/>
  <c r="C154" i="5"/>
  <c r="D154" i="5"/>
  <c r="E154" i="5"/>
  <c r="H154" i="5"/>
  <c r="K154" i="5"/>
  <c r="A155" i="5"/>
  <c r="B155" i="5"/>
  <c r="C155" i="5"/>
  <c r="D155" i="5"/>
  <c r="E155" i="5"/>
  <c r="H155" i="5"/>
  <c r="K155" i="5"/>
  <c r="A156" i="5"/>
  <c r="B156" i="5"/>
  <c r="C156" i="5"/>
  <c r="D156" i="5"/>
  <c r="E156" i="5"/>
  <c r="H156" i="5"/>
  <c r="K156" i="5"/>
  <c r="A157" i="5"/>
  <c r="B157" i="5"/>
  <c r="C157" i="5"/>
  <c r="D157" i="5"/>
  <c r="E157" i="5"/>
  <c r="H157" i="5"/>
  <c r="K157" i="5"/>
  <c r="A158" i="5"/>
  <c r="B158" i="5"/>
  <c r="C158" i="5"/>
  <c r="D158" i="5"/>
  <c r="E158" i="5"/>
  <c r="H158" i="5"/>
  <c r="K158" i="5"/>
  <c r="A159" i="5"/>
  <c r="B159" i="5"/>
  <c r="C159" i="5"/>
  <c r="D159" i="5"/>
  <c r="E159" i="5"/>
  <c r="H159" i="5"/>
  <c r="K159" i="5"/>
  <c r="A160" i="5"/>
  <c r="B160" i="5"/>
  <c r="C160" i="5"/>
  <c r="D160" i="5"/>
  <c r="E160" i="5"/>
  <c r="H160" i="5"/>
  <c r="K160" i="5"/>
  <c r="A161" i="5"/>
  <c r="B161" i="5"/>
  <c r="C161" i="5"/>
  <c r="D161" i="5"/>
  <c r="E161" i="5"/>
  <c r="H161" i="5"/>
  <c r="K161" i="5"/>
  <c r="A162" i="5"/>
  <c r="B162" i="5"/>
  <c r="C162" i="5"/>
  <c r="D162" i="5"/>
  <c r="E162" i="5"/>
  <c r="H162" i="5"/>
  <c r="K162" i="5"/>
  <c r="A163" i="5"/>
  <c r="B163" i="5"/>
  <c r="C163" i="5"/>
  <c r="D163" i="5"/>
  <c r="E163" i="5"/>
  <c r="H163" i="5"/>
  <c r="K163" i="5"/>
  <c r="A164" i="5"/>
  <c r="B164" i="5"/>
  <c r="C164" i="5"/>
  <c r="D164" i="5"/>
  <c r="E164" i="5"/>
  <c r="H164" i="5"/>
  <c r="K164" i="5"/>
  <c r="A165" i="5"/>
  <c r="B165" i="5"/>
  <c r="C165" i="5"/>
  <c r="D165" i="5"/>
  <c r="E165" i="5"/>
  <c r="H165" i="5"/>
  <c r="K165" i="5"/>
  <c r="A166" i="5"/>
  <c r="B166" i="5"/>
  <c r="C166" i="5"/>
  <c r="D166" i="5"/>
  <c r="E166" i="5"/>
  <c r="H166" i="5"/>
  <c r="K166" i="5"/>
  <c r="A167" i="5"/>
  <c r="B167" i="5"/>
  <c r="C167" i="5"/>
  <c r="D167" i="5"/>
  <c r="E167" i="5"/>
  <c r="H167" i="5"/>
  <c r="K167" i="5"/>
  <c r="A168" i="5"/>
  <c r="B168" i="5"/>
  <c r="C168" i="5"/>
  <c r="D168" i="5"/>
  <c r="E168" i="5"/>
  <c r="H168" i="5"/>
  <c r="K168" i="5"/>
  <c r="A169" i="5"/>
  <c r="B169" i="5"/>
  <c r="C169" i="5"/>
  <c r="D169" i="5"/>
  <c r="E169" i="5"/>
  <c r="H169" i="5"/>
  <c r="K169" i="5"/>
  <c r="A170" i="5"/>
  <c r="B170" i="5"/>
  <c r="C170" i="5"/>
  <c r="D170" i="5"/>
  <c r="E170" i="5"/>
  <c r="H170" i="5"/>
  <c r="K170" i="5"/>
  <c r="A171" i="5"/>
  <c r="B171" i="5"/>
  <c r="C171" i="5"/>
  <c r="D171" i="5"/>
  <c r="E171" i="5"/>
  <c r="H171" i="5"/>
  <c r="K171" i="5"/>
  <c r="A172" i="5"/>
  <c r="B172" i="5"/>
  <c r="C172" i="5"/>
  <c r="D172" i="5"/>
  <c r="E172" i="5"/>
  <c r="H172" i="5"/>
  <c r="K172" i="5"/>
  <c r="A173" i="5"/>
  <c r="B173" i="5"/>
  <c r="C173" i="5"/>
  <c r="D173" i="5"/>
  <c r="E173" i="5"/>
  <c r="H173" i="5"/>
  <c r="K173" i="5"/>
  <c r="A174" i="5"/>
  <c r="B174" i="5"/>
  <c r="C174" i="5"/>
  <c r="D174" i="5"/>
  <c r="E174" i="5"/>
  <c r="H174" i="5"/>
  <c r="K174" i="5"/>
  <c r="A175" i="5"/>
  <c r="B175" i="5"/>
  <c r="C175" i="5"/>
  <c r="D175" i="5"/>
  <c r="E175" i="5"/>
  <c r="H175" i="5"/>
  <c r="K175" i="5"/>
  <c r="A176" i="5"/>
  <c r="B176" i="5"/>
  <c r="C176" i="5"/>
  <c r="D176" i="5"/>
  <c r="E176" i="5"/>
  <c r="H176" i="5"/>
  <c r="K176" i="5"/>
  <c r="A177" i="5"/>
  <c r="B177" i="5"/>
  <c r="C177" i="5"/>
  <c r="D177" i="5"/>
  <c r="E177" i="5"/>
  <c r="H177" i="5"/>
  <c r="K177" i="5"/>
  <c r="A178" i="5"/>
  <c r="B178" i="5"/>
  <c r="C178" i="5"/>
  <c r="D178" i="5"/>
  <c r="E178" i="5"/>
  <c r="H178" i="5"/>
  <c r="K178" i="5"/>
  <c r="A179" i="5"/>
  <c r="B179" i="5"/>
  <c r="C179" i="5"/>
  <c r="D179" i="5"/>
  <c r="E179" i="5"/>
  <c r="H179" i="5"/>
  <c r="K179" i="5"/>
  <c r="A180" i="5"/>
  <c r="B180" i="5"/>
  <c r="C180" i="5"/>
  <c r="D180" i="5"/>
  <c r="E180" i="5"/>
  <c r="H180" i="5"/>
  <c r="K180" i="5"/>
  <c r="A181" i="5"/>
  <c r="B181" i="5"/>
  <c r="C181" i="5"/>
  <c r="D181" i="5"/>
  <c r="E181" i="5"/>
  <c r="H181" i="5"/>
  <c r="K181" i="5"/>
  <c r="A182" i="5"/>
  <c r="B182" i="5"/>
  <c r="C182" i="5"/>
  <c r="D182" i="5"/>
  <c r="E182" i="5"/>
  <c r="H182" i="5"/>
  <c r="K182" i="5"/>
  <c r="A183" i="5"/>
  <c r="B183" i="5"/>
  <c r="C183" i="5"/>
  <c r="D183" i="5"/>
  <c r="E183" i="5"/>
  <c r="H183" i="5"/>
  <c r="K183" i="5"/>
  <c r="A184" i="5"/>
  <c r="B184" i="5"/>
  <c r="C184" i="5"/>
  <c r="D184" i="5"/>
  <c r="E184" i="5"/>
  <c r="H184" i="5"/>
  <c r="K184" i="5"/>
  <c r="A185" i="5"/>
  <c r="B185" i="5"/>
  <c r="C185" i="5"/>
  <c r="D185" i="5"/>
  <c r="E185" i="5"/>
  <c r="H185" i="5"/>
  <c r="K185" i="5"/>
  <c r="A186" i="5"/>
  <c r="B186" i="5"/>
  <c r="C186" i="5"/>
  <c r="D186" i="5"/>
  <c r="E186" i="5"/>
  <c r="H186" i="5"/>
  <c r="K186" i="5"/>
  <c r="A187" i="5"/>
  <c r="B187" i="5"/>
  <c r="C187" i="5"/>
  <c r="D187" i="5"/>
  <c r="E187" i="5"/>
  <c r="H187" i="5"/>
  <c r="K187" i="5"/>
  <c r="A188" i="5"/>
  <c r="B188" i="5"/>
  <c r="C188" i="5"/>
  <c r="D188" i="5"/>
  <c r="E188" i="5"/>
  <c r="H188" i="5"/>
  <c r="K188" i="5"/>
  <c r="A189" i="5"/>
  <c r="B189" i="5"/>
  <c r="C189" i="5"/>
  <c r="D189" i="5"/>
  <c r="E189" i="5"/>
  <c r="H189" i="5"/>
  <c r="K189" i="5"/>
  <c r="A190" i="5"/>
  <c r="B190" i="5"/>
  <c r="C190" i="5"/>
  <c r="D190" i="5"/>
  <c r="E190" i="5"/>
  <c r="H190" i="5"/>
  <c r="K190" i="5"/>
  <c r="A191" i="5"/>
  <c r="B191" i="5"/>
  <c r="C191" i="5"/>
  <c r="D191" i="5"/>
  <c r="E191" i="5"/>
  <c r="H191" i="5"/>
  <c r="K191" i="5"/>
  <c r="A192" i="5"/>
  <c r="B192" i="5"/>
  <c r="C192" i="5"/>
  <c r="D192" i="5"/>
  <c r="E192" i="5"/>
  <c r="H192" i="5"/>
  <c r="K192" i="5"/>
  <c r="A193" i="5"/>
  <c r="B193" i="5"/>
  <c r="C193" i="5"/>
  <c r="D193" i="5"/>
  <c r="E193" i="5"/>
  <c r="H193" i="5"/>
  <c r="K193" i="5"/>
  <c r="A194" i="5"/>
  <c r="B194" i="5"/>
  <c r="C194" i="5"/>
  <c r="D194" i="5"/>
  <c r="E194" i="5"/>
  <c r="H194" i="5"/>
  <c r="K194" i="5"/>
  <c r="A195" i="5"/>
  <c r="B195" i="5"/>
  <c r="C195" i="5"/>
  <c r="D195" i="5"/>
  <c r="E195" i="5"/>
  <c r="H195" i="5"/>
  <c r="K195" i="5"/>
  <c r="A196" i="5"/>
  <c r="B196" i="5"/>
  <c r="C196" i="5"/>
  <c r="D196" i="5"/>
  <c r="E196" i="5"/>
  <c r="H196" i="5"/>
  <c r="K196" i="5"/>
  <c r="A197" i="5"/>
  <c r="B197" i="5"/>
  <c r="C197" i="5"/>
  <c r="D197" i="5"/>
  <c r="E197" i="5"/>
  <c r="H197" i="5"/>
  <c r="K197" i="5"/>
  <c r="A198" i="5"/>
  <c r="B198" i="5"/>
  <c r="C198" i="5"/>
  <c r="D198" i="5"/>
  <c r="E198" i="5"/>
  <c r="H198" i="5"/>
  <c r="K198" i="5"/>
  <c r="A199" i="5"/>
  <c r="B199" i="5"/>
  <c r="C199" i="5"/>
  <c r="D199" i="5"/>
  <c r="E199" i="5"/>
  <c r="H199" i="5"/>
  <c r="K199" i="5"/>
  <c r="A200" i="5"/>
  <c r="B200" i="5"/>
  <c r="C200" i="5"/>
  <c r="D200" i="5"/>
  <c r="E200" i="5"/>
  <c r="H200" i="5"/>
  <c r="K200" i="5"/>
  <c r="A3" i="11"/>
  <c r="B3" i="11"/>
  <c r="C3" i="11"/>
  <c r="D3" i="11"/>
  <c r="E3" i="11"/>
  <c r="F3" i="11"/>
  <c r="G3" i="11"/>
  <c r="H3" i="11"/>
  <c r="A4" i="11"/>
  <c r="B4" i="11" s="1"/>
  <c r="E4" i="11"/>
  <c r="H4" i="11"/>
  <c r="A5" i="11"/>
  <c r="B5" i="11"/>
  <c r="C5" i="11"/>
  <c r="D5" i="11"/>
  <c r="A6" i="11"/>
  <c r="B6" i="11" s="1"/>
  <c r="A7" i="11"/>
  <c r="B7" i="11"/>
  <c r="C7" i="11"/>
  <c r="D7" i="11" s="1"/>
  <c r="E7" i="11"/>
  <c r="H7" i="11"/>
  <c r="A8" i="11"/>
  <c r="B8" i="11"/>
  <c r="C8" i="11"/>
  <c r="D8" i="11"/>
  <c r="E8" i="11"/>
  <c r="F8" i="11"/>
  <c r="G8" i="11"/>
  <c r="H8" i="11"/>
  <c r="A9" i="11"/>
  <c r="B9" i="11" s="1"/>
  <c r="E9" i="11"/>
  <c r="H9" i="11"/>
  <c r="A10" i="11"/>
  <c r="B10" i="11"/>
  <c r="A11" i="11"/>
  <c r="B11" i="11" s="1"/>
  <c r="A12" i="11"/>
  <c r="B12" i="11"/>
  <c r="C12" i="11"/>
  <c r="D12" i="11"/>
  <c r="E12" i="11"/>
  <c r="F12" i="11"/>
  <c r="G12" i="11"/>
  <c r="H12" i="11"/>
  <c r="A13" i="11"/>
  <c r="B13" i="11"/>
  <c r="C13" i="11"/>
  <c r="D13" i="11"/>
  <c r="E13" i="11"/>
  <c r="F13" i="11"/>
  <c r="G13" i="11"/>
  <c r="H13" i="11"/>
  <c r="A14" i="11"/>
  <c r="B14" i="11" s="1"/>
  <c r="E14" i="11"/>
  <c r="H14" i="11"/>
  <c r="A15" i="11"/>
  <c r="B15" i="11" s="1"/>
  <c r="C15" i="11"/>
  <c r="D15" i="11" s="1"/>
  <c r="A16" i="11"/>
  <c r="B16" i="11" s="1"/>
  <c r="A17" i="11"/>
  <c r="B17" i="11"/>
  <c r="C17" i="11"/>
  <c r="D17" i="11"/>
  <c r="E17" i="11"/>
  <c r="F17" i="11"/>
  <c r="G17" i="11"/>
  <c r="H17" i="11"/>
  <c r="A18" i="11"/>
  <c r="B18" i="11"/>
  <c r="C18" i="11"/>
  <c r="D18" i="11"/>
  <c r="E18" i="11"/>
  <c r="F18" i="11"/>
  <c r="G18" i="11"/>
  <c r="H18" i="11"/>
  <c r="A19" i="11"/>
  <c r="B19" i="11" s="1"/>
  <c r="E19" i="11"/>
  <c r="H19" i="11"/>
  <c r="A20" i="11"/>
  <c r="B20" i="11" s="1"/>
  <c r="A21" i="11"/>
  <c r="B21" i="11" s="1"/>
  <c r="A22" i="11"/>
  <c r="B22" i="11"/>
  <c r="C22" i="11"/>
  <c r="G22" i="11" s="1"/>
  <c r="D22" i="11"/>
  <c r="E22" i="11"/>
  <c r="F22" i="11"/>
  <c r="H22" i="11"/>
  <c r="A23" i="11"/>
  <c r="B23" i="11"/>
  <c r="C23" i="11"/>
  <c r="D23" i="11"/>
  <c r="E23" i="11"/>
  <c r="F23" i="11"/>
  <c r="G23" i="11"/>
  <c r="H23" i="11"/>
  <c r="A24" i="11"/>
  <c r="B24" i="11" s="1"/>
  <c r="E24" i="11"/>
  <c r="H24" i="11"/>
  <c r="A25" i="11"/>
  <c r="B25" i="11"/>
  <c r="C25" i="11"/>
  <c r="D25" i="11"/>
  <c r="A26" i="11"/>
  <c r="B26" i="11" s="1"/>
  <c r="A27" i="11"/>
  <c r="B27" i="11"/>
  <c r="C27" i="11"/>
  <c r="D27" i="11"/>
  <c r="E27" i="11"/>
  <c r="F27" i="11"/>
  <c r="G27" i="11"/>
  <c r="H27" i="11"/>
  <c r="A28" i="11"/>
  <c r="B28" i="11"/>
  <c r="C28" i="11"/>
  <c r="D28" i="11"/>
  <c r="E28" i="11"/>
  <c r="F28" i="11"/>
  <c r="G28" i="11"/>
  <c r="H28" i="11"/>
  <c r="A29" i="11"/>
  <c r="B29" i="11" s="1"/>
  <c r="E29" i="11"/>
  <c r="H29" i="11"/>
  <c r="A30" i="11"/>
  <c r="A31" i="11"/>
  <c r="B31" i="11" s="1"/>
  <c r="A32" i="11"/>
  <c r="B32" i="11"/>
  <c r="C32" i="11"/>
  <c r="D32" i="11" s="1"/>
  <c r="E32" i="11"/>
  <c r="H32" i="11"/>
  <c r="A33" i="11"/>
  <c r="B33" i="11"/>
  <c r="C33" i="11"/>
  <c r="D33" i="11"/>
  <c r="E33" i="11"/>
  <c r="F33" i="11"/>
  <c r="G33" i="11"/>
  <c r="H33" i="11"/>
  <c r="A34" i="11"/>
  <c r="B34" i="11" s="1"/>
  <c r="E34" i="11"/>
  <c r="H34" i="11"/>
  <c r="A35" i="11"/>
  <c r="B35" i="11" s="1"/>
  <c r="C35" i="11"/>
  <c r="D35" i="11" s="1"/>
  <c r="A36" i="11"/>
  <c r="B36" i="11" s="1"/>
  <c r="A37" i="11"/>
  <c r="B37" i="11"/>
  <c r="C37" i="11"/>
  <c r="D37" i="11"/>
  <c r="E37" i="11"/>
  <c r="F37" i="11"/>
  <c r="G37" i="11"/>
  <c r="H37" i="11"/>
  <c r="A38" i="11"/>
  <c r="B38" i="11"/>
  <c r="C38" i="11"/>
  <c r="D38" i="11"/>
  <c r="E38" i="11"/>
  <c r="F38" i="11"/>
  <c r="G38" i="11"/>
  <c r="H38" i="11"/>
  <c r="A39" i="11"/>
  <c r="B39" i="11" s="1"/>
  <c r="E39" i="11"/>
  <c r="H39" i="11"/>
  <c r="A40" i="11"/>
  <c r="B40" i="11" s="1"/>
  <c r="A41" i="11"/>
  <c r="B41" i="11" s="1"/>
  <c r="A42" i="11"/>
  <c r="B42" i="11"/>
  <c r="C42" i="11"/>
  <c r="G42" i="11" s="1"/>
  <c r="D42" i="11"/>
  <c r="E42" i="11"/>
  <c r="F42" i="11"/>
  <c r="H42" i="11"/>
  <c r="A43" i="11"/>
  <c r="B43" i="11"/>
  <c r="C43" i="11"/>
  <c r="D43" i="11"/>
  <c r="E43" i="11"/>
  <c r="F43" i="11"/>
  <c r="G43" i="11"/>
  <c r="H43" i="11"/>
  <c r="A44" i="11"/>
  <c r="B44" i="11" s="1"/>
  <c r="E44" i="11"/>
  <c r="H44" i="11"/>
  <c r="A45" i="11"/>
  <c r="B45" i="11"/>
  <c r="C45" i="11"/>
  <c r="D45" i="11"/>
  <c r="A46" i="11"/>
  <c r="B46" i="11" s="1"/>
  <c r="A47" i="11"/>
  <c r="B47" i="11"/>
  <c r="C47" i="11"/>
  <c r="D47" i="11"/>
  <c r="E47" i="11"/>
  <c r="F47" i="11"/>
  <c r="G47" i="11"/>
  <c r="H47" i="11"/>
  <c r="A48" i="11"/>
  <c r="B48" i="11"/>
  <c r="C48" i="11"/>
  <c r="D48" i="11"/>
  <c r="E48" i="11"/>
  <c r="F48" i="11"/>
  <c r="G48" i="11"/>
  <c r="H48" i="11"/>
  <c r="A49" i="11"/>
  <c r="B49" i="11" s="1"/>
  <c r="E49" i="11"/>
  <c r="H49" i="11"/>
  <c r="A50" i="11"/>
  <c r="B50" i="11" s="1"/>
  <c r="C50" i="11"/>
  <c r="D50" i="11" s="1"/>
  <c r="A51" i="11"/>
  <c r="B51" i="11" s="1"/>
  <c r="A52" i="11"/>
  <c r="B52" i="11"/>
  <c r="C52" i="11"/>
  <c r="D52" i="11" s="1"/>
  <c r="E52" i="11"/>
  <c r="G52" i="11"/>
  <c r="H52" i="11"/>
  <c r="A53" i="11"/>
  <c r="B53" i="11"/>
  <c r="C53" i="11"/>
  <c r="D53" i="11"/>
  <c r="E53" i="11"/>
  <c r="F53" i="11"/>
  <c r="G53" i="11"/>
  <c r="H53" i="11"/>
  <c r="A54" i="11"/>
  <c r="B54" i="11" s="1"/>
  <c r="E54" i="11"/>
  <c r="H54" i="11"/>
  <c r="A55" i="11"/>
  <c r="C55" i="11" s="1"/>
  <c r="B55" i="11"/>
  <c r="A56" i="11"/>
  <c r="B56" i="11" s="1"/>
  <c r="A57" i="11"/>
  <c r="B57" i="11"/>
  <c r="C57" i="11"/>
  <c r="D57" i="11"/>
  <c r="E57" i="11"/>
  <c r="F57" i="11"/>
  <c r="G57" i="11"/>
  <c r="H57" i="11"/>
  <c r="A58" i="11"/>
  <c r="B58" i="11"/>
  <c r="C58" i="11"/>
  <c r="D58" i="11"/>
  <c r="E58" i="11"/>
  <c r="F58" i="11"/>
  <c r="G58" i="11"/>
  <c r="H58" i="11"/>
  <c r="A59" i="11"/>
  <c r="B59" i="11" s="1"/>
  <c r="E59" i="11"/>
  <c r="H59" i="11"/>
  <c r="A60" i="11"/>
  <c r="B60" i="11"/>
  <c r="C60" i="11"/>
  <c r="D60" i="11"/>
  <c r="A61" i="11"/>
  <c r="B61" i="11" s="1"/>
  <c r="A62" i="11"/>
  <c r="B62" i="11"/>
  <c r="C62" i="11"/>
  <c r="D62" i="11"/>
  <c r="E62" i="11"/>
  <c r="F62" i="11"/>
  <c r="G62" i="11"/>
  <c r="H62" i="11"/>
  <c r="A63" i="11"/>
  <c r="B63" i="11"/>
  <c r="C63" i="11"/>
  <c r="D63" i="11"/>
  <c r="E63" i="11"/>
  <c r="F63" i="11"/>
  <c r="G63" i="11"/>
  <c r="H63" i="11"/>
  <c r="A64" i="11"/>
  <c r="B64" i="11" s="1"/>
  <c r="E64" i="11"/>
  <c r="H64" i="11"/>
  <c r="A65" i="11"/>
  <c r="A66" i="11"/>
  <c r="B66" i="11" s="1"/>
  <c r="A67" i="11"/>
  <c r="B67" i="11"/>
  <c r="C67" i="11"/>
  <c r="D67" i="11" s="1"/>
  <c r="E67" i="11"/>
  <c r="H67" i="11"/>
  <c r="A68" i="11"/>
  <c r="B68" i="11"/>
  <c r="C68" i="11"/>
  <c r="D68" i="11"/>
  <c r="E68" i="11"/>
  <c r="F68" i="11"/>
  <c r="G68" i="11"/>
  <c r="H68" i="11"/>
  <c r="A69" i="11"/>
  <c r="B69" i="11" s="1"/>
  <c r="E69" i="11"/>
  <c r="H69" i="11"/>
  <c r="A70" i="11"/>
  <c r="B70" i="11"/>
  <c r="C70" i="11"/>
  <c r="D70" i="11"/>
  <c r="A71" i="11"/>
  <c r="B71" i="11" s="1"/>
  <c r="A72" i="11"/>
  <c r="B72" i="11"/>
  <c r="C72" i="11"/>
  <c r="D72" i="11"/>
  <c r="E72" i="11"/>
  <c r="F72" i="11"/>
  <c r="G72" i="11"/>
  <c r="H72" i="11"/>
  <c r="A73" i="11"/>
  <c r="B73" i="11"/>
  <c r="C73" i="11"/>
  <c r="D73" i="11"/>
  <c r="E73" i="11"/>
  <c r="F73" i="11"/>
  <c r="G73" i="11"/>
  <c r="H73" i="11"/>
  <c r="A74" i="11"/>
  <c r="B74" i="11" s="1"/>
  <c r="E74" i="11"/>
  <c r="H74" i="11"/>
  <c r="A75" i="11"/>
  <c r="B75" i="11"/>
  <c r="C75" i="11"/>
  <c r="D75" i="11"/>
  <c r="A76" i="11"/>
  <c r="B76" i="11" s="1"/>
  <c r="A77" i="11"/>
  <c r="B77" i="11"/>
  <c r="C77" i="11"/>
  <c r="F77" i="11" s="1"/>
  <c r="D77" i="11"/>
  <c r="E77" i="11"/>
  <c r="H77" i="11"/>
  <c r="A78" i="11"/>
  <c r="B78" i="11"/>
  <c r="C78" i="11"/>
  <c r="D78" i="11"/>
  <c r="E78" i="11"/>
  <c r="F78" i="11"/>
  <c r="G78" i="11"/>
  <c r="H78" i="11"/>
  <c r="A79" i="11"/>
  <c r="B79" i="11" s="1"/>
  <c r="E79" i="11"/>
  <c r="H79" i="11"/>
  <c r="A80" i="11"/>
  <c r="B80" i="11"/>
  <c r="C80" i="11"/>
  <c r="A81" i="11"/>
  <c r="B81" i="11" s="1"/>
  <c r="A82" i="11"/>
  <c r="B82" i="11"/>
  <c r="C82" i="11"/>
  <c r="D82" i="11" s="1"/>
  <c r="E82" i="11"/>
  <c r="H82" i="11"/>
  <c r="A83" i="11"/>
  <c r="B83" i="11"/>
  <c r="C83" i="11"/>
  <c r="D83" i="11"/>
  <c r="E83" i="11"/>
  <c r="F83" i="11"/>
  <c r="G83" i="11"/>
  <c r="H83" i="11"/>
  <c r="A84" i="11"/>
  <c r="B84" i="11" s="1"/>
  <c r="E84" i="11"/>
  <c r="H84" i="11"/>
  <c r="A85" i="11"/>
  <c r="C85" i="11" s="1"/>
  <c r="B85" i="11"/>
  <c r="A86" i="11"/>
  <c r="B86" i="11" s="1"/>
  <c r="A87" i="11"/>
  <c r="B87" i="11"/>
  <c r="C87" i="11"/>
  <c r="D87" i="11" s="1"/>
  <c r="E87" i="11"/>
  <c r="F87" i="11"/>
  <c r="G87" i="11"/>
  <c r="H87" i="11"/>
  <c r="A88" i="11"/>
  <c r="B88" i="11"/>
  <c r="C88" i="11"/>
  <c r="D88" i="11"/>
  <c r="E88" i="11"/>
  <c r="F88" i="11"/>
  <c r="G88" i="11"/>
  <c r="H88" i="11"/>
  <c r="A89" i="11"/>
  <c r="B89" i="11" s="1"/>
  <c r="E89" i="11"/>
  <c r="H89" i="11"/>
  <c r="A90" i="11"/>
  <c r="B90" i="11" s="1"/>
  <c r="A91" i="11"/>
  <c r="B91" i="11" s="1"/>
  <c r="A92" i="11"/>
  <c r="B92" i="11"/>
  <c r="C92" i="11"/>
  <c r="G92" i="11" s="1"/>
  <c r="D92" i="11"/>
  <c r="E92" i="11"/>
  <c r="F92" i="11"/>
  <c r="H92" i="11"/>
  <c r="A93" i="11"/>
  <c r="B93" i="11"/>
  <c r="C93" i="11"/>
  <c r="D93" i="11"/>
  <c r="E93" i="11"/>
  <c r="F93" i="11"/>
  <c r="G93" i="11"/>
  <c r="H93" i="11"/>
  <c r="A94" i="11"/>
  <c r="B94" i="11" s="1"/>
  <c r="E94" i="11"/>
  <c r="H94" i="11"/>
  <c r="A95" i="11"/>
  <c r="B95" i="11"/>
  <c r="C95" i="11"/>
  <c r="D95" i="11"/>
  <c r="A96" i="11"/>
  <c r="B96" i="11" s="1"/>
  <c r="A97" i="11"/>
  <c r="B97" i="11"/>
  <c r="C97" i="11"/>
  <c r="D97" i="11"/>
  <c r="E97" i="11"/>
  <c r="F97" i="11"/>
  <c r="G97" i="11"/>
  <c r="H97" i="11"/>
  <c r="A98" i="11"/>
  <c r="B98" i="11"/>
  <c r="C98" i="11"/>
  <c r="D98" i="11"/>
  <c r="E98" i="11"/>
  <c r="F98" i="11"/>
  <c r="G98" i="11"/>
  <c r="H98" i="11"/>
  <c r="A99" i="11"/>
  <c r="B99" i="11" s="1"/>
  <c r="E99" i="11"/>
  <c r="H99" i="11"/>
  <c r="A100" i="11"/>
  <c r="B100" i="11" s="1"/>
  <c r="C100" i="11"/>
  <c r="D100" i="11"/>
  <c r="A101" i="11"/>
  <c r="B101" i="11" s="1"/>
  <c r="A102" i="11"/>
  <c r="B102" i="11"/>
  <c r="C102" i="11"/>
  <c r="D102" i="11" s="1"/>
  <c r="E102" i="11"/>
  <c r="G102" i="11"/>
  <c r="H102" i="11"/>
  <c r="A103" i="11"/>
  <c r="B103" i="11"/>
  <c r="C103" i="11"/>
  <c r="D103" i="11"/>
  <c r="E103" i="11"/>
  <c r="F103" i="11"/>
  <c r="G103" i="11"/>
  <c r="H103" i="11"/>
  <c r="A104" i="11"/>
  <c r="B104" i="11" s="1"/>
  <c r="E104" i="11"/>
  <c r="H104" i="11"/>
  <c r="A105" i="11"/>
  <c r="C105" i="11" s="1"/>
  <c r="B105" i="11"/>
  <c r="A106" i="11"/>
  <c r="B106" i="11" s="1"/>
  <c r="A107" i="11"/>
  <c r="B107" i="11"/>
  <c r="C107" i="11"/>
  <c r="D107" i="11"/>
  <c r="E107" i="11"/>
  <c r="F107" i="11"/>
  <c r="G107" i="11"/>
  <c r="H107" i="11"/>
  <c r="A108" i="11"/>
  <c r="B108" i="11"/>
  <c r="C108" i="11"/>
  <c r="D108" i="11"/>
  <c r="E108" i="11"/>
  <c r="F108" i="11"/>
  <c r="G108" i="11"/>
  <c r="H108" i="11"/>
  <c r="A109" i="11"/>
  <c r="B109" i="11" s="1"/>
  <c r="E109" i="11"/>
  <c r="H109" i="11"/>
  <c r="A110" i="11"/>
  <c r="B110" i="11"/>
  <c r="C110" i="11"/>
  <c r="D110" i="11"/>
  <c r="A111" i="11"/>
  <c r="B111" i="11" s="1"/>
  <c r="A112" i="11"/>
  <c r="B112" i="11"/>
  <c r="C112" i="11"/>
  <c r="D112" i="11"/>
  <c r="E112" i="11"/>
  <c r="F112" i="11"/>
  <c r="G112" i="11"/>
  <c r="H112" i="11"/>
  <c r="A113" i="11"/>
  <c r="B113" i="11"/>
  <c r="C113" i="11"/>
  <c r="D113" i="11"/>
  <c r="E113" i="11"/>
  <c r="F113" i="11"/>
  <c r="G113" i="11"/>
  <c r="H113" i="11"/>
  <c r="A114" i="11"/>
  <c r="B114" i="11" s="1"/>
  <c r="E114" i="11"/>
  <c r="H114" i="11"/>
  <c r="A115" i="11"/>
  <c r="A116" i="11"/>
  <c r="B116" i="11" s="1"/>
  <c r="A117" i="11"/>
  <c r="B117" i="11"/>
  <c r="C117" i="11"/>
  <c r="D117" i="11" s="1"/>
  <c r="E117" i="11"/>
  <c r="H117" i="11"/>
  <c r="A118" i="11"/>
  <c r="B118" i="11"/>
  <c r="C118" i="11"/>
  <c r="D118" i="11"/>
  <c r="E118" i="11"/>
  <c r="F118" i="11"/>
  <c r="G118" i="11"/>
  <c r="H118" i="11"/>
  <c r="A119" i="11"/>
  <c r="B119" i="11" s="1"/>
  <c r="E119" i="11"/>
  <c r="H119" i="11"/>
  <c r="A120" i="11"/>
  <c r="B120" i="11"/>
  <c r="C120" i="11"/>
  <c r="D120" i="11"/>
  <c r="A121" i="11"/>
  <c r="B121" i="11" s="1"/>
  <c r="A122" i="11"/>
  <c r="B122" i="11"/>
  <c r="C122" i="11"/>
  <c r="D122" i="11"/>
  <c r="E122" i="11"/>
  <c r="F122" i="11"/>
  <c r="G122" i="11"/>
  <c r="H122" i="11"/>
  <c r="A123" i="11"/>
  <c r="B123" i="11"/>
  <c r="C123" i="11"/>
  <c r="D123" i="11"/>
  <c r="E123" i="11"/>
  <c r="F123" i="11"/>
  <c r="G123" i="11"/>
  <c r="H123" i="11"/>
  <c r="A124" i="11"/>
  <c r="B124" i="11" s="1"/>
  <c r="E124" i="11"/>
  <c r="H124" i="11"/>
  <c r="A125" i="11"/>
  <c r="B125" i="11"/>
  <c r="C125" i="11"/>
  <c r="D125" i="11"/>
  <c r="A126" i="11"/>
  <c r="B126" i="11" s="1"/>
  <c r="A127" i="11"/>
  <c r="B127" i="11"/>
  <c r="C127" i="11"/>
  <c r="F127" i="11" s="1"/>
  <c r="D127" i="11"/>
  <c r="E127" i="11"/>
  <c r="H127" i="11"/>
  <c r="A128" i="11"/>
  <c r="B128" i="11"/>
  <c r="C128" i="11"/>
  <c r="D128" i="11"/>
  <c r="E128" i="11"/>
  <c r="F128" i="11"/>
  <c r="G128" i="11"/>
  <c r="H128" i="11"/>
  <c r="A129" i="11"/>
  <c r="B129" i="11" s="1"/>
  <c r="E129" i="11"/>
  <c r="H129" i="11"/>
  <c r="A130" i="11"/>
  <c r="B130" i="11"/>
  <c r="C130" i="11"/>
  <c r="A131" i="11"/>
  <c r="B131" i="11" s="1"/>
  <c r="A132" i="11"/>
  <c r="B132" i="11"/>
  <c r="C132" i="11"/>
  <c r="D132" i="11" s="1"/>
  <c r="E132" i="11"/>
  <c r="H132" i="11"/>
  <c r="A133" i="11"/>
  <c r="B133" i="11"/>
  <c r="C133" i="11"/>
  <c r="D133" i="11"/>
  <c r="E133" i="11"/>
  <c r="F133" i="11"/>
  <c r="G133" i="11"/>
  <c r="H133" i="11"/>
  <c r="A134" i="11"/>
  <c r="B134" i="11" s="1"/>
  <c r="E134" i="11"/>
  <c r="H134" i="11"/>
  <c r="A135" i="11"/>
  <c r="C135" i="11" s="1"/>
  <c r="B135" i="11"/>
  <c r="A136" i="11"/>
  <c r="B136" i="11" s="1"/>
  <c r="A137" i="11"/>
  <c r="B137" i="11"/>
  <c r="C137" i="11"/>
  <c r="D137" i="11" s="1"/>
  <c r="E137" i="11"/>
  <c r="F137" i="11"/>
  <c r="G137" i="11"/>
  <c r="H137" i="11"/>
  <c r="A138" i="11"/>
  <c r="B138" i="11"/>
  <c r="C138" i="11"/>
  <c r="D138" i="11"/>
  <c r="E138" i="11"/>
  <c r="F138" i="11"/>
  <c r="G138" i="11"/>
  <c r="H138" i="11"/>
  <c r="A139" i="11"/>
  <c r="B139" i="11" s="1"/>
  <c r="E139" i="11"/>
  <c r="H139" i="11"/>
  <c r="A140" i="11"/>
  <c r="B140" i="11" s="1"/>
  <c r="A141" i="11"/>
  <c r="B141" i="11" s="1"/>
  <c r="A142" i="11"/>
  <c r="B142" i="11"/>
  <c r="C142" i="11"/>
  <c r="G142" i="11" s="1"/>
  <c r="D142" i="11"/>
  <c r="E142" i="11"/>
  <c r="F142" i="11"/>
  <c r="H142" i="11"/>
  <c r="A143" i="11"/>
  <c r="B143" i="11"/>
  <c r="C143" i="11"/>
  <c r="D143" i="11"/>
  <c r="E143" i="11"/>
  <c r="F143" i="11"/>
  <c r="G143" i="11"/>
  <c r="H143" i="11"/>
  <c r="A144" i="11"/>
  <c r="B144" i="11" s="1"/>
  <c r="E144" i="11"/>
  <c r="H144" i="11"/>
  <c r="A145" i="11"/>
  <c r="B145" i="11"/>
  <c r="C145" i="11"/>
  <c r="D145" i="11"/>
  <c r="A146" i="11"/>
  <c r="B146" i="11" s="1"/>
  <c r="A147" i="11"/>
  <c r="B147" i="11"/>
  <c r="C147" i="11"/>
  <c r="D147" i="11"/>
  <c r="E147" i="11"/>
  <c r="F147" i="11"/>
  <c r="G147" i="11"/>
  <c r="H147" i="11"/>
  <c r="A148" i="11"/>
  <c r="B148" i="11"/>
  <c r="C148" i="11"/>
  <c r="D148" i="11"/>
  <c r="E148" i="11"/>
  <c r="F148" i="11"/>
  <c r="G148" i="11"/>
  <c r="H148" i="11"/>
  <c r="A149" i="11"/>
  <c r="B149" i="11" s="1"/>
  <c r="E149" i="11"/>
  <c r="H149" i="11"/>
  <c r="A150" i="11"/>
  <c r="B150" i="11" s="1"/>
  <c r="C150" i="11"/>
  <c r="D150" i="11"/>
  <c r="A151" i="11"/>
  <c r="B151" i="11" s="1"/>
  <c r="A152" i="11"/>
  <c r="B152" i="11"/>
  <c r="C152" i="11"/>
  <c r="D152" i="11" s="1"/>
  <c r="E152" i="11"/>
  <c r="G152" i="11"/>
  <c r="H152" i="11"/>
  <c r="A153" i="11"/>
  <c r="B153" i="11"/>
  <c r="C153" i="11"/>
  <c r="D153" i="11"/>
  <c r="E153" i="11"/>
  <c r="F153" i="11"/>
  <c r="G153" i="11"/>
  <c r="H153" i="11"/>
  <c r="A154" i="11"/>
  <c r="B154" i="11" s="1"/>
  <c r="E154" i="11"/>
  <c r="H154" i="11"/>
  <c r="A155" i="11"/>
  <c r="B155" i="11" s="1"/>
  <c r="A156" i="11"/>
  <c r="B156" i="11" s="1"/>
  <c r="A157" i="11"/>
  <c r="B157" i="11"/>
  <c r="C157" i="11"/>
  <c r="D157" i="11"/>
  <c r="E157" i="11"/>
  <c r="F157" i="11"/>
  <c r="G157" i="11"/>
  <c r="H157" i="11"/>
  <c r="A158" i="11"/>
  <c r="B158" i="11"/>
  <c r="C158" i="11"/>
  <c r="D158" i="11"/>
  <c r="E158" i="11"/>
  <c r="F158" i="11"/>
  <c r="G158" i="11"/>
  <c r="H158" i="11"/>
  <c r="A159" i="11"/>
  <c r="B159" i="11" s="1"/>
  <c r="E159" i="11"/>
  <c r="H159" i="11"/>
  <c r="A160" i="11"/>
  <c r="B160" i="11"/>
  <c r="C160" i="11"/>
  <c r="D160" i="11"/>
  <c r="A161" i="11"/>
  <c r="B161" i="11" s="1"/>
  <c r="A162" i="11"/>
  <c r="B162" i="11"/>
  <c r="C162" i="11"/>
  <c r="D162" i="11"/>
  <c r="E162" i="11"/>
  <c r="F162" i="11"/>
  <c r="G162" i="11"/>
  <c r="H162" i="11"/>
  <c r="A163" i="11"/>
  <c r="B163" i="11"/>
  <c r="C163" i="11"/>
  <c r="D163" i="11"/>
  <c r="E163" i="11"/>
  <c r="F163" i="11"/>
  <c r="G163" i="11"/>
  <c r="H163" i="11"/>
  <c r="A164" i="11"/>
  <c r="B164" i="11" s="1"/>
  <c r="E164" i="11"/>
  <c r="H164" i="11"/>
  <c r="A165" i="11"/>
  <c r="A166" i="11"/>
  <c r="B166" i="11" s="1"/>
  <c r="A167" i="11"/>
  <c r="B167" i="11"/>
  <c r="C167" i="11"/>
  <c r="D167" i="11" s="1"/>
  <c r="E167" i="11"/>
  <c r="H167" i="11"/>
  <c r="A168" i="11"/>
  <c r="B168" i="11"/>
  <c r="C168" i="11"/>
  <c r="D168" i="11"/>
  <c r="E168" i="11"/>
  <c r="F168" i="11"/>
  <c r="G168" i="11"/>
  <c r="H168" i="11"/>
  <c r="A169" i="11"/>
  <c r="B169" i="11" s="1"/>
  <c r="E169" i="11"/>
  <c r="H169" i="11"/>
  <c r="A170" i="11"/>
  <c r="B170" i="11"/>
  <c r="C170" i="11"/>
  <c r="D170" i="11"/>
  <c r="A171" i="11"/>
  <c r="B171" i="11" s="1"/>
  <c r="A172" i="11"/>
  <c r="B172" i="11"/>
  <c r="C172" i="11"/>
  <c r="D172" i="11"/>
  <c r="E172" i="11"/>
  <c r="F172" i="11"/>
  <c r="G172" i="11"/>
  <c r="H172" i="11"/>
  <c r="A173" i="11"/>
  <c r="B173" i="11"/>
  <c r="C173" i="11"/>
  <c r="D173" i="11"/>
  <c r="E173" i="11"/>
  <c r="F173" i="11"/>
  <c r="G173" i="11"/>
  <c r="H173" i="11"/>
  <c r="A174" i="11"/>
  <c r="B174" i="11" s="1"/>
  <c r="E174" i="11"/>
  <c r="H174" i="11"/>
  <c r="A175" i="11"/>
  <c r="B175" i="11"/>
  <c r="C175" i="11"/>
  <c r="D175" i="11"/>
  <c r="A176" i="11"/>
  <c r="B176" i="11" s="1"/>
  <c r="A177" i="11"/>
  <c r="B177" i="11"/>
  <c r="C177" i="11"/>
  <c r="F177" i="11" s="1"/>
  <c r="D177" i="11"/>
  <c r="E177" i="11"/>
  <c r="H177" i="11"/>
  <c r="A178" i="11"/>
  <c r="B178" i="11"/>
  <c r="C178" i="11"/>
  <c r="D178" i="11"/>
  <c r="E178" i="11"/>
  <c r="F178" i="11"/>
  <c r="G178" i="11"/>
  <c r="H178" i="11"/>
  <c r="A179" i="11"/>
  <c r="B179" i="11" s="1"/>
  <c r="E179" i="11"/>
  <c r="H179" i="11"/>
  <c r="A180" i="11"/>
  <c r="B180" i="11"/>
  <c r="C180" i="11"/>
  <c r="A181" i="11"/>
  <c r="B181" i="11" s="1"/>
  <c r="A182" i="11"/>
  <c r="B182" i="11"/>
  <c r="C182" i="11"/>
  <c r="D182" i="11" s="1"/>
  <c r="E182" i="11"/>
  <c r="H182" i="11"/>
  <c r="A183" i="11"/>
  <c r="B183" i="11"/>
  <c r="C183" i="11"/>
  <c r="D183" i="11"/>
  <c r="E183" i="11"/>
  <c r="F183" i="11"/>
  <c r="G183" i="11"/>
  <c r="H183" i="11"/>
  <c r="A184" i="11"/>
  <c r="B184" i="11" s="1"/>
  <c r="E184" i="11"/>
  <c r="H184" i="11"/>
  <c r="A185" i="11"/>
  <c r="C185" i="11" s="1"/>
  <c r="B185" i="11"/>
  <c r="A186" i="11"/>
  <c r="B186" i="11" s="1"/>
  <c r="A187" i="11"/>
  <c r="B187" i="11"/>
  <c r="C187" i="11"/>
  <c r="D187" i="11" s="1"/>
  <c r="E187" i="11"/>
  <c r="F187" i="11"/>
  <c r="G187" i="11"/>
  <c r="H187" i="11"/>
  <c r="A188" i="11"/>
  <c r="B188" i="11"/>
  <c r="C188" i="11"/>
  <c r="D188" i="11"/>
  <c r="E188" i="11"/>
  <c r="F188" i="11"/>
  <c r="G188" i="11"/>
  <c r="H188" i="11"/>
  <c r="A189" i="11"/>
  <c r="B189" i="11" s="1"/>
  <c r="E189" i="11"/>
  <c r="H189" i="11"/>
  <c r="A190" i="11"/>
  <c r="B190" i="11" s="1"/>
  <c r="A191" i="11"/>
  <c r="B191" i="11" s="1"/>
  <c r="A192" i="11"/>
  <c r="B192" i="11"/>
  <c r="C192" i="11"/>
  <c r="G192" i="11" s="1"/>
  <c r="D192" i="11"/>
  <c r="E192" i="11"/>
  <c r="F192" i="11"/>
  <c r="H192" i="11"/>
  <c r="A193" i="11"/>
  <c r="B193" i="11"/>
  <c r="C193" i="11"/>
  <c r="D193" i="11"/>
  <c r="E193" i="11"/>
  <c r="F193" i="11"/>
  <c r="G193" i="11"/>
  <c r="H193" i="11"/>
  <c r="A194" i="11"/>
  <c r="B194" i="11" s="1"/>
  <c r="E194" i="11"/>
  <c r="H194" i="11"/>
  <c r="A195" i="11"/>
  <c r="B195" i="11"/>
  <c r="C195" i="11"/>
  <c r="D195" i="11"/>
  <c r="A196" i="11"/>
  <c r="B196" i="11" s="1"/>
  <c r="A197" i="11"/>
  <c r="B197" i="11"/>
  <c r="C197" i="11"/>
  <c r="D197" i="11"/>
  <c r="E197" i="11"/>
  <c r="F197" i="11"/>
  <c r="G197" i="11"/>
  <c r="H197" i="11"/>
  <c r="A198" i="11"/>
  <c r="B198" i="11"/>
  <c r="C198" i="11"/>
  <c r="D198" i="11"/>
  <c r="E198" i="11"/>
  <c r="F198" i="11"/>
  <c r="G198" i="11"/>
  <c r="H198" i="11"/>
  <c r="A199" i="11"/>
  <c r="B199" i="11" s="1"/>
  <c r="E199" i="11"/>
  <c r="H199" i="11"/>
  <c r="A200" i="11"/>
  <c r="B200" i="11" s="1"/>
  <c r="C200" i="11"/>
  <c r="D200" i="11"/>
  <c r="M5" i="10"/>
  <c r="N5" i="10"/>
  <c r="O5" i="10"/>
  <c r="P5" i="10"/>
  <c r="M6" i="10"/>
  <c r="P9" i="10" s="1"/>
  <c r="N6" i="10"/>
  <c r="O6" i="10"/>
  <c r="M7" i="10"/>
  <c r="N7" i="10"/>
  <c r="O7" i="10"/>
  <c r="P7" i="10"/>
  <c r="M8" i="10"/>
  <c r="N8" i="10"/>
  <c r="O8" i="10"/>
  <c r="P8" i="10"/>
  <c r="Q9" i="10" s="1"/>
  <c r="Q8" i="10"/>
  <c r="M9" i="10"/>
  <c r="N9" i="10"/>
  <c r="O9" i="10"/>
  <c r="M10" i="10"/>
  <c r="P10" i="10" s="1"/>
  <c r="Q11" i="10" s="1"/>
  <c r="N10" i="10"/>
  <c r="O10" i="10"/>
  <c r="M11" i="10"/>
  <c r="N11" i="10"/>
  <c r="O11" i="10"/>
  <c r="P11" i="10"/>
  <c r="M12" i="10"/>
  <c r="N12" i="10"/>
  <c r="O12" i="10"/>
  <c r="P12" i="10"/>
  <c r="Q13" i="10" s="1"/>
  <c r="Q12" i="10"/>
  <c r="M13" i="10"/>
  <c r="N13" i="10"/>
  <c r="O13" i="10"/>
  <c r="P13" i="10"/>
  <c r="M14" i="10"/>
  <c r="P14" i="10" s="1"/>
  <c r="N14" i="10"/>
  <c r="O14" i="10"/>
  <c r="M15" i="10"/>
  <c r="N15" i="10"/>
  <c r="O15" i="10"/>
  <c r="P15" i="10"/>
  <c r="M16" i="10"/>
  <c r="N16" i="10"/>
  <c r="O16" i="10"/>
  <c r="P16" i="10"/>
  <c r="Q17" i="10" s="1"/>
  <c r="Q16" i="10"/>
  <c r="M17" i="10"/>
  <c r="N17" i="10"/>
  <c r="O17" i="10"/>
  <c r="P17" i="10"/>
  <c r="M18" i="10"/>
  <c r="P18" i="10" s="1"/>
  <c r="N18" i="10"/>
  <c r="O18" i="10"/>
  <c r="M19" i="10"/>
  <c r="N19" i="10"/>
  <c r="O19" i="10"/>
  <c r="P19" i="10"/>
  <c r="M20" i="10"/>
  <c r="N20" i="10"/>
  <c r="O20" i="10"/>
  <c r="P20" i="10"/>
  <c r="Q21" i="10" s="1"/>
  <c r="Q20" i="10"/>
  <c r="M21" i="10"/>
  <c r="N21" i="10"/>
  <c r="O21" i="10"/>
  <c r="P21" i="10"/>
  <c r="M22" i="10"/>
  <c r="P22" i="10" s="1"/>
  <c r="N22" i="10"/>
  <c r="O22" i="10"/>
  <c r="M23" i="10"/>
  <c r="N23" i="10"/>
  <c r="O23" i="10"/>
  <c r="P23" i="10"/>
  <c r="M24" i="10"/>
  <c r="N24" i="10"/>
  <c r="O24" i="10"/>
  <c r="P24" i="10"/>
  <c r="Q25" i="10" s="1"/>
  <c r="Q24" i="10"/>
  <c r="M25" i="10"/>
  <c r="N25" i="10"/>
  <c r="O25" i="10"/>
  <c r="P25" i="10"/>
  <c r="M26" i="10"/>
  <c r="P26" i="10" s="1"/>
  <c r="N26" i="10"/>
  <c r="O26" i="10"/>
  <c r="M27" i="10"/>
  <c r="N27" i="10"/>
  <c r="O27" i="10"/>
  <c r="P27" i="10"/>
  <c r="M28" i="10"/>
  <c r="N28" i="10"/>
  <c r="O28" i="10"/>
  <c r="P28" i="10"/>
  <c r="Q29" i="10" s="1"/>
  <c r="Q28" i="10"/>
  <c r="M29" i="10"/>
  <c r="N29" i="10"/>
  <c r="O29" i="10"/>
  <c r="P29" i="10"/>
  <c r="M30" i="10"/>
  <c r="P30" i="10" s="1"/>
  <c r="N30" i="10"/>
  <c r="O30" i="10"/>
  <c r="M31" i="10"/>
  <c r="N31" i="10"/>
  <c r="O31" i="10"/>
  <c r="P31" i="10"/>
  <c r="M32" i="10"/>
  <c r="N32" i="10"/>
  <c r="O32" i="10"/>
  <c r="P32" i="10"/>
  <c r="Q33" i="10" s="1"/>
  <c r="Q32" i="10"/>
  <c r="M33" i="10"/>
  <c r="N33" i="10"/>
  <c r="O33" i="10"/>
  <c r="P33" i="10"/>
  <c r="M34" i="10"/>
  <c r="P34" i="10" s="1"/>
  <c r="N34" i="10"/>
  <c r="O34" i="10"/>
  <c r="M35" i="10"/>
  <c r="N35" i="10"/>
  <c r="O35" i="10"/>
  <c r="P35" i="10"/>
  <c r="M36" i="10"/>
  <c r="N36" i="10"/>
  <c r="O36" i="10"/>
  <c r="P36" i="10"/>
  <c r="Q37" i="10" s="1"/>
  <c r="Q36" i="10"/>
  <c r="M37" i="10"/>
  <c r="N37" i="10"/>
  <c r="O37" i="10"/>
  <c r="P37" i="10"/>
  <c r="M38" i="10"/>
  <c r="P38" i="10" s="1"/>
  <c r="N38" i="10"/>
  <c r="O38" i="10"/>
  <c r="M39" i="10"/>
  <c r="N39" i="10"/>
  <c r="O39" i="10"/>
  <c r="P39" i="10"/>
  <c r="M40" i="10"/>
  <c r="N40" i="10"/>
  <c r="O40" i="10"/>
  <c r="P40" i="10"/>
  <c r="Q41" i="10" s="1"/>
  <c r="Q40" i="10"/>
  <c r="M41" i="10"/>
  <c r="N41" i="10"/>
  <c r="O41" i="10"/>
  <c r="P41" i="10"/>
  <c r="M42" i="10"/>
  <c r="P42" i="10" s="1"/>
  <c r="N42" i="10"/>
  <c r="O42" i="10"/>
  <c r="M43" i="10"/>
  <c r="N43" i="10"/>
  <c r="O43" i="10"/>
  <c r="P43" i="10"/>
  <c r="M44" i="10"/>
  <c r="N44" i="10"/>
  <c r="O44" i="10"/>
  <c r="P44" i="10"/>
  <c r="Q45" i="10" s="1"/>
  <c r="Q44" i="10"/>
  <c r="M45" i="10"/>
  <c r="N45" i="10"/>
  <c r="O45" i="10"/>
  <c r="P45" i="10"/>
  <c r="M46" i="10"/>
  <c r="P46" i="10" s="1"/>
  <c r="N46" i="10"/>
  <c r="O46" i="10"/>
  <c r="M47" i="10"/>
  <c r="N47" i="10"/>
  <c r="O47" i="10"/>
  <c r="P47" i="10"/>
  <c r="M48" i="10"/>
  <c r="N48" i="10"/>
  <c r="O48" i="10"/>
  <c r="P48" i="10"/>
  <c r="Q49" i="10" s="1"/>
  <c r="Q48" i="10"/>
  <c r="M49" i="10"/>
  <c r="N49" i="10"/>
  <c r="O49" i="10"/>
  <c r="P49" i="10"/>
  <c r="M50" i="10"/>
  <c r="P50" i="10" s="1"/>
  <c r="N50" i="10"/>
  <c r="O50" i="10"/>
  <c r="M51" i="10"/>
  <c r="N51" i="10"/>
  <c r="O51" i="10"/>
  <c r="P51" i="10"/>
  <c r="M52" i="10"/>
  <c r="N52" i="10"/>
  <c r="O52" i="10"/>
  <c r="P52" i="10"/>
  <c r="Q53" i="10" s="1"/>
  <c r="Q52" i="10"/>
  <c r="M53" i="10"/>
  <c r="N53" i="10"/>
  <c r="O53" i="10"/>
  <c r="P53" i="10"/>
  <c r="M54" i="10"/>
  <c r="P54" i="10" s="1"/>
  <c r="N54" i="10"/>
  <c r="O54" i="10"/>
  <c r="M55" i="10"/>
  <c r="N55" i="10"/>
  <c r="O55" i="10"/>
  <c r="P55" i="10"/>
  <c r="M56" i="10"/>
  <c r="N56" i="10"/>
  <c r="O56" i="10"/>
  <c r="P56" i="10"/>
  <c r="Q57" i="10" s="1"/>
  <c r="Q56" i="10"/>
  <c r="M57" i="10"/>
  <c r="N57" i="10"/>
  <c r="O57" i="10"/>
  <c r="P57" i="10"/>
  <c r="M58" i="10"/>
  <c r="P58" i="10" s="1"/>
  <c r="N58" i="10"/>
  <c r="O58" i="10"/>
  <c r="M59" i="10"/>
  <c r="N59" i="10"/>
  <c r="O59" i="10"/>
  <c r="P59" i="10"/>
  <c r="M60" i="10"/>
  <c r="N60" i="10"/>
  <c r="O60" i="10"/>
  <c r="P60" i="10"/>
  <c r="Q61" i="10" s="1"/>
  <c r="Q60" i="10"/>
  <c r="M61" i="10"/>
  <c r="N61" i="10"/>
  <c r="O61" i="10"/>
  <c r="P61" i="10"/>
  <c r="M62" i="10"/>
  <c r="P62" i="10" s="1"/>
  <c r="N62" i="10"/>
  <c r="O62" i="10"/>
  <c r="M63" i="10"/>
  <c r="N63" i="10"/>
  <c r="O63" i="10"/>
  <c r="P63" i="10"/>
  <c r="M64" i="10"/>
  <c r="N64" i="10"/>
  <c r="O64" i="10"/>
  <c r="P64" i="10"/>
  <c r="Q65" i="10" s="1"/>
  <c r="Q64" i="10"/>
  <c r="M65" i="10"/>
  <c r="N65" i="10"/>
  <c r="O65" i="10"/>
  <c r="P65" i="10"/>
  <c r="M66" i="10"/>
  <c r="P66" i="10" s="1"/>
  <c r="N66" i="10"/>
  <c r="O66" i="10"/>
  <c r="M67" i="10"/>
  <c r="N67" i="10"/>
  <c r="O67" i="10"/>
  <c r="P67" i="10"/>
  <c r="M68" i="10"/>
  <c r="N68" i="10"/>
  <c r="O68" i="10"/>
  <c r="P68" i="10"/>
  <c r="Q69" i="10" s="1"/>
  <c r="Q68" i="10"/>
  <c r="M69" i="10"/>
  <c r="N69" i="10"/>
  <c r="O69" i="10"/>
  <c r="P69" i="10"/>
  <c r="M70" i="10"/>
  <c r="P70" i="10" s="1"/>
  <c r="N70" i="10"/>
  <c r="O70" i="10"/>
  <c r="M71" i="10"/>
  <c r="N71" i="10"/>
  <c r="O71" i="10"/>
  <c r="P71" i="10"/>
  <c r="M72" i="10"/>
  <c r="N72" i="10"/>
  <c r="O72" i="10"/>
  <c r="P72" i="10"/>
  <c r="Q73" i="10" s="1"/>
  <c r="Q72" i="10"/>
  <c r="M73" i="10"/>
  <c r="N73" i="10"/>
  <c r="O73" i="10"/>
  <c r="P73" i="10"/>
  <c r="M74" i="10"/>
  <c r="P74" i="10" s="1"/>
  <c r="N74" i="10"/>
  <c r="O74" i="10"/>
  <c r="M75" i="10"/>
  <c r="N75" i="10"/>
  <c r="O75" i="10"/>
  <c r="P75" i="10"/>
  <c r="M76" i="10"/>
  <c r="N76" i="10"/>
  <c r="O76" i="10"/>
  <c r="P76" i="10"/>
  <c r="Q77" i="10" s="1"/>
  <c r="Q76" i="10"/>
  <c r="M77" i="10"/>
  <c r="N77" i="10"/>
  <c r="O77" i="10"/>
  <c r="P77" i="10"/>
  <c r="M78" i="10"/>
  <c r="P78" i="10" s="1"/>
  <c r="N78" i="10"/>
  <c r="O78" i="10"/>
  <c r="M79" i="10"/>
  <c r="N79" i="10"/>
  <c r="O79" i="10"/>
  <c r="P79" i="10"/>
  <c r="M80" i="10"/>
  <c r="N80" i="10"/>
  <c r="O80" i="10"/>
  <c r="P80" i="10"/>
  <c r="Q81" i="10" s="1"/>
  <c r="Q80" i="10"/>
  <c r="M81" i="10"/>
  <c r="N81" i="10"/>
  <c r="O81" i="10"/>
  <c r="P81" i="10"/>
  <c r="M82" i="10"/>
  <c r="P82" i="10" s="1"/>
  <c r="N82" i="10"/>
  <c r="O82" i="10"/>
  <c r="M83" i="10"/>
  <c r="N83" i="10"/>
  <c r="O83" i="10"/>
  <c r="P83" i="10"/>
  <c r="M84" i="10"/>
  <c r="N84" i="10"/>
  <c r="O84" i="10"/>
  <c r="P84" i="10"/>
  <c r="Q85" i="10" s="1"/>
  <c r="Q84" i="10"/>
  <c r="M85" i="10"/>
  <c r="N85" i="10"/>
  <c r="O85" i="10"/>
  <c r="P85" i="10"/>
  <c r="M86" i="10"/>
  <c r="P86" i="10" s="1"/>
  <c r="N86" i="10"/>
  <c r="O86" i="10"/>
  <c r="M87" i="10"/>
  <c r="N87" i="10"/>
  <c r="O87" i="10"/>
  <c r="P87" i="10"/>
  <c r="M88" i="10"/>
  <c r="N88" i="10"/>
  <c r="O88" i="10"/>
  <c r="P88" i="10"/>
  <c r="Q89" i="10" s="1"/>
  <c r="Q88" i="10"/>
  <c r="M89" i="10"/>
  <c r="N89" i="10"/>
  <c r="O89" i="10"/>
  <c r="P89" i="10"/>
  <c r="M90" i="10"/>
  <c r="P90" i="10" s="1"/>
  <c r="N90" i="10"/>
  <c r="O90" i="10"/>
  <c r="M91" i="10"/>
  <c r="N91" i="10"/>
  <c r="O91" i="10"/>
  <c r="P91" i="10"/>
  <c r="M92" i="10"/>
  <c r="N92" i="10"/>
  <c r="O92" i="10"/>
  <c r="P92" i="10"/>
  <c r="Q93" i="10" s="1"/>
  <c r="Q92" i="10"/>
  <c r="M93" i="10"/>
  <c r="N93" i="10"/>
  <c r="O93" i="10"/>
  <c r="P93" i="10"/>
  <c r="M94" i="10"/>
  <c r="P94" i="10" s="1"/>
  <c r="N94" i="10"/>
  <c r="O94" i="10"/>
  <c r="M95" i="10"/>
  <c r="N95" i="10"/>
  <c r="O95" i="10"/>
  <c r="P95" i="10"/>
  <c r="M96" i="10"/>
  <c r="N96" i="10"/>
  <c r="O96" i="10"/>
  <c r="P96" i="10"/>
  <c r="Q97" i="10" s="1"/>
  <c r="Q96" i="10"/>
  <c r="M97" i="10"/>
  <c r="N97" i="10"/>
  <c r="O97" i="10"/>
  <c r="P97" i="10"/>
  <c r="M98" i="10"/>
  <c r="P98" i="10" s="1"/>
  <c r="N98" i="10"/>
  <c r="O98" i="10"/>
  <c r="M99" i="10"/>
  <c r="N99" i="10"/>
  <c r="O99" i="10"/>
  <c r="P99" i="10"/>
  <c r="M100" i="10"/>
  <c r="N100" i="10"/>
  <c r="O100" i="10"/>
  <c r="P100" i="10"/>
  <c r="Q100" i="10"/>
  <c r="A3" i="9"/>
  <c r="B3" i="9" s="1"/>
  <c r="C3" i="9"/>
  <c r="D3" i="9"/>
  <c r="E3" i="9"/>
  <c r="F3" i="9"/>
  <c r="G3" i="9"/>
  <c r="H3" i="9"/>
  <c r="I3" i="9"/>
  <c r="J3" i="9"/>
  <c r="K3" i="9"/>
  <c r="L3" i="9"/>
  <c r="M3" i="9"/>
  <c r="A4" i="9"/>
  <c r="B4" i="9"/>
  <c r="F4" i="9"/>
  <c r="G4" i="9"/>
  <c r="A5" i="9"/>
  <c r="A6" i="9"/>
  <c r="H6" i="9" s="1"/>
  <c r="L6" i="9"/>
  <c r="M6" i="9"/>
  <c r="A7" i="9"/>
  <c r="B7" i="9" s="1"/>
  <c r="A8" i="9"/>
  <c r="C8" i="9" s="1"/>
  <c r="B8" i="9"/>
  <c r="D8" i="9"/>
  <c r="E8" i="9"/>
  <c r="F8" i="9"/>
  <c r="G8" i="9"/>
  <c r="H8" i="9"/>
  <c r="I8" i="9"/>
  <c r="J8" i="9"/>
  <c r="K8" i="9"/>
  <c r="L8" i="9"/>
  <c r="M8" i="9"/>
  <c r="A9" i="9"/>
  <c r="B9" i="9" s="1"/>
  <c r="A10" i="9"/>
  <c r="C10" i="9" s="1"/>
  <c r="B10" i="9"/>
  <c r="F10" i="9"/>
  <c r="G10" i="9"/>
  <c r="H10" i="9" s="1"/>
  <c r="A11" i="9"/>
  <c r="D11" i="9" s="1"/>
  <c r="B11" i="9"/>
  <c r="C11" i="9"/>
  <c r="F11" i="9"/>
  <c r="G11" i="9"/>
  <c r="J11" i="9"/>
  <c r="K11" i="9" s="1"/>
  <c r="L11" i="9"/>
  <c r="A12" i="9"/>
  <c r="J12" i="9"/>
  <c r="K12" i="9" s="1"/>
  <c r="L12" i="9"/>
  <c r="A13" i="9"/>
  <c r="B13" i="9"/>
  <c r="A14" i="9"/>
  <c r="E14" i="9" s="1"/>
  <c r="B14" i="9"/>
  <c r="C14" i="9"/>
  <c r="D14" i="9"/>
  <c r="F14" i="9"/>
  <c r="G14" i="9"/>
  <c r="H14" i="9"/>
  <c r="I14" i="9"/>
  <c r="J14" i="9"/>
  <c r="K14" i="9" s="1"/>
  <c r="L14" i="9"/>
  <c r="M14" i="9"/>
  <c r="A15" i="9"/>
  <c r="B15" i="9"/>
  <c r="C15" i="9"/>
  <c r="D15" i="9"/>
  <c r="G15" i="9"/>
  <c r="A16" i="9"/>
  <c r="E16" i="9" s="1"/>
  <c r="F16" i="9"/>
  <c r="G16" i="9"/>
  <c r="H16" i="9"/>
  <c r="I16" i="9"/>
  <c r="J16" i="9"/>
  <c r="K16" i="9" s="1"/>
  <c r="A17" i="9"/>
  <c r="A18" i="9"/>
  <c r="B18" i="9"/>
  <c r="C18" i="9"/>
  <c r="D18" i="9"/>
  <c r="E18" i="9"/>
  <c r="H18" i="9"/>
  <c r="I18" i="9"/>
  <c r="J18" i="9"/>
  <c r="K18" i="9" s="1"/>
  <c r="L18" i="9"/>
  <c r="A19" i="9"/>
  <c r="B19" i="9"/>
  <c r="H19" i="9"/>
  <c r="L19" i="9"/>
  <c r="A20" i="9"/>
  <c r="B20" i="9"/>
  <c r="C20" i="9"/>
  <c r="D20" i="9"/>
  <c r="E20" i="9"/>
  <c r="F20" i="9"/>
  <c r="G20" i="9"/>
  <c r="H20" i="9"/>
  <c r="I20" i="9"/>
  <c r="J20" i="9"/>
  <c r="K20" i="9" s="1"/>
  <c r="L20" i="9"/>
  <c r="M20" i="9"/>
  <c r="A21" i="9"/>
  <c r="B21" i="9"/>
  <c r="C21" i="9"/>
  <c r="D21" i="9"/>
  <c r="E21" i="9"/>
  <c r="F21" i="9"/>
  <c r="I21" i="9"/>
  <c r="J21" i="9"/>
  <c r="K21" i="9" s="1"/>
  <c r="L21" i="9"/>
  <c r="M21" i="9"/>
  <c r="A22" i="9"/>
  <c r="B22" i="9"/>
  <c r="C22" i="9"/>
  <c r="D22" i="9"/>
  <c r="E22" i="9"/>
  <c r="F22" i="9"/>
  <c r="G22" i="9"/>
  <c r="H22" i="9"/>
  <c r="I22" i="9"/>
  <c r="J22" i="9"/>
  <c r="K22" i="9" s="1"/>
  <c r="L22" i="9"/>
  <c r="M22" i="9"/>
  <c r="A23" i="9"/>
  <c r="B23" i="9" s="1"/>
  <c r="C23" i="9"/>
  <c r="D23" i="9"/>
  <c r="E23" i="9"/>
  <c r="F23" i="9"/>
  <c r="G23" i="9"/>
  <c r="H23" i="9"/>
  <c r="I23" i="9"/>
  <c r="J23" i="9"/>
  <c r="K23" i="9"/>
  <c r="L23" i="9"/>
  <c r="M23" i="9"/>
  <c r="A24" i="9"/>
  <c r="F24" i="9"/>
  <c r="G24" i="9"/>
  <c r="M24" i="9"/>
  <c r="A25" i="9"/>
  <c r="A26" i="9"/>
  <c r="D26" i="9"/>
  <c r="E26" i="9"/>
  <c r="F26" i="9"/>
  <c r="G26" i="9"/>
  <c r="H26" i="9"/>
  <c r="J26" i="9"/>
  <c r="K26" i="9"/>
  <c r="L26" i="9"/>
  <c r="M26" i="9"/>
  <c r="A27" i="9"/>
  <c r="A28" i="9"/>
  <c r="C28" i="9" s="1"/>
  <c r="B28" i="9"/>
  <c r="D28" i="9"/>
  <c r="E28" i="9"/>
  <c r="F28" i="9"/>
  <c r="G28" i="9"/>
  <c r="H28" i="9"/>
  <c r="I28" i="9"/>
  <c r="J28" i="9"/>
  <c r="K28" i="9" s="1"/>
  <c r="L28" i="9"/>
  <c r="M28" i="9"/>
  <c r="A29" i="9"/>
  <c r="B29" i="9"/>
  <c r="A30" i="9"/>
  <c r="E30" i="9"/>
  <c r="F30" i="9"/>
  <c r="G30" i="9"/>
  <c r="A31" i="9"/>
  <c r="B31" i="9" s="1"/>
  <c r="E31" i="9"/>
  <c r="J31" i="9"/>
  <c r="K31" i="9" s="1"/>
  <c r="A32" i="9"/>
  <c r="B32" i="9"/>
  <c r="C32" i="9"/>
  <c r="F32" i="9"/>
  <c r="G32" i="9"/>
  <c r="H32" i="9" s="1"/>
  <c r="I32" i="9"/>
  <c r="J32" i="9"/>
  <c r="K32" i="9" s="1"/>
  <c r="L32" i="9"/>
  <c r="A33" i="9"/>
  <c r="B33" i="9" s="1"/>
  <c r="A34" i="9"/>
  <c r="B34" i="9" s="1"/>
  <c r="D34" i="9"/>
  <c r="F34" i="9"/>
  <c r="G34" i="9"/>
  <c r="H34" i="9"/>
  <c r="I34" i="9"/>
  <c r="J34" i="9"/>
  <c r="K34" i="9"/>
  <c r="L34" i="9"/>
  <c r="A35" i="9"/>
  <c r="B35" i="9" s="1"/>
  <c r="D35" i="9"/>
  <c r="G35" i="9"/>
  <c r="J35" i="9"/>
  <c r="K35" i="9"/>
  <c r="M35" i="9"/>
  <c r="A36" i="9"/>
  <c r="B36" i="9"/>
  <c r="C36" i="9"/>
  <c r="D36" i="9"/>
  <c r="E36" i="9"/>
  <c r="F36" i="9"/>
  <c r="G36" i="9"/>
  <c r="H36" i="9"/>
  <c r="I36" i="9"/>
  <c r="A37" i="9"/>
  <c r="F37" i="9" s="1"/>
  <c r="B37" i="9"/>
  <c r="C37" i="9"/>
  <c r="D37" i="9"/>
  <c r="E37" i="9"/>
  <c r="G37" i="9"/>
  <c r="H37" i="9"/>
  <c r="I37" i="9"/>
  <c r="J37" i="9"/>
  <c r="K37" i="9"/>
  <c r="L37" i="9"/>
  <c r="M37" i="9"/>
  <c r="A38" i="9"/>
  <c r="B38" i="9"/>
  <c r="C38" i="9"/>
  <c r="D38" i="9"/>
  <c r="E38" i="9"/>
  <c r="H38" i="9"/>
  <c r="A39" i="9"/>
  <c r="B39" i="9" s="1"/>
  <c r="G39" i="9"/>
  <c r="I39" i="9" s="1"/>
  <c r="J39" i="9"/>
  <c r="K39" i="9" s="1"/>
  <c r="L39" i="9"/>
  <c r="A40" i="9"/>
  <c r="B40" i="9"/>
  <c r="C40" i="9"/>
  <c r="D40" i="9"/>
  <c r="E40" i="9"/>
  <c r="F40" i="9"/>
  <c r="G40" i="9"/>
  <c r="H40" i="9"/>
  <c r="I40" i="9"/>
  <c r="J40" i="9"/>
  <c r="K40" i="9" s="1"/>
  <c r="L40" i="9"/>
  <c r="M40" i="9"/>
  <c r="A41" i="9"/>
  <c r="B41" i="9" s="1"/>
  <c r="C41" i="9"/>
  <c r="E41" i="9"/>
  <c r="F41" i="9"/>
  <c r="I41" i="9"/>
  <c r="J41" i="9"/>
  <c r="K41" i="9" s="1"/>
  <c r="L41" i="9"/>
  <c r="M41" i="9"/>
  <c r="A42" i="9"/>
  <c r="B42" i="9"/>
  <c r="C42" i="9"/>
  <c r="D42" i="9"/>
  <c r="E42" i="9"/>
  <c r="F42" i="9"/>
  <c r="G42" i="9"/>
  <c r="H42" i="9"/>
  <c r="I42" i="9"/>
  <c r="J42" i="9"/>
  <c r="K42" i="9" s="1"/>
  <c r="L42" i="9"/>
  <c r="M42" i="9"/>
  <c r="A43" i="9"/>
  <c r="B43" i="9" s="1"/>
  <c r="C43" i="9"/>
  <c r="D43" i="9"/>
  <c r="E43" i="9"/>
  <c r="F43" i="9"/>
  <c r="G43" i="9"/>
  <c r="H43" i="9"/>
  <c r="I43" i="9"/>
  <c r="J43" i="9"/>
  <c r="K43" i="9" s="1"/>
  <c r="L43" i="9"/>
  <c r="M43" i="9"/>
  <c r="A44" i="9"/>
  <c r="E44" i="9" s="1"/>
  <c r="G44" i="9"/>
  <c r="J44" i="9"/>
  <c r="K44" i="9"/>
  <c r="L44" i="9"/>
  <c r="M44" i="9"/>
  <c r="A45" i="9"/>
  <c r="C45" i="9"/>
  <c r="D45" i="9"/>
  <c r="E45" i="9"/>
  <c r="J45" i="9"/>
  <c r="K45" i="9" s="1"/>
  <c r="A46" i="9"/>
  <c r="D46" i="9"/>
  <c r="E46" i="9"/>
  <c r="F46" i="9"/>
  <c r="G46" i="9"/>
  <c r="H46" i="9"/>
  <c r="J46" i="9"/>
  <c r="K46" i="9" s="1"/>
  <c r="L46" i="9"/>
  <c r="M46" i="9"/>
  <c r="A47" i="9"/>
  <c r="B47" i="9"/>
  <c r="G47" i="9"/>
  <c r="H47" i="9"/>
  <c r="A48" i="9"/>
  <c r="B48" i="9" s="1"/>
  <c r="D48" i="9"/>
  <c r="F48" i="9"/>
  <c r="G48" i="9"/>
  <c r="H48" i="9"/>
  <c r="I48" i="9"/>
  <c r="A49" i="9"/>
  <c r="B49" i="9" s="1"/>
  <c r="F49" i="9"/>
  <c r="G49" i="9"/>
  <c r="L49" i="9"/>
  <c r="M49" i="9"/>
  <c r="A50" i="9"/>
  <c r="B50" i="9" s="1"/>
  <c r="A51" i="9"/>
  <c r="D51" i="9" s="1"/>
  <c r="B51" i="9"/>
  <c r="C51" i="9"/>
  <c r="E51" i="9"/>
  <c r="G51" i="9"/>
  <c r="H51" i="9"/>
  <c r="I51" i="9"/>
  <c r="J51" i="9"/>
  <c r="K51" i="9" s="1"/>
  <c r="L51" i="9"/>
  <c r="M51" i="9"/>
  <c r="A52" i="9"/>
  <c r="A53" i="9"/>
  <c r="B53" i="9"/>
  <c r="F53" i="9"/>
  <c r="G53" i="9"/>
  <c r="H53" i="9"/>
  <c r="I53" i="9"/>
  <c r="A54" i="9"/>
  <c r="B54" i="9"/>
  <c r="C54" i="9"/>
  <c r="D54" i="9"/>
  <c r="F54" i="9"/>
  <c r="L54" i="9"/>
  <c r="A55" i="9"/>
  <c r="B55" i="9"/>
  <c r="C55" i="9"/>
  <c r="D55" i="9"/>
  <c r="G55" i="9"/>
  <c r="H55" i="9"/>
  <c r="I55" i="9"/>
  <c r="J55" i="9"/>
  <c r="K55" i="9"/>
  <c r="M55" i="9"/>
  <c r="A56" i="9"/>
  <c r="A57" i="9"/>
  <c r="F57" i="9" s="1"/>
  <c r="B57" i="9"/>
  <c r="C57" i="9"/>
  <c r="D57" i="9"/>
  <c r="E57" i="9"/>
  <c r="G57" i="9"/>
  <c r="H57" i="9"/>
  <c r="I57" i="9"/>
  <c r="J57" i="9"/>
  <c r="K57" i="9" s="1"/>
  <c r="L57" i="9"/>
  <c r="M57" i="9"/>
  <c r="A58" i="9"/>
  <c r="B58" i="9"/>
  <c r="C58" i="9"/>
  <c r="D58" i="9"/>
  <c r="E58" i="9"/>
  <c r="H58" i="9"/>
  <c r="I58" i="9"/>
  <c r="J58" i="9"/>
  <c r="K58" i="9" s="1"/>
  <c r="L58" i="9"/>
  <c r="A59" i="9"/>
  <c r="B59" i="9"/>
  <c r="C59" i="9"/>
  <c r="D59" i="9"/>
  <c r="E59" i="9"/>
  <c r="F59" i="9"/>
  <c r="G59" i="9"/>
  <c r="H59" i="9"/>
  <c r="I59" i="9"/>
  <c r="J59" i="9"/>
  <c r="K59" i="9" s="1"/>
  <c r="A60" i="9"/>
  <c r="B60" i="9"/>
  <c r="C60" i="9"/>
  <c r="D60" i="9"/>
  <c r="E60" i="9"/>
  <c r="F60" i="9"/>
  <c r="G60" i="9"/>
  <c r="H60" i="9"/>
  <c r="I60" i="9"/>
  <c r="J60" i="9"/>
  <c r="K60" i="9" s="1"/>
  <c r="L60" i="9"/>
  <c r="M60" i="9"/>
  <c r="A61" i="9"/>
  <c r="B61" i="9"/>
  <c r="C61" i="9"/>
  <c r="D61" i="9"/>
  <c r="E61" i="9"/>
  <c r="A62" i="9"/>
  <c r="B62" i="9"/>
  <c r="C62" i="9"/>
  <c r="D62" i="9"/>
  <c r="E62" i="9"/>
  <c r="F62" i="9"/>
  <c r="G62" i="9"/>
  <c r="H62" i="9"/>
  <c r="I62" i="9"/>
  <c r="J62" i="9"/>
  <c r="K62" i="9" s="1"/>
  <c r="L62" i="9"/>
  <c r="M62" i="9"/>
  <c r="A63" i="9"/>
  <c r="B63" i="9" s="1"/>
  <c r="C63" i="9"/>
  <c r="D63" i="9"/>
  <c r="E63" i="9"/>
  <c r="F63" i="9"/>
  <c r="G63" i="9"/>
  <c r="H63" i="9"/>
  <c r="I63" i="9"/>
  <c r="J63" i="9"/>
  <c r="K63" i="9"/>
  <c r="L63" i="9"/>
  <c r="M63" i="9"/>
  <c r="A64" i="9"/>
  <c r="B64" i="9"/>
  <c r="C64" i="9"/>
  <c r="D64" i="9"/>
  <c r="E64" i="9"/>
  <c r="F64" i="9"/>
  <c r="G64" i="9"/>
  <c r="J64" i="9"/>
  <c r="K64" i="9" s="1"/>
  <c r="A65" i="9"/>
  <c r="B65" i="9" s="1"/>
  <c r="C65" i="9"/>
  <c r="D65" i="9"/>
  <c r="E65" i="9"/>
  <c r="G65" i="9"/>
  <c r="H65" i="9"/>
  <c r="I65" i="9"/>
  <c r="J65" i="9"/>
  <c r="K65" i="9" s="1"/>
  <c r="L65" i="9"/>
  <c r="M65" i="9"/>
  <c r="A66" i="9"/>
  <c r="D66" i="9"/>
  <c r="E66" i="9"/>
  <c r="F66" i="9"/>
  <c r="G66" i="9"/>
  <c r="H66" i="9"/>
  <c r="A67" i="9"/>
  <c r="B67" i="9"/>
  <c r="L67" i="9"/>
  <c r="M67" i="9"/>
  <c r="A68" i="9"/>
  <c r="B68" i="9" s="1"/>
  <c r="D68" i="9"/>
  <c r="A69" i="9"/>
  <c r="B69" i="9"/>
  <c r="E69" i="9"/>
  <c r="F69" i="9"/>
  <c r="G69" i="9"/>
  <c r="H69" i="9"/>
  <c r="I69" i="9"/>
  <c r="L69" i="9"/>
  <c r="M69" i="9"/>
  <c r="A70" i="9"/>
  <c r="B70" i="9"/>
  <c r="A71" i="9"/>
  <c r="D71" i="9" s="1"/>
  <c r="B71" i="9"/>
  <c r="C71" i="9"/>
  <c r="E71" i="9"/>
  <c r="F71" i="9"/>
  <c r="G71" i="9"/>
  <c r="H71" i="9"/>
  <c r="I71" i="9"/>
  <c r="J71" i="9"/>
  <c r="K71" i="9" s="1"/>
  <c r="L71" i="9"/>
  <c r="M71" i="9"/>
  <c r="A72" i="9"/>
  <c r="B72" i="9"/>
  <c r="C72" i="9"/>
  <c r="F72" i="9"/>
  <c r="G72" i="9"/>
  <c r="H72" i="9"/>
  <c r="I72" i="9"/>
  <c r="J72" i="9"/>
  <c r="K72" i="9" s="1"/>
  <c r="L72" i="9"/>
  <c r="M72" i="9"/>
  <c r="A73" i="9"/>
  <c r="A74" i="9"/>
  <c r="E74" i="9" s="1"/>
  <c r="D74" i="9"/>
  <c r="F74" i="9"/>
  <c r="J74" i="9"/>
  <c r="K74" i="9" s="1"/>
  <c r="L74" i="9"/>
  <c r="M74" i="9"/>
  <c r="A75" i="9"/>
  <c r="A76" i="9"/>
  <c r="D76" i="9" s="1"/>
  <c r="B76" i="9"/>
  <c r="C76" i="9"/>
  <c r="F76" i="9"/>
  <c r="G76" i="9"/>
  <c r="H76" i="9"/>
  <c r="I76" i="9"/>
  <c r="J76" i="9"/>
  <c r="K76" i="9" s="1"/>
  <c r="A77" i="9"/>
  <c r="B77" i="9"/>
  <c r="C77" i="9"/>
  <c r="D77" i="9"/>
  <c r="E77" i="9"/>
  <c r="G77" i="9"/>
  <c r="L77" i="9"/>
  <c r="M77" i="9"/>
  <c r="A78" i="9"/>
  <c r="B78" i="9"/>
  <c r="C78" i="9"/>
  <c r="D78" i="9"/>
  <c r="E78" i="9"/>
  <c r="H78" i="9"/>
  <c r="I78" i="9"/>
  <c r="J78" i="9"/>
  <c r="K78" i="9" s="1"/>
  <c r="L78" i="9"/>
  <c r="A79" i="9"/>
  <c r="B79" i="9"/>
  <c r="C79" i="9"/>
  <c r="D79" i="9"/>
  <c r="I79" i="9"/>
  <c r="J79" i="9"/>
  <c r="K79" i="9" s="1"/>
  <c r="A80" i="9"/>
  <c r="B80" i="9"/>
  <c r="C80" i="9"/>
  <c r="D80" i="9"/>
  <c r="F80" i="9"/>
  <c r="G80" i="9"/>
  <c r="H80" i="9" s="1"/>
  <c r="J80" i="9"/>
  <c r="K80" i="9" s="1"/>
  <c r="L80" i="9"/>
  <c r="A81" i="9"/>
  <c r="B81" i="9" s="1"/>
  <c r="D81" i="9"/>
  <c r="L81" i="9"/>
  <c r="A82" i="9"/>
  <c r="B82" i="9"/>
  <c r="C82" i="9"/>
  <c r="D82" i="9"/>
  <c r="F82" i="9"/>
  <c r="G82" i="9"/>
  <c r="I82" i="9" s="1"/>
  <c r="J82" i="9"/>
  <c r="K82" i="9" s="1"/>
  <c r="L82" i="9"/>
  <c r="A83" i="9"/>
  <c r="B83" i="9" s="1"/>
  <c r="C83" i="9"/>
  <c r="D83" i="9"/>
  <c r="F83" i="9"/>
  <c r="G83" i="9"/>
  <c r="H83" i="9" s="1"/>
  <c r="J83" i="9"/>
  <c r="K83" i="9" s="1"/>
  <c r="L83" i="9"/>
  <c r="A84" i="9"/>
  <c r="B84" i="9"/>
  <c r="C84" i="9"/>
  <c r="D84" i="9"/>
  <c r="F84" i="9"/>
  <c r="A85" i="9"/>
  <c r="B85" i="9" s="1"/>
  <c r="C85" i="9"/>
  <c r="D85" i="9"/>
  <c r="F85" i="9"/>
  <c r="G85" i="9"/>
  <c r="I85" i="9" s="1"/>
  <c r="J85" i="9"/>
  <c r="K85" i="9" s="1"/>
  <c r="L85" i="9"/>
  <c r="A86" i="9"/>
  <c r="A87" i="9"/>
  <c r="F87" i="9" s="1"/>
  <c r="L87" i="9"/>
  <c r="A88" i="9"/>
  <c r="C88" i="9" s="1"/>
  <c r="B88" i="9"/>
  <c r="D88" i="9"/>
  <c r="F88" i="9"/>
  <c r="G88" i="9"/>
  <c r="J88" i="9"/>
  <c r="K88" i="9" s="1"/>
  <c r="L88" i="9"/>
  <c r="A89" i="9"/>
  <c r="A90" i="9"/>
  <c r="J90" i="9" s="1"/>
  <c r="K90" i="9" s="1"/>
  <c r="B90" i="9"/>
  <c r="C90" i="9"/>
  <c r="D90" i="9"/>
  <c r="F90" i="9"/>
  <c r="G90" i="9"/>
  <c r="I90" i="9" s="1"/>
  <c r="L90" i="9"/>
  <c r="A91" i="9"/>
  <c r="B91" i="9"/>
  <c r="J91" i="9"/>
  <c r="K91" i="9" s="1"/>
  <c r="L91" i="9"/>
  <c r="A92" i="9"/>
  <c r="F92" i="9"/>
  <c r="G92" i="9"/>
  <c r="H92" i="9"/>
  <c r="I92" i="9"/>
  <c r="J92" i="9"/>
  <c r="K92" i="9" s="1"/>
  <c r="L92" i="9"/>
  <c r="A93" i="9"/>
  <c r="B93" i="9"/>
  <c r="C93" i="9"/>
  <c r="D93" i="9"/>
  <c r="A94" i="9"/>
  <c r="B94" i="9"/>
  <c r="C94" i="9"/>
  <c r="D94" i="9"/>
  <c r="F94" i="9"/>
  <c r="G94" i="9"/>
  <c r="I94" i="9" s="1"/>
  <c r="J94" i="9"/>
  <c r="K94" i="9" s="1"/>
  <c r="L94" i="9"/>
  <c r="A95" i="9"/>
  <c r="D95" i="9" s="1"/>
  <c r="B95" i="9"/>
  <c r="A96" i="9"/>
  <c r="C96" i="9" s="1"/>
  <c r="B96" i="9"/>
  <c r="D96" i="9"/>
  <c r="G96" i="9"/>
  <c r="I96" i="9" s="1"/>
  <c r="H96" i="9"/>
  <c r="J96" i="9"/>
  <c r="K96" i="9" s="1"/>
  <c r="A97" i="9"/>
  <c r="A98" i="9"/>
  <c r="C98" i="9" s="1"/>
  <c r="B98" i="9"/>
  <c r="D98" i="9"/>
  <c r="J98" i="9"/>
  <c r="K98" i="9" s="1"/>
  <c r="A99" i="9"/>
  <c r="B99" i="9" s="1"/>
  <c r="C99" i="9"/>
  <c r="D99" i="9"/>
  <c r="A100" i="9"/>
  <c r="B100" i="9"/>
  <c r="C100" i="9"/>
  <c r="D100" i="9"/>
  <c r="F100" i="9"/>
  <c r="G100" i="9"/>
  <c r="H100" i="9" s="1"/>
  <c r="I100" i="9"/>
  <c r="J100" i="9"/>
  <c r="K100" i="9"/>
  <c r="M100" i="9" s="1"/>
  <c r="L100" i="9"/>
  <c r="A101" i="9"/>
  <c r="B101" i="9"/>
  <c r="C101" i="9"/>
  <c r="D101" i="9"/>
  <c r="F101" i="9"/>
  <c r="J101" i="9"/>
  <c r="K101" i="9" s="1"/>
  <c r="L101" i="9"/>
  <c r="A102" i="9"/>
  <c r="C102" i="9" s="1"/>
  <c r="B102" i="9"/>
  <c r="F102" i="9"/>
  <c r="G102" i="9"/>
  <c r="L102" i="9"/>
  <c r="A103" i="9"/>
  <c r="B103" i="9" s="1"/>
  <c r="C103" i="9"/>
  <c r="D103" i="9"/>
  <c r="F103" i="9"/>
  <c r="G103" i="9"/>
  <c r="I103" i="9" s="1"/>
  <c r="H103" i="9"/>
  <c r="J103" i="9"/>
  <c r="K103" i="9" s="1"/>
  <c r="L103" i="9"/>
  <c r="A104" i="9"/>
  <c r="B104" i="9"/>
  <c r="C104" i="9"/>
  <c r="D104" i="9"/>
  <c r="G104" i="9"/>
  <c r="J104" i="9"/>
  <c r="K104" i="9" s="1"/>
  <c r="L104" i="9"/>
  <c r="A105" i="9"/>
  <c r="B105" i="9"/>
  <c r="C105" i="9"/>
  <c r="G105" i="9"/>
  <c r="A106" i="9"/>
  <c r="D106" i="9"/>
  <c r="E106" i="9"/>
  <c r="F106" i="9"/>
  <c r="G106" i="9"/>
  <c r="H106" i="9"/>
  <c r="I106" i="9"/>
  <c r="J106" i="9"/>
  <c r="K106" i="9"/>
  <c r="L106" i="9"/>
  <c r="M106" i="9"/>
  <c r="A107" i="9"/>
  <c r="B107" i="9" s="1"/>
  <c r="C107" i="9"/>
  <c r="F107" i="9"/>
  <c r="G107" i="9"/>
  <c r="H107" i="9" s="1"/>
  <c r="A108" i="9"/>
  <c r="M108" i="9" s="1"/>
  <c r="D108" i="9"/>
  <c r="F108" i="9"/>
  <c r="G108" i="9"/>
  <c r="H108" i="9"/>
  <c r="I108" i="9"/>
  <c r="J108" i="9"/>
  <c r="K108" i="9" s="1"/>
  <c r="L108" i="9"/>
  <c r="A109" i="9"/>
  <c r="B109" i="9" s="1"/>
  <c r="E109" i="9"/>
  <c r="F109" i="9"/>
  <c r="G109" i="9"/>
  <c r="J109" i="9"/>
  <c r="K109" i="9" s="1"/>
  <c r="L109" i="9"/>
  <c r="M109" i="9"/>
  <c r="A110" i="9"/>
  <c r="B110" i="9" s="1"/>
  <c r="D110" i="9"/>
  <c r="F110" i="9"/>
  <c r="G110" i="9"/>
  <c r="H110" i="9"/>
  <c r="L110" i="9"/>
  <c r="M110" i="9"/>
  <c r="A111" i="9"/>
  <c r="G111" i="9" s="1"/>
  <c r="H111" i="9"/>
  <c r="I111" i="9"/>
  <c r="J111" i="9"/>
  <c r="K111" i="9" s="1"/>
  <c r="L111" i="9"/>
  <c r="A112" i="9"/>
  <c r="B112" i="9" s="1"/>
  <c r="C112" i="9"/>
  <c r="F112" i="9"/>
  <c r="L112" i="9"/>
  <c r="A113" i="9"/>
  <c r="L113" i="9" s="1"/>
  <c r="B113" i="9"/>
  <c r="C113" i="9"/>
  <c r="D113" i="9"/>
  <c r="F113" i="9"/>
  <c r="G113" i="9"/>
  <c r="H113" i="9" s="1"/>
  <c r="J113" i="9"/>
  <c r="K113" i="9" s="1"/>
  <c r="A114" i="9"/>
  <c r="B114" i="9" s="1"/>
  <c r="D114" i="9"/>
  <c r="F114" i="9"/>
  <c r="G114" i="9"/>
  <c r="L114" i="9"/>
  <c r="A115" i="9"/>
  <c r="B115" i="9" s="1"/>
  <c r="C115" i="9"/>
  <c r="D115" i="9"/>
  <c r="G115" i="9"/>
  <c r="H115" i="9"/>
  <c r="I115" i="9"/>
  <c r="J115" i="9"/>
  <c r="K115" i="9"/>
  <c r="M115" i="9"/>
  <c r="A116" i="9"/>
  <c r="B116" i="9"/>
  <c r="C116" i="9"/>
  <c r="D116" i="9"/>
  <c r="G116" i="9"/>
  <c r="H116" i="9"/>
  <c r="I116" i="9"/>
  <c r="J116" i="9"/>
  <c r="K116" i="9" s="1"/>
  <c r="A117" i="9"/>
  <c r="G117" i="9"/>
  <c r="L117" i="9"/>
  <c r="A118" i="9"/>
  <c r="B118" i="9"/>
  <c r="C118" i="9"/>
  <c r="D118" i="9"/>
  <c r="E118" i="9"/>
  <c r="H118" i="9"/>
  <c r="I118" i="9"/>
  <c r="J118" i="9"/>
  <c r="K118" i="9"/>
  <c r="L118" i="9"/>
  <c r="M118" i="9"/>
  <c r="A119" i="9"/>
  <c r="B119" i="9"/>
  <c r="C119" i="9"/>
  <c r="E119" i="9"/>
  <c r="F119" i="9"/>
  <c r="G119" i="9"/>
  <c r="H119" i="9"/>
  <c r="I119" i="9"/>
  <c r="L119" i="9"/>
  <c r="A120" i="9"/>
  <c r="B120" i="9"/>
  <c r="C120" i="9"/>
  <c r="D120" i="9"/>
  <c r="E120" i="9"/>
  <c r="F120" i="9"/>
  <c r="G120" i="9"/>
  <c r="H120" i="9"/>
  <c r="I120" i="9"/>
  <c r="J120" i="9"/>
  <c r="K120" i="9" s="1"/>
  <c r="L120" i="9"/>
  <c r="M120" i="9"/>
  <c r="A121" i="9"/>
  <c r="B121" i="9" s="1"/>
  <c r="C121" i="9"/>
  <c r="D121" i="9"/>
  <c r="I121" i="9"/>
  <c r="J121" i="9"/>
  <c r="K121" i="9"/>
  <c r="L121" i="9"/>
  <c r="M121" i="9"/>
  <c r="A122" i="9"/>
  <c r="A123" i="9"/>
  <c r="B123" i="9"/>
  <c r="C123" i="9"/>
  <c r="D123" i="9"/>
  <c r="F123" i="9"/>
  <c r="G123" i="9"/>
  <c r="J123" i="9"/>
  <c r="K123" i="9" s="1"/>
  <c r="L123" i="9"/>
  <c r="A124" i="9"/>
  <c r="C124" i="9" s="1"/>
  <c r="G124" i="9"/>
  <c r="L124" i="9"/>
  <c r="A125" i="9"/>
  <c r="D125" i="9"/>
  <c r="F125" i="9"/>
  <c r="G125" i="9"/>
  <c r="H125" i="9" s="1"/>
  <c r="J125" i="9"/>
  <c r="K125" i="9" s="1"/>
  <c r="L125" i="9"/>
  <c r="A126" i="9"/>
  <c r="D126" i="9"/>
  <c r="A127" i="9"/>
  <c r="D127" i="9" s="1"/>
  <c r="B127" i="9"/>
  <c r="C127" i="9"/>
  <c r="F127" i="9"/>
  <c r="L127" i="9"/>
  <c r="A128" i="9"/>
  <c r="A129" i="9"/>
  <c r="B129" i="9"/>
  <c r="F129" i="9"/>
  <c r="G129" i="9"/>
  <c r="I129" i="9" s="1"/>
  <c r="J129" i="9"/>
  <c r="A130" i="9"/>
  <c r="B130" i="9"/>
  <c r="C130" i="9"/>
  <c r="D130" i="9"/>
  <c r="H130" i="9"/>
  <c r="I130" i="9"/>
  <c r="L130" i="9"/>
  <c r="M130" i="9"/>
  <c r="A131" i="9"/>
  <c r="B131" i="9"/>
  <c r="C131" i="9"/>
  <c r="D131" i="9"/>
  <c r="F131" i="9"/>
  <c r="G131" i="9"/>
  <c r="I131" i="9" s="1"/>
  <c r="J131" i="9"/>
  <c r="K131" i="9"/>
  <c r="L131" i="9"/>
  <c r="A132" i="9"/>
  <c r="B132" i="9" s="1"/>
  <c r="C132" i="9"/>
  <c r="F132" i="9"/>
  <c r="G132" i="9"/>
  <c r="H132" i="9" s="1"/>
  <c r="L132" i="9"/>
  <c r="A133" i="9"/>
  <c r="B133" i="9"/>
  <c r="D133" i="9"/>
  <c r="F133" i="9"/>
  <c r="G133" i="9"/>
  <c r="I133" i="9" s="1"/>
  <c r="J133" i="9"/>
  <c r="K133" i="9" s="1"/>
  <c r="A134" i="9"/>
  <c r="B134" i="9" s="1"/>
  <c r="C134" i="9"/>
  <c r="D134" i="9"/>
  <c r="G134" i="9"/>
  <c r="J134" i="9"/>
  <c r="K134" i="9"/>
  <c r="A135" i="9"/>
  <c r="B135" i="9"/>
  <c r="C135" i="9"/>
  <c r="D135" i="9"/>
  <c r="G135" i="9"/>
  <c r="H135" i="9"/>
  <c r="I135" i="9"/>
  <c r="J135" i="9"/>
  <c r="K135" i="9" s="1"/>
  <c r="A136" i="9"/>
  <c r="C136" i="9"/>
  <c r="D136" i="9"/>
  <c r="E136" i="9"/>
  <c r="F136" i="9"/>
  <c r="G136" i="9"/>
  <c r="I136" i="9"/>
  <c r="J136" i="9"/>
  <c r="K136" i="9" s="1"/>
  <c r="A137" i="9"/>
  <c r="F137" i="9"/>
  <c r="I137" i="9"/>
  <c r="A138" i="9"/>
  <c r="B138" i="9"/>
  <c r="C138" i="9"/>
  <c r="E138" i="9"/>
  <c r="H138" i="9"/>
  <c r="I138" i="9"/>
  <c r="J138" i="9"/>
  <c r="K138" i="9"/>
  <c r="L138" i="9"/>
  <c r="M138" i="9"/>
  <c r="A139" i="9"/>
  <c r="B139" i="9" s="1"/>
  <c r="C139" i="9"/>
  <c r="H139" i="9"/>
  <c r="A140" i="9"/>
  <c r="B140" i="9"/>
  <c r="C140" i="9"/>
  <c r="D140" i="9"/>
  <c r="E140" i="9"/>
  <c r="F140" i="9"/>
  <c r="G140" i="9"/>
  <c r="H140" i="9"/>
  <c r="I140" i="9"/>
  <c r="J140" i="9"/>
  <c r="K140" i="9" s="1"/>
  <c r="L140" i="9"/>
  <c r="M140" i="9"/>
  <c r="A141" i="9"/>
  <c r="C141" i="9"/>
  <c r="L141" i="9"/>
  <c r="A142" i="9"/>
  <c r="J142" i="9" s="1"/>
  <c r="K142" i="9" s="1"/>
  <c r="B142" i="9"/>
  <c r="D142" i="9"/>
  <c r="E142" i="9"/>
  <c r="F142" i="9"/>
  <c r="G142" i="9"/>
  <c r="H142" i="9"/>
  <c r="I142" i="9"/>
  <c r="L142" i="9"/>
  <c r="M142" i="9"/>
  <c r="A143" i="9"/>
  <c r="B143" i="9"/>
  <c r="C143" i="9"/>
  <c r="D143" i="9"/>
  <c r="E143" i="9"/>
  <c r="F143" i="9"/>
  <c r="G143" i="9"/>
  <c r="H143" i="9"/>
  <c r="I143" i="9"/>
  <c r="J143" i="9"/>
  <c r="K143" i="9" s="1"/>
  <c r="L143" i="9"/>
  <c r="M143" i="9"/>
  <c r="A144" i="9"/>
  <c r="C144" i="9" s="1"/>
  <c r="B144" i="9"/>
  <c r="E144" i="9"/>
  <c r="G144" i="9"/>
  <c r="I144" i="9"/>
  <c r="J144" i="9"/>
  <c r="K144" i="9" s="1"/>
  <c r="A145" i="9"/>
  <c r="L145" i="9" s="1"/>
  <c r="B145" i="9"/>
  <c r="C145" i="9"/>
  <c r="D145" i="9"/>
  <c r="E145" i="9"/>
  <c r="F145" i="9"/>
  <c r="G145" i="9"/>
  <c r="H145" i="9"/>
  <c r="I145" i="9"/>
  <c r="J145" i="9"/>
  <c r="K145" i="9" s="1"/>
  <c r="M145" i="9"/>
  <c r="A146" i="9"/>
  <c r="C146" i="9" s="1"/>
  <c r="B146" i="9"/>
  <c r="D146" i="9"/>
  <c r="G146" i="9"/>
  <c r="L146" i="9"/>
  <c r="M146" i="9"/>
  <c r="A147" i="9"/>
  <c r="E147" i="9"/>
  <c r="I147" i="9"/>
  <c r="M147" i="9"/>
  <c r="A148" i="9"/>
  <c r="A149" i="9"/>
  <c r="I149" i="9"/>
  <c r="L149" i="9"/>
  <c r="A150" i="9"/>
  <c r="B150" i="9"/>
  <c r="C150" i="9"/>
  <c r="D150" i="9"/>
  <c r="E150" i="9"/>
  <c r="F150" i="9"/>
  <c r="H150" i="9"/>
  <c r="I150" i="9"/>
  <c r="J150" i="9"/>
  <c r="K150" i="9" s="1"/>
  <c r="L150" i="9"/>
  <c r="A151" i="9"/>
  <c r="B151" i="9" s="1"/>
  <c r="C151" i="9"/>
  <c r="D151" i="9"/>
  <c r="E151" i="9"/>
  <c r="F151" i="9"/>
  <c r="G151" i="9"/>
  <c r="H151" i="9"/>
  <c r="L151" i="9"/>
  <c r="M151" i="9"/>
  <c r="A152" i="9"/>
  <c r="B152" i="9"/>
  <c r="C152" i="9"/>
  <c r="D152" i="9"/>
  <c r="E152" i="9"/>
  <c r="F152" i="9"/>
  <c r="G152" i="9"/>
  <c r="H152" i="9"/>
  <c r="I152" i="9"/>
  <c r="J152" i="9"/>
  <c r="K152" i="9" s="1"/>
  <c r="L152" i="9"/>
  <c r="M152" i="9"/>
  <c r="A153" i="9"/>
  <c r="G153" i="9" s="1"/>
  <c r="B153" i="9"/>
  <c r="F153" i="9"/>
  <c r="I153" i="9"/>
  <c r="J153" i="9"/>
  <c r="K153" i="9" s="1"/>
  <c r="L153" i="9"/>
  <c r="M153" i="9"/>
  <c r="A154" i="9"/>
  <c r="B154" i="9"/>
  <c r="C154" i="9"/>
  <c r="D154" i="9"/>
  <c r="E154" i="9"/>
  <c r="F154" i="9"/>
  <c r="G154" i="9"/>
  <c r="H154" i="9"/>
  <c r="I154" i="9"/>
  <c r="J154" i="9"/>
  <c r="K154" i="9" s="1"/>
  <c r="L154" i="9"/>
  <c r="M154" i="9"/>
  <c r="A155" i="9"/>
  <c r="D155" i="9" s="1"/>
  <c r="C155" i="9"/>
  <c r="E155" i="9"/>
  <c r="F155" i="9"/>
  <c r="G155" i="9"/>
  <c r="I155" i="9"/>
  <c r="J155" i="9"/>
  <c r="K155" i="9" s="1"/>
  <c r="L155" i="9"/>
  <c r="M155" i="9"/>
  <c r="A156" i="9"/>
  <c r="B156" i="9"/>
  <c r="C156" i="9"/>
  <c r="D156" i="9"/>
  <c r="A157" i="9"/>
  <c r="F157" i="9"/>
  <c r="J157" i="9"/>
  <c r="K157" i="9" s="1"/>
  <c r="L157" i="9"/>
  <c r="M157" i="9"/>
  <c r="A158" i="9"/>
  <c r="A159" i="9"/>
  <c r="B159" i="9"/>
  <c r="C159" i="9"/>
  <c r="D159" i="9"/>
  <c r="E159" i="9"/>
  <c r="F159" i="9"/>
  <c r="G159" i="9"/>
  <c r="H159" i="9"/>
  <c r="I159" i="9"/>
  <c r="L159" i="9"/>
  <c r="A160" i="9"/>
  <c r="C160" i="9" s="1"/>
  <c r="B160" i="9"/>
  <c r="D160" i="9"/>
  <c r="E160" i="9"/>
  <c r="F160" i="9"/>
  <c r="G160" i="9"/>
  <c r="H160" i="9"/>
  <c r="I160" i="9"/>
  <c r="J160" i="9"/>
  <c r="K160" i="9" s="1"/>
  <c r="L160" i="9"/>
  <c r="M160" i="9"/>
  <c r="A161" i="9"/>
  <c r="G161" i="9" s="1"/>
  <c r="A162" i="9"/>
  <c r="G162" i="9"/>
  <c r="A163" i="9"/>
  <c r="B163" i="9" s="1"/>
  <c r="C163" i="9"/>
  <c r="E163" i="9"/>
  <c r="H163" i="9"/>
  <c r="A164" i="9"/>
  <c r="E164" i="9" s="1"/>
  <c r="C164" i="9"/>
  <c r="D164" i="9"/>
  <c r="F164" i="9"/>
  <c r="G164" i="9"/>
  <c r="H164" i="9"/>
  <c r="I164" i="9"/>
  <c r="J164" i="9"/>
  <c r="K164" i="9" s="1"/>
  <c r="L164" i="9"/>
  <c r="M164" i="9"/>
  <c r="A165" i="9"/>
  <c r="D165" i="9" s="1"/>
  <c r="A166" i="9"/>
  <c r="B166" i="9"/>
  <c r="C166" i="9"/>
  <c r="D166" i="9"/>
  <c r="F166" i="9"/>
  <c r="G166" i="9"/>
  <c r="H166" i="9"/>
  <c r="I166" i="9"/>
  <c r="J166" i="9"/>
  <c r="K166" i="9" s="1"/>
  <c r="M166" i="9"/>
  <c r="A167" i="9"/>
  <c r="B167" i="9"/>
  <c r="C167" i="9"/>
  <c r="D167" i="9"/>
  <c r="G167" i="9"/>
  <c r="A168" i="9"/>
  <c r="C168" i="9"/>
  <c r="A169" i="9"/>
  <c r="C169" i="9"/>
  <c r="D169" i="9"/>
  <c r="E169" i="9"/>
  <c r="G169" i="9"/>
  <c r="H169" i="9"/>
  <c r="L169" i="9"/>
  <c r="M169" i="9"/>
  <c r="A170" i="9"/>
  <c r="B170" i="9"/>
  <c r="F170" i="9"/>
  <c r="H170" i="9"/>
  <c r="I170" i="9"/>
  <c r="A171" i="9"/>
  <c r="C171" i="9" s="1"/>
  <c r="B171" i="9"/>
  <c r="D171" i="9"/>
  <c r="F171" i="9"/>
  <c r="J171" i="9"/>
  <c r="K171" i="9" s="1"/>
  <c r="A172" i="9"/>
  <c r="B172" i="9"/>
  <c r="C172" i="9"/>
  <c r="D172" i="9"/>
  <c r="E172" i="9"/>
  <c r="F172" i="9"/>
  <c r="G172" i="9"/>
  <c r="H172" i="9"/>
  <c r="I172" i="9"/>
  <c r="J172" i="9"/>
  <c r="K172" i="9" s="1"/>
  <c r="L172" i="9"/>
  <c r="M172" i="9"/>
  <c r="A173" i="9"/>
  <c r="B173" i="9" s="1"/>
  <c r="I173" i="9"/>
  <c r="L173" i="9"/>
  <c r="A174" i="9"/>
  <c r="B174" i="9"/>
  <c r="C174" i="9"/>
  <c r="D174" i="9"/>
  <c r="E174" i="9"/>
  <c r="F174" i="9"/>
  <c r="G174" i="9"/>
  <c r="H174" i="9"/>
  <c r="I174" i="9"/>
  <c r="J174" i="9"/>
  <c r="K174" i="9" s="1"/>
  <c r="L174" i="9"/>
  <c r="M174" i="9"/>
  <c r="A175" i="9"/>
  <c r="C175" i="9" s="1"/>
  <c r="D175" i="9"/>
  <c r="E175" i="9"/>
  <c r="F175" i="9"/>
  <c r="G175" i="9"/>
  <c r="I175" i="9"/>
  <c r="J175" i="9"/>
  <c r="K175" i="9"/>
  <c r="L175" i="9"/>
  <c r="M175" i="9"/>
  <c r="A176" i="9"/>
  <c r="F176" i="9" s="1"/>
  <c r="G176" i="9"/>
  <c r="A177" i="9"/>
  <c r="B177" i="9" s="1"/>
  <c r="D177" i="9"/>
  <c r="E177" i="9"/>
  <c r="F177" i="9"/>
  <c r="G177" i="9"/>
  <c r="H177" i="9"/>
  <c r="I177" i="9"/>
  <c r="J177" i="9"/>
  <c r="K177" i="9" s="1"/>
  <c r="L177" i="9"/>
  <c r="M177" i="9"/>
  <c r="A178" i="9"/>
  <c r="B178" i="9"/>
  <c r="D178" i="9"/>
  <c r="A179" i="9"/>
  <c r="J179" i="9" s="1"/>
  <c r="K179" i="9" s="1"/>
  <c r="B179" i="9"/>
  <c r="C179" i="9"/>
  <c r="D179" i="9"/>
  <c r="E179" i="9"/>
  <c r="F179" i="9"/>
  <c r="G179" i="9"/>
  <c r="H179" i="9"/>
  <c r="I179" i="9"/>
  <c r="L179" i="9"/>
  <c r="M179" i="9"/>
  <c r="A180" i="9"/>
  <c r="B180" i="9" s="1"/>
  <c r="F180" i="9"/>
  <c r="G180" i="9"/>
  <c r="A181" i="9"/>
  <c r="F181" i="9"/>
  <c r="H181" i="9"/>
  <c r="A182" i="9"/>
  <c r="B182" i="9"/>
  <c r="C182" i="9"/>
  <c r="D182" i="9"/>
  <c r="E182" i="9"/>
  <c r="F182" i="9"/>
  <c r="G182" i="9"/>
  <c r="H182" i="9"/>
  <c r="I182" i="9"/>
  <c r="J182" i="9"/>
  <c r="K182" i="9" s="1"/>
  <c r="L182" i="9"/>
  <c r="M182" i="9"/>
  <c r="A183" i="9"/>
  <c r="C183" i="9" s="1"/>
  <c r="E183" i="9"/>
  <c r="F183" i="9"/>
  <c r="G183" i="9"/>
  <c r="H183" i="9"/>
  <c r="M183" i="9"/>
  <c r="A184" i="9"/>
  <c r="B184" i="9" s="1"/>
  <c r="C184" i="9"/>
  <c r="D184" i="9"/>
  <c r="I184" i="9"/>
  <c r="J184" i="9"/>
  <c r="K184" i="9" s="1"/>
  <c r="L184" i="9"/>
  <c r="M184" i="9"/>
  <c r="A185" i="9"/>
  <c r="B185" i="9"/>
  <c r="C185" i="9"/>
  <c r="D185" i="9"/>
  <c r="G185" i="9"/>
  <c r="H185" i="9"/>
  <c r="I185" i="9"/>
  <c r="J185" i="9"/>
  <c r="K185" i="9" s="1"/>
  <c r="M185" i="9"/>
  <c r="A186" i="9"/>
  <c r="B186" i="9"/>
  <c r="C186" i="9"/>
  <c r="H186" i="9"/>
  <c r="I186" i="9"/>
  <c r="J186" i="9"/>
  <c r="K186" i="9" s="1"/>
  <c r="M186" i="9"/>
  <c r="A187" i="9"/>
  <c r="B187" i="9" s="1"/>
  <c r="C187" i="9"/>
  <c r="D187" i="9"/>
  <c r="E187" i="9"/>
  <c r="G187" i="9"/>
  <c r="H187" i="9"/>
  <c r="I187" i="9"/>
  <c r="J187" i="9"/>
  <c r="K187" i="9" s="1"/>
  <c r="M187" i="9"/>
  <c r="A188" i="9"/>
  <c r="F188" i="9" s="1"/>
  <c r="E188" i="9"/>
  <c r="G188" i="9"/>
  <c r="H188" i="9"/>
  <c r="J188" i="9"/>
  <c r="K188" i="9" s="1"/>
  <c r="L188" i="9"/>
  <c r="A189" i="9"/>
  <c r="B189" i="9" s="1"/>
  <c r="C189" i="9"/>
  <c r="D189" i="9"/>
  <c r="E189" i="9"/>
  <c r="G189" i="9"/>
  <c r="H189" i="9"/>
  <c r="I189" i="9"/>
  <c r="A190" i="9"/>
  <c r="B190" i="9"/>
  <c r="C190" i="9"/>
  <c r="D190" i="9"/>
  <c r="E190" i="9"/>
  <c r="F190" i="9"/>
  <c r="I190" i="9"/>
  <c r="J190" i="9"/>
  <c r="K190" i="9" s="1"/>
  <c r="L190" i="9"/>
  <c r="A191" i="9"/>
  <c r="F191" i="9" s="1"/>
  <c r="B191" i="9"/>
  <c r="E191" i="9"/>
  <c r="G191" i="9"/>
  <c r="H191" i="9"/>
  <c r="A192" i="9"/>
  <c r="B192" i="9"/>
  <c r="C192" i="9"/>
  <c r="D192" i="9"/>
  <c r="E192" i="9"/>
  <c r="F192" i="9"/>
  <c r="G192" i="9"/>
  <c r="H192" i="9"/>
  <c r="I192" i="9"/>
  <c r="J192" i="9"/>
  <c r="K192" i="9"/>
  <c r="L192" i="9"/>
  <c r="M192" i="9"/>
  <c r="A193" i="9"/>
  <c r="G193" i="9"/>
  <c r="I193" i="9"/>
  <c r="A194" i="9"/>
  <c r="G194" i="9" s="1"/>
  <c r="E194" i="9"/>
  <c r="I194" i="9"/>
  <c r="J194" i="9"/>
  <c r="K194" i="9" s="1"/>
  <c r="A195" i="9"/>
  <c r="C195" i="9"/>
  <c r="D195" i="9"/>
  <c r="E195" i="9"/>
  <c r="G195" i="9"/>
  <c r="H195" i="9"/>
  <c r="I195" i="9"/>
  <c r="J195" i="9"/>
  <c r="K195" i="9" s="1"/>
  <c r="L195" i="9"/>
  <c r="M195" i="9"/>
  <c r="A196" i="9"/>
  <c r="G196" i="9" s="1"/>
  <c r="C196" i="9"/>
  <c r="E196" i="9"/>
  <c r="F196" i="9"/>
  <c r="L196" i="9"/>
  <c r="A197" i="9"/>
  <c r="B197" i="9"/>
  <c r="C197" i="9"/>
  <c r="D197" i="9"/>
  <c r="E197" i="9"/>
  <c r="F197" i="9"/>
  <c r="G197" i="9"/>
  <c r="H197" i="9"/>
  <c r="I197" i="9"/>
  <c r="J197" i="9"/>
  <c r="K197" i="9" s="1"/>
  <c r="L197" i="9"/>
  <c r="M197" i="9"/>
  <c r="A198" i="9"/>
  <c r="G198" i="9"/>
  <c r="H198" i="9"/>
  <c r="J198" i="9"/>
  <c r="K198" i="9"/>
  <c r="M198" i="9"/>
  <c r="A199" i="9"/>
  <c r="C199" i="9"/>
  <c r="D199" i="9"/>
  <c r="E199" i="9"/>
  <c r="F199" i="9"/>
  <c r="G199" i="9"/>
  <c r="A200" i="9"/>
  <c r="D200" i="9" s="1"/>
  <c r="C200" i="9"/>
  <c r="E200" i="9"/>
  <c r="F200" i="9"/>
  <c r="G200" i="9"/>
  <c r="H200" i="9"/>
  <c r="I200" i="9"/>
  <c r="J200" i="9"/>
  <c r="K200" i="9" s="1"/>
  <c r="L200" i="9"/>
  <c r="M200" i="9"/>
  <c r="A201" i="9"/>
  <c r="M201" i="9" s="1"/>
  <c r="B201" i="9"/>
  <c r="E201" i="9"/>
  <c r="F201" i="9"/>
  <c r="A202" i="9"/>
  <c r="D202" i="9" s="1"/>
  <c r="B202" i="9"/>
  <c r="E202" i="9"/>
  <c r="G202" i="9"/>
  <c r="H202" i="9"/>
  <c r="I202" i="9"/>
  <c r="J202" i="9"/>
  <c r="K202" i="9" s="1"/>
  <c r="L202" i="9"/>
  <c r="M202" i="9"/>
  <c r="A203" i="9"/>
  <c r="B203" i="9"/>
  <c r="C203" i="9"/>
  <c r="D203" i="9"/>
  <c r="I203" i="9"/>
  <c r="J203" i="9"/>
  <c r="K203" i="9" s="1"/>
  <c r="A204" i="9"/>
  <c r="I204" i="9" s="1"/>
  <c r="C204" i="9"/>
  <c r="F204" i="9"/>
  <c r="H204" i="9"/>
  <c r="J204" i="9"/>
  <c r="K204" i="9" s="1"/>
  <c r="A205" i="9"/>
  <c r="B205" i="9" s="1"/>
  <c r="C205" i="9"/>
  <c r="D205" i="9"/>
  <c r="E205" i="9"/>
  <c r="F205" i="9"/>
  <c r="G205" i="9"/>
  <c r="H205" i="9"/>
  <c r="I205" i="9"/>
  <c r="J205" i="9"/>
  <c r="K205" i="9" s="1"/>
  <c r="L205" i="9"/>
  <c r="M205" i="9"/>
  <c r="A206" i="9"/>
  <c r="C206" i="9"/>
  <c r="D206" i="9"/>
  <c r="E206" i="9"/>
  <c r="F206" i="9"/>
  <c r="A207" i="9"/>
  <c r="B207" i="9"/>
  <c r="C207" i="9"/>
  <c r="E207" i="9"/>
  <c r="F207" i="9"/>
  <c r="I207" i="9"/>
  <c r="J207" i="9"/>
  <c r="K207" i="9" s="1"/>
  <c r="M207" i="9"/>
  <c r="A208" i="9"/>
  <c r="B208" i="9"/>
  <c r="D208" i="9"/>
  <c r="H208" i="9"/>
  <c r="I208" i="9"/>
  <c r="J208" i="9"/>
  <c r="K208" i="9"/>
  <c r="M208" i="9"/>
  <c r="A209" i="9"/>
  <c r="B209" i="9" s="1"/>
  <c r="E209" i="9"/>
  <c r="H209" i="9"/>
  <c r="I209" i="9"/>
  <c r="A210" i="9"/>
  <c r="B210" i="9" s="1"/>
  <c r="C210" i="9"/>
  <c r="D210" i="9"/>
  <c r="E210" i="9"/>
  <c r="F210" i="9"/>
  <c r="H210" i="9"/>
  <c r="I210" i="9"/>
  <c r="J210" i="9"/>
  <c r="K210" i="9" s="1"/>
  <c r="L210" i="9"/>
  <c r="M210" i="9"/>
  <c r="A211" i="9"/>
  <c r="L211" i="9"/>
  <c r="A212" i="9"/>
  <c r="F212" i="9"/>
  <c r="G212" i="9"/>
  <c r="H212" i="9"/>
  <c r="I212" i="9"/>
  <c r="J212" i="9"/>
  <c r="K212" i="9" s="1"/>
  <c r="L212" i="9"/>
  <c r="A213" i="9"/>
  <c r="F213" i="9" s="1"/>
  <c r="A214" i="9"/>
  <c r="C214" i="9"/>
  <c r="D214" i="9"/>
  <c r="F214" i="9"/>
  <c r="G214" i="9"/>
  <c r="H214" i="9"/>
  <c r="I214" i="9"/>
  <c r="J214" i="9"/>
  <c r="K214" i="9" s="1"/>
  <c r="A215" i="9"/>
  <c r="B215" i="9"/>
  <c r="C215" i="9"/>
  <c r="D215" i="9"/>
  <c r="F215" i="9"/>
  <c r="J215" i="9"/>
  <c r="K215" i="9"/>
  <c r="A216" i="9"/>
  <c r="A217" i="9"/>
  <c r="D217" i="9"/>
  <c r="A218" i="9"/>
  <c r="M218" i="9" s="1"/>
  <c r="B218" i="9"/>
  <c r="C218" i="9"/>
  <c r="D218" i="9"/>
  <c r="E218" i="9"/>
  <c r="F218" i="9"/>
  <c r="G218" i="9"/>
  <c r="H218" i="9"/>
  <c r="I218" i="9"/>
  <c r="J218" i="9"/>
  <c r="K218" i="9" s="1"/>
  <c r="L218" i="9"/>
  <c r="A219" i="9"/>
  <c r="D219" i="9" s="1"/>
  <c r="E219" i="9"/>
  <c r="F219" i="9"/>
  <c r="H219" i="9"/>
  <c r="M219" i="9"/>
  <c r="A220" i="9"/>
  <c r="B220" i="9" s="1"/>
  <c r="F220" i="9"/>
  <c r="H220" i="9"/>
  <c r="J220" i="9"/>
  <c r="K220" i="9" s="1"/>
  <c r="A221" i="9"/>
  <c r="B221" i="9" s="1"/>
  <c r="C221" i="9"/>
  <c r="G221" i="9"/>
  <c r="H221" i="9"/>
  <c r="I221" i="9"/>
  <c r="J221" i="9"/>
  <c r="K221" i="9" s="1"/>
  <c r="M221" i="9"/>
  <c r="A222" i="9"/>
  <c r="B222" i="9"/>
  <c r="C222" i="9"/>
  <c r="D222" i="9"/>
  <c r="E222" i="9"/>
  <c r="F222" i="9"/>
  <c r="G222" i="9"/>
  <c r="H222" i="9"/>
  <c r="I222" i="9"/>
  <c r="J222" i="9"/>
  <c r="K222" i="9" s="1"/>
  <c r="L222" i="9"/>
  <c r="M222" i="9"/>
  <c r="A223" i="9"/>
  <c r="H223" i="9" s="1"/>
  <c r="B223" i="9"/>
  <c r="C223" i="9"/>
  <c r="D223" i="9"/>
  <c r="E223" i="9"/>
  <c r="F223" i="9"/>
  <c r="G223" i="9"/>
  <c r="I223" i="9"/>
  <c r="J223" i="9"/>
  <c r="K223" i="9" s="1"/>
  <c r="L223" i="9"/>
  <c r="M223" i="9"/>
  <c r="A224" i="9"/>
  <c r="B224" i="9"/>
  <c r="C224" i="9"/>
  <c r="D224" i="9"/>
  <c r="E224" i="9"/>
  <c r="G224" i="9"/>
  <c r="A225" i="9"/>
  <c r="C225" i="9"/>
  <c r="D225" i="9"/>
  <c r="F225" i="9"/>
  <c r="G225" i="9"/>
  <c r="H225" i="9"/>
  <c r="I225" i="9"/>
  <c r="J225" i="9"/>
  <c r="K225" i="9"/>
  <c r="L225" i="9"/>
  <c r="M225" i="9"/>
  <c r="A226" i="9"/>
  <c r="I226" i="9" s="1"/>
  <c r="B226" i="9"/>
  <c r="C226" i="9"/>
  <c r="D226" i="9"/>
  <c r="E226" i="9"/>
  <c r="F226" i="9"/>
  <c r="G226" i="9"/>
  <c r="H226" i="9"/>
  <c r="J226" i="9"/>
  <c r="K226" i="9" s="1"/>
  <c r="L226" i="9"/>
  <c r="M226" i="9"/>
  <c r="A227" i="9"/>
  <c r="I227" i="9" s="1"/>
  <c r="C227" i="9"/>
  <c r="D227" i="9"/>
  <c r="E227" i="9"/>
  <c r="F227" i="9"/>
  <c r="G227" i="9"/>
  <c r="H227" i="9"/>
  <c r="J227" i="9"/>
  <c r="K227" i="9" s="1"/>
  <c r="L227" i="9"/>
  <c r="M227" i="9"/>
  <c r="A228" i="9"/>
  <c r="A229" i="9"/>
  <c r="B229" i="9" s="1"/>
  <c r="C229" i="9"/>
  <c r="E229" i="9"/>
  <c r="G229" i="9"/>
  <c r="H229" i="9"/>
  <c r="I229" i="9"/>
  <c r="J229" i="9"/>
  <c r="K229" i="9" s="1"/>
  <c r="A230" i="9"/>
  <c r="B230" i="9"/>
  <c r="C230" i="9"/>
  <c r="D230" i="9"/>
  <c r="E230" i="9"/>
  <c r="L230" i="9"/>
  <c r="A231" i="9"/>
  <c r="D231" i="9"/>
  <c r="A232" i="9"/>
  <c r="D232" i="9" s="1"/>
  <c r="C232" i="9"/>
  <c r="F232" i="9"/>
  <c r="L232" i="9"/>
  <c r="M232" i="9"/>
  <c r="A233" i="9"/>
  <c r="B233" i="9" s="1"/>
  <c r="C233" i="9"/>
  <c r="F233" i="9"/>
  <c r="G233" i="9"/>
  <c r="H233" i="9"/>
  <c r="I233" i="9"/>
  <c r="J233" i="9"/>
  <c r="K233" i="9" s="1"/>
  <c r="M233" i="9"/>
  <c r="A234" i="9"/>
  <c r="B234" i="9"/>
  <c r="C234" i="9"/>
  <c r="D234" i="9"/>
  <c r="E234" i="9"/>
  <c r="F234" i="9"/>
  <c r="G234" i="9"/>
  <c r="H234" i="9"/>
  <c r="I234" i="9"/>
  <c r="J234" i="9"/>
  <c r="K234" i="9" s="1"/>
  <c r="L234" i="9"/>
  <c r="M234" i="9"/>
  <c r="A235" i="9"/>
  <c r="C235" i="9"/>
  <c r="D235" i="9"/>
  <c r="E235" i="9"/>
  <c r="I235" i="9"/>
  <c r="L235" i="9"/>
  <c r="A236" i="9"/>
  <c r="B236" i="9"/>
  <c r="G236" i="9"/>
  <c r="J236" i="9"/>
  <c r="K236" i="9" s="1"/>
  <c r="A237" i="9"/>
  <c r="E237" i="9" s="1"/>
  <c r="C237" i="9"/>
  <c r="F237" i="9"/>
  <c r="G237" i="9"/>
  <c r="H237" i="9"/>
  <c r="J237" i="9"/>
  <c r="K237" i="9" s="1"/>
  <c r="L237" i="9"/>
  <c r="M237" i="9"/>
  <c r="A238" i="9"/>
  <c r="J238" i="9"/>
  <c r="K238" i="9" s="1"/>
  <c r="A239" i="9"/>
  <c r="M239" i="9" s="1"/>
  <c r="B239" i="9"/>
  <c r="C239" i="9"/>
  <c r="D239" i="9"/>
  <c r="E239" i="9"/>
  <c r="F239" i="9"/>
  <c r="G239" i="9"/>
  <c r="H239" i="9"/>
  <c r="I239" i="9"/>
  <c r="J239" i="9"/>
  <c r="K239" i="9"/>
  <c r="L239" i="9"/>
  <c r="A240" i="9"/>
  <c r="B240" i="9"/>
  <c r="C240" i="9"/>
  <c r="D240" i="9"/>
  <c r="E240" i="9"/>
  <c r="F240" i="9"/>
  <c r="G240" i="9"/>
  <c r="H240" i="9"/>
  <c r="I240" i="9"/>
  <c r="J240" i="9"/>
  <c r="K240" i="9" s="1"/>
  <c r="L240" i="9"/>
  <c r="M240" i="9"/>
  <c r="A241" i="9"/>
  <c r="F241" i="9" s="1"/>
  <c r="B241" i="9"/>
  <c r="D241" i="9"/>
  <c r="E241" i="9"/>
  <c r="L241" i="9"/>
  <c r="A242" i="9"/>
  <c r="C242" i="9" s="1"/>
  <c r="B242" i="9"/>
  <c r="D242" i="9"/>
  <c r="E242" i="9"/>
  <c r="F242" i="9"/>
  <c r="G242" i="9"/>
  <c r="H242" i="9"/>
  <c r="I242" i="9"/>
  <c r="J242" i="9"/>
  <c r="K242" i="9" s="1"/>
  <c r="L242" i="9"/>
  <c r="M242" i="9"/>
  <c r="A243" i="9"/>
  <c r="G243" i="9" s="1"/>
  <c r="H243" i="9"/>
  <c r="I243" i="9"/>
  <c r="J243" i="9"/>
  <c r="K243" i="9" s="1"/>
  <c r="A244" i="9"/>
  <c r="I244" i="9" s="1"/>
  <c r="B244" i="9"/>
  <c r="C244" i="9"/>
  <c r="D244" i="9"/>
  <c r="E244" i="9"/>
  <c r="F244" i="9"/>
  <c r="G244" i="9"/>
  <c r="H244" i="9"/>
  <c r="J244" i="9"/>
  <c r="K244" i="9" s="1"/>
  <c r="L244" i="9"/>
  <c r="M244" i="9"/>
  <c r="A245" i="9"/>
  <c r="B245" i="9" s="1"/>
  <c r="C245" i="9"/>
  <c r="D245" i="9"/>
  <c r="E245" i="9"/>
  <c r="F245" i="9"/>
  <c r="G245" i="9"/>
  <c r="I245" i="9"/>
  <c r="J245" i="9"/>
  <c r="K245" i="9" s="1"/>
  <c r="L245" i="9"/>
  <c r="M245" i="9"/>
  <c r="A246" i="9"/>
  <c r="B246" i="9"/>
  <c r="D246" i="9"/>
  <c r="F246" i="9"/>
  <c r="G246" i="9"/>
  <c r="H246" i="9"/>
  <c r="I246" i="9"/>
  <c r="L246" i="9"/>
  <c r="M246" i="9"/>
  <c r="A247" i="9"/>
  <c r="A248" i="9"/>
  <c r="B248" i="9"/>
  <c r="C248" i="9"/>
  <c r="D248" i="9"/>
  <c r="E248" i="9"/>
  <c r="H248" i="9"/>
  <c r="I248" i="9"/>
  <c r="J248" i="9"/>
  <c r="K248" i="9" s="1"/>
  <c r="L248" i="9"/>
  <c r="A249" i="9"/>
  <c r="A250" i="9"/>
  <c r="D250" i="9"/>
  <c r="E250" i="9"/>
  <c r="F250" i="9"/>
  <c r="G250" i="9"/>
  <c r="H250" i="9"/>
  <c r="J250" i="9"/>
  <c r="K250" i="9" s="1"/>
  <c r="L250" i="9"/>
  <c r="A251" i="9"/>
  <c r="B251" i="9"/>
  <c r="C251" i="9"/>
  <c r="E251" i="9"/>
  <c r="F251" i="9"/>
  <c r="G251" i="9"/>
  <c r="H251" i="9"/>
  <c r="I251" i="9"/>
  <c r="A252" i="9"/>
  <c r="B252" i="9"/>
  <c r="C252" i="9"/>
  <c r="D252" i="9"/>
  <c r="H252" i="9"/>
  <c r="I252" i="9"/>
  <c r="J252" i="9"/>
  <c r="K252" i="9"/>
  <c r="L252" i="9"/>
  <c r="M252" i="9"/>
  <c r="A253" i="9"/>
  <c r="D253" i="9" s="1"/>
  <c r="B253" i="9"/>
  <c r="F253" i="9"/>
  <c r="I253" i="9"/>
  <c r="J253" i="9"/>
  <c r="K253" i="9" s="1"/>
  <c r="A254" i="9"/>
  <c r="B254" i="9"/>
  <c r="C254" i="9"/>
  <c r="D254" i="9"/>
  <c r="E254" i="9"/>
  <c r="F254" i="9"/>
  <c r="G254" i="9"/>
  <c r="H254" i="9"/>
  <c r="I254" i="9"/>
  <c r="J254" i="9"/>
  <c r="K254" i="9"/>
  <c r="L254" i="9"/>
  <c r="M254" i="9"/>
  <c r="A255" i="9"/>
  <c r="E255" i="9" s="1"/>
  <c r="D255" i="9"/>
  <c r="I255" i="9"/>
  <c r="A256" i="9"/>
  <c r="B256" i="9"/>
  <c r="C256" i="9"/>
  <c r="D256" i="9"/>
  <c r="E256" i="9"/>
  <c r="F256" i="9"/>
  <c r="G256" i="9"/>
  <c r="H256" i="9"/>
  <c r="I256" i="9"/>
  <c r="J256" i="9"/>
  <c r="K256" i="9" s="1"/>
  <c r="A257" i="9"/>
  <c r="H257" i="9" s="1"/>
  <c r="D257" i="9"/>
  <c r="E257" i="9"/>
  <c r="F257" i="9"/>
  <c r="I257" i="9"/>
  <c r="A258" i="9"/>
  <c r="E258" i="9" s="1"/>
  <c r="B258" i="9"/>
  <c r="L258" i="9"/>
  <c r="M258" i="9"/>
  <c r="A259" i="9"/>
  <c r="D259" i="9"/>
  <c r="E259" i="9"/>
  <c r="F259" i="9"/>
  <c r="A260" i="9"/>
  <c r="B260" i="9"/>
  <c r="C260" i="9"/>
  <c r="D260" i="9"/>
  <c r="E260" i="9"/>
  <c r="F260" i="9"/>
  <c r="G260" i="9"/>
  <c r="H260" i="9"/>
  <c r="I260" i="9"/>
  <c r="J260" i="9"/>
  <c r="K260" i="9"/>
  <c r="L260" i="9"/>
  <c r="M260" i="9"/>
  <c r="A261" i="9"/>
  <c r="B261" i="9"/>
  <c r="G261" i="9"/>
  <c r="A262" i="9"/>
  <c r="F262" i="9" s="1"/>
  <c r="B262" i="9"/>
  <c r="C262" i="9"/>
  <c r="D262" i="9"/>
  <c r="E262" i="9"/>
  <c r="G262" i="9"/>
  <c r="H262" i="9"/>
  <c r="I262" i="9"/>
  <c r="J262" i="9"/>
  <c r="K262" i="9"/>
  <c r="L262" i="9"/>
  <c r="M262" i="9"/>
  <c r="A263" i="9"/>
  <c r="J263" i="9"/>
  <c r="K263" i="9" s="1"/>
  <c r="A264" i="9"/>
  <c r="C264" i="9"/>
  <c r="D264" i="9"/>
  <c r="E264" i="9"/>
  <c r="F264" i="9"/>
  <c r="A265" i="9"/>
  <c r="J265" i="9" s="1"/>
  <c r="K265" i="9" s="1"/>
  <c r="B265" i="9"/>
  <c r="I265" i="9"/>
  <c r="A266" i="9"/>
  <c r="B266" i="9" s="1"/>
  <c r="D266" i="9"/>
  <c r="F266" i="9"/>
  <c r="G266" i="9"/>
  <c r="H266" i="9"/>
  <c r="J266" i="9"/>
  <c r="K266" i="9" s="1"/>
  <c r="L266" i="9"/>
  <c r="A267" i="9"/>
  <c r="B267" i="9"/>
  <c r="C267" i="9"/>
  <c r="D267" i="9"/>
  <c r="E267" i="9"/>
  <c r="F267" i="9"/>
  <c r="G267" i="9"/>
  <c r="H267" i="9"/>
  <c r="I267" i="9"/>
  <c r="M267" i="9"/>
  <c r="A268" i="9"/>
  <c r="B268" i="9"/>
  <c r="C268" i="9"/>
  <c r="D268" i="9"/>
  <c r="E268" i="9"/>
  <c r="G268" i="9"/>
  <c r="H268" i="9"/>
  <c r="L268" i="9"/>
  <c r="M268" i="9"/>
  <c r="A269" i="9"/>
  <c r="B269" i="9" s="1"/>
  <c r="H269" i="9"/>
  <c r="I269" i="9"/>
  <c r="J269" i="9"/>
  <c r="K269" i="9" s="1"/>
  <c r="L269" i="9"/>
  <c r="M269" i="9"/>
  <c r="A270" i="9"/>
  <c r="H270" i="9" s="1"/>
  <c r="B270" i="9"/>
  <c r="C270" i="9"/>
  <c r="D270" i="9"/>
  <c r="I270" i="9"/>
  <c r="J270" i="9"/>
  <c r="K270" i="9" s="1"/>
  <c r="L270" i="9"/>
  <c r="A271" i="9"/>
  <c r="B271" i="9"/>
  <c r="C271" i="9"/>
  <c r="D271" i="9"/>
  <c r="E271" i="9"/>
  <c r="F271" i="9"/>
  <c r="G271" i="9"/>
  <c r="H271" i="9"/>
  <c r="I271" i="9"/>
  <c r="J271" i="9"/>
  <c r="K271" i="9" s="1"/>
  <c r="L271" i="9"/>
  <c r="M271" i="9"/>
  <c r="A272" i="9"/>
  <c r="B272" i="9" s="1"/>
  <c r="C272" i="9"/>
  <c r="D272" i="9"/>
  <c r="F272" i="9"/>
  <c r="H272" i="9"/>
  <c r="I272" i="9"/>
  <c r="L272" i="9"/>
  <c r="M272" i="9"/>
  <c r="A273" i="9"/>
  <c r="B273" i="9"/>
  <c r="C273" i="9"/>
  <c r="D273" i="9"/>
  <c r="E273" i="9"/>
  <c r="F273" i="9"/>
  <c r="G273" i="9"/>
  <c r="H273" i="9"/>
  <c r="I273" i="9"/>
  <c r="M273" i="9"/>
  <c r="A274" i="9"/>
  <c r="B274" i="9"/>
  <c r="C274" i="9"/>
  <c r="D274" i="9"/>
  <c r="E274" i="9"/>
  <c r="F274" i="9"/>
  <c r="G274" i="9"/>
  <c r="H274" i="9"/>
  <c r="I274" i="9"/>
  <c r="J274" i="9"/>
  <c r="K274" i="9" s="1"/>
  <c r="L274" i="9"/>
  <c r="M274" i="9"/>
  <c r="A275" i="9"/>
  <c r="A276" i="9"/>
  <c r="M276" i="9" s="1"/>
  <c r="B276" i="9"/>
  <c r="C276" i="9"/>
  <c r="D276" i="9"/>
  <c r="E276" i="9"/>
  <c r="F276" i="9"/>
  <c r="G276" i="9"/>
  <c r="H276" i="9"/>
  <c r="I276" i="9"/>
  <c r="J276" i="9"/>
  <c r="K276" i="9"/>
  <c r="L276" i="9"/>
  <c r="A277" i="9"/>
  <c r="G277" i="9" s="1"/>
  <c r="H277" i="9"/>
  <c r="I277" i="9"/>
  <c r="A278" i="9"/>
  <c r="B278" i="9"/>
  <c r="C278" i="9"/>
  <c r="D278" i="9"/>
  <c r="E278" i="9"/>
  <c r="F278" i="9"/>
  <c r="A279" i="9"/>
  <c r="F279" i="9" s="1"/>
  <c r="B279" i="9"/>
  <c r="C279" i="9"/>
  <c r="D279" i="9"/>
  <c r="E279" i="9"/>
  <c r="G279" i="9"/>
  <c r="H279" i="9"/>
  <c r="I279" i="9"/>
  <c r="J279" i="9"/>
  <c r="K279" i="9" s="1"/>
  <c r="L279" i="9"/>
  <c r="M279" i="9"/>
  <c r="A280" i="9"/>
  <c r="B280" i="9"/>
  <c r="C280" i="9"/>
  <c r="D280" i="9"/>
  <c r="E280" i="9"/>
  <c r="F280" i="9"/>
  <c r="G280" i="9"/>
  <c r="H280" i="9"/>
  <c r="I280" i="9"/>
  <c r="J280" i="9"/>
  <c r="K280" i="9" s="1"/>
  <c r="L280" i="9"/>
  <c r="M280" i="9"/>
  <c r="A281" i="9"/>
  <c r="I281" i="9"/>
  <c r="J281" i="9"/>
  <c r="K281" i="9" s="1"/>
  <c r="A282" i="9"/>
  <c r="B282" i="9" s="1"/>
  <c r="C282" i="9"/>
  <c r="D282" i="9"/>
  <c r="E282" i="9"/>
  <c r="F282" i="9"/>
  <c r="G282" i="9"/>
  <c r="I282" i="9"/>
  <c r="J282" i="9"/>
  <c r="K282" i="9"/>
  <c r="L282" i="9"/>
  <c r="M282" i="9"/>
  <c r="A283" i="9"/>
  <c r="C283" i="9" s="1"/>
  <c r="A284" i="9"/>
  <c r="B284" i="9"/>
  <c r="D284" i="9"/>
  <c r="E284" i="9"/>
  <c r="F284" i="9"/>
  <c r="G284" i="9"/>
  <c r="H284" i="9"/>
  <c r="J284" i="9"/>
  <c r="K284" i="9" s="1"/>
  <c r="L284" i="9"/>
  <c r="M284" i="9"/>
  <c r="A285" i="9"/>
  <c r="B285" i="9"/>
  <c r="F285" i="9"/>
  <c r="G285" i="9"/>
  <c r="H285" i="9"/>
  <c r="A286" i="9"/>
  <c r="B286" i="9"/>
  <c r="D286" i="9"/>
  <c r="E286" i="9"/>
  <c r="F286" i="9"/>
  <c r="G286" i="9"/>
  <c r="H286" i="9"/>
  <c r="I286" i="9"/>
  <c r="J286" i="9"/>
  <c r="K286" i="9" s="1"/>
  <c r="A287" i="9"/>
  <c r="B287" i="9"/>
  <c r="A288" i="9"/>
  <c r="B288" i="9"/>
  <c r="C288" i="9"/>
  <c r="D288" i="9"/>
  <c r="E288" i="9"/>
  <c r="F288" i="9"/>
  <c r="I288" i="9"/>
  <c r="J288" i="9"/>
  <c r="K288" i="9"/>
  <c r="L288" i="9"/>
  <c r="M288" i="9"/>
  <c r="A289" i="9"/>
  <c r="D289" i="9" s="1"/>
  <c r="B289" i="9"/>
  <c r="C289" i="9"/>
  <c r="E289" i="9"/>
  <c r="F289" i="9"/>
  <c r="G289" i="9"/>
  <c r="H289" i="9"/>
  <c r="I289" i="9"/>
  <c r="J289" i="9"/>
  <c r="K289" i="9" s="1"/>
  <c r="L289" i="9"/>
  <c r="M289" i="9"/>
  <c r="A290" i="9"/>
  <c r="D290" i="9" s="1"/>
  <c r="E290" i="9"/>
  <c r="F290" i="9"/>
  <c r="G290" i="9"/>
  <c r="H290" i="9"/>
  <c r="J290" i="9"/>
  <c r="K290" i="9" s="1"/>
  <c r="L290" i="9"/>
  <c r="M290" i="9"/>
  <c r="A291" i="9"/>
  <c r="B291" i="9"/>
  <c r="C291" i="9"/>
  <c r="D291" i="9"/>
  <c r="E291" i="9"/>
  <c r="L291" i="9"/>
  <c r="M291" i="9"/>
  <c r="A292" i="9"/>
  <c r="B292" i="9" s="1"/>
  <c r="C292" i="9"/>
  <c r="F292" i="9"/>
  <c r="G292" i="9"/>
  <c r="H292" i="9"/>
  <c r="I292" i="9"/>
  <c r="J292" i="9"/>
  <c r="K292" i="9" s="1"/>
  <c r="L292" i="9"/>
  <c r="M292" i="9"/>
  <c r="A293" i="9"/>
  <c r="J293" i="9" s="1"/>
  <c r="K293" i="9" s="1"/>
  <c r="B293" i="9"/>
  <c r="C293" i="9"/>
  <c r="A294" i="9"/>
  <c r="M294" i="9" s="1"/>
  <c r="C294" i="9"/>
  <c r="D294" i="9"/>
  <c r="E294" i="9"/>
  <c r="F294" i="9"/>
  <c r="G294" i="9"/>
  <c r="H294" i="9"/>
  <c r="I294" i="9"/>
  <c r="J294" i="9"/>
  <c r="K294" i="9" s="1"/>
  <c r="L294" i="9"/>
  <c r="A295" i="9"/>
  <c r="F295" i="9" s="1"/>
  <c r="B295" i="9"/>
  <c r="C295" i="9"/>
  <c r="D295" i="9"/>
  <c r="E295" i="9"/>
  <c r="G295" i="9"/>
  <c r="H295" i="9"/>
  <c r="I295" i="9"/>
  <c r="J295" i="9"/>
  <c r="K295" i="9" s="1"/>
  <c r="L295" i="9"/>
  <c r="M295" i="9"/>
  <c r="A296" i="9"/>
  <c r="B296" i="9"/>
  <c r="A297" i="9"/>
  <c r="C297" i="9" s="1"/>
  <c r="F297" i="9"/>
  <c r="G297" i="9"/>
  <c r="H297" i="9"/>
  <c r="I297" i="9"/>
  <c r="J297" i="9"/>
  <c r="K297" i="9" s="1"/>
  <c r="L297" i="9"/>
  <c r="M297" i="9"/>
  <c r="A298" i="9"/>
  <c r="B298" i="9"/>
  <c r="F298" i="9"/>
  <c r="H298" i="9"/>
  <c r="I298" i="9"/>
  <c r="J298" i="9"/>
  <c r="K298" i="9" s="1"/>
  <c r="L298" i="9"/>
  <c r="A299" i="9"/>
  <c r="L299" i="9" s="1"/>
  <c r="B299" i="9"/>
  <c r="C299" i="9"/>
  <c r="D299" i="9"/>
  <c r="E299" i="9"/>
  <c r="F299" i="9"/>
  <c r="G299" i="9"/>
  <c r="H299" i="9"/>
  <c r="I299" i="9"/>
  <c r="J299" i="9"/>
  <c r="K299" i="9" s="1"/>
  <c r="M299" i="9"/>
  <c r="A300" i="9"/>
  <c r="B300" i="9"/>
  <c r="C300" i="9"/>
  <c r="D300" i="9"/>
  <c r="E300" i="9"/>
  <c r="F300" i="9"/>
  <c r="G300" i="9"/>
  <c r="H300" i="9"/>
  <c r="I300" i="9"/>
  <c r="J300" i="9"/>
  <c r="K300" i="9"/>
  <c r="L300" i="9"/>
  <c r="M300" i="9"/>
  <c r="A301" i="9"/>
  <c r="D301" i="9" s="1"/>
  <c r="G301" i="9"/>
  <c r="I301" i="9"/>
  <c r="J301" i="9"/>
  <c r="K301" i="9" s="1"/>
  <c r="L301" i="9"/>
  <c r="A302" i="9"/>
  <c r="M302" i="9" s="1"/>
  <c r="B302" i="9"/>
  <c r="C302" i="9"/>
  <c r="D302" i="9"/>
  <c r="E302" i="9"/>
  <c r="F302" i="9"/>
  <c r="L302" i="9"/>
  <c r="A303" i="9"/>
  <c r="B303" i="9" s="1"/>
  <c r="C303" i="9"/>
  <c r="D303" i="9"/>
  <c r="E303" i="9"/>
  <c r="F303" i="9"/>
  <c r="G303" i="9"/>
  <c r="H303" i="9"/>
  <c r="I303" i="9"/>
  <c r="J303" i="9"/>
  <c r="K303" i="9" s="1"/>
  <c r="L303" i="9"/>
  <c r="M303" i="9"/>
  <c r="A304" i="9"/>
  <c r="B304" i="9"/>
  <c r="G304" i="9"/>
  <c r="A305" i="9"/>
  <c r="B305" i="9"/>
  <c r="D305" i="9"/>
  <c r="E305" i="9"/>
  <c r="F305" i="9"/>
  <c r="G305" i="9"/>
  <c r="I305" i="9"/>
  <c r="J305" i="9"/>
  <c r="K305" i="9" s="1"/>
  <c r="A306" i="9"/>
  <c r="B306" i="9" s="1"/>
  <c r="H306" i="9"/>
  <c r="I306" i="9"/>
  <c r="J306" i="9"/>
  <c r="K306" i="9" s="1"/>
  <c r="L306" i="9"/>
  <c r="M306" i="9"/>
  <c r="A307" i="9"/>
  <c r="C307" i="9" s="1"/>
  <c r="D307" i="9"/>
  <c r="E307" i="9"/>
  <c r="H307" i="9"/>
  <c r="I307" i="9"/>
  <c r="A308" i="9"/>
  <c r="A309" i="9"/>
  <c r="I309" i="9" s="1"/>
  <c r="B309" i="9"/>
  <c r="C309" i="9"/>
  <c r="F309" i="9"/>
  <c r="J309" i="9"/>
  <c r="K309" i="9" s="1"/>
  <c r="L309" i="9"/>
  <c r="A310" i="9"/>
  <c r="B310" i="9"/>
  <c r="C310" i="9"/>
  <c r="D310" i="9"/>
  <c r="E310" i="9"/>
  <c r="F310" i="9"/>
  <c r="G310" i="9"/>
  <c r="H310" i="9"/>
  <c r="I310" i="9"/>
  <c r="J310" i="9"/>
  <c r="K310" i="9" s="1"/>
  <c r="L310" i="9"/>
  <c r="M310" i="9"/>
  <c r="A311" i="9"/>
  <c r="H311" i="9" s="1"/>
  <c r="E311" i="9"/>
  <c r="F311" i="9"/>
  <c r="G311" i="9"/>
  <c r="J311" i="9"/>
  <c r="K311" i="9" s="1"/>
  <c r="A312" i="9"/>
  <c r="B312" i="9"/>
  <c r="C312" i="9"/>
  <c r="D312" i="9"/>
  <c r="F312" i="9"/>
  <c r="G312" i="9"/>
  <c r="H312" i="9"/>
  <c r="I312" i="9"/>
  <c r="L312" i="9"/>
  <c r="M312" i="9"/>
  <c r="A313" i="9"/>
  <c r="A314" i="9"/>
  <c r="G314" i="9" s="1"/>
  <c r="B314" i="9"/>
  <c r="H314" i="9"/>
  <c r="I314" i="9"/>
  <c r="J314" i="9"/>
  <c r="K314" i="9" s="1"/>
  <c r="M314" i="9"/>
  <c r="A315" i="9"/>
  <c r="B315" i="9"/>
  <c r="C315" i="9"/>
  <c r="D315" i="9"/>
  <c r="E315" i="9"/>
  <c r="F315" i="9"/>
  <c r="A316" i="9"/>
  <c r="D316" i="9" s="1"/>
  <c r="E316" i="9"/>
  <c r="G316" i="9"/>
  <c r="H316" i="9"/>
  <c r="I316" i="9"/>
  <c r="J316" i="9"/>
  <c r="K316" i="9" s="1"/>
  <c r="L316" i="9"/>
  <c r="M316" i="9"/>
  <c r="A317" i="9"/>
  <c r="B317" i="9"/>
  <c r="C317" i="9"/>
  <c r="A318" i="9"/>
  <c r="M318" i="9" s="1"/>
  <c r="B318" i="9"/>
  <c r="C318" i="9"/>
  <c r="D318" i="9"/>
  <c r="E318" i="9"/>
  <c r="F318" i="9"/>
  <c r="G318" i="9"/>
  <c r="H318" i="9"/>
  <c r="I318" i="9"/>
  <c r="J318" i="9"/>
  <c r="K318" i="9" s="1"/>
  <c r="L318" i="9"/>
  <c r="A319" i="9"/>
  <c r="B319" i="9"/>
  <c r="C319" i="9"/>
  <c r="D319" i="9"/>
  <c r="E319" i="9"/>
  <c r="F319" i="9"/>
  <c r="G319" i="9"/>
  <c r="H319" i="9"/>
  <c r="I319" i="9"/>
  <c r="J319" i="9"/>
  <c r="K319" i="9" s="1"/>
  <c r="L319" i="9"/>
  <c r="M319" i="9"/>
  <c r="A320" i="9"/>
  <c r="A321" i="9"/>
  <c r="B321" i="9"/>
  <c r="C321" i="9"/>
  <c r="D321" i="9"/>
  <c r="E321" i="9"/>
  <c r="F321" i="9"/>
  <c r="G321" i="9"/>
  <c r="H321" i="9"/>
  <c r="I321" i="9"/>
  <c r="J321" i="9"/>
  <c r="K321" i="9" s="1"/>
  <c r="L321" i="9"/>
  <c r="M321" i="9"/>
  <c r="A322" i="9"/>
  <c r="B322" i="9" s="1"/>
  <c r="C322" i="9"/>
  <c r="D322" i="9"/>
  <c r="E322" i="9"/>
  <c r="F322" i="9"/>
  <c r="G322" i="9"/>
  <c r="H322" i="9"/>
  <c r="I322" i="9"/>
  <c r="J322" i="9"/>
  <c r="K322" i="9"/>
  <c r="L322" i="9"/>
  <c r="M322" i="9"/>
  <c r="A323" i="9"/>
  <c r="D323" i="9" s="1"/>
  <c r="F323" i="9"/>
  <c r="J323" i="9"/>
  <c r="K323" i="9"/>
  <c r="L323" i="9"/>
  <c r="A324" i="9"/>
  <c r="G324" i="9"/>
  <c r="H324" i="9"/>
  <c r="L324" i="9"/>
  <c r="M324" i="9"/>
  <c r="A325" i="9"/>
  <c r="D325" i="9"/>
  <c r="E325" i="9"/>
  <c r="G325" i="9"/>
  <c r="H325" i="9"/>
  <c r="J325" i="9"/>
  <c r="K325" i="9"/>
  <c r="L325" i="9"/>
  <c r="A326" i="9"/>
  <c r="B326" i="9"/>
  <c r="C326" i="9"/>
  <c r="D326" i="9"/>
  <c r="E326" i="9"/>
  <c r="F326" i="9"/>
  <c r="G326" i="9"/>
  <c r="H326" i="9"/>
  <c r="L326" i="9"/>
  <c r="M326" i="9"/>
  <c r="A327" i="9"/>
  <c r="H327" i="9" s="1"/>
  <c r="E327" i="9"/>
  <c r="F327" i="9"/>
  <c r="G327" i="9"/>
  <c r="I327" i="9"/>
  <c r="A328" i="9"/>
  <c r="B328" i="9" s="1"/>
  <c r="G328" i="9"/>
  <c r="H328" i="9"/>
  <c r="L328" i="9"/>
  <c r="A329" i="9"/>
  <c r="J329" i="9" s="1"/>
  <c r="K329" i="9" s="1"/>
  <c r="B329" i="9"/>
  <c r="C329" i="9"/>
  <c r="D329" i="9"/>
  <c r="E329" i="9"/>
  <c r="F329" i="9"/>
  <c r="M329" i="9"/>
  <c r="A330" i="9"/>
  <c r="H330" i="9" s="1"/>
  <c r="E330" i="9"/>
  <c r="F330" i="9"/>
  <c r="G330" i="9"/>
  <c r="I330" i="9"/>
  <c r="J330" i="9"/>
  <c r="K330" i="9" s="1"/>
  <c r="L330" i="9"/>
  <c r="M330" i="9"/>
  <c r="A331" i="9"/>
  <c r="C331" i="9" s="1"/>
  <c r="B331" i="9"/>
  <c r="A332" i="9"/>
  <c r="L332" i="9" s="1"/>
  <c r="B332" i="9"/>
  <c r="C332" i="9"/>
  <c r="D332" i="9"/>
  <c r="E332" i="9"/>
  <c r="F332" i="9"/>
  <c r="G332" i="9"/>
  <c r="H332" i="9"/>
  <c r="I332" i="9"/>
  <c r="J332" i="9"/>
  <c r="K332" i="9" s="1"/>
  <c r="M332" i="9"/>
  <c r="A333" i="9"/>
  <c r="A334" i="9"/>
  <c r="A335" i="9"/>
  <c r="B335" i="9" s="1"/>
  <c r="E335" i="9"/>
  <c r="F335" i="9"/>
  <c r="G335" i="9"/>
  <c r="H335" i="9"/>
  <c r="I335" i="9"/>
  <c r="J335" i="9"/>
  <c r="K335" i="9" s="1"/>
  <c r="A336" i="9"/>
  <c r="B336" i="9"/>
  <c r="C336" i="9"/>
  <c r="E336" i="9"/>
  <c r="A337" i="9"/>
  <c r="H337" i="9" s="1"/>
  <c r="B337" i="9"/>
  <c r="E337" i="9"/>
  <c r="I337" i="9"/>
  <c r="J337" i="9"/>
  <c r="K337" i="9"/>
  <c r="L337" i="9"/>
  <c r="A338" i="9"/>
  <c r="C338" i="9" s="1"/>
  <c r="B338" i="9"/>
  <c r="E338" i="9"/>
  <c r="J338" i="9"/>
  <c r="K338" i="9" s="1"/>
  <c r="A339" i="9"/>
  <c r="B339" i="9"/>
  <c r="C339" i="9"/>
  <c r="D339" i="9"/>
  <c r="E339" i="9"/>
  <c r="F339" i="9"/>
  <c r="G339" i="9"/>
  <c r="H339" i="9"/>
  <c r="I339" i="9"/>
  <c r="J339" i="9"/>
  <c r="K339" i="9" s="1"/>
  <c r="L339" i="9"/>
  <c r="M339" i="9"/>
  <c r="A340" i="9"/>
  <c r="B340" i="9" s="1"/>
  <c r="E340" i="9"/>
  <c r="F340" i="9"/>
  <c r="I340" i="9"/>
  <c r="J340" i="9"/>
  <c r="K340" i="9" s="1"/>
  <c r="L340" i="9"/>
  <c r="M340" i="9"/>
  <c r="A341" i="9"/>
  <c r="B341" i="9" s="1"/>
  <c r="C341" i="9"/>
  <c r="E341" i="9"/>
  <c r="F341" i="9"/>
  <c r="G341" i="9"/>
  <c r="H341" i="9"/>
  <c r="I341" i="9"/>
  <c r="A342" i="9"/>
  <c r="B342" i="9" s="1"/>
  <c r="C342" i="9"/>
  <c r="D342" i="9"/>
  <c r="E342" i="9"/>
  <c r="F342" i="9"/>
  <c r="G342" i="9"/>
  <c r="H342" i="9"/>
  <c r="I342" i="9"/>
  <c r="J342" i="9"/>
  <c r="K342" i="9"/>
  <c r="L342" i="9"/>
  <c r="M342" i="9"/>
  <c r="A343" i="9"/>
  <c r="B343" i="9" s="1"/>
  <c r="C343" i="9"/>
  <c r="D343" i="9"/>
  <c r="J343" i="9"/>
  <c r="K343" i="9" s="1"/>
  <c r="A344" i="9"/>
  <c r="A345" i="9"/>
  <c r="C345" i="9" s="1"/>
  <c r="B345" i="9"/>
  <c r="D345" i="9"/>
  <c r="E345" i="9"/>
  <c r="F345" i="9"/>
  <c r="G345" i="9"/>
  <c r="H345" i="9"/>
  <c r="I345" i="9"/>
  <c r="J345" i="9"/>
  <c r="K345" i="9" s="1"/>
  <c r="L345" i="9"/>
  <c r="M345" i="9"/>
  <c r="A346" i="9"/>
  <c r="C346" i="9"/>
  <c r="D346" i="9"/>
  <c r="E346" i="9"/>
  <c r="F346" i="9"/>
  <c r="G346" i="9"/>
  <c r="M346" i="9"/>
  <c r="A347" i="9"/>
  <c r="E347" i="9" s="1"/>
  <c r="D347" i="9"/>
  <c r="A348" i="9"/>
  <c r="H348" i="9" s="1"/>
  <c r="A349" i="9"/>
  <c r="F349" i="9" s="1"/>
  <c r="B349" i="9"/>
  <c r="C349" i="9"/>
  <c r="D349" i="9"/>
  <c r="G349" i="9"/>
  <c r="H349" i="9"/>
  <c r="I349" i="9"/>
  <c r="A350" i="9"/>
  <c r="B350" i="9"/>
  <c r="C350" i="9"/>
  <c r="D350" i="9"/>
  <c r="E350" i="9"/>
  <c r="F350" i="9"/>
  <c r="G350" i="9"/>
  <c r="H350" i="9"/>
  <c r="I350" i="9"/>
  <c r="J350" i="9"/>
  <c r="K350" i="9" s="1"/>
  <c r="L350" i="9"/>
  <c r="M350" i="9"/>
  <c r="A351" i="9"/>
  <c r="D351" i="9" s="1"/>
  <c r="B351" i="9"/>
  <c r="C351" i="9"/>
  <c r="F351" i="9"/>
  <c r="A352" i="9"/>
  <c r="L352" i="9" s="1"/>
  <c r="B352" i="9"/>
  <c r="C352" i="9"/>
  <c r="D352" i="9"/>
  <c r="E352" i="9"/>
  <c r="F352" i="9"/>
  <c r="G352" i="9"/>
  <c r="H352" i="9"/>
  <c r="I352" i="9"/>
  <c r="J352" i="9"/>
  <c r="K352" i="9" s="1"/>
  <c r="M352" i="9"/>
  <c r="A353" i="9"/>
  <c r="F353" i="9" s="1"/>
  <c r="G353" i="9"/>
  <c r="J353" i="9"/>
  <c r="K353" i="9" s="1"/>
  <c r="M353" i="9"/>
  <c r="A354" i="9"/>
  <c r="B354" i="9" s="1"/>
  <c r="D354" i="9"/>
  <c r="E354" i="9"/>
  <c r="G354" i="9"/>
  <c r="H354" i="9"/>
  <c r="I354" i="9"/>
  <c r="A355" i="9"/>
  <c r="B355" i="9"/>
  <c r="E355" i="9"/>
  <c r="F355" i="9"/>
  <c r="G355" i="9"/>
  <c r="H355" i="9"/>
  <c r="I355" i="9"/>
  <c r="J355" i="9"/>
  <c r="K355" i="9" s="1"/>
  <c r="L355" i="9"/>
  <c r="A356" i="9"/>
  <c r="D356" i="9" s="1"/>
  <c r="B356" i="9"/>
  <c r="C356" i="9"/>
  <c r="A357" i="9"/>
  <c r="E357" i="9" s="1"/>
  <c r="B357" i="9"/>
  <c r="C357" i="9"/>
  <c r="D357" i="9"/>
  <c r="H357" i="9"/>
  <c r="I357" i="9"/>
  <c r="J357" i="9"/>
  <c r="K357" i="9" s="1"/>
  <c r="L357" i="9"/>
  <c r="A358" i="9"/>
  <c r="B358" i="9"/>
  <c r="C358" i="9"/>
  <c r="D358" i="9"/>
  <c r="E358" i="9"/>
  <c r="F358" i="9"/>
  <c r="G358" i="9"/>
  <c r="H358" i="9"/>
  <c r="I358" i="9"/>
  <c r="J358" i="9"/>
  <c r="K358" i="9" s="1"/>
  <c r="L358" i="9"/>
  <c r="M358" i="9"/>
  <c r="A359" i="9"/>
  <c r="B359" i="9"/>
  <c r="C359" i="9"/>
  <c r="D359" i="9"/>
  <c r="E359" i="9"/>
  <c r="F359" i="9"/>
  <c r="G359" i="9"/>
  <c r="H359" i="9"/>
  <c r="I359" i="9"/>
  <c r="J359" i="9"/>
  <c r="K359" i="9"/>
  <c r="L359" i="9"/>
  <c r="M359" i="9"/>
  <c r="A360" i="9"/>
  <c r="H360" i="9" s="1"/>
  <c r="B360" i="9"/>
  <c r="C360" i="9"/>
  <c r="D360" i="9"/>
  <c r="E360" i="9"/>
  <c r="F360" i="9"/>
  <c r="G360" i="9"/>
  <c r="I360" i="9"/>
  <c r="J360" i="9"/>
  <c r="K360" i="9"/>
  <c r="L360" i="9"/>
  <c r="M360" i="9"/>
  <c r="A361" i="9"/>
  <c r="F361" i="9"/>
  <c r="G361" i="9"/>
  <c r="A362" i="9"/>
  <c r="C362" i="9"/>
  <c r="A363" i="9"/>
  <c r="E363" i="9" s="1"/>
  <c r="B363" i="9"/>
  <c r="F363" i="9"/>
  <c r="G363" i="9"/>
  <c r="H363" i="9"/>
  <c r="J363" i="9"/>
  <c r="K363" i="9" s="1"/>
  <c r="M363" i="9"/>
  <c r="A364" i="9"/>
  <c r="B364" i="9" s="1"/>
  <c r="C364" i="9"/>
  <c r="I364" i="9"/>
  <c r="J364" i="9"/>
  <c r="K364" i="9" s="1"/>
  <c r="A365" i="9"/>
  <c r="B365" i="9"/>
  <c r="D365" i="9"/>
  <c r="E365" i="9"/>
  <c r="F365" i="9"/>
  <c r="H365" i="9"/>
  <c r="I365" i="9"/>
  <c r="J365" i="9"/>
  <c r="K365" i="9"/>
  <c r="L365" i="9"/>
  <c r="A366" i="9"/>
  <c r="J366" i="9" s="1"/>
  <c r="K366" i="9" s="1"/>
  <c r="B366" i="9"/>
  <c r="C366" i="9"/>
  <c r="D366" i="9"/>
  <c r="E366" i="9"/>
  <c r="F366" i="9"/>
  <c r="G366" i="9"/>
  <c r="H366" i="9"/>
  <c r="I366" i="9"/>
  <c r="L366" i="9"/>
  <c r="M366" i="9"/>
  <c r="A367" i="9"/>
  <c r="F367" i="9" s="1"/>
  <c r="C367" i="9"/>
  <c r="D367" i="9"/>
  <c r="E367" i="9"/>
  <c r="G367" i="9"/>
  <c r="L367" i="9"/>
  <c r="M367" i="9"/>
  <c r="A368" i="9"/>
  <c r="D368" i="9" s="1"/>
  <c r="C368" i="9"/>
  <c r="E368" i="9"/>
  <c r="F368" i="9"/>
  <c r="G368" i="9"/>
  <c r="H368" i="9"/>
  <c r="I368" i="9"/>
  <c r="J368" i="9"/>
  <c r="K368" i="9" s="1"/>
  <c r="L368" i="9"/>
  <c r="M368" i="9"/>
  <c r="A369" i="9"/>
  <c r="B369" i="9" s="1"/>
  <c r="G369" i="9"/>
  <c r="H369" i="9"/>
  <c r="L369" i="9"/>
  <c r="A370" i="9"/>
  <c r="H370" i="9" s="1"/>
  <c r="B370" i="9"/>
  <c r="C370" i="9"/>
  <c r="D370" i="9"/>
  <c r="F370" i="9"/>
  <c r="G370" i="9"/>
  <c r="I370" i="9"/>
  <c r="J370" i="9"/>
  <c r="K370" i="9" s="1"/>
  <c r="A371" i="9"/>
  <c r="E371" i="9" s="1"/>
  <c r="B371" i="9"/>
  <c r="C371" i="9"/>
  <c r="D371" i="9"/>
  <c r="F371" i="9"/>
  <c r="G371" i="9"/>
  <c r="H371" i="9"/>
  <c r="I371" i="9"/>
  <c r="J371" i="9"/>
  <c r="K371" i="9" s="1"/>
  <c r="L371" i="9"/>
  <c r="M371" i="9"/>
  <c r="A372" i="9"/>
  <c r="B372" i="9" s="1"/>
  <c r="C372" i="9"/>
  <c r="D372" i="9"/>
  <c r="E372" i="9"/>
  <c r="A373" i="9"/>
  <c r="B373" i="9"/>
  <c r="C373" i="9"/>
  <c r="D373" i="9"/>
  <c r="E373" i="9"/>
  <c r="F373" i="9"/>
  <c r="G373" i="9"/>
  <c r="H373" i="9"/>
  <c r="I373" i="9"/>
  <c r="J373" i="9"/>
  <c r="K373" i="9" s="1"/>
  <c r="L373" i="9"/>
  <c r="M373" i="9"/>
  <c r="A374" i="9"/>
  <c r="B374" i="9" s="1"/>
  <c r="D374" i="9"/>
  <c r="E374" i="9"/>
  <c r="F374" i="9"/>
  <c r="G374" i="9"/>
  <c r="H374" i="9"/>
  <c r="I374" i="9"/>
  <c r="J374" i="9"/>
  <c r="K374" i="9"/>
  <c r="L374" i="9"/>
  <c r="M374" i="9"/>
  <c r="A375" i="9"/>
  <c r="C375" i="9" s="1"/>
  <c r="D375" i="9"/>
  <c r="E375" i="9"/>
  <c r="F375" i="9"/>
  <c r="G375" i="9"/>
  <c r="L375" i="9"/>
  <c r="M375" i="9"/>
  <c r="A376" i="9"/>
  <c r="B376" i="9" s="1"/>
  <c r="C376" i="9"/>
  <c r="D376" i="9"/>
  <c r="E376" i="9"/>
  <c r="F376" i="9"/>
  <c r="G376" i="9"/>
  <c r="H376" i="9"/>
  <c r="I376" i="9"/>
  <c r="J376" i="9"/>
  <c r="K376" i="9" s="1"/>
  <c r="L376" i="9"/>
  <c r="M376" i="9"/>
  <c r="A377" i="9"/>
  <c r="F377" i="9" s="1"/>
  <c r="G377" i="9"/>
  <c r="J377" i="9"/>
  <c r="K377" i="9"/>
  <c r="L377" i="9"/>
  <c r="M377" i="9"/>
  <c r="A378" i="9"/>
  <c r="B378" i="9"/>
  <c r="D378" i="9"/>
  <c r="E378" i="9"/>
  <c r="F378" i="9"/>
  <c r="G378" i="9"/>
  <c r="H378" i="9"/>
  <c r="M378" i="9"/>
  <c r="A379" i="9"/>
  <c r="G379" i="9" s="1"/>
  <c r="E379" i="9"/>
  <c r="F379" i="9"/>
  <c r="A380" i="9"/>
  <c r="G380" i="9" s="1"/>
  <c r="B380" i="9"/>
  <c r="H380" i="9"/>
  <c r="L380" i="9"/>
  <c r="M380" i="9"/>
  <c r="A381" i="9"/>
  <c r="C381" i="9" s="1"/>
  <c r="B381" i="9"/>
  <c r="A382" i="9"/>
  <c r="B382" i="9" s="1"/>
  <c r="E382" i="9"/>
  <c r="F382" i="9"/>
  <c r="G382" i="9"/>
  <c r="H382" i="9"/>
  <c r="I382" i="9"/>
  <c r="J382" i="9"/>
  <c r="K382" i="9" s="1"/>
  <c r="L382" i="9"/>
  <c r="M382" i="9"/>
  <c r="A383" i="9"/>
  <c r="H383" i="9"/>
  <c r="I383" i="9"/>
  <c r="L383" i="9"/>
  <c r="A384" i="9"/>
  <c r="B384" i="9"/>
  <c r="C384" i="9"/>
  <c r="A385" i="9"/>
  <c r="E385" i="9" s="1"/>
  <c r="B385" i="9"/>
  <c r="C385" i="9"/>
  <c r="D385" i="9"/>
  <c r="F385" i="9"/>
  <c r="G385" i="9"/>
  <c r="H385" i="9"/>
  <c r="I385" i="9"/>
  <c r="J385" i="9"/>
  <c r="K385" i="9"/>
  <c r="L385" i="9"/>
  <c r="M385" i="9"/>
  <c r="A386" i="9"/>
  <c r="B386" i="9"/>
  <c r="A387" i="9"/>
  <c r="C387" i="9" s="1"/>
  <c r="B387" i="9"/>
  <c r="D387" i="9"/>
  <c r="E387" i="9"/>
  <c r="G387" i="9"/>
  <c r="H387" i="9"/>
  <c r="I387" i="9"/>
  <c r="J387" i="9"/>
  <c r="K387" i="9"/>
  <c r="A388" i="9"/>
  <c r="B388" i="9"/>
  <c r="C388" i="9"/>
  <c r="D388" i="9"/>
  <c r="E388" i="9"/>
  <c r="F388" i="9"/>
  <c r="G388" i="9"/>
  <c r="H388" i="9"/>
  <c r="I388" i="9"/>
  <c r="J388" i="9"/>
  <c r="K388" i="9" s="1"/>
  <c r="L388" i="9"/>
  <c r="M388" i="9"/>
  <c r="A389" i="9"/>
  <c r="B389" i="9"/>
  <c r="C389" i="9"/>
  <c r="D389" i="9"/>
  <c r="E389" i="9"/>
  <c r="J389" i="9"/>
  <c r="K389" i="9" s="1"/>
  <c r="A390" i="9"/>
  <c r="B390" i="9"/>
  <c r="C390" i="9"/>
  <c r="D390" i="9"/>
  <c r="E390" i="9"/>
  <c r="A391" i="9"/>
  <c r="B391" i="9"/>
  <c r="C391" i="9"/>
  <c r="D391" i="9"/>
  <c r="E391" i="9"/>
  <c r="F391" i="9"/>
  <c r="G391" i="9"/>
  <c r="H391" i="9"/>
  <c r="I391" i="9"/>
  <c r="J391" i="9"/>
  <c r="K391" i="9"/>
  <c r="L391" i="9"/>
  <c r="M391" i="9"/>
  <c r="A392" i="9"/>
  <c r="G392" i="9" s="1"/>
  <c r="B392" i="9"/>
  <c r="C392" i="9"/>
  <c r="D392" i="9"/>
  <c r="E392" i="9"/>
  <c r="F392" i="9"/>
  <c r="L392" i="9"/>
  <c r="A393" i="9"/>
  <c r="B393" i="9"/>
  <c r="C393" i="9"/>
  <c r="D393" i="9"/>
  <c r="E393" i="9"/>
  <c r="F393" i="9"/>
  <c r="G393" i="9"/>
  <c r="H393" i="9"/>
  <c r="I393" i="9"/>
  <c r="J393" i="9"/>
  <c r="K393" i="9" s="1"/>
  <c r="L393" i="9"/>
  <c r="M393" i="9"/>
  <c r="A394" i="9"/>
  <c r="B394" i="9" s="1"/>
  <c r="D394" i="9"/>
  <c r="E394" i="9"/>
  <c r="F394" i="9"/>
  <c r="G394" i="9"/>
  <c r="H394" i="9"/>
  <c r="I394" i="9"/>
  <c r="J394" i="9"/>
  <c r="K394" i="9"/>
  <c r="L394" i="9"/>
  <c r="M394" i="9"/>
  <c r="A395" i="9"/>
  <c r="C395" i="9"/>
  <c r="D395" i="9"/>
  <c r="A396" i="9"/>
  <c r="B396" i="9" s="1"/>
  <c r="C396" i="9"/>
  <c r="D396" i="9"/>
  <c r="E396" i="9"/>
  <c r="F396" i="9"/>
  <c r="G396" i="9"/>
  <c r="H396" i="9"/>
  <c r="I396" i="9"/>
  <c r="J396" i="9"/>
  <c r="K396" i="9"/>
  <c r="L396" i="9"/>
  <c r="M396" i="9"/>
  <c r="A397" i="9"/>
  <c r="F397" i="9"/>
  <c r="G397" i="9"/>
  <c r="A398" i="9"/>
  <c r="B398" i="9"/>
  <c r="M398" i="9"/>
  <c r="A399" i="9"/>
  <c r="E399" i="9"/>
  <c r="F399" i="9"/>
  <c r="G399" i="9"/>
  <c r="H399" i="9"/>
  <c r="I399" i="9"/>
  <c r="L399" i="9"/>
  <c r="M399" i="9"/>
  <c r="A400" i="9"/>
  <c r="G400" i="9" s="1"/>
  <c r="B400" i="9"/>
  <c r="H400" i="9"/>
  <c r="A401" i="9"/>
  <c r="F401" i="9" s="1"/>
  <c r="B401" i="9"/>
  <c r="C401" i="9"/>
  <c r="E401" i="9"/>
  <c r="G401" i="9"/>
  <c r="H401" i="9"/>
  <c r="I401" i="9"/>
  <c r="A402" i="9"/>
  <c r="B402" i="9"/>
  <c r="E402" i="9"/>
  <c r="F402" i="9"/>
  <c r="G402" i="9"/>
  <c r="H402" i="9"/>
  <c r="I402" i="9"/>
  <c r="J402" i="9"/>
  <c r="K402" i="9" s="1"/>
  <c r="L402" i="9"/>
  <c r="A403" i="9"/>
  <c r="B403" i="9"/>
  <c r="C403" i="9"/>
  <c r="H403" i="9"/>
  <c r="I403" i="9"/>
  <c r="L403" i="9"/>
  <c r="M403" i="9"/>
  <c r="A404" i="9"/>
  <c r="E404" i="9" s="1"/>
  <c r="B404" i="9"/>
  <c r="C404" i="9"/>
  <c r="D404" i="9"/>
  <c r="F404" i="9"/>
  <c r="G404" i="9"/>
  <c r="H404" i="9"/>
  <c r="I404" i="9"/>
  <c r="J404" i="9"/>
  <c r="K404" i="9" s="1"/>
  <c r="A405" i="9"/>
  <c r="E405" i="9" s="1"/>
  <c r="B405" i="9"/>
  <c r="C405" i="9"/>
  <c r="D405" i="9"/>
  <c r="F405" i="9"/>
  <c r="G405" i="9"/>
  <c r="H405" i="9"/>
  <c r="I405" i="9"/>
  <c r="J405" i="9"/>
  <c r="K405" i="9" s="1"/>
  <c r="L405" i="9"/>
  <c r="M405" i="9"/>
  <c r="A406" i="9"/>
  <c r="D406" i="9" s="1"/>
  <c r="B406" i="9"/>
  <c r="C406" i="9"/>
  <c r="I406" i="9"/>
  <c r="J406" i="9"/>
  <c r="K406" i="9" s="1"/>
  <c r="M406" i="9"/>
  <c r="A407" i="9"/>
  <c r="J407" i="9" s="1"/>
  <c r="K407" i="9" s="1"/>
  <c r="A408" i="9"/>
  <c r="B408" i="9"/>
  <c r="C408" i="9"/>
  <c r="D408" i="9"/>
  <c r="E408" i="9"/>
  <c r="F408" i="9"/>
  <c r="G408" i="9"/>
  <c r="H408" i="9"/>
  <c r="I408" i="9"/>
  <c r="J408" i="9"/>
  <c r="K408" i="9"/>
  <c r="L408" i="9"/>
  <c r="M408" i="9"/>
  <c r="A409" i="9"/>
  <c r="B409" i="9"/>
  <c r="C409" i="9"/>
  <c r="D409" i="9"/>
  <c r="E409" i="9"/>
  <c r="J409" i="9"/>
  <c r="K409" i="9" s="1"/>
  <c r="A410" i="9"/>
  <c r="B410" i="9"/>
  <c r="C410" i="9"/>
  <c r="A411" i="9"/>
  <c r="B411" i="9"/>
  <c r="C411" i="9"/>
  <c r="D411" i="9"/>
  <c r="E411" i="9"/>
  <c r="F411" i="9"/>
  <c r="G411" i="9"/>
  <c r="H411" i="9"/>
  <c r="I411" i="9"/>
  <c r="J411" i="9"/>
  <c r="K411" i="9" s="1"/>
  <c r="L411" i="9"/>
  <c r="M411" i="9"/>
  <c r="A412" i="9"/>
  <c r="B412" i="9"/>
  <c r="C412" i="9"/>
  <c r="D412" i="9"/>
  <c r="E412" i="9"/>
  <c r="F412" i="9"/>
  <c r="A413" i="9"/>
  <c r="B413" i="9"/>
  <c r="C413" i="9"/>
  <c r="D413" i="9"/>
  <c r="E413" i="9"/>
  <c r="F413" i="9"/>
  <c r="G413" i="9"/>
  <c r="H413" i="9"/>
  <c r="I413" i="9"/>
  <c r="J413" i="9"/>
  <c r="K413" i="9" s="1"/>
  <c r="L413" i="9"/>
  <c r="M413" i="9"/>
  <c r="A414" i="9"/>
  <c r="B414" i="9" s="1"/>
  <c r="D414" i="9"/>
  <c r="E414" i="9"/>
  <c r="F414" i="9"/>
  <c r="G414" i="9"/>
  <c r="H414" i="9"/>
  <c r="I414" i="9"/>
  <c r="J414" i="9"/>
  <c r="K414" i="9" s="1"/>
  <c r="L414" i="9"/>
  <c r="M414" i="9"/>
  <c r="A415" i="9"/>
  <c r="E415" i="9" s="1"/>
  <c r="C415" i="9"/>
  <c r="D415" i="9"/>
  <c r="G415" i="9"/>
  <c r="L415" i="9"/>
  <c r="M415" i="9"/>
  <c r="A416" i="9"/>
  <c r="L416" i="9" s="1"/>
  <c r="A417" i="9"/>
  <c r="F417" i="9"/>
  <c r="G417" i="9"/>
  <c r="H417" i="9"/>
  <c r="J417" i="9"/>
  <c r="K417" i="9" s="1"/>
  <c r="A418" i="9"/>
  <c r="L418" i="9" s="1"/>
  <c r="B418" i="9"/>
  <c r="C418" i="9"/>
  <c r="H418" i="9"/>
  <c r="A419" i="9"/>
  <c r="C419" i="9" s="1"/>
  <c r="B419" i="9"/>
  <c r="D419" i="9"/>
  <c r="E419" i="9"/>
  <c r="F419" i="9"/>
  <c r="G419" i="9"/>
  <c r="H419" i="9"/>
  <c r="I419" i="9"/>
  <c r="J419" i="9"/>
  <c r="K419" i="9" s="1"/>
  <c r="L419" i="9"/>
  <c r="M419" i="9"/>
  <c r="A420" i="9"/>
  <c r="A421" i="9"/>
  <c r="H421" i="9" s="1"/>
  <c r="B421" i="9"/>
  <c r="A422" i="9"/>
  <c r="A423" i="9"/>
  <c r="C423" i="9" s="1"/>
  <c r="B423" i="9"/>
  <c r="G423" i="9"/>
  <c r="A424" i="9"/>
  <c r="B424" i="9" s="1"/>
  <c r="C424" i="9"/>
  <c r="D424" i="9"/>
  <c r="E424" i="9"/>
  <c r="G424" i="9"/>
  <c r="H424" i="9"/>
  <c r="I424" i="9"/>
  <c r="J424" i="9"/>
  <c r="K424" i="9" s="1"/>
  <c r="A425" i="9"/>
  <c r="B425" i="9" s="1"/>
  <c r="C425" i="9"/>
  <c r="D425" i="9"/>
  <c r="E425" i="9"/>
  <c r="F425" i="9"/>
  <c r="A426" i="9"/>
  <c r="B426" i="9"/>
  <c r="D426" i="9"/>
  <c r="H426" i="9"/>
  <c r="I426" i="9"/>
  <c r="J426" i="9"/>
  <c r="K426" i="9" s="1"/>
  <c r="L426" i="9"/>
  <c r="M426" i="9"/>
  <c r="A427" i="9"/>
  <c r="C427" i="9" s="1"/>
  <c r="B427" i="9"/>
  <c r="E427" i="9"/>
  <c r="J427" i="9"/>
  <c r="K427" i="9" s="1"/>
  <c r="A428" i="9"/>
  <c r="B428" i="9"/>
  <c r="C428" i="9"/>
  <c r="D428" i="9"/>
  <c r="E428" i="9"/>
  <c r="F428" i="9"/>
  <c r="G428" i="9"/>
  <c r="H428" i="9"/>
  <c r="I428" i="9"/>
  <c r="J428" i="9"/>
  <c r="K428" i="9" s="1"/>
  <c r="L428" i="9"/>
  <c r="M428" i="9"/>
  <c r="A429" i="9"/>
  <c r="M429" i="9" s="1"/>
  <c r="I429" i="9"/>
  <c r="J429" i="9"/>
  <c r="K429" i="9" s="1"/>
  <c r="A430" i="9"/>
  <c r="C430" i="9" s="1"/>
  <c r="B430" i="9"/>
  <c r="E430" i="9"/>
  <c r="A431" i="9"/>
  <c r="B431" i="9"/>
  <c r="C431" i="9"/>
  <c r="D431" i="9"/>
  <c r="E431" i="9"/>
  <c r="F431" i="9"/>
  <c r="G431" i="9"/>
  <c r="H431" i="9"/>
  <c r="I431" i="9"/>
  <c r="J431" i="9"/>
  <c r="K431" i="9"/>
  <c r="L431" i="9"/>
  <c r="M431" i="9"/>
  <c r="A432" i="9"/>
  <c r="A433" i="9"/>
  <c r="B433" i="9" s="1"/>
  <c r="G433" i="9"/>
  <c r="H433" i="9"/>
  <c r="I433" i="9"/>
  <c r="L433" i="9"/>
  <c r="M433" i="9"/>
  <c r="A434" i="9"/>
  <c r="B434" i="9" s="1"/>
  <c r="D434" i="9"/>
  <c r="E434" i="9"/>
  <c r="F434" i="9"/>
  <c r="G434" i="9"/>
  <c r="H434" i="9"/>
  <c r="I434" i="9"/>
  <c r="J434" i="9"/>
  <c r="K434" i="9" s="1"/>
  <c r="L434" i="9"/>
  <c r="M434" i="9"/>
  <c r="A435" i="9"/>
  <c r="B435" i="9"/>
  <c r="C435" i="9"/>
  <c r="D435" i="9"/>
  <c r="E435" i="9"/>
  <c r="F435" i="9"/>
  <c r="G435" i="9"/>
  <c r="L435" i="9"/>
  <c r="A436" i="9"/>
  <c r="B436" i="9"/>
  <c r="M436" i="9"/>
  <c r="A437" i="9"/>
  <c r="H437" i="9" s="1"/>
  <c r="F437" i="9"/>
  <c r="G437" i="9"/>
  <c r="J437" i="9"/>
  <c r="K437" i="9" s="1"/>
  <c r="L437" i="9"/>
  <c r="A438" i="9"/>
  <c r="J438" i="9" s="1"/>
  <c r="K438" i="9" s="1"/>
  <c r="B438" i="9"/>
  <c r="C438" i="9"/>
  <c r="D438" i="9"/>
  <c r="E438" i="9"/>
  <c r="F438" i="9"/>
  <c r="G438" i="9"/>
  <c r="H438" i="9"/>
  <c r="I438" i="9"/>
  <c r="L438" i="9"/>
  <c r="M438" i="9"/>
  <c r="A439" i="9"/>
  <c r="F439" i="9" s="1"/>
  <c r="C439" i="9"/>
  <c r="D439" i="9"/>
  <c r="E439" i="9"/>
  <c r="H439" i="9"/>
  <c r="M439" i="9"/>
  <c r="A440" i="9"/>
  <c r="B440" i="9" s="1"/>
  <c r="F440" i="9"/>
  <c r="G440" i="9"/>
  <c r="H440" i="9"/>
  <c r="A441" i="9"/>
  <c r="B441" i="9" s="1"/>
  <c r="J441" i="9"/>
  <c r="K441" i="9" s="1"/>
  <c r="A442" i="9"/>
  <c r="B442" i="9"/>
  <c r="C442" i="9"/>
  <c r="D442" i="9"/>
  <c r="E442" i="9"/>
  <c r="F442" i="9"/>
  <c r="G442" i="9"/>
  <c r="H442" i="9"/>
  <c r="I442" i="9"/>
  <c r="J442" i="9"/>
  <c r="K442" i="9" s="1"/>
  <c r="L442" i="9"/>
  <c r="M442" i="9"/>
  <c r="A443" i="9"/>
  <c r="B443" i="9" s="1"/>
  <c r="C443" i="9"/>
  <c r="D443" i="9"/>
  <c r="G443" i="9"/>
  <c r="H443" i="9"/>
  <c r="I443" i="9"/>
  <c r="J443" i="9"/>
  <c r="K443" i="9"/>
  <c r="L443" i="9"/>
  <c r="M443" i="9"/>
  <c r="A444" i="9"/>
  <c r="C444" i="9" s="1"/>
  <c r="B444" i="9"/>
  <c r="E444" i="9"/>
  <c r="A445" i="9"/>
  <c r="E445" i="9" s="1"/>
  <c r="C445" i="9"/>
  <c r="D445" i="9"/>
  <c r="G445" i="9"/>
  <c r="H445" i="9"/>
  <c r="I445" i="9"/>
  <c r="J445" i="9"/>
  <c r="K445" i="9" s="1"/>
  <c r="L445" i="9"/>
  <c r="M445" i="9"/>
  <c r="A446" i="9"/>
  <c r="A447" i="9"/>
  <c r="F447" i="9" s="1"/>
  <c r="C447" i="9"/>
  <c r="D447" i="9"/>
  <c r="E447" i="9"/>
  <c r="G447" i="9"/>
  <c r="H447" i="9"/>
  <c r="I447" i="9"/>
  <c r="J447" i="9"/>
  <c r="K447" i="9" s="1"/>
  <c r="L447" i="9"/>
  <c r="A448" i="9"/>
  <c r="H448" i="9" s="1"/>
  <c r="B448" i="9"/>
  <c r="E448" i="9"/>
  <c r="G448" i="9"/>
  <c r="I448" i="9"/>
  <c r="A449" i="9"/>
  <c r="E449" i="9" s="1"/>
  <c r="B449" i="9"/>
  <c r="C449" i="9"/>
  <c r="D449" i="9"/>
  <c r="F449" i="9"/>
  <c r="H449" i="9"/>
  <c r="I449" i="9"/>
  <c r="J449" i="9"/>
  <c r="K449" i="9" s="1"/>
  <c r="M449" i="9"/>
  <c r="A450" i="9"/>
  <c r="A451" i="9"/>
  <c r="B451" i="9"/>
  <c r="C451" i="9"/>
  <c r="D451" i="9"/>
  <c r="E451" i="9"/>
  <c r="F451" i="9"/>
  <c r="G451" i="9"/>
  <c r="H451" i="9"/>
  <c r="I451" i="9"/>
  <c r="J451" i="9"/>
  <c r="K451" i="9" s="1"/>
  <c r="L451" i="9"/>
  <c r="M451" i="9"/>
  <c r="A452" i="9"/>
  <c r="B452" i="9" s="1"/>
  <c r="A453" i="9"/>
  <c r="B453" i="9"/>
  <c r="C453" i="9"/>
  <c r="D453" i="9"/>
  <c r="E453" i="9"/>
  <c r="F453" i="9"/>
  <c r="G453" i="9"/>
  <c r="H453" i="9"/>
  <c r="I453" i="9"/>
  <c r="J453" i="9"/>
  <c r="K453" i="9" s="1"/>
  <c r="L453" i="9"/>
  <c r="M453" i="9"/>
  <c r="A454" i="9"/>
  <c r="C454" i="9" s="1"/>
  <c r="D454" i="9"/>
  <c r="E454" i="9"/>
  <c r="F454" i="9"/>
  <c r="J454" i="9"/>
  <c r="K454" i="9"/>
  <c r="L454" i="9"/>
  <c r="M454" i="9"/>
  <c r="A455" i="9"/>
  <c r="F455" i="9" s="1"/>
  <c r="C455" i="9"/>
  <c r="D455" i="9"/>
  <c r="E455" i="9"/>
  <c r="A456" i="9"/>
  <c r="G456" i="9" s="1"/>
  <c r="B456" i="9"/>
  <c r="E456" i="9"/>
  <c r="F456" i="9"/>
  <c r="H456" i="9"/>
  <c r="I456" i="9"/>
  <c r="L456" i="9"/>
  <c r="M456" i="9"/>
  <c r="A457" i="9"/>
  <c r="B457" i="9"/>
  <c r="F457" i="9"/>
  <c r="A458" i="9"/>
  <c r="F458" i="9" s="1"/>
  <c r="B458" i="9"/>
  <c r="C458" i="9"/>
  <c r="D458" i="9"/>
  <c r="G458" i="9"/>
  <c r="H458" i="9"/>
  <c r="I458" i="9"/>
  <c r="L458" i="9"/>
  <c r="M458" i="9"/>
  <c r="A459" i="9"/>
  <c r="A460" i="9"/>
  <c r="B460" i="9"/>
  <c r="C460" i="9"/>
  <c r="E460" i="9"/>
  <c r="F460" i="9"/>
  <c r="L460" i="9"/>
  <c r="A461" i="9"/>
  <c r="B461" i="9"/>
  <c r="C461" i="9"/>
  <c r="D461" i="9"/>
  <c r="E461" i="9"/>
  <c r="F461" i="9"/>
  <c r="G461" i="9"/>
  <c r="H461" i="9"/>
  <c r="I461" i="9"/>
  <c r="J461" i="9"/>
  <c r="K461" i="9" s="1"/>
  <c r="L461" i="9"/>
  <c r="M461" i="9"/>
  <c r="A462" i="9"/>
  <c r="M462" i="9" s="1"/>
  <c r="A463" i="9"/>
  <c r="B463" i="9"/>
  <c r="C463" i="9"/>
  <c r="D463" i="9"/>
  <c r="E463" i="9"/>
  <c r="F463" i="9"/>
  <c r="G463" i="9"/>
  <c r="H463" i="9"/>
  <c r="I463" i="9"/>
  <c r="J463" i="9"/>
  <c r="K463" i="9" s="1"/>
  <c r="L463" i="9"/>
  <c r="M463" i="9"/>
  <c r="A464" i="9"/>
  <c r="B464" i="9" s="1"/>
  <c r="C464" i="9"/>
  <c r="D464" i="9"/>
  <c r="E464" i="9"/>
  <c r="F464" i="9"/>
  <c r="G464" i="9"/>
  <c r="H464" i="9"/>
  <c r="I464" i="9"/>
  <c r="J464" i="9"/>
  <c r="K464" i="9" s="1"/>
  <c r="L464" i="9"/>
  <c r="M464" i="9"/>
  <c r="A465" i="9"/>
  <c r="B465" i="9" s="1"/>
  <c r="D465" i="9"/>
  <c r="E465" i="9"/>
  <c r="F465" i="9"/>
  <c r="A466" i="9"/>
  <c r="J466" i="9" s="1"/>
  <c r="K466" i="9" s="1"/>
  <c r="E466" i="9"/>
  <c r="A467" i="9"/>
  <c r="A468" i="9"/>
  <c r="M468" i="9" s="1"/>
  <c r="B468" i="9"/>
  <c r="G468" i="9"/>
  <c r="H468" i="9"/>
  <c r="A469" i="9"/>
  <c r="B469" i="9"/>
  <c r="D469" i="9"/>
  <c r="E469" i="9"/>
  <c r="F469" i="9"/>
  <c r="G469" i="9"/>
  <c r="H469" i="9"/>
  <c r="I469" i="9"/>
  <c r="J469" i="9"/>
  <c r="K469" i="9" s="1"/>
  <c r="L469" i="9"/>
  <c r="A470" i="9"/>
  <c r="I470" i="9" s="1"/>
  <c r="B470" i="9"/>
  <c r="E470" i="9"/>
  <c r="F470" i="9"/>
  <c r="G470" i="9"/>
  <c r="H470" i="9"/>
  <c r="L470" i="9"/>
  <c r="M470" i="9"/>
  <c r="A471" i="9"/>
  <c r="C471" i="9" s="1"/>
  <c r="D471" i="9"/>
  <c r="E471" i="9"/>
  <c r="F471" i="9"/>
  <c r="G471" i="9"/>
  <c r="H471" i="9"/>
  <c r="I471" i="9"/>
  <c r="A472" i="9"/>
  <c r="D472" i="9" s="1"/>
  <c r="C472" i="9"/>
  <c r="E472" i="9"/>
  <c r="F472" i="9"/>
  <c r="H472" i="9"/>
  <c r="I472" i="9"/>
  <c r="J472" i="9"/>
  <c r="K472" i="9" s="1"/>
  <c r="L472" i="9"/>
  <c r="M472" i="9"/>
  <c r="A473" i="9"/>
  <c r="B473" i="9"/>
  <c r="C473" i="9"/>
  <c r="F473" i="9"/>
  <c r="G473" i="9"/>
  <c r="H473" i="9"/>
  <c r="A474" i="9"/>
  <c r="A475" i="9"/>
  <c r="D475" i="9" s="1"/>
  <c r="B475" i="9"/>
  <c r="C475" i="9"/>
  <c r="L475" i="9"/>
  <c r="M475" i="9"/>
  <c r="A476" i="9"/>
  <c r="B476" i="9"/>
  <c r="C476" i="9"/>
  <c r="D476" i="9"/>
  <c r="G476" i="9"/>
  <c r="H476" i="9"/>
  <c r="I476" i="9"/>
  <c r="J476" i="9"/>
  <c r="K476" i="9" s="1"/>
  <c r="M476" i="9"/>
  <c r="A477" i="9"/>
  <c r="J477" i="9" s="1"/>
  <c r="K477" i="9" s="1"/>
  <c r="B477" i="9"/>
  <c r="C477" i="9"/>
  <c r="H477" i="9"/>
  <c r="I477" i="9"/>
  <c r="A478" i="9"/>
  <c r="F478" i="9" s="1"/>
  <c r="B478" i="9"/>
  <c r="C478" i="9"/>
  <c r="D478" i="9"/>
  <c r="E478" i="9"/>
  <c r="G478" i="9"/>
  <c r="H478" i="9"/>
  <c r="I478" i="9"/>
  <c r="J478" i="9"/>
  <c r="K478" i="9"/>
  <c r="L478" i="9"/>
  <c r="M478" i="9"/>
  <c r="A479" i="9"/>
  <c r="J479" i="9" s="1"/>
  <c r="K479" i="9" s="1"/>
  <c r="B479" i="9"/>
  <c r="C479" i="9"/>
  <c r="D479" i="9"/>
  <c r="E479" i="9"/>
  <c r="H479" i="9"/>
  <c r="I479" i="9"/>
  <c r="L479" i="9"/>
  <c r="A480" i="9"/>
  <c r="D480" i="9"/>
  <c r="H480" i="9"/>
  <c r="A481" i="9"/>
  <c r="B481" i="9"/>
  <c r="C481" i="9"/>
  <c r="D481" i="9"/>
  <c r="E481" i="9"/>
  <c r="F481" i="9"/>
  <c r="G481" i="9"/>
  <c r="H481" i="9"/>
  <c r="I481" i="9"/>
  <c r="J481" i="9"/>
  <c r="K481" i="9" s="1"/>
  <c r="L481" i="9"/>
  <c r="M481" i="9"/>
  <c r="A482" i="9"/>
  <c r="E482" i="9"/>
  <c r="M482" i="9"/>
  <c r="A483" i="9"/>
  <c r="B483" i="9"/>
  <c r="C483" i="9"/>
  <c r="D483" i="9"/>
  <c r="E483" i="9"/>
  <c r="F483" i="9"/>
  <c r="G483" i="9"/>
  <c r="H483" i="9"/>
  <c r="I483" i="9"/>
  <c r="J483" i="9"/>
  <c r="K483" i="9"/>
  <c r="L483" i="9"/>
  <c r="M483" i="9"/>
  <c r="A484" i="9"/>
  <c r="B484" i="9" s="1"/>
  <c r="C484" i="9"/>
  <c r="D484" i="9"/>
  <c r="E484" i="9"/>
  <c r="F484" i="9"/>
  <c r="G484" i="9"/>
  <c r="H484" i="9"/>
  <c r="I484" i="9"/>
  <c r="J484" i="9"/>
  <c r="K484" i="9" s="1"/>
  <c r="L484" i="9"/>
  <c r="M484" i="9"/>
  <c r="A485" i="9"/>
  <c r="D485" i="9" s="1"/>
  <c r="B485" i="9"/>
  <c r="C485" i="9"/>
  <c r="F485" i="9"/>
  <c r="G485" i="9"/>
  <c r="J485" i="9"/>
  <c r="K485" i="9" s="1"/>
  <c r="A486" i="9"/>
  <c r="H486" i="9" s="1"/>
  <c r="D486" i="9"/>
  <c r="E486" i="9"/>
  <c r="F486" i="9"/>
  <c r="I486" i="9"/>
  <c r="J486" i="9"/>
  <c r="K486" i="9" s="1"/>
  <c r="A487" i="9"/>
  <c r="G487" i="9" s="1"/>
  <c r="D487" i="9"/>
  <c r="E487" i="9"/>
  <c r="F487" i="9"/>
  <c r="L487" i="9"/>
  <c r="A488" i="9"/>
  <c r="G488" i="9" s="1"/>
  <c r="B488" i="9"/>
  <c r="C488" i="9"/>
  <c r="L488" i="9"/>
  <c r="A489" i="9"/>
  <c r="A490" i="9"/>
  <c r="B490" i="9"/>
  <c r="E490" i="9"/>
  <c r="F490" i="9"/>
  <c r="G490" i="9"/>
  <c r="H490" i="9"/>
  <c r="I490" i="9"/>
  <c r="L490" i="9"/>
  <c r="M490" i="9"/>
  <c r="A491" i="9"/>
  <c r="A492" i="9"/>
  <c r="F492" i="9" s="1"/>
  <c r="E492" i="9"/>
  <c r="G492" i="9"/>
  <c r="H492" i="9"/>
  <c r="I492" i="9"/>
  <c r="J492" i="9"/>
  <c r="K492" i="9" s="1"/>
  <c r="L492" i="9"/>
  <c r="M492" i="9"/>
  <c r="A493" i="9"/>
  <c r="J493" i="9" s="1"/>
  <c r="K493" i="9" s="1"/>
  <c r="B493" i="9"/>
  <c r="C493" i="9"/>
  <c r="F493" i="9"/>
  <c r="G493" i="9"/>
  <c r="H493" i="9"/>
  <c r="I493" i="9"/>
  <c r="L493" i="9"/>
  <c r="M493" i="9"/>
  <c r="A494" i="9"/>
  <c r="B494" i="9"/>
  <c r="C494" i="9"/>
  <c r="D494" i="9"/>
  <c r="E494" i="9"/>
  <c r="F494" i="9"/>
  <c r="G494" i="9"/>
  <c r="H494" i="9"/>
  <c r="I494" i="9"/>
  <c r="J494" i="9"/>
  <c r="K494" i="9" s="1"/>
  <c r="A495" i="9"/>
  <c r="E495" i="9" s="1"/>
  <c r="B495" i="9"/>
  <c r="C495" i="9"/>
  <c r="D495" i="9"/>
  <c r="F495" i="9"/>
  <c r="G495" i="9"/>
  <c r="I495" i="9"/>
  <c r="J495" i="9"/>
  <c r="K495" i="9"/>
  <c r="L495" i="9"/>
  <c r="M495" i="9"/>
  <c r="A496" i="9"/>
  <c r="B496" i="9"/>
  <c r="C496" i="9"/>
  <c r="D496" i="9"/>
  <c r="G496" i="9"/>
  <c r="H496" i="9"/>
  <c r="I496" i="9"/>
  <c r="M496" i="9"/>
  <c r="A497" i="9"/>
  <c r="C497" i="9" s="1"/>
  <c r="B497" i="9"/>
  <c r="D497" i="9"/>
  <c r="F497" i="9"/>
  <c r="A498" i="9"/>
  <c r="J498" i="9"/>
  <c r="K498" i="9" s="1"/>
  <c r="A499" i="9"/>
  <c r="E499" i="9" s="1"/>
  <c r="A500" i="9"/>
  <c r="C500" i="9" s="1"/>
  <c r="B500" i="9"/>
  <c r="G500" i="9"/>
  <c r="H500" i="9"/>
  <c r="I500" i="9"/>
  <c r="J500" i="9"/>
  <c r="K500" i="9" s="1"/>
  <c r="A501" i="9"/>
  <c r="B501" i="9"/>
  <c r="C501" i="9"/>
  <c r="D501" i="9"/>
  <c r="E501" i="9"/>
  <c r="F501" i="9"/>
  <c r="G501" i="9"/>
  <c r="H501" i="9"/>
  <c r="I501" i="9"/>
  <c r="J501" i="9"/>
  <c r="K501" i="9" s="1"/>
  <c r="L501" i="9"/>
  <c r="M501" i="9"/>
  <c r="A502" i="9"/>
  <c r="I502" i="9" s="1"/>
  <c r="B502" i="9"/>
  <c r="C502" i="9"/>
  <c r="D502" i="9"/>
  <c r="E502" i="9"/>
  <c r="F502" i="9"/>
  <c r="J502" i="9"/>
  <c r="K502" i="9" s="1"/>
  <c r="L502" i="9"/>
  <c r="M502" i="9"/>
  <c r="A503" i="9"/>
  <c r="B503" i="9"/>
  <c r="C503" i="9"/>
  <c r="D503" i="9"/>
  <c r="E503" i="9"/>
  <c r="F503" i="9"/>
  <c r="G503" i="9"/>
  <c r="H503" i="9"/>
  <c r="I503" i="9"/>
  <c r="J503" i="9"/>
  <c r="K503" i="9" s="1"/>
  <c r="L503" i="9"/>
  <c r="M503" i="9"/>
  <c r="A504" i="9"/>
  <c r="B504" i="9" s="1"/>
  <c r="C504" i="9"/>
  <c r="D504" i="9"/>
  <c r="E504" i="9"/>
  <c r="F504" i="9"/>
  <c r="G504" i="9"/>
  <c r="H504" i="9"/>
  <c r="I504" i="9"/>
  <c r="J504" i="9"/>
  <c r="K504" i="9" s="1"/>
  <c r="L504" i="9"/>
  <c r="M504" i="9"/>
  <c r="A505" i="9"/>
  <c r="J505" i="9" s="1"/>
  <c r="K505" i="9" s="1"/>
  <c r="B505" i="9"/>
  <c r="C505" i="9"/>
  <c r="F505" i="9"/>
  <c r="G505" i="9"/>
  <c r="L505" i="9"/>
  <c r="A506" i="9"/>
  <c r="C506" i="9"/>
  <c r="D506" i="9"/>
  <c r="E506" i="9"/>
  <c r="F506" i="9"/>
  <c r="G506" i="9"/>
  <c r="H506" i="9"/>
  <c r="I506" i="9"/>
  <c r="J506" i="9"/>
  <c r="K506" i="9" s="1"/>
  <c r="L506" i="9"/>
  <c r="A507" i="9"/>
  <c r="D507" i="9"/>
  <c r="E507" i="9"/>
  <c r="F507" i="9"/>
  <c r="G507" i="9"/>
  <c r="H507" i="9"/>
  <c r="J507" i="9"/>
  <c r="K507" i="9" s="1"/>
  <c r="L507" i="9"/>
  <c r="M507" i="9"/>
  <c r="A508" i="9"/>
  <c r="B508" i="9"/>
  <c r="C508" i="9"/>
  <c r="D508" i="9"/>
  <c r="E508" i="9"/>
  <c r="F508" i="9"/>
  <c r="G508" i="9"/>
  <c r="H508" i="9"/>
  <c r="L508" i="9"/>
  <c r="A509" i="9"/>
  <c r="C509" i="9" s="1"/>
  <c r="B509" i="9"/>
  <c r="D509" i="9"/>
  <c r="E509" i="9"/>
  <c r="F509" i="9"/>
  <c r="G509" i="9"/>
  <c r="I509" i="9"/>
  <c r="J509" i="9"/>
  <c r="K509" i="9" s="1"/>
  <c r="L509" i="9"/>
  <c r="M509" i="9"/>
  <c r="A510" i="9"/>
  <c r="B510" i="9"/>
  <c r="E510" i="9"/>
  <c r="F510" i="9"/>
  <c r="G510" i="9"/>
  <c r="H510" i="9"/>
  <c r="I510" i="9"/>
  <c r="M510" i="9"/>
  <c r="A511" i="9"/>
  <c r="H511" i="9" s="1"/>
  <c r="M511" i="9"/>
  <c r="A512" i="9"/>
  <c r="B512" i="9"/>
  <c r="C512" i="9"/>
  <c r="E512" i="9"/>
  <c r="F512" i="9"/>
  <c r="G512" i="9"/>
  <c r="J512" i="9"/>
  <c r="K512" i="9" s="1"/>
  <c r="L512" i="9"/>
  <c r="M512" i="9"/>
  <c r="A513" i="9"/>
  <c r="J513" i="9"/>
  <c r="K513" i="9" s="1"/>
  <c r="A514" i="9"/>
  <c r="D514" i="9" s="1"/>
  <c r="B514" i="9"/>
  <c r="C514" i="9"/>
  <c r="G514" i="9"/>
  <c r="I514" i="9"/>
  <c r="J514" i="9"/>
  <c r="K514" i="9" s="1"/>
  <c r="A515" i="9"/>
  <c r="E515" i="9" s="1"/>
  <c r="B515" i="9"/>
  <c r="C515" i="9"/>
  <c r="D515" i="9"/>
  <c r="F515" i="9"/>
  <c r="G515" i="9"/>
  <c r="H515" i="9"/>
  <c r="I515" i="9"/>
  <c r="J515" i="9"/>
  <c r="K515" i="9" s="1"/>
  <c r="L515" i="9"/>
  <c r="M515" i="9"/>
  <c r="A516" i="9"/>
  <c r="D516" i="9"/>
  <c r="G516" i="9"/>
  <c r="H516" i="9"/>
  <c r="I516" i="9"/>
  <c r="J516" i="9"/>
  <c r="K516" i="9" s="1"/>
  <c r="M516" i="9"/>
  <c r="A517" i="9"/>
  <c r="A518" i="9"/>
  <c r="F518" i="9" s="1"/>
  <c r="B518" i="9"/>
  <c r="C518" i="9"/>
  <c r="D518" i="9"/>
  <c r="E518" i="9"/>
  <c r="G518" i="9"/>
  <c r="H518" i="9"/>
  <c r="J518" i="9"/>
  <c r="K518" i="9"/>
  <c r="L518" i="9"/>
  <c r="M518" i="9"/>
  <c r="A519" i="9"/>
  <c r="B519" i="9"/>
  <c r="J519" i="9"/>
  <c r="K519" i="9" s="1"/>
  <c r="A520" i="9"/>
  <c r="B520" i="9"/>
  <c r="C520" i="9"/>
  <c r="D520" i="9"/>
  <c r="E520" i="9"/>
  <c r="G520" i="9"/>
  <c r="H520" i="9"/>
  <c r="I520" i="9"/>
  <c r="J520" i="9"/>
  <c r="K520" i="9" s="1"/>
  <c r="L520" i="9"/>
  <c r="A521" i="9"/>
  <c r="B521" i="9"/>
  <c r="C521" i="9"/>
  <c r="D521" i="9"/>
  <c r="E521" i="9"/>
  <c r="F521" i="9"/>
  <c r="G521" i="9"/>
  <c r="H521" i="9"/>
  <c r="I521" i="9"/>
  <c r="J521" i="9"/>
  <c r="K521" i="9" s="1"/>
  <c r="L521" i="9"/>
  <c r="M521" i="9"/>
  <c r="A522" i="9"/>
  <c r="B522" i="9"/>
  <c r="C522" i="9"/>
  <c r="D522" i="9"/>
  <c r="E522" i="9"/>
  <c r="F522" i="9"/>
  <c r="I522" i="9"/>
  <c r="J522" i="9"/>
  <c r="K522" i="9" s="1"/>
  <c r="L522" i="9"/>
  <c r="M522" i="9"/>
  <c r="A523" i="9"/>
  <c r="B523" i="9"/>
  <c r="C523" i="9"/>
  <c r="D523" i="9"/>
  <c r="E523" i="9"/>
  <c r="F523" i="9"/>
  <c r="G523" i="9"/>
  <c r="H523" i="9"/>
  <c r="I523" i="9"/>
  <c r="J523" i="9"/>
  <c r="K523" i="9" s="1"/>
  <c r="L523" i="9"/>
  <c r="M523" i="9"/>
  <c r="A524" i="9"/>
  <c r="B524" i="9" s="1"/>
  <c r="C524" i="9"/>
  <c r="D524" i="9"/>
  <c r="E524" i="9"/>
  <c r="F524" i="9"/>
  <c r="G524" i="9"/>
  <c r="H524" i="9"/>
  <c r="I524" i="9"/>
  <c r="J524" i="9"/>
  <c r="K524" i="9" s="1"/>
  <c r="L524" i="9"/>
  <c r="M524" i="9"/>
  <c r="A525" i="9"/>
  <c r="D525" i="9"/>
  <c r="F525" i="9"/>
  <c r="A526" i="9"/>
  <c r="M526" i="9" s="1"/>
  <c r="A527" i="9"/>
  <c r="A528" i="9"/>
  <c r="A529" i="9"/>
  <c r="C529" i="9" s="1"/>
  <c r="B529" i="9"/>
  <c r="D529" i="9"/>
  <c r="E529" i="9"/>
  <c r="F529" i="9"/>
  <c r="G529" i="9"/>
  <c r="H529" i="9"/>
  <c r="I529" i="9"/>
  <c r="J529" i="9"/>
  <c r="K529" i="9"/>
  <c r="L529" i="9"/>
  <c r="M529" i="9"/>
  <c r="A530" i="9"/>
  <c r="F530" i="9" s="1"/>
  <c r="H530" i="9"/>
  <c r="A531" i="9"/>
  <c r="J531" i="9" s="1"/>
  <c r="K531" i="9" s="1"/>
  <c r="C531" i="9"/>
  <c r="D531" i="9"/>
  <c r="G531" i="9"/>
  <c r="H531" i="9"/>
  <c r="I531" i="9"/>
  <c r="L531" i="9"/>
  <c r="M531" i="9"/>
  <c r="A532" i="9"/>
  <c r="D532" i="9" s="1"/>
  <c r="B532" i="9"/>
  <c r="C532" i="9"/>
  <c r="E532" i="9"/>
  <c r="F532" i="9"/>
  <c r="G532" i="9"/>
  <c r="H532" i="9"/>
  <c r="J532" i="9"/>
  <c r="K532" i="9"/>
  <c r="L532" i="9"/>
  <c r="M532" i="9"/>
  <c r="A533" i="9"/>
  <c r="B533" i="9"/>
  <c r="G533" i="9"/>
  <c r="H533" i="9"/>
  <c r="I533" i="9"/>
  <c r="J533" i="9"/>
  <c r="K533" i="9" s="1"/>
  <c r="M533" i="9"/>
  <c r="A534" i="9"/>
  <c r="B534" i="9" s="1"/>
  <c r="C534" i="9"/>
  <c r="D534" i="9"/>
  <c r="E534" i="9"/>
  <c r="G534" i="9"/>
  <c r="H534" i="9"/>
  <c r="A535" i="9"/>
  <c r="D535" i="9" s="1"/>
  <c r="B535" i="9"/>
  <c r="C535" i="9"/>
  <c r="G535" i="9"/>
  <c r="H535" i="9"/>
  <c r="J535" i="9"/>
  <c r="K535" i="9" s="1"/>
  <c r="L535" i="9"/>
  <c r="M535" i="9"/>
  <c r="A536" i="9"/>
  <c r="B536" i="9"/>
  <c r="D536" i="9"/>
  <c r="G536" i="9"/>
  <c r="H536" i="9"/>
  <c r="I536" i="9"/>
  <c r="A537" i="9"/>
  <c r="D537" i="9" s="1"/>
  <c r="B537" i="9"/>
  <c r="C537" i="9"/>
  <c r="G537" i="9"/>
  <c r="H537" i="9"/>
  <c r="I537" i="9"/>
  <c r="J537" i="9"/>
  <c r="K537" i="9" s="1"/>
  <c r="A538" i="9"/>
  <c r="C538" i="9"/>
  <c r="A539" i="9"/>
  <c r="J539" i="9" s="1"/>
  <c r="K539" i="9" s="1"/>
  <c r="B539" i="9"/>
  <c r="H539" i="9"/>
  <c r="I539" i="9"/>
  <c r="A540" i="9"/>
  <c r="B540" i="9"/>
  <c r="A541" i="9"/>
  <c r="B541" i="9"/>
  <c r="C541" i="9"/>
  <c r="D541" i="9"/>
  <c r="E541" i="9"/>
  <c r="F541" i="9"/>
  <c r="G541" i="9"/>
  <c r="H541" i="9"/>
  <c r="I541" i="9"/>
  <c r="J541" i="9"/>
  <c r="K541" i="9" s="1"/>
  <c r="L541" i="9"/>
  <c r="M541" i="9"/>
  <c r="A542" i="9"/>
  <c r="B542" i="9" s="1"/>
  <c r="A543" i="9"/>
  <c r="B543" i="9"/>
  <c r="C543" i="9"/>
  <c r="D543" i="9"/>
  <c r="E543" i="9"/>
  <c r="F543" i="9"/>
  <c r="G543" i="9"/>
  <c r="H543" i="9"/>
  <c r="I543" i="9"/>
  <c r="J543" i="9"/>
  <c r="K543" i="9" s="1"/>
  <c r="L543" i="9"/>
  <c r="M543" i="9"/>
  <c r="A544" i="9"/>
  <c r="B544" i="9" s="1"/>
  <c r="C544" i="9"/>
  <c r="D544" i="9"/>
  <c r="E544" i="9"/>
  <c r="F544" i="9"/>
  <c r="G544" i="9"/>
  <c r="H544" i="9"/>
  <c r="I544" i="9"/>
  <c r="J544" i="9"/>
  <c r="K544" i="9" s="1"/>
  <c r="L544" i="9"/>
  <c r="M544" i="9"/>
  <c r="A545" i="9"/>
  <c r="B545" i="9"/>
  <c r="C545" i="9"/>
  <c r="D545" i="9"/>
  <c r="E545" i="9"/>
  <c r="F545" i="9"/>
  <c r="G545" i="9"/>
  <c r="J545" i="9"/>
  <c r="K545" i="9" s="1"/>
  <c r="A546" i="9"/>
  <c r="B546" i="9" s="1"/>
  <c r="C546" i="9"/>
  <c r="D546" i="9"/>
  <c r="E546" i="9"/>
  <c r="F546" i="9"/>
  <c r="G546" i="9"/>
  <c r="H546" i="9"/>
  <c r="J546" i="9"/>
  <c r="K546" i="9" s="1"/>
  <c r="L546" i="9"/>
  <c r="M546" i="9"/>
  <c r="A547" i="9"/>
  <c r="D547" i="9"/>
  <c r="E547" i="9"/>
  <c r="F547" i="9"/>
  <c r="G547" i="9"/>
  <c r="H547" i="9"/>
  <c r="A548" i="9"/>
  <c r="D548" i="9" s="1"/>
  <c r="B548" i="9"/>
  <c r="C548" i="9"/>
  <c r="G548" i="9"/>
  <c r="H548" i="9"/>
  <c r="L548" i="9"/>
  <c r="M548" i="9"/>
  <c r="A549" i="9"/>
  <c r="B549" i="9"/>
  <c r="D549" i="9"/>
  <c r="E549" i="9"/>
  <c r="F549" i="9"/>
  <c r="G549" i="9"/>
  <c r="A550" i="9"/>
  <c r="B550" i="9"/>
  <c r="H550" i="9"/>
  <c r="I550" i="9"/>
  <c r="L550" i="9"/>
  <c r="M550" i="9"/>
  <c r="A551" i="9"/>
  <c r="B551" i="9"/>
  <c r="C551" i="9"/>
  <c r="D551" i="9"/>
  <c r="E551" i="9"/>
  <c r="G551" i="9"/>
  <c r="H551" i="9"/>
  <c r="A552" i="9"/>
  <c r="F552" i="9" s="1"/>
  <c r="C552" i="9"/>
  <c r="E552" i="9"/>
  <c r="H552" i="9"/>
  <c r="I552" i="9"/>
  <c r="J552" i="9"/>
  <c r="K552" i="9"/>
  <c r="L552" i="9"/>
  <c r="M552" i="9"/>
  <c r="A553" i="9"/>
  <c r="H553" i="9" s="1"/>
  <c r="B553" i="9"/>
  <c r="F553" i="9"/>
  <c r="G553" i="9"/>
  <c r="I553" i="9"/>
  <c r="A554" i="9"/>
  <c r="L554" i="9" s="1"/>
  <c r="C554" i="9"/>
  <c r="D554" i="9"/>
  <c r="G554" i="9"/>
  <c r="H554" i="9"/>
  <c r="I554" i="9"/>
  <c r="J554" i="9"/>
  <c r="K554" i="9" s="1"/>
  <c r="M554" i="9"/>
  <c r="A555" i="9"/>
  <c r="G555" i="9" s="1"/>
  <c r="C555" i="9"/>
  <c r="A556" i="9"/>
  <c r="D556" i="9" s="1"/>
  <c r="B556" i="9"/>
  <c r="C556" i="9"/>
  <c r="H556" i="9"/>
  <c r="I556" i="9"/>
  <c r="J556" i="9"/>
  <c r="K556" i="9" s="1"/>
  <c r="A557" i="9"/>
  <c r="B557" i="9"/>
  <c r="C557" i="9"/>
  <c r="E557" i="9"/>
  <c r="F557" i="9"/>
  <c r="H557" i="9"/>
  <c r="A558" i="9"/>
  <c r="B558" i="9" s="1"/>
  <c r="C558" i="9"/>
  <c r="D558" i="9"/>
  <c r="H558" i="9"/>
  <c r="I558" i="9"/>
  <c r="L558" i="9"/>
  <c r="M558" i="9"/>
  <c r="A559" i="9"/>
  <c r="B559" i="9"/>
  <c r="C559" i="9"/>
  <c r="E559" i="9"/>
  <c r="H559" i="9"/>
  <c r="I559" i="9"/>
  <c r="J559" i="9"/>
  <c r="K559" i="9" s="1"/>
  <c r="A560" i="9"/>
  <c r="B560" i="9" s="1"/>
  <c r="C560" i="9"/>
  <c r="D560" i="9"/>
  <c r="H560" i="9"/>
  <c r="I560" i="9"/>
  <c r="J560" i="9"/>
  <c r="K560" i="9"/>
  <c r="L560" i="9"/>
  <c r="A561" i="9"/>
  <c r="B561" i="9"/>
  <c r="C561" i="9"/>
  <c r="D561" i="9"/>
  <c r="E561" i="9"/>
  <c r="F561" i="9"/>
  <c r="G561" i="9"/>
  <c r="H561" i="9"/>
  <c r="I561" i="9"/>
  <c r="J561" i="9"/>
  <c r="K561" i="9" s="1"/>
  <c r="L561" i="9"/>
  <c r="M561" i="9"/>
  <c r="A562" i="9"/>
  <c r="C562" i="9"/>
  <c r="D562" i="9"/>
  <c r="E562" i="9"/>
  <c r="F562" i="9"/>
  <c r="I562" i="9"/>
  <c r="J562" i="9"/>
  <c r="K562" i="9" s="1"/>
  <c r="L562" i="9"/>
  <c r="M562" i="9"/>
  <c r="A563" i="9"/>
  <c r="B563" i="9"/>
  <c r="C563" i="9"/>
  <c r="D563" i="9"/>
  <c r="E563" i="9"/>
  <c r="F563" i="9"/>
  <c r="G563" i="9"/>
  <c r="H563" i="9"/>
  <c r="I563" i="9"/>
  <c r="J563" i="9"/>
  <c r="K563" i="9" s="1"/>
  <c r="L563" i="9"/>
  <c r="M563" i="9"/>
  <c r="A564" i="9"/>
  <c r="B564" i="9" s="1"/>
  <c r="C564" i="9"/>
  <c r="D564" i="9"/>
  <c r="E564" i="9"/>
  <c r="F564" i="9"/>
  <c r="G564" i="9"/>
  <c r="H564" i="9"/>
  <c r="I564" i="9"/>
  <c r="J564" i="9"/>
  <c r="K564" i="9"/>
  <c r="L564" i="9"/>
  <c r="M564" i="9"/>
  <c r="A565" i="9"/>
  <c r="D565" i="9"/>
  <c r="G565" i="9"/>
  <c r="J565" i="9"/>
  <c r="K565" i="9" s="1"/>
  <c r="M565" i="9"/>
  <c r="A566" i="9"/>
  <c r="A567" i="9"/>
  <c r="D567" i="9"/>
  <c r="F567" i="9"/>
  <c r="G567" i="9"/>
  <c r="H567" i="9"/>
  <c r="J567" i="9"/>
  <c r="K567" i="9" s="1"/>
  <c r="L567" i="9"/>
  <c r="A568" i="9"/>
  <c r="G568" i="9" s="1"/>
  <c r="H568" i="9"/>
  <c r="A569" i="9"/>
  <c r="A570" i="9"/>
  <c r="B570" i="9" s="1"/>
  <c r="E570" i="9"/>
  <c r="F570" i="9"/>
  <c r="G570" i="9"/>
  <c r="H570" i="9"/>
  <c r="I570" i="9"/>
  <c r="L570" i="9"/>
  <c r="A571" i="9"/>
  <c r="B571" i="9"/>
  <c r="E571" i="9"/>
  <c r="H571" i="9"/>
  <c r="A572" i="9"/>
  <c r="C572" i="9" s="1"/>
  <c r="B572" i="9"/>
  <c r="E572" i="9"/>
  <c r="F572" i="9"/>
  <c r="G572" i="9"/>
  <c r="H572" i="9"/>
  <c r="L572" i="9"/>
  <c r="M572" i="9"/>
  <c r="A573" i="9"/>
  <c r="J573" i="9" s="1"/>
  <c r="K573" i="9" s="1"/>
  <c r="G573" i="9"/>
  <c r="I573" i="9"/>
  <c r="A574" i="9"/>
  <c r="C574" i="9"/>
  <c r="A575" i="9"/>
  <c r="L575" i="9" s="1"/>
  <c r="H575" i="9"/>
  <c r="I575" i="9"/>
  <c r="A576" i="9"/>
  <c r="B576" i="9"/>
  <c r="D576" i="9"/>
  <c r="A577" i="9"/>
  <c r="G577" i="9" s="1"/>
  <c r="J577" i="9"/>
  <c r="K577" i="9" s="1"/>
  <c r="A578" i="9"/>
  <c r="H578" i="9" s="1"/>
  <c r="B578" i="9"/>
  <c r="C578" i="9"/>
  <c r="D578" i="9"/>
  <c r="E578" i="9"/>
  <c r="F578" i="9"/>
  <c r="G578" i="9"/>
  <c r="I578" i="9"/>
  <c r="J578" i="9"/>
  <c r="K578" i="9" s="1"/>
  <c r="L578" i="9"/>
  <c r="M578" i="9"/>
  <c r="A579" i="9"/>
  <c r="C579" i="9"/>
  <c r="D579" i="9"/>
  <c r="I579" i="9"/>
  <c r="L579" i="9"/>
  <c r="M579" i="9"/>
  <c r="A580" i="9"/>
  <c r="B580" i="9" s="1"/>
  <c r="C580" i="9"/>
  <c r="E580" i="9"/>
  <c r="F580" i="9"/>
  <c r="G580" i="9"/>
  <c r="H580" i="9"/>
  <c r="I580" i="9"/>
  <c r="L580" i="9"/>
  <c r="A581" i="9"/>
  <c r="B581" i="9"/>
  <c r="C581" i="9"/>
  <c r="D581" i="9"/>
  <c r="E581" i="9"/>
  <c r="F581" i="9"/>
  <c r="G581" i="9"/>
  <c r="H581" i="9"/>
  <c r="I581" i="9"/>
  <c r="J581" i="9"/>
  <c r="K581" i="9"/>
  <c r="L581" i="9"/>
  <c r="M581" i="9"/>
  <c r="A582" i="9"/>
  <c r="C582" i="9" s="1"/>
  <c r="I582" i="9"/>
  <c r="L582" i="9"/>
  <c r="A583" i="9"/>
  <c r="H583" i="9" s="1"/>
  <c r="B583" i="9"/>
  <c r="C583" i="9"/>
  <c r="D583" i="9"/>
  <c r="E583" i="9"/>
  <c r="F583" i="9"/>
  <c r="G583" i="9"/>
  <c r="I583" i="9"/>
  <c r="J583" i="9"/>
  <c r="K583" i="9" s="1"/>
  <c r="L583" i="9"/>
  <c r="M583" i="9"/>
  <c r="A584" i="9"/>
  <c r="B584" i="9" s="1"/>
  <c r="C584" i="9"/>
  <c r="D584" i="9"/>
  <c r="E584" i="9"/>
  <c r="F584" i="9"/>
  <c r="G584" i="9"/>
  <c r="H584" i="9"/>
  <c r="I584" i="9"/>
  <c r="J584" i="9"/>
  <c r="K584" i="9" s="1"/>
  <c r="L584" i="9"/>
  <c r="M584" i="9"/>
  <c r="A585" i="9"/>
  <c r="B585" i="9"/>
  <c r="D585" i="9"/>
  <c r="E585" i="9"/>
  <c r="F585" i="9"/>
  <c r="G585" i="9"/>
  <c r="J585" i="9"/>
  <c r="K585" i="9" s="1"/>
  <c r="L585" i="9"/>
  <c r="A586" i="9"/>
  <c r="G586" i="9" s="1"/>
  <c r="B586" i="9"/>
  <c r="C586" i="9"/>
  <c r="D586" i="9"/>
  <c r="F586" i="9"/>
  <c r="I586" i="9"/>
  <c r="J586" i="9"/>
  <c r="K586" i="9" s="1"/>
  <c r="M586" i="9"/>
  <c r="A587" i="9"/>
  <c r="A588" i="9"/>
  <c r="H588" i="9" s="1"/>
  <c r="B588" i="9"/>
  <c r="C588" i="9"/>
  <c r="D588" i="9"/>
  <c r="E588" i="9"/>
  <c r="F588" i="9"/>
  <c r="G588" i="9"/>
  <c r="L588" i="9"/>
  <c r="M588" i="9"/>
  <c r="A589" i="9"/>
  <c r="B589" i="9"/>
  <c r="C589" i="9"/>
  <c r="F589" i="9"/>
  <c r="M589" i="9"/>
  <c r="A590" i="9"/>
  <c r="M590" i="9"/>
  <c r="A591" i="9"/>
  <c r="B591" i="9"/>
  <c r="C591" i="9"/>
  <c r="D591" i="9"/>
  <c r="E591" i="9"/>
  <c r="I591" i="9"/>
  <c r="A592" i="9"/>
  <c r="F592" i="9" s="1"/>
  <c r="E592" i="9"/>
  <c r="G592" i="9"/>
  <c r="H592" i="9"/>
  <c r="I592" i="9"/>
  <c r="J592" i="9"/>
  <c r="K592" i="9" s="1"/>
  <c r="L592" i="9"/>
  <c r="M592" i="9"/>
  <c r="A593" i="9"/>
  <c r="M593" i="9"/>
  <c r="A594" i="9"/>
  <c r="B594" i="9"/>
  <c r="C594" i="9"/>
  <c r="D594" i="9"/>
  <c r="E594" i="9"/>
  <c r="F594" i="9"/>
  <c r="G594" i="9"/>
  <c r="H594" i="9"/>
  <c r="I594" i="9"/>
  <c r="J594" i="9"/>
  <c r="K594" i="9" s="1"/>
  <c r="A595" i="9"/>
  <c r="B595" i="9" s="1"/>
  <c r="C595" i="9"/>
  <c r="D595" i="9"/>
  <c r="H595" i="9"/>
  <c r="I595" i="9"/>
  <c r="J595" i="9"/>
  <c r="K595" i="9" s="1"/>
  <c r="A596" i="9"/>
  <c r="B596" i="9"/>
  <c r="C596" i="9"/>
  <c r="A597" i="9"/>
  <c r="H597" i="9" s="1"/>
  <c r="B597" i="9"/>
  <c r="I597" i="9"/>
  <c r="A598" i="9"/>
  <c r="B598" i="9"/>
  <c r="C598" i="9"/>
  <c r="D598" i="9"/>
  <c r="F598" i="9"/>
  <c r="G598" i="9"/>
  <c r="H598" i="9"/>
  <c r="I598" i="9"/>
  <c r="J598" i="9"/>
  <c r="K598" i="9" s="1"/>
  <c r="A599" i="9"/>
  <c r="H599" i="9"/>
  <c r="I599" i="9"/>
  <c r="A600" i="9"/>
  <c r="M600" i="9" s="1"/>
  <c r="B600" i="9"/>
  <c r="C600" i="9"/>
  <c r="D600" i="9"/>
  <c r="E600" i="9"/>
  <c r="F600" i="9"/>
  <c r="G600" i="9"/>
  <c r="I600" i="9"/>
  <c r="J600" i="9"/>
  <c r="K600" i="9"/>
  <c r="L600" i="9"/>
  <c r="A601" i="9"/>
  <c r="B601" i="9"/>
  <c r="C601" i="9"/>
  <c r="D601" i="9"/>
  <c r="E601" i="9"/>
  <c r="F601" i="9"/>
  <c r="G601" i="9"/>
  <c r="H601" i="9"/>
  <c r="I601" i="9"/>
  <c r="J601" i="9"/>
  <c r="K601" i="9" s="1"/>
  <c r="L601" i="9"/>
  <c r="M601" i="9"/>
  <c r="A602" i="9"/>
  <c r="D602" i="9" s="1"/>
  <c r="B602" i="9"/>
  <c r="E602" i="9"/>
  <c r="I602" i="9"/>
  <c r="L602" i="9"/>
  <c r="A603" i="9"/>
  <c r="F603" i="9" s="1"/>
  <c r="B603" i="9"/>
  <c r="G603" i="9"/>
  <c r="H603" i="9"/>
  <c r="I603" i="9"/>
  <c r="J603" i="9"/>
  <c r="K603" i="9" s="1"/>
  <c r="M603" i="9"/>
  <c r="A604" i="9"/>
  <c r="B604" i="9" s="1"/>
  <c r="C604" i="9"/>
  <c r="D604" i="9"/>
  <c r="E604" i="9"/>
  <c r="F604" i="9"/>
  <c r="G604" i="9"/>
  <c r="H604" i="9"/>
  <c r="I604" i="9"/>
  <c r="J604" i="9"/>
  <c r="K604" i="9"/>
  <c r="L604" i="9"/>
  <c r="M604" i="9"/>
  <c r="A605" i="9"/>
  <c r="B605" i="9"/>
  <c r="C605" i="9"/>
  <c r="D605" i="9"/>
  <c r="E605" i="9"/>
  <c r="F605" i="9"/>
  <c r="J605" i="9"/>
  <c r="K605" i="9" s="1"/>
  <c r="L605" i="9"/>
  <c r="M605" i="9"/>
  <c r="A606" i="9"/>
  <c r="M606" i="9"/>
  <c r="A607" i="9"/>
  <c r="D607" i="9"/>
  <c r="F607" i="9"/>
  <c r="G607" i="9"/>
  <c r="H607" i="9"/>
  <c r="I607" i="9"/>
  <c r="J607" i="9"/>
  <c r="K607" i="9" s="1"/>
  <c r="L607" i="9"/>
  <c r="M607" i="9"/>
  <c r="A608" i="9"/>
  <c r="D608" i="9"/>
  <c r="F608" i="9"/>
  <c r="G608" i="9"/>
  <c r="A609" i="9"/>
  <c r="B609" i="9"/>
  <c r="C609" i="9"/>
  <c r="D609" i="9"/>
  <c r="E609" i="9"/>
  <c r="F609" i="9"/>
  <c r="G609" i="9"/>
  <c r="H609" i="9"/>
  <c r="I609" i="9"/>
  <c r="J609" i="9"/>
  <c r="K609" i="9" s="1"/>
  <c r="L609" i="9"/>
  <c r="M609" i="9"/>
  <c r="A610" i="9"/>
  <c r="J610" i="9" s="1"/>
  <c r="K610" i="9" s="1"/>
  <c r="B610" i="9"/>
  <c r="E610" i="9"/>
  <c r="F610" i="9"/>
  <c r="G610" i="9"/>
  <c r="H610" i="9"/>
  <c r="I610" i="9"/>
  <c r="L610" i="9"/>
  <c r="M610" i="9"/>
  <c r="A611" i="9"/>
  <c r="G611" i="9" s="1"/>
  <c r="D611" i="9"/>
  <c r="H611" i="9"/>
  <c r="A612" i="9"/>
  <c r="B612" i="9" s="1"/>
  <c r="C612" i="9"/>
  <c r="D612" i="9"/>
  <c r="H612" i="9"/>
  <c r="I612" i="9"/>
  <c r="J612" i="9"/>
  <c r="K612" i="9" s="1"/>
  <c r="L612" i="9"/>
  <c r="M612" i="9"/>
  <c r="A613" i="9"/>
  <c r="B613" i="9" s="1"/>
  <c r="A614" i="9"/>
  <c r="I614" i="9" s="1"/>
  <c r="C614" i="9"/>
  <c r="H614" i="9"/>
  <c r="J614" i="9"/>
  <c r="K614" i="9" s="1"/>
  <c r="A615" i="9"/>
  <c r="B615" i="9" s="1"/>
  <c r="E615" i="9"/>
  <c r="F615" i="9"/>
  <c r="G615" i="9"/>
  <c r="J615" i="9"/>
  <c r="K615" i="9" s="1"/>
  <c r="A616" i="9"/>
  <c r="A617" i="9"/>
  <c r="A618" i="9"/>
  <c r="D618" i="9"/>
  <c r="G618" i="9"/>
  <c r="L618" i="9"/>
  <c r="A619" i="9"/>
  <c r="B619" i="9"/>
  <c r="D619" i="9"/>
  <c r="I619" i="9"/>
  <c r="J619" i="9"/>
  <c r="K619" i="9"/>
  <c r="L619" i="9"/>
  <c r="A620" i="9"/>
  <c r="B620" i="9"/>
  <c r="C620" i="9"/>
  <c r="D620" i="9"/>
  <c r="F620" i="9"/>
  <c r="G620" i="9"/>
  <c r="H620" i="9"/>
  <c r="I620" i="9"/>
  <c r="J620" i="9"/>
  <c r="K620" i="9" s="1"/>
  <c r="A621" i="9"/>
  <c r="B621" i="9"/>
  <c r="C621" i="9"/>
  <c r="D621" i="9"/>
  <c r="E621" i="9"/>
  <c r="F621" i="9"/>
  <c r="G621" i="9"/>
  <c r="H621" i="9"/>
  <c r="I621" i="9"/>
  <c r="J621" i="9"/>
  <c r="K621" i="9" s="1"/>
  <c r="L621" i="9"/>
  <c r="M621" i="9"/>
  <c r="A622" i="9"/>
  <c r="B622" i="9"/>
  <c r="E622" i="9"/>
  <c r="L622" i="9"/>
  <c r="A623" i="9"/>
  <c r="I623" i="9" s="1"/>
  <c r="B623" i="9"/>
  <c r="C623" i="9"/>
  <c r="D623" i="9"/>
  <c r="E623" i="9"/>
  <c r="F623" i="9"/>
  <c r="G623" i="9"/>
  <c r="H623" i="9"/>
  <c r="J623" i="9"/>
  <c r="K623" i="9" s="1"/>
  <c r="L623" i="9"/>
  <c r="M623" i="9"/>
  <c r="A624" i="9"/>
  <c r="C624" i="9"/>
  <c r="E624" i="9"/>
  <c r="F624" i="9"/>
  <c r="G624" i="9"/>
  <c r="H624" i="9"/>
  <c r="I624" i="9"/>
  <c r="J624" i="9"/>
  <c r="K624" i="9" s="1"/>
  <c r="M624" i="9"/>
  <c r="A625" i="9"/>
  <c r="H625" i="9" s="1"/>
  <c r="J625" i="9"/>
  <c r="K625" i="9" s="1"/>
  <c r="M625" i="9"/>
  <c r="A626" i="9"/>
  <c r="F626" i="9"/>
  <c r="A627" i="9"/>
  <c r="E627" i="9" s="1"/>
  <c r="F627" i="9"/>
  <c r="H627" i="9"/>
  <c r="I627" i="9"/>
  <c r="J627" i="9"/>
  <c r="K627" i="9" s="1"/>
  <c r="L627" i="9"/>
  <c r="M627" i="9"/>
  <c r="A628" i="9"/>
  <c r="B628" i="9"/>
  <c r="A629" i="9"/>
  <c r="B629" i="9" s="1"/>
  <c r="C629" i="9"/>
  <c r="D629" i="9"/>
  <c r="E629" i="9"/>
  <c r="F629" i="9"/>
  <c r="G629" i="9"/>
  <c r="H629" i="9"/>
  <c r="I629" i="9"/>
  <c r="J629" i="9"/>
  <c r="K629" i="9" s="1"/>
  <c r="L629" i="9"/>
  <c r="M629" i="9"/>
  <c r="A630" i="9"/>
  <c r="F630" i="9"/>
  <c r="G630" i="9"/>
  <c r="H630" i="9"/>
  <c r="A631" i="9"/>
  <c r="L631" i="9" s="1"/>
  <c r="I631" i="9"/>
  <c r="M631" i="9"/>
  <c r="A632" i="9"/>
  <c r="E632" i="9" s="1"/>
  <c r="B632" i="9"/>
  <c r="C632" i="9"/>
  <c r="D632" i="9"/>
  <c r="F632" i="9"/>
  <c r="G632" i="9"/>
  <c r="H632" i="9"/>
  <c r="I632" i="9"/>
  <c r="J632" i="9"/>
  <c r="K632" i="9" s="1"/>
  <c r="L632" i="9"/>
  <c r="M632" i="9"/>
  <c r="A633" i="9"/>
  <c r="I633" i="9" s="1"/>
  <c r="B633" i="9"/>
  <c r="M633" i="9"/>
  <c r="A634" i="9"/>
  <c r="B634" i="9"/>
  <c r="A635" i="9"/>
  <c r="B635" i="9" s="1"/>
  <c r="E635" i="9"/>
  <c r="I635" i="9"/>
  <c r="J635" i="9"/>
  <c r="K635" i="9" s="1"/>
  <c r="L635" i="9"/>
  <c r="A636" i="9"/>
  <c r="B636" i="9"/>
  <c r="C636" i="9"/>
  <c r="D636" i="9"/>
  <c r="E636" i="9"/>
  <c r="G636" i="9"/>
  <c r="H636" i="9"/>
  <c r="I636" i="9"/>
  <c r="J636" i="9"/>
  <c r="K636" i="9"/>
  <c r="L636" i="9"/>
  <c r="A637" i="9"/>
  <c r="F637" i="9" s="1"/>
  <c r="E637" i="9"/>
  <c r="G637" i="9"/>
  <c r="L637" i="9"/>
  <c r="A638" i="9"/>
  <c r="A639" i="9"/>
  <c r="D639" i="9"/>
  <c r="H639" i="9"/>
  <c r="A640" i="9"/>
  <c r="B640" i="9"/>
  <c r="C640" i="9"/>
  <c r="D640" i="9"/>
  <c r="E640" i="9"/>
  <c r="F640" i="9"/>
  <c r="G640" i="9"/>
  <c r="H640" i="9"/>
  <c r="I640" i="9"/>
  <c r="J640" i="9"/>
  <c r="K640" i="9"/>
  <c r="L640" i="9"/>
  <c r="M640" i="9"/>
  <c r="A641" i="9"/>
  <c r="H641" i="9" s="1"/>
  <c r="B641" i="9"/>
  <c r="C641" i="9"/>
  <c r="D641" i="9"/>
  <c r="E641" i="9"/>
  <c r="F641" i="9"/>
  <c r="G641" i="9"/>
  <c r="I641" i="9"/>
  <c r="J641" i="9"/>
  <c r="K641" i="9" s="1"/>
  <c r="L641" i="9"/>
  <c r="M641" i="9"/>
  <c r="A642" i="9"/>
  <c r="D642" i="9" s="1"/>
  <c r="C642" i="9"/>
  <c r="E642" i="9"/>
  <c r="F642" i="9"/>
  <c r="G642" i="9"/>
  <c r="M642" i="9"/>
  <c r="A643" i="9"/>
  <c r="C643" i="9"/>
  <c r="D643" i="9"/>
  <c r="E643" i="9"/>
  <c r="A644" i="9"/>
  <c r="D644" i="9" s="1"/>
  <c r="C644" i="9"/>
  <c r="G644" i="9"/>
  <c r="H644" i="9"/>
  <c r="J644" i="9"/>
  <c r="K644" i="9" s="1"/>
  <c r="M644" i="9"/>
  <c r="A645" i="9"/>
  <c r="B645" i="9" s="1"/>
  <c r="C645" i="9"/>
  <c r="D645" i="9"/>
  <c r="E645" i="9"/>
  <c r="F645" i="9"/>
  <c r="H645" i="9"/>
  <c r="J645" i="9"/>
  <c r="K645" i="9" s="1"/>
  <c r="A646" i="9"/>
  <c r="C646" i="9" s="1"/>
  <c r="B646" i="9"/>
  <c r="D646" i="9"/>
  <c r="E646" i="9"/>
  <c r="F646" i="9"/>
  <c r="G646" i="9"/>
  <c r="H646" i="9"/>
  <c r="I646" i="9"/>
  <c r="J646" i="9"/>
  <c r="K646" i="9"/>
  <c r="L646" i="9"/>
  <c r="M646" i="9"/>
  <c r="A647" i="9"/>
  <c r="B647" i="9" s="1"/>
  <c r="E647" i="9"/>
  <c r="F647" i="9"/>
  <c r="G647" i="9"/>
  <c r="H647" i="9"/>
  <c r="A648" i="9"/>
  <c r="C648" i="9" s="1"/>
  <c r="B648" i="9"/>
  <c r="D648" i="9"/>
  <c r="E648" i="9"/>
  <c r="F648" i="9"/>
  <c r="G648" i="9"/>
  <c r="I648" i="9"/>
  <c r="L648" i="9"/>
  <c r="A649" i="9"/>
  <c r="B649" i="9" s="1"/>
  <c r="C649" i="9"/>
  <c r="E649" i="9"/>
  <c r="F649" i="9"/>
  <c r="A650" i="9"/>
  <c r="C650" i="9"/>
  <c r="A651" i="9"/>
  <c r="E651" i="9" s="1"/>
  <c r="B651" i="9"/>
  <c r="F651" i="9"/>
  <c r="G651" i="9"/>
  <c r="H651" i="9"/>
  <c r="I651" i="9"/>
  <c r="J651" i="9"/>
  <c r="K651" i="9" s="1"/>
  <c r="A652" i="9"/>
  <c r="C652" i="9" s="1"/>
  <c r="A653" i="9"/>
  <c r="I653" i="9" s="1"/>
  <c r="A654" i="9"/>
  <c r="D654" i="9" s="1"/>
  <c r="E654" i="9"/>
  <c r="F654" i="9"/>
  <c r="M654" i="9"/>
  <c r="A655" i="9"/>
  <c r="B655" i="9"/>
  <c r="D655" i="9"/>
  <c r="E655" i="9"/>
  <c r="G655" i="9"/>
  <c r="A656" i="9"/>
  <c r="G656" i="9" s="1"/>
  <c r="C656" i="9"/>
  <c r="H656" i="9"/>
  <c r="L656" i="9"/>
  <c r="A657" i="9"/>
  <c r="E657" i="9" s="1"/>
  <c r="B657" i="9"/>
  <c r="C657" i="9"/>
  <c r="D657" i="9"/>
  <c r="H657" i="9"/>
  <c r="I657" i="9"/>
  <c r="J657" i="9"/>
  <c r="K657" i="9" s="1"/>
  <c r="A658" i="9"/>
  <c r="G658" i="9" s="1"/>
  <c r="B658" i="9"/>
  <c r="C658" i="9"/>
  <c r="D658" i="9"/>
  <c r="E658" i="9"/>
  <c r="F658" i="9"/>
  <c r="H658" i="9"/>
  <c r="I658" i="9"/>
  <c r="J658" i="9"/>
  <c r="K658" i="9" s="1"/>
  <c r="L658" i="9"/>
  <c r="M658" i="9"/>
  <c r="A659" i="9"/>
  <c r="F659" i="9" s="1"/>
  <c r="B659" i="9"/>
  <c r="D659" i="9"/>
  <c r="E659" i="9"/>
  <c r="M659" i="9"/>
  <c r="A660" i="9"/>
  <c r="B660" i="9"/>
  <c r="C660" i="9"/>
  <c r="D660" i="9"/>
  <c r="E660" i="9"/>
  <c r="F660" i="9"/>
  <c r="G660" i="9"/>
  <c r="H660" i="9"/>
  <c r="I660" i="9"/>
  <c r="J660" i="9"/>
  <c r="K660" i="9" s="1"/>
  <c r="L660" i="9"/>
  <c r="M660" i="9"/>
  <c r="A661" i="9"/>
  <c r="H661" i="9" s="1"/>
  <c r="B661" i="9"/>
  <c r="C661" i="9"/>
  <c r="D661" i="9"/>
  <c r="E661" i="9"/>
  <c r="F661" i="9"/>
  <c r="G661" i="9"/>
  <c r="I661" i="9"/>
  <c r="J661" i="9"/>
  <c r="K661" i="9"/>
  <c r="L661" i="9"/>
  <c r="M661" i="9"/>
  <c r="A662" i="9"/>
  <c r="B662" i="9" s="1"/>
  <c r="C662" i="9"/>
  <c r="D662" i="9"/>
  <c r="E662" i="9"/>
  <c r="G662" i="9"/>
  <c r="I662" i="9"/>
  <c r="J662" i="9"/>
  <c r="K662" i="9"/>
  <c r="L662" i="9"/>
  <c r="A663" i="9"/>
  <c r="B663" i="9" s="1"/>
  <c r="C663" i="9"/>
  <c r="D663" i="9"/>
  <c r="E663" i="9"/>
  <c r="F663" i="9"/>
  <c r="G663" i="9"/>
  <c r="H663" i="9"/>
  <c r="I663" i="9"/>
  <c r="J663" i="9"/>
  <c r="K663" i="9" s="1"/>
  <c r="L663" i="9"/>
  <c r="M663" i="9"/>
  <c r="A664" i="9"/>
  <c r="F664" i="9" s="1"/>
  <c r="D664" i="9"/>
  <c r="E664" i="9"/>
  <c r="G664" i="9"/>
  <c r="L664" i="9"/>
  <c r="M664" i="9"/>
  <c r="A665" i="9"/>
  <c r="B665" i="9" s="1"/>
  <c r="F665" i="9"/>
  <c r="H665" i="9"/>
  <c r="J665" i="9"/>
  <c r="K665" i="9" s="1"/>
  <c r="A666" i="9"/>
  <c r="B666" i="9"/>
  <c r="D666" i="9"/>
  <c r="E666" i="9"/>
  <c r="H666" i="9"/>
  <c r="I666" i="9"/>
  <c r="J666" i="9"/>
  <c r="K666" i="9"/>
  <c r="L666" i="9"/>
  <c r="M666" i="9"/>
  <c r="A667" i="9"/>
  <c r="B667" i="9"/>
  <c r="F667" i="9"/>
  <c r="I667" i="9"/>
  <c r="L667" i="9"/>
  <c r="A668" i="9"/>
  <c r="D668" i="9"/>
  <c r="E668" i="9"/>
  <c r="F668" i="9"/>
  <c r="G668" i="9"/>
  <c r="H668" i="9"/>
  <c r="I668" i="9"/>
  <c r="J668" i="9"/>
  <c r="K668" i="9"/>
  <c r="L668" i="9"/>
  <c r="M668" i="9"/>
  <c r="A669" i="9"/>
  <c r="F669" i="9" s="1"/>
  <c r="H669" i="9"/>
  <c r="L669" i="9"/>
  <c r="A670" i="9"/>
  <c r="L670" i="9" s="1"/>
  <c r="B670" i="9"/>
  <c r="C670" i="9"/>
  <c r="D670" i="9"/>
  <c r="E670" i="9"/>
  <c r="F670" i="9"/>
  <c r="G670" i="9"/>
  <c r="H670" i="9"/>
  <c r="I670" i="9"/>
  <c r="J670" i="9"/>
  <c r="K670" i="9" s="1"/>
  <c r="M670" i="9"/>
  <c r="A671" i="9"/>
  <c r="D671" i="9"/>
  <c r="H671" i="9"/>
  <c r="I671" i="9"/>
  <c r="J671" i="9"/>
  <c r="K671" i="9" s="1"/>
  <c r="M671" i="9"/>
  <c r="A672" i="9"/>
  <c r="C672" i="9"/>
  <c r="D672" i="9"/>
  <c r="F672" i="9"/>
  <c r="H672" i="9"/>
  <c r="I672" i="9"/>
  <c r="A673" i="9"/>
  <c r="L673" i="9" s="1"/>
  <c r="B673" i="9"/>
  <c r="C673" i="9"/>
  <c r="D673" i="9"/>
  <c r="E673" i="9"/>
  <c r="F673" i="9"/>
  <c r="G673" i="9"/>
  <c r="H673" i="9"/>
  <c r="I673" i="9"/>
  <c r="J673" i="9"/>
  <c r="K673" i="9" s="1"/>
  <c r="M673" i="9"/>
  <c r="A674" i="9"/>
  <c r="C674" i="9" s="1"/>
  <c r="F674" i="9"/>
  <c r="A675" i="9"/>
  <c r="E675" i="9" s="1"/>
  <c r="C675" i="9"/>
  <c r="D675" i="9"/>
  <c r="A676" i="9"/>
  <c r="B676" i="9" s="1"/>
  <c r="E676" i="9"/>
  <c r="G676" i="9"/>
  <c r="H676" i="9"/>
  <c r="I676" i="9"/>
  <c r="L676" i="9"/>
  <c r="A677" i="9"/>
  <c r="G677" i="9" s="1"/>
  <c r="B677" i="9"/>
  <c r="C677" i="9"/>
  <c r="D677" i="9"/>
  <c r="F677" i="9"/>
  <c r="H677" i="9"/>
  <c r="I677" i="9"/>
  <c r="J677" i="9"/>
  <c r="K677" i="9" s="1"/>
  <c r="M677" i="9"/>
  <c r="A678" i="9"/>
  <c r="B678" i="9"/>
  <c r="C678" i="9"/>
  <c r="D678" i="9"/>
  <c r="E678" i="9"/>
  <c r="F678" i="9"/>
  <c r="H678" i="9"/>
  <c r="A679" i="9"/>
  <c r="B679" i="9"/>
  <c r="C679" i="9"/>
  <c r="D679" i="9"/>
  <c r="I679" i="9"/>
  <c r="J679" i="9"/>
  <c r="K679" i="9" s="1"/>
  <c r="L679" i="9"/>
  <c r="M679" i="9"/>
  <c r="A680" i="9"/>
  <c r="B680" i="9"/>
  <c r="C680" i="9"/>
  <c r="D680" i="9"/>
  <c r="E680" i="9"/>
  <c r="F680" i="9"/>
  <c r="G680" i="9"/>
  <c r="H680" i="9"/>
  <c r="I680" i="9"/>
  <c r="J680" i="9"/>
  <c r="K680" i="9"/>
  <c r="L680" i="9"/>
  <c r="M680" i="9"/>
  <c r="A681" i="9"/>
  <c r="H681" i="9" s="1"/>
  <c r="B681" i="9"/>
  <c r="C681" i="9"/>
  <c r="D681" i="9"/>
  <c r="E681" i="9"/>
  <c r="F681" i="9"/>
  <c r="G681" i="9"/>
  <c r="I681" i="9"/>
  <c r="J681" i="9"/>
  <c r="K681" i="9" s="1"/>
  <c r="L681" i="9"/>
  <c r="M681" i="9"/>
  <c r="A682" i="9"/>
  <c r="C682" i="9"/>
  <c r="D682" i="9"/>
  <c r="E682" i="9"/>
  <c r="F682" i="9"/>
  <c r="G682" i="9"/>
  <c r="J682" i="9"/>
  <c r="K682" i="9" s="1"/>
  <c r="L682" i="9"/>
  <c r="M682" i="9"/>
  <c r="A683" i="9"/>
  <c r="D683" i="9"/>
  <c r="A684" i="9"/>
  <c r="B684" i="9" s="1"/>
  <c r="E684" i="9"/>
  <c r="G684" i="9"/>
  <c r="H684" i="9"/>
  <c r="J684" i="9"/>
  <c r="K684" i="9" s="1"/>
  <c r="L684" i="9"/>
  <c r="M684" i="9"/>
  <c r="A685" i="9"/>
  <c r="B685" i="9"/>
  <c r="C685" i="9"/>
  <c r="D685" i="9"/>
  <c r="F685" i="9"/>
  <c r="G685" i="9"/>
  <c r="H685" i="9"/>
  <c r="A686" i="9"/>
  <c r="E686" i="9" s="1"/>
  <c r="B686" i="9"/>
  <c r="D686" i="9"/>
  <c r="F686" i="9"/>
  <c r="H686" i="9"/>
  <c r="J686" i="9"/>
  <c r="K686" i="9" s="1"/>
  <c r="L686" i="9"/>
  <c r="A687" i="9"/>
  <c r="D687" i="9" s="1"/>
  <c r="B687" i="9"/>
  <c r="C687" i="9"/>
  <c r="I687" i="9"/>
  <c r="A688" i="9"/>
  <c r="B688" i="9"/>
  <c r="C688" i="9"/>
  <c r="D688" i="9"/>
  <c r="E688" i="9"/>
  <c r="F688" i="9"/>
  <c r="I688" i="9"/>
  <c r="J688" i="9"/>
  <c r="K688" i="9" s="1"/>
  <c r="L688" i="9"/>
  <c r="M688" i="9"/>
  <c r="A689" i="9"/>
  <c r="D689" i="9" s="1"/>
  <c r="B689" i="9"/>
  <c r="C689" i="9"/>
  <c r="E689" i="9"/>
  <c r="F689" i="9"/>
  <c r="G689" i="9"/>
  <c r="H689" i="9"/>
  <c r="I689" i="9"/>
  <c r="J689" i="9"/>
  <c r="K689" i="9" s="1"/>
  <c r="L689" i="9"/>
  <c r="M689" i="9"/>
  <c r="A690" i="9"/>
  <c r="B690" i="9" s="1"/>
  <c r="E690" i="9"/>
  <c r="G690" i="9"/>
  <c r="H690" i="9"/>
  <c r="L690" i="9"/>
  <c r="M690" i="9"/>
  <c r="A691" i="9"/>
  <c r="B691" i="9" s="1"/>
  <c r="D691" i="9"/>
  <c r="E691" i="9"/>
  <c r="G691" i="9"/>
  <c r="A692" i="9"/>
  <c r="G692" i="9" s="1"/>
  <c r="C692" i="9"/>
  <c r="H692" i="9"/>
  <c r="J692" i="9"/>
  <c r="K692" i="9" s="1"/>
  <c r="L692" i="9"/>
  <c r="M692" i="9"/>
  <c r="A693" i="9"/>
  <c r="B693" i="9"/>
  <c r="C693" i="9"/>
  <c r="A694" i="9"/>
  <c r="B694" i="9"/>
  <c r="C694" i="9"/>
  <c r="D694" i="9"/>
  <c r="E694" i="9"/>
  <c r="F694" i="9"/>
  <c r="G694" i="9"/>
  <c r="H694" i="9"/>
  <c r="I694" i="9"/>
  <c r="J694" i="9"/>
  <c r="K694" i="9" s="1"/>
  <c r="L694" i="9"/>
  <c r="M694" i="9"/>
  <c r="A695" i="9"/>
  <c r="F695" i="9" s="1"/>
  <c r="B695" i="9"/>
  <c r="C695" i="9"/>
  <c r="D695" i="9"/>
  <c r="E695" i="9"/>
  <c r="G695" i="9"/>
  <c r="H695" i="9"/>
  <c r="I695" i="9"/>
  <c r="J695" i="9"/>
  <c r="K695" i="9"/>
  <c r="L695" i="9"/>
  <c r="M695" i="9"/>
  <c r="A696" i="9"/>
  <c r="C696" i="9"/>
  <c r="D696" i="9"/>
  <c r="E696" i="9"/>
  <c r="F696" i="9"/>
  <c r="G696" i="9"/>
  <c r="H696" i="9"/>
  <c r="L696" i="9"/>
  <c r="A697" i="9"/>
  <c r="B697" i="9" s="1"/>
  <c r="A698" i="9"/>
  <c r="C698" i="9" s="1"/>
  <c r="E698" i="9"/>
  <c r="F698" i="9"/>
  <c r="H698" i="9"/>
  <c r="A699" i="9"/>
  <c r="B699" i="9"/>
  <c r="C699" i="9"/>
  <c r="D699" i="9"/>
  <c r="E699" i="9"/>
  <c r="G699" i="9"/>
  <c r="A700" i="9"/>
  <c r="B700" i="9"/>
  <c r="C700" i="9"/>
  <c r="D700" i="9"/>
  <c r="E700" i="9"/>
  <c r="F700" i="9"/>
  <c r="G700" i="9"/>
  <c r="H700" i="9"/>
  <c r="I700" i="9"/>
  <c r="J700" i="9"/>
  <c r="K700" i="9" s="1"/>
  <c r="L700" i="9"/>
  <c r="M700" i="9"/>
  <c r="A701" i="9"/>
  <c r="B701" i="9"/>
  <c r="C701" i="9"/>
  <c r="D701" i="9"/>
  <c r="E701" i="9"/>
  <c r="G701" i="9"/>
  <c r="I701" i="9"/>
  <c r="J701" i="9"/>
  <c r="K701" i="9" s="1"/>
  <c r="L701" i="9"/>
  <c r="A702" i="9"/>
  <c r="B702" i="9"/>
  <c r="C702" i="9"/>
  <c r="D702" i="9"/>
  <c r="E702" i="9"/>
  <c r="F702" i="9"/>
  <c r="G702" i="9"/>
  <c r="H702" i="9"/>
  <c r="I702" i="9"/>
  <c r="J702" i="9"/>
  <c r="K702" i="9" s="1"/>
  <c r="L702" i="9"/>
  <c r="M702" i="9"/>
  <c r="A703" i="9"/>
  <c r="B703" i="9" s="1"/>
  <c r="C703" i="9"/>
  <c r="D703" i="9"/>
  <c r="E703" i="9"/>
  <c r="F703" i="9"/>
  <c r="G703" i="9"/>
  <c r="H703" i="9"/>
  <c r="I703" i="9"/>
  <c r="J703" i="9"/>
  <c r="K703" i="9" s="1"/>
  <c r="L703" i="9"/>
  <c r="M703" i="9"/>
  <c r="A704" i="9"/>
  <c r="B704" i="9" s="1"/>
  <c r="D704" i="9"/>
  <c r="E704" i="9"/>
  <c r="G704" i="9"/>
  <c r="A705" i="9"/>
  <c r="B705" i="9"/>
  <c r="E705" i="9"/>
  <c r="F705" i="9"/>
  <c r="G705" i="9"/>
  <c r="H705" i="9"/>
  <c r="J705" i="9"/>
  <c r="K705" i="9" s="1"/>
  <c r="L705" i="9"/>
  <c r="M705" i="9"/>
  <c r="A706" i="9"/>
  <c r="H706" i="9"/>
  <c r="I706" i="9"/>
  <c r="A707" i="9"/>
  <c r="F707" i="9" s="1"/>
  <c r="B707" i="9"/>
  <c r="C707" i="9"/>
  <c r="D707" i="9"/>
  <c r="E707" i="9"/>
  <c r="G707" i="9"/>
  <c r="H707" i="9"/>
  <c r="I707" i="9"/>
  <c r="J707" i="9"/>
  <c r="K707" i="9" s="1"/>
  <c r="L707" i="9"/>
  <c r="M707" i="9"/>
  <c r="A708" i="9"/>
  <c r="J708" i="9" s="1"/>
  <c r="K708" i="9" s="1"/>
  <c r="I708" i="9"/>
  <c r="A709" i="9"/>
  <c r="B709" i="9"/>
  <c r="D709" i="9"/>
  <c r="F709" i="9"/>
  <c r="G709" i="9"/>
  <c r="H709" i="9"/>
  <c r="I709" i="9"/>
  <c r="J709" i="9"/>
  <c r="K709" i="9" s="1"/>
  <c r="M709" i="9"/>
  <c r="A710" i="9"/>
  <c r="L710" i="9" s="1"/>
  <c r="B710" i="9"/>
  <c r="C710" i="9"/>
  <c r="D710" i="9"/>
  <c r="E710" i="9"/>
  <c r="F710" i="9"/>
  <c r="G710" i="9"/>
  <c r="H710" i="9"/>
  <c r="I710" i="9"/>
  <c r="J710" i="9"/>
  <c r="K710" i="9" s="1"/>
  <c r="M710" i="9"/>
  <c r="A711" i="9"/>
  <c r="B711" i="9"/>
  <c r="C711" i="9"/>
  <c r="D711" i="9"/>
  <c r="G711" i="9"/>
  <c r="H711" i="9"/>
  <c r="I711" i="9"/>
  <c r="J711" i="9"/>
  <c r="K711" i="9" s="1"/>
  <c r="L711" i="9"/>
  <c r="M711" i="9"/>
  <c r="A712" i="9"/>
  <c r="H712" i="9" s="1"/>
  <c r="B712" i="9"/>
  <c r="I712" i="9"/>
  <c r="A713" i="9"/>
  <c r="B713" i="9"/>
  <c r="C713" i="9"/>
  <c r="D713" i="9"/>
  <c r="E713" i="9"/>
  <c r="F713" i="9"/>
  <c r="G713" i="9"/>
  <c r="I713" i="9"/>
  <c r="J713" i="9"/>
  <c r="K713" i="9"/>
  <c r="L713" i="9"/>
  <c r="A714" i="9"/>
  <c r="B714" i="9"/>
  <c r="A715" i="9"/>
  <c r="D715" i="9" s="1"/>
  <c r="B715" i="9"/>
  <c r="C715" i="9"/>
  <c r="F715" i="9"/>
  <c r="I715" i="9"/>
  <c r="J715" i="9"/>
  <c r="K715" i="9" s="1"/>
  <c r="L715" i="9"/>
  <c r="A716" i="9"/>
  <c r="B716" i="9"/>
  <c r="C716" i="9"/>
  <c r="D716" i="9"/>
  <c r="E716" i="9"/>
  <c r="F716" i="9"/>
  <c r="G716" i="9"/>
  <c r="H716" i="9"/>
  <c r="I716" i="9"/>
  <c r="J716" i="9"/>
  <c r="K716" i="9"/>
  <c r="L716" i="9"/>
  <c r="M716" i="9"/>
  <c r="A717" i="9"/>
  <c r="B717" i="9"/>
  <c r="C717" i="9"/>
  <c r="D717" i="9"/>
  <c r="E717" i="9"/>
  <c r="F717" i="9"/>
  <c r="G717" i="9"/>
  <c r="H717" i="9"/>
  <c r="I717" i="9"/>
  <c r="J717" i="9"/>
  <c r="K717" i="9"/>
  <c r="L717" i="9"/>
  <c r="M717" i="9"/>
  <c r="A718" i="9"/>
  <c r="A719" i="9"/>
  <c r="B719" i="9"/>
  <c r="C719" i="9"/>
  <c r="D719" i="9"/>
  <c r="E719" i="9"/>
  <c r="F719" i="9"/>
  <c r="G719" i="9"/>
  <c r="H719" i="9"/>
  <c r="I719" i="9"/>
  <c r="J719" i="9"/>
  <c r="K719" i="9" s="1"/>
  <c r="L719" i="9"/>
  <c r="M719" i="9"/>
  <c r="A720" i="9"/>
  <c r="F720" i="9" s="1"/>
  <c r="C720" i="9"/>
  <c r="E720" i="9"/>
  <c r="G720" i="9"/>
  <c r="L720" i="9"/>
  <c r="M720" i="9"/>
  <c r="A721" i="9"/>
  <c r="A722" i="9"/>
  <c r="D722" i="9"/>
  <c r="E722" i="9"/>
  <c r="F722" i="9"/>
  <c r="G722" i="9"/>
  <c r="H722" i="9"/>
  <c r="I722" i="9"/>
  <c r="J722" i="9"/>
  <c r="K722" i="9" s="1"/>
  <c r="L722" i="9"/>
  <c r="M722" i="9"/>
  <c r="A723" i="9"/>
  <c r="D723" i="9" s="1"/>
  <c r="H723" i="9"/>
  <c r="A724" i="9"/>
  <c r="B724" i="9"/>
  <c r="C724" i="9"/>
  <c r="D724" i="9"/>
  <c r="E724" i="9"/>
  <c r="F724" i="9"/>
  <c r="G724" i="9"/>
  <c r="H724" i="9"/>
  <c r="I724" i="9"/>
  <c r="L724" i="9"/>
  <c r="A725" i="9"/>
  <c r="G725" i="9" s="1"/>
  <c r="B725" i="9"/>
  <c r="E725" i="9"/>
  <c r="F725" i="9"/>
  <c r="I725" i="9"/>
  <c r="A726" i="9"/>
  <c r="E726" i="9" s="1"/>
  <c r="B726" i="9"/>
  <c r="C726" i="9"/>
  <c r="F726" i="9"/>
  <c r="H726" i="9"/>
  <c r="I726" i="9"/>
  <c r="M726" i="9"/>
  <c r="A727" i="9"/>
  <c r="B727" i="9"/>
  <c r="C727" i="9"/>
  <c r="A728" i="9"/>
  <c r="F728" i="9" s="1"/>
  <c r="B728" i="9"/>
  <c r="C728" i="9"/>
  <c r="G728" i="9"/>
  <c r="J728" i="9"/>
  <c r="K728" i="9" s="1"/>
  <c r="L728" i="9"/>
  <c r="M728" i="9"/>
  <c r="A729" i="9"/>
  <c r="B729" i="9"/>
  <c r="C729" i="9"/>
  <c r="F729" i="9"/>
  <c r="G729" i="9"/>
  <c r="H729" i="9"/>
  <c r="I729" i="9"/>
  <c r="A730" i="9"/>
  <c r="B730" i="9"/>
  <c r="C730" i="9"/>
  <c r="D730" i="9"/>
  <c r="E730" i="9"/>
  <c r="G730" i="9"/>
  <c r="H730" i="9"/>
  <c r="I730" i="9"/>
  <c r="J730" i="9"/>
  <c r="K730" i="9" s="1"/>
  <c r="M730" i="9"/>
  <c r="A731" i="9"/>
  <c r="D731" i="9"/>
  <c r="G731" i="9"/>
  <c r="H731" i="9"/>
  <c r="I731" i="9"/>
  <c r="J731" i="9"/>
  <c r="K731" i="9" s="1"/>
  <c r="A732" i="9"/>
  <c r="E732" i="9" s="1"/>
  <c r="B732" i="9"/>
  <c r="D732" i="9"/>
  <c r="G732" i="9"/>
  <c r="I732" i="9"/>
  <c r="J732" i="9"/>
  <c r="K732" i="9" s="1"/>
  <c r="A733" i="9"/>
  <c r="M733" i="9" s="1"/>
  <c r="B733" i="9"/>
  <c r="C733" i="9"/>
  <c r="D733" i="9"/>
  <c r="E733" i="9"/>
  <c r="F733" i="9"/>
  <c r="G733" i="9"/>
  <c r="H733" i="9"/>
  <c r="I733" i="9"/>
  <c r="J733" i="9"/>
  <c r="K733" i="9"/>
  <c r="L733" i="9"/>
  <c r="A734" i="9"/>
  <c r="B734" i="9"/>
  <c r="C734" i="9"/>
  <c r="D734" i="9"/>
  <c r="E734" i="9"/>
  <c r="H734" i="9"/>
  <c r="I734" i="9"/>
  <c r="J734" i="9"/>
  <c r="K734" i="9" s="1"/>
  <c r="L734" i="9"/>
  <c r="M734" i="9"/>
  <c r="A735" i="9"/>
  <c r="A736" i="9"/>
  <c r="B736" i="9"/>
  <c r="C736" i="9"/>
  <c r="D736" i="9"/>
  <c r="E736" i="9"/>
  <c r="F736" i="9"/>
  <c r="G736" i="9"/>
  <c r="H736" i="9"/>
  <c r="I736" i="9"/>
  <c r="J736" i="9"/>
  <c r="K736" i="9" s="1"/>
  <c r="L736" i="9"/>
  <c r="M736" i="9"/>
  <c r="A737" i="9"/>
  <c r="B737" i="9"/>
  <c r="C737" i="9"/>
  <c r="D737" i="9"/>
  <c r="E737" i="9"/>
  <c r="F737" i="9"/>
  <c r="G737" i="9"/>
  <c r="H737" i="9"/>
  <c r="I737" i="9"/>
  <c r="J737" i="9"/>
  <c r="K737" i="9" s="1"/>
  <c r="L737" i="9"/>
  <c r="M737" i="9"/>
  <c r="A738" i="9"/>
  <c r="H738" i="9" s="1"/>
  <c r="B738" i="9"/>
  <c r="C738" i="9"/>
  <c r="D738" i="9"/>
  <c r="E738" i="9"/>
  <c r="F738" i="9"/>
  <c r="G738" i="9"/>
  <c r="I738" i="9"/>
  <c r="J738" i="9"/>
  <c r="K738" i="9"/>
  <c r="L738" i="9"/>
  <c r="M738" i="9"/>
  <c r="A739" i="9"/>
  <c r="B739" i="9"/>
  <c r="C739" i="9"/>
  <c r="D739" i="9"/>
  <c r="E739" i="9"/>
  <c r="F739" i="9"/>
  <c r="G739" i="9"/>
  <c r="H739" i="9"/>
  <c r="I739" i="9"/>
  <c r="J739" i="9"/>
  <c r="K739" i="9"/>
  <c r="L739" i="9"/>
  <c r="M739" i="9"/>
  <c r="A740" i="9"/>
  <c r="C740" i="9"/>
  <c r="D740" i="9"/>
  <c r="E740" i="9"/>
  <c r="F740" i="9"/>
  <c r="G740" i="9"/>
  <c r="A741" i="9"/>
  <c r="B741" i="9"/>
  <c r="D741" i="9"/>
  <c r="G741" i="9"/>
  <c r="H741" i="9"/>
  <c r="J741" i="9"/>
  <c r="K741" i="9" s="1"/>
  <c r="A742" i="9"/>
  <c r="E742" i="9" s="1"/>
  <c r="C742" i="9"/>
  <c r="D742" i="9"/>
  <c r="L742" i="9"/>
  <c r="M742" i="9"/>
  <c r="A743" i="9"/>
  <c r="E743" i="9" s="1"/>
  <c r="D743" i="9"/>
  <c r="F743" i="9"/>
  <c r="G743" i="9"/>
  <c r="H743" i="9"/>
  <c r="J743" i="9"/>
  <c r="K743" i="9" s="1"/>
  <c r="L743" i="9"/>
  <c r="M743" i="9"/>
  <c r="A744" i="9"/>
  <c r="B744" i="9" s="1"/>
  <c r="E744" i="9"/>
  <c r="F744" i="9"/>
  <c r="A745" i="9"/>
  <c r="D745" i="9" s="1"/>
  <c r="B745" i="9"/>
  <c r="E745" i="9"/>
  <c r="F745" i="9"/>
  <c r="G745" i="9"/>
  <c r="H745" i="9"/>
  <c r="I745" i="9"/>
  <c r="J745" i="9"/>
  <c r="K745" i="9" s="1"/>
  <c r="M745" i="9"/>
  <c r="A746" i="9"/>
  <c r="B746" i="9"/>
  <c r="C746" i="9"/>
  <c r="A747" i="9"/>
  <c r="E747" i="9" s="1"/>
  <c r="C747" i="9"/>
  <c r="D747" i="9"/>
  <c r="I747" i="9"/>
  <c r="J747" i="9"/>
  <c r="K747" i="9" s="1"/>
  <c r="L747" i="9"/>
  <c r="M747" i="9"/>
  <c r="A748" i="9"/>
  <c r="C748" i="9"/>
  <c r="G748" i="9"/>
  <c r="H748" i="9"/>
  <c r="I748" i="9"/>
  <c r="A749" i="9"/>
  <c r="B749" i="9" s="1"/>
  <c r="C749" i="9"/>
  <c r="F749" i="9"/>
  <c r="G749" i="9"/>
  <c r="L749" i="9"/>
  <c r="M749" i="9"/>
  <c r="A750" i="9"/>
  <c r="H750" i="9" s="1"/>
  <c r="A751" i="9"/>
  <c r="E751" i="9" s="1"/>
  <c r="B751" i="9"/>
  <c r="C751" i="9"/>
  <c r="D751" i="9"/>
  <c r="F751" i="9"/>
  <c r="G751" i="9"/>
  <c r="H751" i="9"/>
  <c r="I751" i="9"/>
  <c r="J751" i="9"/>
  <c r="K751" i="9" s="1"/>
  <c r="L751" i="9"/>
  <c r="M751" i="9"/>
  <c r="A752" i="9"/>
  <c r="B752" i="9" s="1"/>
  <c r="G752" i="9"/>
  <c r="M752" i="9"/>
  <c r="A753" i="9"/>
  <c r="A754" i="9"/>
  <c r="C754" i="9" s="1"/>
  <c r="B754" i="9"/>
  <c r="D754" i="9"/>
  <c r="E754" i="9"/>
  <c r="H754" i="9"/>
  <c r="I754" i="9"/>
  <c r="J754" i="9"/>
  <c r="K754" i="9"/>
  <c r="L754" i="9"/>
  <c r="M754" i="9"/>
  <c r="A755" i="9"/>
  <c r="B755" i="9"/>
  <c r="J755" i="9"/>
  <c r="K755" i="9" s="1"/>
  <c r="A756" i="9"/>
  <c r="C756" i="9" s="1"/>
  <c r="B756" i="9"/>
  <c r="D756" i="9"/>
  <c r="E756" i="9"/>
  <c r="F756" i="9"/>
  <c r="G756" i="9"/>
  <c r="H756" i="9"/>
  <c r="I756" i="9"/>
  <c r="J756" i="9"/>
  <c r="K756" i="9" s="1"/>
  <c r="L756" i="9"/>
  <c r="M756" i="9"/>
  <c r="A757" i="9"/>
  <c r="B757" i="9"/>
  <c r="C757" i="9"/>
  <c r="D757" i="9"/>
  <c r="E757" i="9"/>
  <c r="F757" i="9"/>
  <c r="G757" i="9"/>
  <c r="H757" i="9"/>
  <c r="I757" i="9"/>
  <c r="J757" i="9"/>
  <c r="K757" i="9" s="1"/>
  <c r="L757" i="9"/>
  <c r="M757" i="9"/>
  <c r="A758" i="9"/>
  <c r="B758" i="9"/>
  <c r="D758" i="9"/>
  <c r="E758" i="9"/>
  <c r="F758" i="9"/>
  <c r="G758" i="9"/>
  <c r="I758" i="9"/>
  <c r="A759" i="9"/>
  <c r="B759" i="9"/>
  <c r="C759" i="9"/>
  <c r="D759" i="9"/>
  <c r="E759" i="9"/>
  <c r="F759" i="9"/>
  <c r="G759" i="9"/>
  <c r="H759" i="9"/>
  <c r="I759" i="9"/>
  <c r="J759" i="9"/>
  <c r="K759" i="9" s="1"/>
  <c r="L759" i="9"/>
  <c r="M759" i="9"/>
  <c r="A760" i="9"/>
  <c r="C760" i="9"/>
  <c r="D760" i="9"/>
  <c r="G760" i="9"/>
  <c r="I760" i="9"/>
  <c r="A761" i="9"/>
  <c r="I761" i="9" s="1"/>
  <c r="B761" i="9"/>
  <c r="C761" i="9"/>
  <c r="D761" i="9"/>
  <c r="E761" i="9"/>
  <c r="F761" i="9"/>
  <c r="G761" i="9"/>
  <c r="H761" i="9"/>
  <c r="J761" i="9"/>
  <c r="K761" i="9" s="1"/>
  <c r="L761" i="9"/>
  <c r="M761" i="9"/>
  <c r="A762" i="9"/>
  <c r="C762" i="9"/>
  <c r="D762" i="9"/>
  <c r="E762" i="9"/>
  <c r="F762" i="9"/>
  <c r="G762" i="9"/>
  <c r="H762" i="9"/>
  <c r="I762" i="9"/>
  <c r="L762" i="9"/>
  <c r="M762" i="9"/>
  <c r="A763" i="9"/>
  <c r="B763" i="9" s="1"/>
  <c r="D763" i="9"/>
  <c r="E763" i="9"/>
  <c r="F763" i="9"/>
  <c r="G763" i="9"/>
  <c r="H763" i="9"/>
  <c r="J763" i="9"/>
  <c r="K763" i="9" s="1"/>
  <c r="A764" i="9"/>
  <c r="B764" i="9" s="1"/>
  <c r="C764" i="9"/>
  <c r="A765" i="9"/>
  <c r="F765" i="9"/>
  <c r="G765" i="9"/>
  <c r="H765" i="9"/>
  <c r="L765" i="9"/>
  <c r="A766" i="9"/>
  <c r="C766" i="9" s="1"/>
  <c r="F766" i="9"/>
  <c r="G766" i="9"/>
  <c r="H766" i="9"/>
  <c r="A767" i="9"/>
  <c r="B767" i="9" s="1"/>
  <c r="H767" i="9"/>
  <c r="I767" i="9"/>
  <c r="J767" i="9"/>
  <c r="K767" i="9" s="1"/>
  <c r="M767" i="9"/>
  <c r="A768" i="9"/>
  <c r="A769" i="9"/>
  <c r="J769" i="9" s="1"/>
  <c r="K769" i="9" s="1"/>
  <c r="B769" i="9"/>
  <c r="L769" i="9"/>
  <c r="A770" i="9"/>
  <c r="B770" i="9" s="1"/>
  <c r="C770" i="9"/>
  <c r="E770" i="9"/>
  <c r="A771" i="9"/>
  <c r="B771" i="9"/>
  <c r="C771" i="9"/>
  <c r="F771" i="9"/>
  <c r="G771" i="9"/>
  <c r="H771" i="9"/>
  <c r="I771" i="9"/>
  <c r="J771" i="9"/>
  <c r="K771" i="9"/>
  <c r="L771" i="9"/>
  <c r="M771" i="9"/>
  <c r="A772" i="9"/>
  <c r="B772" i="9"/>
  <c r="C772" i="9"/>
  <c r="D772" i="9"/>
  <c r="E772" i="9"/>
  <c r="G772" i="9"/>
  <c r="H772" i="9"/>
  <c r="A773" i="9"/>
  <c r="M773" i="9" s="1"/>
  <c r="B773" i="9"/>
  <c r="C773" i="9"/>
  <c r="D773" i="9"/>
  <c r="E773" i="9"/>
  <c r="F773" i="9"/>
  <c r="G773" i="9"/>
  <c r="H773" i="9"/>
  <c r="I773" i="9"/>
  <c r="J773" i="9"/>
  <c r="K773" i="9" s="1"/>
  <c r="L773" i="9"/>
  <c r="A774" i="9"/>
  <c r="B774" i="9"/>
  <c r="C774" i="9"/>
  <c r="D774" i="9"/>
  <c r="E774" i="9"/>
  <c r="A775" i="9"/>
  <c r="B775" i="9"/>
  <c r="A776" i="9"/>
  <c r="B776" i="9"/>
  <c r="C776" i="9"/>
  <c r="D776" i="9"/>
  <c r="H776" i="9"/>
  <c r="I776" i="9"/>
  <c r="J776" i="9"/>
  <c r="K776" i="9" s="1"/>
  <c r="A777" i="9"/>
  <c r="B777" i="9"/>
  <c r="C777" i="9"/>
  <c r="D777" i="9"/>
  <c r="E777" i="9"/>
  <c r="F777" i="9"/>
  <c r="G777" i="9"/>
  <c r="H777" i="9"/>
  <c r="I777" i="9"/>
  <c r="J777" i="9"/>
  <c r="K777" i="9" s="1"/>
  <c r="L777" i="9"/>
  <c r="M777" i="9"/>
  <c r="A778" i="9"/>
  <c r="H778" i="9" s="1"/>
  <c r="B778" i="9"/>
  <c r="C778" i="9"/>
  <c r="D778" i="9"/>
  <c r="E778" i="9"/>
  <c r="F778" i="9"/>
  <c r="G778" i="9"/>
  <c r="I778" i="9"/>
  <c r="J778" i="9"/>
  <c r="K778" i="9"/>
  <c r="L778" i="9"/>
  <c r="M778" i="9"/>
  <c r="A779" i="9"/>
  <c r="B779" i="9"/>
  <c r="C779" i="9"/>
  <c r="D779" i="9"/>
  <c r="E779" i="9"/>
  <c r="F779" i="9"/>
  <c r="G779" i="9"/>
  <c r="H779" i="9"/>
  <c r="I779" i="9"/>
  <c r="J779" i="9"/>
  <c r="K779" i="9" s="1"/>
  <c r="L779" i="9"/>
  <c r="M779" i="9"/>
  <c r="A780" i="9"/>
  <c r="D780" i="9" s="1"/>
  <c r="E780" i="9"/>
  <c r="F780" i="9"/>
  <c r="G780" i="9"/>
  <c r="L780" i="9"/>
  <c r="M780" i="9"/>
  <c r="A781" i="9"/>
  <c r="B781" i="9" s="1"/>
  <c r="A782" i="9"/>
  <c r="G782" i="9" s="1"/>
  <c r="A783" i="9"/>
  <c r="E783" i="9"/>
  <c r="F783" i="9"/>
  <c r="G783" i="9"/>
  <c r="J783" i="9"/>
  <c r="K783" i="9" s="1"/>
  <c r="L783" i="9"/>
  <c r="M783" i="9"/>
  <c r="A784" i="9"/>
  <c r="B784" i="9"/>
  <c r="G784" i="9"/>
  <c r="H784" i="9"/>
  <c r="A785" i="9"/>
  <c r="C785" i="9" s="1"/>
  <c r="B785" i="9"/>
  <c r="D785" i="9"/>
  <c r="E785" i="9"/>
  <c r="F785" i="9"/>
  <c r="G785" i="9"/>
  <c r="H785" i="9"/>
  <c r="I785" i="9"/>
  <c r="J785" i="9"/>
  <c r="K785" i="9" s="1"/>
  <c r="L785" i="9"/>
  <c r="M785" i="9"/>
  <c r="A786" i="9"/>
  <c r="B786" i="9" s="1"/>
  <c r="E786" i="9"/>
  <c r="G786" i="9"/>
  <c r="H786" i="9"/>
  <c r="A787" i="9"/>
  <c r="E787" i="9" s="1"/>
  <c r="B787" i="9"/>
  <c r="C787" i="9"/>
  <c r="D787" i="9"/>
  <c r="F787" i="9"/>
  <c r="G787" i="9"/>
  <c r="H787" i="9"/>
  <c r="I787" i="9"/>
  <c r="J787" i="9"/>
  <c r="K787" i="9" s="1"/>
  <c r="L787" i="9"/>
  <c r="M787" i="9"/>
  <c r="A788" i="9"/>
  <c r="A789" i="9"/>
  <c r="B789" i="9"/>
  <c r="C789" i="9"/>
  <c r="D789" i="9"/>
  <c r="F789" i="9"/>
  <c r="G789" i="9"/>
  <c r="H789" i="9"/>
  <c r="I789" i="9"/>
  <c r="L789" i="9"/>
  <c r="M789" i="9"/>
  <c r="A790" i="9"/>
  <c r="B790" i="9" s="1"/>
  <c r="F790" i="9"/>
  <c r="G790" i="9"/>
  <c r="H790" i="9"/>
  <c r="A791" i="9"/>
  <c r="B791" i="9"/>
  <c r="C791" i="9"/>
  <c r="A792" i="9"/>
  <c r="I792" i="9" s="1"/>
  <c r="A793" i="9"/>
  <c r="C793" i="9" s="1"/>
  <c r="B793" i="9"/>
  <c r="D793" i="9"/>
  <c r="E793" i="9"/>
  <c r="G793" i="9"/>
  <c r="J793" i="9"/>
  <c r="K793" i="9" s="1"/>
  <c r="L793" i="9"/>
  <c r="A794" i="9"/>
  <c r="G794" i="9"/>
  <c r="A795" i="9"/>
  <c r="B795" i="9"/>
  <c r="C795" i="9"/>
  <c r="F795" i="9"/>
  <c r="I795" i="9"/>
  <c r="J795" i="9"/>
  <c r="K795" i="9"/>
  <c r="M795" i="9"/>
  <c r="A796" i="9"/>
  <c r="G796" i="9" s="1"/>
  <c r="A797" i="9"/>
  <c r="B797" i="9"/>
  <c r="C797" i="9"/>
  <c r="D797" i="9"/>
  <c r="E797" i="9"/>
  <c r="F797" i="9"/>
  <c r="G797" i="9"/>
  <c r="H797" i="9"/>
  <c r="I797" i="9"/>
  <c r="J797" i="9"/>
  <c r="K797" i="9"/>
  <c r="L797" i="9"/>
  <c r="M797" i="9"/>
  <c r="A798" i="9"/>
  <c r="D798" i="9" s="1"/>
  <c r="B798" i="9"/>
  <c r="C798" i="9"/>
  <c r="J798" i="9"/>
  <c r="K798" i="9" s="1"/>
  <c r="L798" i="9"/>
  <c r="M798" i="9"/>
  <c r="A799" i="9"/>
  <c r="D799" i="9" s="1"/>
  <c r="A800" i="9"/>
  <c r="C800" i="9"/>
  <c r="I800" i="9"/>
  <c r="J800" i="9"/>
  <c r="K800" i="9" s="1"/>
  <c r="L800" i="9"/>
  <c r="A801" i="9"/>
  <c r="D801" i="9" s="1"/>
  <c r="B801" i="9"/>
  <c r="E801" i="9"/>
  <c r="F801" i="9"/>
  <c r="G801" i="9"/>
  <c r="H801" i="9"/>
  <c r="A802" i="9"/>
  <c r="H802" i="9" s="1"/>
  <c r="B802" i="9"/>
  <c r="C802" i="9"/>
  <c r="D802" i="9"/>
  <c r="E802" i="9"/>
  <c r="F802" i="9"/>
  <c r="G802" i="9"/>
  <c r="I802" i="9"/>
  <c r="J802" i="9"/>
  <c r="K802" i="9" s="1"/>
  <c r="L802" i="9"/>
  <c r="M802" i="9"/>
  <c r="A803" i="9"/>
  <c r="B803" i="9" s="1"/>
  <c r="D803" i="9"/>
  <c r="F803" i="9"/>
  <c r="M803" i="9"/>
  <c r="A804" i="9"/>
  <c r="G804" i="9" s="1"/>
  <c r="H804" i="9"/>
  <c r="I804" i="9"/>
  <c r="L804" i="9"/>
  <c r="A805" i="9"/>
  <c r="B805" i="9"/>
  <c r="C805" i="9"/>
  <c r="D805" i="9"/>
  <c r="A806" i="9"/>
  <c r="B806" i="9"/>
  <c r="G806" i="9"/>
  <c r="H806" i="9"/>
  <c r="I806" i="9"/>
  <c r="J806" i="9"/>
  <c r="K806" i="9" s="1"/>
  <c r="M806" i="9"/>
  <c r="A807" i="9"/>
  <c r="F807" i="9" s="1"/>
  <c r="B807" i="9"/>
  <c r="C807" i="9"/>
  <c r="D807" i="9"/>
  <c r="E807" i="9"/>
  <c r="G807" i="9"/>
  <c r="H807" i="9"/>
  <c r="I807" i="9"/>
  <c r="J807" i="9"/>
  <c r="K807" i="9" s="1"/>
  <c r="L807" i="9"/>
  <c r="M807" i="9"/>
  <c r="A808" i="9"/>
  <c r="J808" i="9" s="1"/>
  <c r="K808" i="9" s="1"/>
  <c r="B808" i="9"/>
  <c r="C808" i="9"/>
  <c r="D808" i="9"/>
  <c r="E808" i="9"/>
  <c r="F808" i="9"/>
  <c r="G808" i="9"/>
  <c r="H808" i="9"/>
  <c r="I808" i="9"/>
  <c r="L808" i="9"/>
  <c r="M808" i="9"/>
  <c r="A809" i="9"/>
  <c r="E809" i="9" s="1"/>
  <c r="B809" i="9"/>
  <c r="C809" i="9"/>
  <c r="D809" i="9"/>
  <c r="F809" i="9"/>
  <c r="G809" i="9"/>
  <c r="H809" i="9"/>
  <c r="I809" i="9"/>
  <c r="J809" i="9"/>
  <c r="K809" i="9" s="1"/>
  <c r="L809" i="9"/>
  <c r="M809" i="9"/>
  <c r="A810" i="9"/>
  <c r="B810" i="9"/>
  <c r="C810" i="9"/>
  <c r="D810" i="9"/>
  <c r="H810" i="9"/>
  <c r="J810" i="9"/>
  <c r="K810" i="9" s="1"/>
  <c r="M810" i="9"/>
  <c r="A811" i="9"/>
  <c r="B811" i="9"/>
  <c r="C811" i="9"/>
  <c r="D811" i="9"/>
  <c r="E811" i="9"/>
  <c r="F811" i="9"/>
  <c r="G811" i="9"/>
  <c r="H811" i="9"/>
  <c r="I811" i="9"/>
  <c r="J811" i="9"/>
  <c r="K811" i="9" s="1"/>
  <c r="L811" i="9"/>
  <c r="M811" i="9"/>
  <c r="A812" i="9"/>
  <c r="B812" i="9"/>
  <c r="C812" i="9"/>
  <c r="E812" i="9"/>
  <c r="G812" i="9"/>
  <c r="H812" i="9"/>
  <c r="I812" i="9"/>
  <c r="J812" i="9"/>
  <c r="K812" i="9" s="1"/>
  <c r="L812" i="9"/>
  <c r="M812" i="9"/>
  <c r="A813" i="9"/>
  <c r="D813" i="9" s="1"/>
  <c r="B813" i="9"/>
  <c r="C813" i="9"/>
  <c r="G813" i="9"/>
  <c r="H813" i="9"/>
  <c r="I813" i="9"/>
  <c r="A814" i="9"/>
  <c r="B814" i="9"/>
  <c r="D814" i="9"/>
  <c r="E814" i="9"/>
  <c r="G814" i="9"/>
  <c r="H814" i="9"/>
  <c r="I814" i="9"/>
  <c r="A815" i="9"/>
  <c r="B815" i="9"/>
  <c r="J815" i="9"/>
  <c r="K815" i="9" s="1"/>
  <c r="L815" i="9"/>
  <c r="M815" i="9"/>
  <c r="A816" i="9"/>
  <c r="D816" i="9"/>
  <c r="E816" i="9"/>
  <c r="F816" i="9"/>
  <c r="G816" i="9"/>
  <c r="H816" i="9"/>
  <c r="M816" i="9"/>
  <c r="A817" i="9"/>
  <c r="B817" i="9"/>
  <c r="C817" i="9"/>
  <c r="D817" i="9"/>
  <c r="E817" i="9"/>
  <c r="F817" i="9"/>
  <c r="G817" i="9"/>
  <c r="H817" i="9"/>
  <c r="I817" i="9"/>
  <c r="J817" i="9"/>
  <c r="K817" i="9" s="1"/>
  <c r="L817" i="9"/>
  <c r="M817" i="9"/>
  <c r="A818" i="9"/>
  <c r="B818" i="9"/>
  <c r="G818" i="9"/>
  <c r="I818" i="9"/>
  <c r="A819" i="9"/>
  <c r="E819" i="9" s="1"/>
  <c r="B819" i="9"/>
  <c r="C819" i="9"/>
  <c r="D819" i="9"/>
  <c r="F819" i="9"/>
  <c r="G819" i="9"/>
  <c r="H819" i="9"/>
  <c r="I819" i="9"/>
  <c r="J819" i="9"/>
  <c r="K819" i="9"/>
  <c r="L819" i="9"/>
  <c r="M819" i="9"/>
  <c r="A820" i="9"/>
  <c r="A821" i="9"/>
  <c r="B821" i="9"/>
  <c r="C821" i="9"/>
  <c r="D821" i="9"/>
  <c r="E821" i="9"/>
  <c r="F821" i="9"/>
  <c r="G821" i="9"/>
  <c r="H821" i="9"/>
  <c r="J821" i="9"/>
  <c r="K821" i="9"/>
  <c r="L821" i="9"/>
  <c r="A822" i="9"/>
  <c r="H822" i="9"/>
  <c r="I822" i="9"/>
  <c r="A823" i="9"/>
  <c r="F823" i="9" s="1"/>
  <c r="D823" i="9"/>
  <c r="E823" i="9"/>
  <c r="I823" i="9"/>
  <c r="A824" i="9"/>
  <c r="B824" i="9"/>
  <c r="H824" i="9"/>
  <c r="I824" i="9"/>
  <c r="A825" i="9"/>
  <c r="B825" i="9" s="1"/>
  <c r="M825" i="9"/>
  <c r="A826" i="9"/>
  <c r="H826" i="9"/>
  <c r="I826" i="9"/>
  <c r="A827" i="9"/>
  <c r="B827" i="9" s="1"/>
  <c r="C827" i="9"/>
  <c r="F827" i="9"/>
  <c r="A828" i="9"/>
  <c r="B828" i="9"/>
  <c r="A829" i="9"/>
  <c r="E829" i="9" s="1"/>
  <c r="B829" i="9"/>
  <c r="C829" i="9"/>
  <c r="D829" i="9"/>
  <c r="F829" i="9"/>
  <c r="G829" i="9"/>
  <c r="H829" i="9"/>
  <c r="I829" i="9"/>
  <c r="J829" i="9"/>
  <c r="K829" i="9" s="1"/>
  <c r="L829" i="9"/>
  <c r="M829" i="9"/>
  <c r="A830" i="9"/>
  <c r="L830" i="9" s="1"/>
  <c r="B830" i="9"/>
  <c r="C830" i="9"/>
  <c r="D830" i="9"/>
  <c r="E830" i="9"/>
  <c r="F830" i="9"/>
  <c r="G830" i="9"/>
  <c r="H830" i="9"/>
  <c r="I830" i="9"/>
  <c r="J830" i="9"/>
  <c r="K830" i="9" s="1"/>
  <c r="M830" i="9"/>
  <c r="A831" i="9"/>
  <c r="E831" i="9" s="1"/>
  <c r="F831" i="9"/>
  <c r="G831" i="9"/>
  <c r="H831" i="9"/>
  <c r="A832" i="9"/>
  <c r="I832" i="9"/>
  <c r="J832" i="9"/>
  <c r="K832" i="9" s="1"/>
  <c r="A833" i="9"/>
  <c r="A834" i="9"/>
  <c r="L834" i="9" s="1"/>
  <c r="B834" i="9"/>
  <c r="C834" i="9"/>
  <c r="D834" i="9"/>
  <c r="E834" i="9"/>
  <c r="F834" i="9"/>
  <c r="G834" i="9"/>
  <c r="H834" i="9"/>
  <c r="I834" i="9"/>
  <c r="J834" i="9"/>
  <c r="K834" i="9" s="1"/>
  <c r="M834" i="9"/>
  <c r="A835" i="9"/>
  <c r="B835" i="9"/>
  <c r="D835" i="9"/>
  <c r="L835" i="9"/>
  <c r="A836" i="9"/>
  <c r="B836" i="9" s="1"/>
  <c r="C836" i="9"/>
  <c r="E836" i="9"/>
  <c r="F836" i="9"/>
  <c r="H836" i="9"/>
  <c r="I836" i="9"/>
  <c r="J836" i="9"/>
  <c r="K836" i="9" s="1"/>
  <c r="L836" i="9"/>
  <c r="M836" i="9"/>
  <c r="A837" i="9"/>
  <c r="B837" i="9"/>
  <c r="C837" i="9"/>
  <c r="D837" i="9"/>
  <c r="E837" i="9"/>
  <c r="F837" i="9"/>
  <c r="G837" i="9"/>
  <c r="H837" i="9"/>
  <c r="I837" i="9"/>
  <c r="J837" i="9"/>
  <c r="K837" i="9" s="1"/>
  <c r="L837" i="9"/>
  <c r="M837" i="9"/>
  <c r="A838" i="9"/>
  <c r="H838" i="9" s="1"/>
  <c r="B838" i="9"/>
  <c r="C838" i="9"/>
  <c r="D838" i="9"/>
  <c r="E838" i="9"/>
  <c r="F838" i="9"/>
  <c r="G838" i="9"/>
  <c r="I838" i="9"/>
  <c r="J838" i="9"/>
  <c r="K838" i="9" s="1"/>
  <c r="L838" i="9"/>
  <c r="M838" i="9"/>
  <c r="A839" i="9"/>
  <c r="I839" i="9" s="1"/>
  <c r="B839" i="9"/>
  <c r="C839" i="9"/>
  <c r="D839" i="9"/>
  <c r="E839" i="9"/>
  <c r="F839" i="9"/>
  <c r="G839" i="9"/>
  <c r="H839" i="9"/>
  <c r="J839" i="9"/>
  <c r="K839" i="9"/>
  <c r="L839" i="9"/>
  <c r="M839" i="9"/>
  <c r="A840" i="9"/>
  <c r="C840" i="9"/>
  <c r="D840" i="9"/>
  <c r="E840" i="9"/>
  <c r="F840" i="9"/>
  <c r="G840" i="9"/>
  <c r="H840" i="9"/>
  <c r="M840" i="9"/>
  <c r="A841" i="9"/>
  <c r="B841" i="9"/>
  <c r="A842" i="9"/>
  <c r="B842" i="9"/>
  <c r="C842" i="9"/>
  <c r="D842" i="9"/>
  <c r="G842" i="9"/>
  <c r="H842" i="9"/>
  <c r="I842" i="9"/>
  <c r="J842" i="9"/>
  <c r="K842" i="9" s="1"/>
  <c r="A843" i="9"/>
  <c r="C843" i="9" s="1"/>
  <c r="B843" i="9"/>
  <c r="D843" i="9"/>
  <c r="H843" i="9"/>
  <c r="I843" i="9"/>
  <c r="J843" i="9"/>
  <c r="K843" i="9" s="1"/>
  <c r="L843" i="9"/>
  <c r="A844" i="9"/>
  <c r="B844" i="9"/>
  <c r="C844" i="9"/>
  <c r="D844" i="9"/>
  <c r="E844" i="9"/>
  <c r="F844" i="9"/>
  <c r="H844" i="9"/>
  <c r="I844" i="9"/>
  <c r="L844" i="9"/>
  <c r="M844" i="9"/>
  <c r="A845" i="9"/>
  <c r="J845" i="9" s="1"/>
  <c r="K845" i="9" s="1"/>
  <c r="C845" i="9"/>
  <c r="D845" i="9"/>
  <c r="E845" i="9"/>
  <c r="F845" i="9"/>
  <c r="G845" i="9"/>
  <c r="H845" i="9"/>
  <c r="I845" i="9"/>
  <c r="L845" i="9"/>
  <c r="M845" i="9"/>
  <c r="A846" i="9"/>
  <c r="A847" i="9"/>
  <c r="B847" i="9"/>
  <c r="C847" i="9"/>
  <c r="D847" i="9"/>
  <c r="E847" i="9"/>
  <c r="H847" i="9"/>
  <c r="I847" i="9"/>
  <c r="L847" i="9"/>
  <c r="M847" i="9"/>
  <c r="A848" i="9"/>
  <c r="B848" i="9"/>
  <c r="C848" i="9"/>
  <c r="D848" i="9"/>
  <c r="E848" i="9"/>
  <c r="F848" i="9"/>
  <c r="G848" i="9"/>
  <c r="H848" i="9"/>
  <c r="I848" i="9"/>
  <c r="J848" i="9"/>
  <c r="K848" i="9" s="1"/>
  <c r="L848" i="9"/>
  <c r="M848" i="9"/>
  <c r="A849" i="9"/>
  <c r="D849" i="9" s="1"/>
  <c r="B849" i="9"/>
  <c r="C849" i="9"/>
  <c r="E849" i="9"/>
  <c r="F849" i="9"/>
  <c r="G849" i="9"/>
  <c r="H849" i="9"/>
  <c r="I849" i="9"/>
  <c r="J849" i="9"/>
  <c r="K849" i="9"/>
  <c r="L849" i="9"/>
  <c r="M849" i="9"/>
  <c r="A850" i="9"/>
  <c r="E850" i="9" s="1"/>
  <c r="B850" i="9"/>
  <c r="C850" i="9"/>
  <c r="D850" i="9"/>
  <c r="H850" i="9"/>
  <c r="L850" i="9"/>
  <c r="M850" i="9"/>
  <c r="A851" i="9"/>
  <c r="B851" i="9"/>
  <c r="E851" i="9"/>
  <c r="F851" i="9"/>
  <c r="G851" i="9"/>
  <c r="H851" i="9"/>
  <c r="I851" i="9"/>
  <c r="A852" i="9"/>
  <c r="B852" i="9"/>
  <c r="I852" i="9"/>
  <c r="J852" i="9"/>
  <c r="K852" i="9"/>
  <c r="M852" i="9"/>
  <c r="A853" i="9"/>
  <c r="C853" i="9" s="1"/>
  <c r="D853" i="9"/>
  <c r="E853" i="9"/>
  <c r="F853" i="9"/>
  <c r="A854" i="9"/>
  <c r="B854" i="9"/>
  <c r="C854" i="9"/>
  <c r="D854" i="9"/>
  <c r="E854" i="9"/>
  <c r="F854" i="9"/>
  <c r="G854" i="9"/>
  <c r="H854" i="9"/>
  <c r="I854" i="9"/>
  <c r="J854" i="9"/>
  <c r="K854" i="9" s="1"/>
  <c r="L854" i="9"/>
  <c r="M854" i="9"/>
  <c r="A855" i="9"/>
  <c r="C855" i="9" s="1"/>
  <c r="B855" i="9"/>
  <c r="A856" i="9"/>
  <c r="C856" i="9"/>
  <c r="D856" i="9"/>
  <c r="E856" i="9"/>
  <c r="F856" i="9"/>
  <c r="G856" i="9"/>
  <c r="H856" i="9"/>
  <c r="I856" i="9"/>
  <c r="J856" i="9"/>
  <c r="K856" i="9" s="1"/>
  <c r="L856" i="9"/>
  <c r="A857" i="9"/>
  <c r="B857" i="9" s="1"/>
  <c r="A858" i="9"/>
  <c r="B858" i="9"/>
  <c r="C858" i="9"/>
  <c r="D858" i="9"/>
  <c r="E858" i="9"/>
  <c r="F858" i="9"/>
  <c r="H858" i="9"/>
  <c r="I858" i="9"/>
  <c r="J858" i="9"/>
  <c r="K858" i="9" s="1"/>
  <c r="M858" i="9"/>
  <c r="A859" i="9"/>
  <c r="M859" i="9" s="1"/>
  <c r="B859" i="9"/>
  <c r="H859" i="9"/>
  <c r="I859" i="9"/>
  <c r="A860" i="9"/>
  <c r="B860" i="9"/>
  <c r="C860" i="9"/>
  <c r="D860" i="9"/>
  <c r="E860" i="9"/>
  <c r="F860" i="9"/>
  <c r="G860" i="9"/>
  <c r="H860" i="9"/>
  <c r="I860" i="9"/>
  <c r="J860" i="9"/>
  <c r="K860" i="9" s="1"/>
  <c r="L860" i="9"/>
  <c r="M860" i="9"/>
  <c r="A861" i="9"/>
  <c r="D861" i="9" s="1"/>
  <c r="B861" i="9"/>
  <c r="C861" i="9"/>
  <c r="G861" i="9"/>
  <c r="I861" i="9"/>
  <c r="J861" i="9"/>
  <c r="K861" i="9" s="1"/>
  <c r="L861" i="9"/>
  <c r="A862" i="9"/>
  <c r="B862" i="9"/>
  <c r="C862" i="9"/>
  <c r="D862" i="9"/>
  <c r="E862" i="9"/>
  <c r="F862" i="9"/>
  <c r="G862" i="9"/>
  <c r="H862" i="9"/>
  <c r="I862" i="9"/>
  <c r="J862" i="9"/>
  <c r="K862" i="9"/>
  <c r="L862" i="9"/>
  <c r="M862" i="9"/>
  <c r="A863" i="9"/>
  <c r="C863" i="9"/>
  <c r="D863" i="9"/>
  <c r="E863" i="9"/>
  <c r="F863" i="9"/>
  <c r="G863" i="9"/>
  <c r="J863" i="9"/>
  <c r="K863" i="9" s="1"/>
  <c r="L863" i="9"/>
  <c r="M863" i="9"/>
  <c r="A864" i="9"/>
  <c r="A865" i="9"/>
  <c r="B865" i="9"/>
  <c r="E865" i="9"/>
  <c r="F865" i="9"/>
  <c r="G865" i="9"/>
  <c r="H865" i="9"/>
  <c r="I865" i="9"/>
  <c r="L865" i="9"/>
  <c r="M865" i="9"/>
  <c r="A866" i="9"/>
  <c r="H866" i="9" s="1"/>
  <c r="B866" i="9"/>
  <c r="I866" i="9"/>
  <c r="A867" i="9"/>
  <c r="B867" i="9"/>
  <c r="C867" i="9"/>
  <c r="D867" i="9"/>
  <c r="F867" i="9"/>
  <c r="G867" i="9"/>
  <c r="H867" i="9"/>
  <c r="I867" i="9"/>
  <c r="L867" i="9"/>
  <c r="M867" i="9"/>
  <c r="A868" i="9"/>
  <c r="H868" i="9"/>
  <c r="I868" i="9"/>
  <c r="A869" i="9"/>
  <c r="F869" i="9" s="1"/>
  <c r="B869" i="9"/>
  <c r="C869" i="9"/>
  <c r="E869" i="9"/>
  <c r="H869" i="9"/>
  <c r="I869" i="9"/>
  <c r="J869" i="9"/>
  <c r="K869" i="9" s="1"/>
  <c r="L869" i="9"/>
  <c r="A870" i="9"/>
  <c r="B870" i="9"/>
  <c r="C870" i="9"/>
  <c r="D870" i="9"/>
  <c r="E870" i="9"/>
  <c r="F870" i="9"/>
  <c r="G870" i="9"/>
  <c r="H870" i="9"/>
  <c r="I870" i="9"/>
  <c r="J870" i="9"/>
  <c r="K870" i="9" s="1"/>
  <c r="L870" i="9"/>
  <c r="M870" i="9"/>
  <c r="A871" i="9"/>
  <c r="D871" i="9" s="1"/>
  <c r="C871" i="9"/>
  <c r="E871" i="9"/>
  <c r="F871" i="9"/>
  <c r="G871" i="9"/>
  <c r="A872" i="9"/>
  <c r="B872" i="9" s="1"/>
  <c r="H872" i="9"/>
  <c r="I872" i="9"/>
  <c r="J872" i="9"/>
  <c r="K872" i="9" s="1"/>
  <c r="A873" i="9"/>
  <c r="B873" i="9"/>
  <c r="A874" i="9"/>
  <c r="H874" i="9" s="1"/>
  <c r="B874" i="9"/>
  <c r="F874" i="9"/>
  <c r="G874" i="9"/>
  <c r="I874" i="9"/>
  <c r="J874" i="9"/>
  <c r="K874" i="9" s="1"/>
  <c r="A875" i="9"/>
  <c r="M875" i="9" s="1"/>
  <c r="A876" i="9"/>
  <c r="B876" i="9" s="1"/>
  <c r="C876" i="9"/>
  <c r="D876" i="9"/>
  <c r="E876" i="9"/>
  <c r="F876" i="9"/>
  <c r="I876" i="9"/>
  <c r="J876" i="9"/>
  <c r="K876" i="9" s="1"/>
  <c r="L876" i="9"/>
  <c r="A877" i="9"/>
  <c r="D877" i="9" s="1"/>
  <c r="C877" i="9"/>
  <c r="E877" i="9"/>
  <c r="J877" i="9"/>
  <c r="K877" i="9" s="1"/>
  <c r="A878" i="9"/>
  <c r="D878" i="9"/>
  <c r="E878" i="9"/>
  <c r="F878" i="9"/>
  <c r="H878" i="9"/>
  <c r="I878" i="9"/>
  <c r="L878" i="9"/>
  <c r="M878" i="9"/>
  <c r="A879" i="9"/>
  <c r="A880" i="9"/>
  <c r="B880" i="9"/>
  <c r="C880" i="9"/>
  <c r="D880" i="9"/>
  <c r="E880" i="9"/>
  <c r="F880" i="9"/>
  <c r="G880" i="9"/>
  <c r="H880" i="9"/>
  <c r="I880" i="9"/>
  <c r="J880" i="9"/>
  <c r="K880" i="9" s="1"/>
  <c r="L880" i="9"/>
  <c r="M880" i="9"/>
  <c r="A881" i="9"/>
  <c r="B881" i="9" s="1"/>
  <c r="C881" i="9"/>
  <c r="F881" i="9"/>
  <c r="G881" i="9"/>
  <c r="M881" i="9"/>
  <c r="A882" i="9"/>
  <c r="B882" i="9"/>
  <c r="C882" i="9"/>
  <c r="D882" i="9"/>
  <c r="F882" i="9"/>
  <c r="G882" i="9"/>
  <c r="H882" i="9"/>
  <c r="I882" i="9"/>
  <c r="J882" i="9"/>
  <c r="K882" i="9" s="1"/>
  <c r="A883" i="9"/>
  <c r="C883" i="9" s="1"/>
  <c r="D883" i="9"/>
  <c r="E883" i="9"/>
  <c r="F883" i="9"/>
  <c r="L883" i="9"/>
  <c r="M883" i="9"/>
  <c r="A884" i="9"/>
  <c r="B884" i="9"/>
  <c r="A885" i="9"/>
  <c r="B885" i="9" s="1"/>
  <c r="C885" i="9"/>
  <c r="D885" i="9"/>
  <c r="E885" i="9"/>
  <c r="I885" i="9"/>
  <c r="J885" i="9"/>
  <c r="K885" i="9" s="1"/>
  <c r="L885" i="9"/>
  <c r="M885" i="9"/>
  <c r="A886" i="9"/>
  <c r="E886" i="9"/>
  <c r="F886" i="9"/>
  <c r="G886" i="9"/>
  <c r="H886" i="9"/>
  <c r="I886" i="9"/>
  <c r="L886" i="9"/>
  <c r="M886" i="9"/>
  <c r="A887" i="9"/>
  <c r="D887" i="9" s="1"/>
  <c r="B887" i="9"/>
  <c r="C887" i="9"/>
  <c r="G887" i="9"/>
  <c r="H887" i="9"/>
  <c r="I887" i="9"/>
  <c r="M887" i="9"/>
  <c r="A888" i="9"/>
  <c r="A889" i="9"/>
  <c r="H889" i="9" s="1"/>
  <c r="I889" i="9"/>
  <c r="J889" i="9"/>
  <c r="K889" i="9" s="1"/>
  <c r="A890" i="9"/>
  <c r="B890" i="9"/>
  <c r="C890" i="9"/>
  <c r="D890" i="9"/>
  <c r="E890" i="9"/>
  <c r="F890" i="9"/>
  <c r="G890" i="9"/>
  <c r="H890" i="9"/>
  <c r="I890" i="9"/>
  <c r="J890" i="9"/>
  <c r="K890" i="9" s="1"/>
  <c r="L890" i="9"/>
  <c r="M890" i="9"/>
  <c r="A891" i="9"/>
  <c r="B891" i="9"/>
  <c r="C891" i="9"/>
  <c r="D891" i="9"/>
  <c r="E891" i="9"/>
  <c r="F891" i="9"/>
  <c r="G891" i="9"/>
  <c r="H891" i="9"/>
  <c r="I891" i="9"/>
  <c r="J891" i="9"/>
  <c r="K891" i="9"/>
  <c r="L891" i="9"/>
  <c r="M891" i="9"/>
  <c r="A892" i="9"/>
  <c r="G892" i="9"/>
  <c r="H892" i="9"/>
  <c r="A893" i="9"/>
  <c r="B893" i="9"/>
  <c r="A894" i="9"/>
  <c r="B894" i="9" s="1"/>
  <c r="F894" i="9"/>
  <c r="G894" i="9"/>
  <c r="H894" i="9"/>
  <c r="M894" i="9"/>
  <c r="A895" i="9"/>
  <c r="C895" i="9" s="1"/>
  <c r="B895" i="9"/>
  <c r="D895" i="9"/>
  <c r="G895" i="9"/>
  <c r="H895" i="9"/>
  <c r="I895" i="9"/>
  <c r="J895" i="9"/>
  <c r="K895" i="9" s="1"/>
  <c r="A896" i="9"/>
  <c r="B896" i="9" s="1"/>
  <c r="D896" i="9"/>
  <c r="E896" i="9"/>
  <c r="G896" i="9"/>
  <c r="L896" i="9"/>
  <c r="A897" i="9"/>
  <c r="B897" i="9"/>
  <c r="C897" i="9"/>
  <c r="E897" i="9"/>
  <c r="F897" i="9"/>
  <c r="I897" i="9"/>
  <c r="J897" i="9"/>
  <c r="K897" i="9" s="1"/>
  <c r="A898" i="9"/>
  <c r="G898" i="9" s="1"/>
  <c r="B898" i="9"/>
  <c r="C898" i="9"/>
  <c r="D898" i="9"/>
  <c r="E898" i="9"/>
  <c r="F898" i="9"/>
  <c r="H898" i="9"/>
  <c r="I898" i="9"/>
  <c r="J898" i="9"/>
  <c r="K898" i="9"/>
  <c r="L898" i="9"/>
  <c r="M898" i="9"/>
  <c r="A899" i="9"/>
  <c r="D899" i="9"/>
  <c r="E899" i="9"/>
  <c r="F899" i="9"/>
  <c r="G899" i="9"/>
  <c r="H899" i="9"/>
  <c r="J899" i="9"/>
  <c r="K899" i="9" s="1"/>
  <c r="L899" i="9"/>
  <c r="M899" i="9"/>
  <c r="A900" i="9"/>
  <c r="B900" i="9"/>
  <c r="C900" i="9"/>
  <c r="D900" i="9"/>
  <c r="E900" i="9"/>
  <c r="F900" i="9"/>
  <c r="G900" i="9"/>
  <c r="H900" i="9"/>
  <c r="I900" i="9"/>
  <c r="J900" i="9"/>
  <c r="K900" i="9" s="1"/>
  <c r="L900" i="9"/>
  <c r="M900" i="9"/>
  <c r="A901" i="9"/>
  <c r="B901" i="9"/>
  <c r="D901" i="9"/>
  <c r="J901" i="9"/>
  <c r="K901" i="9"/>
  <c r="A902" i="9"/>
  <c r="B902" i="9"/>
  <c r="C902" i="9"/>
  <c r="F902" i="9"/>
  <c r="G902" i="9"/>
  <c r="H902" i="9"/>
  <c r="I902" i="9"/>
  <c r="J902" i="9"/>
  <c r="K902" i="9" s="1"/>
  <c r="L902" i="9"/>
  <c r="M902" i="9"/>
  <c r="A903" i="9"/>
  <c r="H903" i="9" s="1"/>
  <c r="C903" i="9"/>
  <c r="A904" i="9"/>
  <c r="F904" i="9" s="1"/>
  <c r="B904" i="9"/>
  <c r="C904" i="9"/>
  <c r="D904" i="9"/>
  <c r="E904" i="9"/>
  <c r="G904" i="9"/>
  <c r="H904" i="9"/>
  <c r="I904" i="9"/>
  <c r="J904" i="9"/>
  <c r="K904" i="9" s="1"/>
  <c r="L904" i="9"/>
  <c r="M904" i="9"/>
  <c r="A905" i="9"/>
  <c r="B905" i="9" s="1"/>
  <c r="D905" i="9"/>
  <c r="E905" i="9"/>
  <c r="H905" i="9"/>
  <c r="L905" i="9"/>
  <c r="A906" i="9"/>
  <c r="J906" i="9" s="1"/>
  <c r="K906" i="9" s="1"/>
  <c r="B906" i="9"/>
  <c r="A907" i="9"/>
  <c r="B907" i="9"/>
  <c r="C907" i="9"/>
  <c r="D907" i="9"/>
  <c r="E907" i="9"/>
  <c r="F907" i="9"/>
  <c r="G907" i="9"/>
  <c r="H907" i="9"/>
  <c r="I907" i="9"/>
  <c r="J907" i="9"/>
  <c r="K907" i="9" s="1"/>
  <c r="L907" i="9"/>
  <c r="M907" i="9"/>
  <c r="A908" i="9"/>
  <c r="B908" i="9"/>
  <c r="C908" i="9"/>
  <c r="D908" i="9"/>
  <c r="E908" i="9"/>
  <c r="L908" i="9"/>
  <c r="M908" i="9"/>
  <c r="A909" i="9"/>
  <c r="B909" i="9"/>
  <c r="C909" i="9"/>
  <c r="D909" i="9"/>
  <c r="E909" i="9"/>
  <c r="F909" i="9"/>
  <c r="G909" i="9"/>
  <c r="H909" i="9"/>
  <c r="I909" i="9"/>
  <c r="J909" i="9"/>
  <c r="K909" i="9" s="1"/>
  <c r="L909" i="9"/>
  <c r="M909" i="9"/>
  <c r="A910" i="9"/>
  <c r="B910" i="9"/>
  <c r="C910" i="9"/>
  <c r="D910" i="9"/>
  <c r="E910" i="9"/>
  <c r="F910" i="9"/>
  <c r="G910" i="9"/>
  <c r="H910" i="9"/>
  <c r="I910" i="9"/>
  <c r="J910" i="9"/>
  <c r="K910" i="9"/>
  <c r="L910" i="9"/>
  <c r="M910" i="9"/>
  <c r="A911" i="9"/>
  <c r="D911" i="9" s="1"/>
  <c r="B911" i="9"/>
  <c r="E911" i="9"/>
  <c r="J911" i="9"/>
  <c r="K911" i="9" s="1"/>
  <c r="A912" i="9"/>
  <c r="B912" i="9" s="1"/>
  <c r="C912" i="9"/>
  <c r="D912" i="9"/>
  <c r="H912" i="9"/>
  <c r="I912" i="9"/>
  <c r="J912" i="9"/>
  <c r="K912" i="9" s="1"/>
  <c r="L912" i="9"/>
  <c r="A913" i="9"/>
  <c r="D913" i="9"/>
  <c r="E913" i="9"/>
  <c r="F913" i="9"/>
  <c r="G913" i="9"/>
  <c r="M913" i="9"/>
  <c r="A914" i="9"/>
  <c r="E914" i="9" s="1"/>
  <c r="F914" i="9"/>
  <c r="A915" i="9"/>
  <c r="B915" i="9"/>
  <c r="D915" i="9"/>
  <c r="E915" i="9"/>
  <c r="J915" i="9"/>
  <c r="K915" i="9"/>
  <c r="A916" i="9"/>
  <c r="B916" i="9"/>
  <c r="E916" i="9"/>
  <c r="F916" i="9"/>
  <c r="G916" i="9"/>
  <c r="H916" i="9"/>
  <c r="I916" i="9"/>
  <c r="L916" i="9"/>
  <c r="M916" i="9"/>
  <c r="A917" i="9"/>
  <c r="A918" i="9"/>
  <c r="B918" i="9"/>
  <c r="C918" i="9"/>
  <c r="E918" i="9"/>
  <c r="F918" i="9"/>
  <c r="H918" i="9"/>
  <c r="I918" i="9"/>
  <c r="J918" i="9"/>
  <c r="K918" i="9" s="1"/>
  <c r="L918" i="9"/>
  <c r="A919" i="9"/>
  <c r="B919" i="9" s="1"/>
  <c r="C919" i="9"/>
  <c r="F919" i="9"/>
  <c r="G919" i="9"/>
  <c r="L919" i="9"/>
  <c r="M919" i="9"/>
  <c r="A920" i="9"/>
  <c r="B920" i="9" s="1"/>
  <c r="C920" i="9"/>
  <c r="A921" i="9"/>
  <c r="E921" i="9" s="1"/>
  <c r="B921" i="9"/>
  <c r="C921" i="9"/>
  <c r="D921" i="9"/>
  <c r="I921" i="9"/>
  <c r="J921" i="9"/>
  <c r="K921" i="9"/>
  <c r="L921" i="9"/>
  <c r="M921" i="9"/>
  <c r="A922" i="9"/>
  <c r="B922" i="9"/>
  <c r="C922" i="9"/>
  <c r="D922" i="9"/>
  <c r="G922" i="9"/>
  <c r="H922" i="9"/>
  <c r="I922" i="9"/>
  <c r="J922" i="9"/>
  <c r="K922" i="9" s="1"/>
  <c r="M922" i="9"/>
  <c r="A923" i="9"/>
  <c r="H923" i="9" s="1"/>
  <c r="B923" i="9"/>
  <c r="F923" i="9"/>
  <c r="G923" i="9"/>
  <c r="I923" i="9"/>
  <c r="J923" i="9"/>
  <c r="K923" i="9" s="1"/>
  <c r="A924" i="9"/>
  <c r="B924" i="9" s="1"/>
  <c r="C924" i="9"/>
  <c r="D924" i="9"/>
  <c r="E924" i="9"/>
  <c r="A925" i="9"/>
  <c r="B925" i="9"/>
  <c r="C925" i="9"/>
  <c r="D925" i="9"/>
  <c r="E925" i="9"/>
  <c r="H925" i="9"/>
  <c r="I925" i="9"/>
  <c r="J925" i="9"/>
  <c r="K925" i="9"/>
  <c r="L925" i="9"/>
  <c r="A926" i="9"/>
  <c r="B926" i="9"/>
  <c r="C926" i="9"/>
  <c r="H926" i="9"/>
  <c r="I926" i="9"/>
  <c r="A927" i="9"/>
  <c r="B927" i="9"/>
  <c r="C927" i="9"/>
  <c r="D927" i="9"/>
  <c r="E927" i="9"/>
  <c r="F927" i="9"/>
  <c r="G927" i="9"/>
  <c r="H927" i="9"/>
  <c r="I927" i="9"/>
  <c r="J927" i="9"/>
  <c r="K927" i="9" s="1"/>
  <c r="L927" i="9"/>
  <c r="M927" i="9"/>
  <c r="A928" i="9"/>
  <c r="E928" i="9" s="1"/>
  <c r="B928" i="9"/>
  <c r="C928" i="9"/>
  <c r="D928" i="9"/>
  <c r="J928" i="9"/>
  <c r="K928" i="9"/>
  <c r="L928" i="9"/>
  <c r="M928" i="9"/>
  <c r="A929" i="9"/>
  <c r="B929" i="9"/>
  <c r="C929" i="9"/>
  <c r="D929" i="9"/>
  <c r="E929" i="9"/>
  <c r="F929" i="9"/>
  <c r="G929" i="9"/>
  <c r="H929" i="9"/>
  <c r="I929" i="9"/>
  <c r="J929" i="9"/>
  <c r="K929" i="9" s="1"/>
  <c r="L929" i="9"/>
  <c r="M929" i="9"/>
  <c r="A930" i="9"/>
  <c r="B930" i="9"/>
  <c r="C930" i="9"/>
  <c r="D930" i="9"/>
  <c r="E930" i="9"/>
  <c r="F930" i="9"/>
  <c r="G930" i="9"/>
  <c r="H930" i="9"/>
  <c r="I930" i="9"/>
  <c r="J930" i="9"/>
  <c r="K930" i="9" s="1"/>
  <c r="L930" i="9"/>
  <c r="M930" i="9"/>
  <c r="A931" i="9"/>
  <c r="A932" i="9"/>
  <c r="G932" i="9" s="1"/>
  <c r="C932" i="9"/>
  <c r="D932" i="9"/>
  <c r="E932" i="9"/>
  <c r="H932" i="9"/>
  <c r="I932" i="9"/>
  <c r="J932" i="9"/>
  <c r="K932" i="9"/>
  <c r="A933" i="9"/>
  <c r="G933" i="9" s="1"/>
  <c r="D933" i="9"/>
  <c r="E933" i="9"/>
  <c r="F933" i="9"/>
  <c r="L933" i="9"/>
  <c r="M933" i="9"/>
  <c r="A934" i="9"/>
  <c r="A935" i="9"/>
  <c r="C935" i="9" s="1"/>
  <c r="B935" i="9"/>
  <c r="D935" i="9"/>
  <c r="H935" i="9"/>
  <c r="I935" i="9"/>
  <c r="J935" i="9"/>
  <c r="K935" i="9" s="1"/>
  <c r="L935" i="9"/>
  <c r="A936" i="9"/>
  <c r="A937" i="9"/>
  <c r="E937" i="9"/>
  <c r="F937" i="9"/>
  <c r="G937" i="9"/>
  <c r="H937" i="9"/>
  <c r="I937" i="9"/>
  <c r="M937" i="9"/>
  <c r="A938" i="9"/>
  <c r="B938" i="9"/>
  <c r="C938" i="9"/>
  <c r="E938" i="9"/>
  <c r="J938" i="9"/>
  <c r="K938" i="9"/>
  <c r="A939" i="9"/>
  <c r="B939" i="9"/>
  <c r="C939" i="9"/>
  <c r="F939" i="9"/>
  <c r="G939" i="9"/>
  <c r="H939" i="9"/>
  <c r="I939" i="9"/>
  <c r="J939" i="9"/>
  <c r="K939" i="9" s="1"/>
  <c r="L939" i="9"/>
  <c r="M939" i="9"/>
  <c r="A940" i="9"/>
  <c r="B940" i="9"/>
  <c r="G940" i="9"/>
  <c r="H940" i="9"/>
  <c r="A941" i="9"/>
  <c r="B941" i="9"/>
  <c r="C941" i="9"/>
  <c r="D941" i="9"/>
  <c r="F941" i="9"/>
  <c r="H941" i="9"/>
  <c r="I941" i="9"/>
  <c r="J941" i="9"/>
  <c r="K941" i="9" s="1"/>
  <c r="L941" i="9"/>
  <c r="A942" i="9"/>
  <c r="B942" i="9" s="1"/>
  <c r="C942" i="9"/>
  <c r="D942" i="9"/>
  <c r="G942" i="9"/>
  <c r="M942" i="9"/>
  <c r="A943" i="9"/>
  <c r="F943" i="9" s="1"/>
  <c r="B943" i="9"/>
  <c r="C943" i="9"/>
  <c r="E943" i="9"/>
  <c r="G943" i="9"/>
  <c r="H943" i="9"/>
  <c r="I943" i="9"/>
  <c r="A944" i="9"/>
  <c r="F944" i="9" s="1"/>
  <c r="B944" i="9"/>
  <c r="C944" i="9"/>
  <c r="D944" i="9"/>
  <c r="I944" i="9"/>
  <c r="J944" i="9"/>
  <c r="K944" i="9" s="1"/>
  <c r="L944" i="9"/>
  <c r="M944" i="9"/>
  <c r="A945" i="9"/>
  <c r="B945" i="9"/>
  <c r="C945" i="9"/>
  <c r="D945" i="9"/>
  <c r="E945" i="9"/>
  <c r="H945" i="9"/>
  <c r="I945" i="9"/>
  <c r="J945" i="9"/>
  <c r="K945" i="9"/>
  <c r="L945" i="9"/>
  <c r="A946" i="9"/>
  <c r="B946" i="9"/>
  <c r="G946" i="9"/>
  <c r="H946" i="9"/>
  <c r="I946" i="9"/>
  <c r="J946" i="9"/>
  <c r="K946" i="9" s="1"/>
  <c r="L946" i="9"/>
  <c r="A947" i="9"/>
  <c r="B947" i="9"/>
  <c r="C947" i="9"/>
  <c r="D947" i="9"/>
  <c r="E947" i="9"/>
  <c r="F947" i="9"/>
  <c r="G947" i="9"/>
  <c r="H947" i="9"/>
  <c r="I947" i="9"/>
  <c r="J947" i="9"/>
  <c r="K947" i="9" s="1"/>
  <c r="L947" i="9"/>
  <c r="M947" i="9"/>
  <c r="A948" i="9"/>
  <c r="D948" i="9"/>
  <c r="E948" i="9"/>
  <c r="I948" i="9"/>
  <c r="J948" i="9"/>
  <c r="K948" i="9" s="1"/>
  <c r="A949" i="9"/>
  <c r="B949" i="9"/>
  <c r="C949" i="9"/>
  <c r="D949" i="9"/>
  <c r="E949" i="9"/>
  <c r="F949" i="9"/>
  <c r="G949" i="9"/>
  <c r="H949" i="9"/>
  <c r="I949" i="9"/>
  <c r="J949" i="9"/>
  <c r="K949" i="9"/>
  <c r="L949" i="9"/>
  <c r="M949" i="9"/>
  <c r="A950" i="9"/>
  <c r="B950" i="9"/>
  <c r="C950" i="9"/>
  <c r="D950" i="9"/>
  <c r="E950" i="9"/>
  <c r="F950" i="9"/>
  <c r="G950" i="9"/>
  <c r="H950" i="9"/>
  <c r="I950" i="9"/>
  <c r="J950" i="9"/>
  <c r="K950" i="9" s="1"/>
  <c r="L950" i="9"/>
  <c r="M950" i="9"/>
  <c r="A951" i="9"/>
  <c r="B951" i="9" s="1"/>
  <c r="C951" i="9"/>
  <c r="D951" i="9"/>
  <c r="E951" i="9"/>
  <c r="F951" i="9"/>
  <c r="G951" i="9"/>
  <c r="J951" i="9"/>
  <c r="K951" i="9" s="1"/>
  <c r="L951" i="9"/>
  <c r="M951" i="9"/>
  <c r="A952" i="9"/>
  <c r="B952" i="9"/>
  <c r="C952" i="9"/>
  <c r="A953" i="9"/>
  <c r="D953" i="9"/>
  <c r="E953" i="9"/>
  <c r="F953" i="9"/>
  <c r="H953" i="9"/>
  <c r="I953" i="9"/>
  <c r="J953" i="9"/>
  <c r="K953" i="9" s="1"/>
  <c r="L953" i="9"/>
  <c r="A954" i="9"/>
  <c r="B954" i="9" s="1"/>
  <c r="C954" i="9"/>
  <c r="D954" i="9"/>
  <c r="E954" i="9"/>
  <c r="L954" i="9"/>
  <c r="M954" i="9"/>
  <c r="A955" i="9"/>
  <c r="M955" i="9" s="1"/>
  <c r="B955" i="9"/>
  <c r="A956" i="9"/>
  <c r="G956" i="9"/>
  <c r="H956" i="9"/>
  <c r="I956" i="9"/>
  <c r="J956" i="9"/>
  <c r="K956" i="9"/>
  <c r="M956" i="9"/>
  <c r="A957" i="9"/>
  <c r="B957" i="9" s="1"/>
  <c r="D957" i="9"/>
  <c r="H957" i="9"/>
  <c r="I957" i="9"/>
  <c r="A958" i="9"/>
  <c r="B958" i="9"/>
  <c r="C958" i="9"/>
  <c r="D958" i="9"/>
  <c r="E958" i="9"/>
  <c r="F958" i="9"/>
  <c r="G958" i="9"/>
  <c r="H958" i="9"/>
  <c r="I958" i="9"/>
  <c r="J958" i="9"/>
  <c r="K958" i="9"/>
  <c r="L958" i="9"/>
  <c r="M958" i="9"/>
  <c r="A959" i="9"/>
  <c r="B959" i="9" s="1"/>
  <c r="F959" i="9"/>
  <c r="G959" i="9"/>
  <c r="H959" i="9"/>
  <c r="L959" i="9"/>
  <c r="M959" i="9"/>
  <c r="A960" i="9"/>
  <c r="B960" i="9"/>
  <c r="C960" i="9"/>
  <c r="E960" i="9"/>
  <c r="F960" i="9"/>
  <c r="G960" i="9"/>
  <c r="H960" i="9"/>
  <c r="I960" i="9"/>
  <c r="A961" i="9"/>
  <c r="E961" i="9" s="1"/>
  <c r="B961" i="9"/>
  <c r="C961" i="9"/>
  <c r="D961" i="9"/>
  <c r="H961" i="9"/>
  <c r="I961" i="9"/>
  <c r="J961" i="9"/>
  <c r="K961" i="9" s="1"/>
  <c r="L961" i="9"/>
  <c r="A962" i="9"/>
  <c r="B962" i="9"/>
  <c r="C962" i="9"/>
  <c r="A963" i="9"/>
  <c r="B963" i="9" s="1"/>
  <c r="C963" i="9"/>
  <c r="D963" i="9"/>
  <c r="E963" i="9"/>
  <c r="F963" i="9"/>
  <c r="G963" i="9"/>
  <c r="H963" i="9"/>
  <c r="I963" i="9"/>
  <c r="J963" i="9"/>
  <c r="K963" i="9" s="1"/>
  <c r="A964" i="9"/>
  <c r="B964" i="9"/>
  <c r="C964" i="9"/>
  <c r="G964" i="9"/>
  <c r="H964" i="9"/>
  <c r="A965" i="9"/>
  <c r="B965" i="9"/>
  <c r="C965" i="9"/>
  <c r="D965" i="9"/>
  <c r="H965" i="9"/>
  <c r="I965" i="9"/>
  <c r="J965" i="9"/>
  <c r="K965" i="9" s="1"/>
  <c r="L965" i="9"/>
  <c r="A966" i="9"/>
  <c r="M966" i="9" s="1"/>
  <c r="C966" i="9"/>
  <c r="D966" i="9"/>
  <c r="E966" i="9"/>
  <c r="I966" i="9"/>
  <c r="J966" i="9"/>
  <c r="K966" i="9" s="1"/>
  <c r="L966" i="9"/>
  <c r="A967" i="9"/>
  <c r="B967" i="9"/>
  <c r="C967" i="9"/>
  <c r="D967" i="9"/>
  <c r="E967" i="9"/>
  <c r="F967" i="9"/>
  <c r="G967" i="9"/>
  <c r="H967" i="9"/>
  <c r="I967" i="9"/>
  <c r="J967" i="9"/>
  <c r="K967" i="9" s="1"/>
  <c r="L967" i="9"/>
  <c r="M967" i="9"/>
  <c r="A968" i="9"/>
  <c r="B968" i="9" s="1"/>
  <c r="C968" i="9"/>
  <c r="D968" i="9"/>
  <c r="E968" i="9"/>
  <c r="F968" i="9"/>
  <c r="I968" i="9"/>
  <c r="J968" i="9"/>
  <c r="K968" i="9" s="1"/>
  <c r="L968" i="9"/>
  <c r="M968" i="9"/>
  <c r="A969" i="9"/>
  <c r="B969" i="9"/>
  <c r="C969" i="9"/>
  <c r="G969" i="9"/>
  <c r="H969" i="9"/>
  <c r="I969" i="9"/>
  <c r="M969" i="9"/>
  <c r="A970" i="9"/>
  <c r="B970" i="9"/>
  <c r="C970" i="9"/>
  <c r="D970" i="9"/>
  <c r="E970" i="9"/>
  <c r="F970" i="9"/>
  <c r="G970" i="9"/>
  <c r="H970" i="9"/>
  <c r="I970" i="9"/>
  <c r="J970" i="9"/>
  <c r="K970" i="9" s="1"/>
  <c r="L970" i="9"/>
  <c r="M970" i="9"/>
  <c r="A971" i="9"/>
  <c r="B971" i="9"/>
  <c r="C971" i="9"/>
  <c r="G971" i="9"/>
  <c r="J971" i="9"/>
  <c r="K971" i="9"/>
  <c r="L971" i="9"/>
  <c r="M971" i="9"/>
  <c r="A972" i="9"/>
  <c r="M972" i="9" s="1"/>
  <c r="B972" i="9"/>
  <c r="C972" i="9"/>
  <c r="D972" i="9"/>
  <c r="E972" i="9"/>
  <c r="F972" i="9"/>
  <c r="G972" i="9"/>
  <c r="H972" i="9"/>
  <c r="I972" i="9"/>
  <c r="J972" i="9"/>
  <c r="K972" i="9" s="1"/>
  <c r="L972" i="9"/>
  <c r="A973" i="9"/>
  <c r="D973" i="9"/>
  <c r="E973" i="9"/>
  <c r="F973" i="9"/>
  <c r="G973" i="9"/>
  <c r="H973" i="9"/>
  <c r="I973" i="9"/>
  <c r="J973" i="9"/>
  <c r="K973" i="9" s="1"/>
  <c r="L973" i="9"/>
  <c r="M973" i="9"/>
  <c r="A974" i="9"/>
  <c r="B974" i="9"/>
  <c r="G974" i="9"/>
  <c r="H974" i="9"/>
  <c r="A975" i="9"/>
  <c r="A976" i="9"/>
  <c r="G976" i="9" s="1"/>
  <c r="B976" i="9"/>
  <c r="E976" i="9"/>
  <c r="F976" i="9"/>
  <c r="J976" i="9"/>
  <c r="K976" i="9" s="1"/>
  <c r="L976" i="9"/>
  <c r="M976" i="9"/>
  <c r="A977" i="9"/>
  <c r="C977" i="9" s="1"/>
  <c r="D977" i="9"/>
  <c r="E977" i="9"/>
  <c r="F977" i="9"/>
  <c r="G977" i="9"/>
  <c r="A978" i="9"/>
  <c r="B978" i="9"/>
  <c r="F978" i="9"/>
  <c r="G978" i="9"/>
  <c r="H978" i="9"/>
  <c r="I978" i="9"/>
  <c r="J978" i="9"/>
  <c r="K978" i="9" s="1"/>
  <c r="L978" i="9"/>
  <c r="M978" i="9"/>
  <c r="A979" i="9"/>
  <c r="B979" i="9" s="1"/>
  <c r="C979" i="9"/>
  <c r="I979" i="9"/>
  <c r="J979" i="9"/>
  <c r="K979" i="9"/>
  <c r="A980" i="9"/>
  <c r="L980" i="9" s="1"/>
  <c r="B980" i="9"/>
  <c r="C980" i="9"/>
  <c r="D980" i="9"/>
  <c r="E980" i="9"/>
  <c r="F980" i="9"/>
  <c r="G980" i="9"/>
  <c r="H980" i="9"/>
  <c r="I980" i="9"/>
  <c r="J980" i="9"/>
  <c r="K980" i="9" s="1"/>
  <c r="M980" i="9"/>
  <c r="A981" i="9"/>
  <c r="E981" i="9"/>
  <c r="F981" i="9"/>
  <c r="G981" i="9"/>
  <c r="L981" i="9"/>
  <c r="M981" i="9"/>
  <c r="A982" i="9"/>
  <c r="B982" i="9" s="1"/>
  <c r="D982" i="9"/>
  <c r="I982" i="9"/>
  <c r="A983" i="9"/>
  <c r="B983" i="9"/>
  <c r="C983" i="9"/>
  <c r="G983" i="9"/>
  <c r="H983" i="9"/>
  <c r="I983" i="9"/>
  <c r="J983" i="9"/>
  <c r="K983" i="9" s="1"/>
  <c r="A984" i="9"/>
  <c r="M984" i="9" s="1"/>
  <c r="B984" i="9"/>
  <c r="C984" i="9"/>
  <c r="D984" i="9"/>
  <c r="E984" i="9"/>
  <c r="F984" i="9"/>
  <c r="G984" i="9"/>
  <c r="H984" i="9"/>
  <c r="I984" i="9"/>
  <c r="J984" i="9"/>
  <c r="K984" i="9" s="1"/>
  <c r="L984" i="9"/>
  <c r="A985" i="9"/>
  <c r="B985" i="9"/>
  <c r="C985" i="9"/>
  <c r="D985" i="9"/>
  <c r="E985" i="9"/>
  <c r="H985" i="9"/>
  <c r="I985" i="9"/>
  <c r="J985" i="9"/>
  <c r="K985" i="9" s="1"/>
  <c r="L985" i="9"/>
  <c r="M985" i="9"/>
  <c r="A986" i="9"/>
  <c r="B986" i="9"/>
  <c r="F986" i="9"/>
  <c r="G986" i="9"/>
  <c r="H986" i="9"/>
  <c r="L986" i="9"/>
  <c r="A987" i="9"/>
  <c r="B987" i="9"/>
  <c r="C987" i="9"/>
  <c r="D987" i="9"/>
  <c r="E987" i="9"/>
  <c r="F987" i="9"/>
  <c r="G987" i="9"/>
  <c r="H987" i="9"/>
  <c r="I987" i="9"/>
  <c r="J987" i="9"/>
  <c r="K987" i="9" s="1"/>
  <c r="L987" i="9"/>
  <c r="M987" i="9"/>
  <c r="A988" i="9"/>
  <c r="B988" i="9" s="1"/>
  <c r="I988" i="9"/>
  <c r="J988" i="9"/>
  <c r="K988" i="9"/>
  <c r="L988" i="9"/>
  <c r="M988" i="9"/>
  <c r="A989" i="9"/>
  <c r="M989" i="9" s="1"/>
  <c r="B989" i="9"/>
  <c r="C989" i="9"/>
  <c r="D989" i="9"/>
  <c r="E989" i="9"/>
  <c r="F989" i="9"/>
  <c r="G989" i="9"/>
  <c r="H989" i="9"/>
  <c r="I989" i="9"/>
  <c r="J989" i="9"/>
  <c r="K989" i="9" s="1"/>
  <c r="L989" i="9"/>
  <c r="A990" i="9"/>
  <c r="B990" i="9"/>
  <c r="C990" i="9"/>
  <c r="D990" i="9"/>
  <c r="E990" i="9"/>
  <c r="F990" i="9"/>
  <c r="G990" i="9"/>
  <c r="H990" i="9"/>
  <c r="I990" i="9"/>
  <c r="J990" i="9"/>
  <c r="K990" i="9" s="1"/>
  <c r="L990" i="9"/>
  <c r="M990" i="9"/>
  <c r="A991" i="9"/>
  <c r="B991" i="9" s="1"/>
  <c r="D991" i="9"/>
  <c r="E991" i="9"/>
  <c r="F991" i="9"/>
  <c r="L991" i="9"/>
  <c r="M991" i="9"/>
  <c r="A992" i="9"/>
  <c r="E992" i="9" s="1"/>
  <c r="B992" i="9"/>
  <c r="C992" i="9"/>
  <c r="G992" i="9"/>
  <c r="H992" i="9"/>
  <c r="I992" i="9"/>
  <c r="M992" i="9"/>
  <c r="A993" i="9"/>
  <c r="D993" i="9" s="1"/>
  <c r="A994" i="9"/>
  <c r="C994" i="9" s="1"/>
  <c r="B994" i="9"/>
  <c r="D994" i="9"/>
  <c r="E994" i="9"/>
  <c r="L994" i="9"/>
  <c r="M994" i="9"/>
  <c r="A995" i="9"/>
  <c r="B995" i="9" s="1"/>
  <c r="C995" i="9"/>
  <c r="D995" i="9"/>
  <c r="E995" i="9"/>
  <c r="F995" i="9"/>
  <c r="G995" i="9"/>
  <c r="H995" i="9"/>
  <c r="I995" i="9"/>
  <c r="J995" i="9"/>
  <c r="K995" i="9" s="1"/>
  <c r="L995" i="9"/>
  <c r="M995" i="9"/>
  <c r="A996" i="9"/>
  <c r="H996" i="9" s="1"/>
  <c r="G996" i="9"/>
  <c r="I996" i="9"/>
  <c r="M996" i="9"/>
  <c r="A997" i="9"/>
  <c r="B997" i="9"/>
  <c r="C997" i="9"/>
  <c r="A998" i="9"/>
  <c r="B998" i="9" s="1"/>
  <c r="C998" i="9"/>
  <c r="D998" i="9"/>
  <c r="E998" i="9"/>
  <c r="I998" i="9"/>
  <c r="J998" i="9"/>
  <c r="K998" i="9" s="1"/>
  <c r="L998" i="9"/>
  <c r="M998" i="9"/>
  <c r="A999" i="9"/>
  <c r="B999" i="9"/>
  <c r="C999" i="9"/>
  <c r="F999" i="9"/>
  <c r="G999" i="9"/>
  <c r="H999" i="9"/>
  <c r="I999" i="9"/>
  <c r="J999" i="9"/>
  <c r="K999" i="9" s="1"/>
  <c r="L999" i="9"/>
  <c r="M999" i="9"/>
  <c r="A1000" i="9"/>
  <c r="E1000" i="9" s="1"/>
  <c r="A1001" i="9"/>
  <c r="C1001" i="9" s="1"/>
  <c r="B1001" i="9"/>
  <c r="D1001" i="9"/>
  <c r="H1001" i="9"/>
  <c r="I1001" i="9"/>
  <c r="J1001" i="9"/>
  <c r="K1001" i="9" s="1"/>
  <c r="A1002" i="9"/>
  <c r="B1002" i="9"/>
  <c r="C1002" i="9"/>
  <c r="D1002" i="9"/>
  <c r="G1002" i="9"/>
  <c r="A1003" i="9"/>
  <c r="B1003" i="9" s="1"/>
  <c r="D1003" i="9"/>
  <c r="E1003" i="9"/>
  <c r="F1003" i="9"/>
  <c r="J1003" i="9"/>
  <c r="K1003" i="9" s="1"/>
  <c r="A1004" i="9"/>
  <c r="B1004" i="9" s="1"/>
  <c r="C1004" i="9"/>
  <c r="E1004" i="9"/>
  <c r="F1004" i="9"/>
  <c r="G1004" i="9"/>
  <c r="H1004" i="9"/>
  <c r="I1004" i="9"/>
  <c r="M1004" i="9"/>
  <c r="A1005" i="9"/>
  <c r="A1006" i="9"/>
  <c r="D1006" i="9" s="1"/>
  <c r="B1006" i="9"/>
  <c r="C1006" i="9"/>
  <c r="E1006" i="9"/>
  <c r="F1006" i="9"/>
  <c r="I1006" i="9"/>
  <c r="J1006" i="9"/>
  <c r="K1006" i="9" s="1"/>
  <c r="A1007" i="9"/>
  <c r="B1007" i="9"/>
  <c r="C1007" i="9"/>
  <c r="D1007" i="9"/>
  <c r="E1007" i="9"/>
  <c r="F1007" i="9"/>
  <c r="G1007" i="9"/>
  <c r="H1007" i="9"/>
  <c r="I1007" i="9"/>
  <c r="J1007" i="9"/>
  <c r="K1007" i="9" s="1"/>
  <c r="L1007" i="9"/>
  <c r="M1007" i="9"/>
  <c r="A1008" i="9"/>
  <c r="A1009" i="9"/>
  <c r="B1009" i="9" s="1"/>
  <c r="F1009" i="9"/>
  <c r="G1009" i="9"/>
  <c r="H1009" i="9"/>
  <c r="I1009" i="9"/>
  <c r="A1010" i="9"/>
  <c r="B1010" i="9"/>
  <c r="C1010" i="9"/>
  <c r="D1010" i="9"/>
  <c r="E1010" i="9"/>
  <c r="F1010" i="9"/>
  <c r="G1010" i="9"/>
  <c r="H1010" i="9"/>
  <c r="I1010" i="9"/>
  <c r="J1010" i="9"/>
  <c r="K1010" i="9" s="1"/>
  <c r="L1010" i="9"/>
  <c r="M1010" i="9"/>
  <c r="A1011" i="9"/>
  <c r="B1011" i="9" s="1"/>
  <c r="G1011" i="9"/>
  <c r="J1011" i="9"/>
  <c r="K1011" i="9" s="1"/>
  <c r="A1012" i="9"/>
  <c r="B1012" i="9"/>
  <c r="C1012" i="9"/>
  <c r="D1012" i="9"/>
  <c r="E1012" i="9"/>
  <c r="F1012" i="9"/>
  <c r="G1012" i="9"/>
  <c r="H1012" i="9"/>
  <c r="I1012" i="9"/>
  <c r="J1012" i="9"/>
  <c r="K1012" i="9" s="1"/>
  <c r="L1012" i="9"/>
  <c r="M1012" i="9"/>
  <c r="A1013" i="9"/>
  <c r="B1013" i="9" s="1"/>
  <c r="D1013" i="9"/>
  <c r="E1013" i="9"/>
  <c r="F1013" i="9"/>
  <c r="J1013" i="9"/>
  <c r="K1013" i="9"/>
  <c r="L1013" i="9"/>
  <c r="M1013" i="9"/>
  <c r="A1014" i="9"/>
  <c r="C1014" i="9"/>
  <c r="D1014" i="9"/>
  <c r="E1014" i="9"/>
  <c r="F1014" i="9"/>
  <c r="G1014" i="9"/>
  <c r="H1014" i="9"/>
  <c r="L1014" i="9"/>
  <c r="M1014" i="9"/>
  <c r="A1015" i="9"/>
  <c r="E1015" i="9"/>
  <c r="F1015" i="9"/>
  <c r="G1015" i="9"/>
  <c r="H1015" i="9"/>
  <c r="I1015" i="9"/>
  <c r="L1015" i="9"/>
  <c r="M1015" i="9"/>
  <c r="A1016" i="9"/>
  <c r="B1016" i="9"/>
  <c r="D1016" i="9"/>
  <c r="G1016" i="9"/>
  <c r="H1016" i="9"/>
  <c r="I1016" i="9"/>
  <c r="M1016" i="9"/>
  <c r="A1017" i="9"/>
  <c r="B1017" i="9"/>
  <c r="C1017" i="9"/>
  <c r="D1017" i="9"/>
  <c r="F1017" i="9"/>
  <c r="G1017" i="9"/>
  <c r="H1017" i="9"/>
  <c r="I1017" i="9"/>
  <c r="L1017" i="9"/>
  <c r="A1018" i="9"/>
  <c r="E1018" i="9" s="1"/>
  <c r="B1018" i="9"/>
  <c r="C1018" i="9"/>
  <c r="D1018" i="9"/>
  <c r="H1018" i="9"/>
  <c r="I1018" i="9"/>
  <c r="J1018" i="9"/>
  <c r="K1018" i="9" s="1"/>
  <c r="L1018" i="9"/>
  <c r="A1019" i="9"/>
  <c r="C1019" i="9" s="1"/>
  <c r="G1019" i="9"/>
  <c r="A1020" i="9"/>
  <c r="B1020" i="9"/>
  <c r="C1020" i="9"/>
  <c r="D1020" i="9"/>
  <c r="E1020" i="9"/>
  <c r="F1020" i="9"/>
  <c r="G1020" i="9"/>
  <c r="H1020" i="9"/>
  <c r="I1020" i="9"/>
  <c r="J1020" i="9"/>
  <c r="K1020" i="9" s="1"/>
  <c r="L1020" i="9"/>
  <c r="M1020" i="9"/>
  <c r="A1021" i="9"/>
  <c r="B1021" i="9"/>
  <c r="E1021" i="9"/>
  <c r="F1021" i="9"/>
  <c r="G1021" i="9"/>
  <c r="L1021" i="9"/>
  <c r="M1021" i="9"/>
  <c r="A1022" i="9"/>
  <c r="F1022" i="9" s="1"/>
  <c r="B1022" i="9"/>
  <c r="D1022" i="9"/>
  <c r="A1023" i="9"/>
  <c r="G1023" i="9" s="1"/>
  <c r="B1023" i="9"/>
  <c r="F1023" i="9"/>
  <c r="H1023" i="9"/>
  <c r="I1023" i="9"/>
  <c r="J1023" i="9"/>
  <c r="K1023" i="9" s="1"/>
  <c r="M1023" i="9"/>
  <c r="A1024" i="9"/>
  <c r="B1024" i="9"/>
  <c r="C1024" i="9"/>
  <c r="D1024" i="9"/>
  <c r="A1025" i="9"/>
  <c r="B1025" i="9"/>
  <c r="C1025" i="9"/>
  <c r="D1025" i="9"/>
  <c r="E1025" i="9"/>
  <c r="H1025" i="9"/>
  <c r="I1025" i="9"/>
  <c r="J1025" i="9"/>
  <c r="K1025" i="9" s="1"/>
  <c r="L1025" i="9"/>
  <c r="M1025" i="9"/>
  <c r="A1026" i="9"/>
  <c r="D1026" i="9"/>
  <c r="I1026" i="9"/>
  <c r="J1026" i="9"/>
  <c r="K1026" i="9" s="1"/>
  <c r="A1027" i="9"/>
  <c r="I1027" i="9"/>
  <c r="L1027" i="9"/>
  <c r="M1027" i="9"/>
  <c r="A1028" i="9"/>
  <c r="G1028" i="9" s="1"/>
  <c r="C1028" i="9"/>
  <c r="D1028" i="9"/>
  <c r="E1028" i="9"/>
  <c r="F1028" i="9"/>
  <c r="H1028" i="9"/>
  <c r="I1028" i="9"/>
  <c r="J1028" i="9"/>
  <c r="K1028" i="9" s="1"/>
  <c r="L1028" i="9"/>
  <c r="M1028" i="9"/>
  <c r="A1029" i="9"/>
  <c r="B1029" i="9"/>
  <c r="C1029" i="9"/>
  <c r="D1029" i="9"/>
  <c r="F1029" i="9"/>
  <c r="G1029" i="9"/>
  <c r="H1029" i="9"/>
  <c r="L1029" i="9"/>
  <c r="M1029" i="9"/>
  <c r="A1030" i="9"/>
  <c r="B1030" i="9"/>
  <c r="C1030" i="9"/>
  <c r="D1030" i="9"/>
  <c r="E1030" i="9"/>
  <c r="F1030" i="9"/>
  <c r="G1030" i="9"/>
  <c r="H1030" i="9"/>
  <c r="I1030" i="9"/>
  <c r="J1030" i="9"/>
  <c r="K1030" i="9" s="1"/>
  <c r="L1030" i="9"/>
  <c r="M1030" i="9"/>
  <c r="A1031" i="9"/>
  <c r="I1031" i="9" s="1"/>
  <c r="B1031" i="9"/>
  <c r="F1031" i="9"/>
  <c r="G1031" i="9"/>
  <c r="J1031" i="9"/>
  <c r="K1031" i="9"/>
  <c r="M1031" i="9"/>
  <c r="A1032" i="9"/>
  <c r="B1032" i="9" s="1"/>
  <c r="D1032" i="9"/>
  <c r="E1032" i="9"/>
  <c r="F1032" i="9"/>
  <c r="H1032" i="9"/>
  <c r="I1032" i="9"/>
  <c r="J1032" i="9"/>
  <c r="K1032" i="9" s="1"/>
  <c r="A1033" i="9"/>
  <c r="C1033" i="9"/>
  <c r="D1033" i="9"/>
  <c r="E1033" i="9"/>
  <c r="F1033" i="9"/>
  <c r="H1033" i="9"/>
  <c r="I1033" i="9"/>
  <c r="J1033" i="9"/>
  <c r="K1033" i="9" s="1"/>
  <c r="L1033" i="9"/>
  <c r="M1033" i="9"/>
  <c r="A1034" i="9"/>
  <c r="C1034" i="9" s="1"/>
  <c r="E1034" i="9"/>
  <c r="I1034" i="9"/>
  <c r="J1034" i="9"/>
  <c r="K1034" i="9" s="1"/>
  <c r="L1034" i="9"/>
  <c r="M1034" i="9"/>
  <c r="A1035" i="9"/>
  <c r="M1035" i="9" s="1"/>
  <c r="B1035" i="9"/>
  <c r="C1035" i="9"/>
  <c r="D1035" i="9"/>
  <c r="E1035" i="9"/>
  <c r="F1035" i="9"/>
  <c r="G1035" i="9"/>
  <c r="H1035" i="9"/>
  <c r="I1035" i="9"/>
  <c r="J1035" i="9"/>
  <c r="K1035" i="9"/>
  <c r="L1035" i="9"/>
  <c r="A1036" i="9"/>
  <c r="B1036" i="9"/>
  <c r="C1036" i="9"/>
  <c r="D1036" i="9"/>
  <c r="E1036" i="9"/>
  <c r="F1036" i="9"/>
  <c r="G1036" i="9"/>
  <c r="H1036" i="9"/>
  <c r="I1036" i="9"/>
  <c r="J1036" i="9"/>
  <c r="K1036" i="9" s="1"/>
  <c r="L1036" i="9"/>
  <c r="M1036" i="9"/>
  <c r="A1037" i="9"/>
  <c r="A1038" i="9"/>
  <c r="C1038" i="9" s="1"/>
  <c r="D1038" i="9"/>
  <c r="L1038" i="9"/>
  <c r="M1038" i="9"/>
  <c r="A1039" i="9"/>
  <c r="B1039" i="9" s="1"/>
  <c r="C1039" i="9"/>
  <c r="D1039" i="9"/>
  <c r="E1039" i="9"/>
  <c r="F1039" i="9"/>
  <c r="G1039" i="9"/>
  <c r="H1039" i="9"/>
  <c r="I1039" i="9"/>
  <c r="J1039" i="9"/>
  <c r="K1039" i="9" s="1"/>
  <c r="L1039" i="9"/>
  <c r="M1039" i="9"/>
  <c r="A1040" i="9"/>
  <c r="G1040" i="9"/>
  <c r="M1040" i="9"/>
  <c r="A1041" i="9"/>
  <c r="B1041" i="9"/>
  <c r="D1041" i="9"/>
  <c r="E1041" i="9"/>
  <c r="F1041" i="9"/>
  <c r="G1041" i="9"/>
  <c r="H1041" i="9"/>
  <c r="I1041" i="9"/>
  <c r="J1041" i="9"/>
  <c r="K1041" i="9" s="1"/>
  <c r="A1042" i="9"/>
  <c r="E1042" i="9"/>
  <c r="F1042" i="9"/>
  <c r="G1042" i="9"/>
  <c r="H1042" i="9"/>
  <c r="I1042" i="9"/>
  <c r="L1042" i="9"/>
  <c r="M1042" i="9"/>
  <c r="A1043" i="9"/>
  <c r="B1043" i="9" s="1"/>
  <c r="E1043" i="9"/>
  <c r="G1043" i="9"/>
  <c r="H1043" i="9"/>
  <c r="L1043" i="9"/>
  <c r="A1044" i="9"/>
  <c r="D1044" i="9" s="1"/>
  <c r="B1044" i="9"/>
  <c r="C1044" i="9"/>
  <c r="E1044" i="9"/>
  <c r="F1044" i="9"/>
  <c r="G1044" i="9"/>
  <c r="H1044" i="9"/>
  <c r="I1044" i="9"/>
  <c r="J1044" i="9"/>
  <c r="K1044" i="9" s="1"/>
  <c r="L1044" i="9"/>
  <c r="M1044" i="9"/>
  <c r="A1045" i="9"/>
  <c r="F1045" i="9" s="1"/>
  <c r="H1045" i="9"/>
  <c r="J1045" i="9"/>
  <c r="K1045" i="9" s="1"/>
  <c r="A1046" i="9"/>
  <c r="B1046" i="9"/>
  <c r="C1046" i="9"/>
  <c r="D1046" i="9"/>
  <c r="E1046" i="9"/>
  <c r="F1046" i="9"/>
  <c r="G1046" i="9"/>
  <c r="H1046" i="9"/>
  <c r="I1046" i="9"/>
  <c r="M1046" i="9"/>
  <c r="A1047" i="9"/>
  <c r="J1047" i="9"/>
  <c r="K1047" i="9" s="1"/>
  <c r="A1048" i="9"/>
  <c r="H1048" i="9" s="1"/>
  <c r="B1048" i="9"/>
  <c r="C1048" i="9"/>
  <c r="G1048" i="9"/>
  <c r="I1048" i="9"/>
  <c r="J1048" i="9"/>
  <c r="K1048" i="9" s="1"/>
  <c r="M1048" i="9"/>
  <c r="A1049" i="9"/>
  <c r="B1049" i="9"/>
  <c r="C1049" i="9"/>
  <c r="D1049" i="9"/>
  <c r="E1049" i="9"/>
  <c r="F1049" i="9"/>
  <c r="G1049" i="9"/>
  <c r="H1049" i="9"/>
  <c r="A1050" i="9"/>
  <c r="F1050" i="9" s="1"/>
  <c r="B1050" i="9"/>
  <c r="C1050" i="9"/>
  <c r="D1050" i="9"/>
  <c r="E1050" i="9"/>
  <c r="G1050" i="9"/>
  <c r="H1050" i="9"/>
  <c r="I1050" i="9"/>
  <c r="J1050" i="9"/>
  <c r="K1050" i="9" s="1"/>
  <c r="L1050" i="9"/>
  <c r="M1050" i="9"/>
  <c r="A1051" i="9"/>
  <c r="B1051" i="9"/>
  <c r="C1051" i="9"/>
  <c r="D1051" i="9"/>
  <c r="H1051" i="9"/>
  <c r="I1051" i="9"/>
  <c r="A1052" i="9"/>
  <c r="E1052" i="9" s="1"/>
  <c r="B1052" i="9"/>
  <c r="C1052" i="9"/>
  <c r="D1052" i="9"/>
  <c r="F1052" i="9"/>
  <c r="G1052" i="9"/>
  <c r="H1052" i="9"/>
  <c r="I1052" i="9"/>
  <c r="J1052" i="9"/>
  <c r="K1052" i="9" s="1"/>
  <c r="A1053" i="9"/>
  <c r="B1053" i="9"/>
  <c r="C1053" i="9"/>
  <c r="D1053" i="9"/>
  <c r="E1053" i="9"/>
  <c r="F1053" i="9"/>
  <c r="G1053" i="9"/>
  <c r="H1053" i="9"/>
  <c r="I1053" i="9"/>
  <c r="J1053" i="9"/>
  <c r="K1053" i="9" s="1"/>
  <c r="L1053" i="9"/>
  <c r="M1053" i="9"/>
  <c r="A1054" i="9"/>
  <c r="B1054" i="9"/>
  <c r="C1054" i="9"/>
  <c r="D1054" i="9"/>
  <c r="E1054" i="9"/>
  <c r="I1054" i="9"/>
  <c r="J1054" i="9"/>
  <c r="K1054" i="9"/>
  <c r="L1054" i="9"/>
  <c r="M1054" i="9"/>
  <c r="A1055" i="9"/>
  <c r="M1055" i="9" s="1"/>
  <c r="B1055" i="9"/>
  <c r="C1055" i="9"/>
  <c r="D1055" i="9"/>
  <c r="E1055" i="9"/>
  <c r="F1055" i="9"/>
  <c r="G1055" i="9"/>
  <c r="H1055" i="9"/>
  <c r="I1055" i="9"/>
  <c r="J1055" i="9"/>
  <c r="K1055" i="9" s="1"/>
  <c r="L1055" i="9"/>
  <c r="A1056" i="9"/>
  <c r="B1056" i="9"/>
  <c r="C1056" i="9"/>
  <c r="D1056" i="9"/>
  <c r="E1056" i="9"/>
  <c r="F1056" i="9"/>
  <c r="G1056" i="9"/>
  <c r="H1056" i="9"/>
  <c r="I1056" i="9"/>
  <c r="J1056" i="9"/>
  <c r="K1056" i="9" s="1"/>
  <c r="L1056" i="9"/>
  <c r="M1056" i="9"/>
  <c r="A1057" i="9"/>
  <c r="B1057" i="9"/>
  <c r="C1057" i="9"/>
  <c r="D1057" i="9"/>
  <c r="E1057" i="9"/>
  <c r="F1057" i="9"/>
  <c r="J1057" i="9"/>
  <c r="K1057" i="9" s="1"/>
  <c r="L1057" i="9"/>
  <c r="M1057" i="9"/>
  <c r="A1058" i="9"/>
  <c r="C1058" i="9"/>
  <c r="D1058" i="9"/>
  <c r="E1058" i="9"/>
  <c r="F1058" i="9"/>
  <c r="G1058" i="9"/>
  <c r="H1058" i="9"/>
  <c r="I1058" i="9"/>
  <c r="A1059" i="9"/>
  <c r="B1059" i="9" s="1"/>
  <c r="C1059" i="9"/>
  <c r="D1059" i="9"/>
  <c r="E1059" i="9"/>
  <c r="F1059" i="9"/>
  <c r="G1059" i="9"/>
  <c r="H1059" i="9"/>
  <c r="I1059" i="9"/>
  <c r="J1059" i="9"/>
  <c r="K1059" i="9" s="1"/>
  <c r="L1059" i="9"/>
  <c r="M1059" i="9"/>
  <c r="A1060" i="9"/>
  <c r="B1060" i="9"/>
  <c r="C1060" i="9"/>
  <c r="D1060" i="9"/>
  <c r="L1060" i="9"/>
  <c r="M1060" i="9"/>
  <c r="A1061" i="9"/>
  <c r="D1061" i="9" s="1"/>
  <c r="E1061" i="9"/>
  <c r="F1061" i="9"/>
  <c r="G1061" i="9"/>
  <c r="H1061" i="9"/>
  <c r="I1061" i="9"/>
  <c r="J1061" i="9"/>
  <c r="K1061" i="9" s="1"/>
  <c r="L1061" i="9"/>
  <c r="M1061" i="9"/>
  <c r="A1062" i="9"/>
  <c r="E1062" i="9"/>
  <c r="A1063" i="9"/>
  <c r="B1063" i="9"/>
  <c r="C1063" i="9"/>
  <c r="D1063" i="9"/>
  <c r="E1063" i="9"/>
  <c r="F1063" i="9"/>
  <c r="G1063" i="9"/>
  <c r="H1063" i="9"/>
  <c r="L1063" i="9"/>
  <c r="M1063" i="9"/>
  <c r="A1064" i="9"/>
  <c r="B1064" i="9"/>
  <c r="C1064" i="9"/>
  <c r="I1064" i="9"/>
  <c r="J1064" i="9"/>
  <c r="K1064" i="9" s="1"/>
  <c r="M1064" i="9"/>
  <c r="A1065" i="9"/>
  <c r="A1066" i="9"/>
  <c r="B1066" i="9"/>
  <c r="G1066" i="9"/>
  <c r="H1066" i="9"/>
  <c r="I1066" i="9"/>
  <c r="A1067" i="9"/>
  <c r="C1067" i="9" s="1"/>
  <c r="B1067" i="9"/>
  <c r="D1067" i="9"/>
  <c r="G1067" i="9"/>
  <c r="A1068" i="9"/>
  <c r="B1068" i="9"/>
  <c r="C1068" i="9"/>
  <c r="G1068" i="9"/>
  <c r="H1068" i="9"/>
  <c r="I1068" i="9"/>
  <c r="J1068" i="9"/>
  <c r="K1068" i="9" s="1"/>
  <c r="M1068" i="9"/>
  <c r="A1069" i="9"/>
  <c r="A1070" i="9"/>
  <c r="I1070" i="9" s="1"/>
  <c r="G1070" i="9"/>
  <c r="H1070" i="9"/>
  <c r="L1070" i="9"/>
  <c r="M1070" i="9"/>
  <c r="A1071" i="9"/>
  <c r="B1071" i="9"/>
  <c r="C1071" i="9"/>
  <c r="D1071" i="9"/>
  <c r="H1071" i="9"/>
  <c r="I1071" i="9"/>
  <c r="J1071" i="9"/>
  <c r="K1071" i="9" s="1"/>
  <c r="L1071" i="9"/>
  <c r="A1072" i="9"/>
  <c r="B1072" i="9"/>
  <c r="C1072" i="9"/>
  <c r="D1072" i="9"/>
  <c r="E1072" i="9"/>
  <c r="F1072" i="9"/>
  <c r="G1072" i="9"/>
  <c r="H1072" i="9"/>
  <c r="I1072" i="9"/>
  <c r="J1072" i="9"/>
  <c r="K1072" i="9" s="1"/>
  <c r="A1073" i="9"/>
  <c r="B1073" i="9"/>
  <c r="C1073" i="9"/>
  <c r="D1073" i="9"/>
  <c r="E1073" i="9"/>
  <c r="F1073" i="9"/>
  <c r="G1073" i="9"/>
  <c r="H1073" i="9"/>
  <c r="I1073" i="9"/>
  <c r="J1073" i="9"/>
  <c r="K1073" i="9"/>
  <c r="L1073" i="9"/>
  <c r="M1073" i="9"/>
  <c r="A1074" i="9"/>
  <c r="E1074" i="9" s="1"/>
  <c r="B1074" i="9"/>
  <c r="C1074" i="9"/>
  <c r="J1074" i="9"/>
  <c r="K1074" i="9" s="1"/>
  <c r="L1074" i="9"/>
  <c r="M1074" i="9"/>
  <c r="A1075" i="9"/>
  <c r="M1075" i="9" s="1"/>
  <c r="B1075" i="9"/>
  <c r="C1075" i="9"/>
  <c r="D1075" i="9"/>
  <c r="E1075" i="9"/>
  <c r="F1075" i="9"/>
  <c r="G1075" i="9"/>
  <c r="H1075" i="9"/>
  <c r="I1075" i="9"/>
  <c r="J1075" i="9"/>
  <c r="K1075" i="9"/>
  <c r="L1075" i="9"/>
  <c r="A1076" i="9"/>
  <c r="B1076" i="9"/>
  <c r="C1076" i="9"/>
  <c r="D1076" i="9"/>
  <c r="E1076" i="9"/>
  <c r="F1076" i="9"/>
  <c r="G1076" i="9"/>
  <c r="H1076" i="9"/>
  <c r="I1076" i="9"/>
  <c r="J1076" i="9"/>
  <c r="K1076" i="9" s="1"/>
  <c r="L1076" i="9"/>
  <c r="M1076" i="9"/>
  <c r="A1077" i="9"/>
  <c r="E1077" i="9"/>
  <c r="A1078" i="9"/>
  <c r="E1078" i="9" s="1"/>
  <c r="C1078" i="9"/>
  <c r="D1078" i="9"/>
  <c r="G1078" i="9"/>
  <c r="H1078" i="9"/>
  <c r="I1078" i="9"/>
  <c r="J1078" i="9"/>
  <c r="K1078" i="9" s="1"/>
  <c r="L1078" i="9"/>
  <c r="A1079" i="9"/>
  <c r="B1079" i="9" s="1"/>
  <c r="C1079" i="9"/>
  <c r="D1079" i="9"/>
  <c r="E1079" i="9"/>
  <c r="F1079" i="9"/>
  <c r="G1079" i="9"/>
  <c r="H1079" i="9"/>
  <c r="I1079" i="9"/>
  <c r="J1079" i="9"/>
  <c r="K1079" i="9" s="1"/>
  <c r="L1079" i="9"/>
  <c r="M1079" i="9"/>
  <c r="A1080" i="9"/>
  <c r="B1080" i="9" s="1"/>
  <c r="C1080" i="9"/>
  <c r="D1080" i="9"/>
  <c r="E1080" i="9"/>
  <c r="F1080" i="9"/>
  <c r="G1080" i="9"/>
  <c r="A1081" i="9"/>
  <c r="D1081" i="9" s="1"/>
  <c r="B1081" i="9"/>
  <c r="E1081" i="9"/>
  <c r="I1081" i="9"/>
  <c r="A1082" i="9"/>
  <c r="F1082" i="9" s="1"/>
  <c r="E1082" i="9"/>
  <c r="H1082" i="9"/>
  <c r="M1082" i="9"/>
  <c r="A1083" i="9"/>
  <c r="C1083" i="9"/>
  <c r="E1083" i="9"/>
  <c r="F1083" i="9"/>
  <c r="G1083" i="9"/>
  <c r="H1083" i="9"/>
  <c r="A1084" i="9"/>
  <c r="A1085" i="9"/>
  <c r="F1085" i="9" s="1"/>
  <c r="G1085" i="9"/>
  <c r="J1085" i="9"/>
  <c r="K1085" i="9" s="1"/>
  <c r="L1085" i="9"/>
  <c r="M1085" i="9"/>
  <c r="A1086" i="9"/>
  <c r="A1087" i="9"/>
  <c r="F1087" i="9" s="1"/>
  <c r="B1087" i="9"/>
  <c r="D1087" i="9"/>
  <c r="H1087" i="9"/>
  <c r="I1087" i="9"/>
  <c r="J1087" i="9"/>
  <c r="K1087" i="9" s="1"/>
  <c r="L1087" i="9"/>
  <c r="M1087" i="9"/>
  <c r="A1088" i="9"/>
  <c r="B1088" i="9"/>
  <c r="C1088" i="9"/>
  <c r="J1088" i="9"/>
  <c r="K1088" i="9" s="1"/>
  <c r="M1088" i="9"/>
  <c r="A1089" i="9"/>
  <c r="C1089" i="9"/>
  <c r="D1089" i="9"/>
  <c r="E1089" i="9"/>
  <c r="F1089" i="9"/>
  <c r="G1089" i="9"/>
  <c r="H1089" i="9"/>
  <c r="I1089" i="9"/>
  <c r="J1089" i="9"/>
  <c r="K1089" i="9" s="1"/>
  <c r="A1090" i="9"/>
  <c r="A1091" i="9"/>
  <c r="B1091" i="9"/>
  <c r="C1091" i="9"/>
  <c r="A1092" i="9"/>
  <c r="B1092" i="9" s="1"/>
  <c r="C1092" i="9"/>
  <c r="G1092" i="9"/>
  <c r="H1092" i="9"/>
  <c r="I1092" i="9"/>
  <c r="J1092" i="9"/>
  <c r="K1092" i="9" s="1"/>
  <c r="A1093" i="9"/>
  <c r="B1093" i="9"/>
  <c r="C1093" i="9"/>
  <c r="D1093" i="9"/>
  <c r="E1093" i="9"/>
  <c r="F1093" i="9"/>
  <c r="G1093" i="9"/>
  <c r="H1093" i="9"/>
  <c r="I1093" i="9"/>
  <c r="J1093" i="9"/>
  <c r="K1093" i="9" s="1"/>
  <c r="L1093" i="9"/>
  <c r="M1093" i="9"/>
  <c r="A1094" i="9"/>
  <c r="B1094" i="9"/>
  <c r="C1094" i="9"/>
  <c r="D1094" i="9"/>
  <c r="E1094" i="9"/>
  <c r="I1094" i="9"/>
  <c r="J1094" i="9"/>
  <c r="K1094" i="9" s="1"/>
  <c r="L1094" i="9"/>
  <c r="M1094" i="9"/>
  <c r="A1095" i="9"/>
  <c r="M1095" i="9" s="1"/>
  <c r="B1095" i="9"/>
  <c r="C1095" i="9"/>
  <c r="D1095" i="9"/>
  <c r="E1095" i="9"/>
  <c r="F1095" i="9"/>
  <c r="G1095" i="9"/>
  <c r="H1095" i="9"/>
  <c r="I1095" i="9"/>
  <c r="J1095" i="9"/>
  <c r="K1095" i="9"/>
  <c r="L1095" i="9"/>
  <c r="A1096" i="9"/>
  <c r="B1096" i="9"/>
  <c r="C1096" i="9"/>
  <c r="D1096" i="9"/>
  <c r="E1096" i="9"/>
  <c r="F1096" i="9"/>
  <c r="G1096" i="9"/>
  <c r="H1096" i="9"/>
  <c r="I1096" i="9"/>
  <c r="J1096" i="9"/>
  <c r="K1096" i="9"/>
  <c r="L1096" i="9"/>
  <c r="M1096" i="9"/>
  <c r="A1097" i="9"/>
  <c r="B1097" i="9" s="1"/>
  <c r="C1097" i="9"/>
  <c r="D1097" i="9"/>
  <c r="L1097" i="9"/>
  <c r="A1098" i="9"/>
  <c r="D1098" i="9" s="1"/>
  <c r="E1098" i="9"/>
  <c r="F1098" i="9"/>
  <c r="G1098" i="9"/>
  <c r="H1098" i="9"/>
  <c r="J1098" i="9"/>
  <c r="K1098" i="9" s="1"/>
  <c r="L1098" i="9"/>
  <c r="M1098" i="9"/>
  <c r="A1099" i="9"/>
  <c r="B1099" i="9" s="1"/>
  <c r="C1099" i="9"/>
  <c r="D1099" i="9"/>
  <c r="E1099" i="9"/>
  <c r="F1099" i="9"/>
  <c r="G1099" i="9"/>
  <c r="H1099" i="9"/>
  <c r="I1099" i="9"/>
  <c r="J1099" i="9"/>
  <c r="K1099" i="9" s="1"/>
  <c r="L1099" i="9"/>
  <c r="M1099" i="9"/>
  <c r="A1100" i="9"/>
  <c r="B1100" i="9"/>
  <c r="C1100" i="9"/>
  <c r="D1100" i="9"/>
  <c r="F1100" i="9"/>
  <c r="G1100" i="9"/>
  <c r="L1100" i="9"/>
  <c r="M1100" i="9"/>
  <c r="A1101" i="9"/>
  <c r="B1101" i="9"/>
  <c r="C1101" i="9"/>
  <c r="D1101" i="9"/>
  <c r="E1101" i="9"/>
  <c r="F1101" i="9"/>
  <c r="G1101" i="9"/>
  <c r="H1101" i="9"/>
  <c r="I1101" i="9"/>
  <c r="J1101" i="9"/>
  <c r="K1101" i="9"/>
  <c r="L1101" i="9"/>
  <c r="M1101" i="9"/>
  <c r="A1102" i="9"/>
  <c r="G1102" i="9" s="1"/>
  <c r="F1102" i="9"/>
  <c r="H1102" i="9"/>
  <c r="I1102" i="9"/>
  <c r="J1102" i="9"/>
  <c r="K1102" i="9" s="1"/>
  <c r="A1103" i="9"/>
  <c r="B1103" i="9"/>
  <c r="C1103" i="9"/>
  <c r="D1103" i="9"/>
  <c r="F1103" i="9"/>
  <c r="G1103" i="9"/>
  <c r="H1103" i="9"/>
  <c r="L1103" i="9"/>
  <c r="M1103" i="9"/>
  <c r="A1104" i="9"/>
  <c r="B1104" i="9"/>
  <c r="C1104" i="9"/>
  <c r="D1104" i="9"/>
  <c r="E1104" i="9"/>
  <c r="G1104" i="9"/>
  <c r="L1104" i="9"/>
  <c r="M1104" i="9"/>
  <c r="A1105" i="9"/>
  <c r="A1106" i="9"/>
  <c r="C1106" i="9" s="1"/>
  <c r="B1106" i="9"/>
  <c r="I1106" i="9"/>
  <c r="A1107" i="9"/>
  <c r="C1107" i="9"/>
  <c r="D1107" i="9"/>
  <c r="E1107" i="9"/>
  <c r="F1107" i="9"/>
  <c r="A1108" i="9"/>
  <c r="H1108" i="9"/>
  <c r="I1108" i="9"/>
  <c r="J1108" i="9"/>
  <c r="K1108" i="9"/>
  <c r="M1108" i="9"/>
  <c r="A1109" i="9"/>
  <c r="B1109" i="9"/>
  <c r="A1110" i="9"/>
  <c r="G1110" i="9" s="1"/>
  <c r="E1110" i="9"/>
  <c r="F1110" i="9"/>
  <c r="J1110" i="9"/>
  <c r="K1110" i="9" s="1"/>
  <c r="L1110" i="9"/>
  <c r="M1110" i="9"/>
  <c r="A1111" i="9"/>
  <c r="B1111" i="9" s="1"/>
  <c r="H1111" i="9"/>
  <c r="I1111" i="9"/>
  <c r="J1111" i="9"/>
  <c r="K1111" i="9" s="1"/>
  <c r="A1112" i="9"/>
  <c r="B1112" i="9"/>
  <c r="C1112" i="9"/>
  <c r="D1112" i="9"/>
  <c r="E1112" i="9"/>
  <c r="F1112" i="9"/>
  <c r="G1112" i="9"/>
  <c r="H1112" i="9"/>
  <c r="I1112" i="9"/>
  <c r="J1112" i="9"/>
  <c r="K1112" i="9" s="1"/>
  <c r="A1113" i="9"/>
  <c r="B1113" i="9"/>
  <c r="C1113" i="9"/>
  <c r="D1113" i="9"/>
  <c r="E1113" i="9"/>
  <c r="F1113" i="9"/>
  <c r="G1113" i="9"/>
  <c r="H1113" i="9"/>
  <c r="I1113" i="9"/>
  <c r="J1113" i="9"/>
  <c r="K1113" i="9" s="1"/>
  <c r="L1113" i="9"/>
  <c r="M1113" i="9"/>
  <c r="A1114" i="9"/>
  <c r="C1114" i="9" s="1"/>
  <c r="I1114" i="9"/>
  <c r="J1114" i="9"/>
  <c r="K1114" i="9" s="1"/>
  <c r="L1114" i="9"/>
  <c r="M1114" i="9"/>
  <c r="A1115" i="9"/>
  <c r="B1115" i="9" s="1"/>
  <c r="C1115" i="9"/>
  <c r="A1116" i="9"/>
  <c r="B1116" i="9"/>
  <c r="C1116" i="9"/>
  <c r="D1116" i="9"/>
  <c r="E1116" i="9"/>
  <c r="F1116" i="9"/>
  <c r="G1116" i="9"/>
  <c r="H1116" i="9"/>
  <c r="I1116" i="9"/>
  <c r="J1116" i="9"/>
  <c r="K1116" i="9" s="1"/>
  <c r="L1116" i="9"/>
  <c r="M1116" i="9"/>
  <c r="A1117" i="9"/>
  <c r="B1117" i="9"/>
  <c r="C1117" i="9"/>
  <c r="D1117" i="9"/>
  <c r="E1117" i="9"/>
  <c r="F1117" i="9"/>
  <c r="J1117" i="9"/>
  <c r="K1117" i="9"/>
  <c r="L1117" i="9"/>
  <c r="M1117" i="9"/>
  <c r="A1118" i="9"/>
  <c r="B1118" i="9" s="1"/>
  <c r="E1118" i="9"/>
  <c r="F1118" i="9"/>
  <c r="G1118" i="9"/>
  <c r="H1118" i="9"/>
  <c r="I1118" i="9"/>
  <c r="M1118" i="9"/>
  <c r="A1119" i="9"/>
  <c r="B1119" i="9" s="1"/>
  <c r="C1119" i="9"/>
  <c r="D1119" i="9"/>
  <c r="E1119" i="9"/>
  <c r="F1119" i="9"/>
  <c r="G1119" i="9"/>
  <c r="H1119" i="9"/>
  <c r="I1119" i="9"/>
  <c r="J1119" i="9"/>
  <c r="K1119" i="9" s="1"/>
  <c r="L1119" i="9"/>
  <c r="M1119" i="9"/>
  <c r="A1120" i="9"/>
  <c r="B1120" i="9" s="1"/>
  <c r="C1120" i="9"/>
  <c r="D1120" i="9"/>
  <c r="L1120" i="9"/>
  <c r="M1120" i="9"/>
  <c r="A1121" i="9"/>
  <c r="E1121" i="9" s="1"/>
  <c r="F1121" i="9"/>
  <c r="G1121" i="9"/>
  <c r="H1121" i="9"/>
  <c r="A1122" i="9"/>
  <c r="H1122" i="9" s="1"/>
  <c r="J1122" i="9"/>
  <c r="K1122" i="9" s="1"/>
  <c r="M1122" i="9"/>
  <c r="A1123" i="9"/>
  <c r="B1123" i="9"/>
  <c r="A1124" i="9"/>
  <c r="E1124" i="9" s="1"/>
  <c r="F1124" i="9"/>
  <c r="G1124" i="9"/>
  <c r="H1124" i="9"/>
  <c r="J1124" i="9"/>
  <c r="K1124" i="9" s="1"/>
  <c r="L1124" i="9"/>
  <c r="M1124" i="9"/>
  <c r="A1125" i="9"/>
  <c r="B1125" i="9" s="1"/>
  <c r="J1125" i="9"/>
  <c r="K1125" i="9" s="1"/>
  <c r="A1126" i="9"/>
  <c r="B1126" i="9"/>
  <c r="C1126" i="9"/>
  <c r="D1126" i="9"/>
  <c r="E1126" i="9"/>
  <c r="F1126" i="9"/>
  <c r="G1126" i="9"/>
  <c r="H1126" i="9"/>
  <c r="I1126" i="9"/>
  <c r="M1126" i="9"/>
  <c r="A1127" i="9"/>
  <c r="C1127" i="9"/>
  <c r="D1127" i="9"/>
  <c r="F1127" i="9"/>
  <c r="G1127" i="9"/>
  <c r="H1127" i="9"/>
  <c r="L1127" i="9"/>
  <c r="M1127" i="9"/>
  <c r="A1128" i="9"/>
  <c r="B1128" i="9"/>
  <c r="A1129" i="9"/>
  <c r="B1129" i="9"/>
  <c r="C1129" i="9"/>
  <c r="D1129" i="9"/>
  <c r="E1129" i="9"/>
  <c r="I1129" i="9"/>
  <c r="J1129" i="9"/>
  <c r="K1129" i="9" s="1"/>
  <c r="A1130" i="9"/>
  <c r="E1130" i="9" s="1"/>
  <c r="B1130" i="9"/>
  <c r="D1130" i="9"/>
  <c r="F1130" i="9"/>
  <c r="A1131" i="9"/>
  <c r="B1131" i="9" s="1"/>
  <c r="I1131" i="9"/>
  <c r="J1131" i="9"/>
  <c r="K1131" i="9" s="1"/>
  <c r="L1131" i="9"/>
  <c r="A1132" i="9"/>
  <c r="C1132" i="9" s="1"/>
  <c r="B1132" i="9"/>
  <c r="F1132" i="9"/>
  <c r="A1133" i="9"/>
  <c r="B1133" i="9"/>
  <c r="C1133" i="9"/>
  <c r="D1133" i="9"/>
  <c r="E1133" i="9"/>
  <c r="F1133" i="9"/>
  <c r="G1133" i="9"/>
  <c r="H1133" i="9"/>
  <c r="I1133" i="9"/>
  <c r="J1133" i="9"/>
  <c r="K1133" i="9" s="1"/>
  <c r="L1133" i="9"/>
  <c r="M1133" i="9"/>
  <c r="A1134" i="9"/>
  <c r="B1134" i="9" s="1"/>
  <c r="A1135" i="9"/>
  <c r="M1135" i="9" s="1"/>
  <c r="B1135" i="9"/>
  <c r="C1135" i="9"/>
  <c r="D1135" i="9"/>
  <c r="E1135" i="9"/>
  <c r="F1135" i="9"/>
  <c r="G1135" i="9"/>
  <c r="H1135" i="9"/>
  <c r="I1135" i="9"/>
  <c r="J1135" i="9"/>
  <c r="K1135" i="9"/>
  <c r="L1135" i="9"/>
  <c r="A1136" i="9"/>
  <c r="B1136" i="9"/>
  <c r="C1136" i="9"/>
  <c r="D1136" i="9"/>
  <c r="E1136" i="9"/>
  <c r="F1136" i="9"/>
  <c r="G1136" i="9"/>
  <c r="H1136" i="9"/>
  <c r="I1136" i="9"/>
  <c r="J1136" i="9"/>
  <c r="K1136" i="9" s="1"/>
  <c r="L1136" i="9"/>
  <c r="M1136" i="9"/>
  <c r="A1137" i="9"/>
  <c r="B1137" i="9"/>
  <c r="C1137" i="9"/>
  <c r="D1137" i="9"/>
  <c r="E1137" i="9"/>
  <c r="F1137" i="9"/>
  <c r="J1137" i="9"/>
  <c r="K1137" i="9" s="1"/>
  <c r="L1137" i="9"/>
  <c r="M1137" i="9"/>
  <c r="A1138" i="9"/>
  <c r="A1139" i="9"/>
  <c r="B1139" i="9" s="1"/>
  <c r="C1139" i="9"/>
  <c r="D1139" i="9"/>
  <c r="E1139" i="9"/>
  <c r="F1139" i="9"/>
  <c r="G1139" i="9"/>
  <c r="H1139" i="9"/>
  <c r="I1139" i="9"/>
  <c r="J1139" i="9"/>
  <c r="K1139" i="9" s="1"/>
  <c r="L1139" i="9"/>
  <c r="M1139" i="9"/>
  <c r="A1140" i="9"/>
  <c r="B1140" i="9"/>
  <c r="C1140" i="9"/>
  <c r="D1140" i="9"/>
  <c r="E1140" i="9"/>
  <c r="F1140" i="9"/>
  <c r="G1140" i="9"/>
  <c r="L1140" i="9"/>
  <c r="M1140" i="9"/>
  <c r="A1141" i="9"/>
  <c r="B1141" i="9" s="1"/>
  <c r="E1141" i="9"/>
  <c r="H1141" i="9"/>
  <c r="L1141" i="9"/>
  <c r="M1141" i="9"/>
  <c r="A1142" i="9"/>
  <c r="E1142" i="9"/>
  <c r="G1142" i="9"/>
  <c r="H1142" i="9"/>
  <c r="I1142" i="9"/>
  <c r="J1142" i="9"/>
  <c r="K1142" i="9" s="1"/>
  <c r="L1142" i="9"/>
  <c r="M1142" i="9"/>
  <c r="A1143" i="9"/>
  <c r="M1143" i="9" s="1"/>
  <c r="A1144" i="9"/>
  <c r="B1144" i="9"/>
  <c r="D1144" i="9"/>
  <c r="E1144" i="9"/>
  <c r="A1145" i="9"/>
  <c r="J1145" i="9" s="1"/>
  <c r="K1145" i="9" s="1"/>
  <c r="I1145" i="9"/>
  <c r="L1145" i="9"/>
  <c r="A1146" i="9"/>
  <c r="B1146" i="9"/>
  <c r="C1146" i="9"/>
  <c r="D1146" i="9"/>
  <c r="A1147" i="9"/>
  <c r="E1147" i="9" s="1"/>
  <c r="G1147" i="9"/>
  <c r="H1147" i="9"/>
  <c r="J1147" i="9"/>
  <c r="K1147" i="9" s="1"/>
  <c r="L1147" i="9"/>
  <c r="M1147" i="9"/>
  <c r="A1148" i="9"/>
  <c r="B1148" i="9"/>
  <c r="C1148" i="9"/>
  <c r="F1148" i="9"/>
  <c r="G1148" i="9"/>
  <c r="A1149" i="9"/>
  <c r="G1149" i="9" s="1"/>
  <c r="B1149" i="9"/>
  <c r="C1149" i="9"/>
  <c r="D1149" i="9"/>
  <c r="F1149" i="9"/>
  <c r="H1149" i="9"/>
  <c r="I1149" i="9"/>
  <c r="J1149" i="9"/>
  <c r="K1149" i="9" s="1"/>
  <c r="M1149" i="9"/>
  <c r="A1150" i="9"/>
  <c r="B1150" i="9"/>
  <c r="C1150" i="9"/>
  <c r="D1150" i="9"/>
  <c r="E1150" i="9"/>
  <c r="F1150" i="9"/>
  <c r="J1150" i="9"/>
  <c r="K1150" i="9" s="1"/>
  <c r="A1151" i="9"/>
  <c r="B1151" i="9"/>
  <c r="C1151" i="9"/>
  <c r="D1151" i="9"/>
  <c r="G1151" i="9"/>
  <c r="H1151" i="9"/>
  <c r="I1151" i="9"/>
  <c r="J1151" i="9"/>
  <c r="K1151" i="9" s="1"/>
  <c r="L1151" i="9"/>
  <c r="M1151" i="9"/>
  <c r="A1152" i="9"/>
  <c r="B1152" i="9" s="1"/>
  <c r="F1152" i="9"/>
  <c r="I1152" i="9"/>
  <c r="A1153" i="9"/>
  <c r="B1153" i="9"/>
  <c r="C1153" i="9"/>
  <c r="D1153" i="9"/>
  <c r="E1153" i="9"/>
  <c r="F1153" i="9"/>
  <c r="G1153" i="9"/>
  <c r="H1153" i="9"/>
  <c r="I1153" i="9"/>
  <c r="J1153" i="9"/>
  <c r="K1153" i="9" s="1"/>
  <c r="A1154" i="9"/>
  <c r="B1154" i="9"/>
  <c r="C1154" i="9"/>
  <c r="D1154" i="9"/>
  <c r="E1154" i="9"/>
  <c r="H1154" i="9"/>
  <c r="I1154" i="9"/>
  <c r="J1154" i="9"/>
  <c r="K1154" i="9" s="1"/>
  <c r="L1154" i="9"/>
  <c r="M1154" i="9"/>
  <c r="A1155" i="9"/>
  <c r="F1155" i="9" s="1"/>
  <c r="B1155" i="9"/>
  <c r="C1155" i="9"/>
  <c r="D1155" i="9"/>
  <c r="E1155" i="9"/>
  <c r="G1155" i="9"/>
  <c r="L1155" i="9"/>
  <c r="A1156" i="9"/>
  <c r="B1156" i="9"/>
  <c r="C1156" i="9"/>
  <c r="D1156" i="9"/>
  <c r="E1156" i="9"/>
  <c r="F1156" i="9"/>
  <c r="G1156" i="9"/>
  <c r="H1156" i="9"/>
  <c r="I1156" i="9"/>
  <c r="J1156" i="9"/>
  <c r="K1156" i="9"/>
  <c r="L1156" i="9"/>
  <c r="M1156" i="9"/>
  <c r="A1157" i="9"/>
  <c r="B1157" i="9" s="1"/>
  <c r="J1157" i="9"/>
  <c r="K1157" i="9" s="1"/>
  <c r="M1157" i="9"/>
  <c r="A1158" i="9"/>
  <c r="B1158" i="9" s="1"/>
  <c r="C1158" i="9"/>
  <c r="I1158" i="9"/>
  <c r="A1159" i="9"/>
  <c r="B1159" i="9" s="1"/>
  <c r="C1159" i="9"/>
  <c r="D1159" i="9"/>
  <c r="E1159" i="9"/>
  <c r="F1159" i="9"/>
  <c r="G1159" i="9"/>
  <c r="H1159" i="9"/>
  <c r="I1159" i="9"/>
  <c r="J1159" i="9"/>
  <c r="K1159" i="9" s="1"/>
  <c r="L1159" i="9"/>
  <c r="M1159" i="9"/>
  <c r="A1160" i="9"/>
  <c r="A1161" i="9"/>
  <c r="C1161" i="9" s="1"/>
  <c r="B1161" i="9"/>
  <c r="D1161" i="9"/>
  <c r="E1161" i="9"/>
  <c r="F1161" i="9"/>
  <c r="H1161" i="9"/>
  <c r="I1161" i="9"/>
  <c r="J1161" i="9"/>
  <c r="K1161" i="9"/>
  <c r="L1161" i="9"/>
  <c r="M1161" i="9"/>
  <c r="A1162" i="9"/>
  <c r="D1162" i="9"/>
  <c r="A1163" i="9"/>
  <c r="B1163" i="9" s="1"/>
  <c r="C1163" i="9"/>
  <c r="D1163" i="9"/>
  <c r="E1163" i="9"/>
  <c r="F1163" i="9"/>
  <c r="H1163" i="9"/>
  <c r="L1163" i="9"/>
  <c r="M1163" i="9"/>
  <c r="A1164" i="9"/>
  <c r="B1164" i="9"/>
  <c r="C1164" i="9"/>
  <c r="D1164" i="9"/>
  <c r="E1164" i="9"/>
  <c r="F1164" i="9"/>
  <c r="G1164" i="9"/>
  <c r="H1164" i="9"/>
  <c r="I1164" i="9"/>
  <c r="J1164" i="9"/>
  <c r="K1164" i="9" s="1"/>
  <c r="L1164" i="9"/>
  <c r="M1164" i="9"/>
  <c r="A1165" i="9"/>
  <c r="B1165" i="9" s="1"/>
  <c r="F1165" i="9"/>
  <c r="G1165" i="9"/>
  <c r="H1165" i="9"/>
  <c r="I1165" i="9"/>
  <c r="M1165" i="9"/>
  <c r="A1166" i="9"/>
  <c r="B1166" i="9" s="1"/>
  <c r="C1166" i="9"/>
  <c r="E1166" i="9"/>
  <c r="G1166" i="9"/>
  <c r="A1167" i="9"/>
  <c r="D1167" i="9" s="1"/>
  <c r="B1167" i="9"/>
  <c r="C1167" i="9"/>
  <c r="I1167" i="9"/>
  <c r="J1167" i="9"/>
  <c r="K1167" i="9" s="1"/>
  <c r="L1167" i="9"/>
  <c r="A1168" i="9"/>
  <c r="C1168" i="9" s="1"/>
  <c r="B1168" i="9"/>
  <c r="F1168" i="9"/>
  <c r="I1168" i="9"/>
  <c r="J1168" i="9"/>
  <c r="K1168" i="9" s="1"/>
  <c r="A1169" i="9"/>
  <c r="G1169" i="9" s="1"/>
  <c r="E1169" i="9"/>
  <c r="F1169" i="9"/>
  <c r="J1169" i="9"/>
  <c r="K1169" i="9" s="1"/>
  <c r="M1169" i="9"/>
  <c r="A1170" i="9"/>
  <c r="C1170" i="9" s="1"/>
  <c r="B1170" i="9"/>
  <c r="D1170" i="9"/>
  <c r="E1170" i="9"/>
  <c r="A1171" i="9"/>
  <c r="B1171" i="9"/>
  <c r="C1171" i="9"/>
  <c r="D1171" i="9"/>
  <c r="H1171" i="9"/>
  <c r="I1171" i="9"/>
  <c r="J1171" i="9"/>
  <c r="K1171" i="9" s="1"/>
  <c r="L1171" i="9"/>
  <c r="M1171" i="9"/>
  <c r="A1172" i="9"/>
  <c r="B1172" i="9"/>
  <c r="C1172" i="9"/>
  <c r="D1172" i="9"/>
  <c r="E1172" i="9"/>
  <c r="F1172" i="9"/>
  <c r="J1172" i="9"/>
  <c r="K1172" i="9" s="1"/>
  <c r="A1173" i="9"/>
  <c r="L1173" i="9" s="1"/>
  <c r="B1173" i="9"/>
  <c r="M1173" i="9"/>
  <c r="A1174" i="9"/>
  <c r="B1174" i="9"/>
  <c r="H1174" i="9"/>
  <c r="I1174" i="9"/>
  <c r="J1174" i="9"/>
  <c r="K1174" i="9" s="1"/>
  <c r="M1174" i="9"/>
  <c r="A1175" i="9"/>
  <c r="C1175" i="9"/>
  <c r="A1176" i="9"/>
  <c r="B1176" i="9"/>
  <c r="C1176" i="9"/>
  <c r="D1176" i="9"/>
  <c r="E1176" i="9"/>
  <c r="F1176" i="9"/>
  <c r="G1176" i="9"/>
  <c r="H1176" i="9"/>
  <c r="I1176" i="9"/>
  <c r="J1176" i="9"/>
  <c r="K1176" i="9" s="1"/>
  <c r="L1176" i="9"/>
  <c r="M1176" i="9"/>
  <c r="A1177" i="9"/>
  <c r="B1177" i="9" s="1"/>
  <c r="C1177" i="9"/>
  <c r="D1177" i="9"/>
  <c r="E1177" i="9"/>
  <c r="F1177" i="9"/>
  <c r="M1177" i="9"/>
  <c r="A1178" i="9"/>
  <c r="B1178" i="9"/>
  <c r="D1178" i="9"/>
  <c r="A1179" i="9"/>
  <c r="B1179" i="9" s="1"/>
  <c r="C1179" i="9"/>
  <c r="D1179" i="9"/>
  <c r="E1179" i="9"/>
  <c r="F1179" i="9"/>
  <c r="G1179" i="9"/>
  <c r="H1179" i="9"/>
  <c r="I1179" i="9"/>
  <c r="J1179" i="9"/>
  <c r="K1179" i="9" s="1"/>
  <c r="L1179" i="9"/>
  <c r="M1179" i="9"/>
  <c r="A1180" i="9"/>
  <c r="B1180" i="9"/>
  <c r="A1181" i="9"/>
  <c r="B1181" i="9"/>
  <c r="C1181" i="9"/>
  <c r="D1181" i="9"/>
  <c r="E1181" i="9"/>
  <c r="F1181" i="9"/>
  <c r="G1181" i="9"/>
  <c r="H1181" i="9"/>
  <c r="I1181" i="9"/>
  <c r="J1181" i="9"/>
  <c r="K1181" i="9" s="1"/>
  <c r="L1181" i="9"/>
  <c r="M1181" i="9"/>
  <c r="A1182" i="9"/>
  <c r="D1182" i="9" s="1"/>
  <c r="F1182" i="9"/>
  <c r="A1183" i="9"/>
  <c r="E1183" i="9" s="1"/>
  <c r="B1183" i="9"/>
  <c r="D1183" i="9"/>
  <c r="G1183" i="9"/>
  <c r="H1183" i="9"/>
  <c r="L1183" i="9"/>
  <c r="M1183" i="9"/>
  <c r="A1184" i="9"/>
  <c r="B1184" i="9" s="1"/>
  <c r="H1184" i="9"/>
  <c r="J1184" i="9"/>
  <c r="K1184" i="9" s="1"/>
  <c r="A1185" i="9"/>
  <c r="H1185" i="9" s="1"/>
  <c r="B1185" i="9"/>
  <c r="E1185" i="9"/>
  <c r="F1185" i="9"/>
  <c r="G1185" i="9"/>
  <c r="I1185" i="9"/>
  <c r="J1185" i="9"/>
  <c r="K1185" i="9" s="1"/>
  <c r="L1185" i="9"/>
  <c r="M1185" i="9"/>
  <c r="A1186" i="9"/>
  <c r="J1186" i="9" s="1"/>
  <c r="K1186" i="9" s="1"/>
  <c r="B1186" i="9"/>
  <c r="C1186" i="9"/>
  <c r="D1186" i="9"/>
  <c r="E1186" i="9"/>
  <c r="F1186" i="9"/>
  <c r="G1186" i="9"/>
  <c r="H1186" i="9"/>
  <c r="I1186" i="9"/>
  <c r="L1186" i="9"/>
  <c r="M1186" i="9"/>
  <c r="A1187" i="9"/>
  <c r="C1187" i="9" s="1"/>
  <c r="B1187" i="9"/>
  <c r="E1187" i="9"/>
  <c r="F1187" i="9"/>
  <c r="G1187" i="9"/>
  <c r="H1187" i="9"/>
  <c r="I1187" i="9"/>
  <c r="M1187" i="9"/>
  <c r="A1188" i="9"/>
  <c r="B1188" i="9"/>
  <c r="C1188" i="9"/>
  <c r="G1188" i="9"/>
  <c r="H1188" i="9"/>
  <c r="I1188" i="9"/>
  <c r="A1189" i="9"/>
  <c r="C1189" i="9" s="1"/>
  <c r="B1189" i="9"/>
  <c r="E1189" i="9"/>
  <c r="I1189" i="9"/>
  <c r="J1189" i="9"/>
  <c r="K1189" i="9" s="1"/>
  <c r="M1189" i="9"/>
  <c r="A1190" i="9"/>
  <c r="D1190" i="9" s="1"/>
  <c r="A1191" i="9"/>
  <c r="H1191" i="9" s="1"/>
  <c r="G1191" i="9"/>
  <c r="J1191" i="9"/>
  <c r="K1191" i="9" s="1"/>
  <c r="L1191" i="9"/>
  <c r="M1191" i="9"/>
  <c r="A1192" i="9"/>
  <c r="B1192" i="9" s="1"/>
  <c r="A1193" i="9"/>
  <c r="B1193" i="9"/>
  <c r="C1193" i="9"/>
  <c r="D1193" i="9"/>
  <c r="E1193" i="9"/>
  <c r="F1193" i="9"/>
  <c r="G1193" i="9"/>
  <c r="H1193" i="9"/>
  <c r="I1193" i="9"/>
  <c r="J1193" i="9"/>
  <c r="K1193" i="9"/>
  <c r="L1193" i="9"/>
  <c r="M1193" i="9"/>
  <c r="A1194" i="9"/>
  <c r="B1194" i="9"/>
  <c r="C1194" i="9"/>
  <c r="D1194" i="9"/>
  <c r="E1194" i="9"/>
  <c r="H1194" i="9"/>
  <c r="A1195" i="9"/>
  <c r="G1195" i="9" s="1"/>
  <c r="B1195" i="9"/>
  <c r="D1195" i="9"/>
  <c r="E1195" i="9"/>
  <c r="F1195" i="9"/>
  <c r="H1195" i="9"/>
  <c r="I1195" i="9"/>
  <c r="J1195" i="9"/>
  <c r="K1195" i="9" s="1"/>
  <c r="L1195" i="9"/>
  <c r="A1196" i="9"/>
  <c r="B1196" i="9"/>
  <c r="C1196" i="9"/>
  <c r="D1196" i="9"/>
  <c r="E1196" i="9"/>
  <c r="F1196" i="9"/>
  <c r="G1196" i="9"/>
  <c r="H1196" i="9"/>
  <c r="I1196" i="9"/>
  <c r="J1196" i="9"/>
  <c r="K1196" i="9" s="1"/>
  <c r="L1196" i="9"/>
  <c r="M1196" i="9"/>
  <c r="A1197" i="9"/>
  <c r="B1197" i="9" s="1"/>
  <c r="D1197" i="9"/>
  <c r="E1197" i="9"/>
  <c r="F1197" i="9"/>
  <c r="I1197" i="9"/>
  <c r="J1197" i="9"/>
  <c r="K1197" i="9" s="1"/>
  <c r="L1197" i="9"/>
  <c r="A1198" i="9"/>
  <c r="B1198" i="9"/>
  <c r="C1198" i="9"/>
  <c r="D1198" i="9"/>
  <c r="E1198" i="9"/>
  <c r="F1198" i="9"/>
  <c r="G1198" i="9"/>
  <c r="H1198" i="9"/>
  <c r="I1198" i="9"/>
  <c r="J1198" i="9"/>
  <c r="K1198" i="9"/>
  <c r="L1198" i="9"/>
  <c r="M1198" i="9"/>
  <c r="A1199" i="9"/>
  <c r="B1199" i="9" s="1"/>
  <c r="C1199" i="9"/>
  <c r="D1199" i="9"/>
  <c r="E1199" i="9"/>
  <c r="F1199" i="9"/>
  <c r="G1199" i="9"/>
  <c r="H1199" i="9"/>
  <c r="I1199" i="9"/>
  <c r="J1199" i="9"/>
  <c r="K1199" i="9"/>
  <c r="L1199" i="9"/>
  <c r="M1199" i="9"/>
  <c r="A1200" i="9"/>
  <c r="C1200" i="9"/>
  <c r="D1200" i="9"/>
  <c r="E1200" i="9"/>
  <c r="F1200" i="9"/>
  <c r="G1200" i="9"/>
  <c r="J1200" i="9"/>
  <c r="K1200" i="9" s="1"/>
  <c r="L1200" i="9"/>
  <c r="M1200" i="9"/>
  <c r="A1201" i="9"/>
  <c r="B1201" i="9"/>
  <c r="C1201" i="9"/>
  <c r="G1201" i="9"/>
  <c r="H1201" i="9"/>
  <c r="I1201" i="9"/>
  <c r="J1201" i="9"/>
  <c r="K1201" i="9" s="1"/>
  <c r="L1201" i="9"/>
  <c r="M1201" i="9"/>
  <c r="A1202" i="9"/>
  <c r="A1203" i="9"/>
  <c r="B1203" i="9"/>
  <c r="C1203" i="9"/>
  <c r="D1203" i="9"/>
  <c r="E1203" i="9"/>
  <c r="F1203" i="9"/>
  <c r="G1203" i="9"/>
  <c r="H1203" i="9"/>
  <c r="L1203" i="9"/>
  <c r="M1203" i="9"/>
  <c r="A1204" i="9"/>
  <c r="B1204" i="9"/>
  <c r="C1204" i="9"/>
  <c r="D1204" i="9"/>
  <c r="E1204" i="9"/>
  <c r="F1204" i="9"/>
  <c r="G1204" i="9"/>
  <c r="H1204" i="9"/>
  <c r="L1204" i="9"/>
  <c r="M1204" i="9"/>
  <c r="A1205" i="9"/>
  <c r="A1206" i="9"/>
  <c r="B1206" i="9"/>
  <c r="C1206" i="9"/>
  <c r="D1206" i="9"/>
  <c r="H1206" i="9"/>
  <c r="I1206" i="9"/>
  <c r="L1206" i="9"/>
  <c r="M1206" i="9"/>
  <c r="A1207" i="9"/>
  <c r="B1207" i="9"/>
  <c r="C1207" i="9"/>
  <c r="D1207" i="9"/>
  <c r="E1207" i="9"/>
  <c r="F1207" i="9"/>
  <c r="G1207" i="9"/>
  <c r="H1207" i="9"/>
  <c r="I1207" i="9"/>
  <c r="J1207" i="9"/>
  <c r="K1207" i="9" s="1"/>
  <c r="L1207" i="9"/>
  <c r="M1207" i="9"/>
  <c r="A1208" i="9"/>
  <c r="B1208" i="9"/>
  <c r="C1208" i="9"/>
  <c r="F1208" i="9"/>
  <c r="G1208" i="9"/>
  <c r="H1208" i="9"/>
  <c r="I1208" i="9"/>
  <c r="J1208" i="9"/>
  <c r="K1208" i="9" s="1"/>
  <c r="L1208" i="9"/>
  <c r="M1208" i="9"/>
  <c r="A1209" i="9"/>
  <c r="B1209" i="9" s="1"/>
  <c r="C1209" i="9"/>
  <c r="A1210" i="9"/>
  <c r="B1210" i="9"/>
  <c r="C1210" i="9"/>
  <c r="D1210" i="9"/>
  <c r="E1210" i="9"/>
  <c r="F1210" i="9"/>
  <c r="G1210" i="9"/>
  <c r="H1210" i="9"/>
  <c r="I1210" i="9"/>
  <c r="J1210" i="9"/>
  <c r="K1210" i="9"/>
  <c r="L1210" i="9"/>
  <c r="M1210" i="9"/>
  <c r="A1211" i="9"/>
  <c r="B1211" i="9"/>
  <c r="A1212" i="9"/>
  <c r="G1212" i="9" s="1"/>
  <c r="C1212" i="9"/>
  <c r="D1212" i="9"/>
  <c r="E1212" i="9"/>
  <c r="F1212" i="9"/>
  <c r="H1212" i="9"/>
  <c r="I1212" i="9"/>
  <c r="J1212" i="9"/>
  <c r="K1212" i="9"/>
  <c r="A1213" i="9"/>
  <c r="B1213" i="9"/>
  <c r="C1213" i="9"/>
  <c r="G1213" i="9"/>
  <c r="H1213" i="9"/>
  <c r="I1213" i="9"/>
  <c r="J1213" i="9"/>
  <c r="K1213" i="9" s="1"/>
  <c r="L1213" i="9"/>
  <c r="A1214" i="9"/>
  <c r="I1214" i="9" s="1"/>
  <c r="B1214" i="9"/>
  <c r="C1214" i="9"/>
  <c r="D1214" i="9"/>
  <c r="E1214" i="9"/>
  <c r="H1214" i="9"/>
  <c r="J1214" i="9"/>
  <c r="K1214" i="9"/>
  <c r="L1214" i="9"/>
  <c r="A1215" i="9"/>
  <c r="M1215" i="9" s="1"/>
  <c r="B1215" i="9"/>
  <c r="C1215" i="9"/>
  <c r="D1215" i="9"/>
  <c r="E1215" i="9"/>
  <c r="F1215" i="9"/>
  <c r="G1215" i="9"/>
  <c r="H1215" i="9"/>
  <c r="I1215" i="9"/>
  <c r="J1215" i="9"/>
  <c r="K1215" i="9" s="1"/>
  <c r="L1215" i="9"/>
  <c r="A1216" i="9"/>
  <c r="B1216" i="9"/>
  <c r="C1216" i="9"/>
  <c r="D1216" i="9"/>
  <c r="E1216" i="9"/>
  <c r="F1216" i="9"/>
  <c r="G1216" i="9"/>
  <c r="H1216" i="9"/>
  <c r="I1216" i="9"/>
  <c r="J1216" i="9"/>
  <c r="K1216" i="9"/>
  <c r="L1216" i="9"/>
  <c r="M1216" i="9"/>
  <c r="A1217" i="9"/>
  <c r="C1217" i="9"/>
  <c r="D1217" i="9"/>
  <c r="E1217" i="9"/>
  <c r="A1218" i="9"/>
  <c r="B1218" i="9" s="1"/>
  <c r="C1218" i="9"/>
  <c r="G1218" i="9"/>
  <c r="H1218" i="9"/>
  <c r="I1218" i="9"/>
  <c r="J1218" i="9"/>
  <c r="K1218" i="9" s="1"/>
  <c r="L1218" i="9"/>
  <c r="M1218" i="9"/>
  <c r="A1219" i="9"/>
  <c r="B1219" i="9" s="1"/>
  <c r="C1219" i="9"/>
  <c r="D1219" i="9"/>
  <c r="E1219" i="9"/>
  <c r="F1219" i="9"/>
  <c r="G1219" i="9"/>
  <c r="H1219" i="9"/>
  <c r="I1219" i="9"/>
  <c r="J1219" i="9"/>
  <c r="K1219" i="9"/>
  <c r="L1219" i="9"/>
  <c r="M1219" i="9"/>
  <c r="A1220" i="9"/>
  <c r="B1220" i="9"/>
  <c r="C1220" i="9"/>
  <c r="D1220" i="9"/>
  <c r="E1220" i="9"/>
  <c r="F1220" i="9"/>
  <c r="G1220" i="9"/>
  <c r="J1220" i="9"/>
  <c r="K1220" i="9"/>
  <c r="L1220" i="9"/>
  <c r="M1220" i="9"/>
  <c r="A1221" i="9"/>
  <c r="B1221" i="9" s="1"/>
  <c r="A1222" i="9"/>
  <c r="E1222" i="9"/>
  <c r="F1222" i="9"/>
  <c r="G1222" i="9"/>
  <c r="H1222" i="9"/>
  <c r="I1222" i="9"/>
  <c r="J1222" i="9"/>
  <c r="K1222" i="9" s="1"/>
  <c r="L1222" i="9"/>
  <c r="M1222" i="9"/>
  <c r="A1223" i="9"/>
  <c r="B1223" i="9"/>
  <c r="A1224" i="9"/>
  <c r="D1224" i="9"/>
  <c r="E1224" i="9"/>
  <c r="F1224" i="9"/>
  <c r="G1224" i="9"/>
  <c r="H1224" i="9"/>
  <c r="I1224" i="9"/>
  <c r="J1224" i="9"/>
  <c r="K1224" i="9" s="1"/>
  <c r="L1224" i="9"/>
  <c r="A1225" i="9"/>
  <c r="B1225" i="9"/>
  <c r="E1225" i="9"/>
  <c r="F1225" i="9"/>
  <c r="G1225" i="9"/>
  <c r="H1225" i="9"/>
  <c r="I1225" i="9"/>
  <c r="J1225" i="9"/>
  <c r="K1225" i="9" s="1"/>
  <c r="L1225" i="9"/>
  <c r="M1225" i="9"/>
  <c r="A1226" i="9"/>
  <c r="B1226" i="9"/>
  <c r="C1226" i="9"/>
  <c r="D1226" i="9"/>
  <c r="E1226" i="9"/>
  <c r="F1226" i="9"/>
  <c r="G1226" i="9"/>
  <c r="H1226" i="9"/>
  <c r="A1227" i="9"/>
  <c r="A1228" i="9"/>
  <c r="F1228" i="9" s="1"/>
  <c r="B1228" i="9"/>
  <c r="C1228" i="9"/>
  <c r="A1229" i="9"/>
  <c r="L1229" i="9" s="1"/>
  <c r="B1229" i="9"/>
  <c r="C1229" i="9"/>
  <c r="D1229" i="9"/>
  <c r="E1229" i="9"/>
  <c r="F1229" i="9"/>
  <c r="G1229" i="9"/>
  <c r="H1229" i="9"/>
  <c r="I1229" i="9"/>
  <c r="J1229" i="9"/>
  <c r="K1229" i="9" s="1"/>
  <c r="M1229" i="9"/>
  <c r="A1230" i="9"/>
  <c r="B1230" i="9"/>
  <c r="F1230" i="9"/>
  <c r="G1230" i="9"/>
  <c r="H1230" i="9"/>
  <c r="I1230" i="9"/>
  <c r="L1230" i="9"/>
  <c r="M1230" i="9"/>
  <c r="A1231" i="9"/>
  <c r="B1231" i="9"/>
  <c r="C1231" i="9"/>
  <c r="D1231" i="9"/>
  <c r="A1232" i="9"/>
  <c r="B1232" i="9"/>
  <c r="C1232" i="9"/>
  <c r="D1232" i="9"/>
  <c r="E1232" i="9"/>
  <c r="F1232" i="9"/>
  <c r="G1232" i="9"/>
  <c r="H1232" i="9"/>
  <c r="I1232" i="9"/>
  <c r="J1232" i="9"/>
  <c r="K1232" i="9"/>
  <c r="A1233" i="9"/>
  <c r="C1233" i="9" s="1"/>
  <c r="A1234" i="9"/>
  <c r="C1234" i="9" s="1"/>
  <c r="D1234" i="9"/>
  <c r="E1234" i="9"/>
  <c r="H1234" i="9"/>
  <c r="I1234" i="9"/>
  <c r="J1234" i="9"/>
  <c r="K1234" i="9" s="1"/>
  <c r="L1234" i="9"/>
  <c r="M1234" i="9"/>
  <c r="A1235" i="9"/>
  <c r="C1235" i="9" s="1"/>
  <c r="A1236" i="9"/>
  <c r="B1236" i="9"/>
  <c r="C1236" i="9"/>
  <c r="D1236" i="9"/>
  <c r="E1236" i="9"/>
  <c r="F1236" i="9"/>
  <c r="G1236" i="9"/>
  <c r="H1236" i="9"/>
  <c r="I1236" i="9"/>
  <c r="J1236" i="9"/>
  <c r="K1236" i="9" s="1"/>
  <c r="L1236" i="9"/>
  <c r="M1236" i="9"/>
  <c r="A1237" i="9"/>
  <c r="B1237" i="9"/>
  <c r="C1237" i="9"/>
  <c r="D1237" i="9"/>
  <c r="E1237" i="9"/>
  <c r="F1237" i="9"/>
  <c r="I1237" i="9"/>
  <c r="J1237" i="9"/>
  <c r="K1237" i="9" s="1"/>
  <c r="L1237" i="9"/>
  <c r="M1237" i="9"/>
  <c r="A1238" i="9"/>
  <c r="D1238" i="9" s="1"/>
  <c r="E1238" i="9"/>
  <c r="F1238" i="9"/>
  <c r="G1238" i="9"/>
  <c r="A1239" i="9"/>
  <c r="B1239" i="9" s="1"/>
  <c r="C1239" i="9"/>
  <c r="D1239" i="9"/>
  <c r="E1239" i="9"/>
  <c r="F1239" i="9"/>
  <c r="G1239" i="9"/>
  <c r="H1239" i="9"/>
  <c r="I1239" i="9"/>
  <c r="J1239" i="9"/>
  <c r="K1239" i="9" s="1"/>
  <c r="L1239" i="9"/>
  <c r="M1239" i="9"/>
  <c r="A1240" i="9"/>
  <c r="B1240" i="9"/>
  <c r="F1240" i="9"/>
  <c r="G1240" i="9"/>
  <c r="J1240" i="9"/>
  <c r="K1240" i="9" s="1"/>
  <c r="M1240" i="9"/>
  <c r="A1241" i="9"/>
  <c r="A1242" i="9"/>
  <c r="D1242" i="9"/>
  <c r="E1242" i="9"/>
  <c r="F1242" i="9"/>
  <c r="G1242" i="9"/>
  <c r="H1242" i="9"/>
  <c r="I1242" i="9"/>
  <c r="J1242" i="9"/>
  <c r="K1242" i="9" s="1"/>
  <c r="L1242" i="9"/>
  <c r="M1242" i="9"/>
  <c r="A1243" i="9"/>
  <c r="F1243" i="9"/>
  <c r="G1243" i="9"/>
  <c r="A1244" i="9"/>
  <c r="D1244" i="9" s="1"/>
  <c r="B1244" i="9"/>
  <c r="C1244" i="9"/>
  <c r="E1244" i="9"/>
  <c r="F1244" i="9"/>
  <c r="G1244" i="9"/>
  <c r="H1244" i="9"/>
  <c r="I1244" i="9"/>
  <c r="J1244" i="9"/>
  <c r="K1244" i="9" s="1"/>
  <c r="L1244" i="9"/>
  <c r="M1244" i="9"/>
  <c r="A1245" i="9"/>
  <c r="L1245" i="9"/>
  <c r="A1246" i="9"/>
  <c r="J1246" i="9" s="1"/>
  <c r="K1246" i="9" s="1"/>
  <c r="C1246" i="9"/>
  <c r="D1246" i="9"/>
  <c r="E1246" i="9"/>
  <c r="F1246" i="9"/>
  <c r="G1246" i="9"/>
  <c r="H1246" i="9"/>
  <c r="I1246" i="9"/>
  <c r="L1246" i="9"/>
  <c r="M1246" i="9"/>
  <c r="A1247" i="9"/>
  <c r="E1247" i="9"/>
  <c r="F1247" i="9"/>
  <c r="L1247" i="9"/>
  <c r="M1247" i="9"/>
  <c r="A1248" i="9"/>
  <c r="B1248" i="9" s="1"/>
  <c r="C1248" i="9"/>
  <c r="F1248" i="9"/>
  <c r="G1248" i="9"/>
  <c r="H1248" i="9"/>
  <c r="I1248" i="9"/>
  <c r="J1248" i="9"/>
  <c r="K1248" i="9" s="1"/>
  <c r="A1249" i="9"/>
  <c r="D1249" i="9" s="1"/>
  <c r="B1249" i="9"/>
  <c r="C1249" i="9"/>
  <c r="F1249" i="9"/>
  <c r="M1249" i="9"/>
  <c r="A1250" i="9"/>
  <c r="A1251" i="9"/>
  <c r="G1251" i="9" s="1"/>
  <c r="L1251" i="9"/>
  <c r="M1251" i="9"/>
  <c r="A1252" i="9"/>
  <c r="M1252" i="9" s="1"/>
  <c r="B1252" i="9"/>
  <c r="C1252" i="9"/>
  <c r="D1252" i="9"/>
  <c r="E1252" i="9"/>
  <c r="F1252" i="9"/>
  <c r="G1252" i="9"/>
  <c r="H1252" i="9"/>
  <c r="I1252" i="9"/>
  <c r="J1252" i="9"/>
  <c r="K1252" i="9" s="1"/>
  <c r="L1252" i="9"/>
  <c r="A1253" i="9"/>
  <c r="G1253" i="9" s="1"/>
  <c r="A1254" i="9"/>
  <c r="C1254" i="9" s="1"/>
  <c r="B1254" i="9"/>
  <c r="D1254" i="9"/>
  <c r="E1254" i="9"/>
  <c r="F1254" i="9"/>
  <c r="G1254" i="9"/>
  <c r="H1254" i="9"/>
  <c r="I1254" i="9"/>
  <c r="J1254" i="9"/>
  <c r="K1254" i="9" s="1"/>
  <c r="L1254" i="9"/>
  <c r="M1254" i="9"/>
  <c r="A1255" i="9"/>
  <c r="B1255" i="9"/>
  <c r="F1255" i="9"/>
  <c r="G1255" i="9"/>
  <c r="H1255" i="9"/>
  <c r="I1255" i="9"/>
  <c r="L1255" i="9"/>
  <c r="M1255" i="9"/>
  <c r="A1256" i="9"/>
  <c r="B1256" i="9"/>
  <c r="C1256" i="9"/>
  <c r="D1256" i="9"/>
  <c r="E1256" i="9"/>
  <c r="F1256" i="9"/>
  <c r="G1256" i="9"/>
  <c r="H1256" i="9"/>
  <c r="I1256" i="9"/>
  <c r="M1256" i="9"/>
  <c r="A1257" i="9"/>
  <c r="G1257" i="9"/>
  <c r="H1257" i="9"/>
  <c r="A1258" i="9"/>
  <c r="C1258" i="9"/>
  <c r="I1258" i="9"/>
  <c r="J1258" i="9"/>
  <c r="K1258" i="9" s="1"/>
  <c r="L1258" i="9"/>
  <c r="M1258" i="9"/>
  <c r="A1259" i="9"/>
  <c r="B1259" i="9"/>
  <c r="C1259" i="9"/>
  <c r="D1259" i="9"/>
  <c r="E1259" i="9"/>
  <c r="F1259" i="9"/>
  <c r="G1259" i="9"/>
  <c r="H1259" i="9"/>
  <c r="I1259" i="9"/>
  <c r="J1259" i="9"/>
  <c r="K1259" i="9" s="1"/>
  <c r="A1260" i="9"/>
  <c r="A1261" i="9"/>
  <c r="I1261" i="9" s="1"/>
  <c r="B1261" i="9"/>
  <c r="C1261" i="9"/>
  <c r="D1261" i="9"/>
  <c r="H1261" i="9"/>
  <c r="J1261" i="9"/>
  <c r="K1261" i="9" s="1"/>
  <c r="M1261" i="9"/>
  <c r="A1262" i="9"/>
  <c r="B1262" i="9"/>
  <c r="C1262" i="9"/>
  <c r="D1262" i="9"/>
  <c r="F1262" i="9"/>
  <c r="I1262" i="9"/>
  <c r="A1263" i="9"/>
  <c r="B1263" i="9"/>
  <c r="C1263" i="9"/>
  <c r="D1263" i="9"/>
  <c r="E1263" i="9"/>
  <c r="F1263" i="9"/>
  <c r="G1263" i="9"/>
  <c r="H1263" i="9"/>
  <c r="I1263" i="9"/>
  <c r="J1263" i="9"/>
  <c r="K1263" i="9" s="1"/>
  <c r="L1263" i="9"/>
  <c r="M1263" i="9"/>
  <c r="A1264" i="9"/>
  <c r="A1265" i="9"/>
  <c r="B1265" i="9"/>
  <c r="E1265" i="9"/>
  <c r="F1265" i="9"/>
  <c r="G1265" i="9"/>
  <c r="H1265" i="9"/>
  <c r="I1265" i="9"/>
  <c r="J1265" i="9"/>
  <c r="K1265" i="9"/>
  <c r="L1265" i="9"/>
  <c r="A1266" i="9"/>
  <c r="B1266" i="9"/>
  <c r="C1266" i="9"/>
  <c r="D1266" i="9"/>
  <c r="E1266" i="9"/>
  <c r="F1266" i="9"/>
  <c r="G1266" i="9"/>
  <c r="H1266" i="9"/>
  <c r="I1266" i="9"/>
  <c r="J1266" i="9"/>
  <c r="K1266" i="9" s="1"/>
  <c r="L1266" i="9"/>
  <c r="M1266" i="9"/>
  <c r="A1267" i="9"/>
  <c r="D1267" i="9" s="1"/>
  <c r="B1267" i="9"/>
  <c r="C1267" i="9"/>
  <c r="A1268" i="9"/>
  <c r="B1268" i="9"/>
  <c r="C1268" i="9"/>
  <c r="D1268" i="9"/>
  <c r="E1268" i="9"/>
  <c r="F1268" i="9"/>
  <c r="G1268" i="9"/>
  <c r="H1268" i="9"/>
  <c r="I1268" i="9"/>
  <c r="J1268" i="9"/>
  <c r="K1268" i="9" s="1"/>
  <c r="L1268" i="9"/>
  <c r="M1268" i="9"/>
  <c r="A1269" i="9"/>
  <c r="B1269" i="9"/>
  <c r="C1269" i="9"/>
  <c r="D1269" i="9"/>
  <c r="E1269" i="9"/>
  <c r="F1269" i="9"/>
  <c r="G1269" i="9"/>
  <c r="H1269" i="9"/>
  <c r="I1269" i="9"/>
  <c r="J1269" i="9"/>
  <c r="K1269" i="9"/>
  <c r="L1269" i="9"/>
  <c r="M1269" i="9"/>
  <c r="A1270" i="9"/>
  <c r="F1270" i="9" s="1"/>
  <c r="M1270" i="9"/>
  <c r="A1271" i="9"/>
  <c r="D1271" i="9"/>
  <c r="E1271" i="9"/>
  <c r="A1272" i="9"/>
  <c r="E1272" i="9"/>
  <c r="F1272" i="9"/>
  <c r="G1272" i="9"/>
  <c r="H1272" i="9"/>
  <c r="J1272" i="9"/>
  <c r="K1272" i="9" s="1"/>
  <c r="L1272" i="9"/>
  <c r="M1272" i="9"/>
  <c r="A1273" i="9"/>
  <c r="B1273" i="9"/>
  <c r="C1273" i="9"/>
  <c r="D1273" i="9"/>
  <c r="L1273" i="9"/>
  <c r="A1274" i="9"/>
  <c r="D1274" i="9" s="1"/>
  <c r="F1274" i="9"/>
  <c r="A1275" i="9"/>
  <c r="B1275" i="9"/>
  <c r="L1275" i="9"/>
  <c r="M1275" i="9"/>
  <c r="A1276" i="9"/>
  <c r="B1276" i="9"/>
  <c r="C1276" i="9"/>
  <c r="D1276" i="9"/>
  <c r="E1276" i="9"/>
  <c r="F1276" i="9"/>
  <c r="G1276" i="9"/>
  <c r="H1276" i="9"/>
  <c r="I1276" i="9"/>
  <c r="M1276" i="9"/>
  <c r="A1277" i="9"/>
  <c r="B1277" i="9"/>
  <c r="C1277" i="9"/>
  <c r="J1277" i="9"/>
  <c r="K1277" i="9" s="1"/>
  <c r="A1278" i="9"/>
  <c r="C1278" i="9" s="1"/>
  <c r="B1278" i="9"/>
  <c r="G1278" i="9"/>
  <c r="H1278" i="9"/>
  <c r="I1278" i="9"/>
  <c r="L1278" i="9"/>
  <c r="M1278" i="9"/>
  <c r="A1279" i="9"/>
  <c r="A1280" i="9"/>
  <c r="B1280" i="9"/>
  <c r="M1280" i="9"/>
  <c r="A1281" i="9"/>
  <c r="B1281" i="9"/>
  <c r="C1281" i="9"/>
  <c r="D1281" i="9"/>
  <c r="H1281" i="9"/>
  <c r="I1281" i="9"/>
  <c r="J1281" i="9"/>
  <c r="K1281" i="9" s="1"/>
  <c r="M1281" i="9"/>
  <c r="A1282" i="9"/>
  <c r="B1282" i="9"/>
  <c r="D1282" i="9"/>
  <c r="G1282" i="9"/>
  <c r="A1283" i="9"/>
  <c r="B1283" i="9"/>
  <c r="C1283" i="9"/>
  <c r="D1283" i="9"/>
  <c r="E1283" i="9"/>
  <c r="F1283" i="9"/>
  <c r="G1283" i="9"/>
  <c r="H1283" i="9"/>
  <c r="I1283" i="9"/>
  <c r="J1283" i="9"/>
  <c r="K1283" i="9" s="1"/>
  <c r="L1283" i="9"/>
  <c r="M1283" i="9"/>
  <c r="A1284" i="9"/>
  <c r="B1284" i="9"/>
  <c r="C1284" i="9"/>
  <c r="D1284" i="9"/>
  <c r="E1284" i="9"/>
  <c r="I1284" i="9"/>
  <c r="J1284" i="9"/>
  <c r="K1284" i="9" s="1"/>
  <c r="A1285" i="9"/>
  <c r="M1285" i="9" s="1"/>
  <c r="B1285" i="9"/>
  <c r="C1285" i="9"/>
  <c r="D1285" i="9"/>
  <c r="E1285" i="9"/>
  <c r="G1285" i="9"/>
  <c r="H1285" i="9"/>
  <c r="I1285" i="9"/>
  <c r="J1285" i="9"/>
  <c r="K1285" i="9" s="1"/>
  <c r="L1285" i="9"/>
  <c r="A1286" i="9"/>
  <c r="B1286" i="9"/>
  <c r="C1286" i="9"/>
  <c r="D1286" i="9"/>
  <c r="E1286" i="9"/>
  <c r="F1286" i="9"/>
  <c r="G1286" i="9"/>
  <c r="H1286" i="9"/>
  <c r="I1286" i="9"/>
  <c r="J1286" i="9"/>
  <c r="K1286" i="9" s="1"/>
  <c r="L1286" i="9"/>
  <c r="M1286" i="9"/>
  <c r="A1287" i="9"/>
  <c r="B1287" i="9"/>
  <c r="C1287" i="9"/>
  <c r="D1287" i="9"/>
  <c r="E1287" i="9"/>
  <c r="F1287" i="9"/>
  <c r="J1287" i="9"/>
  <c r="K1287" i="9" s="1"/>
  <c r="L1287" i="9"/>
  <c r="M1287" i="9"/>
  <c r="A1288" i="9"/>
  <c r="B1288" i="9"/>
  <c r="C1288" i="9"/>
  <c r="D1288" i="9"/>
  <c r="E1288" i="9"/>
  <c r="F1288" i="9"/>
  <c r="G1288" i="9"/>
  <c r="H1288" i="9"/>
  <c r="I1288" i="9"/>
  <c r="J1288" i="9"/>
  <c r="K1288" i="9" s="1"/>
  <c r="L1288" i="9"/>
  <c r="M1288" i="9"/>
  <c r="A1289" i="9"/>
  <c r="B1289" i="9"/>
  <c r="C1289" i="9"/>
  <c r="D1289" i="9"/>
  <c r="E1289" i="9"/>
  <c r="F1289" i="9"/>
  <c r="G1289" i="9"/>
  <c r="H1289" i="9"/>
  <c r="I1289" i="9"/>
  <c r="J1289" i="9"/>
  <c r="K1289" i="9" s="1"/>
  <c r="L1289" i="9"/>
  <c r="M1289" i="9"/>
  <c r="A1290" i="9"/>
  <c r="M1290" i="9"/>
  <c r="A1291" i="9"/>
  <c r="C1291" i="9"/>
  <c r="D1291" i="9"/>
  <c r="E1291" i="9"/>
  <c r="G1291" i="9"/>
  <c r="M1291" i="9"/>
  <c r="A1292" i="9"/>
  <c r="E1292" i="9"/>
  <c r="G1292" i="9"/>
  <c r="H1292" i="9"/>
  <c r="J1292" i="9"/>
  <c r="K1292" i="9" s="1"/>
  <c r="L1292" i="9"/>
  <c r="M1292" i="9"/>
  <c r="A1293" i="9"/>
  <c r="B1293" i="9" s="1"/>
  <c r="C1293" i="9"/>
  <c r="D1293" i="9"/>
  <c r="E1293" i="9"/>
  <c r="F1293" i="9"/>
  <c r="M1293" i="9"/>
  <c r="A1294" i="9"/>
  <c r="B1294" i="9"/>
  <c r="D1294" i="9"/>
  <c r="F1294" i="9"/>
  <c r="G1294" i="9"/>
  <c r="H1294" i="9"/>
  <c r="I1294" i="9"/>
  <c r="J1294" i="9"/>
  <c r="K1294" i="9" s="1"/>
  <c r="L1294" i="9"/>
  <c r="M1294" i="9"/>
  <c r="A1295" i="9"/>
  <c r="B1295" i="9"/>
  <c r="A1296" i="9"/>
  <c r="F1296" i="9" s="1"/>
  <c r="B1296" i="9"/>
  <c r="D1296" i="9"/>
  <c r="I1296" i="9"/>
  <c r="M1296" i="9"/>
  <c r="A1297" i="9"/>
  <c r="A1298" i="9"/>
  <c r="B1298" i="9"/>
  <c r="C1298" i="9"/>
  <c r="G1298" i="9"/>
  <c r="H1298" i="9"/>
  <c r="I1298" i="9"/>
  <c r="J1298" i="9"/>
  <c r="K1298" i="9" s="1"/>
  <c r="L1298" i="9"/>
  <c r="M1298" i="9"/>
  <c r="A1299" i="9"/>
  <c r="B1299" i="9"/>
  <c r="C1299" i="9"/>
  <c r="D1299" i="9"/>
  <c r="H1299" i="9"/>
  <c r="I1299" i="9"/>
  <c r="A1300" i="9"/>
  <c r="A1301" i="9"/>
  <c r="B1301" i="9"/>
  <c r="I1301" i="9"/>
  <c r="J1301" i="9"/>
  <c r="K1301" i="9" s="1"/>
  <c r="M1301" i="9"/>
  <c r="A1302" i="9"/>
  <c r="B1302" i="9"/>
  <c r="C1302" i="9"/>
  <c r="D1302" i="9"/>
  <c r="E1302" i="9"/>
  <c r="F1302" i="9"/>
  <c r="G1302" i="9"/>
  <c r="H1302" i="9"/>
  <c r="I1302" i="9"/>
  <c r="J1302" i="9"/>
  <c r="K1302" i="9" s="1"/>
  <c r="A1303" i="9"/>
  <c r="B1303" i="9"/>
  <c r="C1303" i="9"/>
  <c r="D1303" i="9"/>
  <c r="E1303" i="9"/>
  <c r="F1303" i="9"/>
  <c r="G1303" i="9"/>
  <c r="H1303" i="9"/>
  <c r="I1303" i="9"/>
  <c r="J1303" i="9"/>
  <c r="K1303" i="9"/>
  <c r="L1303" i="9"/>
  <c r="M1303" i="9"/>
  <c r="A1304" i="9"/>
  <c r="B1304" i="9" s="1"/>
  <c r="I1304" i="9"/>
  <c r="J1304" i="9"/>
  <c r="K1304" i="9" s="1"/>
  <c r="A1305" i="9"/>
  <c r="M1305" i="9" s="1"/>
  <c r="B1305" i="9"/>
  <c r="C1305" i="9"/>
  <c r="D1305" i="9"/>
  <c r="E1305" i="9"/>
  <c r="F1305" i="9"/>
  <c r="G1305" i="9"/>
  <c r="H1305" i="9"/>
  <c r="I1305" i="9"/>
  <c r="J1305" i="9"/>
  <c r="K1305" i="9"/>
  <c r="L1305" i="9"/>
  <c r="A1306" i="9"/>
  <c r="B1306" i="9"/>
  <c r="C1306" i="9"/>
  <c r="D1306" i="9"/>
  <c r="E1306" i="9"/>
  <c r="F1306" i="9"/>
  <c r="G1306" i="9"/>
  <c r="H1306" i="9"/>
  <c r="I1306" i="9"/>
  <c r="J1306" i="9"/>
  <c r="K1306" i="9" s="1"/>
  <c r="L1306" i="9"/>
  <c r="M1306" i="9"/>
  <c r="A1307" i="9"/>
  <c r="D1307" i="9" s="1"/>
  <c r="B1307" i="9"/>
  <c r="E1307" i="9"/>
  <c r="F1307" i="9"/>
  <c r="L1307" i="9"/>
  <c r="M1307" i="9"/>
  <c r="A1308" i="9"/>
  <c r="B1308" i="9"/>
  <c r="C1308" i="9"/>
  <c r="D1308" i="9"/>
  <c r="E1308" i="9"/>
  <c r="F1308" i="9"/>
  <c r="G1308" i="9"/>
  <c r="H1308" i="9"/>
  <c r="I1308" i="9"/>
  <c r="J1308" i="9"/>
  <c r="K1308" i="9"/>
  <c r="L1308" i="9"/>
  <c r="M1308" i="9"/>
  <c r="A1309" i="9"/>
  <c r="B1309" i="9"/>
  <c r="C1309" i="9"/>
  <c r="D1309" i="9"/>
  <c r="E1309" i="9"/>
  <c r="F1309" i="9"/>
  <c r="G1309" i="9"/>
  <c r="H1309" i="9"/>
  <c r="I1309" i="9"/>
  <c r="J1309" i="9"/>
  <c r="K1309" i="9"/>
  <c r="L1309" i="9"/>
  <c r="M1309" i="9"/>
  <c r="A1310" i="9"/>
  <c r="B1310" i="9" s="1"/>
  <c r="C1310" i="9"/>
  <c r="D1310" i="9"/>
  <c r="E1310" i="9"/>
  <c r="F1310" i="9"/>
  <c r="L1310" i="9"/>
  <c r="M1310" i="9"/>
  <c r="A1311" i="9"/>
  <c r="C1311" i="9"/>
  <c r="E1311" i="9"/>
  <c r="F1311" i="9"/>
  <c r="G1311" i="9"/>
  <c r="H1311" i="9"/>
  <c r="I1311" i="9"/>
  <c r="J1311" i="9"/>
  <c r="K1311" i="9" s="1"/>
  <c r="A1312" i="9"/>
  <c r="E1312" i="9" s="1"/>
  <c r="F1312" i="9"/>
  <c r="J1312" i="9"/>
  <c r="K1312" i="9" s="1"/>
  <c r="M1312" i="9"/>
  <c r="A1313" i="9"/>
  <c r="B1313" i="9" s="1"/>
  <c r="C1313" i="9"/>
  <c r="D1313" i="9"/>
  <c r="E1313" i="9"/>
  <c r="G1313" i="9"/>
  <c r="H1313" i="9"/>
  <c r="A1314" i="9"/>
  <c r="C1314" i="9" s="1"/>
  <c r="B1314" i="9"/>
  <c r="D1314" i="9"/>
  <c r="E1314" i="9"/>
  <c r="F1314" i="9"/>
  <c r="H1314" i="9"/>
  <c r="I1314" i="9"/>
  <c r="J1314" i="9"/>
  <c r="K1314" i="9"/>
  <c r="L1314" i="9"/>
  <c r="M1314" i="9"/>
  <c r="A1315" i="9"/>
  <c r="B1315" i="9"/>
  <c r="A1316" i="9"/>
  <c r="B1316" i="9"/>
  <c r="C1316" i="9"/>
  <c r="D1316" i="9"/>
  <c r="F1316" i="9"/>
  <c r="G1316" i="9"/>
  <c r="H1316" i="9"/>
  <c r="I1316" i="9"/>
  <c r="M1316" i="9"/>
  <c r="A1317" i="9"/>
  <c r="C1317" i="9"/>
  <c r="G1317" i="9"/>
  <c r="H1317" i="9"/>
  <c r="L1317" i="9"/>
  <c r="M1317" i="9"/>
  <c r="A1318" i="9"/>
  <c r="A1319" i="9"/>
  <c r="C1319" i="9" s="1"/>
  <c r="D1319" i="9"/>
  <c r="F1319" i="9"/>
  <c r="A1320" i="9"/>
  <c r="B1320" i="9"/>
  <c r="C1320" i="9"/>
  <c r="F1320" i="9"/>
  <c r="G1320" i="9"/>
  <c r="H1320" i="9"/>
  <c r="I1320" i="9"/>
  <c r="J1320" i="9"/>
  <c r="K1320" i="9" s="1"/>
  <c r="L1320" i="9"/>
  <c r="M1320" i="9"/>
  <c r="A1321" i="9"/>
  <c r="B1321" i="9"/>
  <c r="C1321" i="9"/>
  <c r="D1321" i="9"/>
  <c r="M1321" i="9"/>
  <c r="A1322" i="9"/>
  <c r="B1322" i="9"/>
  <c r="D1322" i="9"/>
  <c r="E1322" i="9"/>
  <c r="F1322" i="9"/>
  <c r="G1322" i="9"/>
  <c r="H1322" i="9"/>
  <c r="I1322" i="9"/>
  <c r="J1322" i="9"/>
  <c r="K1322" i="9" s="1"/>
  <c r="A1323" i="9"/>
  <c r="B1323" i="9"/>
  <c r="C1323" i="9"/>
  <c r="D1323" i="9"/>
  <c r="E1323" i="9"/>
  <c r="F1323" i="9"/>
  <c r="G1323" i="9"/>
  <c r="H1323" i="9"/>
  <c r="I1323" i="9"/>
  <c r="J1323" i="9"/>
  <c r="K1323" i="9" s="1"/>
  <c r="L1323" i="9"/>
  <c r="M1323" i="9"/>
  <c r="A1324" i="9"/>
  <c r="B1324" i="9"/>
  <c r="C1324" i="9"/>
  <c r="D1324" i="9"/>
  <c r="E1324" i="9"/>
  <c r="I1324" i="9"/>
  <c r="J1324" i="9"/>
  <c r="K1324" i="9" s="1"/>
  <c r="L1324" i="9"/>
  <c r="A1325" i="9"/>
  <c r="B1325" i="9"/>
  <c r="A1326" i="9"/>
  <c r="B1326" i="9"/>
  <c r="C1326" i="9"/>
  <c r="D1326" i="9"/>
  <c r="E1326" i="9"/>
  <c r="F1326" i="9"/>
  <c r="G1326" i="9"/>
  <c r="H1326" i="9"/>
  <c r="I1326" i="9"/>
  <c r="J1326" i="9"/>
  <c r="K1326" i="9" s="1"/>
  <c r="L1326" i="9"/>
  <c r="M1326" i="9"/>
  <c r="A1327" i="9"/>
  <c r="B1327" i="9"/>
  <c r="A1328" i="9"/>
  <c r="B1328" i="9"/>
  <c r="C1328" i="9"/>
  <c r="D1328" i="9"/>
  <c r="E1328" i="9"/>
  <c r="F1328" i="9"/>
  <c r="G1328" i="9"/>
  <c r="H1328" i="9"/>
  <c r="I1328" i="9"/>
  <c r="J1328" i="9"/>
  <c r="K1328" i="9" s="1"/>
  <c r="L1328" i="9"/>
  <c r="M1328" i="9"/>
  <c r="A1329" i="9"/>
  <c r="B1329" i="9"/>
  <c r="C1329" i="9"/>
  <c r="D1329" i="9"/>
  <c r="E1329" i="9"/>
  <c r="F1329" i="9"/>
  <c r="G1329" i="9"/>
  <c r="H1329" i="9"/>
  <c r="I1329" i="9"/>
  <c r="J1329" i="9"/>
  <c r="K1329" i="9"/>
  <c r="L1329" i="9"/>
  <c r="M1329" i="9"/>
  <c r="A1330" i="9"/>
  <c r="E1330" i="9"/>
  <c r="F1330" i="9"/>
  <c r="M1330" i="9"/>
  <c r="A1331" i="9"/>
  <c r="B1331" i="9"/>
  <c r="C1331" i="9"/>
  <c r="A1332" i="9"/>
  <c r="I1332" i="9" s="1"/>
  <c r="E1332" i="9"/>
  <c r="F1332" i="9"/>
  <c r="G1332" i="9"/>
  <c r="H1332" i="9"/>
  <c r="J1332" i="9"/>
  <c r="K1332" i="9" s="1"/>
  <c r="L1332" i="9"/>
  <c r="M1332" i="9"/>
  <c r="A1333" i="9"/>
  <c r="B1333" i="9" s="1"/>
  <c r="A1334" i="9"/>
  <c r="F1334" i="9" s="1"/>
  <c r="B1334" i="9"/>
  <c r="C1334" i="9"/>
  <c r="D1334" i="9"/>
  <c r="E1334" i="9"/>
  <c r="G1334" i="9"/>
  <c r="H1334" i="9"/>
  <c r="I1334" i="9"/>
  <c r="J1334" i="9"/>
  <c r="K1334" i="9" s="1"/>
  <c r="L1334" i="9"/>
  <c r="M1334" i="9"/>
  <c r="A1335" i="9"/>
  <c r="B1335" i="9" s="1"/>
  <c r="F1335" i="9"/>
  <c r="G1335" i="9"/>
  <c r="A1336" i="9"/>
  <c r="B1336" i="9"/>
  <c r="D1336" i="9"/>
  <c r="E1336" i="9"/>
  <c r="F1336" i="9"/>
  <c r="G1336" i="9"/>
  <c r="H1336" i="9"/>
  <c r="I1336" i="9"/>
  <c r="M1336" i="9"/>
  <c r="A1337" i="9"/>
  <c r="C1337" i="9"/>
  <c r="D1337" i="9"/>
  <c r="E1337" i="9"/>
  <c r="I1337" i="9"/>
  <c r="J1337" i="9"/>
  <c r="K1337" i="9" s="1"/>
  <c r="L1337" i="9"/>
  <c r="A1338" i="9"/>
  <c r="B1338" i="9"/>
  <c r="G1338" i="9"/>
  <c r="J1338" i="9"/>
  <c r="K1338" i="9" s="1"/>
  <c r="A1339" i="9"/>
  <c r="B1339" i="9"/>
  <c r="G1339" i="9"/>
  <c r="H1339" i="9"/>
  <c r="I1339" i="9"/>
  <c r="A1340" i="9"/>
  <c r="B1340" i="9"/>
  <c r="C1340" i="9"/>
  <c r="D1340" i="9"/>
  <c r="E1340" i="9"/>
  <c r="F1340" i="9"/>
  <c r="H1340" i="9"/>
  <c r="L1340" i="9"/>
  <c r="A1341" i="9"/>
  <c r="B1341" i="9" s="1"/>
  <c r="C1341" i="9"/>
  <c r="D1341" i="9"/>
  <c r="H1341" i="9"/>
  <c r="I1341" i="9"/>
  <c r="L1341" i="9"/>
  <c r="M1341" i="9"/>
  <c r="A1342" i="9"/>
  <c r="D1342" i="9" s="1"/>
  <c r="B1342" i="9"/>
  <c r="C1342" i="9"/>
  <c r="E1342" i="9"/>
  <c r="F1342" i="9"/>
  <c r="H1342" i="9"/>
  <c r="A1343" i="9"/>
  <c r="B1343" i="9"/>
  <c r="C1343" i="9"/>
  <c r="D1343" i="9"/>
  <c r="E1343" i="9"/>
  <c r="F1343" i="9"/>
  <c r="G1343" i="9"/>
  <c r="H1343" i="9"/>
  <c r="I1343" i="9"/>
  <c r="J1343" i="9"/>
  <c r="K1343" i="9" s="1"/>
  <c r="L1343" i="9"/>
  <c r="M1343" i="9"/>
  <c r="A1344" i="9"/>
  <c r="D1344" i="9" s="1"/>
  <c r="B1344" i="9"/>
  <c r="C1344" i="9"/>
  <c r="L1344" i="9"/>
  <c r="A1345" i="9"/>
  <c r="I1345" i="9" s="1"/>
  <c r="B1345" i="9"/>
  <c r="D1345" i="9"/>
  <c r="E1345" i="9"/>
  <c r="F1345" i="9"/>
  <c r="G1345" i="9"/>
  <c r="H1345" i="9"/>
  <c r="J1345" i="9"/>
  <c r="K1345" i="9" s="1"/>
  <c r="L1345" i="9"/>
  <c r="A1346" i="9"/>
  <c r="B1346" i="9"/>
  <c r="C1346" i="9"/>
  <c r="D1346" i="9"/>
  <c r="E1346" i="9"/>
  <c r="F1346" i="9"/>
  <c r="G1346" i="9"/>
  <c r="H1346" i="9"/>
  <c r="I1346" i="9"/>
  <c r="J1346" i="9"/>
  <c r="K1346" i="9" s="1"/>
  <c r="L1346" i="9"/>
  <c r="M1346" i="9"/>
  <c r="A1347" i="9"/>
  <c r="B1347" i="9" s="1"/>
  <c r="C1347" i="9"/>
  <c r="D1347" i="9"/>
  <c r="F1347" i="9"/>
  <c r="J1347" i="9"/>
  <c r="K1347" i="9" s="1"/>
  <c r="L1347" i="9"/>
  <c r="M1347" i="9"/>
  <c r="A1348" i="9"/>
  <c r="B1348" i="9"/>
  <c r="C1348" i="9"/>
  <c r="D1348" i="9"/>
  <c r="E1348" i="9"/>
  <c r="F1348" i="9"/>
  <c r="G1348" i="9"/>
  <c r="H1348" i="9"/>
  <c r="I1348" i="9"/>
  <c r="J1348" i="9"/>
  <c r="K1348" i="9" s="1"/>
  <c r="L1348" i="9"/>
  <c r="M1348" i="9"/>
  <c r="A1349" i="9"/>
  <c r="B1349" i="9"/>
  <c r="C1349" i="9"/>
  <c r="D1349" i="9"/>
  <c r="E1349" i="9"/>
  <c r="F1349" i="9"/>
  <c r="G1349" i="9"/>
  <c r="H1349" i="9"/>
  <c r="I1349" i="9"/>
  <c r="J1349" i="9"/>
  <c r="K1349" i="9" s="1"/>
  <c r="L1349" i="9"/>
  <c r="M1349" i="9"/>
  <c r="A1350" i="9"/>
  <c r="C1350" i="9"/>
  <c r="D1350" i="9"/>
  <c r="E1350" i="9"/>
  <c r="F1350" i="9"/>
  <c r="G1350" i="9"/>
  <c r="L1350" i="9"/>
  <c r="M1350" i="9"/>
  <c r="A1351" i="9"/>
  <c r="C1351" i="9" s="1"/>
  <c r="B1351" i="9"/>
  <c r="D1351" i="9"/>
  <c r="H1351" i="9"/>
  <c r="A1352" i="9"/>
  <c r="E1352" i="9"/>
  <c r="F1352" i="9"/>
  <c r="G1352" i="9"/>
  <c r="H1352" i="9"/>
  <c r="I1352" i="9"/>
  <c r="J1352" i="9"/>
  <c r="K1352" i="9" s="1"/>
  <c r="L1352" i="9"/>
  <c r="M1352" i="9"/>
  <c r="A1353" i="9"/>
  <c r="E1353" i="9"/>
  <c r="F1353" i="9"/>
  <c r="G1353" i="9"/>
  <c r="H1353" i="9"/>
  <c r="M1353" i="9"/>
  <c r="A1354" i="9"/>
  <c r="B1354" i="9" s="1"/>
  <c r="C1354" i="9"/>
  <c r="D1354" i="9"/>
  <c r="F1354" i="9"/>
  <c r="I1354" i="9"/>
  <c r="J1354" i="9"/>
  <c r="K1354" i="9" s="1"/>
  <c r="A1355" i="9"/>
  <c r="I1355" i="9" s="1"/>
  <c r="B1355" i="9"/>
  <c r="F1355" i="9"/>
  <c r="G1355" i="9"/>
  <c r="H1355" i="9"/>
  <c r="J1355" i="9"/>
  <c r="K1355" i="9" s="1"/>
  <c r="L1355" i="9"/>
  <c r="M1355" i="9"/>
  <c r="A1356" i="9"/>
  <c r="A1357" i="9"/>
  <c r="F1357" i="9" s="1"/>
  <c r="B1357" i="9"/>
  <c r="C1357" i="9"/>
  <c r="D1357" i="9"/>
  <c r="E1357" i="9"/>
  <c r="G1357" i="9"/>
  <c r="H1357" i="9"/>
  <c r="I1357" i="9"/>
  <c r="J1357" i="9"/>
  <c r="K1357" i="9" s="1"/>
  <c r="L1357" i="9"/>
  <c r="M1357" i="9"/>
  <c r="A1358" i="9"/>
  <c r="B1358" i="9" s="1"/>
  <c r="G1358" i="9"/>
  <c r="L1358" i="9"/>
  <c r="A1359" i="9"/>
  <c r="I1359" i="9" s="1"/>
  <c r="B1359" i="9"/>
  <c r="D1359" i="9"/>
  <c r="E1359" i="9"/>
  <c r="F1359" i="9"/>
  <c r="G1359" i="9"/>
  <c r="H1359" i="9"/>
  <c r="J1359" i="9"/>
  <c r="K1359" i="9" s="1"/>
  <c r="A1360" i="9"/>
  <c r="B1360" i="9"/>
  <c r="C1360" i="9"/>
  <c r="D1360" i="9"/>
  <c r="E1360" i="9"/>
  <c r="I1360" i="9"/>
  <c r="J1360" i="9"/>
  <c r="K1360" i="9"/>
  <c r="A1361" i="9"/>
  <c r="D1361" i="9" s="1"/>
  <c r="H1361" i="9"/>
  <c r="I1361" i="9"/>
  <c r="J1361" i="9"/>
  <c r="K1361" i="9" s="1"/>
  <c r="A1362" i="9"/>
  <c r="B1362" i="9"/>
  <c r="F1362" i="9"/>
  <c r="G1362" i="9"/>
  <c r="H1362" i="9"/>
  <c r="I1362" i="9"/>
  <c r="A1363" i="9"/>
  <c r="B1363" i="9"/>
  <c r="C1363" i="9"/>
  <c r="D1363" i="9"/>
  <c r="E1363" i="9"/>
  <c r="F1363" i="9"/>
  <c r="G1363" i="9"/>
  <c r="H1363" i="9"/>
  <c r="I1363" i="9"/>
  <c r="J1363" i="9"/>
  <c r="K1363" i="9" s="1"/>
  <c r="L1363" i="9"/>
  <c r="M1363" i="9"/>
  <c r="A1364" i="9"/>
  <c r="I1364" i="9" s="1"/>
  <c r="B1364" i="9"/>
  <c r="C1364" i="9"/>
  <c r="D1364" i="9"/>
  <c r="E1364" i="9"/>
  <c r="J1364" i="9"/>
  <c r="K1364" i="9" s="1"/>
  <c r="L1364" i="9"/>
  <c r="M1364" i="9"/>
  <c r="A1365" i="9"/>
  <c r="B1365" i="9"/>
  <c r="C1365" i="9"/>
  <c r="D1365" i="9"/>
  <c r="E1365" i="9"/>
  <c r="F1365" i="9"/>
  <c r="G1365" i="9"/>
  <c r="H1365" i="9"/>
  <c r="L1365" i="9"/>
  <c r="A1366" i="9"/>
  <c r="B1366" i="9"/>
  <c r="C1366" i="9"/>
  <c r="D1366" i="9"/>
  <c r="E1366" i="9"/>
  <c r="F1366" i="9"/>
  <c r="G1366" i="9"/>
  <c r="H1366" i="9"/>
  <c r="I1366" i="9"/>
  <c r="J1366" i="9"/>
  <c r="K1366" i="9" s="1"/>
  <c r="L1366" i="9"/>
  <c r="M1366" i="9"/>
  <c r="A1367" i="9"/>
  <c r="B1367" i="9"/>
  <c r="C1367" i="9"/>
  <c r="J1367" i="9"/>
  <c r="K1367" i="9" s="1"/>
  <c r="L1367" i="9"/>
  <c r="M1367" i="9"/>
  <c r="A1368" i="9"/>
  <c r="B1368" i="9"/>
  <c r="C1368" i="9"/>
  <c r="D1368" i="9"/>
  <c r="E1368" i="9"/>
  <c r="F1368" i="9"/>
  <c r="G1368" i="9"/>
  <c r="H1368" i="9"/>
  <c r="I1368" i="9"/>
  <c r="J1368" i="9"/>
  <c r="K1368" i="9" s="1"/>
  <c r="L1368" i="9"/>
  <c r="M1368" i="9"/>
  <c r="A1369" i="9"/>
  <c r="B1369" i="9"/>
  <c r="C1369" i="9"/>
  <c r="D1369" i="9"/>
  <c r="E1369" i="9"/>
  <c r="F1369" i="9"/>
  <c r="G1369" i="9"/>
  <c r="H1369" i="9"/>
  <c r="I1369" i="9"/>
  <c r="J1369" i="9"/>
  <c r="K1369" i="9"/>
  <c r="L1369" i="9"/>
  <c r="M1369" i="9"/>
  <c r="A1370" i="9"/>
  <c r="A1371" i="9"/>
  <c r="E1371" i="9" s="1"/>
  <c r="B1371" i="9"/>
  <c r="C1371" i="9"/>
  <c r="D1371" i="9"/>
  <c r="F1371" i="9"/>
  <c r="G1371" i="9"/>
  <c r="H1371" i="9"/>
  <c r="I1371" i="9"/>
  <c r="J1371" i="9"/>
  <c r="K1371" i="9" s="1"/>
  <c r="L1371" i="9"/>
  <c r="M1371" i="9"/>
  <c r="A1372" i="9"/>
  <c r="G1372" i="9" s="1"/>
  <c r="E1372" i="9"/>
  <c r="F1372" i="9"/>
  <c r="L1372" i="9"/>
  <c r="A1373" i="9"/>
  <c r="E1373" i="9" s="1"/>
  <c r="F1373" i="9"/>
  <c r="A1374" i="9"/>
  <c r="B1374" i="9"/>
  <c r="C1374" i="9"/>
  <c r="D1374" i="9"/>
  <c r="H1374" i="9"/>
  <c r="I1374" i="9"/>
  <c r="J1374" i="9"/>
  <c r="K1374" i="9" s="1"/>
  <c r="M1374" i="9"/>
  <c r="A1375" i="9"/>
  <c r="H1375" i="9" s="1"/>
  <c r="I1375" i="9"/>
  <c r="J1375" i="9"/>
  <c r="K1375" i="9" s="1"/>
  <c r="L1375" i="9"/>
  <c r="M1375" i="9"/>
  <c r="A1376" i="9"/>
  <c r="J1376" i="9" s="1"/>
  <c r="K1376" i="9" s="1"/>
  <c r="B1376" i="9"/>
  <c r="C1376" i="9"/>
  <c r="D1376" i="9"/>
  <c r="E1376" i="9"/>
  <c r="F1376" i="9"/>
  <c r="G1376" i="9"/>
  <c r="H1376" i="9"/>
  <c r="I1376" i="9"/>
  <c r="L1376" i="9"/>
  <c r="M1376" i="9"/>
  <c r="A1377" i="9"/>
  <c r="E1377" i="9" s="1"/>
  <c r="D1377" i="9"/>
  <c r="F1377" i="9"/>
  <c r="G1377" i="9"/>
  <c r="H1377" i="9"/>
  <c r="I1377" i="9"/>
  <c r="A1378" i="9"/>
  <c r="B1378" i="9" s="1"/>
  <c r="G1378" i="9"/>
  <c r="A1379" i="9"/>
  <c r="D1379" i="9"/>
  <c r="E1379" i="9"/>
  <c r="I1379" i="9"/>
  <c r="J1379" i="9"/>
  <c r="K1379" i="9" s="1"/>
  <c r="M1379" i="9"/>
  <c r="A1380" i="9"/>
  <c r="D1380" i="9"/>
  <c r="E1380" i="9"/>
  <c r="F1380" i="9"/>
  <c r="G1380" i="9"/>
  <c r="H1380" i="9"/>
  <c r="I1380" i="9"/>
  <c r="J1380" i="9"/>
  <c r="K1380" i="9" s="1"/>
  <c r="L1380" i="9"/>
  <c r="A1381" i="9"/>
  <c r="I1381" i="9"/>
  <c r="J1381" i="9"/>
  <c r="K1381" i="9" s="1"/>
  <c r="A1382" i="9"/>
  <c r="B1382" i="9"/>
  <c r="D1382" i="9"/>
  <c r="E1382" i="9"/>
  <c r="F1382" i="9"/>
  <c r="G1382" i="9"/>
  <c r="H1382" i="9"/>
  <c r="I1382" i="9"/>
  <c r="J1382" i="9"/>
  <c r="K1382" i="9" s="1"/>
  <c r="A1383" i="9"/>
  <c r="B1383" i="9" s="1"/>
  <c r="C1383" i="9"/>
  <c r="D1383" i="9"/>
  <c r="E1383" i="9"/>
  <c r="F1383" i="9"/>
  <c r="H1383" i="9"/>
  <c r="I1383" i="9"/>
  <c r="J1383" i="9"/>
  <c r="K1383" i="9" s="1"/>
  <c r="L1383" i="9"/>
  <c r="M1383" i="9"/>
  <c r="A1384" i="9"/>
  <c r="C1384" i="9"/>
  <c r="D1384" i="9"/>
  <c r="E1384" i="9"/>
  <c r="H1384" i="9"/>
  <c r="L1384" i="9"/>
  <c r="M1384" i="9"/>
  <c r="A1385" i="9"/>
  <c r="D1385" i="9" s="1"/>
  <c r="B1385" i="9"/>
  <c r="F1385" i="9"/>
  <c r="I1385" i="9"/>
  <c r="J1385" i="9"/>
  <c r="K1385" i="9" s="1"/>
  <c r="L1385" i="9"/>
  <c r="A1386" i="9"/>
  <c r="B1386" i="9"/>
  <c r="C1386" i="9"/>
  <c r="D1386" i="9"/>
  <c r="E1386" i="9"/>
  <c r="F1386" i="9"/>
  <c r="G1386" i="9"/>
  <c r="H1386" i="9"/>
  <c r="I1386" i="9"/>
  <c r="J1386" i="9"/>
  <c r="K1386" i="9" s="1"/>
  <c r="L1386" i="9"/>
  <c r="M1386" i="9"/>
  <c r="A1387" i="9"/>
  <c r="B1387" i="9"/>
  <c r="C1387" i="9"/>
  <c r="D1387" i="9"/>
  <c r="E1387" i="9"/>
  <c r="F1387" i="9"/>
  <c r="I1387" i="9"/>
  <c r="J1387" i="9"/>
  <c r="K1387" i="9" s="1"/>
  <c r="L1387" i="9"/>
  <c r="A1388" i="9"/>
  <c r="B1388" i="9" s="1"/>
  <c r="C1388" i="9"/>
  <c r="D1388" i="9"/>
  <c r="E1388" i="9"/>
  <c r="F1388" i="9"/>
  <c r="H1388" i="9"/>
  <c r="I1388" i="9"/>
  <c r="J1388" i="9"/>
  <c r="K1388" i="9" s="1"/>
  <c r="L1388" i="9"/>
  <c r="M1388" i="9"/>
  <c r="A1389" i="9"/>
  <c r="B1389" i="9"/>
  <c r="C1389" i="9"/>
  <c r="D1389" i="9"/>
  <c r="E1389" i="9"/>
  <c r="F1389" i="9"/>
  <c r="G1389" i="9"/>
  <c r="H1389" i="9"/>
  <c r="I1389" i="9"/>
  <c r="J1389" i="9"/>
  <c r="K1389" i="9" s="1"/>
  <c r="L1389" i="9"/>
  <c r="M1389" i="9"/>
  <c r="A1390" i="9"/>
  <c r="B1390" i="9"/>
  <c r="C1390" i="9"/>
  <c r="D1390" i="9"/>
  <c r="E1390" i="9"/>
  <c r="F1390" i="9"/>
  <c r="G1390" i="9"/>
  <c r="J1390" i="9"/>
  <c r="K1390" i="9" s="1"/>
  <c r="L1390" i="9"/>
  <c r="M1390" i="9"/>
  <c r="A1391" i="9"/>
  <c r="B1391" i="9"/>
  <c r="F1391" i="9"/>
  <c r="G1391" i="9"/>
  <c r="H1391" i="9"/>
  <c r="L1391" i="9"/>
  <c r="A1392" i="9"/>
  <c r="D1392" i="9"/>
  <c r="E1392" i="9"/>
  <c r="F1392" i="9"/>
  <c r="G1392" i="9"/>
  <c r="H1392" i="9"/>
  <c r="J1392" i="9"/>
  <c r="K1392" i="9" s="1"/>
  <c r="A1393" i="9"/>
  <c r="F1393" i="9" s="1"/>
  <c r="B1393" i="9"/>
  <c r="C1393" i="9"/>
  <c r="D1393" i="9"/>
  <c r="E1393" i="9"/>
  <c r="G1393" i="9"/>
  <c r="H1393" i="9"/>
  <c r="L1393" i="9"/>
  <c r="M1393" i="9"/>
  <c r="A1394" i="9"/>
  <c r="B1394" i="9"/>
  <c r="C1394" i="9"/>
  <c r="A1395" i="9"/>
  <c r="A1396" i="9"/>
  <c r="B1396" i="9"/>
  <c r="C1396" i="9"/>
  <c r="G1396" i="9"/>
  <c r="A1397" i="9"/>
  <c r="M1397" i="9" s="1"/>
  <c r="B1397" i="9"/>
  <c r="C1397" i="9"/>
  <c r="D1397" i="9"/>
  <c r="E1397" i="9"/>
  <c r="F1397" i="9"/>
  <c r="G1397" i="9"/>
  <c r="H1397" i="9"/>
  <c r="I1397" i="9"/>
  <c r="J1397" i="9"/>
  <c r="K1397" i="9" s="1"/>
  <c r="L1397" i="9"/>
  <c r="A1398" i="9"/>
  <c r="B1398" i="9" s="1"/>
  <c r="C1398" i="9"/>
  <c r="F1398" i="9"/>
  <c r="G1398" i="9"/>
  <c r="H1398" i="9"/>
  <c r="J1398" i="9"/>
  <c r="K1398" i="9" s="1"/>
  <c r="L1398" i="9"/>
  <c r="M1398" i="9"/>
  <c r="A1399" i="9"/>
  <c r="D1399" i="9" s="1"/>
  <c r="B1399" i="9"/>
  <c r="C1399" i="9"/>
  <c r="E1399" i="9"/>
  <c r="F1399" i="9"/>
  <c r="G1399" i="9"/>
  <c r="H1399" i="9"/>
  <c r="A1400" i="9"/>
  <c r="A1401" i="9"/>
  <c r="B1401" i="9" s="1"/>
  <c r="C1401" i="9"/>
  <c r="D1401" i="9"/>
  <c r="L1401" i="9"/>
  <c r="M1401" i="9"/>
  <c r="A1402" i="9"/>
  <c r="B1402" i="9"/>
  <c r="C1402" i="9"/>
  <c r="D1402" i="9"/>
  <c r="E1402" i="9"/>
  <c r="F1402" i="9"/>
  <c r="G1402" i="9"/>
  <c r="H1402" i="9"/>
  <c r="I1402" i="9"/>
  <c r="J1402" i="9"/>
  <c r="K1402" i="9" s="1"/>
  <c r="A1403" i="9"/>
  <c r="B1403" i="9"/>
  <c r="F1403" i="9"/>
  <c r="G1403" i="9"/>
  <c r="H1403" i="9"/>
  <c r="I1403" i="9"/>
  <c r="L1403" i="9"/>
  <c r="M1403" i="9"/>
  <c r="A1404" i="9"/>
  <c r="B1404" i="9" s="1"/>
  <c r="C1404" i="9"/>
  <c r="D1404" i="9"/>
  <c r="E1404" i="9"/>
  <c r="H1404" i="9"/>
  <c r="I1404" i="9"/>
  <c r="J1404" i="9"/>
  <c r="K1404" i="9" s="1"/>
  <c r="A1405" i="9"/>
  <c r="M1405" i="9" s="1"/>
  <c r="B1405" i="9"/>
  <c r="C1405" i="9"/>
  <c r="D1405" i="9"/>
  <c r="E1405" i="9"/>
  <c r="G1405" i="9"/>
  <c r="H1405" i="9"/>
  <c r="I1405" i="9"/>
  <c r="J1405" i="9"/>
  <c r="K1405" i="9" s="1"/>
  <c r="L1405" i="9"/>
  <c r="A1406" i="9"/>
  <c r="B1406" i="9"/>
  <c r="C1406" i="9"/>
  <c r="D1406" i="9"/>
  <c r="E1406" i="9"/>
  <c r="F1406" i="9"/>
  <c r="G1406" i="9"/>
  <c r="H1406" i="9"/>
  <c r="I1406" i="9"/>
  <c r="J1406" i="9"/>
  <c r="K1406" i="9" s="1"/>
  <c r="L1406" i="9"/>
  <c r="M1406" i="9"/>
  <c r="A1407" i="9"/>
  <c r="B1407" i="9"/>
  <c r="C1407" i="9"/>
  <c r="D1407" i="9"/>
  <c r="E1407" i="9"/>
  <c r="F1407" i="9"/>
  <c r="I1407" i="9"/>
  <c r="J1407" i="9"/>
  <c r="K1407" i="9"/>
  <c r="L1407" i="9"/>
  <c r="M1407" i="9"/>
  <c r="A1408" i="9"/>
  <c r="B1408" i="9"/>
  <c r="F1408" i="9"/>
  <c r="A1409" i="9"/>
  <c r="B1409" i="9"/>
  <c r="C1409" i="9"/>
  <c r="D1409" i="9"/>
  <c r="E1409" i="9"/>
  <c r="F1409" i="9"/>
  <c r="G1409" i="9"/>
  <c r="H1409" i="9"/>
  <c r="I1409" i="9"/>
  <c r="J1409" i="9"/>
  <c r="K1409" i="9"/>
  <c r="L1409" i="9"/>
  <c r="M1409" i="9"/>
  <c r="A1410" i="9"/>
  <c r="B1410" i="9" s="1"/>
  <c r="C1410" i="9"/>
  <c r="E1410" i="9"/>
  <c r="A1411" i="9"/>
  <c r="C1411" i="9" s="1"/>
  <c r="B1411" i="9"/>
  <c r="D1411" i="9"/>
  <c r="E1411" i="9"/>
  <c r="I1411" i="9"/>
  <c r="J1411" i="9"/>
  <c r="K1411" i="9" s="1"/>
  <c r="L1411" i="9"/>
  <c r="A1412" i="9"/>
  <c r="D1412" i="9" s="1"/>
  <c r="F1412" i="9"/>
  <c r="G1412" i="9"/>
  <c r="H1412" i="9"/>
  <c r="A1413" i="9"/>
  <c r="G1413" i="9" s="1"/>
  <c r="E1413" i="9"/>
  <c r="F1413" i="9"/>
  <c r="H1413" i="9"/>
  <c r="L1413" i="9"/>
  <c r="M1413" i="9"/>
  <c r="A1414" i="9"/>
  <c r="B1414" i="9"/>
  <c r="C1414" i="9"/>
  <c r="A1415" i="9"/>
  <c r="B1415" i="9"/>
  <c r="E1415" i="9"/>
  <c r="F1415" i="9"/>
  <c r="H1415" i="9"/>
  <c r="I1415" i="9"/>
  <c r="J1415" i="9"/>
  <c r="K1415" i="9"/>
  <c r="L1415" i="9"/>
  <c r="M1415" i="9"/>
  <c r="A1416" i="9"/>
  <c r="B1416" i="9" s="1"/>
  <c r="C1416" i="9"/>
  <c r="D1416" i="9"/>
  <c r="A1417" i="9"/>
  <c r="L1417" i="9" s="1"/>
  <c r="I1417" i="9"/>
  <c r="M1417" i="9"/>
  <c r="A1418" i="9"/>
  <c r="B1418" i="9"/>
  <c r="H1418" i="9"/>
  <c r="I1418" i="9"/>
  <c r="J1418" i="9"/>
  <c r="K1418" i="9" s="1"/>
  <c r="M1418" i="9"/>
  <c r="A1419" i="9"/>
  <c r="B1419" i="9"/>
  <c r="I1419" i="9"/>
  <c r="M1419" i="9"/>
  <c r="A1420" i="9"/>
  <c r="B1420" i="9"/>
  <c r="C1420" i="9"/>
  <c r="D1420" i="9"/>
  <c r="E1420" i="9"/>
  <c r="F1420" i="9"/>
  <c r="G1420" i="9"/>
  <c r="H1420" i="9"/>
  <c r="I1420" i="9"/>
  <c r="J1420" i="9"/>
  <c r="K1420" i="9" s="1"/>
  <c r="L1420" i="9"/>
  <c r="M1420" i="9"/>
  <c r="A1421" i="9"/>
  <c r="B1421" i="9"/>
  <c r="C1421" i="9"/>
  <c r="D1421" i="9"/>
  <c r="G1421" i="9"/>
  <c r="H1421" i="9"/>
  <c r="I1421" i="9"/>
  <c r="M1421" i="9"/>
  <c r="A1422" i="9"/>
  <c r="B1422" i="9" s="1"/>
  <c r="C1422" i="9"/>
  <c r="E1422" i="9"/>
  <c r="F1422" i="9"/>
  <c r="G1422" i="9"/>
  <c r="H1422" i="9"/>
  <c r="I1422" i="9"/>
  <c r="J1422" i="9"/>
  <c r="K1422" i="9" s="1"/>
  <c r="A1423" i="9"/>
  <c r="B1423" i="9" s="1"/>
  <c r="C1423" i="9"/>
  <c r="D1423" i="9"/>
  <c r="E1423" i="9"/>
  <c r="I1423" i="9"/>
  <c r="J1423" i="9"/>
  <c r="K1423" i="9" s="1"/>
  <c r="L1423" i="9"/>
  <c r="A1424" i="9"/>
  <c r="B1424" i="9" s="1"/>
  <c r="M1424" i="9"/>
  <c r="A1425" i="9"/>
  <c r="E1425" i="9" s="1"/>
  <c r="F1425" i="9"/>
  <c r="G1425" i="9"/>
  <c r="H1425" i="9"/>
  <c r="J1425" i="9"/>
  <c r="K1425" i="9"/>
  <c r="L1425" i="9"/>
  <c r="A1426" i="9"/>
  <c r="B1426" i="9"/>
  <c r="C1426" i="9"/>
  <c r="D1426" i="9"/>
  <c r="E1426" i="9"/>
  <c r="F1426" i="9"/>
  <c r="G1426" i="9"/>
  <c r="H1426" i="9"/>
  <c r="I1426" i="9"/>
  <c r="J1426" i="9"/>
  <c r="K1426" i="9" s="1"/>
  <c r="L1426" i="9"/>
  <c r="M1426" i="9"/>
  <c r="A1427" i="9"/>
  <c r="B1427" i="9"/>
  <c r="C1427" i="9"/>
  <c r="E1427" i="9"/>
  <c r="F1427" i="9"/>
  <c r="I1427" i="9"/>
  <c r="J1427" i="9"/>
  <c r="K1427" i="9" s="1"/>
  <c r="L1427" i="9"/>
  <c r="M1427" i="9"/>
  <c r="A1428" i="9"/>
  <c r="A1429" i="9"/>
  <c r="B1429" i="9"/>
  <c r="C1429" i="9"/>
  <c r="D1429" i="9"/>
  <c r="E1429" i="9"/>
  <c r="F1429" i="9"/>
  <c r="G1429" i="9"/>
  <c r="H1429" i="9"/>
  <c r="I1429" i="9"/>
  <c r="J1429" i="9"/>
  <c r="K1429" i="9" s="1"/>
  <c r="L1429" i="9"/>
  <c r="M1429" i="9"/>
  <c r="A1430" i="9"/>
  <c r="H1430" i="9" s="1"/>
  <c r="C1430" i="9"/>
  <c r="D1430" i="9"/>
  <c r="E1430" i="9"/>
  <c r="F1430" i="9"/>
  <c r="I1430" i="9"/>
  <c r="J1430" i="9"/>
  <c r="K1430" i="9" s="1"/>
  <c r="L1430" i="9"/>
  <c r="M1430" i="9"/>
  <c r="A1431" i="9"/>
  <c r="B1431" i="9" s="1"/>
  <c r="C1431" i="9"/>
  <c r="D1431" i="9"/>
  <c r="F1431" i="9"/>
  <c r="G1431" i="9"/>
  <c r="L1431" i="9"/>
  <c r="M1431" i="9"/>
  <c r="A1432" i="9"/>
  <c r="D1432" i="9"/>
  <c r="A1433" i="9"/>
  <c r="G1433" i="9" s="1"/>
  <c r="B1433" i="9"/>
  <c r="F1433" i="9"/>
  <c r="H1433" i="9"/>
  <c r="J1433" i="9"/>
  <c r="K1433" i="9" s="1"/>
  <c r="L1433" i="9"/>
  <c r="M1433" i="9"/>
  <c r="A1434" i="9"/>
  <c r="B1434" i="9" s="1"/>
  <c r="C1434" i="9"/>
  <c r="D1434" i="9"/>
  <c r="E1434" i="9"/>
  <c r="F1434" i="9"/>
  <c r="A1435" i="9"/>
  <c r="B1435" i="9"/>
  <c r="D1435" i="9"/>
  <c r="E1435" i="9"/>
  <c r="G1435" i="9"/>
  <c r="H1435" i="9"/>
  <c r="I1435" i="9"/>
  <c r="J1435" i="9"/>
  <c r="K1435" i="9" s="1"/>
  <c r="L1435" i="9"/>
  <c r="M1435" i="9"/>
  <c r="A1436" i="9"/>
  <c r="B1436" i="9"/>
  <c r="C1436" i="9"/>
  <c r="D1436" i="9"/>
  <c r="E1436" i="9"/>
  <c r="I1436" i="9"/>
  <c r="A1437" i="9"/>
  <c r="B1437" i="9"/>
  <c r="C1437" i="9"/>
  <c r="D1437" i="9"/>
  <c r="E1437" i="9"/>
  <c r="F1437" i="9"/>
  <c r="G1437" i="9"/>
  <c r="H1437" i="9"/>
  <c r="I1437" i="9"/>
  <c r="J1437" i="9"/>
  <c r="K1437" i="9" s="1"/>
  <c r="L1437" i="9"/>
  <c r="M1437" i="9"/>
  <c r="A1438" i="9"/>
  <c r="D1438" i="9" s="1"/>
  <c r="B1438" i="9"/>
  <c r="C1438" i="9"/>
  <c r="E1438" i="9"/>
  <c r="F1438" i="9"/>
  <c r="G1438" i="9"/>
  <c r="H1438" i="9"/>
  <c r="I1438" i="9"/>
  <c r="J1438" i="9"/>
  <c r="K1438" i="9" s="1"/>
  <c r="L1438" i="9"/>
  <c r="M1438" i="9"/>
  <c r="A1439" i="9"/>
  <c r="B1439" i="9"/>
  <c r="C1439" i="9"/>
  <c r="D1439" i="9"/>
  <c r="E1439" i="9"/>
  <c r="F1439" i="9"/>
  <c r="G1439" i="9"/>
  <c r="H1439" i="9"/>
  <c r="M1439" i="9"/>
  <c r="A1440" i="9"/>
  <c r="B1440" i="9"/>
  <c r="C1440" i="9"/>
  <c r="E1440" i="9"/>
  <c r="L1440" i="9"/>
  <c r="A1441" i="9"/>
  <c r="B1441" i="9"/>
  <c r="A1442" i="9"/>
  <c r="D1442" i="9" s="1"/>
  <c r="B1442" i="9"/>
  <c r="C1442" i="9"/>
  <c r="A1443" i="9"/>
  <c r="B1443" i="9" s="1"/>
  <c r="C1443" i="9"/>
  <c r="D1443" i="9"/>
  <c r="E1443" i="9"/>
  <c r="F1443" i="9"/>
  <c r="H1443" i="9"/>
  <c r="I1443" i="9"/>
  <c r="J1443" i="9"/>
  <c r="K1443" i="9" s="1"/>
  <c r="L1443" i="9"/>
  <c r="M1443" i="9"/>
  <c r="A1444" i="9"/>
  <c r="B1444" i="9"/>
  <c r="M1444" i="9"/>
  <c r="A1445" i="9"/>
  <c r="C1445" i="9"/>
  <c r="D1445" i="9"/>
  <c r="E1445" i="9"/>
  <c r="F1445" i="9"/>
  <c r="G1445" i="9"/>
  <c r="H1445" i="9"/>
  <c r="I1445" i="9"/>
  <c r="J1445" i="9"/>
  <c r="K1445" i="9" s="1"/>
  <c r="L1445" i="9"/>
  <c r="A1446" i="9"/>
  <c r="B1446" i="9"/>
  <c r="M1446" i="9"/>
  <c r="A1447" i="9"/>
  <c r="B1447" i="9"/>
  <c r="C1447" i="9"/>
  <c r="D1447" i="9"/>
  <c r="E1447" i="9"/>
  <c r="F1447" i="9"/>
  <c r="H1447" i="9"/>
  <c r="I1447" i="9"/>
  <c r="J1447" i="9"/>
  <c r="K1447" i="9" s="1"/>
  <c r="A1448" i="9"/>
  <c r="B1448" i="9" s="1"/>
  <c r="C1448" i="9"/>
  <c r="D1448" i="9"/>
  <c r="L1448" i="9"/>
  <c r="A1449" i="9"/>
  <c r="B1449" i="9"/>
  <c r="C1449" i="9"/>
  <c r="D1449" i="9"/>
  <c r="E1449" i="9"/>
  <c r="F1449" i="9"/>
  <c r="G1449" i="9"/>
  <c r="H1449" i="9"/>
  <c r="I1449" i="9"/>
  <c r="J1449" i="9"/>
  <c r="K1449" i="9" s="1"/>
  <c r="L1449" i="9"/>
  <c r="M1449" i="9"/>
  <c r="A1450" i="9"/>
  <c r="B1450" i="9"/>
  <c r="C1450" i="9"/>
  <c r="D1450" i="9"/>
  <c r="E1450" i="9"/>
  <c r="F1450" i="9"/>
  <c r="G1450" i="9"/>
  <c r="I1450" i="9"/>
  <c r="J1450" i="9"/>
  <c r="K1450" i="9" s="1"/>
  <c r="L1450" i="9"/>
  <c r="A1451" i="9"/>
  <c r="B1451" i="9" s="1"/>
  <c r="C1451" i="9"/>
  <c r="D1451" i="9"/>
  <c r="E1451" i="9"/>
  <c r="F1451" i="9"/>
  <c r="H1451" i="9"/>
  <c r="I1451" i="9"/>
  <c r="J1451" i="9"/>
  <c r="K1451" i="9" s="1"/>
  <c r="L1451" i="9"/>
  <c r="M1451" i="9"/>
  <c r="A1452" i="9"/>
  <c r="C1452" i="9" s="1"/>
  <c r="D1452" i="9"/>
  <c r="E1452" i="9"/>
  <c r="G1452" i="9"/>
  <c r="L1452" i="9"/>
  <c r="M1452" i="9"/>
  <c r="A1453" i="9"/>
  <c r="C1453" i="9"/>
  <c r="A1454" i="9"/>
  <c r="B1454" i="9" s="1"/>
  <c r="F1454" i="9"/>
  <c r="G1454" i="9"/>
  <c r="I1454" i="9"/>
  <c r="L1454" i="9"/>
  <c r="M1454" i="9"/>
  <c r="A1455" i="9"/>
  <c r="B1455" i="9"/>
  <c r="D1455" i="9"/>
  <c r="E1455" i="9"/>
  <c r="F1455" i="9"/>
  <c r="G1455" i="9"/>
  <c r="H1455" i="9"/>
  <c r="I1455" i="9"/>
  <c r="A1456" i="9"/>
  <c r="B1456" i="9"/>
  <c r="C1456" i="9"/>
  <c r="D1456" i="9"/>
  <c r="F1456" i="9"/>
  <c r="G1456" i="9"/>
  <c r="H1456" i="9"/>
  <c r="I1456" i="9"/>
  <c r="L1456" i="9"/>
  <c r="M1456" i="9"/>
  <c r="A1457" i="9"/>
  <c r="B1457" i="9" s="1"/>
  <c r="C1457" i="9"/>
  <c r="D1457" i="9"/>
  <c r="E1457" i="9"/>
  <c r="I1457" i="9"/>
  <c r="J1457" i="9"/>
  <c r="K1457" i="9" s="1"/>
  <c r="A1458" i="9"/>
  <c r="D1458" i="9" s="1"/>
  <c r="B1458" i="9"/>
  <c r="C1458" i="9"/>
  <c r="E1458" i="9"/>
  <c r="F1458" i="9"/>
  <c r="G1458" i="9"/>
  <c r="H1458" i="9"/>
  <c r="I1458" i="9"/>
  <c r="J1458" i="9"/>
  <c r="K1458" i="9" s="1"/>
  <c r="L1458" i="9"/>
  <c r="M1458" i="9"/>
  <c r="A1459" i="9"/>
  <c r="B1459" i="9"/>
  <c r="C1459" i="9"/>
  <c r="D1459" i="9"/>
  <c r="E1459" i="9"/>
  <c r="F1459" i="9"/>
  <c r="G1459" i="9"/>
  <c r="H1459" i="9"/>
  <c r="I1459" i="9"/>
  <c r="J1459" i="9"/>
  <c r="K1459" i="9" s="1"/>
  <c r="L1459" i="9"/>
  <c r="M1459" i="9"/>
  <c r="A1460" i="9"/>
  <c r="C1460" i="9" s="1"/>
  <c r="B1460" i="9"/>
  <c r="D1460" i="9"/>
  <c r="E1460" i="9"/>
  <c r="F1460" i="9"/>
  <c r="G1460" i="9"/>
  <c r="H1460" i="9"/>
  <c r="L1460" i="9"/>
  <c r="M1460" i="9"/>
  <c r="A1461" i="9"/>
  <c r="B1461" i="9"/>
  <c r="D1461" i="9"/>
  <c r="F1461" i="9"/>
  <c r="G1461" i="9"/>
  <c r="A1462" i="9"/>
  <c r="C1462" i="9" s="1"/>
  <c r="H1462" i="9"/>
  <c r="I1462" i="9"/>
  <c r="J1462" i="9"/>
  <c r="K1462" i="9" s="1"/>
  <c r="M1462" i="9"/>
  <c r="A1463" i="9"/>
  <c r="A1464" i="9"/>
  <c r="F1464" i="9" s="1"/>
  <c r="B1464" i="9"/>
  <c r="C1464" i="9"/>
  <c r="D1464" i="9"/>
  <c r="E1464" i="9"/>
  <c r="H1464" i="9"/>
  <c r="I1464" i="9"/>
  <c r="J1464" i="9"/>
  <c r="K1464" i="9" s="1"/>
  <c r="L1464" i="9"/>
  <c r="M1464" i="9"/>
  <c r="A1465" i="9"/>
  <c r="D1465" i="9" s="1"/>
  <c r="B1465" i="9"/>
  <c r="C1465" i="9"/>
  <c r="A1466" i="9"/>
  <c r="B1466" i="9" s="1"/>
  <c r="C1466" i="9"/>
  <c r="E1466" i="9"/>
  <c r="F1466" i="9"/>
  <c r="G1466" i="9"/>
  <c r="H1466" i="9"/>
  <c r="I1466" i="9"/>
  <c r="J1466" i="9"/>
  <c r="K1466" i="9"/>
  <c r="L1466" i="9"/>
  <c r="M1466" i="9"/>
  <c r="A1467" i="9"/>
  <c r="A1468" i="9"/>
  <c r="C1468" i="9"/>
  <c r="D1468" i="9"/>
  <c r="E1468" i="9"/>
  <c r="F1468" i="9"/>
  <c r="G1468" i="9"/>
  <c r="A1469" i="9"/>
  <c r="B1469" i="9" s="1"/>
  <c r="D1469" i="9"/>
  <c r="E1469" i="9"/>
  <c r="A1470" i="9"/>
  <c r="G1470" i="9" s="1"/>
  <c r="B1470" i="9"/>
  <c r="F1470" i="9"/>
  <c r="A1471" i="9"/>
  <c r="B1471" i="9"/>
  <c r="C1471" i="9"/>
  <c r="A1472" i="9"/>
  <c r="D1472" i="9" s="1"/>
  <c r="B1472" i="9"/>
  <c r="C1472" i="9"/>
  <c r="E1472" i="9"/>
  <c r="F1472" i="9"/>
  <c r="G1472" i="9"/>
  <c r="H1472" i="9"/>
  <c r="I1472" i="9"/>
  <c r="J1472" i="9"/>
  <c r="K1472" i="9" s="1"/>
  <c r="L1472" i="9"/>
  <c r="M1472" i="9"/>
  <c r="A1473" i="9"/>
  <c r="L1473" i="9"/>
  <c r="A1474" i="9"/>
  <c r="B1474" i="9"/>
  <c r="C1474" i="9"/>
  <c r="A1475" i="9"/>
  <c r="B1475" i="9" s="1"/>
  <c r="L1475" i="9"/>
  <c r="M1475" i="9"/>
  <c r="A1476" i="9"/>
  <c r="B1476" i="9" s="1"/>
  <c r="D1476" i="9"/>
  <c r="H1476" i="9"/>
  <c r="I1476" i="9"/>
  <c r="J1476" i="9"/>
  <c r="K1476" i="9" s="1"/>
  <c r="M1476" i="9"/>
  <c r="A1477" i="9"/>
  <c r="A1478" i="9"/>
  <c r="F1478" i="9" s="1"/>
  <c r="B1478" i="9"/>
  <c r="C1478" i="9"/>
  <c r="D1478" i="9"/>
  <c r="E1478" i="9"/>
  <c r="G1478" i="9"/>
  <c r="H1478" i="9"/>
  <c r="I1478" i="9"/>
  <c r="J1478" i="9"/>
  <c r="K1478" i="9" s="1"/>
  <c r="L1478" i="9"/>
  <c r="M1478" i="9"/>
  <c r="A1479" i="9"/>
  <c r="B1479" i="9"/>
  <c r="C1479" i="9"/>
  <c r="D1479" i="9"/>
  <c r="E1479" i="9"/>
  <c r="I1479" i="9"/>
  <c r="J1479" i="9"/>
  <c r="K1479" i="9" s="1"/>
  <c r="L1479" i="9"/>
  <c r="A1480" i="9"/>
  <c r="D1480" i="9" s="1"/>
  <c r="B1480" i="9"/>
  <c r="C1480" i="9"/>
  <c r="E1480" i="9"/>
  <c r="F1480" i="9"/>
  <c r="G1480" i="9"/>
  <c r="H1480" i="9"/>
  <c r="I1480" i="9"/>
  <c r="A1481" i="9"/>
  <c r="B1481" i="9" s="1"/>
  <c r="C1481" i="9"/>
  <c r="D1481" i="9"/>
  <c r="E1481" i="9"/>
  <c r="F1481" i="9"/>
  <c r="H1481" i="9"/>
  <c r="I1481" i="9"/>
  <c r="J1481" i="9"/>
  <c r="K1481" i="9"/>
  <c r="L1481" i="9"/>
  <c r="M1481" i="9"/>
  <c r="A1482" i="9"/>
  <c r="D1482" i="9" s="1"/>
  <c r="B1482" i="9"/>
  <c r="C1482" i="9"/>
  <c r="E1482" i="9"/>
  <c r="F1482" i="9"/>
  <c r="A1483" i="9"/>
  <c r="B1483" i="9"/>
  <c r="C1483" i="9"/>
  <c r="D1483" i="9"/>
  <c r="E1483" i="9"/>
  <c r="F1483" i="9"/>
  <c r="G1483" i="9"/>
  <c r="H1483" i="9"/>
  <c r="I1483" i="9"/>
  <c r="J1483" i="9"/>
  <c r="K1483" i="9" s="1"/>
  <c r="L1483" i="9"/>
  <c r="M1483" i="9"/>
  <c r="A1484" i="9"/>
  <c r="B1484" i="9"/>
  <c r="C1484" i="9"/>
  <c r="D1484" i="9"/>
  <c r="E1484" i="9"/>
  <c r="F1484" i="9"/>
  <c r="G1484" i="9"/>
  <c r="H1484" i="9"/>
  <c r="I1484" i="9"/>
  <c r="J1484" i="9"/>
  <c r="K1484" i="9" s="1"/>
  <c r="L1484" i="9"/>
  <c r="M1484" i="9"/>
  <c r="A1485" i="9"/>
  <c r="B1485" i="9" s="1"/>
  <c r="C1485" i="9"/>
  <c r="D1485" i="9"/>
  <c r="A1486" i="9"/>
  <c r="B1486" i="9" s="1"/>
  <c r="D1486" i="9"/>
  <c r="E1486" i="9"/>
  <c r="F1486" i="9"/>
  <c r="G1486" i="9"/>
  <c r="H1486" i="9"/>
  <c r="I1486" i="9"/>
  <c r="J1486" i="9"/>
  <c r="K1486" i="9" s="1"/>
  <c r="L1486" i="9"/>
  <c r="M1486" i="9"/>
  <c r="A1487" i="9"/>
  <c r="A1488" i="9"/>
  <c r="B1488" i="9"/>
  <c r="C1488" i="9"/>
  <c r="D1488" i="9"/>
  <c r="E1488" i="9"/>
  <c r="F1488" i="9"/>
  <c r="G1488" i="9"/>
  <c r="H1488" i="9"/>
  <c r="L1488" i="9"/>
  <c r="M1488" i="9"/>
  <c r="A1489" i="9"/>
  <c r="B1489" i="9"/>
  <c r="D1489" i="9"/>
  <c r="E1489" i="9"/>
  <c r="F1489" i="9"/>
  <c r="A1490" i="9"/>
  <c r="B1490" i="9" s="1"/>
  <c r="F1490" i="9"/>
  <c r="G1490" i="9"/>
  <c r="I1490" i="9"/>
  <c r="L1490" i="9"/>
  <c r="M1490" i="9"/>
  <c r="A1491" i="9"/>
  <c r="B1491" i="9" s="1"/>
  <c r="D1491" i="9"/>
  <c r="E1491" i="9"/>
  <c r="F1491" i="9"/>
  <c r="G1491" i="9"/>
  <c r="H1491" i="9"/>
  <c r="A1492" i="9"/>
  <c r="D1492" i="9" s="1"/>
  <c r="B1492" i="9"/>
  <c r="C1492" i="9"/>
  <c r="E1492" i="9"/>
  <c r="F1492" i="9"/>
  <c r="G1492" i="9"/>
  <c r="H1492" i="9"/>
  <c r="I1492" i="9"/>
  <c r="J1492" i="9"/>
  <c r="K1492" i="9" s="1"/>
  <c r="L1492" i="9"/>
  <c r="M1492" i="9"/>
  <c r="A1493" i="9"/>
  <c r="G1493" i="9" s="1"/>
  <c r="B1493" i="9"/>
  <c r="C1493" i="9"/>
  <c r="H1493" i="9"/>
  <c r="I1493" i="9"/>
  <c r="A1494" i="9"/>
  <c r="B1494" i="9" s="1"/>
  <c r="C1494" i="9"/>
  <c r="D1494" i="9"/>
  <c r="F1494" i="9"/>
  <c r="G1494" i="9"/>
  <c r="H1494" i="9"/>
  <c r="I1494" i="9"/>
  <c r="J1494" i="9"/>
  <c r="K1494" i="9" s="1"/>
  <c r="A1495" i="9"/>
  <c r="D1495" i="9" s="1"/>
  <c r="B1495" i="9"/>
  <c r="C1495" i="9"/>
  <c r="F1495" i="9"/>
  <c r="G1495" i="9"/>
  <c r="H1495" i="9"/>
  <c r="A1496" i="9"/>
  <c r="H1496" i="9" s="1"/>
  <c r="B1496" i="9"/>
  <c r="D1496" i="9"/>
  <c r="I1496" i="9"/>
  <c r="J1496" i="9"/>
  <c r="K1496" i="9" s="1"/>
  <c r="M1496" i="9"/>
  <c r="A1497" i="9"/>
  <c r="A1498" i="9"/>
  <c r="F1498" i="9" s="1"/>
  <c r="B1498" i="9"/>
  <c r="C1498" i="9"/>
  <c r="D1498" i="9"/>
  <c r="E1498" i="9"/>
  <c r="G1498" i="9"/>
  <c r="H1498" i="9"/>
  <c r="I1498" i="9"/>
  <c r="J1498" i="9"/>
  <c r="K1498" i="9" s="1"/>
  <c r="L1498" i="9"/>
  <c r="M1498" i="9"/>
  <c r="A1499" i="9"/>
  <c r="B1499" i="9" s="1"/>
  <c r="A1500" i="9"/>
  <c r="C1500" i="9" s="1"/>
  <c r="D1500" i="9"/>
  <c r="E1500" i="9"/>
  <c r="F1500" i="9"/>
  <c r="G1500" i="9"/>
  <c r="H1500" i="9"/>
  <c r="I1500" i="9"/>
  <c r="J1500" i="9"/>
  <c r="K1500" i="9" s="1"/>
  <c r="L1500" i="9"/>
  <c r="A1501" i="9"/>
  <c r="B1501" i="9" s="1"/>
  <c r="C1501" i="9"/>
  <c r="D1501" i="9"/>
  <c r="E1501" i="9"/>
  <c r="F1501" i="9"/>
  <c r="H1501" i="9"/>
  <c r="I1501" i="9"/>
  <c r="J1501" i="9"/>
  <c r="K1501" i="9" s="1"/>
  <c r="L1501" i="9"/>
  <c r="M1501" i="9"/>
  <c r="A1502" i="9"/>
  <c r="B1502" i="9" s="1"/>
  <c r="C1502" i="9"/>
  <c r="D1502" i="9"/>
  <c r="F1502" i="9"/>
  <c r="J1502" i="9"/>
  <c r="K1502" i="9"/>
  <c r="L1502" i="9"/>
  <c r="M1502" i="9"/>
  <c r="A1503" i="9"/>
  <c r="B1503" i="9"/>
  <c r="C1503" i="9"/>
  <c r="D1503" i="9"/>
  <c r="E1503" i="9"/>
  <c r="F1503" i="9"/>
  <c r="G1503" i="9"/>
  <c r="H1503" i="9"/>
  <c r="I1503" i="9"/>
  <c r="J1503" i="9"/>
  <c r="K1503" i="9" s="1"/>
  <c r="L1503" i="9"/>
  <c r="M1503" i="9"/>
  <c r="A1504" i="9"/>
  <c r="B1504" i="9"/>
  <c r="C1504" i="9"/>
  <c r="D1504" i="9"/>
  <c r="E1504" i="9"/>
  <c r="F1504" i="9"/>
  <c r="G1504" i="9"/>
  <c r="H1504" i="9"/>
  <c r="I1504" i="9"/>
  <c r="J1504" i="9"/>
  <c r="K1504" i="9"/>
  <c r="L1504" i="9"/>
  <c r="M1504" i="9"/>
  <c r="A1505" i="9"/>
  <c r="A1506" i="9"/>
  <c r="C1506" i="9" s="1"/>
  <c r="D1506" i="9"/>
  <c r="E1506" i="9"/>
  <c r="L1506" i="9"/>
  <c r="M1506" i="9"/>
  <c r="A1507" i="9"/>
  <c r="E1507" i="9"/>
  <c r="F1507" i="9"/>
  <c r="G1507" i="9"/>
  <c r="H1507" i="9"/>
  <c r="J1507" i="9"/>
  <c r="K1507" i="9" s="1"/>
  <c r="L1507" i="9"/>
  <c r="M1507" i="9"/>
  <c r="A1508" i="9"/>
  <c r="D1508" i="9" s="1"/>
  <c r="B1508" i="9"/>
  <c r="C1508" i="9"/>
  <c r="M1508" i="9"/>
  <c r="A1509" i="9"/>
  <c r="D1509" i="9" s="1"/>
  <c r="E1509" i="9"/>
  <c r="F1509" i="9"/>
  <c r="H1509" i="9"/>
  <c r="I1509" i="9"/>
  <c r="J1509" i="9"/>
  <c r="K1509" i="9" s="1"/>
  <c r="L1509" i="9"/>
  <c r="M1509" i="9"/>
  <c r="A1510" i="9"/>
  <c r="B1510" i="9"/>
  <c r="L1510" i="9"/>
  <c r="M1510" i="9"/>
  <c r="A1511" i="9"/>
  <c r="B1511" i="9"/>
  <c r="C1511" i="9"/>
  <c r="D1511" i="9"/>
  <c r="E1511" i="9"/>
  <c r="F1511" i="9"/>
  <c r="G1511" i="9"/>
  <c r="H1511" i="9"/>
  <c r="I1511" i="9"/>
  <c r="M1511" i="9"/>
  <c r="A1512" i="9"/>
  <c r="B1512" i="9"/>
  <c r="A1513" i="9"/>
  <c r="B1513" i="9"/>
  <c r="C1513" i="9"/>
  <c r="G1513" i="9"/>
  <c r="H1513" i="9"/>
  <c r="I1513" i="9"/>
  <c r="J1513" i="9"/>
  <c r="K1513" i="9" s="1"/>
  <c r="L1513" i="9"/>
  <c r="M1513" i="9"/>
  <c r="A1514" i="9"/>
  <c r="B1514" i="9" s="1"/>
  <c r="H1514" i="9"/>
  <c r="I1514" i="9"/>
  <c r="A1515" i="9"/>
  <c r="B1515" i="9"/>
  <c r="C1515" i="9"/>
  <c r="D1515" i="9"/>
  <c r="F1515" i="9"/>
  <c r="G1515" i="9"/>
  <c r="H1515" i="9"/>
  <c r="A1516" i="9"/>
  <c r="B1516" i="9" s="1"/>
  <c r="C1516" i="9"/>
  <c r="D1516" i="9"/>
  <c r="H1516" i="9"/>
  <c r="I1516" i="9"/>
  <c r="J1516" i="9"/>
  <c r="K1516" i="9" s="1"/>
  <c r="M1516" i="9"/>
  <c r="A1517" i="9"/>
  <c r="B1517" i="9" s="1"/>
  <c r="C1517" i="9"/>
  <c r="D1517" i="9"/>
  <c r="E1517" i="9"/>
  <c r="F1517" i="9"/>
  <c r="H1517" i="9"/>
  <c r="A1518" i="9"/>
  <c r="F1518" i="9" s="1"/>
  <c r="B1518" i="9"/>
  <c r="C1518" i="9"/>
  <c r="D1518" i="9"/>
  <c r="E1518" i="9"/>
  <c r="G1518" i="9"/>
  <c r="H1518" i="9"/>
  <c r="I1518" i="9"/>
  <c r="J1518" i="9"/>
  <c r="K1518" i="9" s="1"/>
  <c r="L1518" i="9"/>
  <c r="M1518" i="9"/>
  <c r="A1519" i="9"/>
  <c r="B1519" i="9" s="1"/>
  <c r="C1519" i="9"/>
  <c r="D1519" i="9"/>
  <c r="E1519" i="9"/>
  <c r="A1520" i="9"/>
  <c r="M1520" i="9" s="1"/>
  <c r="B1520" i="9"/>
  <c r="C1520" i="9"/>
  <c r="D1520" i="9"/>
  <c r="E1520" i="9"/>
  <c r="F1520" i="9"/>
  <c r="G1520" i="9"/>
  <c r="H1520" i="9"/>
  <c r="I1520" i="9"/>
  <c r="J1520" i="9"/>
  <c r="K1520" i="9" s="1"/>
  <c r="L1520" i="9"/>
  <c r="A1521" i="9"/>
  <c r="B1521" i="9" s="1"/>
  <c r="C1521" i="9"/>
  <c r="D1521" i="9"/>
  <c r="E1521" i="9"/>
  <c r="F1521" i="9"/>
  <c r="H1521" i="9"/>
  <c r="I1521" i="9"/>
  <c r="J1521" i="9"/>
  <c r="K1521" i="9" s="1"/>
  <c r="L1521" i="9"/>
  <c r="M1521" i="9"/>
  <c r="A1522" i="9"/>
  <c r="D1522" i="9" s="1"/>
  <c r="B1522" i="9"/>
  <c r="C1522" i="9"/>
  <c r="E1522" i="9"/>
  <c r="F1522" i="9"/>
  <c r="J1522" i="9"/>
  <c r="K1522" i="9" s="1"/>
  <c r="L1522" i="9"/>
  <c r="M1522" i="9"/>
  <c r="A1523" i="9"/>
  <c r="B1523" i="9"/>
  <c r="C1523" i="9"/>
  <c r="D1523" i="9"/>
  <c r="E1523" i="9"/>
  <c r="F1523" i="9"/>
  <c r="G1523" i="9"/>
  <c r="H1523" i="9"/>
  <c r="I1523" i="9"/>
  <c r="J1523" i="9"/>
  <c r="K1523" i="9" s="1"/>
  <c r="L1523" i="9"/>
  <c r="M1523" i="9"/>
  <c r="A1524" i="9"/>
  <c r="B1524" i="9"/>
  <c r="C1524" i="9"/>
  <c r="D1524" i="9"/>
  <c r="E1524" i="9"/>
  <c r="F1524" i="9"/>
  <c r="G1524" i="9"/>
  <c r="H1524" i="9"/>
  <c r="I1524" i="9"/>
  <c r="J1524" i="9"/>
  <c r="K1524" i="9" s="1"/>
  <c r="L1524" i="9"/>
  <c r="M1524" i="9"/>
  <c r="A1525" i="9"/>
  <c r="B1525" i="9" s="1"/>
  <c r="C1525" i="9"/>
  <c r="D1525" i="9"/>
  <c r="E1525" i="9"/>
  <c r="F1525" i="9"/>
  <c r="G1525" i="9"/>
  <c r="L1525" i="9"/>
  <c r="M1525" i="9"/>
  <c r="A1526" i="9"/>
  <c r="C1526" i="9"/>
  <c r="D1526" i="9"/>
  <c r="E1526" i="9"/>
  <c r="F1526" i="9"/>
  <c r="G1526" i="9"/>
  <c r="H1526" i="9"/>
  <c r="I1526" i="9"/>
  <c r="J1526" i="9"/>
  <c r="K1526" i="9" s="1"/>
  <c r="A1527" i="9"/>
  <c r="E1527" i="9"/>
  <c r="F1527" i="9"/>
  <c r="G1527" i="9"/>
  <c r="H1527" i="9"/>
  <c r="J1527" i="9"/>
  <c r="K1527" i="9"/>
  <c r="L1527" i="9"/>
  <c r="M1527" i="9"/>
  <c r="A1528" i="9"/>
  <c r="B1528" i="9" s="1"/>
  <c r="C1528" i="9"/>
  <c r="D1528" i="9"/>
  <c r="E1528" i="9"/>
  <c r="F1528" i="9"/>
  <c r="G1528" i="9"/>
  <c r="H1528" i="9"/>
  <c r="L1528" i="9"/>
  <c r="A1529" i="9"/>
  <c r="C1529" i="9" s="1"/>
  <c r="B1529" i="9"/>
  <c r="D1529" i="9"/>
  <c r="E1529" i="9"/>
  <c r="F1529" i="9"/>
  <c r="G1529" i="9"/>
  <c r="H1529" i="9"/>
  <c r="I1529" i="9"/>
  <c r="J1529" i="9"/>
  <c r="K1529" i="9" s="1"/>
  <c r="L1529" i="9"/>
  <c r="M1529" i="9"/>
  <c r="A1530" i="9"/>
  <c r="B1530" i="9"/>
  <c r="F1530" i="9"/>
  <c r="G1530" i="9"/>
  <c r="H1530" i="9"/>
  <c r="I1530" i="9"/>
  <c r="A1531" i="9"/>
  <c r="B1531" i="9"/>
  <c r="C1531" i="9"/>
  <c r="D1531" i="9"/>
  <c r="E1531" i="9"/>
  <c r="F1531" i="9"/>
  <c r="G1531" i="9"/>
  <c r="H1531" i="9"/>
  <c r="I1531" i="9"/>
  <c r="M1531" i="9"/>
  <c r="A1532" i="9"/>
  <c r="E1532" i="9" s="1"/>
  <c r="B1532" i="9"/>
  <c r="C1532" i="9"/>
  <c r="F1532" i="9"/>
  <c r="G1532" i="9"/>
  <c r="H1532" i="9"/>
  <c r="I1532" i="9"/>
  <c r="M1532" i="9"/>
  <c r="A1533" i="9"/>
  <c r="G1533" i="9" s="1"/>
  <c r="B1533" i="9"/>
  <c r="C1533" i="9"/>
  <c r="H1533" i="9"/>
  <c r="I1533" i="9"/>
  <c r="J1533" i="9"/>
  <c r="K1533" i="9" s="1"/>
  <c r="L1533" i="9"/>
  <c r="M1533" i="9"/>
  <c r="A1534" i="9"/>
  <c r="B1534" i="9"/>
  <c r="C1534" i="9"/>
  <c r="D1534" i="9"/>
  <c r="E1534" i="9"/>
  <c r="F1534" i="9"/>
  <c r="G1534" i="9"/>
  <c r="A1535" i="9"/>
  <c r="B1535" i="9"/>
  <c r="C1535" i="9"/>
  <c r="D1535" i="9"/>
  <c r="G1535" i="9"/>
  <c r="H1535" i="9"/>
  <c r="A1536" i="9"/>
  <c r="A1537" i="9"/>
  <c r="B1537" i="9" s="1"/>
  <c r="E1537" i="9"/>
  <c r="F1537" i="9"/>
  <c r="G1537" i="9"/>
  <c r="H1537" i="9"/>
  <c r="I1537" i="9"/>
  <c r="J1537" i="9"/>
  <c r="K1537" i="9" s="1"/>
  <c r="A1538" i="9"/>
  <c r="F1538" i="9" s="1"/>
  <c r="B1538" i="9"/>
  <c r="C1538" i="9"/>
  <c r="D1538" i="9"/>
  <c r="E1538" i="9"/>
  <c r="G1538" i="9"/>
  <c r="H1538" i="9"/>
  <c r="I1538" i="9"/>
  <c r="J1538" i="9"/>
  <c r="K1538" i="9" s="1"/>
  <c r="L1538" i="9"/>
  <c r="M1538" i="9"/>
  <c r="A1539" i="9"/>
  <c r="B1539" i="9"/>
  <c r="C1539" i="9"/>
  <c r="D1539" i="9"/>
  <c r="E1539" i="9"/>
  <c r="I1539" i="9"/>
  <c r="J1539" i="9"/>
  <c r="K1539" i="9" s="1"/>
  <c r="L1539" i="9"/>
  <c r="A1540" i="9"/>
  <c r="B1540" i="9" s="1"/>
  <c r="C1540" i="9"/>
  <c r="D1540" i="9"/>
  <c r="A1541" i="9"/>
  <c r="B1541" i="9" s="1"/>
  <c r="C1541" i="9"/>
  <c r="D1541" i="9"/>
  <c r="E1541" i="9"/>
  <c r="F1541" i="9"/>
  <c r="H1541" i="9"/>
  <c r="I1541" i="9"/>
  <c r="J1541" i="9"/>
  <c r="K1541" i="9" s="1"/>
  <c r="L1541" i="9"/>
  <c r="M1541" i="9"/>
  <c r="A1542" i="9"/>
  <c r="E1542" i="9" s="1"/>
  <c r="F1542" i="9"/>
  <c r="J1542" i="9"/>
  <c r="K1542" i="9" s="1"/>
  <c r="A1543" i="9"/>
  <c r="B1543" i="9"/>
  <c r="C1543" i="9"/>
  <c r="D1543" i="9"/>
  <c r="E1543" i="9"/>
  <c r="F1543" i="9"/>
  <c r="G1543" i="9"/>
  <c r="H1543" i="9"/>
  <c r="I1543" i="9"/>
  <c r="J1543" i="9"/>
  <c r="K1543" i="9"/>
  <c r="L1543" i="9"/>
  <c r="M1543" i="9"/>
  <c r="A1544" i="9"/>
  <c r="B1544" i="9"/>
  <c r="C1544" i="9"/>
  <c r="D1544" i="9"/>
  <c r="E1544" i="9"/>
  <c r="F1544" i="9"/>
  <c r="G1544" i="9"/>
  <c r="H1544" i="9"/>
  <c r="I1544" i="9"/>
  <c r="J1544" i="9"/>
  <c r="K1544" i="9" s="1"/>
  <c r="L1544" i="9"/>
  <c r="M1544" i="9"/>
  <c r="A1545" i="9"/>
  <c r="B1545" i="9"/>
  <c r="C1545" i="9"/>
  <c r="D1545" i="9"/>
  <c r="E1545" i="9"/>
  <c r="L1545" i="9"/>
  <c r="M1545" i="9"/>
  <c r="A1546" i="9"/>
  <c r="C1546" i="9"/>
  <c r="E1546" i="9"/>
  <c r="F1546" i="9"/>
  <c r="G1546" i="9"/>
  <c r="H1546" i="9"/>
  <c r="A1547" i="9"/>
  <c r="E1547" i="9" s="1"/>
  <c r="L1547" i="9"/>
  <c r="M1547" i="9"/>
  <c r="A1548" i="9"/>
  <c r="E1548" i="9" s="1"/>
  <c r="C1548" i="9"/>
  <c r="D1548" i="9"/>
  <c r="F1548" i="9"/>
  <c r="G1548" i="9"/>
  <c r="H1548" i="9"/>
  <c r="L1548" i="9"/>
  <c r="M1548" i="9"/>
  <c r="A1549" i="9"/>
  <c r="B1549" i="9"/>
  <c r="D1549" i="9"/>
  <c r="E1549" i="9"/>
  <c r="I1549" i="9"/>
  <c r="J1549" i="9"/>
  <c r="K1549" i="9" s="1"/>
  <c r="L1549" i="9"/>
  <c r="A1550" i="9"/>
  <c r="B1550" i="9" s="1"/>
  <c r="F1550" i="9"/>
  <c r="G1550" i="9"/>
  <c r="H1550" i="9"/>
  <c r="I1550" i="9"/>
  <c r="L1550" i="9"/>
  <c r="M1550" i="9"/>
  <c r="A1551" i="9"/>
  <c r="B1551" i="9"/>
  <c r="C1551" i="9"/>
  <c r="A1552" i="9"/>
  <c r="D1552" i="9" s="1"/>
  <c r="B1552" i="9"/>
  <c r="C1552" i="9"/>
  <c r="E1552" i="9"/>
  <c r="F1552" i="9"/>
  <c r="G1552" i="9"/>
  <c r="H1552" i="9"/>
  <c r="I1552" i="9"/>
  <c r="J1552" i="9"/>
  <c r="K1552" i="9" s="1"/>
  <c r="L1552" i="9"/>
  <c r="M1552" i="9"/>
  <c r="A1553" i="9"/>
  <c r="H1553" i="9"/>
  <c r="I1553" i="9"/>
  <c r="J1553" i="9"/>
  <c r="K1553" i="9" s="1"/>
  <c r="A1554" i="9"/>
  <c r="B1554" i="9"/>
  <c r="C1554" i="9"/>
  <c r="D1554" i="9"/>
  <c r="E1554" i="9"/>
  <c r="F1554" i="9"/>
  <c r="G1554" i="9"/>
  <c r="H1554" i="9"/>
  <c r="I1554" i="9"/>
  <c r="J1554" i="9"/>
  <c r="K1554" i="9" s="1"/>
  <c r="A1555" i="9"/>
  <c r="H1555" i="9" s="1"/>
  <c r="B1555" i="9"/>
  <c r="G1555" i="9"/>
  <c r="I1555" i="9"/>
  <c r="J1555" i="9"/>
  <c r="K1555" i="9" s="1"/>
  <c r="L1555" i="9"/>
  <c r="M1555" i="9"/>
  <c r="A1556" i="9"/>
  <c r="A1557" i="9"/>
  <c r="G1557" i="9" s="1"/>
  <c r="E1557" i="9"/>
  <c r="F1557" i="9"/>
  <c r="H1557" i="9"/>
  <c r="J1557" i="9"/>
  <c r="K1557" i="9"/>
  <c r="A1558" i="9"/>
  <c r="F1558" i="9" s="1"/>
  <c r="B1558" i="9"/>
  <c r="C1558" i="9"/>
  <c r="D1558" i="9"/>
  <c r="E1558" i="9"/>
  <c r="G1558" i="9"/>
  <c r="H1558" i="9"/>
  <c r="I1558" i="9"/>
  <c r="J1558" i="9"/>
  <c r="K1558" i="9" s="1"/>
  <c r="L1558" i="9"/>
  <c r="M1558" i="9"/>
  <c r="A1559" i="9"/>
  <c r="B1559" i="9"/>
  <c r="C1559" i="9"/>
  <c r="D1559" i="9"/>
  <c r="E1559" i="9"/>
  <c r="I1559" i="9"/>
  <c r="J1559" i="9"/>
  <c r="K1559" i="9" s="1"/>
  <c r="L1559" i="9"/>
  <c r="A1560" i="9"/>
  <c r="B1560" i="9"/>
  <c r="C1560" i="9"/>
  <c r="D1560" i="9"/>
  <c r="A1561" i="9"/>
  <c r="B1561" i="9" s="1"/>
  <c r="C1561" i="9"/>
  <c r="D1561" i="9"/>
  <c r="E1561" i="9"/>
  <c r="F1561" i="9"/>
  <c r="H1561" i="9"/>
  <c r="I1561" i="9"/>
  <c r="J1561" i="9"/>
  <c r="K1561" i="9" s="1"/>
  <c r="L1561" i="9"/>
  <c r="M1561" i="9"/>
  <c r="A1562" i="9"/>
  <c r="B1562" i="9" s="1"/>
  <c r="C1562" i="9"/>
  <c r="D1562" i="9"/>
  <c r="A1563" i="9"/>
  <c r="B1563" i="9"/>
  <c r="C1563" i="9"/>
  <c r="D1563" i="9"/>
  <c r="E1563" i="9"/>
  <c r="F1563" i="9"/>
  <c r="G1563" i="9"/>
  <c r="H1563" i="9"/>
  <c r="I1563" i="9"/>
  <c r="J1563" i="9"/>
  <c r="K1563" i="9" s="1"/>
  <c r="L1563" i="9"/>
  <c r="M1563" i="9"/>
  <c r="A1564" i="9"/>
  <c r="B1564" i="9"/>
  <c r="C1564" i="9"/>
  <c r="D1564" i="9"/>
  <c r="E1564" i="9"/>
  <c r="F1564" i="9"/>
  <c r="G1564" i="9"/>
  <c r="H1564" i="9"/>
  <c r="I1564" i="9"/>
  <c r="J1564" i="9"/>
  <c r="K1564" i="9" s="1"/>
  <c r="L1564" i="9"/>
  <c r="M1564" i="9"/>
  <c r="A1565" i="9"/>
  <c r="D1565" i="9" s="1"/>
  <c r="B1565" i="9"/>
  <c r="C1565" i="9"/>
  <c r="E1565" i="9"/>
  <c r="F1565" i="9"/>
  <c r="G1565" i="9"/>
  <c r="L1565" i="9"/>
  <c r="M1565" i="9"/>
  <c r="A1566" i="9"/>
  <c r="B1566" i="9" s="1"/>
  <c r="D1566" i="9"/>
  <c r="E1566" i="9"/>
  <c r="F1566" i="9"/>
  <c r="G1566" i="9"/>
  <c r="H1566" i="9"/>
  <c r="I1566" i="9"/>
  <c r="J1566" i="9"/>
  <c r="K1566" i="9" s="1"/>
  <c r="L1566" i="9"/>
  <c r="M1566" i="9"/>
  <c r="A1567" i="9"/>
  <c r="G1567" i="9" s="1"/>
  <c r="E1567" i="9"/>
  <c r="F1567" i="9"/>
  <c r="H1567" i="9"/>
  <c r="J1567" i="9"/>
  <c r="K1567" i="9" s="1"/>
  <c r="L1567" i="9"/>
  <c r="A1568" i="9"/>
  <c r="B1568" i="9"/>
  <c r="C1568" i="9"/>
  <c r="D1568" i="9"/>
  <c r="E1568" i="9"/>
  <c r="F1568" i="9"/>
  <c r="G1568" i="9"/>
  <c r="H1568" i="9"/>
  <c r="L1568" i="9"/>
  <c r="M1568" i="9"/>
  <c r="A1569" i="9"/>
  <c r="B1569" i="9"/>
  <c r="D1569" i="9"/>
  <c r="E1569" i="9"/>
  <c r="F1569" i="9"/>
  <c r="G1569" i="9"/>
  <c r="H1569" i="9"/>
  <c r="I1569" i="9"/>
  <c r="J1569" i="9"/>
  <c r="K1569" i="9" s="1"/>
  <c r="A1570" i="9"/>
  <c r="B1570" i="9"/>
  <c r="F1570" i="9"/>
  <c r="G1570" i="9"/>
  <c r="A1571" i="9"/>
  <c r="D1571" i="9" s="1"/>
  <c r="B1571" i="9"/>
  <c r="C1571" i="9"/>
  <c r="E1571" i="9"/>
  <c r="F1571" i="9"/>
  <c r="G1571" i="9"/>
  <c r="H1571" i="9"/>
  <c r="A1572" i="9"/>
  <c r="D1572" i="9" s="1"/>
  <c r="B1572" i="9"/>
  <c r="C1572" i="9"/>
  <c r="E1572" i="9"/>
  <c r="F1572" i="9"/>
  <c r="G1572" i="9"/>
  <c r="H1572" i="9"/>
  <c r="I1572" i="9"/>
  <c r="J1572" i="9"/>
  <c r="K1572" i="9" s="1"/>
  <c r="L1572" i="9"/>
  <c r="M1572" i="9"/>
  <c r="A1573" i="9"/>
  <c r="G1573" i="9" s="1"/>
  <c r="B1573" i="9"/>
  <c r="C1573" i="9"/>
  <c r="H1573" i="9"/>
  <c r="I1573" i="9"/>
  <c r="A1574" i="9"/>
  <c r="A1575" i="9"/>
  <c r="A1576" i="9"/>
  <c r="D1576" i="9" s="1"/>
  <c r="B1576" i="9"/>
  <c r="H1576" i="9"/>
  <c r="I1576" i="9"/>
  <c r="J1576" i="9"/>
  <c r="K1576" i="9" s="1"/>
  <c r="M1576" i="9"/>
  <c r="A1577" i="9"/>
  <c r="B1577" i="9"/>
  <c r="A1578" i="9"/>
  <c r="F1578" i="9" s="1"/>
  <c r="B1578" i="9"/>
  <c r="C1578" i="9"/>
  <c r="D1578" i="9"/>
  <c r="E1578" i="9"/>
  <c r="G1578" i="9"/>
  <c r="H1578" i="9"/>
  <c r="I1578" i="9"/>
  <c r="J1578" i="9"/>
  <c r="K1578" i="9"/>
  <c r="L1578" i="9"/>
  <c r="M1578" i="9"/>
  <c r="A1579" i="9"/>
  <c r="B1579" i="9"/>
  <c r="C1579" i="9"/>
  <c r="J1579" i="9"/>
  <c r="K1579" i="9" s="1"/>
  <c r="A1580" i="9"/>
  <c r="C1580" i="9"/>
  <c r="D1580" i="9"/>
  <c r="E1580" i="9"/>
  <c r="F1580" i="9"/>
  <c r="G1580" i="9"/>
  <c r="H1580" i="9"/>
  <c r="I1580" i="9"/>
  <c r="J1580" i="9"/>
  <c r="K1580" i="9" s="1"/>
  <c r="L1580" i="9"/>
  <c r="A1581" i="9"/>
  <c r="B1581" i="9" s="1"/>
  <c r="C1581" i="9"/>
  <c r="D1581" i="9"/>
  <c r="E1581" i="9"/>
  <c r="F1581" i="9"/>
  <c r="H1581" i="9"/>
  <c r="I1581" i="9"/>
  <c r="J1581" i="9"/>
  <c r="K1581" i="9" s="1"/>
  <c r="L1581" i="9"/>
  <c r="M1581" i="9"/>
  <c r="A1582" i="9"/>
  <c r="D1582" i="9" s="1"/>
  <c r="B1582" i="9"/>
  <c r="C1582" i="9"/>
  <c r="E1582" i="9"/>
  <c r="F1582" i="9"/>
  <c r="J1582" i="9"/>
  <c r="K1582" i="9" s="1"/>
  <c r="L1582" i="9"/>
  <c r="M1582" i="9"/>
  <c r="A1583" i="9"/>
  <c r="B1583" i="9"/>
  <c r="C1583" i="9"/>
  <c r="D1583" i="9"/>
  <c r="E1583" i="9"/>
  <c r="F1583" i="9"/>
  <c r="G1583" i="9"/>
  <c r="H1583" i="9"/>
  <c r="I1583" i="9"/>
  <c r="J1583" i="9"/>
  <c r="K1583" i="9" s="1"/>
  <c r="L1583" i="9"/>
  <c r="M1583" i="9"/>
  <c r="A1584" i="9"/>
  <c r="B1584" i="9"/>
  <c r="C1584" i="9"/>
  <c r="D1584" i="9"/>
  <c r="E1584" i="9"/>
  <c r="F1584" i="9"/>
  <c r="G1584" i="9"/>
  <c r="H1584" i="9"/>
  <c r="I1584" i="9"/>
  <c r="J1584" i="9"/>
  <c r="K1584" i="9"/>
  <c r="L1584" i="9"/>
  <c r="M1584" i="9"/>
  <c r="A1585" i="9"/>
  <c r="B1585" i="9"/>
  <c r="D1585" i="9"/>
  <c r="E1585" i="9"/>
  <c r="F1585" i="9"/>
  <c r="G1585" i="9"/>
  <c r="L1585" i="9"/>
  <c r="M1585" i="9"/>
  <c r="A1586" i="9"/>
  <c r="C1586" i="9" s="1"/>
  <c r="D1586" i="9"/>
  <c r="E1586" i="9"/>
  <c r="F1586" i="9"/>
  <c r="J1586" i="9"/>
  <c r="K1586" i="9" s="1"/>
  <c r="L1586" i="9"/>
  <c r="M1586" i="9"/>
  <c r="A1587" i="9"/>
  <c r="E1587" i="9"/>
  <c r="F1587" i="9"/>
  <c r="G1587" i="9"/>
  <c r="H1587" i="9"/>
  <c r="J1587" i="9"/>
  <c r="K1587" i="9" s="1"/>
  <c r="L1587" i="9"/>
  <c r="M1587" i="9"/>
  <c r="A1588" i="9"/>
  <c r="B1588" i="9"/>
  <c r="C1588" i="9"/>
  <c r="D1588" i="9"/>
  <c r="H1588" i="9"/>
  <c r="L1588" i="9"/>
  <c r="M1588" i="9"/>
  <c r="A1589" i="9"/>
  <c r="D1589" i="9" s="1"/>
  <c r="F1589" i="9"/>
  <c r="G1589" i="9"/>
  <c r="H1589" i="9"/>
  <c r="A1590" i="9"/>
  <c r="B1590" i="9" s="1"/>
  <c r="L1590" i="9"/>
  <c r="M1590" i="9"/>
  <c r="A1591" i="9"/>
  <c r="B1591" i="9"/>
  <c r="C1591" i="9"/>
  <c r="D1591" i="9"/>
  <c r="E1591" i="9"/>
  <c r="F1591" i="9"/>
  <c r="G1591" i="9"/>
  <c r="H1591" i="9"/>
  <c r="I1591" i="9"/>
  <c r="M1591" i="9"/>
  <c r="A1592" i="9"/>
  <c r="B1592" i="9"/>
  <c r="C1592" i="9"/>
  <c r="H1592" i="9"/>
  <c r="I1592" i="9"/>
  <c r="J1592" i="9"/>
  <c r="K1592" i="9" s="1"/>
  <c r="M1592" i="9"/>
  <c r="A1593" i="9"/>
  <c r="B1593" i="9"/>
  <c r="C1593" i="9"/>
  <c r="G1593" i="9"/>
  <c r="H1593" i="9"/>
  <c r="I1593" i="9"/>
  <c r="J1593" i="9"/>
  <c r="K1593" i="9" s="1"/>
  <c r="L1593" i="9"/>
  <c r="A1594" i="9"/>
  <c r="B1594" i="9" s="1"/>
  <c r="A1595" i="9"/>
  <c r="E1595" i="9" s="1"/>
  <c r="B1595" i="9"/>
  <c r="C1595" i="9"/>
  <c r="F1595" i="9"/>
  <c r="G1595" i="9"/>
  <c r="H1595" i="9"/>
  <c r="I1595" i="9"/>
  <c r="J1595" i="9"/>
  <c r="K1595" i="9" s="1"/>
  <c r="L1595" i="9"/>
  <c r="M1595" i="9"/>
  <c r="A1596" i="9"/>
  <c r="B1596" i="9" s="1"/>
  <c r="C1596" i="9"/>
  <c r="D1596" i="9"/>
  <c r="H1596" i="9"/>
  <c r="I1596" i="9"/>
  <c r="J1596" i="9"/>
  <c r="K1596" i="9" s="1"/>
  <c r="M1596" i="9"/>
  <c r="A1597" i="9"/>
  <c r="B1597" i="9" s="1"/>
  <c r="C1597" i="9"/>
  <c r="D1597" i="9"/>
  <c r="F1597" i="9"/>
  <c r="G1597" i="9"/>
  <c r="H1597" i="9"/>
  <c r="I1597" i="9"/>
  <c r="J1597" i="9"/>
  <c r="K1597" i="9" s="1"/>
  <c r="A1598" i="9"/>
  <c r="F1598" i="9" s="1"/>
  <c r="B1598" i="9"/>
  <c r="C1598" i="9"/>
  <c r="D1598" i="9"/>
  <c r="E1598" i="9"/>
  <c r="G1598" i="9"/>
  <c r="H1598" i="9"/>
  <c r="I1598" i="9"/>
  <c r="J1598" i="9"/>
  <c r="K1598" i="9"/>
  <c r="L1598" i="9"/>
  <c r="M1598" i="9"/>
  <c r="A1599" i="9"/>
  <c r="B1599" i="9" s="1"/>
  <c r="C1599" i="9"/>
  <c r="D1599" i="9"/>
  <c r="E1599" i="9"/>
  <c r="I1599" i="9"/>
  <c r="J1599" i="9"/>
  <c r="K1599" i="9" s="1"/>
  <c r="A1600" i="9"/>
  <c r="M1600" i="9" s="1"/>
  <c r="B1600" i="9"/>
  <c r="C1600" i="9"/>
  <c r="D1600" i="9"/>
  <c r="E1600" i="9"/>
  <c r="F1600" i="9"/>
  <c r="G1600" i="9"/>
  <c r="H1600" i="9"/>
  <c r="I1600" i="9"/>
  <c r="J1600" i="9"/>
  <c r="K1600" i="9" s="1"/>
  <c r="L1600" i="9"/>
  <c r="A1601" i="9"/>
  <c r="B1601" i="9" s="1"/>
  <c r="C1601" i="9"/>
  <c r="D1601" i="9"/>
  <c r="E1601" i="9"/>
  <c r="F1601" i="9"/>
  <c r="H1601" i="9"/>
  <c r="I1601" i="9"/>
  <c r="J1601" i="9"/>
  <c r="K1601" i="9" s="1"/>
  <c r="L1601" i="9"/>
  <c r="M1601" i="9"/>
  <c r="A1602" i="9"/>
  <c r="B1602" i="9" s="1"/>
  <c r="C1602" i="9"/>
  <c r="E1602" i="9"/>
  <c r="A1603" i="9"/>
  <c r="B1603" i="9"/>
  <c r="C1603" i="9"/>
  <c r="D1603" i="9"/>
  <c r="E1603" i="9"/>
  <c r="F1603" i="9"/>
  <c r="G1603" i="9"/>
  <c r="H1603" i="9"/>
  <c r="I1603" i="9"/>
  <c r="J1603" i="9"/>
  <c r="K1603" i="9" s="1"/>
  <c r="L1603" i="9"/>
  <c r="M1603" i="9"/>
  <c r="A1604" i="9"/>
  <c r="B1604" i="9"/>
  <c r="C1604" i="9"/>
  <c r="D1604" i="9"/>
  <c r="E1604" i="9"/>
  <c r="F1604" i="9"/>
  <c r="G1604" i="9"/>
  <c r="H1604" i="9"/>
  <c r="I1604" i="9"/>
  <c r="J1604" i="9"/>
  <c r="K1604" i="9"/>
  <c r="L1604" i="9"/>
  <c r="M1604" i="9"/>
  <c r="A1605" i="9"/>
  <c r="B1605" i="9" s="1"/>
  <c r="C1605" i="9"/>
  <c r="D1605" i="9"/>
  <c r="E1605" i="9"/>
  <c r="F1605" i="9"/>
  <c r="G1605" i="9"/>
  <c r="L1605" i="9"/>
  <c r="M1605" i="9"/>
  <c r="A1606" i="9"/>
  <c r="I1606" i="9"/>
  <c r="A1607" i="9"/>
  <c r="E1607" i="9"/>
  <c r="F1607" i="9"/>
  <c r="G1607" i="9"/>
  <c r="H1607" i="9"/>
  <c r="J1607" i="9"/>
  <c r="K1607" i="9" s="1"/>
  <c r="L1607" i="9"/>
  <c r="M1607" i="9"/>
  <c r="A1608" i="9"/>
  <c r="B1608" i="9"/>
  <c r="L1608" i="9"/>
  <c r="A1609" i="9"/>
  <c r="C1609" i="9" s="1"/>
  <c r="B1609" i="9"/>
  <c r="D1609" i="9"/>
  <c r="E1609" i="9"/>
  <c r="F1609" i="9"/>
  <c r="G1609" i="9"/>
  <c r="H1609" i="9"/>
  <c r="I1609" i="9"/>
  <c r="J1609" i="9"/>
  <c r="K1609" i="9" s="1"/>
  <c r="L1609" i="9"/>
  <c r="M1609" i="9"/>
  <c r="A1610" i="9"/>
  <c r="A1611" i="9"/>
  <c r="B1611" i="9"/>
  <c r="C1611" i="9"/>
  <c r="D1611" i="9"/>
  <c r="E1611" i="9"/>
  <c r="F1611" i="9"/>
  <c r="G1611" i="9"/>
  <c r="H1611" i="9"/>
  <c r="I1611" i="9"/>
  <c r="M1611" i="9"/>
  <c r="A1612" i="9"/>
  <c r="B1612" i="9" s="1"/>
  <c r="C1612" i="9"/>
  <c r="E1612" i="9"/>
  <c r="A1613" i="9"/>
  <c r="C1613" i="9" s="1"/>
  <c r="B1613" i="9"/>
  <c r="H1613" i="9"/>
  <c r="I1613" i="9"/>
  <c r="J1613" i="9"/>
  <c r="K1613" i="9" s="1"/>
  <c r="L1613" i="9"/>
  <c r="M1613" i="9"/>
  <c r="A1614" i="9"/>
  <c r="B1614" i="9"/>
  <c r="A1615" i="9"/>
  <c r="B1615" i="9"/>
  <c r="C1615" i="9"/>
  <c r="D1615" i="9"/>
  <c r="G1615" i="9"/>
  <c r="H1615" i="9"/>
  <c r="I1615" i="9"/>
  <c r="J1615" i="9"/>
  <c r="K1615" i="9"/>
  <c r="L1615" i="9"/>
  <c r="M1615" i="9"/>
  <c r="A1616" i="9"/>
  <c r="B1616" i="9"/>
  <c r="C1616" i="9"/>
  <c r="D1616" i="9"/>
  <c r="H1616" i="9"/>
  <c r="A1617" i="9"/>
  <c r="B1617" i="9" s="1"/>
  <c r="C1617" i="9"/>
  <c r="A1618" i="9"/>
  <c r="F1618" i="9" s="1"/>
  <c r="B1618" i="9"/>
  <c r="C1618" i="9"/>
  <c r="D1618" i="9"/>
  <c r="E1618" i="9"/>
  <c r="G1618" i="9"/>
  <c r="H1618" i="9"/>
  <c r="I1618" i="9"/>
  <c r="J1618" i="9"/>
  <c r="K1618" i="9" s="1"/>
  <c r="L1618" i="9"/>
  <c r="M1618" i="9"/>
  <c r="A1619" i="9"/>
  <c r="B1619" i="9"/>
  <c r="C1619" i="9"/>
  <c r="D1619" i="9"/>
  <c r="E1619" i="9"/>
  <c r="I1619" i="9"/>
  <c r="J1619" i="9"/>
  <c r="K1619" i="9" s="1"/>
  <c r="L1619" i="9"/>
  <c r="A1620" i="9"/>
  <c r="B1620" i="9" s="1"/>
  <c r="C1620" i="9"/>
  <c r="D1620" i="9"/>
  <c r="H1620" i="9"/>
  <c r="I1620" i="9"/>
  <c r="J1620" i="9"/>
  <c r="K1620" i="9"/>
  <c r="A1621" i="9"/>
  <c r="B1621" i="9" s="1"/>
  <c r="C1621" i="9"/>
  <c r="D1621" i="9"/>
  <c r="E1621" i="9"/>
  <c r="F1621" i="9"/>
  <c r="H1621" i="9"/>
  <c r="I1621" i="9"/>
  <c r="J1621" i="9"/>
  <c r="K1621" i="9" s="1"/>
  <c r="L1621" i="9"/>
  <c r="M1621" i="9"/>
  <c r="A1622" i="9"/>
  <c r="E1622" i="9"/>
  <c r="F1622" i="9"/>
  <c r="J1622" i="9"/>
  <c r="K1622" i="9" s="1"/>
  <c r="M1622" i="9"/>
  <c r="A1623" i="9"/>
  <c r="B1623" i="9"/>
  <c r="C1623" i="9"/>
  <c r="D1623" i="9"/>
  <c r="E1623" i="9"/>
  <c r="F1623" i="9"/>
  <c r="G1623" i="9"/>
  <c r="H1623" i="9"/>
  <c r="I1623" i="9"/>
  <c r="J1623" i="9"/>
  <c r="K1623" i="9"/>
  <c r="L1623" i="9"/>
  <c r="M1623" i="9"/>
  <c r="A1624" i="9"/>
  <c r="B1624" i="9"/>
  <c r="C1624" i="9"/>
  <c r="D1624" i="9"/>
  <c r="E1624" i="9"/>
  <c r="F1624" i="9"/>
  <c r="G1624" i="9"/>
  <c r="H1624" i="9"/>
  <c r="I1624" i="9"/>
  <c r="J1624" i="9"/>
  <c r="K1624" i="9"/>
  <c r="L1624" i="9"/>
  <c r="M1624" i="9"/>
  <c r="A1625" i="9"/>
  <c r="A1626" i="9"/>
  <c r="E1626" i="9"/>
  <c r="F1626" i="9"/>
  <c r="M1626" i="9"/>
  <c r="A1627" i="9"/>
  <c r="E1627" i="9"/>
  <c r="F1627" i="9"/>
  <c r="A1628" i="9"/>
  <c r="C1628" i="9" s="1"/>
  <c r="D1628" i="9"/>
  <c r="E1628" i="9"/>
  <c r="G1628" i="9"/>
  <c r="H1628" i="9"/>
  <c r="L1628" i="9"/>
  <c r="M1628" i="9"/>
  <c r="A1629" i="9"/>
  <c r="B1629" i="9"/>
  <c r="D1629" i="9"/>
  <c r="A1630" i="9"/>
  <c r="B1630" i="9"/>
  <c r="F1630" i="9"/>
  <c r="G1630" i="9"/>
  <c r="H1630" i="9"/>
  <c r="I1630" i="9"/>
  <c r="L1630" i="9"/>
  <c r="M1630" i="9"/>
  <c r="A1631" i="9"/>
  <c r="B1631" i="9" s="1"/>
  <c r="C1631" i="9"/>
  <c r="G1631" i="9"/>
  <c r="H1631" i="9"/>
  <c r="I1631" i="9"/>
  <c r="A1632" i="9"/>
  <c r="D1632" i="9" s="1"/>
  <c r="B1632" i="9"/>
  <c r="C1632" i="9"/>
  <c r="E1632" i="9"/>
  <c r="F1632" i="9"/>
  <c r="G1632" i="9"/>
  <c r="H1632" i="9"/>
  <c r="I1632" i="9"/>
  <c r="J1632" i="9"/>
  <c r="K1632" i="9"/>
  <c r="L1632" i="9"/>
  <c r="M1632" i="9"/>
  <c r="A1633" i="9"/>
  <c r="J1633" i="9" s="1"/>
  <c r="K1633" i="9" s="1"/>
  <c r="H1633" i="9"/>
  <c r="I1633" i="9"/>
  <c r="L1633" i="9"/>
  <c r="A1634" i="9"/>
  <c r="B1634" i="9"/>
  <c r="A1635" i="9"/>
  <c r="H1635" i="9" s="1"/>
  <c r="F1635" i="9"/>
  <c r="G1635" i="9"/>
  <c r="I1635" i="9"/>
  <c r="L1635" i="9"/>
  <c r="M1635" i="9"/>
  <c r="A1636" i="9"/>
  <c r="B1636" i="9"/>
  <c r="A1637" i="9"/>
  <c r="L1637" i="9" s="1"/>
  <c r="B1637" i="9"/>
  <c r="C1637" i="9"/>
  <c r="D1637" i="9"/>
  <c r="E1637" i="9"/>
  <c r="F1637" i="9"/>
  <c r="G1637" i="9"/>
  <c r="H1637" i="9"/>
  <c r="I1637" i="9"/>
  <c r="J1637" i="9"/>
  <c r="K1637" i="9"/>
  <c r="M1637" i="9"/>
  <c r="A1638" i="9"/>
  <c r="F1638" i="9" s="1"/>
  <c r="B1638" i="9"/>
  <c r="C1638" i="9"/>
  <c r="D1638" i="9"/>
  <c r="E1638" i="9"/>
  <c r="G1638" i="9"/>
  <c r="H1638" i="9"/>
  <c r="I1638" i="9"/>
  <c r="J1638" i="9"/>
  <c r="K1638" i="9"/>
  <c r="L1638" i="9"/>
  <c r="M1638" i="9"/>
  <c r="A1639" i="9"/>
  <c r="D1639" i="9" s="1"/>
  <c r="B1639" i="9"/>
  <c r="E1639" i="9"/>
  <c r="G1639" i="9"/>
  <c r="I1639" i="9"/>
  <c r="J1639" i="9"/>
  <c r="K1639" i="9"/>
  <c r="L1639" i="9"/>
  <c r="A1640" i="9"/>
  <c r="B1640" i="9"/>
  <c r="A1641" i="9"/>
  <c r="C1641" i="9"/>
  <c r="D1641" i="9"/>
  <c r="E1641" i="9"/>
  <c r="F1641" i="9"/>
  <c r="H1641" i="9"/>
  <c r="I1641" i="9"/>
  <c r="J1641" i="9"/>
  <c r="K1641" i="9"/>
  <c r="L1641" i="9"/>
  <c r="M1641" i="9"/>
  <c r="A1642" i="9"/>
  <c r="B1642" i="9"/>
  <c r="F1642" i="9"/>
  <c r="H1642" i="9"/>
  <c r="J1642" i="9"/>
  <c r="K1642" i="9" s="1"/>
  <c r="A1643" i="9"/>
  <c r="B1643" i="9"/>
  <c r="C1643" i="9"/>
  <c r="D1643" i="9"/>
  <c r="E1643" i="9"/>
  <c r="F1643" i="9"/>
  <c r="G1643" i="9"/>
  <c r="H1643" i="9"/>
  <c r="I1643" i="9"/>
  <c r="J1643" i="9"/>
  <c r="K1643" i="9"/>
  <c r="L1643" i="9"/>
  <c r="M1643" i="9"/>
  <c r="A1644" i="9"/>
  <c r="B1644" i="9"/>
  <c r="C1644" i="9"/>
  <c r="D1644" i="9"/>
  <c r="E1644" i="9"/>
  <c r="F1644" i="9"/>
  <c r="G1644" i="9"/>
  <c r="H1644" i="9"/>
  <c r="I1644" i="9"/>
  <c r="J1644" i="9"/>
  <c r="K1644" i="9" s="1"/>
  <c r="L1644" i="9"/>
  <c r="M1644" i="9"/>
  <c r="A1645" i="9"/>
  <c r="B1645" i="9"/>
  <c r="C1645" i="9"/>
  <c r="D1645" i="9"/>
  <c r="E1645" i="9"/>
  <c r="J1645" i="9"/>
  <c r="K1645" i="9"/>
  <c r="L1645" i="9"/>
  <c r="M1645" i="9"/>
  <c r="A1646" i="9"/>
  <c r="B1646" i="9" s="1"/>
  <c r="C1646" i="9"/>
  <c r="D1646" i="9"/>
  <c r="E1646" i="9"/>
  <c r="F1646" i="9"/>
  <c r="G1646" i="9"/>
  <c r="H1646" i="9"/>
  <c r="I1646" i="9"/>
  <c r="J1646" i="9"/>
  <c r="K1646" i="9" s="1"/>
  <c r="L1646" i="9"/>
  <c r="M1646" i="9"/>
  <c r="A1647" i="9"/>
  <c r="F1647" i="9" s="1"/>
  <c r="G1647" i="9"/>
  <c r="H1647" i="9"/>
  <c r="J1647" i="9"/>
  <c r="K1647" i="9" s="1"/>
  <c r="L1647" i="9"/>
  <c r="A1648" i="9"/>
  <c r="B1648" i="9"/>
  <c r="C1648" i="9"/>
  <c r="D1648" i="9"/>
  <c r="E1648" i="9"/>
  <c r="A1649" i="9"/>
  <c r="C1649" i="9" s="1"/>
  <c r="B1649" i="9"/>
  <c r="D1649" i="9"/>
  <c r="E1649" i="9"/>
  <c r="F1649" i="9"/>
  <c r="G1649" i="9"/>
  <c r="H1649" i="9"/>
  <c r="I1649" i="9"/>
  <c r="J1649" i="9"/>
  <c r="K1649" i="9" s="1"/>
  <c r="L1649" i="9"/>
  <c r="M1649" i="9"/>
  <c r="A1650" i="9"/>
  <c r="D1650" i="9" s="1"/>
  <c r="B1650" i="9"/>
  <c r="A1651" i="9"/>
  <c r="D1651" i="9" s="1"/>
  <c r="B1651" i="9"/>
  <c r="E1651" i="9"/>
  <c r="F1651" i="9"/>
  <c r="G1651" i="9"/>
  <c r="H1651" i="9"/>
  <c r="I1651" i="9"/>
  <c r="L1651" i="9"/>
  <c r="M1651" i="9"/>
  <c r="A1652" i="9"/>
  <c r="B1652" i="9"/>
  <c r="A1653" i="9"/>
  <c r="D1653" i="9" s="1"/>
  <c r="B1653" i="9"/>
  <c r="C1653" i="9"/>
  <c r="F1653" i="9"/>
  <c r="G1653" i="9"/>
  <c r="H1653" i="9"/>
  <c r="I1653" i="9"/>
  <c r="J1653" i="9"/>
  <c r="K1653" i="9" s="1"/>
  <c r="L1653" i="9"/>
  <c r="M1653" i="9"/>
  <c r="A1654" i="9"/>
  <c r="B1654" i="9" s="1"/>
  <c r="C1654" i="9"/>
  <c r="D1654" i="9"/>
  <c r="E1654" i="9"/>
  <c r="F1654" i="9"/>
  <c r="G1654" i="9"/>
  <c r="H1654" i="9"/>
  <c r="I1654" i="9"/>
  <c r="J1654" i="9"/>
  <c r="K1654" i="9" s="1"/>
  <c r="L1654" i="9"/>
  <c r="M1654" i="9"/>
  <c r="A1655" i="9"/>
  <c r="C1655" i="9" s="1"/>
  <c r="D1655" i="9"/>
  <c r="F1655" i="9"/>
  <c r="H1655" i="9"/>
  <c r="I1655" i="9"/>
  <c r="M1655" i="9"/>
  <c r="A1656" i="9"/>
  <c r="F1656" i="9" s="1"/>
  <c r="B1656" i="9"/>
  <c r="C1656" i="9"/>
  <c r="G1656" i="9"/>
  <c r="A1657" i="9"/>
  <c r="C1657" i="9" s="1"/>
  <c r="B1657" i="9"/>
  <c r="D1657" i="9"/>
  <c r="E1657" i="9"/>
  <c r="I1657" i="9"/>
  <c r="J1657" i="9"/>
  <c r="K1657" i="9" s="1"/>
  <c r="M1657" i="9"/>
  <c r="A1658" i="9"/>
  <c r="F1658" i="9" s="1"/>
  <c r="B1658" i="9"/>
  <c r="C1658" i="9"/>
  <c r="D1658" i="9"/>
  <c r="E1658" i="9"/>
  <c r="G1658" i="9"/>
  <c r="H1658" i="9"/>
  <c r="I1658" i="9"/>
  <c r="J1658" i="9"/>
  <c r="K1658" i="9"/>
  <c r="L1658" i="9"/>
  <c r="M1658" i="9"/>
  <c r="A1659" i="9"/>
  <c r="G1659" i="9" s="1"/>
  <c r="I1659" i="9"/>
  <c r="A1660" i="9"/>
  <c r="B1660" i="9"/>
  <c r="C1660" i="9"/>
  <c r="D1660" i="9"/>
  <c r="E1660" i="9"/>
  <c r="F1660" i="9"/>
  <c r="G1660" i="9"/>
  <c r="A1661" i="9"/>
  <c r="G1661" i="9" s="1"/>
  <c r="B1661" i="9"/>
  <c r="C1661" i="9"/>
  <c r="D1661" i="9"/>
  <c r="E1661" i="9"/>
  <c r="F1661" i="9"/>
  <c r="H1661" i="9"/>
  <c r="I1661" i="9"/>
  <c r="J1661" i="9"/>
  <c r="K1661" i="9"/>
  <c r="L1661" i="9"/>
  <c r="M1661" i="9"/>
  <c r="A1662" i="9"/>
  <c r="B1662" i="9" s="1"/>
  <c r="C1662" i="9"/>
  <c r="D1662" i="9"/>
  <c r="E1662" i="9"/>
  <c r="A1663" i="9"/>
  <c r="B1663" i="9"/>
  <c r="C1663" i="9"/>
  <c r="D1663" i="9"/>
  <c r="E1663" i="9"/>
  <c r="F1663" i="9"/>
  <c r="G1663" i="9"/>
  <c r="H1663" i="9"/>
  <c r="I1663" i="9"/>
  <c r="J1663" i="9"/>
  <c r="K1663" i="9" s="1"/>
  <c r="L1663" i="9"/>
  <c r="M1663" i="9"/>
  <c r="A1664" i="9"/>
  <c r="B1664" i="9"/>
  <c r="C1664" i="9"/>
  <c r="D1664" i="9"/>
  <c r="E1664" i="9"/>
  <c r="F1664" i="9"/>
  <c r="G1664" i="9"/>
  <c r="H1664" i="9"/>
  <c r="I1664" i="9"/>
  <c r="J1664" i="9"/>
  <c r="K1664" i="9" s="1"/>
  <c r="L1664" i="9"/>
  <c r="M1664" i="9"/>
  <c r="A1665" i="9"/>
  <c r="C1665" i="9" s="1"/>
  <c r="B1665" i="9"/>
  <c r="D1665" i="9"/>
  <c r="E1665" i="9"/>
  <c r="F1665" i="9"/>
  <c r="G1665" i="9"/>
  <c r="I1665" i="9"/>
  <c r="M1665" i="9"/>
  <c r="A1666" i="9"/>
  <c r="J1666" i="9"/>
  <c r="K1666" i="9" s="1"/>
  <c r="L1666" i="9"/>
  <c r="M1666" i="9"/>
  <c r="A1667" i="9"/>
  <c r="E1667" i="9" s="1"/>
  <c r="C1667" i="9"/>
  <c r="D1667" i="9"/>
  <c r="J1667" i="9"/>
  <c r="K1667" i="9"/>
  <c r="L1667" i="9"/>
  <c r="M1667" i="9"/>
  <c r="A1668" i="9"/>
  <c r="I1668" i="9" s="1"/>
  <c r="B1668" i="9"/>
  <c r="C1668" i="9"/>
  <c r="D1668" i="9"/>
  <c r="E1668" i="9"/>
  <c r="F1668" i="9"/>
  <c r="G1668" i="9"/>
  <c r="H1668" i="9"/>
  <c r="J1668" i="9"/>
  <c r="K1668" i="9" s="1"/>
  <c r="L1668" i="9"/>
  <c r="M1668" i="9"/>
  <c r="A1669" i="9"/>
  <c r="F1669" i="9" s="1"/>
  <c r="G1669" i="9"/>
  <c r="H1669" i="9"/>
  <c r="L1669" i="9"/>
  <c r="M1669" i="9"/>
  <c r="A1670" i="9"/>
  <c r="B1670" i="9"/>
  <c r="A1671" i="9"/>
  <c r="J1671" i="9" s="1"/>
  <c r="K1671" i="9" s="1"/>
  <c r="B1671" i="9"/>
  <c r="C1671" i="9"/>
  <c r="D1671" i="9"/>
  <c r="E1671" i="9"/>
  <c r="F1671" i="9"/>
  <c r="G1671" i="9"/>
  <c r="H1671" i="9"/>
  <c r="I1671" i="9"/>
  <c r="L1671" i="9"/>
  <c r="M1671" i="9"/>
  <c r="A1672" i="9"/>
  <c r="A1673" i="9"/>
  <c r="C1673" i="9"/>
  <c r="A1674" i="9"/>
  <c r="B1674" i="9"/>
  <c r="A1675" i="9"/>
  <c r="C1675" i="9"/>
  <c r="D1675" i="9"/>
  <c r="F1675" i="9"/>
  <c r="G1675" i="9"/>
  <c r="H1675" i="9"/>
  <c r="I1675" i="9"/>
  <c r="J1675" i="9"/>
  <c r="K1675" i="9" s="1"/>
  <c r="L1675" i="9"/>
  <c r="A1676" i="9"/>
  <c r="B1676" i="9"/>
  <c r="C1676" i="9"/>
  <c r="D1676" i="9"/>
  <c r="F1676" i="9"/>
  <c r="G1676" i="9"/>
  <c r="H1676" i="9"/>
  <c r="I1676" i="9"/>
  <c r="J1676" i="9"/>
  <c r="K1676" i="9"/>
  <c r="M1676" i="9"/>
  <c r="A1677" i="9"/>
  <c r="B1677" i="9" s="1"/>
  <c r="C1677" i="9"/>
  <c r="D1677" i="9"/>
  <c r="E1677" i="9"/>
  <c r="F1677" i="9"/>
  <c r="H1677" i="9"/>
  <c r="M1677" i="9"/>
  <c r="A1678" i="9"/>
  <c r="B1678" i="9"/>
  <c r="A1679" i="9"/>
  <c r="B1679" i="9"/>
  <c r="C1679" i="9"/>
  <c r="D1679" i="9"/>
  <c r="I1679" i="9"/>
  <c r="J1679" i="9"/>
  <c r="K1679" i="9" s="1"/>
  <c r="A1680" i="9"/>
  <c r="M1680" i="9" s="1"/>
  <c r="B1680" i="9"/>
  <c r="C1680" i="9"/>
  <c r="D1680" i="9"/>
  <c r="E1680" i="9"/>
  <c r="F1680" i="9"/>
  <c r="G1680" i="9"/>
  <c r="H1680" i="9"/>
  <c r="I1680" i="9"/>
  <c r="J1680" i="9"/>
  <c r="K1680" i="9"/>
  <c r="L1680" i="9"/>
  <c r="A1681" i="9"/>
  <c r="E1681" i="9"/>
  <c r="F1681" i="9"/>
  <c r="H1681" i="9"/>
  <c r="I1681" i="9"/>
  <c r="A1682" i="9"/>
  <c r="B1682" i="9"/>
  <c r="C1682" i="9"/>
  <c r="D1682" i="9"/>
  <c r="A1683" i="9"/>
  <c r="B1683" i="9"/>
  <c r="C1683" i="9"/>
  <c r="D1683" i="9"/>
  <c r="E1683" i="9"/>
  <c r="F1683" i="9"/>
  <c r="G1683" i="9"/>
  <c r="H1683" i="9"/>
  <c r="I1683" i="9"/>
  <c r="J1683" i="9"/>
  <c r="K1683" i="9" s="1"/>
  <c r="L1683" i="9"/>
  <c r="M1683" i="9"/>
  <c r="A1684" i="9"/>
  <c r="B1684" i="9"/>
  <c r="C1684" i="9"/>
  <c r="D1684" i="9"/>
  <c r="E1684" i="9"/>
  <c r="F1684" i="9"/>
  <c r="G1684" i="9"/>
  <c r="H1684" i="9"/>
  <c r="I1684" i="9"/>
  <c r="J1684" i="9"/>
  <c r="K1684" i="9"/>
  <c r="L1684" i="9"/>
  <c r="M1684" i="9"/>
  <c r="A1685" i="9"/>
  <c r="B1685" i="9"/>
  <c r="C1685" i="9"/>
  <c r="A1686" i="9"/>
  <c r="B1686" i="9" s="1"/>
  <c r="C1686" i="9"/>
  <c r="D1686" i="9"/>
  <c r="E1686" i="9"/>
  <c r="F1686" i="9"/>
  <c r="G1686" i="9"/>
  <c r="H1686" i="9"/>
  <c r="I1686" i="9"/>
  <c r="J1686" i="9"/>
  <c r="K1686" i="9" s="1"/>
  <c r="L1686" i="9"/>
  <c r="M1686" i="9"/>
  <c r="A1687" i="9"/>
  <c r="C1687" i="9"/>
  <c r="D1687" i="9"/>
  <c r="E1687" i="9"/>
  <c r="A1688" i="9"/>
  <c r="B1688" i="9" s="1"/>
  <c r="D1688" i="9"/>
  <c r="E1688" i="9"/>
  <c r="G1688" i="9"/>
  <c r="H1688" i="9"/>
  <c r="J1688" i="9"/>
  <c r="K1688" i="9"/>
  <c r="L1688" i="9"/>
  <c r="M1688" i="9"/>
  <c r="A1689" i="9"/>
  <c r="B1689" i="9" s="1"/>
  <c r="C1689" i="9"/>
  <c r="G1689" i="9"/>
  <c r="H1689" i="9"/>
  <c r="I1689" i="9"/>
  <c r="A1690" i="9"/>
  <c r="B1690" i="9" s="1"/>
  <c r="D1690" i="9"/>
  <c r="E1690" i="9"/>
  <c r="G1690" i="9"/>
  <c r="H1690" i="9"/>
  <c r="I1690" i="9"/>
  <c r="J1690" i="9"/>
  <c r="K1690" i="9"/>
  <c r="A1691" i="9"/>
  <c r="J1691" i="9" s="1"/>
  <c r="K1691" i="9" s="1"/>
  <c r="B1691" i="9"/>
  <c r="C1691" i="9"/>
  <c r="D1691" i="9"/>
  <c r="E1691" i="9"/>
  <c r="F1691" i="9"/>
  <c r="G1691" i="9"/>
  <c r="H1691" i="9"/>
  <c r="I1691" i="9"/>
  <c r="L1691" i="9"/>
  <c r="M1691" i="9"/>
  <c r="A1692" i="9"/>
  <c r="C1692" i="9" s="1"/>
  <c r="B1692" i="9"/>
  <c r="D1692" i="9"/>
  <c r="E1692" i="9"/>
  <c r="F1692" i="9"/>
  <c r="J1692" i="9"/>
  <c r="K1692" i="9" s="1"/>
  <c r="L1692" i="9"/>
  <c r="M1692" i="9"/>
  <c r="A1693" i="9"/>
  <c r="D1693" i="9" s="1"/>
  <c r="B1693" i="9"/>
  <c r="C1693" i="9"/>
  <c r="E1693" i="9"/>
  <c r="F1693" i="9"/>
  <c r="G1693" i="9"/>
  <c r="H1693" i="9"/>
  <c r="I1693" i="9"/>
  <c r="J1693" i="9"/>
  <c r="K1693" i="9" s="1"/>
  <c r="L1693" i="9"/>
  <c r="M1693" i="9"/>
  <c r="A1694" i="9"/>
  <c r="E1694" i="9"/>
  <c r="F1694" i="9"/>
  <c r="G1694" i="9"/>
  <c r="H1694" i="9"/>
  <c r="J1694" i="9"/>
  <c r="K1694" i="9" s="1"/>
  <c r="L1694" i="9"/>
  <c r="M1694" i="9"/>
  <c r="A1695" i="9"/>
  <c r="B1695" i="9"/>
  <c r="C1695" i="9"/>
  <c r="D1695" i="9"/>
  <c r="E1695" i="9"/>
  <c r="A1696" i="9"/>
  <c r="C1696" i="9" s="1"/>
  <c r="B1696" i="9"/>
  <c r="F1696" i="9"/>
  <c r="G1696" i="9"/>
  <c r="H1696" i="9"/>
  <c r="I1696" i="9"/>
  <c r="J1696" i="9"/>
  <c r="K1696" i="9" s="1"/>
  <c r="L1696" i="9"/>
  <c r="M1696" i="9"/>
  <c r="A1697" i="9"/>
  <c r="A1698" i="9"/>
  <c r="M1698" i="9" s="1"/>
  <c r="B1698" i="9"/>
  <c r="C1698" i="9"/>
  <c r="E1698" i="9"/>
  <c r="F1698" i="9"/>
  <c r="G1698" i="9"/>
  <c r="H1698" i="9"/>
  <c r="I1698" i="9"/>
  <c r="J1698" i="9"/>
  <c r="K1698" i="9" s="1"/>
  <c r="L1698" i="9"/>
  <c r="A1699" i="9"/>
  <c r="F1699" i="9" s="1"/>
  <c r="B1699" i="9"/>
  <c r="C1699" i="9"/>
  <c r="D1699" i="9"/>
  <c r="E1699" i="9"/>
  <c r="G1699" i="9"/>
  <c r="H1699" i="9"/>
  <c r="I1699" i="9"/>
  <c r="J1699" i="9"/>
  <c r="K1699" i="9"/>
  <c r="L1699" i="9"/>
  <c r="M1699" i="9"/>
  <c r="A1700" i="9"/>
  <c r="D1700" i="9" s="1"/>
  <c r="B1700" i="9"/>
  <c r="C1700" i="9"/>
  <c r="E1700" i="9"/>
  <c r="F1700" i="9"/>
  <c r="G1700" i="9"/>
  <c r="L1700" i="9"/>
  <c r="A1701" i="9"/>
  <c r="B1701" i="9" s="1"/>
  <c r="D1701" i="9"/>
  <c r="M1701" i="9"/>
  <c r="A1702" i="9"/>
  <c r="B1702" i="9"/>
  <c r="A1703" i="9"/>
  <c r="C1703" i="9"/>
  <c r="J1703" i="9"/>
  <c r="K1703" i="9" s="1"/>
  <c r="A1704" i="9"/>
  <c r="B1704" i="9"/>
  <c r="C1704" i="9"/>
  <c r="D1704" i="9"/>
  <c r="E1704" i="9"/>
  <c r="F1704" i="9"/>
  <c r="G1704" i="9"/>
  <c r="H1704" i="9"/>
  <c r="I1704" i="9"/>
  <c r="J1704" i="9"/>
  <c r="K1704" i="9" s="1"/>
  <c r="L1704" i="9"/>
  <c r="M1704" i="9"/>
  <c r="A1705" i="9"/>
  <c r="B1705" i="9"/>
  <c r="C1705" i="9"/>
  <c r="D1705" i="9"/>
  <c r="I1705" i="9"/>
  <c r="J1705" i="9"/>
  <c r="K1705" i="9" s="1"/>
  <c r="L1705" i="9"/>
  <c r="A1706" i="9"/>
  <c r="B1706" i="9" s="1"/>
  <c r="C1706" i="9"/>
  <c r="D1706" i="9"/>
  <c r="F1706" i="9"/>
  <c r="G1706" i="9"/>
  <c r="H1706" i="9"/>
  <c r="I1706" i="9"/>
  <c r="A1707" i="9"/>
  <c r="B1707" i="9" s="1"/>
  <c r="C1707" i="9"/>
  <c r="D1707" i="9"/>
  <c r="E1707" i="9"/>
  <c r="F1707" i="9"/>
  <c r="G1707" i="9"/>
  <c r="H1707" i="9"/>
  <c r="I1707" i="9"/>
  <c r="J1707" i="9"/>
  <c r="K1707" i="9"/>
  <c r="L1707" i="9"/>
  <c r="M1707" i="9"/>
  <c r="A1708" i="9"/>
  <c r="D1708" i="9" s="1"/>
  <c r="B1708" i="9"/>
  <c r="C1708" i="9"/>
  <c r="E1708" i="9"/>
  <c r="A1709" i="9"/>
  <c r="C1709" i="9" s="1"/>
  <c r="D1709" i="9"/>
  <c r="E1709" i="9"/>
  <c r="F1709" i="9"/>
  <c r="G1709" i="9"/>
  <c r="H1709" i="9"/>
  <c r="I1709" i="9"/>
  <c r="J1709" i="9"/>
  <c r="K1709" i="9" s="1"/>
  <c r="L1709" i="9"/>
  <c r="M1709" i="9"/>
  <c r="A1710" i="9"/>
  <c r="B1710" i="9"/>
  <c r="G1710" i="9"/>
  <c r="H1710" i="9"/>
  <c r="I1710" i="9"/>
  <c r="J1710" i="9"/>
  <c r="K1710" i="9" s="1"/>
  <c r="A1711" i="9"/>
  <c r="B1711" i="9" s="1"/>
  <c r="C1711" i="9"/>
  <c r="D1711" i="9"/>
  <c r="E1711" i="9"/>
  <c r="F1711" i="9"/>
  <c r="G1711" i="9"/>
  <c r="H1711" i="9"/>
  <c r="I1711" i="9"/>
  <c r="A1712" i="9"/>
  <c r="B1712" i="9"/>
  <c r="C1712" i="9"/>
  <c r="D1712" i="9"/>
  <c r="E1712" i="9"/>
  <c r="F1712" i="9"/>
  <c r="G1712" i="9"/>
  <c r="H1712" i="9"/>
  <c r="I1712" i="9"/>
  <c r="J1712" i="9"/>
  <c r="K1712" i="9" s="1"/>
  <c r="L1712" i="9"/>
  <c r="M1712" i="9"/>
  <c r="A1713" i="9"/>
  <c r="E1713" i="9" s="1"/>
  <c r="B1713" i="9"/>
  <c r="C1713" i="9"/>
  <c r="F1713" i="9"/>
  <c r="J1713" i="9"/>
  <c r="K1713" i="9" s="1"/>
  <c r="L1713" i="9"/>
  <c r="M1713" i="9"/>
  <c r="A1714" i="9"/>
  <c r="B1714" i="9"/>
  <c r="C1714" i="9"/>
  <c r="D1714" i="9"/>
  <c r="E1714" i="9"/>
  <c r="F1714" i="9"/>
  <c r="G1714" i="9"/>
  <c r="H1714" i="9"/>
  <c r="I1714" i="9"/>
  <c r="J1714" i="9"/>
  <c r="K1714" i="9" s="1"/>
  <c r="L1714" i="9"/>
  <c r="M1714" i="9"/>
  <c r="A1715" i="9"/>
  <c r="F1715" i="9" s="1"/>
  <c r="E1715" i="9"/>
  <c r="G1715" i="9"/>
  <c r="H1715" i="9"/>
  <c r="J1715" i="9"/>
  <c r="K1715" i="9" s="1"/>
  <c r="L1715" i="9"/>
  <c r="M1715" i="9"/>
  <c r="A1716" i="9"/>
  <c r="B1716" i="9" s="1"/>
  <c r="C1716" i="9"/>
  <c r="D1716" i="9"/>
  <c r="A1717" i="9"/>
  <c r="B1717" i="9" s="1"/>
  <c r="C1717" i="9"/>
  <c r="E1717" i="9"/>
  <c r="G1717" i="9"/>
  <c r="H1717" i="9"/>
  <c r="I1717" i="9"/>
  <c r="J1717" i="9"/>
  <c r="K1717" i="9" s="1"/>
  <c r="M1717" i="9"/>
  <c r="A1718" i="9"/>
  <c r="C1718" i="9"/>
  <c r="A1719" i="9"/>
  <c r="B1719" i="9" s="1"/>
  <c r="C1719" i="9"/>
  <c r="D1719" i="9"/>
  <c r="G1719" i="9"/>
  <c r="H1719" i="9"/>
  <c r="I1719" i="9"/>
  <c r="J1719" i="9"/>
  <c r="K1719" i="9" s="1"/>
  <c r="L1719" i="9"/>
  <c r="A1720" i="9"/>
  <c r="M1720" i="9" s="1"/>
  <c r="B1720" i="9"/>
  <c r="C1720" i="9"/>
  <c r="D1720" i="9"/>
  <c r="E1720" i="9"/>
  <c r="F1720" i="9"/>
  <c r="G1720" i="9"/>
  <c r="H1720" i="9"/>
  <c r="I1720" i="9"/>
  <c r="J1720" i="9"/>
  <c r="K1720" i="9" s="1"/>
  <c r="L1720" i="9"/>
  <c r="A1721" i="9"/>
  <c r="F1721" i="9" s="1"/>
  <c r="C1721" i="9"/>
  <c r="D1721" i="9"/>
  <c r="E1721" i="9"/>
  <c r="A1722" i="9"/>
  <c r="C1722" i="9" s="1"/>
  <c r="D1722" i="9"/>
  <c r="E1722" i="9"/>
  <c r="M1722" i="9"/>
  <c r="A1723" i="9"/>
  <c r="B1723" i="9"/>
  <c r="F1723" i="9"/>
  <c r="G1723" i="9"/>
  <c r="H1723" i="9"/>
  <c r="I1723" i="9"/>
  <c r="L1723" i="9"/>
  <c r="M1723" i="9"/>
  <c r="A1724" i="9"/>
  <c r="B1724" i="9"/>
  <c r="C1724" i="9"/>
  <c r="D1724" i="9"/>
  <c r="E1724" i="9"/>
  <c r="F1724" i="9"/>
  <c r="G1724" i="9"/>
  <c r="H1724" i="9"/>
  <c r="I1724" i="9"/>
  <c r="J1724" i="9"/>
  <c r="K1724" i="9" s="1"/>
  <c r="L1724" i="9"/>
  <c r="M1724" i="9"/>
  <c r="A1725" i="9"/>
  <c r="B1725" i="9"/>
  <c r="C1725" i="9"/>
  <c r="E1725" i="9"/>
  <c r="F1725" i="9"/>
  <c r="G1725" i="9"/>
  <c r="I1725" i="9"/>
  <c r="J1725" i="9"/>
  <c r="K1725" i="9" s="1"/>
  <c r="L1725" i="9"/>
  <c r="M1725" i="9"/>
  <c r="A1726" i="9"/>
  <c r="A1727" i="9"/>
  <c r="C1727" i="9"/>
  <c r="D1727" i="9"/>
  <c r="E1727" i="9"/>
  <c r="F1727" i="9"/>
  <c r="G1727" i="9"/>
  <c r="H1727" i="9"/>
  <c r="I1727" i="9"/>
  <c r="J1727" i="9"/>
  <c r="K1727" i="9" s="1"/>
  <c r="L1727" i="9"/>
  <c r="A1728" i="9"/>
  <c r="I1728" i="9" s="1"/>
  <c r="B1728" i="9"/>
  <c r="C1728" i="9"/>
  <c r="D1728" i="9"/>
  <c r="E1728" i="9"/>
  <c r="F1728" i="9"/>
  <c r="G1728" i="9"/>
  <c r="H1728" i="9"/>
  <c r="J1728" i="9"/>
  <c r="K1728" i="9"/>
  <c r="L1728" i="9"/>
  <c r="M1728" i="9"/>
  <c r="A1729" i="9"/>
  <c r="B1729" i="9" s="1"/>
  <c r="C1729" i="9"/>
  <c r="D1729" i="9"/>
  <c r="F1729" i="9"/>
  <c r="G1729" i="9"/>
  <c r="L1729" i="9"/>
  <c r="A1730" i="9"/>
  <c r="D1730" i="9" s="1"/>
  <c r="E1730" i="9"/>
  <c r="F1730" i="9"/>
  <c r="G1730" i="9"/>
  <c r="H1730" i="9"/>
  <c r="I1730" i="9"/>
  <c r="J1730" i="9"/>
  <c r="K1730" i="9" s="1"/>
  <c r="L1730" i="9"/>
  <c r="M1730" i="9"/>
  <c r="A1731" i="9"/>
  <c r="B1731" i="9"/>
  <c r="F1731" i="9"/>
  <c r="G1731" i="9"/>
  <c r="H1731" i="9"/>
  <c r="I1731" i="9"/>
  <c r="L1731" i="9"/>
  <c r="A1732" i="9"/>
  <c r="B1732" i="9" s="1"/>
  <c r="C1732" i="9"/>
  <c r="D1732" i="9"/>
  <c r="E1732" i="9"/>
  <c r="F1732" i="9"/>
  <c r="G1732" i="9"/>
  <c r="H1732" i="9"/>
  <c r="I1732" i="9"/>
  <c r="M1732" i="9"/>
  <c r="A1733" i="9"/>
  <c r="I1733" i="9" s="1"/>
  <c r="A1734" i="9"/>
  <c r="B1734" i="9" s="1"/>
  <c r="C1734" i="9"/>
  <c r="G1734" i="9"/>
  <c r="I1734" i="9"/>
  <c r="J1734" i="9"/>
  <c r="K1734" i="9" s="1"/>
  <c r="L1734" i="9"/>
  <c r="M1734" i="9"/>
  <c r="A1735" i="9"/>
  <c r="B1735" i="9"/>
  <c r="C1735" i="9"/>
  <c r="D1735" i="9"/>
  <c r="E1735" i="9"/>
  <c r="A1736" i="9"/>
  <c r="E1736" i="9" s="1"/>
  <c r="B1736" i="9"/>
  <c r="C1736" i="9"/>
  <c r="D1736" i="9"/>
  <c r="F1736" i="9"/>
  <c r="G1736" i="9"/>
  <c r="H1736" i="9"/>
  <c r="I1736" i="9"/>
  <c r="J1736" i="9"/>
  <c r="K1736" i="9" s="1"/>
  <c r="L1736" i="9"/>
  <c r="M1736" i="9"/>
  <c r="A1737" i="9"/>
  <c r="D1737" i="9" s="1"/>
  <c r="B1737" i="9"/>
  <c r="C1737" i="9"/>
  <c r="H1737" i="9"/>
  <c r="A1738" i="9"/>
  <c r="B1738" i="9" s="1"/>
  <c r="C1738" i="9"/>
  <c r="D1738" i="9"/>
  <c r="F1738" i="9"/>
  <c r="G1738" i="9"/>
  <c r="H1738" i="9"/>
  <c r="I1738" i="9"/>
  <c r="J1738" i="9"/>
  <c r="K1738" i="9"/>
  <c r="A1739" i="9"/>
  <c r="B1739" i="9"/>
  <c r="C1739" i="9"/>
  <c r="D1739" i="9"/>
  <c r="E1739" i="9"/>
  <c r="F1739" i="9"/>
  <c r="G1739" i="9"/>
  <c r="H1739" i="9"/>
  <c r="I1739" i="9"/>
  <c r="J1739" i="9"/>
  <c r="K1739" i="9" s="1"/>
  <c r="L1739" i="9"/>
  <c r="M1739" i="9"/>
  <c r="A1740" i="9"/>
  <c r="B1740" i="9"/>
  <c r="C1740" i="9"/>
  <c r="D1740" i="9"/>
  <c r="E1740" i="9"/>
  <c r="I1740" i="9"/>
  <c r="J1740" i="9"/>
  <c r="K1740" i="9"/>
  <c r="L1740" i="9"/>
  <c r="A1741" i="9"/>
  <c r="A1742" i="9"/>
  <c r="B1742" i="9"/>
  <c r="C1742" i="9"/>
  <c r="D1742" i="9"/>
  <c r="E1742" i="9"/>
  <c r="F1742" i="9"/>
  <c r="G1742" i="9"/>
  <c r="H1742" i="9"/>
  <c r="I1742" i="9"/>
  <c r="J1742" i="9"/>
  <c r="K1742" i="9"/>
  <c r="L1742" i="9"/>
  <c r="M1742" i="9"/>
  <c r="A1743" i="9"/>
  <c r="B1743" i="9" s="1"/>
  <c r="C1743" i="9"/>
  <c r="D1743" i="9"/>
  <c r="E1743" i="9"/>
  <c r="F1743" i="9"/>
  <c r="J1743" i="9"/>
  <c r="K1743" i="9" s="1"/>
  <c r="L1743" i="9"/>
  <c r="M1743" i="9"/>
  <c r="A1744" i="9"/>
  <c r="B1744" i="9"/>
  <c r="C1744" i="9"/>
  <c r="D1744" i="9"/>
  <c r="E1744" i="9"/>
  <c r="F1744" i="9"/>
  <c r="G1744" i="9"/>
  <c r="H1744" i="9"/>
  <c r="I1744" i="9"/>
  <c r="J1744" i="9"/>
  <c r="K1744" i="9"/>
  <c r="L1744" i="9"/>
  <c r="M1744" i="9"/>
  <c r="A1745" i="9"/>
  <c r="B1745" i="9" s="1"/>
  <c r="C1745" i="9"/>
  <c r="D1745" i="9"/>
  <c r="E1745" i="9"/>
  <c r="F1745" i="9"/>
  <c r="G1745" i="9"/>
  <c r="H1745" i="9"/>
  <c r="I1745" i="9"/>
  <c r="J1745" i="9"/>
  <c r="K1745" i="9" s="1"/>
  <c r="L1745" i="9"/>
  <c r="M1745" i="9"/>
  <c r="A1746" i="9"/>
  <c r="B1746" i="9" s="1"/>
  <c r="C1746" i="9"/>
  <c r="D1746" i="9"/>
  <c r="A1747" i="9"/>
  <c r="D1747" i="9"/>
  <c r="E1747" i="9"/>
  <c r="F1747" i="9"/>
  <c r="G1747" i="9"/>
  <c r="H1747" i="9"/>
  <c r="I1747" i="9"/>
  <c r="J1747" i="9"/>
  <c r="K1747" i="9" s="1"/>
  <c r="L1747" i="9"/>
  <c r="M1747" i="9"/>
  <c r="A1748" i="9"/>
  <c r="E1748" i="9"/>
  <c r="A1749" i="9"/>
  <c r="B1749" i="9"/>
  <c r="C1749" i="9"/>
  <c r="D1749" i="9"/>
  <c r="E1749" i="9"/>
  <c r="F1749" i="9"/>
  <c r="G1749" i="9"/>
  <c r="H1749" i="9"/>
  <c r="L1749" i="9"/>
  <c r="M1749" i="9"/>
  <c r="A1750" i="9"/>
  <c r="A1751" i="9"/>
  <c r="B1751" i="9"/>
  <c r="F1751" i="9"/>
  <c r="G1751" i="9"/>
  <c r="A1752" i="9"/>
  <c r="I1752" i="9" s="1"/>
  <c r="B1752" i="9"/>
  <c r="A1753" i="9"/>
  <c r="D1753" i="9" s="1"/>
  <c r="B1753" i="9"/>
  <c r="C1753" i="9"/>
  <c r="E1753" i="9"/>
  <c r="F1753" i="9"/>
  <c r="G1753" i="9"/>
  <c r="H1753" i="9"/>
  <c r="I1753" i="9"/>
  <c r="J1753" i="9"/>
  <c r="K1753" i="9"/>
  <c r="L1753" i="9"/>
  <c r="M1753" i="9"/>
  <c r="A1754" i="9"/>
  <c r="B1754" i="9"/>
  <c r="C1754" i="9"/>
  <c r="G1754" i="9"/>
  <c r="H1754" i="9"/>
  <c r="I1754" i="9"/>
  <c r="J1754" i="9"/>
  <c r="K1754" i="9" s="1"/>
  <c r="L1754" i="9"/>
  <c r="M1754" i="9"/>
  <c r="A1755" i="9"/>
  <c r="C1755" i="9" s="1"/>
  <c r="B1755" i="9"/>
  <c r="D1755" i="9"/>
  <c r="E1755" i="9"/>
  <c r="F1755" i="9"/>
  <c r="G1755" i="9"/>
  <c r="H1755" i="9"/>
  <c r="I1755" i="9"/>
  <c r="J1755" i="9"/>
  <c r="K1755" i="9" s="1"/>
  <c r="A1756" i="9"/>
  <c r="A1757" i="9"/>
  <c r="D1757" i="9" s="1"/>
  <c r="B1757" i="9"/>
  <c r="C1757" i="9"/>
  <c r="H1757" i="9"/>
  <c r="I1757" i="9"/>
  <c r="J1757" i="9"/>
  <c r="K1757" i="9" s="1"/>
  <c r="M1757" i="9"/>
  <c r="A1758" i="9"/>
  <c r="B1758" i="9"/>
  <c r="C1758" i="9"/>
  <c r="D1758" i="9"/>
  <c r="E1758" i="9"/>
  <c r="F1758" i="9"/>
  <c r="G1758" i="9"/>
  <c r="H1758" i="9"/>
  <c r="I1758" i="9"/>
  <c r="J1758" i="9"/>
  <c r="K1758" i="9"/>
  <c r="A1759" i="9"/>
  <c r="B1759" i="9"/>
  <c r="C1759" i="9"/>
  <c r="D1759" i="9"/>
  <c r="E1759" i="9"/>
  <c r="F1759" i="9"/>
  <c r="G1759" i="9"/>
  <c r="H1759" i="9"/>
  <c r="I1759" i="9"/>
  <c r="J1759" i="9"/>
  <c r="K1759" i="9" s="1"/>
  <c r="L1759" i="9"/>
  <c r="M1759" i="9"/>
  <c r="A1760" i="9"/>
  <c r="D1760" i="9" s="1"/>
  <c r="B1760" i="9"/>
  <c r="C1760" i="9"/>
  <c r="E1760" i="9"/>
  <c r="I1760" i="9"/>
  <c r="J1760" i="9"/>
  <c r="K1760" i="9"/>
  <c r="L1760" i="9"/>
  <c r="A1761" i="9"/>
  <c r="C1761" i="9" s="1"/>
  <c r="B1761" i="9"/>
  <c r="D1761" i="9"/>
  <c r="E1761" i="9"/>
  <c r="F1761" i="9"/>
  <c r="G1761" i="9"/>
  <c r="A1762" i="9"/>
  <c r="B1762" i="9"/>
  <c r="C1762" i="9"/>
  <c r="D1762" i="9"/>
  <c r="E1762" i="9"/>
  <c r="F1762" i="9"/>
  <c r="G1762" i="9"/>
  <c r="H1762" i="9"/>
  <c r="I1762" i="9"/>
  <c r="J1762" i="9"/>
  <c r="K1762" i="9" s="1"/>
  <c r="L1762" i="9"/>
  <c r="M1762" i="9"/>
  <c r="A1763" i="9"/>
  <c r="L1763" i="9" s="1"/>
  <c r="B1763" i="9"/>
  <c r="A1764" i="9"/>
  <c r="B1764" i="9"/>
  <c r="C1764" i="9"/>
  <c r="D1764" i="9"/>
  <c r="E1764" i="9"/>
  <c r="F1764" i="9"/>
  <c r="G1764" i="9"/>
  <c r="H1764" i="9"/>
  <c r="I1764" i="9"/>
  <c r="J1764" i="9"/>
  <c r="K1764" i="9" s="1"/>
  <c r="L1764" i="9"/>
  <c r="M1764" i="9"/>
  <c r="A1765" i="9"/>
  <c r="B1765" i="9" s="1"/>
  <c r="C1765" i="9"/>
  <c r="D1765" i="9"/>
  <c r="E1765" i="9"/>
  <c r="F1765" i="9"/>
  <c r="G1765" i="9"/>
  <c r="H1765" i="9"/>
  <c r="I1765" i="9"/>
  <c r="J1765" i="9"/>
  <c r="K1765" i="9" s="1"/>
  <c r="L1765" i="9"/>
  <c r="M1765" i="9"/>
  <c r="A1766" i="9"/>
  <c r="D1766" i="9" s="1"/>
  <c r="B1766" i="9"/>
  <c r="C1766" i="9"/>
  <c r="E1766" i="9"/>
  <c r="F1766" i="9"/>
  <c r="G1766" i="9"/>
  <c r="A1767" i="9"/>
  <c r="B1767" i="9" s="1"/>
  <c r="D1767" i="9"/>
  <c r="E1767" i="9"/>
  <c r="G1767" i="9"/>
  <c r="H1767" i="9"/>
  <c r="I1767" i="9"/>
  <c r="J1767" i="9"/>
  <c r="K1767" i="9" s="1"/>
  <c r="L1767" i="9"/>
  <c r="M1767" i="9"/>
  <c r="A1768" i="9"/>
  <c r="E1768" i="9"/>
  <c r="F1768" i="9"/>
  <c r="G1768" i="9"/>
  <c r="H1768" i="9"/>
  <c r="A1769" i="9"/>
  <c r="D1769" i="9" s="1"/>
  <c r="B1769" i="9"/>
  <c r="C1769" i="9"/>
  <c r="E1769" i="9"/>
  <c r="F1769" i="9"/>
  <c r="G1769" i="9"/>
  <c r="H1769" i="9"/>
  <c r="L1769" i="9"/>
  <c r="M1769" i="9"/>
  <c r="A1770" i="9"/>
  <c r="E1770" i="9" s="1"/>
  <c r="B1770" i="9"/>
  <c r="D1770" i="9"/>
  <c r="F1770" i="9"/>
  <c r="G1770" i="9"/>
  <c r="A1771" i="9"/>
  <c r="A1772" i="9"/>
  <c r="B1772" i="9"/>
  <c r="A1773" i="9"/>
  <c r="D1773" i="9" s="1"/>
  <c r="B1773" i="9"/>
  <c r="E1773" i="9"/>
  <c r="F1773" i="9"/>
  <c r="G1773" i="9"/>
  <c r="H1773" i="9"/>
  <c r="I1773" i="9"/>
  <c r="J1773" i="9"/>
  <c r="K1773" i="9" s="1"/>
  <c r="L1773" i="9"/>
  <c r="M1773" i="9"/>
  <c r="A1774" i="9"/>
  <c r="B1774" i="9"/>
  <c r="C1774" i="9"/>
  <c r="A1775" i="9"/>
  <c r="C1775" i="9" s="1"/>
  <c r="D1775" i="9"/>
  <c r="A1776" i="9"/>
  <c r="D1776" i="9"/>
  <c r="A1777" i="9"/>
  <c r="B1777" i="9" s="1"/>
  <c r="A1778" i="9"/>
  <c r="B1778" i="9"/>
  <c r="C1778" i="9"/>
  <c r="J1778" i="9"/>
  <c r="K1778" i="9" s="1"/>
  <c r="A1779" i="9"/>
  <c r="B1779" i="9"/>
  <c r="C1779" i="9"/>
  <c r="D1779" i="9"/>
  <c r="E1779" i="9"/>
  <c r="F1779" i="9"/>
  <c r="G1779" i="9"/>
  <c r="H1779" i="9"/>
  <c r="I1779" i="9"/>
  <c r="J1779" i="9"/>
  <c r="K1779" i="9"/>
  <c r="L1779" i="9"/>
  <c r="M1779" i="9"/>
  <c r="A1780" i="9"/>
  <c r="B1780" i="9" s="1"/>
  <c r="C1780" i="9"/>
  <c r="D1780" i="9"/>
  <c r="E1780" i="9"/>
  <c r="I1780" i="9"/>
  <c r="J1780" i="9"/>
  <c r="K1780" i="9"/>
  <c r="L1780" i="9"/>
  <c r="A1781" i="9"/>
  <c r="C1781" i="9" s="1"/>
  <c r="B1781" i="9"/>
  <c r="D1781" i="9"/>
  <c r="E1781" i="9"/>
  <c r="F1781" i="9"/>
  <c r="G1781" i="9"/>
  <c r="H1781" i="9"/>
  <c r="I1781" i="9"/>
  <c r="J1781" i="9"/>
  <c r="K1781" i="9" s="1"/>
  <c r="A1782" i="9"/>
  <c r="B1782" i="9"/>
  <c r="C1782" i="9"/>
  <c r="D1782" i="9"/>
  <c r="E1782" i="9"/>
  <c r="F1782" i="9"/>
  <c r="G1782" i="9"/>
  <c r="H1782" i="9"/>
  <c r="I1782" i="9"/>
  <c r="J1782" i="9"/>
  <c r="K1782" i="9" s="1"/>
  <c r="L1782" i="9"/>
  <c r="M1782" i="9"/>
  <c r="A1783" i="9"/>
  <c r="C1783" i="9"/>
  <c r="D1783" i="9"/>
  <c r="E1783" i="9"/>
  <c r="A1784" i="9"/>
  <c r="B1784" i="9"/>
  <c r="C1784" i="9"/>
  <c r="D1784" i="9"/>
  <c r="E1784" i="9"/>
  <c r="F1784" i="9"/>
  <c r="G1784" i="9"/>
  <c r="H1784" i="9"/>
  <c r="I1784" i="9"/>
  <c r="J1784" i="9"/>
  <c r="K1784" i="9"/>
  <c r="L1784" i="9"/>
  <c r="M1784" i="9"/>
  <c r="A1785" i="9"/>
  <c r="B1785" i="9" s="1"/>
  <c r="C1785" i="9"/>
  <c r="D1785" i="9"/>
  <c r="E1785" i="9"/>
  <c r="F1785" i="9"/>
  <c r="G1785" i="9"/>
  <c r="H1785" i="9"/>
  <c r="I1785" i="9"/>
  <c r="J1785" i="9"/>
  <c r="K1785" i="9" s="1"/>
  <c r="L1785" i="9"/>
  <c r="M1785" i="9"/>
  <c r="A1786" i="9"/>
  <c r="B1786" i="9"/>
  <c r="C1786" i="9"/>
  <c r="M1786" i="9"/>
  <c r="A1787" i="9"/>
  <c r="B1787" i="9" s="1"/>
  <c r="C1787" i="9"/>
  <c r="D1787" i="9"/>
  <c r="E1787" i="9"/>
  <c r="F1787" i="9"/>
  <c r="G1787" i="9"/>
  <c r="H1787" i="9"/>
  <c r="I1787" i="9"/>
  <c r="J1787" i="9"/>
  <c r="K1787" i="9" s="1"/>
  <c r="L1787" i="9"/>
  <c r="M1787" i="9"/>
  <c r="A1788" i="9"/>
  <c r="L1788" i="9"/>
  <c r="A1789" i="9"/>
  <c r="B1789" i="9" s="1"/>
  <c r="C1789" i="9"/>
  <c r="D1789" i="9"/>
  <c r="E1789" i="9"/>
  <c r="F1789" i="9"/>
  <c r="H1789" i="9"/>
  <c r="L1789" i="9"/>
  <c r="M1789" i="9"/>
  <c r="A1790" i="9"/>
  <c r="B1790" i="9"/>
  <c r="D1790" i="9"/>
  <c r="E1790" i="9"/>
  <c r="F1790" i="9"/>
  <c r="A1791" i="9"/>
  <c r="B1791" i="9" s="1"/>
  <c r="F1791" i="9"/>
  <c r="G1791" i="9"/>
  <c r="I1791" i="9"/>
  <c r="L1791" i="9"/>
  <c r="M1791" i="9"/>
  <c r="A1792" i="9"/>
  <c r="B1792" i="9"/>
  <c r="C1792" i="9"/>
  <c r="D1792" i="9"/>
  <c r="E1792" i="9"/>
  <c r="F1792" i="9"/>
  <c r="G1792" i="9"/>
  <c r="A1793" i="9"/>
  <c r="D1793" i="9" s="1"/>
  <c r="B1793" i="9"/>
  <c r="C1793" i="9"/>
  <c r="E1793" i="9"/>
  <c r="F1793" i="9"/>
  <c r="G1793" i="9"/>
  <c r="H1793" i="9"/>
  <c r="I1793" i="9"/>
  <c r="J1793" i="9"/>
  <c r="K1793" i="9" s="1"/>
  <c r="L1793" i="9"/>
  <c r="M1793" i="9"/>
  <c r="A1794" i="9"/>
  <c r="A1795" i="9"/>
  <c r="B1795" i="9" s="1"/>
  <c r="C1795" i="9"/>
  <c r="D1795" i="9"/>
  <c r="F1795" i="9"/>
  <c r="G1795" i="9"/>
  <c r="H1795" i="9"/>
  <c r="I1795" i="9"/>
  <c r="J1795" i="9"/>
  <c r="K1795" i="9" s="1"/>
  <c r="A1796" i="9"/>
  <c r="C1796" i="9" s="1"/>
  <c r="B1796" i="9"/>
  <c r="D1796" i="9"/>
  <c r="F1796" i="9"/>
  <c r="G1796" i="9"/>
  <c r="H1796" i="9"/>
  <c r="A1797" i="9"/>
  <c r="C1797" i="9" s="1"/>
  <c r="B1797" i="9"/>
  <c r="D1797" i="9"/>
  <c r="H1797" i="9"/>
  <c r="I1797" i="9"/>
  <c r="J1797" i="9"/>
  <c r="K1797" i="9" s="1"/>
  <c r="M1797" i="9"/>
  <c r="A1798" i="9"/>
  <c r="B1798" i="9"/>
  <c r="C1798" i="9"/>
  <c r="D1798" i="9"/>
  <c r="E1798" i="9"/>
  <c r="F1798" i="9"/>
  <c r="A1799" i="9"/>
  <c r="B1799" i="9"/>
  <c r="C1799" i="9"/>
  <c r="D1799" i="9"/>
  <c r="E1799" i="9"/>
  <c r="F1799" i="9"/>
  <c r="G1799" i="9"/>
  <c r="H1799" i="9"/>
  <c r="I1799" i="9"/>
  <c r="J1799" i="9"/>
  <c r="K1799" i="9" s="1"/>
  <c r="L1799" i="9"/>
  <c r="M1799" i="9"/>
  <c r="A1800" i="9"/>
  <c r="A1801" i="9"/>
  <c r="M1801" i="9" s="1"/>
  <c r="B1801" i="9"/>
  <c r="C1801" i="9"/>
  <c r="D1801" i="9"/>
  <c r="E1801" i="9"/>
  <c r="F1801" i="9"/>
  <c r="G1801" i="9"/>
  <c r="H1801" i="9"/>
  <c r="I1801" i="9"/>
  <c r="J1801" i="9"/>
  <c r="K1801" i="9"/>
  <c r="L1801" i="9"/>
  <c r="A1802" i="9"/>
  <c r="B1802" i="9"/>
  <c r="C1802" i="9"/>
  <c r="D1802" i="9"/>
  <c r="E1802" i="9"/>
  <c r="F1802" i="9"/>
  <c r="G1802" i="9"/>
  <c r="H1802" i="9"/>
  <c r="I1802" i="9"/>
  <c r="J1802" i="9"/>
  <c r="K1802" i="9" s="1"/>
  <c r="L1802" i="9"/>
  <c r="M1802" i="9"/>
  <c r="A1803" i="9"/>
  <c r="B1803" i="9"/>
  <c r="C1803" i="9"/>
  <c r="D1803" i="9"/>
  <c r="E1803" i="9"/>
  <c r="F1803" i="9"/>
  <c r="J1803" i="9"/>
  <c r="K1803" i="9" s="1"/>
  <c r="A1804" i="9"/>
  <c r="B1804" i="9"/>
  <c r="C1804" i="9"/>
  <c r="D1804" i="9"/>
  <c r="E1804" i="9"/>
  <c r="F1804" i="9"/>
  <c r="G1804" i="9"/>
  <c r="H1804" i="9"/>
  <c r="I1804" i="9"/>
  <c r="J1804" i="9"/>
  <c r="K1804" i="9"/>
  <c r="L1804" i="9"/>
  <c r="M1804" i="9"/>
  <c r="A1805" i="9"/>
  <c r="B1805" i="9" s="1"/>
  <c r="C1805" i="9"/>
  <c r="D1805" i="9"/>
  <c r="E1805" i="9"/>
  <c r="F1805" i="9"/>
  <c r="G1805" i="9"/>
  <c r="H1805" i="9"/>
  <c r="I1805" i="9"/>
  <c r="J1805" i="9"/>
  <c r="K1805" i="9" s="1"/>
  <c r="L1805" i="9"/>
  <c r="M1805" i="9"/>
  <c r="A1806" i="9"/>
  <c r="B1806" i="9"/>
  <c r="C1806" i="9"/>
  <c r="D1806" i="9"/>
  <c r="E1806" i="9"/>
  <c r="F1806" i="9"/>
  <c r="G1806" i="9"/>
  <c r="L1806" i="9"/>
  <c r="M1806" i="9"/>
  <c r="A1807" i="9"/>
  <c r="C1807" i="9"/>
  <c r="D1807" i="9"/>
  <c r="J1807" i="9"/>
  <c r="K1807" i="9" s="1"/>
  <c r="M1807" i="9"/>
  <c r="A1808" i="9"/>
  <c r="E1808" i="9"/>
  <c r="A1809" i="9"/>
  <c r="L1809" i="9" s="1"/>
  <c r="B1809" i="9"/>
  <c r="H1809" i="9"/>
  <c r="A1810" i="9"/>
  <c r="C1810" i="9" s="1"/>
  <c r="B1810" i="9"/>
  <c r="D1810" i="9"/>
  <c r="E1810" i="9"/>
  <c r="F1810" i="9"/>
  <c r="G1810" i="9"/>
  <c r="H1810" i="9"/>
  <c r="I1810" i="9"/>
  <c r="J1810" i="9"/>
  <c r="K1810" i="9"/>
  <c r="L1810" i="9"/>
  <c r="M1810" i="9"/>
  <c r="A1811" i="9"/>
  <c r="B1811" i="9"/>
  <c r="F1811" i="9"/>
  <c r="G1811" i="9"/>
  <c r="H1811" i="9"/>
  <c r="I1811" i="9"/>
  <c r="L1811" i="9"/>
  <c r="M1811" i="9"/>
  <c r="A1812" i="9"/>
  <c r="B1812" i="9"/>
  <c r="C1812" i="9"/>
  <c r="D1812" i="9"/>
  <c r="E1812" i="9"/>
  <c r="F1812" i="9"/>
  <c r="G1812" i="9"/>
  <c r="H1812" i="9"/>
  <c r="I1812" i="9"/>
  <c r="M1812" i="9"/>
  <c r="A1813" i="9"/>
  <c r="A1814" i="9"/>
  <c r="C1814" i="9" s="1"/>
  <c r="B1814" i="9"/>
  <c r="G1814" i="9"/>
  <c r="H1814" i="9"/>
  <c r="I1814" i="9"/>
  <c r="J1814" i="9"/>
  <c r="K1814" i="9" s="1"/>
  <c r="L1814" i="9"/>
  <c r="M1814" i="9"/>
  <c r="A1815" i="9"/>
  <c r="B1815" i="9"/>
  <c r="C1815" i="9"/>
  <c r="D1815" i="9"/>
  <c r="E1815" i="9"/>
  <c r="F1815" i="9"/>
  <c r="G1815" i="9"/>
  <c r="H1815" i="9"/>
  <c r="I1815" i="9"/>
  <c r="J1815" i="9"/>
  <c r="K1815" i="9" s="1"/>
  <c r="A1816" i="9"/>
  <c r="D1816" i="9" s="1"/>
  <c r="B1816" i="9"/>
  <c r="C1816" i="9"/>
  <c r="F1816" i="9"/>
  <c r="G1816" i="9"/>
  <c r="H1816" i="9"/>
  <c r="I1816" i="9"/>
  <c r="J1816" i="9"/>
  <c r="K1816" i="9" s="1"/>
  <c r="A1817" i="9"/>
  <c r="B1817" i="9"/>
  <c r="C1817" i="9"/>
  <c r="D1817" i="9"/>
  <c r="H1817" i="9"/>
  <c r="I1817" i="9"/>
  <c r="J1817" i="9"/>
  <c r="K1817" i="9" s="1"/>
  <c r="M1817" i="9"/>
  <c r="A1818" i="9"/>
  <c r="B1818" i="9" s="1"/>
  <c r="C1818" i="9"/>
  <c r="D1818" i="9"/>
  <c r="F1818" i="9"/>
  <c r="G1818" i="9"/>
  <c r="H1818" i="9"/>
  <c r="I1818" i="9"/>
  <c r="A1819" i="9"/>
  <c r="B1819" i="9"/>
  <c r="C1819" i="9"/>
  <c r="D1819" i="9"/>
  <c r="E1819" i="9"/>
  <c r="F1819" i="9"/>
  <c r="G1819" i="9"/>
  <c r="H1819" i="9"/>
  <c r="I1819" i="9"/>
  <c r="J1819" i="9"/>
  <c r="K1819" i="9" s="1"/>
  <c r="L1819" i="9"/>
  <c r="M1819" i="9"/>
  <c r="A1820" i="9"/>
  <c r="C1820" i="9" s="1"/>
  <c r="B1820" i="9"/>
  <c r="D1820" i="9"/>
  <c r="E1820" i="9"/>
  <c r="A1821" i="9"/>
  <c r="M1821" i="9" s="1"/>
  <c r="B1821" i="9"/>
  <c r="C1821" i="9"/>
  <c r="E1821" i="9"/>
  <c r="F1821" i="9"/>
  <c r="G1821" i="9"/>
  <c r="H1821" i="9"/>
  <c r="I1821" i="9"/>
  <c r="J1821" i="9"/>
  <c r="K1821" i="9" s="1"/>
  <c r="L1821" i="9"/>
  <c r="A1822" i="9"/>
  <c r="B1822" i="9"/>
  <c r="C1822" i="9"/>
  <c r="D1822" i="9"/>
  <c r="E1822" i="9"/>
  <c r="F1822" i="9"/>
  <c r="G1822" i="9"/>
  <c r="H1822" i="9"/>
  <c r="I1822" i="9"/>
  <c r="J1822" i="9"/>
  <c r="K1822" i="9"/>
  <c r="L1822" i="9"/>
  <c r="M1822" i="9"/>
  <c r="A1823" i="9"/>
  <c r="B1823" i="9" s="1"/>
  <c r="C1823" i="9"/>
  <c r="D1823" i="9"/>
  <c r="A1824" i="9"/>
  <c r="B1824" i="9"/>
  <c r="C1824" i="9"/>
  <c r="D1824" i="9"/>
  <c r="E1824" i="9"/>
  <c r="F1824" i="9"/>
  <c r="G1824" i="9"/>
  <c r="H1824" i="9"/>
  <c r="I1824" i="9"/>
  <c r="J1824" i="9"/>
  <c r="K1824" i="9" s="1"/>
  <c r="L1824" i="9"/>
  <c r="M1824" i="9"/>
  <c r="A1825" i="9"/>
  <c r="B1825" i="9" s="1"/>
  <c r="C1825" i="9"/>
  <c r="D1825" i="9"/>
  <c r="E1825" i="9"/>
  <c r="F1825" i="9"/>
  <c r="G1825" i="9"/>
  <c r="H1825" i="9"/>
  <c r="I1825" i="9"/>
  <c r="J1825" i="9"/>
  <c r="K1825" i="9" s="1"/>
  <c r="L1825" i="9"/>
  <c r="M1825" i="9"/>
  <c r="A1826" i="9"/>
  <c r="D1826" i="9" s="1"/>
  <c r="B1826" i="9"/>
  <c r="C1826" i="9"/>
  <c r="E1826" i="9"/>
  <c r="F1826" i="9"/>
  <c r="G1826" i="9"/>
  <c r="L1826" i="9"/>
  <c r="M1826" i="9"/>
  <c r="A1827" i="9"/>
  <c r="A1828" i="9"/>
  <c r="G1828" i="9" s="1"/>
  <c r="F1828" i="9"/>
  <c r="H1828" i="9"/>
  <c r="J1828" i="9"/>
  <c r="K1828" i="9"/>
  <c r="L1828" i="9"/>
  <c r="M1828" i="9"/>
  <c r="A1829" i="9"/>
  <c r="C1829" i="9" s="1"/>
  <c r="B1829" i="9"/>
  <c r="D1829" i="9"/>
  <c r="E1829" i="9"/>
  <c r="L1829" i="9"/>
  <c r="A1830" i="9"/>
  <c r="J1830" i="9"/>
  <c r="K1830" i="9" s="1"/>
  <c r="A1831" i="9"/>
  <c r="B1831" i="9"/>
  <c r="F1831" i="9"/>
  <c r="A1832" i="9"/>
  <c r="C1832" i="9"/>
  <c r="D1832" i="9"/>
  <c r="E1832" i="9"/>
  <c r="F1832" i="9"/>
  <c r="A1833" i="9"/>
  <c r="E1833" i="9" s="1"/>
  <c r="B1833" i="9"/>
  <c r="C1833" i="9"/>
  <c r="I1833" i="9"/>
  <c r="L1833" i="9"/>
  <c r="A1834" i="9"/>
  <c r="J1834" i="9" s="1"/>
  <c r="K1834" i="9" s="1"/>
  <c r="B1834" i="9"/>
  <c r="C1834" i="9"/>
  <c r="G1834" i="9"/>
  <c r="A1835" i="9"/>
  <c r="B1835" i="9"/>
  <c r="C1835" i="9"/>
  <c r="G1835" i="9"/>
  <c r="I1835" i="9"/>
  <c r="J1835" i="9"/>
  <c r="K1835" i="9" s="1"/>
  <c r="A1836" i="9"/>
  <c r="E1836" i="9" s="1"/>
  <c r="B1836" i="9"/>
  <c r="C1836" i="9"/>
  <c r="D1836" i="9"/>
  <c r="F1836" i="9"/>
  <c r="G1836" i="9"/>
  <c r="H1836" i="9"/>
  <c r="I1836" i="9"/>
  <c r="J1836" i="9"/>
  <c r="K1836" i="9"/>
  <c r="L1836" i="9"/>
  <c r="M1836" i="9"/>
  <c r="A1837" i="9"/>
  <c r="H1837" i="9"/>
  <c r="A1838" i="9"/>
  <c r="B1838" i="9"/>
  <c r="C1838" i="9"/>
  <c r="D1838" i="9"/>
  <c r="E1838" i="9"/>
  <c r="F1838" i="9"/>
  <c r="G1838" i="9"/>
  <c r="H1838" i="9"/>
  <c r="I1838" i="9"/>
  <c r="J1838" i="9"/>
  <c r="K1838" i="9"/>
  <c r="A1839" i="9"/>
  <c r="B1839" i="9"/>
  <c r="C1839" i="9"/>
  <c r="D1839" i="9"/>
  <c r="E1839" i="9"/>
  <c r="F1839" i="9"/>
  <c r="G1839" i="9"/>
  <c r="H1839" i="9"/>
  <c r="I1839" i="9"/>
  <c r="J1839" i="9"/>
  <c r="K1839" i="9" s="1"/>
  <c r="L1839" i="9"/>
  <c r="M1839" i="9"/>
  <c r="A1840" i="9"/>
  <c r="E1840" i="9" s="1"/>
  <c r="C1840" i="9"/>
  <c r="D1840" i="9"/>
  <c r="I1840" i="9"/>
  <c r="J1840" i="9"/>
  <c r="K1840" i="9" s="1"/>
  <c r="A1841" i="9"/>
  <c r="M1841" i="9" s="1"/>
  <c r="C1841" i="9"/>
  <c r="D1841" i="9"/>
  <c r="E1841" i="9"/>
  <c r="F1841" i="9"/>
  <c r="H1841" i="9"/>
  <c r="I1841" i="9"/>
  <c r="J1841" i="9"/>
  <c r="K1841" i="9" s="1"/>
  <c r="L1841" i="9"/>
  <c r="A1842" i="9"/>
  <c r="B1842" i="9"/>
  <c r="C1842" i="9"/>
  <c r="D1842" i="9"/>
  <c r="E1842" i="9"/>
  <c r="F1842" i="9"/>
  <c r="G1842" i="9"/>
  <c r="H1842" i="9"/>
  <c r="I1842" i="9"/>
  <c r="J1842" i="9"/>
  <c r="K1842" i="9" s="1"/>
  <c r="L1842" i="9"/>
  <c r="M1842" i="9"/>
  <c r="A1843" i="9"/>
  <c r="C1843" i="9"/>
  <c r="D1843" i="9"/>
  <c r="A1844" i="9"/>
  <c r="B1844" i="9"/>
  <c r="C1844" i="9"/>
  <c r="D1844" i="9"/>
  <c r="E1844" i="9"/>
  <c r="F1844" i="9"/>
  <c r="G1844" i="9"/>
  <c r="H1844" i="9"/>
  <c r="I1844" i="9"/>
  <c r="J1844" i="9"/>
  <c r="K1844" i="9" s="1"/>
  <c r="L1844" i="9"/>
  <c r="M1844" i="9"/>
  <c r="A1845" i="9"/>
  <c r="B1845" i="9" s="1"/>
  <c r="C1845" i="9"/>
  <c r="D1845" i="9"/>
  <c r="E1845" i="9"/>
  <c r="F1845" i="9"/>
  <c r="G1845" i="9"/>
  <c r="H1845" i="9"/>
  <c r="I1845" i="9"/>
  <c r="J1845" i="9"/>
  <c r="K1845" i="9" s="1"/>
  <c r="L1845" i="9"/>
  <c r="M1845" i="9"/>
  <c r="A1846" i="9"/>
  <c r="B1846" i="9" s="1"/>
  <c r="C1846" i="9"/>
  <c r="D1846" i="9"/>
  <c r="E1846" i="9"/>
  <c r="F1846" i="9"/>
  <c r="L1846" i="9"/>
  <c r="M1846" i="9"/>
  <c r="A1847" i="9"/>
  <c r="I1847" i="9"/>
  <c r="A1848" i="9"/>
  <c r="F1848" i="9"/>
  <c r="G1848" i="9"/>
  <c r="J1848" i="9"/>
  <c r="K1848" i="9"/>
  <c r="L1848" i="9"/>
  <c r="M1848" i="9"/>
  <c r="A1849" i="9"/>
  <c r="A1850" i="9"/>
  <c r="C1850" i="9" s="1"/>
  <c r="B1850" i="9"/>
  <c r="D1850" i="9"/>
  <c r="E1850" i="9"/>
  <c r="F1850" i="9"/>
  <c r="H1850" i="9"/>
  <c r="I1850" i="9"/>
  <c r="J1850" i="9"/>
  <c r="K1850" i="9" s="1"/>
  <c r="L1850" i="9"/>
  <c r="M1850" i="9"/>
  <c r="A1851" i="9"/>
  <c r="B1851" i="9"/>
  <c r="F1851" i="9"/>
  <c r="G1851" i="9"/>
  <c r="H1851" i="9"/>
  <c r="I1851" i="9"/>
  <c r="A1852" i="9"/>
  <c r="B1852" i="9"/>
  <c r="C1852" i="9"/>
  <c r="D1852" i="9"/>
  <c r="F1852" i="9"/>
  <c r="G1852" i="9"/>
  <c r="H1852" i="9"/>
  <c r="I1852" i="9"/>
  <c r="M1852" i="9"/>
  <c r="A1853" i="9"/>
  <c r="B1853" i="9"/>
  <c r="C1853" i="9"/>
  <c r="E1853" i="9"/>
  <c r="F1853" i="9"/>
  <c r="G1853" i="9"/>
  <c r="H1853" i="9"/>
  <c r="L1853" i="9"/>
  <c r="M1853" i="9"/>
  <c r="A1854" i="9"/>
  <c r="B1854" i="9"/>
  <c r="A1855" i="9"/>
  <c r="C1855" i="9"/>
  <c r="D1855" i="9"/>
  <c r="E1855" i="9"/>
  <c r="F1855" i="9"/>
  <c r="J1855" i="9"/>
  <c r="K1855" i="9" s="1"/>
  <c r="A1856" i="9"/>
  <c r="F1856" i="9" s="1"/>
  <c r="C1856" i="9"/>
  <c r="E1856" i="9"/>
  <c r="G1856" i="9"/>
  <c r="H1856" i="9"/>
  <c r="A1857" i="9"/>
  <c r="C1857" i="9" s="1"/>
  <c r="B1857" i="9"/>
  <c r="J1857" i="9"/>
  <c r="K1857" i="9" s="1"/>
  <c r="L1857" i="9"/>
  <c r="M1857" i="9"/>
  <c r="A1858" i="9"/>
  <c r="B1858" i="9"/>
  <c r="C1858" i="9"/>
  <c r="D1858" i="9"/>
  <c r="E1858" i="9"/>
  <c r="F1858" i="9"/>
  <c r="G1858" i="9"/>
  <c r="H1858" i="9"/>
  <c r="I1858" i="9"/>
  <c r="J1858" i="9"/>
  <c r="K1858" i="9" s="1"/>
  <c r="A1859" i="9"/>
  <c r="B1859" i="9"/>
  <c r="C1859" i="9"/>
  <c r="D1859" i="9"/>
  <c r="E1859" i="9"/>
  <c r="F1859" i="9"/>
  <c r="G1859" i="9"/>
  <c r="H1859" i="9"/>
  <c r="I1859" i="9"/>
  <c r="J1859" i="9"/>
  <c r="K1859" i="9" s="1"/>
  <c r="L1859" i="9"/>
  <c r="M1859" i="9"/>
  <c r="A1860" i="9"/>
  <c r="B1860" i="9"/>
  <c r="C1860" i="9"/>
  <c r="D1860" i="9"/>
  <c r="A1861" i="9"/>
  <c r="M1861" i="9" s="1"/>
  <c r="B1861" i="9"/>
  <c r="C1861" i="9"/>
  <c r="D1861" i="9"/>
  <c r="E1861" i="9"/>
  <c r="F1861" i="9"/>
  <c r="G1861" i="9"/>
  <c r="H1861" i="9"/>
  <c r="I1861" i="9"/>
  <c r="J1861" i="9"/>
  <c r="K1861" i="9" s="1"/>
  <c r="L1861" i="9"/>
  <c r="A1862" i="9"/>
  <c r="B1862" i="9"/>
  <c r="C1862" i="9"/>
  <c r="D1862" i="9"/>
  <c r="E1862" i="9"/>
  <c r="F1862" i="9"/>
  <c r="G1862" i="9"/>
  <c r="H1862" i="9"/>
  <c r="I1862" i="9"/>
  <c r="J1862" i="9"/>
  <c r="K1862" i="9" s="1"/>
  <c r="L1862" i="9"/>
  <c r="M1862" i="9"/>
  <c r="A1863" i="9"/>
  <c r="C1863" i="9" s="1"/>
  <c r="E1863" i="9"/>
  <c r="F1863" i="9"/>
  <c r="J1863" i="9"/>
  <c r="K1863" i="9" s="1"/>
  <c r="L1863" i="9"/>
  <c r="M1863" i="9"/>
  <c r="A1864" i="9"/>
  <c r="A1865" i="9"/>
  <c r="B1865" i="9" s="1"/>
  <c r="C1865" i="9"/>
  <c r="D1865" i="9"/>
  <c r="E1865" i="9"/>
  <c r="F1865" i="9"/>
  <c r="G1865" i="9"/>
  <c r="H1865" i="9"/>
  <c r="I1865" i="9"/>
  <c r="J1865" i="9"/>
  <c r="K1865" i="9" s="1"/>
  <c r="L1865" i="9"/>
  <c r="M1865" i="9"/>
  <c r="A1866" i="9"/>
  <c r="G1866" i="9" s="1"/>
  <c r="B1866" i="9"/>
  <c r="C1866" i="9"/>
  <c r="D1866" i="9"/>
  <c r="E1866" i="9"/>
  <c r="F1866" i="9"/>
  <c r="L1866" i="9"/>
  <c r="M1866" i="9"/>
  <c r="A1867" i="9"/>
  <c r="E1867" i="9" s="1"/>
  <c r="B1867" i="9"/>
  <c r="C1867" i="9"/>
  <c r="D1867" i="9"/>
  <c r="F1867" i="9"/>
  <c r="G1867" i="9"/>
  <c r="H1867" i="9"/>
  <c r="I1867" i="9"/>
  <c r="M1867" i="9"/>
  <c r="A1868" i="9"/>
  <c r="L1868" i="9"/>
  <c r="A1869" i="9"/>
  <c r="B1869" i="9" s="1"/>
  <c r="D1869" i="9"/>
  <c r="E1869" i="9"/>
  <c r="A1870" i="9"/>
  <c r="B1870" i="9"/>
  <c r="C1870" i="9"/>
  <c r="E1870" i="9"/>
  <c r="F1870" i="9"/>
  <c r="M1870" i="9"/>
  <c r="A1871" i="9"/>
  <c r="B1871" i="9"/>
  <c r="F1871" i="9"/>
  <c r="J1871" i="9"/>
  <c r="K1871" i="9" s="1"/>
  <c r="L1871" i="9"/>
  <c r="M1871" i="9"/>
  <c r="A1872" i="9"/>
  <c r="B1872" i="9"/>
  <c r="C1872" i="9"/>
  <c r="D1872" i="9"/>
  <c r="E1872" i="9"/>
  <c r="F1872" i="9"/>
  <c r="G1872" i="9"/>
  <c r="H1872" i="9"/>
  <c r="I1872" i="9"/>
  <c r="M1872" i="9"/>
  <c r="A1873" i="9"/>
  <c r="G1873" i="9" s="1"/>
  <c r="B1873" i="9"/>
  <c r="C1873" i="9"/>
  <c r="H1873" i="9"/>
  <c r="I1873" i="9"/>
  <c r="J1873" i="9"/>
  <c r="K1873" i="9" s="1"/>
  <c r="L1873" i="9"/>
  <c r="M1873" i="9"/>
  <c r="A1874" i="9"/>
  <c r="C1874" i="9" s="1"/>
  <c r="B1874" i="9"/>
  <c r="G1874" i="9"/>
  <c r="H1874" i="9"/>
  <c r="I1874" i="9"/>
  <c r="J1874" i="9"/>
  <c r="K1874" i="9" s="1"/>
  <c r="A1875" i="9"/>
  <c r="B1875" i="9"/>
  <c r="C1875" i="9"/>
  <c r="D1875" i="9"/>
  <c r="E1875" i="9"/>
  <c r="F1875" i="9"/>
  <c r="G1875" i="9"/>
  <c r="H1875" i="9"/>
  <c r="I1875" i="9"/>
  <c r="J1875" i="9"/>
  <c r="K1875" i="9" s="1"/>
  <c r="A1876" i="9"/>
  <c r="B1876" i="9"/>
  <c r="C1876" i="9"/>
  <c r="D1876" i="9"/>
  <c r="E1876" i="9"/>
  <c r="F1876" i="9"/>
  <c r="G1876" i="9"/>
  <c r="A1877" i="9"/>
  <c r="B1877" i="9" s="1"/>
  <c r="C1877" i="9"/>
  <c r="D1877" i="9"/>
  <c r="J1877" i="9"/>
  <c r="K1877" i="9" s="1"/>
  <c r="L1877" i="9"/>
  <c r="M1877" i="9"/>
  <c r="A1878" i="9"/>
  <c r="D1878" i="9" s="1"/>
  <c r="B1878" i="9"/>
  <c r="C1878" i="9"/>
  <c r="E1878" i="9"/>
  <c r="F1878" i="9"/>
  <c r="G1878" i="9"/>
  <c r="A1879" i="9"/>
  <c r="B1879" i="9"/>
  <c r="C1879" i="9"/>
  <c r="D1879" i="9"/>
  <c r="E1879" i="9"/>
  <c r="F1879" i="9"/>
  <c r="G1879" i="9"/>
  <c r="H1879" i="9"/>
  <c r="I1879" i="9"/>
  <c r="J1879" i="9"/>
  <c r="K1879" i="9" s="1"/>
  <c r="L1879" i="9"/>
  <c r="M1879" i="9"/>
  <c r="A1880" i="9"/>
  <c r="C1880" i="9" s="1"/>
  <c r="B1880" i="9"/>
  <c r="J1880" i="9"/>
  <c r="K1880" i="9" s="1"/>
  <c r="L1880" i="9"/>
  <c r="M1880" i="9"/>
  <c r="A1881" i="9"/>
  <c r="M1881" i="9" s="1"/>
  <c r="B1881" i="9"/>
  <c r="C1881" i="9"/>
  <c r="D1881" i="9"/>
  <c r="E1881" i="9"/>
  <c r="F1881" i="9"/>
  <c r="G1881" i="9"/>
  <c r="H1881" i="9"/>
  <c r="I1881" i="9"/>
  <c r="J1881" i="9"/>
  <c r="K1881" i="9"/>
  <c r="L1881" i="9"/>
  <c r="A1882" i="9"/>
  <c r="B1882" i="9"/>
  <c r="C1882" i="9"/>
  <c r="D1882" i="9"/>
  <c r="E1882" i="9"/>
  <c r="F1882" i="9"/>
  <c r="G1882" i="9"/>
  <c r="H1882" i="9"/>
  <c r="I1882" i="9"/>
  <c r="J1882" i="9"/>
  <c r="K1882" i="9" s="1"/>
  <c r="L1882" i="9"/>
  <c r="M1882" i="9"/>
  <c r="A1883" i="9"/>
  <c r="C1883" i="9" s="1"/>
  <c r="B1883" i="9"/>
  <c r="D1883" i="9"/>
  <c r="E1883" i="9"/>
  <c r="F1883" i="9"/>
  <c r="J1883" i="9"/>
  <c r="K1883" i="9"/>
  <c r="A1884" i="9"/>
  <c r="F1884" i="9" s="1"/>
  <c r="B1884" i="9"/>
  <c r="C1884" i="9"/>
  <c r="D1884" i="9"/>
  <c r="E1884" i="9"/>
  <c r="G1884" i="9"/>
  <c r="H1884" i="9"/>
  <c r="I1884" i="9"/>
  <c r="J1884" i="9"/>
  <c r="K1884" i="9" s="1"/>
  <c r="L1884" i="9"/>
  <c r="M1884" i="9"/>
  <c r="A1885" i="9"/>
  <c r="B1885" i="9" s="1"/>
  <c r="C1885" i="9"/>
  <c r="D1885" i="9"/>
  <c r="E1885" i="9"/>
  <c r="F1885" i="9"/>
  <c r="G1885" i="9"/>
  <c r="H1885" i="9"/>
  <c r="I1885" i="9"/>
  <c r="J1885" i="9"/>
  <c r="K1885" i="9" s="1"/>
  <c r="L1885" i="9"/>
  <c r="M1885" i="9"/>
  <c r="A1886" i="9"/>
  <c r="B1886" i="9"/>
  <c r="C1886" i="9"/>
  <c r="D1886" i="9"/>
  <c r="E1886" i="9"/>
  <c r="F1886" i="9"/>
  <c r="G1886" i="9"/>
  <c r="L1886" i="9"/>
  <c r="M1886" i="9"/>
  <c r="A1887" i="9"/>
  <c r="B1887" i="9"/>
  <c r="C1887" i="9"/>
  <c r="G1887" i="9"/>
  <c r="H1887" i="9"/>
  <c r="I1887" i="9"/>
  <c r="J1887" i="9"/>
  <c r="K1887" i="9" s="1"/>
  <c r="L1887" i="9"/>
  <c r="M1887" i="9"/>
  <c r="A1888" i="9"/>
  <c r="G1888" i="9" s="1"/>
  <c r="E1888" i="9"/>
  <c r="F1888" i="9"/>
  <c r="A1889" i="9"/>
  <c r="B1889" i="9"/>
  <c r="C1889" i="9"/>
  <c r="D1889" i="9"/>
  <c r="E1889" i="9"/>
  <c r="F1889" i="9"/>
  <c r="G1889" i="9"/>
  <c r="H1889" i="9"/>
  <c r="L1889" i="9"/>
  <c r="M1889" i="9"/>
  <c r="A1890" i="9"/>
  <c r="B1890" i="9"/>
  <c r="A1891" i="9"/>
  <c r="F1891" i="9"/>
  <c r="G1891" i="9"/>
  <c r="I1891" i="9"/>
  <c r="J1891" i="9"/>
  <c r="K1891" i="9" s="1"/>
  <c r="L1891" i="9"/>
  <c r="M1891" i="9"/>
  <c r="A1892" i="9"/>
  <c r="B1892" i="9"/>
  <c r="C1892" i="9"/>
  <c r="D1892" i="9"/>
  <c r="A1893" i="9"/>
  <c r="E1893" i="9" s="1"/>
  <c r="B1893" i="9"/>
  <c r="C1893" i="9"/>
  <c r="D1893" i="9"/>
  <c r="F1893" i="9"/>
  <c r="G1893" i="9"/>
  <c r="H1893" i="9"/>
  <c r="I1893" i="9"/>
  <c r="J1893" i="9"/>
  <c r="K1893" i="9" s="1"/>
  <c r="L1893" i="9"/>
  <c r="M1893" i="9"/>
  <c r="A1894" i="9"/>
  <c r="B1894" i="9"/>
  <c r="C1894" i="9"/>
  <c r="G1894" i="9"/>
  <c r="L1894" i="9"/>
  <c r="A1895" i="9"/>
  <c r="C1895" i="9" s="1"/>
  <c r="D1895" i="9"/>
  <c r="E1895" i="9"/>
  <c r="F1895" i="9"/>
  <c r="G1895" i="9"/>
  <c r="I1895" i="9"/>
  <c r="J1895" i="9"/>
  <c r="K1895" i="9" s="1"/>
  <c r="A1896" i="9"/>
  <c r="B1896" i="9"/>
  <c r="C1896" i="9"/>
  <c r="D1896" i="9"/>
  <c r="H1896" i="9"/>
  <c r="I1896" i="9"/>
  <c r="J1896" i="9"/>
  <c r="K1896" i="9" s="1"/>
  <c r="M1896" i="9"/>
  <c r="A1897" i="9"/>
  <c r="M1897" i="9"/>
  <c r="A1898" i="9"/>
  <c r="E1898" i="9"/>
  <c r="F1898" i="9"/>
  <c r="A1899" i="9"/>
  <c r="B1899" i="9"/>
  <c r="C1899" i="9"/>
  <c r="D1899" i="9"/>
  <c r="E1899" i="9"/>
  <c r="F1899" i="9"/>
  <c r="G1899" i="9"/>
  <c r="H1899" i="9"/>
  <c r="I1899" i="9"/>
  <c r="J1899" i="9"/>
  <c r="K1899" i="9" s="1"/>
  <c r="L1899" i="9"/>
  <c r="M1899" i="9"/>
  <c r="A1900" i="9"/>
  <c r="B1900" i="9" s="1"/>
  <c r="D1900" i="9"/>
  <c r="A1901" i="9"/>
  <c r="B1901" i="9"/>
  <c r="C1901" i="9"/>
  <c r="A1902" i="9"/>
  <c r="B1902" i="9"/>
  <c r="C1902" i="9"/>
  <c r="D1902" i="9"/>
  <c r="E1902" i="9"/>
  <c r="F1902" i="9"/>
  <c r="G1902" i="9"/>
  <c r="H1902" i="9"/>
  <c r="I1902" i="9"/>
  <c r="J1902" i="9"/>
  <c r="K1902" i="9" s="1"/>
  <c r="L1902" i="9"/>
  <c r="M1902" i="9"/>
  <c r="A1903" i="9"/>
  <c r="A1904" i="9"/>
  <c r="M1904" i="9" s="1"/>
  <c r="B1904" i="9"/>
  <c r="D1904" i="9"/>
  <c r="E1904" i="9"/>
  <c r="F1904" i="9"/>
  <c r="G1904" i="9"/>
  <c r="H1904" i="9"/>
  <c r="I1904" i="9"/>
  <c r="J1904" i="9"/>
  <c r="K1904" i="9" s="1"/>
  <c r="L1904" i="9"/>
  <c r="A1905" i="9"/>
  <c r="B1905" i="9" s="1"/>
  <c r="C1905" i="9"/>
  <c r="D1905" i="9"/>
  <c r="E1905" i="9"/>
  <c r="F1905" i="9"/>
  <c r="G1905" i="9"/>
  <c r="H1905" i="9"/>
  <c r="I1905" i="9"/>
  <c r="J1905" i="9"/>
  <c r="K1905" i="9"/>
  <c r="L1905" i="9"/>
  <c r="M1905" i="9"/>
  <c r="A1906" i="9"/>
  <c r="B1906" i="9"/>
  <c r="C1906" i="9"/>
  <c r="D1906" i="9"/>
  <c r="E1906" i="9"/>
  <c r="F1906" i="9"/>
  <c r="G1906" i="9"/>
  <c r="M1906" i="9"/>
  <c r="A1907" i="9"/>
  <c r="M1907" i="9" s="1"/>
  <c r="B1907" i="9"/>
  <c r="A1908" i="9"/>
  <c r="A1909" i="9"/>
  <c r="B1909" i="9"/>
  <c r="C1909" i="9"/>
  <c r="D1909" i="9"/>
  <c r="L1909" i="9"/>
  <c r="M1909" i="9"/>
  <c r="A1910" i="9"/>
  <c r="E1910" i="9"/>
  <c r="F1910" i="9"/>
  <c r="G1910" i="9"/>
  <c r="H1910" i="9"/>
  <c r="J1910" i="9"/>
  <c r="K1910" i="9" s="1"/>
  <c r="L1910" i="9"/>
  <c r="M1910" i="9"/>
  <c r="A1911" i="9"/>
  <c r="B1911" i="9"/>
  <c r="E1911" i="9"/>
  <c r="F1911" i="9"/>
  <c r="A1912" i="9"/>
  <c r="D1912" i="9" s="1"/>
  <c r="B1912" i="9"/>
  <c r="C1912" i="9"/>
  <c r="F1912" i="9"/>
  <c r="G1912" i="9"/>
  <c r="H1912" i="9"/>
  <c r="I1912" i="9"/>
  <c r="L1912" i="9"/>
  <c r="M1912" i="9"/>
  <c r="A1913" i="9"/>
  <c r="B1913" i="9"/>
  <c r="C1913" i="9"/>
  <c r="D1913" i="9"/>
  <c r="E1913" i="9"/>
  <c r="F1913" i="9"/>
  <c r="A1914" i="9"/>
  <c r="B1914" i="9"/>
  <c r="C1914" i="9"/>
  <c r="F1914" i="9"/>
  <c r="G1914" i="9"/>
  <c r="H1914" i="9"/>
  <c r="I1914" i="9"/>
  <c r="J1914" i="9"/>
  <c r="K1914" i="9"/>
  <c r="L1914" i="9"/>
  <c r="M1914" i="9"/>
  <c r="A1915" i="9"/>
  <c r="F1915" i="9"/>
  <c r="G1915" i="9"/>
  <c r="H1915" i="9"/>
  <c r="A1916" i="9"/>
  <c r="B1916" i="9"/>
  <c r="C1916" i="9"/>
  <c r="D1916" i="9"/>
  <c r="E1916" i="9"/>
  <c r="F1916" i="9"/>
  <c r="G1916" i="9"/>
  <c r="H1916" i="9"/>
  <c r="I1916" i="9"/>
  <c r="J1916" i="9"/>
  <c r="K1916" i="9"/>
  <c r="A1917" i="9"/>
  <c r="H1917" i="9" s="1"/>
  <c r="B1917" i="9"/>
  <c r="C1917" i="9"/>
  <c r="D1917" i="9"/>
  <c r="G1917" i="9"/>
  <c r="I1917" i="9"/>
  <c r="J1917" i="9"/>
  <c r="K1917" i="9" s="1"/>
  <c r="L1917" i="9"/>
  <c r="M1917" i="9"/>
  <c r="A1918" i="9"/>
  <c r="E1918" i="9" s="1"/>
  <c r="B1918" i="9"/>
  <c r="C1918" i="9"/>
  <c r="D1918" i="9"/>
  <c r="F1918" i="9"/>
  <c r="G1918" i="9"/>
  <c r="A1919" i="9"/>
  <c r="B1919" i="9" s="1"/>
  <c r="J1919" i="9"/>
  <c r="K1919" i="9" s="1"/>
  <c r="A1920" i="9"/>
  <c r="J1920" i="9" s="1"/>
  <c r="B1920" i="9"/>
  <c r="C1920" i="9"/>
  <c r="I1920" i="9"/>
  <c r="K1920" i="9"/>
  <c r="L1920" i="9"/>
  <c r="A1921" i="9"/>
  <c r="B1921" i="9"/>
  <c r="C1921" i="9"/>
  <c r="D1921" i="9"/>
  <c r="E1921" i="9"/>
  <c r="F1921" i="9"/>
  <c r="G1921" i="9"/>
  <c r="A1922" i="9"/>
  <c r="B1922" i="9"/>
  <c r="C1922" i="9"/>
  <c r="D1922" i="9"/>
  <c r="E1922" i="9"/>
  <c r="F1922" i="9"/>
  <c r="G1922" i="9"/>
  <c r="H1922" i="9"/>
  <c r="I1922" i="9"/>
  <c r="J1922" i="9"/>
  <c r="K1922" i="9" s="1"/>
  <c r="L1922" i="9"/>
  <c r="M1922" i="9"/>
  <c r="A1923" i="9"/>
  <c r="B1923" i="9"/>
  <c r="C1923" i="9"/>
  <c r="D1923" i="9"/>
  <c r="A1924" i="9"/>
  <c r="D1924" i="9" s="1"/>
  <c r="B1924" i="9"/>
  <c r="C1924" i="9"/>
  <c r="E1924" i="9"/>
  <c r="G1924" i="9"/>
  <c r="H1924" i="9"/>
  <c r="I1924" i="9"/>
  <c r="J1924" i="9"/>
  <c r="K1924" i="9" s="1"/>
  <c r="L1924" i="9"/>
  <c r="M1924" i="9"/>
  <c r="A1925" i="9"/>
  <c r="B1925" i="9" s="1"/>
  <c r="C1925" i="9"/>
  <c r="D1925" i="9"/>
  <c r="E1925" i="9"/>
  <c r="F1925" i="9"/>
  <c r="G1925" i="9"/>
  <c r="H1925" i="9"/>
  <c r="I1925" i="9"/>
  <c r="J1925" i="9"/>
  <c r="K1925" i="9" s="1"/>
  <c r="L1925" i="9"/>
  <c r="M1925" i="9"/>
  <c r="A1926" i="9"/>
  <c r="B1926" i="9"/>
  <c r="C1926" i="9"/>
  <c r="D1926" i="9"/>
  <c r="E1926" i="9"/>
  <c r="F1926" i="9"/>
  <c r="G1926" i="9"/>
  <c r="J1926" i="9"/>
  <c r="K1926" i="9"/>
  <c r="L1926" i="9"/>
  <c r="M1926" i="9"/>
  <c r="A1927" i="9"/>
  <c r="B1927" i="9"/>
  <c r="C1927" i="9"/>
  <c r="D1927" i="9"/>
  <c r="E1927" i="9"/>
  <c r="F1927" i="9"/>
  <c r="G1927" i="9"/>
  <c r="H1927" i="9"/>
  <c r="I1927" i="9"/>
  <c r="J1927" i="9"/>
  <c r="K1927" i="9" s="1"/>
  <c r="L1927" i="9"/>
  <c r="M1927" i="9"/>
  <c r="A1928" i="9"/>
  <c r="D1928" i="9" s="1"/>
  <c r="E1928" i="9"/>
  <c r="F1928" i="9"/>
  <c r="G1928" i="9"/>
  <c r="H1928" i="9"/>
  <c r="I1928" i="9"/>
  <c r="M1928" i="9"/>
  <c r="A1929" i="9"/>
  <c r="H1929" i="9" s="1"/>
  <c r="A1930" i="9"/>
  <c r="B1930" i="9"/>
  <c r="C1930" i="9"/>
  <c r="D1930" i="9"/>
  <c r="E1930" i="9"/>
  <c r="I1930" i="9"/>
  <c r="J1930" i="9"/>
  <c r="K1930" i="9" s="1"/>
  <c r="L1930" i="9"/>
  <c r="A1931" i="9"/>
  <c r="B1931" i="9" s="1"/>
  <c r="I1931" i="9"/>
  <c r="J1931" i="9"/>
  <c r="K1931" i="9" s="1"/>
  <c r="M1931" i="9"/>
  <c r="A1932" i="9"/>
  <c r="E1932" i="9"/>
  <c r="F1932" i="9"/>
  <c r="G1932" i="9"/>
  <c r="H1932" i="9"/>
  <c r="A1933" i="9"/>
  <c r="B1933" i="9"/>
  <c r="C1933" i="9"/>
  <c r="D1933" i="9"/>
  <c r="H1933" i="9"/>
  <c r="I1933" i="9"/>
  <c r="J1933" i="9"/>
  <c r="K1933" i="9" s="1"/>
  <c r="A1934" i="9"/>
  <c r="L1934" i="9"/>
  <c r="A1935" i="9"/>
  <c r="B1935" i="9"/>
  <c r="A1936" i="9"/>
  <c r="G1936" i="9" s="1"/>
  <c r="B1936" i="9"/>
  <c r="D1936" i="9"/>
  <c r="F1936" i="9"/>
  <c r="H1936" i="9"/>
  <c r="I1936" i="9"/>
  <c r="J1936" i="9"/>
  <c r="K1936" i="9"/>
  <c r="L1936" i="9"/>
  <c r="M1936" i="9"/>
  <c r="A1937" i="9"/>
  <c r="B1937" i="9"/>
  <c r="H1937" i="9"/>
  <c r="I1937" i="9"/>
  <c r="A1938" i="9"/>
  <c r="B1938" i="9" s="1"/>
  <c r="J1938" i="9"/>
  <c r="K1938" i="9" s="1"/>
  <c r="A1939" i="9"/>
  <c r="B1939" i="9"/>
  <c r="C1939" i="9"/>
  <c r="D1939" i="9"/>
  <c r="E1939" i="9"/>
  <c r="F1939" i="9"/>
  <c r="G1939" i="9"/>
  <c r="H1939" i="9"/>
  <c r="I1939" i="9"/>
  <c r="J1939" i="9"/>
  <c r="K1939" i="9"/>
  <c r="L1939" i="9"/>
  <c r="M1939" i="9"/>
  <c r="A1940" i="9"/>
  <c r="B1940" i="9"/>
  <c r="C1940" i="9"/>
  <c r="D1940" i="9"/>
  <c r="E1940" i="9"/>
  <c r="H1940" i="9"/>
  <c r="I1940" i="9"/>
  <c r="M1940" i="9"/>
  <c r="A1941" i="9"/>
  <c r="B1941" i="9"/>
  <c r="C1941" i="9"/>
  <c r="E1941" i="9"/>
  <c r="F1941" i="9"/>
  <c r="J1941" i="9"/>
  <c r="K1941" i="9" s="1"/>
  <c r="A1942" i="9"/>
  <c r="B1942" i="9"/>
  <c r="C1942" i="9"/>
  <c r="D1942" i="9"/>
  <c r="E1942" i="9"/>
  <c r="F1942" i="9"/>
  <c r="G1942" i="9"/>
  <c r="H1942" i="9"/>
  <c r="I1942" i="9"/>
  <c r="J1942" i="9"/>
  <c r="K1942" i="9" s="1"/>
  <c r="L1942" i="9"/>
  <c r="M1942" i="9"/>
  <c r="A1943" i="9"/>
  <c r="E1943" i="9"/>
  <c r="F1943" i="9"/>
  <c r="I1943" i="9"/>
  <c r="J1943" i="9"/>
  <c r="K1943" i="9" s="1"/>
  <c r="L1943" i="9"/>
  <c r="M1943" i="9"/>
  <c r="A1944" i="9"/>
  <c r="B1944" i="9"/>
  <c r="C1944" i="9"/>
  <c r="D1944" i="9"/>
  <c r="E1944" i="9"/>
  <c r="F1944" i="9"/>
  <c r="G1944" i="9"/>
  <c r="H1944" i="9"/>
  <c r="I1944" i="9"/>
  <c r="J1944" i="9"/>
  <c r="K1944" i="9" s="1"/>
  <c r="L1944" i="9"/>
  <c r="M1944" i="9"/>
  <c r="A1945" i="9"/>
  <c r="B1945" i="9" s="1"/>
  <c r="C1945" i="9"/>
  <c r="D1945" i="9"/>
  <c r="E1945" i="9"/>
  <c r="F1945" i="9"/>
  <c r="G1945" i="9"/>
  <c r="H1945" i="9"/>
  <c r="I1945" i="9"/>
  <c r="J1945" i="9"/>
  <c r="K1945" i="9" s="1"/>
  <c r="L1945" i="9"/>
  <c r="M1945" i="9"/>
  <c r="A1946" i="9"/>
  <c r="B1946" i="9"/>
  <c r="D1946" i="9"/>
  <c r="E1946" i="9"/>
  <c r="F1946" i="9"/>
  <c r="G1946" i="9"/>
  <c r="L1946" i="9"/>
  <c r="M1946" i="9"/>
  <c r="A1947" i="9"/>
  <c r="G1947" i="9"/>
  <c r="H1947" i="9"/>
  <c r="I1947" i="9"/>
  <c r="J1947" i="9"/>
  <c r="K1947" i="9" s="1"/>
  <c r="L1947" i="9"/>
  <c r="M1947" i="9"/>
  <c r="A1948" i="9"/>
  <c r="B1948" i="9"/>
  <c r="A1949" i="9"/>
  <c r="J1949" i="9" s="1"/>
  <c r="K1949" i="9" s="1"/>
  <c r="B1949" i="9"/>
  <c r="C1949" i="9"/>
  <c r="D1949" i="9"/>
  <c r="E1949" i="9"/>
  <c r="G1949" i="9"/>
  <c r="H1949" i="9"/>
  <c r="I1949" i="9"/>
  <c r="L1949" i="9"/>
  <c r="M1949" i="9"/>
  <c r="A1950" i="9"/>
  <c r="B1950" i="9"/>
  <c r="C1950" i="9"/>
  <c r="D1950" i="9"/>
  <c r="E1950" i="9"/>
  <c r="L1950" i="9"/>
  <c r="A1951" i="9"/>
  <c r="D1951" i="9" s="1"/>
  <c r="B1951" i="9"/>
  <c r="C1951" i="9"/>
  <c r="E1951" i="9"/>
  <c r="F1951" i="9"/>
  <c r="G1951" i="9"/>
  <c r="H1951" i="9"/>
  <c r="I1951" i="9"/>
  <c r="J1951" i="9"/>
  <c r="K1951" i="9" s="1"/>
  <c r="L1951" i="9"/>
  <c r="M1951" i="9"/>
  <c r="A1952" i="9"/>
  <c r="E1952" i="9"/>
  <c r="F1952" i="9"/>
  <c r="L1952" i="9"/>
  <c r="M1952" i="9"/>
  <c r="A1953" i="9"/>
  <c r="B1953" i="9"/>
  <c r="M1953" i="9"/>
  <c r="A1954" i="9"/>
  <c r="B1954" i="9"/>
  <c r="C1954" i="9"/>
  <c r="F1954" i="9"/>
  <c r="G1954" i="9"/>
  <c r="L1954" i="9"/>
  <c r="M1954" i="9"/>
  <c r="A1955" i="9"/>
  <c r="C1955" i="9" s="1"/>
  <c r="H1955" i="9"/>
  <c r="A1956" i="9"/>
  <c r="B1956" i="9"/>
  <c r="C1956" i="9"/>
  <c r="D1956" i="9"/>
  <c r="E1956" i="9"/>
  <c r="F1956" i="9"/>
  <c r="J1956" i="9"/>
  <c r="K1956" i="9" s="1"/>
  <c r="L1956" i="9"/>
  <c r="A1957" i="9"/>
  <c r="F1957" i="9" s="1"/>
  <c r="C1957" i="9"/>
  <c r="D1957" i="9"/>
  <c r="E1957" i="9"/>
  <c r="G1957" i="9"/>
  <c r="I1957" i="9"/>
  <c r="J1957" i="9"/>
  <c r="K1957" i="9" s="1"/>
  <c r="L1957" i="9"/>
  <c r="M1957" i="9"/>
  <c r="A1958" i="9"/>
  <c r="B1958" i="9"/>
  <c r="C1958" i="9"/>
  <c r="D1958" i="9"/>
  <c r="L1958" i="9"/>
  <c r="A1959" i="9"/>
  <c r="B1959" i="9"/>
  <c r="E1959" i="9"/>
  <c r="F1959" i="9"/>
  <c r="G1959" i="9"/>
  <c r="H1959" i="9"/>
  <c r="I1959" i="9"/>
  <c r="J1959" i="9"/>
  <c r="K1959" i="9" s="1"/>
  <c r="L1959" i="9"/>
  <c r="M1959" i="9"/>
  <c r="A1960" i="9"/>
  <c r="B1960" i="9" s="1"/>
  <c r="A1961" i="9"/>
  <c r="F1961" i="9" s="1"/>
  <c r="B1961" i="9"/>
  <c r="D1961" i="9"/>
  <c r="E1961" i="9"/>
  <c r="G1961" i="9"/>
  <c r="H1961" i="9"/>
  <c r="I1961" i="9"/>
  <c r="J1961" i="9"/>
  <c r="K1961" i="9" s="1"/>
  <c r="A1962" i="9"/>
  <c r="B1962" i="9"/>
  <c r="C1962" i="9"/>
  <c r="D1962" i="9"/>
  <c r="E1962" i="9"/>
  <c r="F1962" i="9"/>
  <c r="G1962" i="9"/>
  <c r="H1962" i="9"/>
  <c r="I1962" i="9"/>
  <c r="J1962" i="9"/>
  <c r="K1962" i="9" s="1"/>
  <c r="L1962" i="9"/>
  <c r="M1962" i="9"/>
  <c r="A1963" i="9"/>
  <c r="C1963" i="9" s="1"/>
  <c r="B1963" i="9"/>
  <c r="D1963" i="9"/>
  <c r="I1963" i="9"/>
  <c r="J1963" i="9"/>
  <c r="K1963" i="9" s="1"/>
  <c r="L1963" i="9"/>
  <c r="A1964" i="9"/>
  <c r="B1964" i="9"/>
  <c r="C1964" i="9"/>
  <c r="D1964" i="9"/>
  <c r="H1964" i="9"/>
  <c r="I1964" i="9"/>
  <c r="J1964" i="9"/>
  <c r="K1964" i="9" s="1"/>
  <c r="A1965" i="9"/>
  <c r="B1965" i="9" s="1"/>
  <c r="D1965" i="9"/>
  <c r="E1965" i="9"/>
  <c r="F1965" i="9"/>
  <c r="G1965" i="9"/>
  <c r="I1965" i="9"/>
  <c r="J1965" i="9"/>
  <c r="K1965" i="9" s="1"/>
  <c r="L1965" i="9"/>
  <c r="M1965" i="9"/>
  <c r="A1966" i="9"/>
  <c r="B1966" i="9" s="1"/>
  <c r="G1966" i="9"/>
  <c r="L1966" i="9"/>
  <c r="M1966" i="9"/>
  <c r="A1967" i="9"/>
  <c r="C1967" i="9" s="1"/>
  <c r="B1967" i="9"/>
  <c r="D1967" i="9"/>
  <c r="E1967" i="9"/>
  <c r="F1967" i="9"/>
  <c r="G1967" i="9"/>
  <c r="H1967" i="9"/>
  <c r="I1967" i="9"/>
  <c r="J1967" i="9"/>
  <c r="K1967" i="9" s="1"/>
  <c r="L1967" i="9"/>
  <c r="M1967" i="9"/>
  <c r="A1968" i="9"/>
  <c r="I1968" i="9" s="1"/>
  <c r="J1968" i="9"/>
  <c r="K1968" i="9" s="1"/>
  <c r="M1968" i="9"/>
  <c r="A1969" i="9"/>
  <c r="B1969" i="9"/>
  <c r="C1969" i="9"/>
  <c r="D1969" i="9"/>
  <c r="E1969" i="9"/>
  <c r="F1969" i="9"/>
  <c r="G1969" i="9"/>
  <c r="H1969" i="9"/>
  <c r="I1969" i="9"/>
  <c r="A1970" i="9"/>
  <c r="F1970" i="9" s="1"/>
  <c r="B1970" i="9"/>
  <c r="C1970" i="9"/>
  <c r="D1970" i="9"/>
  <c r="E1970" i="9"/>
  <c r="G1970" i="9"/>
  <c r="H1970" i="9"/>
  <c r="I1970" i="9"/>
  <c r="J1970" i="9"/>
  <c r="K1970" i="9" s="1"/>
  <c r="L1970" i="9"/>
  <c r="M1970" i="9"/>
  <c r="A1971" i="9"/>
  <c r="B1971" i="9"/>
  <c r="C1971" i="9"/>
  <c r="E1971" i="9"/>
  <c r="A1972" i="9"/>
  <c r="B1972" i="9"/>
  <c r="C1972" i="9"/>
  <c r="D1972" i="9"/>
  <c r="E1972" i="9"/>
  <c r="F1972" i="9"/>
  <c r="G1972" i="9"/>
  <c r="H1972" i="9"/>
  <c r="I1972" i="9"/>
  <c r="J1972" i="9"/>
  <c r="K1972" i="9" s="1"/>
  <c r="L1972" i="9"/>
  <c r="M1972" i="9"/>
  <c r="A1973" i="9"/>
  <c r="E1973" i="9" s="1"/>
  <c r="A1974" i="9"/>
  <c r="G1974" i="9"/>
  <c r="H1974" i="9"/>
  <c r="I1974" i="9"/>
  <c r="A1975" i="9"/>
  <c r="B1975" i="9"/>
  <c r="C1975" i="9"/>
  <c r="A1976" i="9"/>
  <c r="H1976" i="9"/>
  <c r="I1976" i="9"/>
  <c r="J1976" i="9"/>
  <c r="K1976" i="9" s="1"/>
  <c r="A1977" i="9"/>
  <c r="B1977" i="9"/>
  <c r="C1977" i="9"/>
  <c r="D1977" i="9"/>
  <c r="E1977" i="9"/>
  <c r="G1977" i="9"/>
  <c r="H1977" i="9"/>
  <c r="I1977" i="9"/>
  <c r="J1977" i="9"/>
  <c r="K1977" i="9" s="1"/>
  <c r="L1977" i="9"/>
  <c r="A1978" i="9"/>
  <c r="M1978" i="9" s="1"/>
  <c r="C1978" i="9"/>
  <c r="D1978" i="9"/>
  <c r="E1978" i="9"/>
  <c r="F1978" i="9"/>
  <c r="H1978" i="9"/>
  <c r="I1978" i="9"/>
  <c r="J1978" i="9"/>
  <c r="K1978" i="9" s="1"/>
  <c r="L1978" i="9"/>
  <c r="A1979" i="9"/>
  <c r="B1979" i="9"/>
  <c r="C1979" i="9"/>
  <c r="D1979" i="9"/>
  <c r="E1979" i="9"/>
  <c r="F1979" i="9"/>
  <c r="G1979" i="9"/>
  <c r="L1979" i="9"/>
  <c r="M1979" i="9"/>
  <c r="A1980" i="9"/>
  <c r="F1980" i="9" s="1"/>
  <c r="H1980" i="9"/>
  <c r="A1981" i="9"/>
  <c r="G1981" i="9" s="1"/>
  <c r="B1981" i="9"/>
  <c r="F1981" i="9"/>
  <c r="H1981" i="9"/>
  <c r="I1981" i="9"/>
  <c r="L1981" i="9"/>
  <c r="M1981" i="9"/>
  <c r="A1982" i="9"/>
  <c r="B1982" i="9"/>
  <c r="C1982" i="9"/>
  <c r="D1982" i="9"/>
  <c r="E1982" i="9"/>
  <c r="F1982" i="9"/>
  <c r="G1982" i="9"/>
  <c r="H1982" i="9"/>
  <c r="I1982" i="9"/>
  <c r="J1982" i="9"/>
  <c r="K1982" i="9"/>
  <c r="L1982" i="9"/>
  <c r="M1982" i="9"/>
  <c r="A1983" i="9"/>
  <c r="E1983" i="9" s="1"/>
  <c r="C1983" i="9"/>
  <c r="F1983" i="9"/>
  <c r="G1983" i="9"/>
  <c r="I1983" i="9"/>
  <c r="J1983" i="9"/>
  <c r="K1983" i="9" s="1"/>
  <c r="A1984" i="9"/>
  <c r="D1984" i="9" s="1"/>
  <c r="A1985" i="9"/>
  <c r="C1985" i="9"/>
  <c r="D1985" i="9"/>
  <c r="E1985" i="9"/>
  <c r="F1985" i="9"/>
  <c r="G1985" i="9"/>
  <c r="H1985" i="9"/>
  <c r="I1985" i="9"/>
  <c r="A1986" i="9"/>
  <c r="I1986" i="9" s="1"/>
  <c r="C1986" i="9"/>
  <c r="D1986" i="9"/>
  <c r="E1986" i="9"/>
  <c r="F1986" i="9"/>
  <c r="H1986" i="9"/>
  <c r="J1986" i="9"/>
  <c r="K1986" i="9" s="1"/>
  <c r="L1986" i="9"/>
  <c r="M1986" i="9"/>
  <c r="A1987" i="9"/>
  <c r="B1987" i="9"/>
  <c r="C1987" i="9"/>
  <c r="D1987" i="9"/>
  <c r="E1987" i="9"/>
  <c r="F1987" i="9"/>
  <c r="G1987" i="9"/>
  <c r="A1988" i="9"/>
  <c r="D1988" i="9"/>
  <c r="E1988" i="9"/>
  <c r="F1988" i="9"/>
  <c r="H1988" i="9"/>
  <c r="I1988" i="9"/>
  <c r="J1988" i="9"/>
  <c r="K1988" i="9"/>
  <c r="L1988" i="9"/>
  <c r="M1988" i="9"/>
  <c r="A1989" i="9"/>
  <c r="B1989" i="9"/>
  <c r="F1989" i="9"/>
  <c r="A1990" i="9"/>
  <c r="B1990" i="9"/>
  <c r="C1990" i="9"/>
  <c r="D1990" i="9"/>
  <c r="E1990" i="9"/>
  <c r="F1990" i="9"/>
  <c r="G1990" i="9"/>
  <c r="H1990" i="9"/>
  <c r="I1990" i="9"/>
  <c r="J1990" i="9"/>
  <c r="K1990" i="9" s="1"/>
  <c r="A1991" i="9"/>
  <c r="C1991" i="9"/>
  <c r="E1991" i="9"/>
  <c r="G1991" i="9"/>
  <c r="H1991" i="9"/>
  <c r="I1991" i="9"/>
  <c r="A1992" i="9"/>
  <c r="B1992" i="9"/>
  <c r="C1992" i="9"/>
  <c r="D1992" i="9"/>
  <c r="I1992" i="9"/>
  <c r="J1992" i="9"/>
  <c r="K1992" i="9" s="1"/>
  <c r="L1992" i="9"/>
  <c r="A1993" i="9"/>
  <c r="B1993" i="9"/>
  <c r="C1993" i="9"/>
  <c r="D1993" i="9"/>
  <c r="E1993" i="9"/>
  <c r="F1993" i="9"/>
  <c r="G1993" i="9"/>
  <c r="H1993" i="9"/>
  <c r="L1993" i="9"/>
  <c r="A1994" i="9"/>
  <c r="B1994" i="9" s="1"/>
  <c r="C1994" i="9"/>
  <c r="D1994" i="9"/>
  <c r="E1994" i="9"/>
  <c r="F1994" i="9"/>
  <c r="H1994" i="9"/>
  <c r="I1994" i="9"/>
  <c r="J1994" i="9"/>
  <c r="K1994" i="9" s="1"/>
  <c r="L1994" i="9"/>
  <c r="M1994" i="9"/>
  <c r="A1995" i="9"/>
  <c r="B1995" i="9"/>
  <c r="C1995" i="9"/>
  <c r="D1995" i="9"/>
  <c r="E1995" i="9"/>
  <c r="L1995" i="9"/>
  <c r="M1995" i="9"/>
  <c r="A1996" i="9"/>
  <c r="B1996" i="9"/>
  <c r="C1996" i="9"/>
  <c r="D1996" i="9"/>
  <c r="E1996" i="9"/>
  <c r="F1996" i="9"/>
  <c r="G1996" i="9"/>
  <c r="H1996" i="9"/>
  <c r="I1996" i="9"/>
  <c r="J1996" i="9"/>
  <c r="K1996" i="9" s="1"/>
  <c r="L1996" i="9"/>
  <c r="M1996" i="9"/>
  <c r="A1997" i="9"/>
  <c r="B1997" i="9"/>
  <c r="C1997" i="9"/>
  <c r="D1997" i="9"/>
  <c r="E1997" i="9"/>
  <c r="F1997" i="9"/>
  <c r="G1997" i="9"/>
  <c r="H1997" i="9"/>
  <c r="I1997" i="9"/>
  <c r="J1997" i="9"/>
  <c r="K1997" i="9"/>
  <c r="L1997" i="9"/>
  <c r="M1997" i="9"/>
  <c r="A1998" i="9"/>
  <c r="B1998" i="9"/>
  <c r="C1998" i="9"/>
  <c r="D1998" i="9"/>
  <c r="E1998" i="9"/>
  <c r="F1998" i="9"/>
  <c r="G1998" i="9"/>
  <c r="L1998" i="9"/>
  <c r="A1999" i="9"/>
  <c r="B1999" i="9" s="1"/>
  <c r="D1999" i="9"/>
  <c r="E1999" i="9"/>
  <c r="F1999" i="9"/>
  <c r="G1999" i="9"/>
  <c r="I1999" i="9"/>
  <c r="J1999" i="9"/>
  <c r="K1999" i="9" s="1"/>
  <c r="L1999" i="9"/>
  <c r="M1999" i="9"/>
  <c r="A2000" i="9"/>
  <c r="E2000" i="9"/>
  <c r="F2000" i="9"/>
  <c r="G2000" i="9"/>
  <c r="H2000" i="9"/>
  <c r="J2000" i="9"/>
  <c r="K2000" i="9" s="1"/>
  <c r="A2001" i="9"/>
  <c r="B2001" i="9"/>
  <c r="C2001" i="9"/>
  <c r="D2001" i="9"/>
  <c r="E2001" i="9"/>
  <c r="F2001" i="9"/>
  <c r="G2001" i="9"/>
  <c r="H2001" i="9"/>
  <c r="L2001" i="9"/>
  <c r="M2001" i="9"/>
  <c r="A2002" i="9"/>
  <c r="B2002" i="9"/>
  <c r="M2002" i="9"/>
  <c r="A2003" i="9"/>
  <c r="B2003" i="9"/>
  <c r="F2003" i="9"/>
  <c r="H2003" i="9"/>
  <c r="I2003" i="9"/>
  <c r="L2003" i="9"/>
  <c r="M2003" i="9"/>
  <c r="A2004" i="9"/>
  <c r="A2005" i="9"/>
  <c r="B2005" i="9"/>
  <c r="C2005" i="9"/>
  <c r="E2005" i="9"/>
  <c r="G2005" i="9"/>
  <c r="H2005" i="9"/>
  <c r="I2005" i="9"/>
  <c r="J2005" i="9"/>
  <c r="K2005" i="9" s="1"/>
  <c r="L2005" i="9"/>
  <c r="M2005" i="9"/>
  <c r="A2006" i="9"/>
  <c r="B2006" i="9"/>
  <c r="C2006" i="9"/>
  <c r="G2006" i="9"/>
  <c r="A2007" i="9"/>
  <c r="I2007" i="9" s="1"/>
  <c r="A2008" i="9"/>
  <c r="B2008" i="9" s="1"/>
  <c r="C2008" i="9"/>
  <c r="D2008" i="9"/>
  <c r="G2008" i="9"/>
  <c r="L2008" i="9"/>
  <c r="M2008" i="9"/>
  <c r="A2009" i="9"/>
  <c r="C2009" i="9"/>
  <c r="D2009" i="9"/>
  <c r="A2010" i="9"/>
  <c r="C2010" i="9" s="1"/>
  <c r="B2010" i="9"/>
  <c r="D2010" i="9"/>
  <c r="E2010" i="9"/>
  <c r="I2010" i="9"/>
  <c r="J2010" i="9"/>
  <c r="K2010" i="9" s="1"/>
  <c r="A2011" i="9"/>
  <c r="F2011" i="9" s="1"/>
  <c r="B2011" i="9"/>
  <c r="C2011" i="9"/>
  <c r="D2011" i="9"/>
  <c r="E2011" i="9"/>
  <c r="G2011" i="9"/>
  <c r="H2011" i="9"/>
  <c r="I2011" i="9"/>
  <c r="J2011" i="9"/>
  <c r="K2011" i="9"/>
  <c r="L2011" i="9"/>
  <c r="M2011" i="9"/>
  <c r="A2012" i="9"/>
  <c r="I2012" i="9" s="1"/>
  <c r="B2012" i="9"/>
  <c r="J2012" i="9"/>
  <c r="K2012" i="9" s="1"/>
  <c r="L2012" i="9"/>
  <c r="A2013" i="9"/>
  <c r="M2013" i="9" s="1"/>
  <c r="B2013" i="9"/>
  <c r="C2013" i="9"/>
  <c r="D2013" i="9"/>
  <c r="E2013" i="9"/>
  <c r="F2013" i="9"/>
  <c r="G2013" i="9"/>
  <c r="H2013" i="9"/>
  <c r="I2013" i="9"/>
  <c r="J2013" i="9"/>
  <c r="K2013" i="9"/>
  <c r="L2013" i="9"/>
  <c r="A2014" i="9"/>
  <c r="B2014" i="9" s="1"/>
  <c r="C2014" i="9"/>
  <c r="D2014" i="9"/>
  <c r="E2014" i="9"/>
  <c r="F2014" i="9"/>
  <c r="H2014" i="9"/>
  <c r="I2014" i="9"/>
  <c r="J2014" i="9"/>
  <c r="K2014" i="9" s="1"/>
  <c r="L2014" i="9"/>
  <c r="M2014" i="9"/>
  <c r="A2015" i="9"/>
  <c r="B2015" i="9" s="1"/>
  <c r="C2015" i="9"/>
  <c r="D2015" i="9"/>
  <c r="E2015" i="9"/>
  <c r="F2015" i="9"/>
  <c r="J2015" i="9"/>
  <c r="K2015" i="9" s="1"/>
  <c r="A2016" i="9"/>
  <c r="B2016" i="9"/>
  <c r="C2016" i="9"/>
  <c r="D2016" i="9"/>
  <c r="E2016" i="9"/>
  <c r="F2016" i="9"/>
  <c r="G2016" i="9"/>
  <c r="H2016" i="9"/>
  <c r="I2016" i="9"/>
  <c r="J2016" i="9"/>
  <c r="K2016" i="9" s="1"/>
  <c r="L2016" i="9"/>
  <c r="M2016" i="9"/>
  <c r="A2017" i="9"/>
  <c r="B2017" i="9"/>
  <c r="C2017" i="9"/>
  <c r="D2017" i="9"/>
  <c r="E2017" i="9"/>
  <c r="F2017" i="9"/>
  <c r="G2017" i="9"/>
  <c r="H2017" i="9"/>
  <c r="I2017" i="9"/>
  <c r="J2017" i="9"/>
  <c r="K2017" i="9"/>
  <c r="L2017" i="9"/>
  <c r="M2017" i="9"/>
  <c r="A2018" i="9"/>
  <c r="C2018" i="9"/>
  <c r="D2018" i="9"/>
  <c r="E2018" i="9"/>
  <c r="F2018" i="9"/>
  <c r="G2018" i="9"/>
  <c r="A2019" i="9"/>
  <c r="C2019" i="9"/>
  <c r="A2020" i="9"/>
  <c r="G2020" i="9" s="1"/>
  <c r="F2020" i="9"/>
  <c r="H2020" i="9"/>
  <c r="J2020" i="9"/>
  <c r="K2020" i="9" s="1"/>
  <c r="L2020" i="9"/>
  <c r="M2020" i="9"/>
  <c r="A2021" i="9"/>
  <c r="C2021" i="9" s="1"/>
  <c r="B2021" i="9"/>
  <c r="G2021" i="9"/>
  <c r="H2021" i="9"/>
  <c r="A2022" i="9"/>
  <c r="C2022" i="9" s="1"/>
  <c r="B2022" i="9"/>
  <c r="D2022" i="9"/>
  <c r="E2022" i="9"/>
  <c r="F2022" i="9"/>
  <c r="G2022" i="9"/>
  <c r="H2022" i="9"/>
  <c r="I2022" i="9"/>
  <c r="J2022" i="9"/>
  <c r="K2022" i="9" s="1"/>
  <c r="L2022" i="9"/>
  <c r="M2022" i="9"/>
  <c r="A2023" i="9"/>
  <c r="H2023" i="9"/>
  <c r="I2023" i="9"/>
  <c r="L2023" i="9"/>
  <c r="A2024" i="9"/>
  <c r="H2024" i="9" s="1"/>
  <c r="A2025" i="9"/>
  <c r="B2025" i="9"/>
  <c r="A2026" i="9"/>
  <c r="C2026" i="9"/>
  <c r="A2027" i="9"/>
  <c r="F2027" i="9"/>
  <c r="G2027" i="9"/>
  <c r="H2027" i="9"/>
  <c r="J2027" i="9"/>
  <c r="K2027" i="9" s="1"/>
  <c r="A2028" i="9"/>
  <c r="D2028" i="9" s="1"/>
  <c r="B2028" i="9"/>
  <c r="A2029" i="9"/>
  <c r="B2029" i="9" s="1"/>
  <c r="C2029" i="9"/>
  <c r="D2029" i="9"/>
  <c r="H2029" i="9"/>
  <c r="I2029" i="9"/>
  <c r="J2029" i="9"/>
  <c r="K2029" i="9" s="1"/>
  <c r="M2029" i="9"/>
  <c r="A2030" i="9"/>
  <c r="B2030" i="9"/>
  <c r="C2030" i="9"/>
  <c r="D2030" i="9"/>
  <c r="E2030" i="9"/>
  <c r="F2030" i="9"/>
  <c r="G2030" i="9"/>
  <c r="H2030" i="9"/>
  <c r="A2031" i="9"/>
  <c r="B2031" i="9"/>
  <c r="C2031" i="9"/>
  <c r="D2031" i="9"/>
  <c r="E2031" i="9"/>
  <c r="F2031" i="9"/>
  <c r="G2031" i="9"/>
  <c r="H2031" i="9"/>
  <c r="I2031" i="9"/>
  <c r="J2031" i="9"/>
  <c r="K2031" i="9" s="1"/>
  <c r="L2031" i="9"/>
  <c r="M2031" i="9"/>
  <c r="A2032" i="9"/>
  <c r="B2032" i="9"/>
  <c r="C2032" i="9"/>
  <c r="D2032" i="9"/>
  <c r="E2032" i="9"/>
  <c r="I2032" i="9"/>
  <c r="A2033" i="9"/>
  <c r="B2033" i="9"/>
  <c r="C2033" i="9"/>
  <c r="D2033" i="9"/>
  <c r="F2033" i="9"/>
  <c r="G2033" i="9"/>
  <c r="H2033" i="9"/>
  <c r="I2033" i="9"/>
  <c r="J2033" i="9"/>
  <c r="K2033" i="9" s="1"/>
  <c r="L2033" i="9"/>
  <c r="A2034" i="9"/>
  <c r="B2034" i="9" s="1"/>
  <c r="C2034" i="9"/>
  <c r="D2034" i="9"/>
  <c r="E2034" i="9"/>
  <c r="F2034" i="9"/>
  <c r="H2034" i="9"/>
  <c r="I2034" i="9"/>
  <c r="J2034" i="9"/>
  <c r="K2034" i="9"/>
  <c r="L2034" i="9"/>
  <c r="M2034" i="9"/>
  <c r="A2035" i="9"/>
  <c r="C2035" i="9"/>
  <c r="D2035" i="9"/>
  <c r="E2035" i="9"/>
  <c r="F2035" i="9"/>
  <c r="J2035" i="9"/>
  <c r="K2035" i="9" s="1"/>
  <c r="L2035" i="9"/>
  <c r="M2035" i="9"/>
  <c r="A2036" i="9"/>
  <c r="B2036" i="9"/>
  <c r="C2036" i="9"/>
  <c r="D2036" i="9"/>
  <c r="E2036" i="9"/>
  <c r="F2036" i="9"/>
  <c r="G2036" i="9"/>
  <c r="H2036" i="9"/>
  <c r="I2036" i="9"/>
  <c r="J2036" i="9"/>
  <c r="K2036" i="9"/>
  <c r="L2036" i="9"/>
  <c r="M2036" i="9"/>
  <c r="A2037" i="9"/>
  <c r="B2037" i="9"/>
  <c r="C2037" i="9"/>
  <c r="D2037" i="9"/>
  <c r="E2037" i="9"/>
  <c r="F2037" i="9"/>
  <c r="G2037" i="9"/>
  <c r="H2037" i="9"/>
  <c r="I2037" i="9"/>
  <c r="J2037" i="9"/>
  <c r="K2037" i="9"/>
  <c r="L2037" i="9"/>
  <c r="M2037" i="9"/>
  <c r="A2038" i="9"/>
  <c r="B2038" i="9"/>
  <c r="C2038" i="9"/>
  <c r="D2038" i="9"/>
  <c r="E2038" i="9"/>
  <c r="F2038" i="9"/>
  <c r="G2038" i="9"/>
  <c r="L2038" i="9"/>
  <c r="M2038" i="9"/>
  <c r="A2039" i="9"/>
  <c r="C2039" i="9"/>
  <c r="D2039" i="9"/>
  <c r="E2039" i="9"/>
  <c r="F2039" i="9"/>
  <c r="G2039" i="9"/>
  <c r="H2039" i="9"/>
  <c r="I2039" i="9"/>
  <c r="M2039" i="9"/>
  <c r="A2040" i="9"/>
  <c r="E2040" i="9"/>
  <c r="F2040" i="9"/>
  <c r="H2040" i="9"/>
  <c r="A2041" i="9"/>
  <c r="D2041" i="9" s="1"/>
  <c r="B2041" i="9"/>
  <c r="C2041" i="9"/>
  <c r="E2041" i="9"/>
  <c r="F2041" i="9"/>
  <c r="G2041" i="9"/>
  <c r="A2042" i="9"/>
  <c r="B2042" i="9" s="1"/>
  <c r="E2042" i="9"/>
  <c r="H2042" i="9"/>
  <c r="I2042" i="9"/>
  <c r="J2042" i="9"/>
  <c r="K2042" i="9" s="1"/>
  <c r="A2043" i="9"/>
  <c r="B2043" i="9"/>
  <c r="F2043" i="9"/>
  <c r="G2043" i="9"/>
  <c r="H2043" i="9"/>
  <c r="M2043" i="9"/>
  <c r="A2044" i="9"/>
  <c r="B2044" i="9"/>
  <c r="M2044" i="9"/>
  <c r="A2045" i="9"/>
  <c r="B2045" i="9"/>
  <c r="C2045" i="9"/>
  <c r="A2046" i="9"/>
  <c r="L2046" i="9" s="1"/>
  <c r="G2046" i="9"/>
  <c r="H2046" i="9"/>
  <c r="I2046" i="9"/>
  <c r="J2046" i="9"/>
  <c r="K2046" i="9" s="1"/>
  <c r="M2046" i="9"/>
  <c r="A2047" i="9"/>
  <c r="B2047" i="9"/>
  <c r="C2047" i="9"/>
  <c r="A2048" i="9"/>
  <c r="B2048" i="9"/>
  <c r="D2048" i="9"/>
  <c r="F2048" i="9"/>
  <c r="G2048" i="9"/>
  <c r="H2048" i="9"/>
  <c r="I2048" i="9"/>
  <c r="J2048" i="9"/>
  <c r="K2048" i="9" s="1"/>
  <c r="L2048" i="9"/>
  <c r="M2048" i="9"/>
  <c r="A2049" i="9"/>
  <c r="B2049" i="9"/>
  <c r="C2049" i="9"/>
  <c r="J2049" i="9"/>
  <c r="K2049" i="9" s="1"/>
  <c r="M2049" i="9"/>
  <c r="A2050" i="9"/>
  <c r="C2050" i="9"/>
  <c r="J2050" i="9"/>
  <c r="K2050" i="9" s="1"/>
  <c r="A2051" i="9"/>
  <c r="B2051" i="9"/>
  <c r="C2051" i="9"/>
  <c r="D2051" i="9"/>
  <c r="E2051" i="9"/>
  <c r="F2051" i="9"/>
  <c r="G2051" i="9"/>
  <c r="H2051" i="9"/>
  <c r="I2051" i="9"/>
  <c r="J2051" i="9"/>
  <c r="K2051" i="9" s="1"/>
  <c r="L2051" i="9"/>
  <c r="M2051" i="9"/>
  <c r="A2052" i="9"/>
  <c r="B2052" i="9"/>
  <c r="C2052" i="9"/>
  <c r="D2052" i="9"/>
  <c r="E2052" i="9"/>
  <c r="I2052" i="9"/>
  <c r="J2052" i="9"/>
  <c r="K2052" i="9" s="1"/>
  <c r="L2052" i="9"/>
  <c r="A2053" i="9"/>
  <c r="E2053" i="9" s="1"/>
  <c r="G2053" i="9"/>
  <c r="J2053" i="9"/>
  <c r="K2053" i="9"/>
  <c r="L2053" i="9"/>
  <c r="A2054" i="9"/>
  <c r="B2054" i="9" s="1"/>
  <c r="C2054" i="9"/>
  <c r="D2054" i="9"/>
  <c r="E2054" i="9"/>
  <c r="F2054" i="9"/>
  <c r="H2054" i="9"/>
  <c r="I2054" i="9"/>
  <c r="J2054" i="9"/>
  <c r="K2054" i="9" s="1"/>
  <c r="L2054" i="9"/>
  <c r="M2054" i="9"/>
  <c r="A2055" i="9"/>
  <c r="B2055" i="9"/>
  <c r="C2055" i="9"/>
  <c r="D2055" i="9"/>
  <c r="E2055" i="9"/>
  <c r="F2055" i="9"/>
  <c r="J2055" i="9"/>
  <c r="K2055" i="9"/>
  <c r="L2055" i="9"/>
  <c r="M2055" i="9"/>
  <c r="A2056" i="9"/>
  <c r="B2056" i="9"/>
  <c r="C2056" i="9"/>
  <c r="D2056" i="9"/>
  <c r="E2056" i="9"/>
  <c r="F2056" i="9"/>
  <c r="G2056" i="9"/>
  <c r="H2056" i="9"/>
  <c r="I2056" i="9"/>
  <c r="J2056" i="9"/>
  <c r="K2056" i="9" s="1"/>
  <c r="L2056" i="9"/>
  <c r="M2056" i="9"/>
  <c r="A2057" i="9"/>
  <c r="B2057" i="9"/>
  <c r="C2057" i="9"/>
  <c r="D2057" i="9"/>
  <c r="E2057" i="9"/>
  <c r="F2057" i="9"/>
  <c r="G2057" i="9"/>
  <c r="H2057" i="9"/>
  <c r="I2057" i="9"/>
  <c r="J2057" i="9"/>
  <c r="K2057" i="9" s="1"/>
  <c r="L2057" i="9"/>
  <c r="M2057" i="9"/>
  <c r="A2058" i="9"/>
  <c r="B2058" i="9" s="1"/>
  <c r="F2058" i="9"/>
  <c r="G2058" i="9"/>
  <c r="L2058" i="9"/>
  <c r="A2059" i="9"/>
  <c r="C2059" i="9"/>
  <c r="D2059" i="9"/>
  <c r="E2059" i="9"/>
  <c r="F2059" i="9"/>
  <c r="G2059" i="9"/>
  <c r="H2059" i="9"/>
  <c r="I2059" i="9"/>
  <c r="J2059" i="9"/>
  <c r="K2059" i="9"/>
  <c r="L2059" i="9"/>
  <c r="A2060" i="9"/>
  <c r="E2060" i="9"/>
  <c r="F2060" i="9"/>
  <c r="G2060" i="9"/>
  <c r="H2060" i="9"/>
  <c r="J2060" i="9"/>
  <c r="K2060" i="9" s="1"/>
  <c r="L2060" i="9"/>
  <c r="M2060" i="9"/>
  <c r="A2061" i="9"/>
  <c r="M2061" i="9" s="1"/>
  <c r="H2061" i="9"/>
  <c r="A2062" i="9"/>
  <c r="F2062" i="9"/>
  <c r="G2062" i="9"/>
  <c r="H2062" i="9"/>
  <c r="I2062" i="9"/>
  <c r="L2062" i="9"/>
  <c r="M2062" i="9"/>
  <c r="A2063" i="9"/>
  <c r="B2063" i="9"/>
  <c r="F2063" i="9"/>
  <c r="G2063" i="9"/>
  <c r="A2064" i="9"/>
  <c r="B2064" i="9"/>
  <c r="C2064" i="9"/>
  <c r="D2064" i="9"/>
  <c r="E2064" i="9"/>
  <c r="F2064" i="9"/>
  <c r="G2064" i="9"/>
  <c r="H2064" i="9"/>
  <c r="I2064" i="9"/>
  <c r="M2064" i="9"/>
  <c r="A2065" i="9"/>
  <c r="B2065" i="9"/>
  <c r="C2065" i="9"/>
  <c r="E2065" i="9"/>
  <c r="F2065" i="9"/>
  <c r="G2065" i="9"/>
  <c r="H2065" i="9"/>
  <c r="I2065" i="9"/>
  <c r="J2065" i="9"/>
  <c r="K2065" i="9" s="1"/>
  <c r="A2066" i="9"/>
  <c r="B2066" i="9"/>
  <c r="C2066" i="9"/>
  <c r="G2066" i="9"/>
  <c r="H2066" i="9"/>
  <c r="I2066" i="9"/>
  <c r="J2066" i="9"/>
  <c r="K2066" i="9" s="1"/>
  <c r="L2066" i="9"/>
  <c r="M2066" i="9"/>
  <c r="A2067" i="9"/>
  <c r="C2067" i="9"/>
  <c r="D2067" i="9"/>
  <c r="E2067" i="9"/>
  <c r="F2067" i="9"/>
  <c r="G2067" i="9"/>
  <c r="A2068" i="9"/>
  <c r="E2068" i="9" s="1"/>
  <c r="C2068" i="9"/>
  <c r="D2068" i="9"/>
  <c r="F2068" i="9"/>
  <c r="G2068" i="9"/>
  <c r="H2068" i="9"/>
  <c r="I2068" i="9"/>
  <c r="J2068" i="9"/>
  <c r="K2068" i="9"/>
  <c r="L2068" i="9"/>
  <c r="M2068" i="9"/>
  <c r="A2069" i="9"/>
  <c r="C2069" i="9" s="1"/>
  <c r="D2069" i="9"/>
  <c r="I2069" i="9"/>
  <c r="J2069" i="9"/>
  <c r="K2069" i="9" s="1"/>
  <c r="A2070" i="9"/>
  <c r="B2070" i="9"/>
  <c r="C2070" i="9"/>
  <c r="D2070" i="9"/>
  <c r="E2070" i="9"/>
  <c r="F2070" i="9"/>
  <c r="G2070" i="9"/>
  <c r="H2070" i="9"/>
  <c r="I2070" i="9"/>
  <c r="J2070" i="9"/>
  <c r="K2070" i="9" s="1"/>
  <c r="A2071" i="9"/>
  <c r="B2071" i="9"/>
  <c r="C2071" i="9"/>
  <c r="D2071" i="9"/>
  <c r="E2071" i="9"/>
  <c r="F2071" i="9"/>
  <c r="G2071" i="9"/>
  <c r="H2071" i="9"/>
  <c r="I2071" i="9"/>
  <c r="J2071" i="9"/>
  <c r="K2071" i="9"/>
  <c r="L2071" i="9"/>
  <c r="M2071" i="9"/>
  <c r="A2072" i="9"/>
  <c r="C2072" i="9" s="1"/>
  <c r="A2073" i="9"/>
  <c r="C2073" i="9" s="1"/>
  <c r="B2073" i="9"/>
  <c r="D2073" i="9"/>
  <c r="E2073" i="9"/>
  <c r="I2073" i="9"/>
  <c r="J2073" i="9"/>
  <c r="K2073" i="9"/>
  <c r="L2073" i="9"/>
  <c r="A2074" i="9"/>
  <c r="B2074" i="9" s="1"/>
  <c r="C2074" i="9"/>
  <c r="D2074" i="9"/>
  <c r="E2074" i="9"/>
  <c r="F2074" i="9"/>
  <c r="H2074" i="9"/>
  <c r="I2074" i="9"/>
  <c r="J2074" i="9"/>
  <c r="K2074" i="9"/>
  <c r="L2074" i="9"/>
  <c r="M2074" i="9"/>
  <c r="A2075" i="9"/>
  <c r="F2075" i="9" s="1"/>
  <c r="B2075" i="9"/>
  <c r="J2075" i="9"/>
  <c r="K2075" i="9" s="1"/>
  <c r="L2075" i="9"/>
  <c r="A2076" i="9"/>
  <c r="B2076" i="9"/>
  <c r="C2076" i="9"/>
  <c r="D2076" i="9"/>
  <c r="E2076" i="9"/>
  <c r="F2076" i="9"/>
  <c r="G2076" i="9"/>
  <c r="H2076" i="9"/>
  <c r="I2076" i="9"/>
  <c r="J2076" i="9"/>
  <c r="K2076" i="9" s="1"/>
  <c r="L2076" i="9"/>
  <c r="M2076" i="9"/>
  <c r="A2077" i="9"/>
  <c r="B2077" i="9"/>
  <c r="C2077" i="9"/>
  <c r="D2077" i="9"/>
  <c r="E2077" i="9"/>
  <c r="F2077" i="9"/>
  <c r="G2077" i="9"/>
  <c r="H2077" i="9"/>
  <c r="I2077" i="9"/>
  <c r="J2077" i="9"/>
  <c r="K2077" i="9" s="1"/>
  <c r="L2077" i="9"/>
  <c r="M2077" i="9"/>
  <c r="A2078" i="9"/>
  <c r="C2078" i="9" s="1"/>
  <c r="B2078" i="9"/>
  <c r="A2079" i="9"/>
  <c r="F2079" i="9" s="1"/>
  <c r="C2079" i="9"/>
  <c r="D2079" i="9"/>
  <c r="G2079" i="9"/>
  <c r="H2079" i="9"/>
  <c r="I2079" i="9"/>
  <c r="J2079" i="9"/>
  <c r="K2079" i="9"/>
  <c r="L2079" i="9"/>
  <c r="M2079" i="9"/>
  <c r="A2080" i="9"/>
  <c r="E2080" i="9"/>
  <c r="A2081" i="9"/>
  <c r="B2081" i="9"/>
  <c r="D2081" i="9"/>
  <c r="E2081" i="9"/>
  <c r="F2081" i="9"/>
  <c r="G2081" i="9"/>
  <c r="H2081" i="9"/>
  <c r="L2081" i="9"/>
  <c r="M2081" i="9"/>
  <c r="A2082" i="9"/>
  <c r="B2082" i="9" s="1"/>
  <c r="E2082" i="9"/>
  <c r="J2082" i="9"/>
  <c r="K2082" i="9"/>
  <c r="L2082" i="9"/>
  <c r="M2082" i="9"/>
  <c r="A2083" i="9"/>
  <c r="B2083" i="9"/>
  <c r="F2083" i="9"/>
  <c r="G2083" i="9"/>
  <c r="H2083" i="9"/>
  <c r="I2083" i="9"/>
  <c r="L2083" i="9"/>
  <c r="M2083" i="9"/>
  <c r="A2084" i="9"/>
  <c r="B2084" i="9"/>
  <c r="C2084" i="9"/>
  <c r="D2084" i="9"/>
  <c r="H2084" i="9"/>
  <c r="I2084" i="9"/>
  <c r="M2084" i="9"/>
  <c r="A2085" i="9"/>
  <c r="C2085" i="9"/>
  <c r="E2085" i="9"/>
  <c r="F2085" i="9"/>
  <c r="G2085" i="9"/>
  <c r="A2086" i="9"/>
  <c r="M2086" i="9" s="1"/>
  <c r="I2086" i="9"/>
  <c r="A2087" i="9"/>
  <c r="B2087" i="9"/>
  <c r="C2087" i="9"/>
  <c r="D2087" i="9"/>
  <c r="E2087" i="9"/>
  <c r="F2087" i="9"/>
  <c r="G2087" i="9"/>
  <c r="H2087" i="9"/>
  <c r="I2087" i="9"/>
  <c r="J2087" i="9"/>
  <c r="K2087" i="9" s="1"/>
  <c r="A2088" i="9"/>
  <c r="B2088" i="9"/>
  <c r="C2088" i="9"/>
  <c r="H2088" i="9"/>
  <c r="I2088" i="9"/>
  <c r="J2088" i="9"/>
  <c r="K2088" i="9" s="1"/>
  <c r="M2088" i="9"/>
  <c r="A2089" i="9"/>
  <c r="B2089" i="9"/>
  <c r="C2089" i="9"/>
  <c r="D2089" i="9"/>
  <c r="H2089" i="9"/>
  <c r="A2090" i="9"/>
  <c r="A2091" i="9"/>
  <c r="B2091" i="9"/>
  <c r="C2091" i="9"/>
  <c r="D2091" i="9"/>
  <c r="E2091" i="9"/>
  <c r="F2091" i="9"/>
  <c r="G2091" i="9"/>
  <c r="H2091" i="9"/>
  <c r="I2091" i="9"/>
  <c r="J2091" i="9"/>
  <c r="K2091" i="9"/>
  <c r="L2091" i="9"/>
  <c r="M2091" i="9"/>
  <c r="A2092" i="9"/>
  <c r="B2092" i="9"/>
  <c r="C2092" i="9"/>
  <c r="D2092" i="9"/>
  <c r="E2092" i="9"/>
  <c r="I2092" i="9"/>
  <c r="J2092" i="9"/>
  <c r="K2092" i="9" s="1"/>
  <c r="L2092" i="9"/>
  <c r="A2093" i="9"/>
  <c r="B2093" i="9"/>
  <c r="C2093" i="9"/>
  <c r="D2093" i="9"/>
  <c r="E2093" i="9"/>
  <c r="F2093" i="9"/>
  <c r="G2093" i="9"/>
  <c r="H2093" i="9"/>
  <c r="I2093" i="9"/>
  <c r="A2094" i="9"/>
  <c r="B2094" i="9" s="1"/>
  <c r="C2094" i="9"/>
  <c r="D2094" i="9"/>
  <c r="E2094" i="9"/>
  <c r="F2094" i="9"/>
  <c r="H2094" i="9"/>
  <c r="I2094" i="9"/>
  <c r="J2094" i="9"/>
  <c r="K2094" i="9" s="1"/>
  <c r="L2094" i="9"/>
  <c r="M2094" i="9"/>
  <c r="A2095" i="9"/>
  <c r="B2095" i="9"/>
  <c r="C2095" i="9"/>
  <c r="D2095" i="9"/>
  <c r="E2095" i="9"/>
  <c r="F2095" i="9"/>
  <c r="M2095" i="9"/>
  <c r="A2096" i="9"/>
  <c r="B2096" i="9"/>
  <c r="C2096" i="9"/>
  <c r="D2096" i="9"/>
  <c r="E2096" i="9"/>
  <c r="F2096" i="9"/>
  <c r="G2096" i="9"/>
  <c r="H2096" i="9"/>
  <c r="I2096" i="9"/>
  <c r="J2096" i="9"/>
  <c r="K2096" i="9" s="1"/>
  <c r="L2096" i="9"/>
  <c r="M2096" i="9"/>
  <c r="A2097" i="9"/>
  <c r="B2097" i="9"/>
  <c r="C2097" i="9"/>
  <c r="D2097" i="9"/>
  <c r="E2097" i="9"/>
  <c r="F2097" i="9"/>
  <c r="G2097" i="9"/>
  <c r="H2097" i="9"/>
  <c r="I2097" i="9"/>
  <c r="J2097" i="9"/>
  <c r="K2097" i="9" s="1"/>
  <c r="L2097" i="9"/>
  <c r="M2097" i="9"/>
  <c r="A2098" i="9"/>
  <c r="B2098" i="9"/>
  <c r="C2098" i="9"/>
  <c r="D2098" i="9"/>
  <c r="E2098" i="9"/>
  <c r="F2098" i="9"/>
  <c r="G2098" i="9"/>
  <c r="L2098" i="9"/>
  <c r="M2098" i="9"/>
  <c r="A2099" i="9"/>
  <c r="B2099" i="9" s="1"/>
  <c r="C2099" i="9"/>
  <c r="D2099" i="9"/>
  <c r="E2099" i="9"/>
  <c r="F2099" i="9"/>
  <c r="G2099" i="9"/>
  <c r="H2099" i="9"/>
  <c r="I2099" i="9"/>
  <c r="J2099" i="9"/>
  <c r="K2099" i="9" s="1"/>
  <c r="L2099" i="9"/>
  <c r="M2099" i="9"/>
  <c r="A2100" i="9"/>
  <c r="E2100" i="9"/>
  <c r="F2100" i="9"/>
  <c r="G2100" i="9"/>
  <c r="H2100" i="9"/>
  <c r="J2100" i="9"/>
  <c r="K2100" i="9" s="1"/>
  <c r="L2100" i="9"/>
  <c r="A2101" i="9"/>
  <c r="B2101" i="9" s="1"/>
  <c r="C2101" i="9"/>
  <c r="D2101" i="9"/>
  <c r="E2101" i="9"/>
  <c r="F2101" i="9"/>
  <c r="G2101" i="9"/>
  <c r="H2101" i="9"/>
  <c r="L2101" i="9"/>
  <c r="M2101" i="9"/>
  <c r="A2102" i="9"/>
  <c r="A2103" i="9"/>
  <c r="M2103" i="9"/>
  <c r="A2104" i="9"/>
  <c r="B2104" i="9"/>
  <c r="C2104" i="9"/>
  <c r="D2104" i="9"/>
  <c r="A2105" i="9"/>
  <c r="D2105" i="9" s="1"/>
  <c r="B2105" i="9"/>
  <c r="C2105" i="9"/>
  <c r="E2105" i="9"/>
  <c r="F2105" i="9"/>
  <c r="G2105" i="9"/>
  <c r="H2105" i="9"/>
  <c r="I2105" i="9"/>
  <c r="J2105" i="9"/>
  <c r="K2105" i="9" s="1"/>
  <c r="L2105" i="9"/>
  <c r="M2105" i="9"/>
  <c r="A2106" i="9"/>
  <c r="B2106" i="9" s="1"/>
  <c r="G2106" i="9"/>
  <c r="A2107" i="9"/>
  <c r="B2107" i="9"/>
  <c r="C2107" i="9"/>
  <c r="D2107" i="9"/>
  <c r="F2107" i="9"/>
  <c r="G2107" i="9"/>
  <c r="H2107" i="9"/>
  <c r="I2107" i="9"/>
  <c r="J2107" i="9"/>
  <c r="K2107" i="9" s="1"/>
  <c r="A2108" i="9"/>
  <c r="B2108" i="9"/>
  <c r="C2108" i="9"/>
  <c r="D2108" i="9"/>
  <c r="A2109" i="9"/>
  <c r="B2109" i="9"/>
  <c r="D2109" i="9"/>
  <c r="H2109" i="9"/>
  <c r="I2109" i="9"/>
  <c r="J2109" i="9"/>
  <c r="K2109" i="9"/>
  <c r="M2109" i="9"/>
  <c r="A2110" i="9"/>
  <c r="B2110" i="9"/>
  <c r="C2110" i="9"/>
  <c r="D2110" i="9"/>
  <c r="E2110" i="9"/>
  <c r="F2110" i="9"/>
  <c r="J2110" i="9"/>
  <c r="K2110" i="9" s="1"/>
  <c r="A2111" i="9"/>
  <c r="F2111" i="9" s="1"/>
  <c r="B2111" i="9"/>
  <c r="C2111" i="9"/>
  <c r="D2111" i="9"/>
  <c r="E2111" i="9"/>
  <c r="G2111" i="9"/>
  <c r="H2111" i="9"/>
  <c r="I2111" i="9"/>
  <c r="J2111" i="9"/>
  <c r="K2111" i="9" s="1"/>
  <c r="L2111" i="9"/>
  <c r="M2111" i="9"/>
  <c r="A2112" i="9"/>
  <c r="B2112" i="9"/>
  <c r="C2112" i="9"/>
  <c r="J2112" i="9"/>
  <c r="K2112" i="9" s="1"/>
  <c r="L2112" i="9"/>
  <c r="A2113" i="9"/>
  <c r="A2114" i="9"/>
  <c r="B2114" i="9" s="1"/>
  <c r="C2114" i="9"/>
  <c r="D2114" i="9"/>
  <c r="E2114" i="9"/>
  <c r="F2114" i="9"/>
  <c r="H2114" i="9"/>
  <c r="I2114" i="9"/>
  <c r="J2114" i="9"/>
  <c r="K2114" i="9" s="1"/>
  <c r="L2114" i="9"/>
  <c r="M2114" i="9"/>
  <c r="A2115" i="9"/>
  <c r="B2115" i="9"/>
  <c r="A2116" i="9"/>
  <c r="B2116" i="9"/>
  <c r="C2116" i="9"/>
  <c r="D2116" i="9"/>
  <c r="E2116" i="9"/>
  <c r="F2116" i="9"/>
  <c r="G2116" i="9"/>
  <c r="H2116" i="9"/>
  <c r="I2116" i="9"/>
  <c r="J2116" i="9"/>
  <c r="K2116" i="9" s="1"/>
  <c r="L2116" i="9"/>
  <c r="M2116" i="9"/>
  <c r="A2117" i="9"/>
  <c r="B2117" i="9"/>
  <c r="C2117" i="9"/>
  <c r="D2117" i="9"/>
  <c r="E2117" i="9"/>
  <c r="F2117" i="9"/>
  <c r="G2117" i="9"/>
  <c r="H2117" i="9"/>
  <c r="I2117" i="9"/>
  <c r="J2117" i="9"/>
  <c r="K2117" i="9" s="1"/>
  <c r="L2117" i="9"/>
  <c r="M2117" i="9"/>
  <c r="A2118" i="9"/>
  <c r="D2118" i="9" s="1"/>
  <c r="B2118" i="9"/>
  <c r="E2118" i="9"/>
  <c r="F2118" i="9"/>
  <c r="G2118" i="9"/>
  <c r="L2118" i="9"/>
  <c r="M2118" i="9"/>
  <c r="A2119" i="9"/>
  <c r="C2119" i="9"/>
  <c r="D2119" i="9"/>
  <c r="E2119" i="9"/>
  <c r="F2119" i="9"/>
  <c r="J2119" i="9"/>
  <c r="K2119" i="9" s="1"/>
  <c r="L2119" i="9"/>
  <c r="M2119" i="9"/>
  <c r="A2120" i="9"/>
  <c r="E2120" i="9"/>
  <c r="F2120" i="9"/>
  <c r="G2120" i="9"/>
  <c r="H2120" i="9"/>
  <c r="J2120" i="9"/>
  <c r="K2120" i="9"/>
  <c r="L2120" i="9"/>
  <c r="M2120" i="9"/>
  <c r="A2121" i="9"/>
  <c r="B2121" i="9"/>
  <c r="A2122" i="9"/>
  <c r="E2122" i="9" s="1"/>
  <c r="D2122" i="9"/>
  <c r="F2122" i="9"/>
  <c r="G2122" i="9"/>
  <c r="H2122" i="9"/>
  <c r="I2122" i="9"/>
  <c r="J2122" i="9"/>
  <c r="K2122" i="9"/>
  <c r="L2122" i="9"/>
  <c r="M2122" i="9"/>
  <c r="A2123" i="9"/>
  <c r="B2123" i="9"/>
  <c r="I2123" i="9"/>
  <c r="A2124" i="9"/>
  <c r="B2124" i="9"/>
  <c r="C2124" i="9"/>
  <c r="D2124" i="9"/>
  <c r="E2124" i="9"/>
  <c r="F2124" i="9"/>
  <c r="G2124" i="9"/>
  <c r="H2124" i="9"/>
  <c r="I2124" i="9"/>
  <c r="M2124" i="9"/>
  <c r="A2125" i="9"/>
  <c r="B2125" i="9"/>
  <c r="A2126" i="9"/>
  <c r="B2126" i="9"/>
  <c r="C2126" i="9"/>
  <c r="G2126" i="9"/>
  <c r="H2126" i="9"/>
  <c r="I2126" i="9"/>
  <c r="J2126" i="9"/>
  <c r="K2126" i="9" s="1"/>
  <c r="L2126" i="9"/>
  <c r="M2126" i="9"/>
  <c r="A2127" i="9"/>
  <c r="B2127" i="9"/>
  <c r="F2127" i="9"/>
  <c r="G2127" i="9"/>
  <c r="H2127" i="9"/>
  <c r="A2128" i="9"/>
  <c r="B2128" i="9" s="1"/>
  <c r="C2128" i="9"/>
  <c r="D2128" i="9"/>
  <c r="F2128" i="9"/>
  <c r="M2128" i="9"/>
  <c r="A2129" i="9"/>
  <c r="B2129" i="9"/>
  <c r="C2129" i="9"/>
  <c r="D2129" i="9"/>
  <c r="H2129" i="9"/>
  <c r="I2129" i="9"/>
  <c r="J2129" i="9"/>
  <c r="K2129" i="9" s="1"/>
  <c r="M2129" i="9"/>
  <c r="A2130" i="9"/>
  <c r="B2130" i="9"/>
  <c r="C2130" i="9"/>
  <c r="D2130" i="9"/>
  <c r="E2130" i="9"/>
  <c r="A2131" i="9"/>
  <c r="F2131" i="9" s="1"/>
  <c r="B2131" i="9"/>
  <c r="C2131" i="9"/>
  <c r="D2131" i="9"/>
  <c r="E2131" i="9"/>
  <c r="G2131" i="9"/>
  <c r="H2131" i="9"/>
  <c r="I2131" i="9"/>
  <c r="J2131" i="9"/>
  <c r="K2131" i="9" s="1"/>
  <c r="L2131" i="9"/>
  <c r="M2131" i="9"/>
  <c r="A2132" i="9"/>
  <c r="B2132" i="9" s="1"/>
  <c r="A2133" i="9"/>
  <c r="M2133" i="9" s="1"/>
  <c r="C2133" i="9"/>
  <c r="D2133" i="9"/>
  <c r="E2133" i="9"/>
  <c r="F2133" i="9"/>
  <c r="G2133" i="9"/>
  <c r="H2133" i="9"/>
  <c r="I2133" i="9"/>
  <c r="J2133" i="9"/>
  <c r="K2133" i="9" s="1"/>
  <c r="L2133" i="9"/>
  <c r="A2134" i="9"/>
  <c r="B2134" i="9" s="1"/>
  <c r="C2134" i="9"/>
  <c r="D2134" i="9"/>
  <c r="E2134" i="9"/>
  <c r="F2134" i="9"/>
  <c r="H2134" i="9"/>
  <c r="I2134" i="9"/>
  <c r="J2134" i="9"/>
  <c r="K2134" i="9" s="1"/>
  <c r="L2134" i="9"/>
  <c r="M2134" i="9"/>
  <c r="A2135" i="9"/>
  <c r="B2135" i="9"/>
  <c r="C2135" i="9"/>
  <c r="E2135" i="9"/>
  <c r="A2136" i="9"/>
  <c r="B2136" i="9"/>
  <c r="C2136" i="9"/>
  <c r="D2136" i="9"/>
  <c r="E2136" i="9"/>
  <c r="F2136" i="9"/>
  <c r="G2136" i="9"/>
  <c r="H2136" i="9"/>
  <c r="I2136" i="9"/>
  <c r="J2136" i="9"/>
  <c r="K2136" i="9" s="1"/>
  <c r="L2136" i="9"/>
  <c r="M2136" i="9"/>
  <c r="A2137" i="9"/>
  <c r="B2137" i="9"/>
  <c r="C2137" i="9"/>
  <c r="D2137" i="9"/>
  <c r="E2137" i="9"/>
  <c r="F2137" i="9"/>
  <c r="G2137" i="9"/>
  <c r="H2137" i="9"/>
  <c r="I2137" i="9"/>
  <c r="J2137" i="9"/>
  <c r="K2137" i="9" s="1"/>
  <c r="L2137" i="9"/>
  <c r="M2137" i="9"/>
  <c r="A2138" i="9"/>
  <c r="B2138" i="9"/>
  <c r="C2138" i="9"/>
  <c r="D2138" i="9"/>
  <c r="E2138" i="9"/>
  <c r="F2138" i="9"/>
  <c r="G2138" i="9"/>
  <c r="L2138" i="9"/>
  <c r="M2138" i="9"/>
  <c r="A2139" i="9"/>
  <c r="C2139" i="9"/>
  <c r="A2140" i="9"/>
  <c r="E2140" i="9"/>
  <c r="F2140" i="9"/>
  <c r="G2140" i="9"/>
  <c r="H2140" i="9"/>
  <c r="J2140" i="9"/>
  <c r="K2140" i="9"/>
  <c r="L2140" i="9"/>
  <c r="M2140" i="9"/>
  <c r="A2141" i="9"/>
  <c r="B2141" i="9"/>
  <c r="C2141" i="9"/>
  <c r="D2141" i="9"/>
  <c r="A2142" i="9"/>
  <c r="C2142" i="9" s="1"/>
  <c r="D2142" i="9"/>
  <c r="E2142" i="9"/>
  <c r="F2142" i="9"/>
  <c r="G2142" i="9"/>
  <c r="I2142" i="9"/>
  <c r="J2142" i="9"/>
  <c r="K2142" i="9" s="1"/>
  <c r="L2142" i="9"/>
  <c r="M2142" i="9"/>
  <c r="A2143" i="9"/>
  <c r="B2143" i="9"/>
  <c r="F2143" i="9"/>
  <c r="G2143" i="9"/>
  <c r="H2143" i="9"/>
  <c r="I2143" i="9"/>
  <c r="A2144" i="9"/>
  <c r="B2144" i="9"/>
  <c r="C2144" i="9"/>
  <c r="D2144" i="9"/>
  <c r="E2144" i="9"/>
  <c r="F2144" i="9"/>
  <c r="G2144" i="9"/>
  <c r="H2144" i="9"/>
  <c r="I2144" i="9"/>
  <c r="M2144" i="9"/>
  <c r="A2145" i="9"/>
  <c r="B2145" i="9"/>
  <c r="C2145" i="9"/>
  <c r="E2145" i="9"/>
  <c r="F2145" i="9"/>
  <c r="G2145" i="9"/>
  <c r="H2145" i="9"/>
  <c r="I2145" i="9"/>
  <c r="M2145" i="9"/>
  <c r="A2146" i="9"/>
  <c r="A2147" i="9"/>
  <c r="D2147" i="9" s="1"/>
  <c r="B2147" i="9"/>
  <c r="C2147" i="9"/>
  <c r="E2147" i="9"/>
  <c r="F2147" i="9"/>
  <c r="G2147" i="9"/>
  <c r="A2148" i="9"/>
  <c r="G2148" i="9" s="1"/>
  <c r="B2148" i="9"/>
  <c r="C2148" i="9"/>
  <c r="D2148" i="9"/>
  <c r="H2148" i="9"/>
  <c r="I2148" i="9"/>
  <c r="J2148" i="9"/>
  <c r="K2148" i="9" s="1"/>
  <c r="A2149" i="9"/>
  <c r="B2149" i="9"/>
  <c r="C2149" i="9"/>
  <c r="D2149" i="9"/>
  <c r="H2149" i="9"/>
  <c r="M2149" i="9"/>
  <c r="A2150" i="9"/>
  <c r="E2150" i="9" s="1"/>
  <c r="B2150" i="9"/>
  <c r="C2150" i="9"/>
  <c r="F2150" i="9"/>
  <c r="G2150" i="9"/>
  <c r="H2150" i="9"/>
  <c r="I2150" i="9"/>
  <c r="J2150" i="9"/>
  <c r="K2150" i="9" s="1"/>
  <c r="A2151" i="9"/>
  <c r="B2151" i="9"/>
  <c r="C2151" i="9"/>
  <c r="D2151" i="9"/>
  <c r="E2151" i="9"/>
  <c r="F2151" i="9"/>
  <c r="G2151" i="9"/>
  <c r="H2151" i="9"/>
  <c r="I2151" i="9"/>
  <c r="J2151" i="9"/>
  <c r="K2151" i="9"/>
  <c r="L2151" i="9"/>
  <c r="M2151" i="9"/>
  <c r="A2152" i="9"/>
  <c r="B2152" i="9"/>
  <c r="C2152" i="9"/>
  <c r="D2152" i="9"/>
  <c r="E2152" i="9"/>
  <c r="I2152" i="9"/>
  <c r="J2152" i="9"/>
  <c r="K2152" i="9" s="1"/>
  <c r="L2152" i="9"/>
  <c r="A2153" i="9"/>
  <c r="B2153" i="9"/>
  <c r="C2153" i="9"/>
  <c r="G2153" i="9"/>
  <c r="H2153" i="9"/>
  <c r="I2153" i="9"/>
  <c r="J2153" i="9"/>
  <c r="K2153" i="9" s="1"/>
  <c r="L2153" i="9"/>
  <c r="A2154" i="9"/>
  <c r="B2154" i="9" s="1"/>
  <c r="C2154" i="9"/>
  <c r="D2154" i="9"/>
  <c r="E2154" i="9"/>
  <c r="F2154" i="9"/>
  <c r="H2154" i="9"/>
  <c r="I2154" i="9"/>
  <c r="J2154" i="9"/>
  <c r="K2154" i="9" s="1"/>
  <c r="L2154" i="9"/>
  <c r="M2154" i="9"/>
  <c r="A2155" i="9"/>
  <c r="B2155" i="9"/>
  <c r="C2155" i="9"/>
  <c r="D2155" i="9"/>
  <c r="E2155" i="9"/>
  <c r="F2155" i="9"/>
  <c r="J2155" i="9"/>
  <c r="K2155" i="9" s="1"/>
  <c r="L2155" i="9"/>
  <c r="M2155" i="9"/>
  <c r="A2156" i="9"/>
  <c r="B2156" i="9"/>
  <c r="C2156" i="9"/>
  <c r="D2156" i="9"/>
  <c r="E2156" i="9"/>
  <c r="F2156" i="9"/>
  <c r="G2156" i="9"/>
  <c r="H2156" i="9"/>
  <c r="I2156" i="9"/>
  <c r="J2156" i="9"/>
  <c r="K2156" i="9" s="1"/>
  <c r="L2156" i="9"/>
  <c r="M2156" i="9"/>
  <c r="A2157" i="9"/>
  <c r="B2157" i="9"/>
  <c r="C2157" i="9"/>
  <c r="D2157" i="9"/>
  <c r="E2157" i="9"/>
  <c r="F2157" i="9"/>
  <c r="G2157" i="9"/>
  <c r="H2157" i="9"/>
  <c r="I2157" i="9"/>
  <c r="J2157" i="9"/>
  <c r="K2157" i="9"/>
  <c r="L2157" i="9"/>
  <c r="M2157" i="9"/>
  <c r="A2158" i="9"/>
  <c r="L2158" i="9" s="1"/>
  <c r="B2158" i="9"/>
  <c r="C2158" i="9"/>
  <c r="D2158" i="9"/>
  <c r="M2158" i="9"/>
  <c r="A2159" i="9"/>
  <c r="D2159" i="9"/>
  <c r="E2159" i="9"/>
  <c r="F2159" i="9"/>
  <c r="G2159" i="9"/>
  <c r="H2159" i="9"/>
  <c r="I2159" i="9"/>
  <c r="J2159" i="9"/>
  <c r="K2159" i="9"/>
  <c r="L2159" i="9"/>
  <c r="M2159" i="9"/>
  <c r="A2160" i="9"/>
  <c r="E2160" i="9"/>
  <c r="J2160" i="9"/>
  <c r="K2160" i="9"/>
  <c r="L2160" i="9"/>
  <c r="M2160" i="9"/>
  <c r="A2161" i="9"/>
  <c r="B2161" i="9"/>
  <c r="C2161" i="9"/>
  <c r="D2161" i="9"/>
  <c r="E2161" i="9"/>
  <c r="F2161" i="9"/>
  <c r="G2161" i="9"/>
  <c r="H2161" i="9"/>
  <c r="L2161" i="9"/>
  <c r="M2161" i="9"/>
  <c r="A2162" i="9"/>
  <c r="B2162" i="9"/>
  <c r="D2162" i="9"/>
  <c r="H2162" i="9"/>
  <c r="I2162" i="9"/>
  <c r="J2162" i="9"/>
  <c r="K2162" i="9"/>
  <c r="M2162" i="9"/>
  <c r="A2163" i="9"/>
  <c r="B2163" i="9" s="1"/>
  <c r="F2163" i="9"/>
  <c r="H2163" i="9"/>
  <c r="A2164" i="9"/>
  <c r="G2164" i="9" s="1"/>
  <c r="B2164" i="9"/>
  <c r="F2164" i="9"/>
  <c r="H2164" i="9"/>
  <c r="I2164" i="9"/>
  <c r="A2165" i="9"/>
  <c r="B2165" i="9" s="1"/>
  <c r="C2165" i="9"/>
  <c r="E2165" i="9"/>
  <c r="F2165" i="9"/>
  <c r="G2165" i="9"/>
  <c r="H2165" i="9"/>
  <c r="I2165" i="9"/>
  <c r="J2165" i="9"/>
  <c r="K2165" i="9"/>
  <c r="A2166" i="9"/>
  <c r="B2166" i="9"/>
  <c r="C2166" i="9"/>
  <c r="G2166" i="9"/>
  <c r="H2166" i="9"/>
  <c r="I2166" i="9"/>
  <c r="J2166" i="9"/>
  <c r="K2166" i="9" s="1"/>
  <c r="L2166" i="9"/>
  <c r="M2166" i="9"/>
  <c r="A2167" i="9"/>
  <c r="B2167" i="9"/>
  <c r="C2167" i="9"/>
  <c r="D2167" i="9"/>
  <c r="E2167" i="9"/>
  <c r="F2167" i="9"/>
  <c r="G2167" i="9"/>
  <c r="H2167" i="9"/>
  <c r="I2167" i="9"/>
  <c r="A2168" i="9"/>
  <c r="F2168" i="9"/>
  <c r="G2168" i="9"/>
  <c r="H2168" i="9"/>
  <c r="I2168" i="9"/>
  <c r="L2168" i="9"/>
  <c r="M2168" i="9"/>
  <c r="A2169" i="9"/>
  <c r="B2169" i="9"/>
  <c r="C2169" i="9"/>
  <c r="A2170" i="9"/>
  <c r="B2170" i="9"/>
  <c r="C2170" i="9"/>
  <c r="D2170" i="9"/>
  <c r="E2170" i="9"/>
  <c r="F2170" i="9"/>
  <c r="G2170" i="9"/>
  <c r="H2170" i="9"/>
  <c r="I2170" i="9"/>
  <c r="J2170" i="9"/>
  <c r="K2170" i="9"/>
  <c r="A2171" i="9"/>
  <c r="B2171" i="9"/>
  <c r="C2171" i="9"/>
  <c r="D2171" i="9"/>
  <c r="E2171" i="9"/>
  <c r="F2171" i="9"/>
  <c r="G2171" i="9"/>
  <c r="H2171" i="9"/>
  <c r="I2171" i="9"/>
  <c r="J2171" i="9"/>
  <c r="K2171" i="9" s="1"/>
  <c r="L2171" i="9"/>
  <c r="M2171" i="9"/>
  <c r="A2172" i="9"/>
  <c r="B2172" i="9"/>
  <c r="C2172" i="9"/>
  <c r="E2172" i="9"/>
  <c r="I2172" i="9"/>
  <c r="J2172" i="9"/>
  <c r="K2172" i="9"/>
  <c r="L2172" i="9"/>
  <c r="A2173" i="9"/>
  <c r="B2173" i="9" s="1"/>
  <c r="L2173" i="9"/>
  <c r="A2174" i="9"/>
  <c r="B2174" i="9" s="1"/>
  <c r="C2174" i="9"/>
  <c r="D2174" i="9"/>
  <c r="E2174" i="9"/>
  <c r="F2174" i="9"/>
  <c r="H2174" i="9"/>
  <c r="I2174" i="9"/>
  <c r="J2174" i="9"/>
  <c r="K2174" i="9" s="1"/>
  <c r="L2174" i="9"/>
  <c r="M2174" i="9"/>
  <c r="A2175" i="9"/>
  <c r="B2175" i="9"/>
  <c r="C2175" i="9"/>
  <c r="A2176" i="9"/>
  <c r="B2176" i="9"/>
  <c r="C2176" i="9"/>
  <c r="D2176" i="9"/>
  <c r="E2176" i="9"/>
  <c r="F2176" i="9"/>
  <c r="G2176" i="9"/>
  <c r="H2176" i="9"/>
  <c r="I2176" i="9"/>
  <c r="J2176" i="9"/>
  <c r="K2176" i="9" s="1"/>
  <c r="L2176" i="9"/>
  <c r="M2176" i="9"/>
  <c r="A2177" i="9"/>
  <c r="B2177" i="9"/>
  <c r="C2177" i="9"/>
  <c r="D2177" i="9"/>
  <c r="E2177" i="9"/>
  <c r="F2177" i="9"/>
  <c r="G2177" i="9"/>
  <c r="H2177" i="9"/>
  <c r="I2177" i="9"/>
  <c r="J2177" i="9"/>
  <c r="K2177" i="9" s="1"/>
  <c r="L2177" i="9"/>
  <c r="M2177" i="9"/>
  <c r="A2178" i="9"/>
  <c r="B2178" i="9" s="1"/>
  <c r="C2178" i="9"/>
  <c r="D2178" i="9"/>
  <c r="F2178" i="9"/>
  <c r="G2178" i="9"/>
  <c r="A2179" i="9"/>
  <c r="B2179" i="9" s="1"/>
  <c r="C2179" i="9"/>
  <c r="D2179" i="9"/>
  <c r="E2179" i="9"/>
  <c r="F2179" i="9"/>
  <c r="G2179" i="9"/>
  <c r="H2179" i="9"/>
  <c r="I2179" i="9"/>
  <c r="J2179" i="9"/>
  <c r="K2179" i="9" s="1"/>
  <c r="L2179" i="9"/>
  <c r="M2179" i="9"/>
  <c r="A2180" i="9"/>
  <c r="E2180" i="9" s="1"/>
  <c r="F2180" i="9"/>
  <c r="G2180" i="9"/>
  <c r="J2180" i="9"/>
  <c r="K2180" i="9" s="1"/>
  <c r="A2181" i="9"/>
  <c r="C2181" i="9" s="1"/>
  <c r="B2181" i="9"/>
  <c r="D2181" i="9"/>
  <c r="F2181" i="9"/>
  <c r="G2181" i="9"/>
  <c r="H2181" i="9"/>
  <c r="L2181" i="9"/>
  <c r="M2181" i="9"/>
  <c r="A2182" i="9"/>
  <c r="B2182" i="9"/>
  <c r="A2183" i="9"/>
  <c r="B2183" i="9"/>
  <c r="G2183" i="9"/>
  <c r="H2183" i="9"/>
  <c r="I2183" i="9"/>
  <c r="L2183" i="9"/>
  <c r="M2183" i="9"/>
  <c r="A2184" i="9"/>
  <c r="B2184" i="9" s="1"/>
  <c r="C2184" i="9"/>
  <c r="E2184" i="9"/>
  <c r="A2185" i="9"/>
  <c r="B2185" i="9"/>
  <c r="C2185" i="9"/>
  <c r="F2185" i="9"/>
  <c r="G2185" i="9"/>
  <c r="H2185" i="9"/>
  <c r="I2185" i="9"/>
  <c r="J2185" i="9"/>
  <c r="K2185" i="9" s="1"/>
  <c r="L2185" i="9"/>
  <c r="M2185" i="9"/>
  <c r="A2186" i="9"/>
  <c r="C2186" i="9" s="1"/>
  <c r="B2186" i="9"/>
  <c r="G2186" i="9"/>
  <c r="L2186" i="9"/>
  <c r="M2186" i="9"/>
  <c r="A2187" i="9"/>
  <c r="I2187" i="9" s="1"/>
  <c r="A2188" i="9"/>
  <c r="B2188" i="9" s="1"/>
  <c r="D2188" i="9"/>
  <c r="F2188" i="9"/>
  <c r="J2188" i="9"/>
  <c r="K2188" i="9"/>
  <c r="A2189" i="9"/>
  <c r="B2189" i="9"/>
  <c r="C2189" i="9"/>
  <c r="D2189" i="9"/>
  <c r="H2189" i="9"/>
  <c r="I2189" i="9"/>
  <c r="J2189" i="9"/>
  <c r="K2189" i="9" s="1"/>
  <c r="M2189" i="9"/>
  <c r="A2190" i="9"/>
  <c r="C2190" i="9"/>
  <c r="D2190" i="9"/>
  <c r="H2190" i="9"/>
  <c r="I2190" i="9"/>
  <c r="J2190" i="9"/>
  <c r="K2190" i="9" s="1"/>
  <c r="A2191" i="9"/>
  <c r="B2191" i="9"/>
  <c r="C2191" i="9"/>
  <c r="D2191" i="9"/>
  <c r="E2191" i="9"/>
  <c r="F2191" i="9"/>
  <c r="G2191" i="9"/>
  <c r="H2191" i="9"/>
  <c r="I2191" i="9"/>
  <c r="J2191" i="9"/>
  <c r="K2191" i="9" s="1"/>
  <c r="L2191" i="9"/>
  <c r="M2191" i="9"/>
  <c r="A2192" i="9"/>
  <c r="B2192" i="9"/>
  <c r="C2192" i="9"/>
  <c r="D2192" i="9"/>
  <c r="E2192" i="9"/>
  <c r="I2192" i="9"/>
  <c r="J2192" i="9"/>
  <c r="K2192" i="9" s="1"/>
  <c r="L2192" i="9"/>
  <c r="A2193" i="9"/>
  <c r="B2193" i="9"/>
  <c r="C2193" i="9"/>
  <c r="A2194" i="9"/>
  <c r="B2194" i="9" s="1"/>
  <c r="C2194" i="9"/>
  <c r="D2194" i="9"/>
  <c r="E2194" i="9"/>
  <c r="F2194" i="9"/>
  <c r="H2194" i="9"/>
  <c r="I2194" i="9"/>
  <c r="J2194" i="9"/>
  <c r="K2194" i="9" s="1"/>
  <c r="L2194" i="9"/>
  <c r="M2194" i="9"/>
  <c r="A2195" i="9"/>
  <c r="B2195" i="9"/>
  <c r="C2195" i="9"/>
  <c r="A2196" i="9"/>
  <c r="B2196" i="9"/>
  <c r="C2196" i="9"/>
  <c r="D2196" i="9"/>
  <c r="E2196" i="9"/>
  <c r="F2196" i="9"/>
  <c r="G2196" i="9"/>
  <c r="H2196" i="9"/>
  <c r="I2196" i="9"/>
  <c r="J2196" i="9"/>
  <c r="K2196" i="9" s="1"/>
  <c r="L2196" i="9"/>
  <c r="M2196" i="9"/>
  <c r="A2197" i="9"/>
  <c r="B2197" i="9"/>
  <c r="C2197" i="9"/>
  <c r="D2197" i="9"/>
  <c r="E2197" i="9"/>
  <c r="F2197" i="9"/>
  <c r="G2197" i="9"/>
  <c r="H2197" i="9"/>
  <c r="I2197" i="9"/>
  <c r="J2197" i="9"/>
  <c r="K2197" i="9" s="1"/>
  <c r="L2197" i="9"/>
  <c r="M2197" i="9"/>
  <c r="A2198" i="9"/>
  <c r="B2198" i="9"/>
  <c r="C2198" i="9"/>
  <c r="D2198" i="9"/>
  <c r="E2198" i="9"/>
  <c r="F2198" i="9"/>
  <c r="G2198" i="9"/>
  <c r="L2198" i="9"/>
  <c r="A2199" i="9"/>
  <c r="C2199" i="9"/>
  <c r="G2199" i="9"/>
  <c r="H2199" i="9"/>
  <c r="I2199" i="9"/>
  <c r="J2199" i="9"/>
  <c r="K2199" i="9" s="1"/>
  <c r="L2199" i="9"/>
  <c r="M2199" i="9"/>
  <c r="A2200" i="9"/>
  <c r="L2200" i="9"/>
  <c r="A2201" i="9"/>
  <c r="E2201" i="9"/>
  <c r="A2202" i="9"/>
  <c r="E2202" i="9" s="1"/>
  <c r="B2202" i="9"/>
  <c r="D2202" i="9"/>
  <c r="F2202" i="9"/>
  <c r="G2202" i="9"/>
  <c r="H2202" i="9"/>
  <c r="I2202" i="9"/>
  <c r="J2202" i="9"/>
  <c r="K2202" i="9" s="1"/>
  <c r="L2202" i="9"/>
  <c r="A2203" i="9"/>
  <c r="B2203" i="9" s="1"/>
  <c r="F2203" i="9"/>
  <c r="G2203" i="9"/>
  <c r="H2203" i="9"/>
  <c r="I2203" i="9"/>
  <c r="L2203" i="9"/>
  <c r="M2203" i="9"/>
  <c r="A2204" i="9"/>
  <c r="B2204" i="9"/>
  <c r="C2204" i="9"/>
  <c r="D2204" i="9"/>
  <c r="E2204" i="9"/>
  <c r="F2204" i="9"/>
  <c r="G2204" i="9"/>
  <c r="H2204" i="9"/>
  <c r="I2204" i="9"/>
  <c r="M2204" i="9"/>
  <c r="A2205" i="9"/>
  <c r="D2205" i="9" s="1"/>
  <c r="B2205" i="9"/>
  <c r="C2205" i="9"/>
  <c r="E2205" i="9"/>
  <c r="F2205" i="9"/>
  <c r="G2205" i="9"/>
  <c r="H2205" i="9"/>
  <c r="I2205" i="9"/>
  <c r="J2205" i="9"/>
  <c r="K2205" i="9" s="1"/>
  <c r="L2205" i="9"/>
  <c r="M2205" i="9"/>
  <c r="A2206" i="9"/>
  <c r="G2206" i="9" s="1"/>
  <c r="B2206" i="9"/>
  <c r="C2206" i="9"/>
  <c r="H2206" i="9"/>
  <c r="I2206" i="9"/>
  <c r="J2206" i="9"/>
  <c r="K2206" i="9" s="1"/>
  <c r="L2206" i="9"/>
  <c r="A2207" i="9"/>
  <c r="B2207" i="9" s="1"/>
  <c r="C2207" i="9"/>
  <c r="D2207" i="9"/>
  <c r="E2207" i="9"/>
  <c r="F2207" i="9"/>
  <c r="H2207" i="9"/>
  <c r="I2207" i="9"/>
  <c r="J2207" i="9"/>
  <c r="K2207" i="9" s="1"/>
  <c r="A2208" i="9"/>
  <c r="B2208" i="9"/>
  <c r="C2208" i="9"/>
  <c r="D2208" i="9"/>
  <c r="F2208" i="9"/>
  <c r="G2208" i="9"/>
  <c r="H2208" i="9"/>
  <c r="I2208" i="9"/>
  <c r="J2208" i="9"/>
  <c r="K2208" i="9" s="1"/>
  <c r="A2209" i="9"/>
  <c r="B2209" i="9"/>
  <c r="C2209" i="9"/>
  <c r="D2209" i="9"/>
  <c r="I2209" i="9"/>
  <c r="A2210" i="9"/>
  <c r="B2210" i="9" s="1"/>
  <c r="C2210" i="9"/>
  <c r="A2211" i="9"/>
  <c r="B2211" i="9"/>
  <c r="C2211" i="9"/>
  <c r="D2211" i="9"/>
  <c r="E2211" i="9"/>
  <c r="F2211" i="9"/>
  <c r="G2211" i="9"/>
  <c r="H2211" i="9"/>
  <c r="I2211" i="9"/>
  <c r="J2211" i="9"/>
  <c r="K2211" i="9"/>
  <c r="L2211" i="9"/>
  <c r="M2211" i="9"/>
  <c r="A2212" i="9"/>
  <c r="B2212" i="9"/>
  <c r="A2213" i="9"/>
  <c r="E2213" i="9" s="1"/>
  <c r="B2213" i="9"/>
  <c r="D2213" i="9"/>
  <c r="F2213" i="9"/>
  <c r="G2213" i="9"/>
  <c r="H2213" i="9"/>
  <c r="I2213" i="9"/>
  <c r="J2213" i="9"/>
  <c r="K2213" i="9" s="1"/>
  <c r="L2213" i="9"/>
  <c r="A2214" i="9"/>
  <c r="B2214" i="9" s="1"/>
  <c r="C2214" i="9"/>
  <c r="D2214" i="9"/>
  <c r="E2214" i="9"/>
  <c r="F2214" i="9"/>
  <c r="H2214" i="9"/>
  <c r="I2214" i="9"/>
  <c r="J2214" i="9"/>
  <c r="K2214" i="9"/>
  <c r="L2214" i="9"/>
  <c r="M2214" i="9"/>
  <c r="A2215" i="9"/>
  <c r="C2215" i="9"/>
  <c r="D2215" i="9"/>
  <c r="E2215" i="9"/>
  <c r="F2215" i="9"/>
  <c r="J2215" i="9"/>
  <c r="K2215" i="9" s="1"/>
  <c r="L2215" i="9"/>
  <c r="M2215" i="9"/>
  <c r="A2216" i="9"/>
  <c r="B2216" i="9"/>
  <c r="C2216" i="9"/>
  <c r="D2216" i="9"/>
  <c r="E2216" i="9"/>
  <c r="F2216" i="9"/>
  <c r="G2216" i="9"/>
  <c r="H2216" i="9"/>
  <c r="I2216" i="9"/>
  <c r="J2216" i="9"/>
  <c r="K2216" i="9"/>
  <c r="L2216" i="9"/>
  <c r="M2216" i="9"/>
  <c r="A2217" i="9"/>
  <c r="B2217" i="9"/>
  <c r="C2217" i="9"/>
  <c r="D2217" i="9"/>
  <c r="E2217" i="9"/>
  <c r="F2217" i="9"/>
  <c r="G2217" i="9"/>
  <c r="H2217" i="9"/>
  <c r="I2217" i="9"/>
  <c r="J2217" i="9"/>
  <c r="K2217" i="9" s="1"/>
  <c r="L2217" i="9"/>
  <c r="M2217" i="9"/>
  <c r="A2218" i="9"/>
  <c r="B2218" i="9"/>
  <c r="C2218" i="9"/>
  <c r="E2218" i="9"/>
  <c r="F2218" i="9"/>
  <c r="G2218" i="9"/>
  <c r="L2218" i="9"/>
  <c r="M2218" i="9"/>
  <c r="A2219" i="9"/>
  <c r="E2219" i="9" s="1"/>
  <c r="C2219" i="9"/>
  <c r="D2219" i="9"/>
  <c r="F2219" i="9"/>
  <c r="G2219" i="9"/>
  <c r="L2219" i="9"/>
  <c r="M2219" i="9"/>
  <c r="A2220" i="9"/>
  <c r="F2220" i="9"/>
  <c r="G2220" i="9"/>
  <c r="H2220" i="9"/>
  <c r="J2220" i="9"/>
  <c r="K2220" i="9"/>
  <c r="L2220" i="9"/>
  <c r="M2220" i="9"/>
  <c r="A2221" i="9"/>
  <c r="B2221" i="9" s="1"/>
  <c r="C2221" i="9"/>
  <c r="D2221" i="9"/>
  <c r="E2221" i="9"/>
  <c r="L2221" i="9"/>
  <c r="M2221" i="9"/>
  <c r="A2222" i="9"/>
  <c r="B2222" i="9" s="1"/>
  <c r="E2222" i="9"/>
  <c r="G2222" i="9"/>
  <c r="A2223" i="9"/>
  <c r="F2223" i="9"/>
  <c r="L2223" i="9"/>
  <c r="M2223" i="9"/>
  <c r="A2224" i="9"/>
  <c r="C2224" i="9"/>
  <c r="A2225" i="9"/>
  <c r="B2225" i="9"/>
  <c r="C2225" i="9"/>
  <c r="E2225" i="9"/>
  <c r="I2225" i="9"/>
  <c r="J2225" i="9"/>
  <c r="K2225" i="9" s="1"/>
  <c r="L2225" i="9"/>
  <c r="A2226" i="9"/>
  <c r="H2226" i="9" s="1"/>
  <c r="B2226" i="9"/>
  <c r="C2226" i="9"/>
  <c r="G2226" i="9"/>
  <c r="I2226" i="9"/>
  <c r="J2226" i="9"/>
  <c r="K2226" i="9" s="1"/>
  <c r="A2227" i="9"/>
  <c r="B2227" i="9"/>
  <c r="A2228" i="9"/>
  <c r="E2228" i="9" s="1"/>
  <c r="B2228" i="9"/>
  <c r="C2228" i="9"/>
  <c r="D2228" i="9"/>
  <c r="F2228" i="9"/>
  <c r="G2228" i="9"/>
  <c r="H2228" i="9"/>
  <c r="I2228" i="9"/>
  <c r="J2228" i="9"/>
  <c r="K2228" i="9"/>
  <c r="L2228" i="9"/>
  <c r="M2228" i="9"/>
  <c r="A2229" i="9"/>
  <c r="H2229" i="9" s="1"/>
  <c r="I2229" i="9"/>
  <c r="A2230" i="9"/>
  <c r="B2230" i="9"/>
  <c r="C2230" i="9"/>
  <c r="D2230" i="9"/>
  <c r="E2230" i="9"/>
  <c r="F2230" i="9"/>
  <c r="G2230" i="9"/>
  <c r="H2230" i="9"/>
  <c r="I2230" i="9"/>
  <c r="J2230" i="9"/>
  <c r="K2230" i="9" s="1"/>
  <c r="A2231" i="9"/>
  <c r="B2231" i="9"/>
  <c r="C2231" i="9"/>
  <c r="D2231" i="9"/>
  <c r="E2231" i="9"/>
  <c r="F2231" i="9"/>
  <c r="G2231" i="9"/>
  <c r="H2231" i="9"/>
  <c r="I2231" i="9"/>
  <c r="J2231" i="9"/>
  <c r="K2231" i="9"/>
  <c r="L2231" i="9"/>
  <c r="M2231" i="9"/>
  <c r="A2232" i="9"/>
  <c r="C2232" i="9" s="1"/>
  <c r="D2232" i="9"/>
  <c r="E2232" i="9"/>
  <c r="J2232" i="9"/>
  <c r="K2232" i="9" s="1"/>
  <c r="A2233" i="9"/>
  <c r="M2233" i="9" s="1"/>
  <c r="C2233" i="9"/>
  <c r="D2233" i="9"/>
  <c r="E2233" i="9"/>
  <c r="F2233" i="9"/>
  <c r="G2233" i="9"/>
  <c r="H2233" i="9"/>
  <c r="I2233" i="9"/>
  <c r="J2233" i="9"/>
  <c r="K2233" i="9"/>
  <c r="L2233" i="9"/>
  <c r="A2234" i="9"/>
  <c r="D2234" i="9" s="1"/>
  <c r="C2234" i="9"/>
  <c r="E2234" i="9"/>
  <c r="F2234" i="9"/>
  <c r="G2234" i="9"/>
  <c r="H2234" i="9"/>
  <c r="L2234" i="9"/>
  <c r="M2234" i="9"/>
  <c r="A2235" i="9"/>
  <c r="B2235" i="9"/>
  <c r="D2235" i="9"/>
  <c r="E2235" i="9"/>
  <c r="F2235" i="9"/>
  <c r="A2236" i="9"/>
  <c r="D2236" i="9" s="1"/>
  <c r="B2236" i="9"/>
  <c r="C2236" i="9"/>
  <c r="H2236" i="9"/>
  <c r="I2236" i="9"/>
  <c r="J2236" i="9"/>
  <c r="K2236" i="9"/>
  <c r="M2236" i="9"/>
  <c r="A2237" i="9"/>
  <c r="B2237" i="9"/>
  <c r="C2237" i="9"/>
  <c r="D2237" i="9"/>
  <c r="E2237" i="9"/>
  <c r="F2237" i="9"/>
  <c r="G2237" i="9"/>
  <c r="H2237" i="9"/>
  <c r="I2237" i="9"/>
  <c r="J2237" i="9"/>
  <c r="K2237" i="9" s="1"/>
  <c r="L2237" i="9"/>
  <c r="M2237" i="9"/>
  <c r="A2238" i="9"/>
  <c r="B2238" i="9"/>
  <c r="C2238" i="9"/>
  <c r="D2238" i="9"/>
  <c r="E2238" i="9"/>
  <c r="F2238" i="9"/>
  <c r="G2238" i="9"/>
  <c r="I2238" i="9"/>
  <c r="L2238" i="9"/>
  <c r="M2238" i="9"/>
  <c r="A2239" i="9"/>
  <c r="B2239" i="9"/>
  <c r="C2239" i="9"/>
  <c r="M2239" i="9"/>
  <c r="A2240" i="9"/>
  <c r="E2240" i="9"/>
  <c r="F2240" i="9"/>
  <c r="G2240" i="9"/>
  <c r="H2240" i="9"/>
  <c r="I2240" i="9"/>
  <c r="J2240" i="9"/>
  <c r="K2240" i="9" s="1"/>
  <c r="L2240" i="9"/>
  <c r="M2240" i="9"/>
  <c r="A2241" i="9"/>
  <c r="B2241" i="9" s="1"/>
  <c r="C2241" i="9"/>
  <c r="A2242" i="9"/>
  <c r="M2242" i="9" s="1"/>
  <c r="B2242" i="9"/>
  <c r="C2242" i="9"/>
  <c r="E2242" i="9"/>
  <c r="F2242" i="9"/>
  <c r="G2242" i="9"/>
  <c r="H2242" i="9"/>
  <c r="I2242" i="9"/>
  <c r="J2242" i="9"/>
  <c r="K2242" i="9" s="1"/>
  <c r="L2242" i="9"/>
  <c r="A2243" i="9"/>
  <c r="B2243" i="9" s="1"/>
  <c r="D2243" i="9"/>
  <c r="F2243" i="9"/>
  <c r="G2243" i="9"/>
  <c r="H2243" i="9"/>
  <c r="J2243" i="9"/>
  <c r="K2243" i="9" s="1"/>
  <c r="L2243" i="9"/>
  <c r="M2243" i="9"/>
  <c r="A2244" i="9"/>
  <c r="C2244" i="9" s="1"/>
  <c r="B2244" i="9"/>
  <c r="D2244" i="9"/>
  <c r="E2244" i="9"/>
  <c r="F2244" i="9"/>
  <c r="G2244" i="9"/>
  <c r="H2244" i="9"/>
  <c r="A2245" i="9"/>
  <c r="H2245" i="9" s="1"/>
  <c r="B2245" i="9"/>
  <c r="C2245" i="9"/>
  <c r="D2245" i="9"/>
  <c r="F2245" i="9"/>
  <c r="A2246" i="9"/>
  <c r="C2246" i="9" s="1"/>
  <c r="B2246" i="9"/>
  <c r="E2246" i="9"/>
  <c r="J2246" i="9"/>
  <c r="K2246" i="9" s="1"/>
  <c r="L2246" i="9"/>
  <c r="M2246" i="9"/>
  <c r="A2247" i="9"/>
  <c r="M2247" i="9" s="1"/>
  <c r="B2247" i="9"/>
  <c r="C2247" i="9"/>
  <c r="D2247" i="9"/>
  <c r="E2247" i="9"/>
  <c r="F2247" i="9"/>
  <c r="G2247" i="9"/>
  <c r="H2247" i="9"/>
  <c r="I2247" i="9"/>
  <c r="J2247" i="9"/>
  <c r="K2247" i="9" s="1"/>
  <c r="L2247" i="9"/>
  <c r="A2248" i="9"/>
  <c r="G2248" i="9" s="1"/>
  <c r="B2248" i="9"/>
  <c r="F2248" i="9"/>
  <c r="H2248" i="9"/>
  <c r="I2248" i="9"/>
  <c r="L2248" i="9"/>
  <c r="M2248" i="9"/>
  <c r="A2249" i="9"/>
  <c r="D2249" i="9" s="1"/>
  <c r="B2249" i="9"/>
  <c r="C2249" i="9"/>
  <c r="F2249" i="9"/>
  <c r="H2249" i="9"/>
  <c r="I2249" i="9"/>
  <c r="A2250" i="9"/>
  <c r="L2250" i="9" s="1"/>
  <c r="B2250" i="9"/>
  <c r="C2250" i="9"/>
  <c r="D2250" i="9"/>
  <c r="E2250" i="9"/>
  <c r="F2250" i="9"/>
  <c r="G2250" i="9"/>
  <c r="H2250" i="9"/>
  <c r="I2250" i="9"/>
  <c r="J2250" i="9"/>
  <c r="K2250" i="9" s="1"/>
  <c r="M2250" i="9"/>
  <c r="A2251" i="9"/>
  <c r="B2251" i="9" s="1"/>
  <c r="C2251" i="9"/>
  <c r="D2251" i="9"/>
  <c r="F2251" i="9"/>
  <c r="A2252" i="9"/>
  <c r="F2252" i="9" s="1"/>
  <c r="B2252" i="9"/>
  <c r="C2252" i="9"/>
  <c r="D2252" i="9"/>
  <c r="E2252" i="9"/>
  <c r="G2252" i="9"/>
  <c r="H2252" i="9"/>
  <c r="I2252" i="9"/>
  <c r="J2252" i="9"/>
  <c r="K2252" i="9" s="1"/>
  <c r="L2252" i="9"/>
  <c r="M2252" i="9"/>
  <c r="A2253" i="9"/>
  <c r="E2253" i="9" s="1"/>
  <c r="F2253" i="9"/>
  <c r="G2253" i="9"/>
  <c r="A2254" i="9"/>
  <c r="D2254" i="9" s="1"/>
  <c r="B2254" i="9"/>
  <c r="C2254" i="9"/>
  <c r="E2254" i="9"/>
  <c r="F2254" i="9"/>
  <c r="G2254" i="9"/>
  <c r="H2254" i="9"/>
  <c r="I2254" i="9"/>
  <c r="M2254" i="9"/>
  <c r="A2255" i="9"/>
  <c r="B2255" i="9"/>
  <c r="C2255" i="9"/>
  <c r="E2255" i="9"/>
  <c r="F2255" i="9"/>
  <c r="H2255" i="9"/>
  <c r="A2256" i="9"/>
  <c r="C2256" i="9" s="1"/>
  <c r="B2256" i="9"/>
  <c r="D2256" i="9"/>
  <c r="H2256" i="9"/>
  <c r="I2256" i="9"/>
  <c r="J2256" i="9"/>
  <c r="K2256" i="9" s="1"/>
  <c r="M2256" i="9"/>
  <c r="A2257" i="9"/>
  <c r="B2257" i="9"/>
  <c r="C2257" i="9"/>
  <c r="D2257" i="9"/>
  <c r="E2257" i="9"/>
  <c r="F2257" i="9"/>
  <c r="G2257" i="9"/>
  <c r="H2257" i="9"/>
  <c r="I2257" i="9"/>
  <c r="J2257" i="9"/>
  <c r="K2257" i="9"/>
  <c r="L2257" i="9"/>
  <c r="M2257" i="9"/>
  <c r="A2258" i="9"/>
  <c r="H2258" i="9" s="1"/>
  <c r="B2258" i="9"/>
  <c r="C2258" i="9"/>
  <c r="D2258" i="9"/>
  <c r="E2258" i="9"/>
  <c r="F2258" i="9"/>
  <c r="G2258" i="9"/>
  <c r="I2258" i="9"/>
  <c r="J2258" i="9"/>
  <c r="K2258" i="9"/>
  <c r="L2258" i="9"/>
  <c r="M2258" i="9"/>
  <c r="A2259" i="9"/>
  <c r="M2259" i="9"/>
  <c r="A2260" i="9"/>
  <c r="B2260" i="9" s="1"/>
  <c r="C2260" i="9"/>
  <c r="D2260" i="9"/>
  <c r="E2260" i="9"/>
  <c r="F2260" i="9"/>
  <c r="G2260" i="9"/>
  <c r="H2260" i="9"/>
  <c r="I2260" i="9"/>
  <c r="J2260" i="9"/>
  <c r="K2260" i="9" s="1"/>
  <c r="L2260" i="9"/>
  <c r="M2260" i="9"/>
  <c r="A2261" i="9"/>
  <c r="E2261" i="9"/>
  <c r="F2261" i="9"/>
  <c r="G2261" i="9"/>
  <c r="H2261" i="9"/>
  <c r="L2261" i="9"/>
  <c r="M2261" i="9"/>
  <c r="A2262" i="9"/>
  <c r="B2262" i="9"/>
  <c r="C2262" i="9"/>
  <c r="D2262" i="9"/>
  <c r="A2263" i="9"/>
  <c r="L2263" i="9"/>
  <c r="A2264" i="9"/>
  <c r="B2264" i="9"/>
  <c r="C2264" i="9"/>
  <c r="D2264" i="9"/>
  <c r="H2264" i="9"/>
  <c r="I2264" i="9"/>
  <c r="L2264" i="9"/>
  <c r="A2265" i="9"/>
  <c r="B2265" i="9"/>
  <c r="A2266" i="9"/>
  <c r="D2266" i="9" s="1"/>
  <c r="C2266" i="9"/>
  <c r="E2266" i="9"/>
  <c r="F2266" i="9"/>
  <c r="G2266" i="9"/>
  <c r="H2266" i="9"/>
  <c r="I2266" i="9"/>
  <c r="J2266" i="9"/>
  <c r="K2266" i="9"/>
  <c r="L2266" i="9"/>
  <c r="M2266" i="9"/>
  <c r="A2267" i="9"/>
  <c r="B2267" i="9"/>
  <c r="C2267" i="9"/>
  <c r="D2267" i="9"/>
  <c r="E2267" i="9"/>
  <c r="F2267" i="9"/>
  <c r="G2267" i="9"/>
  <c r="L2267" i="9"/>
  <c r="M2267" i="9"/>
  <c r="A2268" i="9"/>
  <c r="B2268" i="9" s="1"/>
  <c r="D2268" i="9"/>
  <c r="E2268" i="9"/>
  <c r="G2268" i="9"/>
  <c r="H2268" i="9"/>
  <c r="I2268" i="9"/>
  <c r="J2268" i="9"/>
  <c r="K2268" i="9" s="1"/>
  <c r="A2269" i="9"/>
  <c r="B2269" i="9"/>
  <c r="G2269" i="9"/>
  <c r="H2269" i="9"/>
  <c r="I2269" i="9"/>
  <c r="J2269" i="9"/>
  <c r="K2269" i="9" s="1"/>
  <c r="L2269" i="9"/>
  <c r="M2269" i="9"/>
  <c r="A2270" i="9"/>
  <c r="B2270" i="9" s="1"/>
  <c r="C2270" i="9"/>
  <c r="D2270" i="9"/>
  <c r="E2270" i="9"/>
  <c r="F2270" i="9"/>
  <c r="G2270" i="9"/>
  <c r="H2270" i="9"/>
  <c r="I2270" i="9"/>
  <c r="J2270" i="9"/>
  <c r="K2270" i="9" s="1"/>
  <c r="A2271" i="9"/>
  <c r="B2271" i="9"/>
  <c r="C2271" i="9"/>
  <c r="D2271" i="9"/>
  <c r="E2271" i="9"/>
  <c r="F2271" i="9"/>
  <c r="G2271" i="9"/>
  <c r="H2271" i="9"/>
  <c r="I2271" i="9"/>
  <c r="J2271" i="9"/>
  <c r="K2271" i="9" s="1"/>
  <c r="L2271" i="9"/>
  <c r="M2271" i="9"/>
  <c r="A2272" i="9"/>
  <c r="D2272" i="9" s="1"/>
  <c r="B2272" i="9"/>
  <c r="C2272" i="9"/>
  <c r="E2272" i="9"/>
  <c r="J2272" i="9"/>
  <c r="K2272" i="9"/>
  <c r="A2273" i="9"/>
  <c r="M2273" i="9" s="1"/>
  <c r="B2273" i="9"/>
  <c r="C2273" i="9"/>
  <c r="D2273" i="9"/>
  <c r="E2273" i="9"/>
  <c r="F2273" i="9"/>
  <c r="G2273" i="9"/>
  <c r="H2273" i="9"/>
  <c r="I2273" i="9"/>
  <c r="J2273" i="9"/>
  <c r="K2273" i="9" s="1"/>
  <c r="L2273" i="9"/>
  <c r="A2274" i="9"/>
  <c r="E2274" i="9" s="1"/>
  <c r="F2274" i="9"/>
  <c r="G2274" i="9"/>
  <c r="J2274" i="9"/>
  <c r="K2274" i="9" s="1"/>
  <c r="A2275" i="9"/>
  <c r="E2275" i="9" s="1"/>
  <c r="B2275" i="9"/>
  <c r="C2275" i="9"/>
  <c r="D2275" i="9"/>
  <c r="F2275" i="9"/>
  <c r="H2275" i="9"/>
  <c r="I2275" i="9"/>
  <c r="M2275" i="9"/>
  <c r="A2276" i="9"/>
  <c r="A2277" i="9"/>
  <c r="B2277" i="9"/>
  <c r="C2277" i="9"/>
  <c r="D2277" i="9"/>
  <c r="E2277" i="9"/>
  <c r="F2277" i="9"/>
  <c r="G2277" i="9"/>
  <c r="H2277" i="9"/>
  <c r="I2277" i="9"/>
  <c r="J2277" i="9"/>
  <c r="K2277" i="9" s="1"/>
  <c r="L2277" i="9"/>
  <c r="M2277" i="9"/>
  <c r="A2278" i="9"/>
  <c r="B2278" i="9"/>
  <c r="C2278" i="9"/>
  <c r="A2279" i="9"/>
  <c r="B2279" i="9"/>
  <c r="C2279" i="9"/>
  <c r="D2279" i="9"/>
  <c r="E2279" i="9"/>
  <c r="F2279" i="9"/>
  <c r="G2279" i="9"/>
  <c r="H2279" i="9"/>
  <c r="I2279" i="9"/>
  <c r="J2279" i="9"/>
  <c r="K2279" i="9" s="1"/>
  <c r="L2279" i="9"/>
  <c r="M2279" i="9"/>
  <c r="A2280" i="9"/>
  <c r="L2280" i="9"/>
  <c r="A2281" i="9"/>
  <c r="I2281" i="9" s="1"/>
  <c r="B2281" i="9"/>
  <c r="C2281" i="9"/>
  <c r="D2281" i="9"/>
  <c r="E2281" i="9"/>
  <c r="F2281" i="9"/>
  <c r="G2281" i="9"/>
  <c r="H2281" i="9"/>
  <c r="J2281" i="9"/>
  <c r="K2281" i="9" s="1"/>
  <c r="L2281" i="9"/>
  <c r="M2281" i="9"/>
  <c r="A2282" i="9"/>
  <c r="E2282" i="9"/>
  <c r="F2282" i="9"/>
  <c r="G2282" i="9"/>
  <c r="H2282" i="9"/>
  <c r="J2282" i="9"/>
  <c r="K2282" i="9" s="1"/>
  <c r="L2282" i="9"/>
  <c r="M2282" i="9"/>
  <c r="A2283" i="9"/>
  <c r="I2283" i="9"/>
  <c r="A2284" i="9"/>
  <c r="B2284" i="9"/>
  <c r="I2284" i="9"/>
  <c r="M2284" i="9"/>
  <c r="A2285" i="9"/>
  <c r="B2285" i="9"/>
  <c r="C2285" i="9"/>
  <c r="D2285" i="9"/>
  <c r="H2285" i="9"/>
  <c r="I2285" i="9"/>
  <c r="J2285" i="9"/>
  <c r="K2285" i="9" s="1"/>
  <c r="A2286" i="9"/>
  <c r="B2286" i="9"/>
  <c r="I2286" i="9"/>
  <c r="J2286" i="9"/>
  <c r="K2286" i="9" s="1"/>
  <c r="L2286" i="9"/>
  <c r="A2287" i="9"/>
  <c r="B2287" i="9" s="1"/>
  <c r="C2287" i="9"/>
  <c r="D2287" i="9"/>
  <c r="E2287" i="9"/>
  <c r="F2287" i="9"/>
  <c r="G2287" i="9"/>
  <c r="H2287" i="9"/>
  <c r="I2287" i="9"/>
  <c r="J2287" i="9"/>
  <c r="K2287" i="9" s="1"/>
  <c r="L2287" i="9"/>
  <c r="M2287" i="9"/>
  <c r="A2288" i="9"/>
  <c r="B2288" i="9"/>
  <c r="C2288" i="9"/>
  <c r="D2288" i="9"/>
  <c r="E2288" i="9"/>
  <c r="F2288" i="9"/>
  <c r="G2288" i="9"/>
  <c r="L2288" i="9"/>
  <c r="M2288" i="9"/>
  <c r="A2289" i="9"/>
  <c r="C2289" i="9"/>
  <c r="D2289" i="9"/>
  <c r="F2289" i="9"/>
  <c r="G2289" i="9"/>
  <c r="H2289" i="9"/>
  <c r="I2289" i="9"/>
  <c r="J2289" i="9"/>
  <c r="K2289" i="9" s="1"/>
  <c r="L2289" i="9"/>
  <c r="A2290" i="9"/>
  <c r="B2290" i="9"/>
  <c r="F2290" i="9"/>
  <c r="G2290" i="9"/>
  <c r="H2290" i="9"/>
  <c r="I2290" i="9"/>
  <c r="M2290" i="9"/>
  <c r="A2291" i="9"/>
  <c r="D2291" i="9" s="1"/>
  <c r="B2291" i="9"/>
  <c r="C2291" i="9"/>
  <c r="E2291" i="9"/>
  <c r="F2291" i="9"/>
  <c r="G2291" i="9"/>
  <c r="H2291" i="9"/>
  <c r="I2291" i="9"/>
  <c r="J2291" i="9"/>
  <c r="K2291" i="9" s="1"/>
  <c r="A2292" i="9"/>
  <c r="I2292" i="9"/>
  <c r="A2293" i="9"/>
  <c r="A2294" i="9"/>
  <c r="B2294" i="9"/>
  <c r="C2294" i="9"/>
  <c r="D2294" i="9"/>
  <c r="E2294" i="9"/>
  <c r="F2294" i="9"/>
  <c r="G2294" i="9"/>
  <c r="H2294" i="9"/>
  <c r="I2294" i="9"/>
  <c r="J2294" i="9"/>
  <c r="K2294" i="9" s="1"/>
  <c r="L2294" i="9"/>
  <c r="M2294" i="9"/>
  <c r="A2295" i="9"/>
  <c r="G2295" i="9" s="1"/>
  <c r="B2295" i="9"/>
  <c r="C2295" i="9"/>
  <c r="D2295" i="9"/>
  <c r="E2295" i="9"/>
  <c r="F2295" i="9"/>
  <c r="H2295" i="9"/>
  <c r="I2295" i="9"/>
  <c r="J2295" i="9"/>
  <c r="K2295" i="9"/>
  <c r="L2295" i="9"/>
  <c r="M2295" i="9"/>
  <c r="A2296" i="9"/>
  <c r="D2296" i="9" s="1"/>
  <c r="B2296" i="9"/>
  <c r="C2296" i="9"/>
  <c r="E2296" i="9"/>
  <c r="F2296" i="9"/>
  <c r="G2296" i="9"/>
  <c r="H2296" i="9"/>
  <c r="L2296" i="9"/>
  <c r="M2296" i="9"/>
  <c r="A2297" i="9"/>
  <c r="B2297" i="9"/>
  <c r="C2297" i="9"/>
  <c r="D2297" i="9"/>
  <c r="E2297" i="9"/>
  <c r="F2297" i="9"/>
  <c r="G2297" i="9"/>
  <c r="H2297" i="9"/>
  <c r="I2297" i="9"/>
  <c r="J2297" i="9"/>
  <c r="K2297" i="9"/>
  <c r="L2297" i="9"/>
  <c r="M2297" i="9"/>
  <c r="A2298" i="9"/>
  <c r="B2298" i="9"/>
  <c r="F2298" i="9"/>
  <c r="G2298" i="9"/>
  <c r="I2298" i="9"/>
  <c r="J2298" i="9"/>
  <c r="K2298" i="9" s="1"/>
  <c r="L2298" i="9"/>
  <c r="M2298" i="9"/>
  <c r="A2299" i="9"/>
  <c r="B2299" i="9" s="1"/>
  <c r="C2299" i="9"/>
  <c r="D2299" i="9"/>
  <c r="A2300" i="9"/>
  <c r="E2300" i="9" s="1"/>
  <c r="C2300" i="9"/>
  <c r="G2300" i="9"/>
  <c r="I2300" i="9"/>
  <c r="J2300" i="9"/>
  <c r="K2300" i="9" s="1"/>
  <c r="L2300" i="9"/>
  <c r="M2300" i="9"/>
  <c r="A2301" i="9"/>
  <c r="B2301" i="9"/>
  <c r="A2302" i="9"/>
  <c r="B2302" i="9"/>
  <c r="C2302" i="9"/>
  <c r="D2302" i="9"/>
  <c r="E2302" i="9"/>
  <c r="F2302" i="9"/>
  <c r="G2302" i="9"/>
  <c r="H2302" i="9"/>
  <c r="I2302" i="9"/>
  <c r="J2302" i="9"/>
  <c r="K2302" i="9" s="1"/>
  <c r="L2302" i="9"/>
  <c r="M2302" i="9"/>
  <c r="A2303" i="9"/>
  <c r="C2303" i="9" s="1"/>
  <c r="B2303" i="9"/>
  <c r="D2303" i="9"/>
  <c r="E2303" i="9"/>
  <c r="F2303" i="9"/>
  <c r="G2303" i="9"/>
  <c r="H2303" i="9"/>
  <c r="I2303" i="9"/>
  <c r="J2303" i="9"/>
  <c r="K2303" i="9" s="1"/>
  <c r="L2303" i="9"/>
  <c r="M2303" i="9"/>
  <c r="A2304" i="9"/>
  <c r="B2304" i="9"/>
  <c r="C2304" i="9"/>
  <c r="D2304" i="9"/>
  <c r="E2304" i="9"/>
  <c r="F2304" i="9"/>
  <c r="G2304" i="9"/>
  <c r="H2304" i="9"/>
  <c r="M2304" i="9"/>
  <c r="A2305" i="9"/>
  <c r="G2305" i="9"/>
  <c r="H2305" i="9"/>
  <c r="I2305" i="9"/>
  <c r="A2306" i="9"/>
  <c r="I2306" i="9" s="1"/>
  <c r="B2306" i="9"/>
  <c r="C2306" i="9"/>
  <c r="H2306" i="9"/>
  <c r="J2306" i="9"/>
  <c r="K2306" i="9"/>
  <c r="M2306" i="9"/>
  <c r="A2307" i="9"/>
  <c r="J2307" i="9" s="1"/>
  <c r="K2307" i="9" s="1"/>
  <c r="A2308" i="9"/>
  <c r="B2308" i="9" s="1"/>
  <c r="C2308" i="9"/>
  <c r="D2308" i="9"/>
  <c r="E2308" i="9"/>
  <c r="F2308" i="9"/>
  <c r="G2308" i="9"/>
  <c r="H2308" i="9"/>
  <c r="I2308" i="9"/>
  <c r="J2308" i="9"/>
  <c r="K2308" i="9"/>
  <c r="L2308" i="9"/>
  <c r="M2308" i="9"/>
  <c r="A2309" i="9"/>
  <c r="B2309" i="9"/>
  <c r="C2309" i="9"/>
  <c r="D2309" i="9"/>
  <c r="F2309" i="9"/>
  <c r="G2309" i="9"/>
  <c r="L2309" i="9"/>
  <c r="M2309" i="9"/>
  <c r="A2310" i="9"/>
  <c r="C2310" i="9" s="1"/>
  <c r="A2311" i="9"/>
  <c r="B2311" i="9"/>
  <c r="F2311" i="9"/>
  <c r="G2311" i="9"/>
  <c r="H2311" i="9"/>
  <c r="I2311" i="9"/>
  <c r="L2311" i="9"/>
  <c r="M2311" i="9"/>
  <c r="A2312" i="9"/>
  <c r="B2312" i="9"/>
  <c r="A2313" i="9"/>
  <c r="B2313" i="9"/>
  <c r="C2313" i="9"/>
  <c r="D2313" i="9"/>
  <c r="F2313" i="9"/>
  <c r="G2313" i="9"/>
  <c r="H2313" i="9"/>
  <c r="I2313" i="9"/>
  <c r="J2313" i="9"/>
  <c r="K2313" i="9"/>
  <c r="L2313" i="9"/>
  <c r="A2314" i="9"/>
  <c r="B2314" i="9"/>
  <c r="C2314" i="9"/>
  <c r="D2314" i="9"/>
  <c r="A2315" i="9"/>
  <c r="G2315" i="9" s="1"/>
  <c r="B2315" i="9"/>
  <c r="C2315" i="9"/>
  <c r="D2315" i="9"/>
  <c r="E2315" i="9"/>
  <c r="F2315" i="9"/>
  <c r="H2315" i="9"/>
  <c r="I2315" i="9"/>
  <c r="J2315" i="9"/>
  <c r="K2315" i="9" s="1"/>
  <c r="L2315" i="9"/>
  <c r="M2315" i="9"/>
  <c r="A2316" i="9"/>
  <c r="B2316" i="9"/>
  <c r="C2316" i="9"/>
  <c r="D2316" i="9"/>
  <c r="E2316" i="9"/>
  <c r="F2316" i="9"/>
  <c r="G2316" i="9"/>
  <c r="H2316" i="9"/>
  <c r="I2316" i="9"/>
  <c r="J2316" i="9"/>
  <c r="K2316" i="9" s="1"/>
  <c r="L2316" i="9"/>
  <c r="M2316" i="9"/>
  <c r="A2317" i="9"/>
  <c r="B2317" i="9"/>
  <c r="C2317" i="9"/>
  <c r="D2317" i="9"/>
  <c r="E2317" i="9"/>
  <c r="F2317" i="9"/>
  <c r="G2317" i="9"/>
  <c r="H2317" i="9"/>
  <c r="I2317" i="9"/>
  <c r="J2317" i="9"/>
  <c r="K2317" i="9"/>
  <c r="L2317" i="9"/>
  <c r="M2317" i="9"/>
  <c r="A2318" i="9"/>
  <c r="J2318" i="9" s="1"/>
  <c r="K2318" i="9" s="1"/>
  <c r="C2318" i="9"/>
  <c r="G2318" i="9"/>
  <c r="I2318" i="9"/>
  <c r="M2318" i="9"/>
  <c r="A2319" i="9"/>
  <c r="B2319" i="9"/>
  <c r="F2319" i="9"/>
  <c r="G2319" i="9"/>
  <c r="H2319" i="9"/>
  <c r="I2319" i="9"/>
  <c r="L2319" i="9"/>
  <c r="M2319" i="9"/>
  <c r="A2320" i="9"/>
  <c r="A2321" i="9"/>
  <c r="B2321" i="9"/>
  <c r="C2321" i="9"/>
  <c r="D2321" i="9"/>
  <c r="F2321" i="9"/>
  <c r="G2321" i="9"/>
  <c r="H2321" i="9"/>
  <c r="J2321" i="9"/>
  <c r="K2321" i="9" s="1"/>
  <c r="L2321" i="9"/>
  <c r="M2321" i="9"/>
  <c r="A2322" i="9"/>
  <c r="B2322" i="9"/>
  <c r="I2322" i="9"/>
  <c r="J2322" i="9"/>
  <c r="K2322" i="9" s="1"/>
  <c r="A2323" i="9"/>
  <c r="C2323" i="9" s="1"/>
  <c r="B2323" i="9"/>
  <c r="D2323" i="9"/>
  <c r="E2323" i="9"/>
  <c r="F2323" i="9"/>
  <c r="G2323" i="9"/>
  <c r="H2323" i="9"/>
  <c r="I2323" i="9"/>
  <c r="J2323" i="9"/>
  <c r="K2323" i="9" s="1"/>
  <c r="L2323" i="9"/>
  <c r="M2323" i="9"/>
  <c r="A2324" i="9"/>
  <c r="J2324" i="9" s="1"/>
  <c r="K2324" i="9" s="1"/>
  <c r="B2324" i="9"/>
  <c r="C2324" i="9"/>
  <c r="D2324" i="9"/>
  <c r="E2324" i="9"/>
  <c r="F2324" i="9"/>
  <c r="G2324" i="9"/>
  <c r="H2324" i="9"/>
  <c r="I2324" i="9"/>
  <c r="L2324" i="9"/>
  <c r="M2324" i="9"/>
  <c r="A2325" i="9"/>
  <c r="C2325" i="9"/>
  <c r="D2325" i="9"/>
  <c r="E2325" i="9"/>
  <c r="F2325" i="9"/>
  <c r="G2325" i="9"/>
  <c r="H2325" i="9"/>
  <c r="L2325" i="9"/>
  <c r="A2326" i="9"/>
  <c r="B2326" i="9"/>
  <c r="E2326" i="9"/>
  <c r="F2326" i="9"/>
  <c r="G2326" i="9"/>
  <c r="H2326" i="9"/>
  <c r="I2326" i="9"/>
  <c r="J2326" i="9"/>
  <c r="K2326" i="9" s="1"/>
  <c r="L2326" i="9"/>
  <c r="M2326" i="9"/>
  <c r="A2327" i="9"/>
  <c r="C2327" i="9"/>
  <c r="G2327" i="9"/>
  <c r="H2327" i="9"/>
  <c r="I2327" i="9"/>
  <c r="J2327" i="9"/>
  <c r="K2327" i="9" s="1"/>
  <c r="L2327" i="9"/>
  <c r="A2328" i="9"/>
  <c r="B2328" i="9"/>
  <c r="C2328" i="9"/>
  <c r="D2328" i="9"/>
  <c r="E2328" i="9"/>
  <c r="F2328" i="9"/>
  <c r="G2328" i="9"/>
  <c r="H2328" i="9"/>
  <c r="I2328" i="9"/>
  <c r="J2328" i="9"/>
  <c r="K2328" i="9" s="1"/>
  <c r="A2329" i="9"/>
  <c r="D2329" i="9" s="1"/>
  <c r="B2329" i="9"/>
  <c r="C2329" i="9"/>
  <c r="F2329" i="9"/>
  <c r="G2329" i="9"/>
  <c r="H2329" i="9"/>
  <c r="I2329" i="9"/>
  <c r="J2329" i="9"/>
  <c r="K2329" i="9" s="1"/>
  <c r="A2330" i="9"/>
  <c r="B2330" i="9"/>
  <c r="C2330" i="9"/>
  <c r="D2330" i="9"/>
  <c r="I2330" i="9"/>
  <c r="J2330" i="9"/>
  <c r="K2330" i="9" s="1"/>
  <c r="A2331" i="9"/>
  <c r="B2331" i="9" s="1"/>
  <c r="C2331" i="9"/>
  <c r="D2331" i="9"/>
  <c r="E2331" i="9"/>
  <c r="F2331" i="9"/>
  <c r="G2331" i="9"/>
  <c r="H2331" i="9"/>
  <c r="A2332" i="9"/>
  <c r="B2332" i="9"/>
  <c r="C2332" i="9"/>
  <c r="D2332" i="9"/>
  <c r="E2332" i="9"/>
  <c r="F2332" i="9"/>
  <c r="G2332" i="9"/>
  <c r="H2332" i="9"/>
  <c r="I2332" i="9"/>
  <c r="J2332" i="9"/>
  <c r="K2332" i="9" s="1"/>
  <c r="L2332" i="9"/>
  <c r="M2332" i="9"/>
  <c r="A2333" i="9"/>
  <c r="B2333" i="9"/>
  <c r="C2333" i="9"/>
  <c r="D2333" i="9"/>
  <c r="L2333" i="9"/>
  <c r="A2334" i="9"/>
  <c r="B2334" i="9"/>
  <c r="D2334" i="9"/>
  <c r="E2334" i="9"/>
  <c r="F2334" i="9"/>
  <c r="G2334" i="9"/>
  <c r="H2334" i="9"/>
  <c r="I2334" i="9"/>
  <c r="J2334" i="9"/>
  <c r="K2334" i="9"/>
  <c r="L2334" i="9"/>
  <c r="A2335" i="9"/>
  <c r="B2335" i="9" s="1"/>
  <c r="C2335" i="9"/>
  <c r="D2335" i="9"/>
  <c r="E2335" i="9"/>
  <c r="F2335" i="9"/>
  <c r="G2335" i="9"/>
  <c r="H2335" i="9"/>
  <c r="I2335" i="9"/>
  <c r="J2335" i="9"/>
  <c r="K2335" i="9" s="1"/>
  <c r="L2335" i="9"/>
  <c r="M2335" i="9"/>
  <c r="A2336" i="9"/>
  <c r="B2336" i="9"/>
  <c r="C2336" i="9"/>
  <c r="D2336" i="9"/>
  <c r="E2336" i="9"/>
  <c r="F2336" i="9"/>
  <c r="J2336" i="9"/>
  <c r="K2336" i="9"/>
  <c r="L2336" i="9"/>
  <c r="A2337" i="9"/>
  <c r="B2337" i="9"/>
  <c r="C2337" i="9"/>
  <c r="D2337" i="9"/>
  <c r="E2337" i="9"/>
  <c r="F2337" i="9"/>
  <c r="G2337" i="9"/>
  <c r="H2337" i="9"/>
  <c r="I2337" i="9"/>
  <c r="J2337" i="9"/>
  <c r="K2337" i="9" s="1"/>
  <c r="L2337" i="9"/>
  <c r="M2337" i="9"/>
  <c r="A2338" i="9"/>
  <c r="B2338" i="9"/>
  <c r="C2338" i="9"/>
  <c r="D2338" i="9"/>
  <c r="E2338" i="9"/>
  <c r="F2338" i="9"/>
  <c r="G2338" i="9"/>
  <c r="H2338" i="9"/>
  <c r="I2338" i="9"/>
  <c r="J2338" i="9"/>
  <c r="K2338" i="9"/>
  <c r="L2338" i="9"/>
  <c r="M2338" i="9"/>
  <c r="A2339" i="9"/>
  <c r="B2339" i="9"/>
  <c r="D2339" i="9"/>
  <c r="E2339" i="9"/>
  <c r="F2339" i="9"/>
  <c r="G2339" i="9"/>
  <c r="L2339" i="9"/>
  <c r="M2339" i="9"/>
  <c r="A2340" i="9"/>
  <c r="C2340" i="9"/>
  <c r="D2340" i="9"/>
  <c r="E2340" i="9"/>
  <c r="A2341" i="9"/>
  <c r="E2341" i="9"/>
  <c r="F2341" i="9"/>
  <c r="G2341" i="9"/>
  <c r="H2341" i="9"/>
  <c r="J2341" i="9"/>
  <c r="K2341" i="9"/>
  <c r="L2341" i="9"/>
  <c r="M2341" i="9"/>
  <c r="A2342" i="9"/>
  <c r="B2342" i="9"/>
  <c r="C2342" i="9"/>
  <c r="D2342" i="9"/>
  <c r="H2342" i="9"/>
  <c r="L2342" i="9"/>
  <c r="A2343" i="9"/>
  <c r="D2343" i="9" s="1"/>
  <c r="E2343" i="9"/>
  <c r="F2343" i="9"/>
  <c r="G2343" i="9"/>
  <c r="H2343" i="9"/>
  <c r="I2343" i="9"/>
  <c r="J2343" i="9"/>
  <c r="K2343" i="9" s="1"/>
  <c r="L2343" i="9"/>
  <c r="M2343" i="9"/>
  <c r="A2344" i="9"/>
  <c r="L2344" i="9" s="1"/>
  <c r="B2344" i="9"/>
  <c r="I2344" i="9"/>
  <c r="M2344" i="9"/>
  <c r="A2345" i="9"/>
  <c r="B2345" i="9"/>
  <c r="C2345" i="9"/>
  <c r="D2345" i="9"/>
  <c r="E2345" i="9"/>
  <c r="F2345" i="9"/>
  <c r="G2345" i="9"/>
  <c r="H2345" i="9"/>
  <c r="I2345" i="9"/>
  <c r="M2345" i="9"/>
  <c r="A2346" i="9"/>
  <c r="I2346" i="9" s="1"/>
  <c r="A2347" i="9"/>
  <c r="B2347" i="9"/>
  <c r="C2347" i="9"/>
  <c r="G2347" i="9"/>
  <c r="A2348" i="9"/>
  <c r="F2348" i="9" s="1"/>
  <c r="B2348" i="9"/>
  <c r="G2348" i="9"/>
  <c r="H2348" i="9"/>
  <c r="I2348" i="9"/>
  <c r="A2349" i="9"/>
  <c r="I2349" i="9" s="1"/>
  <c r="B2349" i="9"/>
  <c r="C2349" i="9"/>
  <c r="D2349" i="9"/>
  <c r="A2350" i="9"/>
  <c r="B2350" i="9"/>
  <c r="C2350" i="9"/>
  <c r="D2350" i="9"/>
  <c r="H2350" i="9"/>
  <c r="I2350" i="9"/>
  <c r="J2350" i="9"/>
  <c r="K2350" i="9" s="1"/>
  <c r="M2350" i="9"/>
  <c r="A2351" i="9"/>
  <c r="B2351" i="9"/>
  <c r="C2351" i="9"/>
  <c r="D2351" i="9"/>
  <c r="E2351" i="9"/>
  <c r="F2351" i="9"/>
  <c r="G2351" i="9"/>
  <c r="A2352" i="9"/>
  <c r="B2352" i="9"/>
  <c r="C2352" i="9"/>
  <c r="D2352" i="9"/>
  <c r="E2352" i="9"/>
  <c r="F2352" i="9"/>
  <c r="G2352" i="9"/>
  <c r="H2352" i="9"/>
  <c r="I2352" i="9"/>
  <c r="J2352" i="9"/>
  <c r="K2352" i="9"/>
  <c r="L2352" i="9"/>
  <c r="M2352" i="9"/>
  <c r="A2353" i="9"/>
  <c r="B2353" i="9"/>
  <c r="C2353" i="9"/>
  <c r="D2353" i="9"/>
  <c r="E2353" i="9"/>
  <c r="A2354" i="9"/>
  <c r="M2354" i="9" s="1"/>
  <c r="B2354" i="9"/>
  <c r="C2354" i="9"/>
  <c r="D2354" i="9"/>
  <c r="E2354" i="9"/>
  <c r="F2354" i="9"/>
  <c r="G2354" i="9"/>
  <c r="H2354" i="9"/>
  <c r="I2354" i="9"/>
  <c r="J2354" i="9"/>
  <c r="K2354" i="9" s="1"/>
  <c r="L2354" i="9"/>
  <c r="A2355" i="9"/>
  <c r="B2355" i="9" s="1"/>
  <c r="C2355" i="9"/>
  <c r="D2355" i="9"/>
  <c r="E2355" i="9"/>
  <c r="F2355" i="9"/>
  <c r="G2355" i="9"/>
  <c r="H2355" i="9"/>
  <c r="I2355" i="9"/>
  <c r="J2355" i="9"/>
  <c r="K2355" i="9"/>
  <c r="L2355" i="9"/>
  <c r="M2355" i="9"/>
  <c r="A2356" i="9"/>
  <c r="D2356" i="9" s="1"/>
  <c r="E2356" i="9"/>
  <c r="J2356" i="9"/>
  <c r="K2356" i="9" s="1"/>
  <c r="L2356" i="9"/>
  <c r="M2356" i="9"/>
  <c r="A2357" i="9"/>
  <c r="B2357" i="9"/>
  <c r="C2357" i="9"/>
  <c r="D2357" i="9"/>
  <c r="E2357" i="9"/>
  <c r="F2357" i="9"/>
  <c r="G2357" i="9"/>
  <c r="H2357" i="9"/>
  <c r="I2357" i="9"/>
  <c r="J2357" i="9"/>
  <c r="K2357" i="9" s="1"/>
  <c r="L2357" i="9"/>
  <c r="M2357" i="9"/>
  <c r="A2358" i="9"/>
  <c r="B2358" i="9"/>
  <c r="C2358" i="9"/>
  <c r="D2358" i="9"/>
  <c r="E2358" i="9"/>
  <c r="F2358" i="9"/>
  <c r="G2358" i="9"/>
  <c r="H2358" i="9"/>
  <c r="I2358" i="9"/>
  <c r="J2358" i="9"/>
  <c r="K2358" i="9"/>
  <c r="L2358" i="9"/>
  <c r="M2358" i="9"/>
  <c r="A2359" i="9"/>
  <c r="B2359" i="9"/>
  <c r="C2359" i="9"/>
  <c r="D2359" i="9"/>
  <c r="E2359" i="9"/>
  <c r="F2359" i="9"/>
  <c r="G2359" i="9"/>
  <c r="L2359" i="9"/>
  <c r="M2359" i="9"/>
  <c r="A2360" i="9"/>
  <c r="C2360" i="9"/>
  <c r="D2360" i="9"/>
  <c r="E2360" i="9"/>
  <c r="F2360" i="9"/>
  <c r="G2360" i="9"/>
  <c r="H2360" i="9"/>
  <c r="I2360" i="9"/>
  <c r="M2360" i="9"/>
  <c r="A2361" i="9"/>
  <c r="E2361" i="9"/>
  <c r="F2361" i="9"/>
  <c r="H2361" i="9"/>
  <c r="J2361" i="9"/>
  <c r="K2361" i="9" s="1"/>
  <c r="L2361" i="9"/>
  <c r="M2361" i="9"/>
  <c r="A2362" i="9"/>
  <c r="C2362" i="9" s="1"/>
  <c r="B2362" i="9"/>
  <c r="D2362" i="9"/>
  <c r="E2362" i="9"/>
  <c r="F2362" i="9"/>
  <c r="G2362" i="9"/>
  <c r="A2363" i="9"/>
  <c r="B2363" i="9"/>
  <c r="D2363" i="9"/>
  <c r="E2363" i="9"/>
  <c r="G2363" i="9"/>
  <c r="A2364" i="9"/>
  <c r="F2364" i="9"/>
  <c r="G2364" i="9"/>
  <c r="A2365" i="9"/>
  <c r="G2365" i="9" s="1"/>
  <c r="B2365" i="9"/>
  <c r="C2365" i="9"/>
  <c r="E2365" i="9"/>
  <c r="F2365" i="9"/>
  <c r="H2365" i="9"/>
  <c r="I2365" i="9"/>
  <c r="A2366" i="9"/>
  <c r="B2366" i="9" s="1"/>
  <c r="C2366" i="9"/>
  <c r="E2366" i="9"/>
  <c r="F2366" i="9"/>
  <c r="G2366" i="9"/>
  <c r="L2366" i="9"/>
  <c r="M2366" i="9"/>
  <c r="A2367" i="9"/>
  <c r="I2367" i="9" s="1"/>
  <c r="C2367" i="9"/>
  <c r="G2367" i="9"/>
  <c r="A2368" i="9"/>
  <c r="B2368" i="9"/>
  <c r="A2369" i="9"/>
  <c r="D2369" i="9" s="1"/>
  <c r="B2369" i="9"/>
  <c r="F2369" i="9"/>
  <c r="G2369" i="9"/>
  <c r="H2369" i="9"/>
  <c r="I2369" i="9"/>
  <c r="J2369" i="9"/>
  <c r="K2369" i="9"/>
  <c r="L2369" i="9"/>
  <c r="M2369" i="9"/>
  <c r="A2370" i="9"/>
  <c r="B2370" i="9"/>
  <c r="C2370" i="9"/>
  <c r="A2371" i="9"/>
  <c r="C2371" i="9"/>
  <c r="D2371" i="9"/>
  <c r="E2371" i="9"/>
  <c r="F2371" i="9"/>
  <c r="G2371" i="9"/>
  <c r="H2371" i="9"/>
  <c r="I2371" i="9"/>
  <c r="J2371" i="9"/>
  <c r="K2371" i="9" s="1"/>
  <c r="A2372" i="9"/>
  <c r="B2372" i="9"/>
  <c r="C2372" i="9"/>
  <c r="D2372" i="9"/>
  <c r="E2372" i="9"/>
  <c r="F2372" i="9"/>
  <c r="G2372" i="9"/>
  <c r="H2372" i="9"/>
  <c r="I2372" i="9"/>
  <c r="J2372" i="9"/>
  <c r="K2372" i="9" s="1"/>
  <c r="L2372" i="9"/>
  <c r="M2372" i="9"/>
  <c r="A2373" i="9"/>
  <c r="D2373" i="9" s="1"/>
  <c r="B2373" i="9"/>
  <c r="C2373" i="9"/>
  <c r="E2373" i="9"/>
  <c r="I2373" i="9"/>
  <c r="J2373" i="9"/>
  <c r="K2373" i="9"/>
  <c r="L2373" i="9"/>
  <c r="A2374" i="9"/>
  <c r="E2374" i="9"/>
  <c r="F2374" i="9"/>
  <c r="G2374" i="9"/>
  <c r="H2374" i="9"/>
  <c r="J2374" i="9"/>
  <c r="K2374" i="9" s="1"/>
  <c r="A2375" i="9"/>
  <c r="B2375" i="9" s="1"/>
  <c r="C2375" i="9"/>
  <c r="D2375" i="9"/>
  <c r="E2375" i="9"/>
  <c r="F2375" i="9"/>
  <c r="G2375" i="9"/>
  <c r="H2375" i="9"/>
  <c r="I2375" i="9"/>
  <c r="J2375" i="9"/>
  <c r="K2375" i="9" s="1"/>
  <c r="L2375" i="9"/>
  <c r="M2375" i="9"/>
  <c r="A2376" i="9"/>
  <c r="B2376" i="9"/>
  <c r="C2376" i="9"/>
  <c r="D2376" i="9"/>
  <c r="F2376" i="9"/>
  <c r="J2376" i="9"/>
  <c r="K2376" i="9"/>
  <c r="L2376" i="9"/>
  <c r="A2377" i="9"/>
  <c r="B2377" i="9"/>
  <c r="C2377" i="9"/>
  <c r="D2377" i="9"/>
  <c r="E2377" i="9"/>
  <c r="F2377" i="9"/>
  <c r="G2377" i="9"/>
  <c r="H2377" i="9"/>
  <c r="I2377" i="9"/>
  <c r="J2377" i="9"/>
  <c r="K2377" i="9"/>
  <c r="L2377" i="9"/>
  <c r="M2377" i="9"/>
  <c r="A2378" i="9"/>
  <c r="B2378" i="9"/>
  <c r="C2378" i="9"/>
  <c r="D2378" i="9"/>
  <c r="E2378" i="9"/>
  <c r="F2378" i="9"/>
  <c r="G2378" i="9"/>
  <c r="H2378" i="9"/>
  <c r="I2378" i="9"/>
  <c r="J2378" i="9"/>
  <c r="K2378" i="9" s="1"/>
  <c r="L2378" i="9"/>
  <c r="M2378" i="9"/>
  <c r="A2379" i="9"/>
  <c r="E2379" i="9"/>
  <c r="F2379" i="9"/>
  <c r="G2379" i="9"/>
  <c r="M2379" i="9"/>
  <c r="A2380" i="9"/>
  <c r="C2380" i="9"/>
  <c r="D2380" i="9"/>
  <c r="E2380" i="9"/>
  <c r="F2380" i="9"/>
  <c r="G2380" i="9"/>
  <c r="H2380" i="9"/>
  <c r="A2381" i="9"/>
  <c r="E2381" i="9"/>
  <c r="F2381" i="9"/>
  <c r="G2381" i="9"/>
  <c r="H2381" i="9"/>
  <c r="J2381" i="9"/>
  <c r="K2381" i="9" s="1"/>
  <c r="L2381" i="9"/>
  <c r="M2381" i="9"/>
  <c r="A2382" i="9"/>
  <c r="E2382" i="9" s="1"/>
  <c r="B2382" i="9"/>
  <c r="C2382" i="9"/>
  <c r="D2382" i="9"/>
  <c r="F2382" i="9"/>
  <c r="G2382" i="9"/>
  <c r="H2382" i="9"/>
  <c r="A2383" i="9"/>
  <c r="C2383" i="9" s="1"/>
  <c r="B2383" i="9"/>
  <c r="D2383" i="9"/>
  <c r="E2383" i="9"/>
  <c r="F2383" i="9"/>
  <c r="G2383" i="9"/>
  <c r="H2383" i="9"/>
  <c r="I2383" i="9"/>
  <c r="J2383" i="9"/>
  <c r="K2383" i="9" s="1"/>
  <c r="L2383" i="9"/>
  <c r="M2383" i="9"/>
  <c r="A2384" i="9"/>
  <c r="H2384" i="9" s="1"/>
  <c r="B2384" i="9"/>
  <c r="F2384" i="9"/>
  <c r="G2384" i="9"/>
  <c r="I2384" i="9"/>
  <c r="A2385" i="9"/>
  <c r="B2385" i="9"/>
  <c r="C2385" i="9"/>
  <c r="D2385" i="9"/>
  <c r="E2385" i="9"/>
  <c r="F2385" i="9"/>
  <c r="G2385" i="9"/>
  <c r="H2385" i="9"/>
  <c r="I2385" i="9"/>
  <c r="M2385" i="9"/>
  <c r="A2386" i="9"/>
  <c r="F2386" i="9" s="1"/>
  <c r="A2387" i="9"/>
  <c r="B2387" i="9" s="1"/>
  <c r="C2387" i="9"/>
  <c r="G2387" i="9"/>
  <c r="I2387" i="9"/>
  <c r="J2387" i="9"/>
  <c r="K2387" i="9" s="1"/>
  <c r="L2387" i="9"/>
  <c r="M2387" i="9"/>
  <c r="A2388" i="9"/>
  <c r="B2388" i="9"/>
  <c r="C2388" i="9"/>
  <c r="D2388" i="9"/>
  <c r="E2388" i="9"/>
  <c r="F2388" i="9"/>
  <c r="A2389" i="9"/>
  <c r="E2389" i="9" s="1"/>
  <c r="B2389" i="9"/>
  <c r="C2389" i="9"/>
  <c r="D2389" i="9"/>
  <c r="F2389" i="9"/>
  <c r="G2389" i="9"/>
  <c r="H2389" i="9"/>
  <c r="I2389" i="9"/>
  <c r="J2389" i="9"/>
  <c r="K2389" i="9"/>
  <c r="L2389" i="9"/>
  <c r="M2389" i="9"/>
  <c r="A2390" i="9"/>
  <c r="B2390" i="9"/>
  <c r="C2390" i="9"/>
  <c r="D2390" i="9"/>
  <c r="H2390" i="9"/>
  <c r="I2390" i="9"/>
  <c r="A2391" i="9"/>
  <c r="B2391" i="9"/>
  <c r="C2391" i="9"/>
  <c r="D2391" i="9"/>
  <c r="F2391" i="9"/>
  <c r="A2392" i="9"/>
  <c r="B2392" i="9"/>
  <c r="C2392" i="9"/>
  <c r="D2392" i="9"/>
  <c r="E2392" i="9"/>
  <c r="F2392" i="9"/>
  <c r="G2392" i="9"/>
  <c r="H2392" i="9"/>
  <c r="I2392" i="9"/>
  <c r="J2392" i="9"/>
  <c r="K2392" i="9"/>
  <c r="L2392" i="9"/>
  <c r="M2392" i="9"/>
  <c r="A2393" i="9"/>
  <c r="B2393" i="9"/>
  <c r="C2393" i="9"/>
  <c r="D2393" i="9"/>
  <c r="E2393" i="9"/>
  <c r="I2393" i="9"/>
  <c r="J2393" i="9"/>
  <c r="K2393" i="9" s="1"/>
  <c r="L2393" i="9"/>
  <c r="A2394" i="9"/>
  <c r="B2394" i="9"/>
  <c r="C2394" i="9"/>
  <c r="D2394" i="9"/>
  <c r="H2394" i="9"/>
  <c r="I2394" i="9"/>
  <c r="J2394" i="9"/>
  <c r="K2394" i="9"/>
  <c r="A2395" i="9"/>
  <c r="B2395" i="9" s="1"/>
  <c r="C2395" i="9"/>
  <c r="D2395" i="9"/>
  <c r="E2395" i="9"/>
  <c r="F2395" i="9"/>
  <c r="G2395" i="9"/>
  <c r="H2395" i="9"/>
  <c r="I2395" i="9"/>
  <c r="J2395" i="9"/>
  <c r="K2395" i="9" s="1"/>
  <c r="L2395" i="9"/>
  <c r="M2395" i="9"/>
  <c r="A2396" i="9"/>
  <c r="B2396" i="9"/>
  <c r="C2396" i="9"/>
  <c r="D2396" i="9"/>
  <c r="E2396" i="9"/>
  <c r="F2396" i="9"/>
  <c r="J2396" i="9"/>
  <c r="K2396" i="9" s="1"/>
  <c r="L2396" i="9"/>
  <c r="M2396" i="9"/>
  <c r="A2397" i="9"/>
  <c r="B2397" i="9"/>
  <c r="C2397" i="9"/>
  <c r="D2397" i="9"/>
  <c r="E2397" i="9"/>
  <c r="F2397" i="9"/>
  <c r="G2397" i="9"/>
  <c r="H2397" i="9"/>
  <c r="I2397" i="9"/>
  <c r="J2397" i="9"/>
  <c r="K2397" i="9" s="1"/>
  <c r="L2397" i="9"/>
  <c r="M2397" i="9"/>
  <c r="A2398" i="9"/>
  <c r="B2398" i="9"/>
  <c r="C2398" i="9"/>
  <c r="D2398" i="9"/>
  <c r="E2398" i="9"/>
  <c r="F2398" i="9"/>
  <c r="G2398" i="9"/>
  <c r="H2398" i="9"/>
  <c r="I2398" i="9"/>
  <c r="J2398" i="9"/>
  <c r="K2398" i="9" s="1"/>
  <c r="L2398" i="9"/>
  <c r="M2398" i="9"/>
  <c r="A2399" i="9"/>
  <c r="B2399" i="9" s="1"/>
  <c r="C2399" i="9"/>
  <c r="D2399" i="9"/>
  <c r="L2399" i="9"/>
  <c r="M2399" i="9"/>
  <c r="A2400" i="9"/>
  <c r="B2400" i="9" s="1"/>
  <c r="C2400" i="9"/>
  <c r="E2400" i="9"/>
  <c r="F2400" i="9"/>
  <c r="G2400" i="9"/>
  <c r="H2400" i="9"/>
  <c r="I2400" i="9"/>
  <c r="J2400" i="9"/>
  <c r="K2400" i="9" s="1"/>
  <c r="L2400" i="9"/>
  <c r="M2400" i="9"/>
  <c r="A2401" i="9"/>
  <c r="H2401" i="9"/>
  <c r="I2401" i="9"/>
  <c r="J2401" i="9"/>
  <c r="K2401" i="9" s="1"/>
  <c r="M2401" i="9"/>
  <c r="A2402" i="9"/>
  <c r="G2402" i="9" s="1"/>
  <c r="C2402" i="9"/>
  <c r="D2402" i="9"/>
  <c r="E2402" i="9"/>
  <c r="F2402" i="9"/>
  <c r="H2402" i="9"/>
  <c r="L2402" i="9"/>
  <c r="M2402" i="9"/>
  <c r="A2403" i="9"/>
  <c r="E2403" i="9"/>
  <c r="F2403" i="9"/>
  <c r="G2403" i="9"/>
  <c r="A2404" i="9"/>
  <c r="F2404" i="9" s="1"/>
  <c r="B2404" i="9"/>
  <c r="G2404" i="9"/>
  <c r="H2404" i="9"/>
  <c r="I2404" i="9"/>
  <c r="J2404" i="9"/>
  <c r="K2404" i="9"/>
  <c r="A2405" i="9"/>
  <c r="B2405" i="9"/>
  <c r="C2405" i="9"/>
  <c r="D2405" i="9"/>
  <c r="E2405" i="9"/>
  <c r="F2405" i="9"/>
  <c r="G2405" i="9"/>
  <c r="H2405" i="9"/>
  <c r="I2405" i="9"/>
  <c r="M2405" i="9"/>
  <c r="A2406" i="9"/>
  <c r="B2406" i="9" s="1"/>
  <c r="C2406" i="9"/>
  <c r="D2406" i="9"/>
  <c r="F2406" i="9"/>
  <c r="G2406" i="9"/>
  <c r="H2406" i="9"/>
  <c r="L2406" i="9"/>
  <c r="M2406" i="9"/>
  <c r="A2407" i="9"/>
  <c r="B2407" i="9"/>
  <c r="G2407" i="9"/>
  <c r="H2407" i="9"/>
  <c r="I2407" i="9"/>
  <c r="J2407" i="9"/>
  <c r="K2407" i="9"/>
  <c r="A2408" i="9"/>
  <c r="B2408" i="9"/>
  <c r="C2408" i="9"/>
  <c r="D2408" i="9"/>
  <c r="E2408" i="9"/>
  <c r="I2408" i="9"/>
  <c r="J2408" i="9"/>
  <c r="K2408" i="9" s="1"/>
  <c r="A2409" i="9"/>
  <c r="J2409" i="9" s="1"/>
  <c r="K2409" i="9" s="1"/>
  <c r="B2409" i="9"/>
  <c r="D2409" i="9"/>
  <c r="E2409" i="9"/>
  <c r="F2409" i="9"/>
  <c r="G2409" i="9"/>
  <c r="A2410" i="9"/>
  <c r="B2410" i="9" s="1"/>
  <c r="I2410" i="9"/>
  <c r="J2410" i="9"/>
  <c r="K2410" i="9"/>
  <c r="L2410" i="9"/>
  <c r="A2411" i="9"/>
  <c r="B2411" i="9"/>
  <c r="C2411" i="9"/>
  <c r="D2411" i="9"/>
  <c r="E2411" i="9"/>
  <c r="F2411" i="9"/>
  <c r="G2411" i="9"/>
  <c r="H2411" i="9"/>
  <c r="I2411" i="9"/>
  <c r="J2411" i="9"/>
  <c r="K2411" i="9" s="1"/>
  <c r="A2412" i="9"/>
  <c r="B2412" i="9"/>
  <c r="C2412" i="9"/>
  <c r="D2412" i="9"/>
  <c r="E2412" i="9"/>
  <c r="F2412" i="9"/>
  <c r="G2412" i="9"/>
  <c r="H2412" i="9"/>
  <c r="I2412" i="9"/>
  <c r="J2412" i="9"/>
  <c r="K2412" i="9"/>
  <c r="L2412" i="9"/>
  <c r="M2412" i="9"/>
  <c r="A2413" i="9"/>
  <c r="B2413" i="9"/>
  <c r="C2413" i="9"/>
  <c r="D2413" i="9"/>
  <c r="E2413" i="9"/>
  <c r="I2413" i="9"/>
  <c r="A2414" i="9"/>
  <c r="M2414" i="9" s="1"/>
  <c r="B2414" i="9"/>
  <c r="C2414" i="9"/>
  <c r="D2414" i="9"/>
  <c r="E2414" i="9"/>
  <c r="F2414" i="9"/>
  <c r="G2414" i="9"/>
  <c r="H2414" i="9"/>
  <c r="I2414" i="9"/>
  <c r="J2414" i="9"/>
  <c r="K2414" i="9"/>
  <c r="L2414" i="9"/>
  <c r="A2415" i="9"/>
  <c r="B2415" i="9" s="1"/>
  <c r="C2415" i="9"/>
  <c r="D2415" i="9"/>
  <c r="E2415" i="9"/>
  <c r="F2415" i="9"/>
  <c r="G2415" i="9"/>
  <c r="H2415" i="9"/>
  <c r="I2415" i="9"/>
  <c r="J2415" i="9"/>
  <c r="K2415" i="9" s="1"/>
  <c r="L2415" i="9"/>
  <c r="M2415" i="9"/>
  <c r="A2416" i="9"/>
  <c r="C2416" i="9" s="1"/>
  <c r="D2416" i="9"/>
  <c r="E2416" i="9"/>
  <c r="J2416" i="9"/>
  <c r="K2416" i="9"/>
  <c r="L2416" i="9"/>
  <c r="M2416" i="9"/>
  <c r="A2417" i="9"/>
  <c r="B2417" i="9"/>
  <c r="C2417" i="9"/>
  <c r="D2417" i="9"/>
  <c r="H2417" i="9"/>
  <c r="I2417" i="9"/>
  <c r="J2417" i="9"/>
  <c r="K2417" i="9" s="1"/>
  <c r="A2418" i="9"/>
  <c r="B2418" i="9"/>
  <c r="C2418" i="9"/>
  <c r="D2418" i="9"/>
  <c r="E2418" i="9"/>
  <c r="F2418" i="9"/>
  <c r="G2418" i="9"/>
  <c r="H2418" i="9"/>
  <c r="I2418" i="9"/>
  <c r="J2418" i="9"/>
  <c r="K2418" i="9"/>
  <c r="L2418" i="9"/>
  <c r="M2418" i="9"/>
  <c r="A2419" i="9"/>
  <c r="B2419" i="9"/>
  <c r="C2419" i="9"/>
  <c r="D2419" i="9"/>
  <c r="E2419" i="9"/>
  <c r="F2419" i="9"/>
  <c r="G2419" i="9"/>
  <c r="I2419" i="9"/>
  <c r="L2419" i="9"/>
  <c r="M2419" i="9"/>
  <c r="A2420" i="9"/>
  <c r="C2420" i="9" s="1"/>
  <c r="B2420" i="9"/>
  <c r="D2420" i="9"/>
  <c r="E2420" i="9"/>
  <c r="F2420" i="9"/>
  <c r="G2420" i="9"/>
  <c r="L2420" i="9"/>
  <c r="M2420" i="9"/>
  <c r="A2421" i="9"/>
  <c r="E2421" i="9"/>
  <c r="F2421" i="9"/>
  <c r="G2421" i="9"/>
  <c r="H2421" i="9"/>
  <c r="A2422" i="9"/>
  <c r="C2422" i="9" s="1"/>
  <c r="B2422" i="9"/>
  <c r="G2422" i="9"/>
  <c r="H2422" i="9"/>
  <c r="J2422" i="9"/>
  <c r="K2422" i="9" s="1"/>
  <c r="L2422" i="9"/>
  <c r="A2423" i="9"/>
  <c r="B2423" i="9" s="1"/>
  <c r="C2423" i="9"/>
  <c r="E2423" i="9"/>
  <c r="F2423" i="9"/>
  <c r="G2423" i="9"/>
  <c r="H2423" i="9"/>
  <c r="A2424" i="9"/>
  <c r="B2424" i="9"/>
  <c r="D2424" i="9"/>
  <c r="F2424" i="9"/>
  <c r="G2424" i="9"/>
  <c r="H2424" i="9"/>
  <c r="I2424" i="9"/>
  <c r="J2424" i="9"/>
  <c r="K2424" i="9" s="1"/>
  <c r="L2424" i="9"/>
  <c r="M2424" i="9"/>
  <c r="A2425" i="9"/>
  <c r="E2425" i="9" s="1"/>
  <c r="B2425" i="9"/>
  <c r="C2425" i="9"/>
  <c r="D2425" i="9"/>
  <c r="A2426" i="9"/>
  <c r="E2426" i="9" s="1"/>
  <c r="C2426" i="9"/>
  <c r="D2426" i="9"/>
  <c r="G2426" i="9"/>
  <c r="H2426" i="9"/>
  <c r="I2426" i="9"/>
  <c r="J2426" i="9"/>
  <c r="K2426" i="9"/>
  <c r="L2426" i="9"/>
  <c r="M2426" i="9"/>
  <c r="A2427" i="9"/>
  <c r="E2427" i="9" s="1"/>
  <c r="B2427" i="9"/>
  <c r="A2428" i="9"/>
  <c r="M2428" i="9" s="1"/>
  <c r="B2428" i="9"/>
  <c r="C2428" i="9"/>
  <c r="D2428" i="9"/>
  <c r="E2428" i="9"/>
  <c r="F2428" i="9"/>
  <c r="G2428" i="9"/>
  <c r="H2428" i="9"/>
  <c r="I2428" i="9"/>
  <c r="J2428" i="9"/>
  <c r="K2428" i="9" s="1"/>
  <c r="L2428" i="9"/>
  <c r="A2429" i="9"/>
  <c r="B2429" i="9"/>
  <c r="F2429" i="9"/>
  <c r="G2429" i="9"/>
  <c r="H2429" i="9"/>
  <c r="I2429" i="9"/>
  <c r="A2430" i="9"/>
  <c r="B2430" i="9" s="1"/>
  <c r="C2430" i="9"/>
  <c r="D2430" i="9"/>
  <c r="H2430" i="9"/>
  <c r="I2430" i="9"/>
  <c r="J2430" i="9"/>
  <c r="K2430" i="9"/>
  <c r="A2431" i="9"/>
  <c r="L2431" i="9" s="1"/>
  <c r="B2431" i="9"/>
  <c r="C2431" i="9"/>
  <c r="D2431" i="9"/>
  <c r="E2431" i="9"/>
  <c r="F2431" i="9"/>
  <c r="G2431" i="9"/>
  <c r="H2431" i="9"/>
  <c r="I2431" i="9"/>
  <c r="J2431" i="9"/>
  <c r="K2431" i="9" s="1"/>
  <c r="M2431" i="9"/>
  <c r="A2432" i="9"/>
  <c r="B2432" i="9"/>
  <c r="C2432" i="9"/>
  <c r="D2432" i="9"/>
  <c r="E2432" i="9"/>
  <c r="F2432" i="9"/>
  <c r="G2432" i="9"/>
  <c r="H2432" i="9"/>
  <c r="I2432" i="9"/>
  <c r="J2432" i="9"/>
  <c r="K2432" i="9" s="1"/>
  <c r="L2432" i="9"/>
  <c r="M2432" i="9"/>
  <c r="A2433" i="9"/>
  <c r="B2433" i="9"/>
  <c r="C2433" i="9"/>
  <c r="D2433" i="9"/>
  <c r="E2433" i="9"/>
  <c r="G2433" i="9"/>
  <c r="I2433" i="9"/>
  <c r="J2433" i="9"/>
  <c r="K2433" i="9"/>
  <c r="L2433" i="9"/>
  <c r="M2433" i="9"/>
  <c r="A2434" i="9"/>
  <c r="I2434" i="9" s="1"/>
  <c r="B2434" i="9"/>
  <c r="F2434" i="9"/>
  <c r="G2434" i="9"/>
  <c r="H2434" i="9"/>
  <c r="L2434" i="9"/>
  <c r="A2435" i="9"/>
  <c r="C2435" i="9"/>
  <c r="D2435" i="9"/>
  <c r="E2435" i="9"/>
  <c r="A2436" i="9"/>
  <c r="B2436" i="9"/>
  <c r="C2436" i="9"/>
  <c r="D2436" i="9"/>
  <c r="E2436" i="9"/>
  <c r="F2436" i="9"/>
  <c r="H2436" i="9"/>
  <c r="J2436" i="9"/>
  <c r="K2436" i="9"/>
  <c r="L2436" i="9"/>
  <c r="M2436" i="9"/>
  <c r="A2437" i="9"/>
  <c r="C2437" i="9" s="1"/>
  <c r="B2437" i="9"/>
  <c r="M2437" i="9"/>
  <c r="A2438" i="9"/>
  <c r="B2438" i="9"/>
  <c r="C2438" i="9"/>
  <c r="D2438" i="9"/>
  <c r="E2438" i="9"/>
  <c r="F2438" i="9"/>
  <c r="G2438" i="9"/>
  <c r="H2438" i="9"/>
  <c r="I2438" i="9"/>
  <c r="J2438" i="9"/>
  <c r="K2438" i="9" s="1"/>
  <c r="L2438" i="9"/>
  <c r="M2438" i="9"/>
  <c r="A2439" i="9"/>
  <c r="E2439" i="9"/>
  <c r="F2439" i="9"/>
  <c r="G2439" i="9"/>
  <c r="I2439" i="9"/>
  <c r="L2439" i="9"/>
  <c r="M2439" i="9"/>
  <c r="A2440" i="9"/>
  <c r="B2440" i="9"/>
  <c r="C2440" i="9"/>
  <c r="D2440" i="9"/>
  <c r="E2440" i="9"/>
  <c r="F2440" i="9"/>
  <c r="G2440" i="9"/>
  <c r="H2440" i="9"/>
  <c r="I2440" i="9"/>
  <c r="J2440" i="9"/>
  <c r="K2440" i="9" s="1"/>
  <c r="A2441" i="9"/>
  <c r="E2441" i="9" s="1"/>
  <c r="A2442" i="9"/>
  <c r="B2442" i="9"/>
  <c r="C2442" i="9"/>
  <c r="D2442" i="9"/>
  <c r="E2442" i="9"/>
  <c r="F2442" i="9"/>
  <c r="L2442" i="9"/>
  <c r="M2442" i="9"/>
  <c r="A2443" i="9"/>
  <c r="B2443" i="9"/>
  <c r="D2443" i="9"/>
  <c r="E2443" i="9"/>
  <c r="F2443" i="9"/>
  <c r="M2443" i="9"/>
  <c r="A2444" i="9"/>
  <c r="B2444" i="9"/>
  <c r="H2444" i="9"/>
  <c r="I2444" i="9"/>
  <c r="J2444" i="9"/>
  <c r="K2444" i="9" s="1"/>
  <c r="M2444" i="9"/>
  <c r="A2445" i="9"/>
  <c r="B2445" i="9" s="1"/>
  <c r="C2445" i="9"/>
  <c r="E2445" i="9"/>
  <c r="F2445" i="9"/>
  <c r="A2446" i="9"/>
  <c r="B2446" i="9"/>
  <c r="C2446" i="9"/>
  <c r="D2446" i="9"/>
  <c r="E2446" i="9"/>
  <c r="F2446" i="9"/>
  <c r="G2446" i="9"/>
  <c r="H2446" i="9"/>
  <c r="I2446" i="9"/>
  <c r="J2446" i="9"/>
  <c r="K2446" i="9" s="1"/>
  <c r="L2446" i="9"/>
  <c r="M2446" i="9"/>
  <c r="A2447" i="9"/>
  <c r="B2447" i="9"/>
  <c r="A2448" i="9"/>
  <c r="E2448" i="9" s="1"/>
  <c r="C2448" i="9"/>
  <c r="F2448" i="9"/>
  <c r="G2448" i="9"/>
  <c r="H2448" i="9"/>
  <c r="I2448" i="9"/>
  <c r="J2448" i="9"/>
  <c r="K2448" i="9" s="1"/>
  <c r="L2448" i="9"/>
  <c r="A2449" i="9"/>
  <c r="B2449" i="9"/>
  <c r="C2449" i="9"/>
  <c r="D2449" i="9"/>
  <c r="A2450" i="9"/>
  <c r="C2450" i="9" s="1"/>
  <c r="B2450" i="9"/>
  <c r="D2450" i="9"/>
  <c r="F2450" i="9"/>
  <c r="H2450" i="9"/>
  <c r="I2450" i="9"/>
  <c r="J2450" i="9"/>
  <c r="K2450" i="9" s="1"/>
  <c r="L2450" i="9"/>
  <c r="M2450" i="9"/>
  <c r="A2451" i="9"/>
  <c r="E2451" i="9"/>
  <c r="F2451" i="9"/>
  <c r="G2451" i="9"/>
  <c r="A2452" i="9"/>
  <c r="B2452" i="9"/>
  <c r="C2452" i="9"/>
  <c r="D2452" i="9"/>
  <c r="E2452" i="9"/>
  <c r="F2452" i="9"/>
  <c r="G2452" i="9"/>
  <c r="H2452" i="9"/>
  <c r="I2452" i="9"/>
  <c r="J2452" i="9"/>
  <c r="K2452" i="9"/>
  <c r="L2452" i="9"/>
  <c r="M2452" i="9"/>
  <c r="A2453" i="9"/>
  <c r="C2453" i="9" s="1"/>
  <c r="B2453" i="9"/>
  <c r="M2453" i="9"/>
  <c r="A2454" i="9"/>
  <c r="B2454" i="9"/>
  <c r="C2454" i="9"/>
  <c r="D2454" i="9"/>
  <c r="E2454" i="9"/>
  <c r="I2454" i="9"/>
  <c r="J2454" i="9"/>
  <c r="K2454" i="9"/>
  <c r="L2454" i="9"/>
  <c r="A2455" i="9"/>
  <c r="B2455" i="9" s="1"/>
  <c r="C2455" i="9"/>
  <c r="D2455" i="9"/>
  <c r="E2455" i="9"/>
  <c r="F2455" i="9"/>
  <c r="G2455" i="9"/>
  <c r="H2455" i="9"/>
  <c r="I2455" i="9"/>
  <c r="J2455" i="9"/>
  <c r="K2455" i="9" s="1"/>
  <c r="L2455" i="9"/>
  <c r="M2455" i="9"/>
  <c r="A2456" i="9"/>
  <c r="E2456" i="9"/>
  <c r="F2456" i="9"/>
  <c r="H2456" i="9"/>
  <c r="J2456" i="9"/>
  <c r="K2456" i="9" s="1"/>
  <c r="L2456" i="9"/>
  <c r="M2456" i="9"/>
  <c r="A2457" i="9"/>
  <c r="B2457" i="9"/>
  <c r="C2457" i="9"/>
  <c r="A2458" i="9"/>
  <c r="B2458" i="9"/>
  <c r="C2458" i="9"/>
  <c r="D2458" i="9"/>
  <c r="E2458" i="9"/>
  <c r="F2458" i="9"/>
  <c r="G2458" i="9"/>
  <c r="H2458" i="9"/>
  <c r="I2458" i="9"/>
  <c r="J2458" i="9"/>
  <c r="K2458" i="9" s="1"/>
  <c r="L2458" i="9"/>
  <c r="M2458" i="9"/>
  <c r="A2459" i="9"/>
  <c r="B2459" i="9"/>
  <c r="A2460" i="9"/>
  <c r="B2460" i="9"/>
  <c r="C2460" i="9"/>
  <c r="D2460" i="9"/>
  <c r="E2460" i="9"/>
  <c r="F2460" i="9"/>
  <c r="G2460" i="9"/>
  <c r="H2460" i="9"/>
  <c r="I2460" i="9"/>
  <c r="J2460" i="9"/>
  <c r="K2460" i="9" s="1"/>
  <c r="L2460" i="9"/>
  <c r="M2460" i="9"/>
  <c r="A2461" i="9"/>
  <c r="C2461" i="9"/>
  <c r="E2461" i="9"/>
  <c r="F2461" i="9"/>
  <c r="G2461" i="9"/>
  <c r="H2461" i="9"/>
  <c r="I2461" i="9"/>
  <c r="J2461" i="9"/>
  <c r="K2461" i="9"/>
  <c r="L2461" i="9"/>
  <c r="M2461" i="9"/>
  <c r="A2462" i="9"/>
  <c r="G2462" i="9" s="1"/>
  <c r="B2462" i="9"/>
  <c r="C2462" i="9"/>
  <c r="D2462" i="9"/>
  <c r="E2462" i="9"/>
  <c r="F2462" i="9"/>
  <c r="H2462" i="9"/>
  <c r="J2462" i="9"/>
  <c r="K2462" i="9" s="1"/>
  <c r="A2463" i="9"/>
  <c r="B2463" i="9"/>
  <c r="C2463" i="9"/>
  <c r="D2463" i="9"/>
  <c r="E2463" i="9"/>
  <c r="F2463" i="9"/>
  <c r="G2463" i="9"/>
  <c r="H2463" i="9"/>
  <c r="I2463" i="9"/>
  <c r="J2463" i="9"/>
  <c r="K2463" i="9" s="1"/>
  <c r="L2463" i="9"/>
  <c r="M2463" i="9"/>
  <c r="A2464" i="9"/>
  <c r="G2464" i="9" s="1"/>
  <c r="B2464" i="9"/>
  <c r="D2464" i="9"/>
  <c r="F2464" i="9"/>
  <c r="L2464" i="9"/>
  <c r="M2464" i="9"/>
  <c r="A2465" i="9"/>
  <c r="C2465" i="9"/>
  <c r="D2465" i="9"/>
  <c r="E2465" i="9"/>
  <c r="F2465" i="9"/>
  <c r="G2465" i="9"/>
  <c r="H2465" i="9"/>
  <c r="I2465" i="9"/>
  <c r="M2465" i="9"/>
  <c r="A2466" i="9"/>
  <c r="J2466" i="9" s="1"/>
  <c r="K2466" i="9" s="1"/>
  <c r="B2466" i="9"/>
  <c r="C2466" i="9"/>
  <c r="G2466" i="9"/>
  <c r="H2466" i="9"/>
  <c r="I2466" i="9"/>
  <c r="L2466" i="9"/>
  <c r="M2466" i="9"/>
  <c r="A2467" i="9"/>
  <c r="J2467" i="9"/>
  <c r="K2467" i="9" s="1"/>
  <c r="L2467" i="9"/>
  <c r="A2468" i="9"/>
  <c r="M2468" i="9" s="1"/>
  <c r="B2468" i="9"/>
  <c r="C2468" i="9"/>
  <c r="D2468" i="9"/>
  <c r="E2468" i="9"/>
  <c r="F2468" i="9"/>
  <c r="G2468" i="9"/>
  <c r="H2468" i="9"/>
  <c r="I2468" i="9"/>
  <c r="J2468" i="9"/>
  <c r="K2468" i="9" s="1"/>
  <c r="L2468" i="9"/>
  <c r="A2469" i="9"/>
  <c r="B2469" i="9"/>
  <c r="C2469" i="9"/>
  <c r="D2469" i="9"/>
  <c r="E2469" i="9"/>
  <c r="F2469" i="9"/>
  <c r="G2469" i="9"/>
  <c r="H2469" i="9"/>
  <c r="L2469" i="9"/>
  <c r="M2469" i="9"/>
  <c r="A2470" i="9"/>
  <c r="M2470" i="9" s="1"/>
  <c r="B2470" i="9"/>
  <c r="D2470" i="9"/>
  <c r="F2470" i="9"/>
  <c r="H2470" i="9"/>
  <c r="I2470" i="9"/>
  <c r="A2471" i="9"/>
  <c r="B2471" i="9"/>
  <c r="C2471" i="9"/>
  <c r="D2471" i="9"/>
  <c r="H2471" i="9"/>
  <c r="I2471" i="9"/>
  <c r="J2471" i="9"/>
  <c r="K2471" i="9" s="1"/>
  <c r="A2472" i="9"/>
  <c r="B2472" i="9"/>
  <c r="C2472" i="9"/>
  <c r="D2472" i="9"/>
  <c r="E2472" i="9"/>
  <c r="F2472" i="9"/>
  <c r="G2472" i="9"/>
  <c r="H2472" i="9"/>
  <c r="I2472" i="9"/>
  <c r="J2472" i="9"/>
  <c r="K2472" i="9" s="1"/>
  <c r="L2472" i="9"/>
  <c r="M2472" i="9"/>
  <c r="A2473" i="9"/>
  <c r="B2473" i="9"/>
  <c r="C2473" i="9"/>
  <c r="D2473" i="9"/>
  <c r="E2473" i="9"/>
  <c r="G2473" i="9"/>
  <c r="I2473" i="9"/>
  <c r="J2473" i="9"/>
  <c r="K2473" i="9"/>
  <c r="L2473" i="9"/>
  <c r="M2473" i="9"/>
  <c r="A2474" i="9"/>
  <c r="B2474" i="9"/>
  <c r="C2474" i="9"/>
  <c r="D2474" i="9"/>
  <c r="E2474" i="9"/>
  <c r="A2475" i="9"/>
  <c r="C2475" i="9" s="1"/>
  <c r="D2475" i="9"/>
  <c r="F2475" i="9"/>
  <c r="G2475" i="9"/>
  <c r="H2475" i="9"/>
  <c r="I2475" i="9"/>
  <c r="J2475" i="9"/>
  <c r="K2475" i="9"/>
  <c r="L2475" i="9"/>
  <c r="M2475" i="9"/>
  <c r="A2476" i="9"/>
  <c r="B2476" i="9"/>
  <c r="C2476" i="9"/>
  <c r="D2476" i="9"/>
  <c r="J2476" i="9"/>
  <c r="K2476" i="9"/>
  <c r="L2476" i="9"/>
  <c r="A2477" i="9"/>
  <c r="B2477" i="9"/>
  <c r="C2477" i="9"/>
  <c r="D2477" i="9"/>
  <c r="E2477" i="9"/>
  <c r="F2477" i="9"/>
  <c r="G2477" i="9"/>
  <c r="H2477" i="9"/>
  <c r="I2477" i="9"/>
  <c r="J2477" i="9"/>
  <c r="K2477" i="9"/>
  <c r="L2477" i="9"/>
  <c r="M2477" i="9"/>
  <c r="A2478" i="9"/>
  <c r="B2478" i="9"/>
  <c r="C2478" i="9"/>
  <c r="D2478" i="9"/>
  <c r="E2478" i="9"/>
  <c r="F2478" i="9"/>
  <c r="G2478" i="9"/>
  <c r="H2478" i="9"/>
  <c r="I2478" i="9"/>
  <c r="J2478" i="9"/>
  <c r="K2478" i="9" s="1"/>
  <c r="L2478" i="9"/>
  <c r="M2478" i="9"/>
  <c r="A2479" i="9"/>
  <c r="C2479" i="9"/>
  <c r="D2479" i="9"/>
  <c r="E2479" i="9"/>
  <c r="F2479" i="9"/>
  <c r="G2479" i="9"/>
  <c r="M2479" i="9"/>
  <c r="A2480" i="9"/>
  <c r="B2480" i="9"/>
  <c r="C2480" i="9"/>
  <c r="E2480" i="9"/>
  <c r="F2480" i="9"/>
  <c r="G2480" i="9"/>
  <c r="A2481" i="9"/>
  <c r="E2481" i="9"/>
  <c r="I2481" i="9"/>
  <c r="J2481" i="9"/>
  <c r="K2481" i="9" s="1"/>
  <c r="L2481" i="9"/>
  <c r="A2482" i="9"/>
  <c r="B2482" i="9" s="1"/>
  <c r="D2482" i="9"/>
  <c r="E2482" i="9"/>
  <c r="F2482" i="9"/>
  <c r="G2482" i="9"/>
  <c r="A2483" i="9"/>
  <c r="G2483" i="9" s="1"/>
  <c r="E2483" i="9"/>
  <c r="F2483" i="9"/>
  <c r="H2483" i="9"/>
  <c r="J2483" i="9"/>
  <c r="K2483" i="9"/>
  <c r="L2483" i="9"/>
  <c r="M2483" i="9"/>
  <c r="A2484" i="9"/>
  <c r="I2484" i="9" s="1"/>
  <c r="B2484" i="9"/>
  <c r="D2484" i="9"/>
  <c r="F2484" i="9"/>
  <c r="G2484" i="9"/>
  <c r="H2484" i="9"/>
  <c r="A2485" i="9"/>
  <c r="B2485" i="9" s="1"/>
  <c r="C2485" i="9"/>
  <c r="D2485" i="9"/>
  <c r="F2485" i="9"/>
  <c r="G2485" i="9"/>
  <c r="H2485" i="9"/>
  <c r="I2485" i="9"/>
  <c r="M2485" i="9"/>
  <c r="A2486" i="9"/>
  <c r="B2486" i="9"/>
  <c r="C2486" i="9"/>
  <c r="A2487" i="9"/>
  <c r="B2487" i="9"/>
  <c r="C2487" i="9"/>
  <c r="E2487" i="9"/>
  <c r="G2487" i="9"/>
  <c r="H2487" i="9"/>
  <c r="I2487" i="9"/>
  <c r="J2487" i="9"/>
  <c r="K2487" i="9" s="1"/>
  <c r="L2487" i="9"/>
  <c r="M2487" i="9"/>
  <c r="A2488" i="9"/>
  <c r="H2488" i="9" s="1"/>
  <c r="B2488" i="9"/>
  <c r="F2488" i="9"/>
  <c r="A2489" i="9"/>
  <c r="H2489" i="9" s="1"/>
  <c r="J2489" i="9"/>
  <c r="K2489" i="9" s="1"/>
  <c r="A2490" i="9"/>
  <c r="B2490" i="9"/>
  <c r="C2490" i="9"/>
  <c r="D2490" i="9"/>
  <c r="F2490" i="9"/>
  <c r="H2490" i="9"/>
  <c r="I2490" i="9"/>
  <c r="J2490" i="9"/>
  <c r="K2490" i="9" s="1"/>
  <c r="L2490" i="9"/>
  <c r="M2490" i="9"/>
  <c r="A2491" i="9"/>
  <c r="B2491" i="9" s="1"/>
  <c r="C2491" i="9"/>
  <c r="D2491" i="9"/>
  <c r="E2491" i="9"/>
  <c r="F2491" i="9"/>
  <c r="G2491" i="9"/>
  <c r="M2491" i="9"/>
  <c r="A2492" i="9"/>
  <c r="B2492" i="9"/>
  <c r="C2492" i="9"/>
  <c r="D2492" i="9"/>
  <c r="E2492" i="9"/>
  <c r="F2492" i="9"/>
  <c r="G2492" i="9"/>
  <c r="H2492" i="9"/>
  <c r="I2492" i="9"/>
  <c r="J2492" i="9"/>
  <c r="K2492" i="9" s="1"/>
  <c r="L2492" i="9"/>
  <c r="M2492" i="9"/>
  <c r="A2493" i="9"/>
  <c r="B2493" i="9" s="1"/>
  <c r="G2493" i="9"/>
  <c r="I2493" i="9"/>
  <c r="M2493" i="9"/>
  <c r="A2494" i="9"/>
  <c r="B2494" i="9" s="1"/>
  <c r="C2494" i="9"/>
  <c r="E2494" i="9"/>
  <c r="F2494" i="9"/>
  <c r="G2494" i="9"/>
  <c r="H2494" i="9"/>
  <c r="I2494" i="9"/>
  <c r="J2494" i="9"/>
  <c r="K2494" i="9" s="1"/>
  <c r="A2495" i="9"/>
  <c r="B2495" i="9" s="1"/>
  <c r="C2495" i="9"/>
  <c r="D2495" i="9"/>
  <c r="E2495" i="9"/>
  <c r="F2495" i="9"/>
  <c r="G2495" i="9"/>
  <c r="H2495" i="9"/>
  <c r="I2495" i="9"/>
  <c r="J2495" i="9"/>
  <c r="K2495" i="9"/>
  <c r="L2495" i="9"/>
  <c r="M2495" i="9"/>
  <c r="A2496" i="9"/>
  <c r="B2496" i="9" s="1"/>
  <c r="D2496" i="9"/>
  <c r="E2496" i="9"/>
  <c r="F2496" i="9"/>
  <c r="H2496" i="9"/>
  <c r="A2497" i="9"/>
  <c r="D2497" i="9" s="1"/>
  <c r="C2497" i="9"/>
  <c r="E2497" i="9"/>
  <c r="F2497" i="9"/>
  <c r="G2497" i="9"/>
  <c r="H2497" i="9"/>
  <c r="I2497" i="9"/>
  <c r="J2497" i="9"/>
  <c r="K2497" i="9" s="1"/>
  <c r="L2497" i="9"/>
  <c r="M2497" i="9"/>
  <c r="A2498" i="9"/>
  <c r="B2498" i="9"/>
  <c r="C2498" i="9"/>
  <c r="D2498" i="9"/>
  <c r="E2498" i="9"/>
  <c r="F2498" i="9"/>
  <c r="G2498" i="9"/>
  <c r="H2498" i="9"/>
  <c r="I2498" i="9"/>
  <c r="J2498" i="9"/>
  <c r="K2498" i="9" s="1"/>
  <c r="L2498" i="9"/>
  <c r="M2498" i="9"/>
  <c r="A2499" i="9"/>
  <c r="C2499" i="9" s="1"/>
  <c r="B2499" i="9"/>
  <c r="D2499" i="9"/>
  <c r="E2499" i="9"/>
  <c r="F2499" i="9"/>
  <c r="G2499" i="9"/>
  <c r="I2499" i="9"/>
  <c r="L2499" i="9"/>
  <c r="A2500" i="9"/>
  <c r="B2500" i="9"/>
  <c r="C2500" i="9"/>
  <c r="D2500" i="9"/>
  <c r="E2500" i="9"/>
  <c r="F2500" i="9"/>
  <c r="G2500" i="9"/>
  <c r="H2500" i="9"/>
  <c r="I2500" i="9"/>
  <c r="J2500" i="9"/>
  <c r="K2500" i="9" s="1"/>
  <c r="L2500" i="9"/>
  <c r="M2500" i="9"/>
  <c r="A2501" i="9"/>
  <c r="F2501" i="9" s="1"/>
  <c r="C2501" i="9"/>
  <c r="A2502" i="9"/>
  <c r="B2502" i="9" s="1"/>
  <c r="E2502" i="9"/>
  <c r="A2503" i="9"/>
  <c r="C2503" i="9"/>
  <c r="D2503" i="9"/>
  <c r="H2503" i="9"/>
  <c r="I2503" i="9"/>
  <c r="J2503" i="9"/>
  <c r="K2503" i="9" s="1"/>
  <c r="M2503" i="9"/>
  <c r="A2504" i="9"/>
  <c r="B2504" i="9"/>
  <c r="A2505" i="9"/>
  <c r="B2505" i="9"/>
  <c r="C2505" i="9"/>
  <c r="D2505" i="9"/>
  <c r="E2505" i="9"/>
  <c r="F2505" i="9"/>
  <c r="G2505" i="9"/>
  <c r="H2505" i="9"/>
  <c r="I2505" i="9"/>
  <c r="M2505" i="9"/>
  <c r="A2506" i="9"/>
  <c r="B2506" i="9"/>
  <c r="C2506" i="9"/>
  <c r="M2506" i="9"/>
  <c r="A2507" i="9"/>
  <c r="B2507" i="9"/>
  <c r="C2507" i="9"/>
  <c r="G2507" i="9"/>
  <c r="H2507" i="9"/>
  <c r="I2507" i="9"/>
  <c r="J2507" i="9"/>
  <c r="K2507" i="9" s="1"/>
  <c r="L2507" i="9"/>
  <c r="M2507" i="9"/>
  <c r="A2508" i="9"/>
  <c r="B2508" i="9"/>
  <c r="C2508" i="9"/>
  <c r="A2509" i="9"/>
  <c r="B2509" i="9" s="1"/>
  <c r="C2509" i="9"/>
  <c r="E2509" i="9"/>
  <c r="F2509" i="9"/>
  <c r="G2509" i="9"/>
  <c r="H2509" i="9"/>
  <c r="I2509" i="9"/>
  <c r="J2509" i="9"/>
  <c r="K2509" i="9"/>
  <c r="L2509" i="9"/>
  <c r="M2509" i="9"/>
  <c r="A2510" i="9"/>
  <c r="F2510" i="9"/>
  <c r="H2510" i="9"/>
  <c r="A2511" i="9"/>
  <c r="D2511" i="9" s="1"/>
  <c r="B2511" i="9"/>
  <c r="C2511" i="9"/>
  <c r="E2511" i="9"/>
  <c r="F2511" i="9"/>
  <c r="G2511" i="9"/>
  <c r="H2511" i="9"/>
  <c r="I2511" i="9"/>
  <c r="J2511" i="9"/>
  <c r="K2511" i="9" s="1"/>
  <c r="A2512" i="9"/>
  <c r="B2512" i="9"/>
  <c r="C2512" i="9"/>
  <c r="D2512" i="9"/>
  <c r="E2512" i="9"/>
  <c r="F2512" i="9"/>
  <c r="G2512" i="9"/>
  <c r="H2512" i="9"/>
  <c r="I2512" i="9"/>
  <c r="J2512" i="9"/>
  <c r="K2512" i="9" s="1"/>
  <c r="L2512" i="9"/>
  <c r="M2512" i="9"/>
  <c r="A2513" i="9"/>
  <c r="B2513" i="9"/>
  <c r="C2513" i="9"/>
  <c r="D2513" i="9"/>
  <c r="E2513" i="9"/>
  <c r="L2513" i="9"/>
  <c r="M2513" i="9"/>
  <c r="A2514" i="9"/>
  <c r="C2514" i="9"/>
  <c r="D2514" i="9"/>
  <c r="E2514" i="9"/>
  <c r="F2514" i="9"/>
  <c r="A2515" i="9"/>
  <c r="H2515" i="9" s="1"/>
  <c r="A2516" i="9"/>
  <c r="B2516" i="9" s="1"/>
  <c r="D2516" i="9"/>
  <c r="E2516" i="9"/>
  <c r="F2516" i="9"/>
  <c r="A2517" i="9"/>
  <c r="B2517" i="9"/>
  <c r="C2517" i="9"/>
  <c r="D2517" i="9"/>
  <c r="E2517" i="9"/>
  <c r="F2517" i="9"/>
  <c r="G2517" i="9"/>
  <c r="H2517" i="9"/>
  <c r="I2517" i="9"/>
  <c r="J2517" i="9"/>
  <c r="K2517" i="9" s="1"/>
  <c r="L2517" i="9"/>
  <c r="M2517" i="9"/>
  <c r="A2518" i="9"/>
  <c r="B2518" i="9"/>
  <c r="C2518" i="9"/>
  <c r="D2518" i="9"/>
  <c r="E2518" i="9"/>
  <c r="F2518" i="9"/>
  <c r="G2518" i="9"/>
  <c r="H2518" i="9"/>
  <c r="I2518" i="9"/>
  <c r="J2518" i="9"/>
  <c r="K2518" i="9" s="1"/>
  <c r="L2518" i="9"/>
  <c r="M2518" i="9"/>
  <c r="A2519" i="9"/>
  <c r="B2519" i="9"/>
  <c r="C2519" i="9"/>
  <c r="D2519" i="9"/>
  <c r="E2519" i="9"/>
  <c r="F2519" i="9"/>
  <c r="G2519" i="9"/>
  <c r="I2519" i="9"/>
  <c r="L2519" i="9"/>
  <c r="M2519" i="9"/>
  <c r="A2520" i="9"/>
  <c r="B2520" i="9" s="1"/>
  <c r="F2520" i="9"/>
  <c r="G2520" i="9"/>
  <c r="H2520" i="9"/>
  <c r="I2520" i="9"/>
  <c r="L2520" i="9"/>
  <c r="M2520" i="9"/>
  <c r="A2521" i="9"/>
  <c r="J2521" i="9" s="1"/>
  <c r="K2521" i="9" s="1"/>
  <c r="C2521" i="9"/>
  <c r="D2521" i="9"/>
  <c r="E2521" i="9"/>
  <c r="F2521" i="9"/>
  <c r="A2522" i="9"/>
  <c r="J2522" i="9" s="1"/>
  <c r="K2522" i="9" s="1"/>
  <c r="L2522" i="9"/>
  <c r="A2523" i="9"/>
  <c r="B2523" i="9"/>
  <c r="C2523" i="9"/>
  <c r="D2523" i="9"/>
  <c r="E2523" i="9"/>
  <c r="I2523" i="9"/>
  <c r="J2523" i="9"/>
  <c r="K2523" i="9" s="1"/>
  <c r="L2523" i="9"/>
  <c r="A2524" i="9"/>
  <c r="I2524" i="9"/>
  <c r="A2525" i="9"/>
  <c r="J2525" i="9" s="1"/>
  <c r="B2525" i="9"/>
  <c r="C2525" i="9"/>
  <c r="D2525" i="9"/>
  <c r="E2525" i="9"/>
  <c r="F2525" i="9"/>
  <c r="G2525" i="9"/>
  <c r="H2525" i="9"/>
  <c r="I2525" i="9"/>
  <c r="K2525" i="9"/>
  <c r="L2525" i="9"/>
  <c r="M2525" i="9"/>
  <c r="A2526" i="9"/>
  <c r="B2526" i="9" s="1"/>
  <c r="C2526" i="9"/>
  <c r="D2526" i="9"/>
  <c r="F2526" i="9"/>
  <c r="G2526" i="9"/>
  <c r="H2526" i="9"/>
  <c r="L2526" i="9"/>
  <c r="M2526" i="9"/>
  <c r="A2527" i="9"/>
  <c r="H2527" i="9" s="1"/>
  <c r="B2527" i="9"/>
  <c r="E2527" i="9"/>
  <c r="F2527" i="9"/>
  <c r="G2527" i="9"/>
  <c r="I2527" i="9"/>
  <c r="A2528" i="9"/>
  <c r="G2528" i="9" s="1"/>
  <c r="B2528" i="9"/>
  <c r="C2528" i="9"/>
  <c r="H2528" i="9"/>
  <c r="I2528" i="9"/>
  <c r="J2528" i="9"/>
  <c r="K2528" i="9" s="1"/>
  <c r="M2528" i="9"/>
  <c r="A2529" i="9"/>
  <c r="H2529" i="9" s="1"/>
  <c r="B2529" i="9"/>
  <c r="C2529" i="9"/>
  <c r="D2529" i="9"/>
  <c r="A2530" i="9"/>
  <c r="E2530" i="9" s="1"/>
  <c r="B2530" i="9"/>
  <c r="C2530" i="9"/>
  <c r="D2530" i="9"/>
  <c r="F2530" i="9"/>
  <c r="H2530" i="9"/>
  <c r="I2530" i="9"/>
  <c r="J2530" i="9"/>
  <c r="K2530" i="9" s="1"/>
  <c r="L2530" i="9"/>
  <c r="M2530" i="9"/>
  <c r="A2531" i="9"/>
  <c r="B2531" i="9"/>
  <c r="C2531" i="9"/>
  <c r="D2531" i="9"/>
  <c r="E2531" i="9"/>
  <c r="A2532" i="9"/>
  <c r="B2532" i="9" s="1"/>
  <c r="D2532" i="9"/>
  <c r="E2532" i="9"/>
  <c r="G2532" i="9"/>
  <c r="H2532" i="9"/>
  <c r="I2532" i="9"/>
  <c r="J2532" i="9"/>
  <c r="K2532" i="9" s="1"/>
  <c r="L2532" i="9"/>
  <c r="M2532" i="9"/>
  <c r="A2533" i="9"/>
  <c r="E2533" i="9"/>
  <c r="G2533" i="9"/>
  <c r="H2533" i="9"/>
  <c r="I2533" i="9"/>
  <c r="A2534" i="9"/>
  <c r="B2534" i="9" s="1"/>
  <c r="C2534" i="9"/>
  <c r="D2534" i="9"/>
  <c r="F2534" i="9"/>
  <c r="G2534" i="9"/>
  <c r="H2534" i="9"/>
  <c r="I2534" i="9"/>
  <c r="A2535" i="9"/>
  <c r="F2535" i="9" s="1"/>
  <c r="B2535" i="9"/>
  <c r="C2535" i="9"/>
  <c r="D2535" i="9"/>
  <c r="G2535" i="9"/>
  <c r="H2535" i="9"/>
  <c r="I2535" i="9"/>
  <c r="A2536" i="9"/>
  <c r="D2536" i="9" s="1"/>
  <c r="B2536" i="9"/>
  <c r="C2536" i="9"/>
  <c r="I2536" i="9"/>
  <c r="J2536" i="9"/>
  <c r="K2536" i="9" s="1"/>
  <c r="L2536" i="9"/>
  <c r="A2537" i="9"/>
  <c r="E2537" i="9" s="1"/>
  <c r="B2537" i="9"/>
  <c r="A2538" i="9"/>
  <c r="B2538" i="9"/>
  <c r="C2538" i="9"/>
  <c r="D2538" i="9"/>
  <c r="E2538" i="9"/>
  <c r="F2538" i="9"/>
  <c r="G2538" i="9"/>
  <c r="H2538" i="9"/>
  <c r="I2538" i="9"/>
  <c r="J2538" i="9"/>
  <c r="K2538" i="9"/>
  <c r="L2538" i="9"/>
  <c r="M2538" i="9"/>
  <c r="A2539" i="9"/>
  <c r="A2540" i="9"/>
  <c r="H2540" i="9" s="1"/>
  <c r="D2540" i="9"/>
  <c r="E2540" i="9"/>
  <c r="F2540" i="9"/>
  <c r="G2540" i="9"/>
  <c r="I2540" i="9"/>
  <c r="J2540" i="9"/>
  <c r="K2540" i="9"/>
  <c r="L2540" i="9"/>
  <c r="M2540" i="9"/>
  <c r="A2541" i="9"/>
  <c r="F2541" i="9"/>
  <c r="A2542" i="9"/>
  <c r="H2542" i="9" s="1"/>
  <c r="C2542" i="9"/>
  <c r="D2542" i="9"/>
  <c r="E2542" i="9"/>
  <c r="F2542" i="9"/>
  <c r="A2543" i="9"/>
  <c r="F2543" i="9" s="1"/>
  <c r="B2543" i="9"/>
  <c r="C2543" i="9"/>
  <c r="D2543" i="9"/>
  <c r="M2543" i="9"/>
  <c r="A2544" i="9"/>
  <c r="B2544" i="9"/>
  <c r="D2544" i="9"/>
  <c r="E2544" i="9"/>
  <c r="I2544" i="9"/>
  <c r="J2544" i="9"/>
  <c r="K2544" i="9" s="1"/>
  <c r="L2544" i="9"/>
  <c r="A2545" i="9"/>
  <c r="M2545" i="9" s="1"/>
  <c r="B2545" i="9"/>
  <c r="C2545" i="9"/>
  <c r="A2546" i="9"/>
  <c r="B2546" i="9"/>
  <c r="C2546" i="9"/>
  <c r="D2546" i="9"/>
  <c r="E2546" i="9"/>
  <c r="F2546" i="9"/>
  <c r="G2546" i="9"/>
  <c r="H2546" i="9"/>
  <c r="I2546" i="9"/>
  <c r="J2546" i="9"/>
  <c r="K2546" i="9" s="1"/>
  <c r="L2546" i="9"/>
  <c r="M2546" i="9"/>
  <c r="A2547" i="9"/>
  <c r="B2547" i="9"/>
  <c r="C2547" i="9"/>
  <c r="E2547" i="9"/>
  <c r="F2547" i="9"/>
  <c r="G2547" i="9"/>
  <c r="H2547" i="9"/>
  <c r="L2547" i="9"/>
  <c r="M2547" i="9"/>
  <c r="A2548" i="9"/>
  <c r="C2548" i="9" s="1"/>
  <c r="B2548" i="9"/>
  <c r="E2548" i="9"/>
  <c r="F2548" i="9"/>
  <c r="G2548" i="9"/>
  <c r="H2548" i="9"/>
  <c r="I2548" i="9"/>
  <c r="J2548" i="9"/>
  <c r="K2548" i="9" s="1"/>
  <c r="L2548" i="9"/>
  <c r="M2548" i="9"/>
  <c r="A2549" i="9"/>
  <c r="B2549" i="9"/>
  <c r="C2549" i="9"/>
  <c r="G2549" i="9"/>
  <c r="H2549" i="9"/>
  <c r="I2549" i="9"/>
  <c r="J2549" i="9"/>
  <c r="K2549" i="9" s="1"/>
  <c r="L2549" i="9"/>
  <c r="M2549" i="9"/>
  <c r="A2550" i="9"/>
  <c r="C2550" i="9" s="1"/>
  <c r="B2550" i="9"/>
  <c r="D2550" i="9"/>
  <c r="F2550" i="9"/>
  <c r="G2550" i="9"/>
  <c r="H2550" i="9"/>
  <c r="I2550" i="9"/>
  <c r="J2550" i="9"/>
  <c r="K2550" i="9" s="1"/>
  <c r="A2551" i="9"/>
  <c r="L2551" i="9" s="1"/>
  <c r="B2551" i="9"/>
  <c r="C2551" i="9"/>
  <c r="D2551" i="9"/>
  <c r="E2551" i="9"/>
  <c r="G2551" i="9"/>
  <c r="H2551" i="9"/>
  <c r="I2551" i="9"/>
  <c r="J2551" i="9"/>
  <c r="K2551" i="9" s="1"/>
  <c r="M2551" i="9"/>
  <c r="A2552" i="9"/>
  <c r="B2552" i="9" s="1"/>
  <c r="D2552" i="9"/>
  <c r="E2552" i="9"/>
  <c r="F2552" i="9"/>
  <c r="J2552" i="9"/>
  <c r="K2552" i="9" s="1"/>
  <c r="L2552" i="9"/>
  <c r="M2552" i="9"/>
  <c r="A2553" i="9"/>
  <c r="F2553" i="9" s="1"/>
  <c r="B2553" i="9"/>
  <c r="C2553" i="9"/>
  <c r="D2553" i="9"/>
  <c r="E2553" i="9"/>
  <c r="G2553" i="9"/>
  <c r="H2553" i="9"/>
  <c r="I2553" i="9"/>
  <c r="J2553" i="9"/>
  <c r="K2553" i="9" s="1"/>
  <c r="L2553" i="9"/>
  <c r="M2553" i="9"/>
  <c r="A2554" i="9"/>
  <c r="E2554" i="9"/>
  <c r="F2554" i="9"/>
  <c r="G2554" i="9"/>
  <c r="H2554" i="9"/>
  <c r="J2554" i="9"/>
  <c r="K2554" i="9" s="1"/>
  <c r="L2554" i="9"/>
  <c r="A2555" i="9"/>
  <c r="B2555" i="9"/>
  <c r="C2555" i="9"/>
  <c r="D2555" i="9"/>
  <c r="E2555" i="9"/>
  <c r="F2555" i="9"/>
  <c r="G2555" i="9"/>
  <c r="H2555" i="9"/>
  <c r="I2555" i="9"/>
  <c r="M2555" i="9"/>
  <c r="A2556" i="9"/>
  <c r="B2556" i="9" s="1"/>
  <c r="E2556" i="9"/>
  <c r="F2556" i="9"/>
  <c r="H2556" i="9"/>
  <c r="I2556" i="9"/>
  <c r="J2556" i="9"/>
  <c r="K2556" i="9" s="1"/>
  <c r="L2556" i="9"/>
  <c r="A2557" i="9"/>
  <c r="B2557" i="9" s="1"/>
  <c r="C2557" i="9"/>
  <c r="D2557" i="9"/>
  <c r="H2557" i="9"/>
  <c r="I2557" i="9"/>
  <c r="J2557" i="9"/>
  <c r="K2557" i="9" s="1"/>
  <c r="M2557" i="9"/>
  <c r="A2558" i="9"/>
  <c r="B2558" i="9"/>
  <c r="C2558" i="9"/>
  <c r="D2558" i="9"/>
  <c r="E2558" i="9"/>
  <c r="F2558" i="9"/>
  <c r="G2558" i="9"/>
  <c r="H2558" i="9"/>
  <c r="I2558" i="9"/>
  <c r="J2558" i="9"/>
  <c r="K2558" i="9" s="1"/>
  <c r="L2558" i="9"/>
  <c r="M2558" i="9"/>
  <c r="A2559" i="9"/>
  <c r="H2559" i="9" s="1"/>
  <c r="B2559" i="9"/>
  <c r="C2559" i="9"/>
  <c r="D2559" i="9"/>
  <c r="E2559" i="9"/>
  <c r="G2559" i="9"/>
  <c r="I2559" i="9"/>
  <c r="J2559" i="9"/>
  <c r="K2559" i="9" s="1"/>
  <c r="L2559" i="9"/>
  <c r="M2559" i="9"/>
  <c r="A2560" i="9"/>
  <c r="B2560" i="9"/>
  <c r="C2560" i="9"/>
  <c r="D2560" i="9"/>
  <c r="E2560" i="9"/>
  <c r="F2560" i="9"/>
  <c r="A2561" i="9"/>
  <c r="B2561" i="9" s="1"/>
  <c r="C2561" i="9"/>
  <c r="D2561" i="9"/>
  <c r="E2561" i="9"/>
  <c r="F2561" i="9"/>
  <c r="G2561" i="9"/>
  <c r="H2561" i="9"/>
  <c r="I2561" i="9"/>
  <c r="J2561" i="9"/>
  <c r="K2561" i="9" s="1"/>
  <c r="L2561" i="9"/>
  <c r="M2561" i="9"/>
  <c r="A2562" i="9"/>
  <c r="F2562" i="9" s="1"/>
  <c r="E2562" i="9"/>
  <c r="G2562" i="9"/>
  <c r="A2563" i="9"/>
  <c r="D2563" i="9" s="1"/>
  <c r="B2563" i="9"/>
  <c r="C2563" i="9"/>
  <c r="E2563" i="9"/>
  <c r="F2563" i="9"/>
  <c r="G2563" i="9"/>
  <c r="H2563" i="9"/>
  <c r="I2563" i="9"/>
  <c r="M2563" i="9"/>
  <c r="A2564" i="9"/>
  <c r="H2564" i="9" s="1"/>
  <c r="B2564" i="9"/>
  <c r="A2565" i="9"/>
  <c r="C2565" i="9" s="1"/>
  <c r="B2565" i="9"/>
  <c r="D2565" i="9"/>
  <c r="H2565" i="9"/>
  <c r="I2565" i="9"/>
  <c r="L2565" i="9"/>
  <c r="A2566" i="9"/>
  <c r="B2566" i="9"/>
  <c r="C2566" i="9"/>
  <c r="D2566" i="9"/>
  <c r="E2566" i="9"/>
  <c r="F2566" i="9"/>
  <c r="G2566" i="9"/>
  <c r="A2567" i="9"/>
  <c r="D2567" i="9" s="1"/>
  <c r="B2567" i="9"/>
  <c r="C2567" i="9"/>
  <c r="E2567" i="9"/>
  <c r="F2567" i="9"/>
  <c r="G2567" i="9"/>
  <c r="H2567" i="9"/>
  <c r="I2567" i="9"/>
  <c r="J2567" i="9"/>
  <c r="K2567" i="9" s="1"/>
  <c r="L2567" i="9"/>
  <c r="M2567" i="9"/>
  <c r="A2568" i="9"/>
  <c r="B2568" i="9"/>
  <c r="C2568" i="9"/>
  <c r="A2569" i="9"/>
  <c r="D2569" i="9"/>
  <c r="E2569" i="9"/>
  <c r="F2569" i="9"/>
  <c r="G2569" i="9"/>
  <c r="H2569" i="9"/>
  <c r="I2569" i="9"/>
  <c r="A2570" i="9"/>
  <c r="B2570" i="9" s="1"/>
  <c r="A2571" i="9"/>
  <c r="C2571" i="9" s="1"/>
  <c r="E2571" i="9"/>
  <c r="F2571" i="9"/>
  <c r="G2571" i="9"/>
  <c r="H2571" i="9"/>
  <c r="I2571" i="9"/>
  <c r="J2571" i="9"/>
  <c r="K2571" i="9" s="1"/>
  <c r="A2572" i="9"/>
  <c r="F2572" i="9" s="1"/>
  <c r="B2572" i="9"/>
  <c r="C2572" i="9"/>
  <c r="D2572" i="9"/>
  <c r="E2572" i="9"/>
  <c r="G2572" i="9"/>
  <c r="H2572" i="9"/>
  <c r="I2572" i="9"/>
  <c r="J2572" i="9"/>
  <c r="K2572" i="9" s="1"/>
  <c r="L2572" i="9"/>
  <c r="M2572" i="9"/>
  <c r="A2573" i="9"/>
  <c r="B2573" i="9"/>
  <c r="C2573" i="9"/>
  <c r="D2573" i="9"/>
  <c r="E2573" i="9"/>
  <c r="J2573" i="9"/>
  <c r="K2573" i="9" s="1"/>
  <c r="L2573" i="9"/>
  <c r="M2573" i="9"/>
  <c r="A2574" i="9"/>
  <c r="M2574" i="9" s="1"/>
  <c r="B2574" i="9"/>
  <c r="C2574" i="9"/>
  <c r="D2574" i="9"/>
  <c r="E2574" i="9"/>
  <c r="F2574" i="9"/>
  <c r="G2574" i="9"/>
  <c r="H2574" i="9"/>
  <c r="I2574" i="9"/>
  <c r="J2574" i="9"/>
  <c r="K2574" i="9" s="1"/>
  <c r="L2574" i="9"/>
  <c r="A2575" i="9"/>
  <c r="E2575" i="9"/>
  <c r="F2575" i="9"/>
  <c r="G2575" i="9"/>
  <c r="H2575" i="9"/>
  <c r="J2575" i="9"/>
  <c r="K2575" i="9" s="1"/>
  <c r="L2575" i="9"/>
  <c r="M2575" i="9"/>
  <c r="A2576" i="9"/>
  <c r="B2576" i="9"/>
  <c r="M2576" i="9"/>
  <c r="A2577" i="9"/>
  <c r="D2577" i="9" s="1"/>
  <c r="B2577" i="9"/>
  <c r="C2577" i="9"/>
  <c r="E2577" i="9"/>
  <c r="F2577" i="9"/>
  <c r="G2577" i="9"/>
  <c r="H2577" i="9"/>
  <c r="I2577" i="9"/>
  <c r="J2577" i="9"/>
  <c r="K2577" i="9"/>
  <c r="L2577" i="9"/>
  <c r="M2577" i="9"/>
  <c r="A2578" i="9"/>
  <c r="B2578" i="9"/>
  <c r="C2578" i="9"/>
  <c r="D2578" i="9"/>
  <c r="E2578" i="9"/>
  <c r="F2578" i="9"/>
  <c r="G2578" i="9"/>
  <c r="H2578" i="9"/>
  <c r="I2578" i="9"/>
  <c r="J2578" i="9"/>
  <c r="K2578" i="9" s="1"/>
  <c r="L2578" i="9"/>
  <c r="M2578" i="9"/>
  <c r="A2579" i="9"/>
  <c r="E2579" i="9" s="1"/>
  <c r="B2579" i="9"/>
  <c r="C2579" i="9"/>
  <c r="D2579" i="9"/>
  <c r="F2579" i="9"/>
  <c r="G2579" i="9"/>
  <c r="I2579" i="9"/>
  <c r="J2579" i="9"/>
  <c r="K2579" i="9" s="1"/>
  <c r="A2580" i="9"/>
  <c r="F2580" i="9" s="1"/>
  <c r="B2580" i="9"/>
  <c r="C2580" i="9"/>
  <c r="D2580" i="9"/>
  <c r="E2580" i="9"/>
  <c r="G2580" i="9"/>
  <c r="H2580" i="9"/>
  <c r="I2580" i="9"/>
  <c r="J2580" i="9"/>
  <c r="K2580" i="9" s="1"/>
  <c r="L2580" i="9"/>
  <c r="M2580" i="9"/>
  <c r="A2581" i="9"/>
  <c r="E2581" i="9" s="1"/>
  <c r="C2581" i="9"/>
  <c r="D2581" i="9"/>
  <c r="F2581" i="9"/>
  <c r="J2581" i="9"/>
  <c r="K2581" i="9"/>
  <c r="A2582" i="9"/>
  <c r="B2582" i="9"/>
  <c r="C2582" i="9"/>
  <c r="D2582" i="9"/>
  <c r="E2582" i="9"/>
  <c r="F2582" i="9"/>
  <c r="G2582" i="9"/>
  <c r="H2582" i="9"/>
  <c r="I2582" i="9"/>
  <c r="J2582" i="9"/>
  <c r="K2582" i="9" s="1"/>
  <c r="L2582" i="9"/>
  <c r="M2582" i="9"/>
  <c r="A2583" i="9"/>
  <c r="B2583" i="9"/>
  <c r="C2583" i="9"/>
  <c r="D2583" i="9"/>
  <c r="E2583" i="9"/>
  <c r="F2583" i="9"/>
  <c r="G2583" i="9"/>
  <c r="H2583" i="9"/>
  <c r="I2583" i="9"/>
  <c r="J2583" i="9"/>
  <c r="K2583" i="9" s="1"/>
  <c r="L2583" i="9"/>
  <c r="M2583" i="9"/>
  <c r="A2584" i="9"/>
  <c r="E2584" i="9" s="1"/>
  <c r="B2584" i="9"/>
  <c r="C2584" i="9"/>
  <c r="A2585" i="9"/>
  <c r="C2585" i="9"/>
  <c r="J2585" i="9"/>
  <c r="K2585" i="9" s="1"/>
  <c r="L2585" i="9"/>
  <c r="M2585" i="9"/>
  <c r="A2586" i="9"/>
  <c r="E2586" i="9"/>
  <c r="F2586" i="9"/>
  <c r="G2586" i="9"/>
  <c r="H2586" i="9"/>
  <c r="J2586" i="9"/>
  <c r="K2586" i="9"/>
  <c r="L2586" i="9"/>
  <c r="A2587" i="9"/>
  <c r="H2587" i="9"/>
  <c r="M2587" i="9"/>
  <c r="A2588" i="9"/>
  <c r="E2588" i="9" s="1"/>
  <c r="B2588" i="9"/>
  <c r="D2588" i="9"/>
  <c r="F2588" i="9"/>
  <c r="G2588" i="9"/>
  <c r="H2588" i="9"/>
  <c r="I2588" i="9"/>
  <c r="J2588" i="9"/>
  <c r="K2588" i="9"/>
  <c r="L2588" i="9"/>
  <c r="A2589" i="9"/>
  <c r="B2589" i="9" s="1"/>
  <c r="F2589" i="9"/>
  <c r="G2589" i="9"/>
  <c r="H2589" i="9"/>
  <c r="I2589" i="9"/>
  <c r="L2589" i="9"/>
  <c r="M2589" i="9"/>
  <c r="A2590" i="9"/>
  <c r="F2590" i="9" s="1"/>
  <c r="B2590" i="9"/>
  <c r="C2590" i="9"/>
  <c r="D2590" i="9"/>
  <c r="E2590" i="9"/>
  <c r="G2590" i="9"/>
  <c r="H2590" i="9"/>
  <c r="I2590" i="9"/>
  <c r="M2590" i="9"/>
  <c r="A2591" i="9"/>
  <c r="D2591" i="9" s="1"/>
  <c r="B2591" i="9"/>
  <c r="C2591" i="9"/>
  <c r="E2591" i="9"/>
  <c r="F2591" i="9"/>
  <c r="G2591" i="9"/>
  <c r="H2591" i="9"/>
  <c r="I2591" i="9"/>
  <c r="J2591" i="9"/>
  <c r="K2591" i="9"/>
  <c r="L2591" i="9"/>
  <c r="M2591" i="9"/>
  <c r="A2592" i="9"/>
  <c r="G2592" i="9" s="1"/>
  <c r="B2592" i="9"/>
  <c r="C2592" i="9"/>
  <c r="H2592" i="9"/>
  <c r="I2592" i="9"/>
  <c r="J2592" i="9"/>
  <c r="K2592" i="9" s="1"/>
  <c r="L2592" i="9"/>
  <c r="A2593" i="9"/>
  <c r="B2593" i="9" s="1"/>
  <c r="C2593" i="9"/>
  <c r="D2593" i="9"/>
  <c r="E2593" i="9"/>
  <c r="F2593" i="9"/>
  <c r="G2593" i="9"/>
  <c r="H2593" i="9"/>
  <c r="I2593" i="9"/>
  <c r="J2593" i="9"/>
  <c r="K2593" i="9" s="1"/>
  <c r="A2594" i="9"/>
  <c r="H2594" i="9" s="1"/>
  <c r="B2594" i="9"/>
  <c r="C2594" i="9"/>
  <c r="D2594" i="9"/>
  <c r="F2594" i="9"/>
  <c r="G2594" i="9"/>
  <c r="I2594" i="9"/>
  <c r="J2594" i="9"/>
  <c r="K2594" i="9" s="1"/>
  <c r="A2595" i="9"/>
  <c r="B2595" i="9" s="1"/>
  <c r="C2595" i="9"/>
  <c r="D2595" i="9"/>
  <c r="I2595" i="9"/>
  <c r="J2595" i="9"/>
  <c r="K2595" i="9"/>
  <c r="M2595" i="9"/>
  <c r="A2596" i="9"/>
  <c r="G2596" i="9" s="1"/>
  <c r="B2596" i="9"/>
  <c r="C2596" i="9"/>
  <c r="A2597" i="9"/>
  <c r="F2597" i="9" s="1"/>
  <c r="B2597" i="9"/>
  <c r="C2597" i="9"/>
  <c r="D2597" i="9"/>
  <c r="E2597" i="9"/>
  <c r="G2597" i="9"/>
  <c r="H2597" i="9"/>
  <c r="I2597" i="9"/>
  <c r="J2597" i="9"/>
  <c r="K2597" i="9"/>
  <c r="L2597" i="9"/>
  <c r="M2597" i="9"/>
  <c r="A2598" i="9"/>
  <c r="B2598" i="9"/>
  <c r="C2598" i="9"/>
  <c r="A2599" i="9"/>
  <c r="M2599" i="9" s="1"/>
  <c r="B2599" i="9"/>
  <c r="C2599" i="9"/>
  <c r="E2599" i="9"/>
  <c r="F2599" i="9"/>
  <c r="G2599" i="9"/>
  <c r="H2599" i="9"/>
  <c r="I2599" i="9"/>
  <c r="J2599" i="9"/>
  <c r="K2599" i="9"/>
  <c r="L2599" i="9"/>
  <c r="A2600" i="9"/>
  <c r="B2600" i="9"/>
  <c r="C2600" i="9"/>
  <c r="D2600" i="9"/>
  <c r="E2600" i="9"/>
  <c r="F2600" i="9"/>
  <c r="G2600" i="9"/>
  <c r="H2600" i="9"/>
  <c r="I2600" i="9"/>
  <c r="J2600" i="9"/>
  <c r="K2600" i="9"/>
  <c r="L2600" i="9"/>
  <c r="M2600" i="9"/>
  <c r="A2601" i="9"/>
  <c r="B2601" i="9" s="1"/>
  <c r="D2601" i="9"/>
  <c r="E2601" i="9"/>
  <c r="F2601" i="9"/>
  <c r="J2601" i="9"/>
  <c r="K2601" i="9"/>
  <c r="L2601" i="9"/>
  <c r="M2601" i="9"/>
  <c r="A2602" i="9"/>
  <c r="B2602" i="9"/>
  <c r="C2602" i="9"/>
  <c r="D2602" i="9"/>
  <c r="E2602" i="9"/>
  <c r="F2602" i="9"/>
  <c r="G2602" i="9"/>
  <c r="H2602" i="9"/>
  <c r="I2602" i="9"/>
  <c r="J2602" i="9"/>
  <c r="K2602" i="9" s="1"/>
  <c r="L2602" i="9"/>
  <c r="M2602" i="9"/>
  <c r="A2603" i="9"/>
  <c r="B2603" i="9"/>
  <c r="C2603" i="9"/>
  <c r="D2603" i="9"/>
  <c r="E2603" i="9"/>
  <c r="F2603" i="9"/>
  <c r="G2603" i="9"/>
  <c r="H2603" i="9"/>
  <c r="I2603" i="9"/>
  <c r="J2603" i="9"/>
  <c r="K2603" i="9" s="1"/>
  <c r="L2603" i="9"/>
  <c r="M2603" i="9"/>
  <c r="A2604" i="9"/>
  <c r="C2604" i="9" s="1"/>
  <c r="B2604" i="9"/>
  <c r="D2604" i="9"/>
  <c r="E2604" i="9"/>
  <c r="F2604" i="9"/>
  <c r="G2604" i="9"/>
  <c r="L2604" i="9"/>
  <c r="M2604" i="9"/>
  <c r="A2605" i="9"/>
  <c r="C2605" i="9"/>
  <c r="D2605" i="9"/>
  <c r="E2605" i="9"/>
  <c r="F2605" i="9"/>
  <c r="M2605" i="9"/>
  <c r="A2606" i="9"/>
  <c r="E2606" i="9"/>
  <c r="F2606" i="9"/>
  <c r="G2606" i="9"/>
  <c r="H2606" i="9"/>
  <c r="J2606" i="9"/>
  <c r="K2606" i="9" s="1"/>
  <c r="L2606" i="9"/>
  <c r="M2606" i="9"/>
  <c r="A2607" i="9"/>
  <c r="C2607" i="9" s="1"/>
  <c r="B2607" i="9"/>
  <c r="D2607" i="9"/>
  <c r="A2608" i="9"/>
  <c r="D2608" i="9"/>
  <c r="E2608" i="9"/>
  <c r="F2608" i="9"/>
  <c r="G2608" i="9"/>
  <c r="H2608" i="9"/>
  <c r="I2608" i="9"/>
  <c r="J2608" i="9"/>
  <c r="K2608" i="9"/>
  <c r="L2608" i="9"/>
  <c r="M2608" i="9"/>
  <c r="A2609" i="9"/>
  <c r="B2609" i="9"/>
  <c r="M2609" i="9"/>
  <c r="A2610" i="9"/>
  <c r="B2610" i="9"/>
  <c r="C2610" i="9"/>
  <c r="D2610" i="9"/>
  <c r="E2610" i="9"/>
  <c r="F2610" i="9"/>
  <c r="G2610" i="9"/>
  <c r="H2610" i="9"/>
  <c r="I2610" i="9"/>
  <c r="M2610" i="9"/>
  <c r="A2611" i="9"/>
  <c r="B2611" i="9"/>
  <c r="C2611" i="9"/>
  <c r="M2611" i="9"/>
  <c r="A2612" i="9"/>
  <c r="B2612" i="9"/>
  <c r="A2613" i="9"/>
  <c r="B2613" i="9"/>
  <c r="I2613" i="9"/>
  <c r="A2614" i="9"/>
  <c r="E2614" i="9" s="1"/>
  <c r="B2614" i="9"/>
  <c r="C2614" i="9"/>
  <c r="D2614" i="9"/>
  <c r="F2614" i="9"/>
  <c r="G2614" i="9"/>
  <c r="H2614" i="9"/>
  <c r="I2614" i="9"/>
  <c r="J2614" i="9"/>
  <c r="K2614" i="9"/>
  <c r="A2615" i="9"/>
  <c r="B2615" i="9"/>
  <c r="C2615" i="9"/>
  <c r="D2615" i="9"/>
  <c r="H2615" i="9"/>
  <c r="I2615" i="9"/>
  <c r="J2615" i="9"/>
  <c r="K2615" i="9" s="1"/>
  <c r="M2615" i="9"/>
  <c r="A2616" i="9"/>
  <c r="B2616" i="9"/>
  <c r="C2616" i="9"/>
  <c r="D2616" i="9"/>
  <c r="E2616" i="9"/>
  <c r="F2616" i="9"/>
  <c r="G2616" i="9"/>
  <c r="H2616" i="9"/>
  <c r="I2616" i="9"/>
  <c r="J2616" i="9"/>
  <c r="K2616" i="9" s="1"/>
  <c r="A2617" i="9"/>
  <c r="F2617" i="9" s="1"/>
  <c r="B2617" i="9"/>
  <c r="C2617" i="9"/>
  <c r="D2617" i="9"/>
  <c r="E2617" i="9"/>
  <c r="G2617" i="9"/>
  <c r="H2617" i="9"/>
  <c r="I2617" i="9"/>
  <c r="J2617" i="9"/>
  <c r="K2617" i="9" s="1"/>
  <c r="L2617" i="9"/>
  <c r="M2617" i="9"/>
  <c r="A2618" i="9"/>
  <c r="B2618" i="9"/>
  <c r="C2618" i="9"/>
  <c r="D2618" i="9"/>
  <c r="E2618" i="9"/>
  <c r="I2618" i="9"/>
  <c r="J2618" i="9"/>
  <c r="K2618" i="9" s="1"/>
  <c r="A2619" i="9"/>
  <c r="M2619" i="9" s="1"/>
  <c r="C2619" i="9"/>
  <c r="D2619" i="9"/>
  <c r="E2619" i="9"/>
  <c r="F2619" i="9"/>
  <c r="G2619" i="9"/>
  <c r="H2619" i="9"/>
  <c r="I2619" i="9"/>
  <c r="J2619" i="9"/>
  <c r="K2619" i="9" s="1"/>
  <c r="L2619" i="9"/>
  <c r="A2620" i="9"/>
  <c r="B2620" i="9"/>
  <c r="C2620" i="9"/>
  <c r="D2620" i="9"/>
  <c r="E2620" i="9"/>
  <c r="F2620" i="9"/>
  <c r="G2620" i="9"/>
  <c r="H2620" i="9"/>
  <c r="I2620" i="9"/>
  <c r="J2620" i="9"/>
  <c r="K2620" i="9"/>
  <c r="L2620" i="9"/>
  <c r="M2620" i="9"/>
  <c r="A2621" i="9"/>
  <c r="D2621" i="9" s="1"/>
  <c r="C2621" i="9"/>
  <c r="E2621" i="9"/>
  <c r="F2621" i="9"/>
  <c r="J2621" i="9"/>
  <c r="K2621" i="9" s="1"/>
  <c r="L2621" i="9"/>
  <c r="M2621" i="9"/>
  <c r="A2622" i="9"/>
  <c r="B2622" i="9"/>
  <c r="C2622" i="9"/>
  <c r="D2622" i="9"/>
  <c r="E2622" i="9"/>
  <c r="F2622" i="9"/>
  <c r="G2622" i="9"/>
  <c r="H2622" i="9"/>
  <c r="I2622" i="9"/>
  <c r="J2622" i="9"/>
  <c r="K2622" i="9"/>
  <c r="L2622" i="9"/>
  <c r="M2622" i="9"/>
  <c r="A2623" i="9"/>
  <c r="B2623" i="9"/>
  <c r="C2623" i="9"/>
  <c r="D2623" i="9"/>
  <c r="E2623" i="9"/>
  <c r="F2623" i="9"/>
  <c r="G2623" i="9"/>
  <c r="H2623" i="9"/>
  <c r="I2623" i="9"/>
  <c r="J2623" i="9"/>
  <c r="K2623" i="9"/>
  <c r="L2623" i="9"/>
  <c r="M2623" i="9"/>
  <c r="A2624" i="9"/>
  <c r="B2624" i="9"/>
  <c r="C2624" i="9"/>
  <c r="D2624" i="9"/>
  <c r="E2624" i="9"/>
  <c r="F2624" i="9"/>
  <c r="G2624" i="9"/>
  <c r="L2624" i="9"/>
  <c r="M2624" i="9"/>
  <c r="A2625" i="9"/>
  <c r="C2625" i="9"/>
  <c r="D2625" i="9"/>
  <c r="E2625" i="9"/>
  <c r="F2625" i="9"/>
  <c r="G2625" i="9"/>
  <c r="H2625" i="9"/>
  <c r="I2625" i="9"/>
  <c r="A2626" i="9"/>
  <c r="G2626" i="9" s="1"/>
  <c r="E2626" i="9"/>
  <c r="F2626" i="9"/>
  <c r="H2626" i="9"/>
  <c r="J2626" i="9"/>
  <c r="K2626" i="9" s="1"/>
  <c r="L2626" i="9"/>
  <c r="M2626" i="9"/>
  <c r="A2627" i="9"/>
  <c r="B2627" i="9" s="1"/>
  <c r="D2627" i="9"/>
  <c r="E2627" i="9"/>
  <c r="F2627" i="9"/>
  <c r="G2627" i="9"/>
  <c r="A2628" i="9"/>
  <c r="C2628" i="9" s="1"/>
  <c r="B2628" i="9"/>
  <c r="D2628" i="9"/>
  <c r="E2628" i="9"/>
  <c r="G2628" i="9"/>
  <c r="H2628" i="9"/>
  <c r="I2628" i="9"/>
  <c r="J2628" i="9"/>
  <c r="K2628" i="9" s="1"/>
  <c r="L2628" i="9"/>
  <c r="M2628" i="9"/>
  <c r="A2629" i="9"/>
  <c r="G2629" i="9" s="1"/>
  <c r="B2629" i="9"/>
  <c r="F2629" i="9"/>
  <c r="H2629" i="9"/>
  <c r="A2630" i="9"/>
  <c r="D2630" i="9" s="1"/>
  <c r="B2630" i="9"/>
  <c r="C2630" i="9"/>
  <c r="E2630" i="9"/>
  <c r="F2630" i="9"/>
  <c r="G2630" i="9"/>
  <c r="H2630" i="9"/>
  <c r="I2630" i="9"/>
  <c r="M2630" i="9"/>
  <c r="A2631" i="9"/>
  <c r="B2631" i="9"/>
  <c r="A2632" i="9"/>
  <c r="H2632" i="9" s="1"/>
  <c r="C2632" i="9"/>
  <c r="G2632" i="9"/>
  <c r="I2632" i="9"/>
  <c r="J2632" i="9"/>
  <c r="K2632" i="9" s="1"/>
  <c r="L2632" i="9"/>
  <c r="M2632" i="9"/>
  <c r="A2633" i="9"/>
  <c r="B2633" i="9"/>
  <c r="C2633" i="9"/>
  <c r="D2633" i="9"/>
  <c r="E2633" i="9"/>
  <c r="A2634" i="9"/>
  <c r="E2634" i="9" s="1"/>
  <c r="B2634" i="9"/>
  <c r="D2634" i="9"/>
  <c r="F2634" i="9"/>
  <c r="G2634" i="9"/>
  <c r="H2634" i="9"/>
  <c r="I2634" i="9"/>
  <c r="J2634" i="9"/>
  <c r="K2634" i="9"/>
  <c r="L2634" i="9"/>
  <c r="M2634" i="9"/>
  <c r="A2635" i="9"/>
  <c r="B2635" i="9"/>
  <c r="C2635" i="9"/>
  <c r="A2636" i="9"/>
  <c r="C2636" i="9"/>
  <c r="D2636" i="9"/>
  <c r="E2636" i="9"/>
  <c r="F2636" i="9"/>
  <c r="G2636" i="9"/>
  <c r="H2636" i="9"/>
  <c r="I2636" i="9"/>
  <c r="J2636" i="9"/>
  <c r="K2636" i="9" s="1"/>
  <c r="A2637" i="9"/>
  <c r="F2637" i="9" s="1"/>
  <c r="B2637" i="9"/>
  <c r="C2637" i="9"/>
  <c r="D2637" i="9"/>
  <c r="E2637" i="9"/>
  <c r="G2637" i="9"/>
  <c r="H2637" i="9"/>
  <c r="I2637" i="9"/>
  <c r="J2637" i="9"/>
  <c r="K2637" i="9" s="1"/>
  <c r="L2637" i="9"/>
  <c r="M2637" i="9"/>
  <c r="A2638" i="9"/>
  <c r="L2638" i="9" s="1"/>
  <c r="B2638" i="9"/>
  <c r="C2638" i="9"/>
  <c r="D2638" i="9"/>
  <c r="E2638" i="9"/>
  <c r="I2638" i="9"/>
  <c r="J2638" i="9"/>
  <c r="K2638" i="9" s="1"/>
  <c r="A2639" i="9"/>
  <c r="B2639" i="9"/>
  <c r="I2639" i="9"/>
  <c r="L2639" i="9"/>
  <c r="A2640" i="9"/>
  <c r="B2640" i="9"/>
  <c r="C2640" i="9"/>
  <c r="D2640" i="9"/>
  <c r="E2640" i="9"/>
  <c r="F2640" i="9"/>
  <c r="G2640" i="9"/>
  <c r="H2640" i="9"/>
  <c r="I2640" i="9"/>
  <c r="J2640" i="9"/>
  <c r="K2640" i="9" s="1"/>
  <c r="L2640" i="9"/>
  <c r="M2640" i="9"/>
  <c r="A2641" i="9"/>
  <c r="E2641" i="9" s="1"/>
  <c r="B2641" i="9"/>
  <c r="C2641" i="9"/>
  <c r="D2641" i="9"/>
  <c r="F2641" i="9"/>
  <c r="J2641" i="9"/>
  <c r="K2641" i="9"/>
  <c r="L2641" i="9"/>
  <c r="M2641" i="9"/>
  <c r="A2642" i="9"/>
  <c r="B2642" i="9"/>
  <c r="C2642" i="9"/>
  <c r="D2642" i="9"/>
  <c r="E2642" i="9"/>
  <c r="F2642" i="9"/>
  <c r="G2642" i="9"/>
  <c r="H2642" i="9"/>
  <c r="I2642" i="9"/>
  <c r="J2642" i="9"/>
  <c r="K2642" i="9" s="1"/>
  <c r="L2642" i="9"/>
  <c r="M2642" i="9"/>
  <c r="A2643" i="9"/>
  <c r="B2643" i="9"/>
  <c r="C2643" i="9"/>
  <c r="D2643" i="9"/>
  <c r="E2643" i="9"/>
  <c r="F2643" i="9"/>
  <c r="G2643" i="9"/>
  <c r="H2643" i="9"/>
  <c r="I2643" i="9"/>
  <c r="J2643" i="9"/>
  <c r="K2643" i="9" s="1"/>
  <c r="L2643" i="9"/>
  <c r="M2643" i="9"/>
  <c r="A2644" i="9"/>
  <c r="M2644" i="9"/>
  <c r="A2645" i="9"/>
  <c r="H2645" i="9" s="1"/>
  <c r="C2645" i="9"/>
  <c r="D2645" i="9"/>
  <c r="A2646" i="9"/>
  <c r="E2646" i="9" s="1"/>
  <c r="F2646" i="9"/>
  <c r="G2646" i="9"/>
  <c r="H2646" i="9"/>
  <c r="J2646" i="9"/>
  <c r="K2646" i="9" s="1"/>
  <c r="L2646" i="9"/>
  <c r="M2646" i="9"/>
  <c r="A2647" i="9"/>
  <c r="L2647" i="9" s="1"/>
  <c r="B2647" i="9"/>
  <c r="C2647" i="9"/>
  <c r="D2647" i="9"/>
  <c r="E2647" i="9"/>
  <c r="A2648" i="9"/>
  <c r="C2648" i="9" s="1"/>
  <c r="B2648" i="9"/>
  <c r="D2648" i="9"/>
  <c r="E2648" i="9"/>
  <c r="F2648" i="9"/>
  <c r="G2648" i="9"/>
  <c r="H2648" i="9"/>
  <c r="I2648" i="9"/>
  <c r="J2648" i="9"/>
  <c r="K2648" i="9"/>
  <c r="L2648" i="9"/>
  <c r="M2648" i="9"/>
  <c r="A2649" i="9"/>
  <c r="H2649" i="9" s="1"/>
  <c r="B2649" i="9"/>
  <c r="F2649" i="9"/>
  <c r="A2650" i="9"/>
  <c r="B2650" i="9" s="1"/>
  <c r="C2650" i="9"/>
  <c r="D2650" i="9"/>
  <c r="E2650" i="9"/>
  <c r="F2650" i="9"/>
  <c r="H2650" i="9"/>
  <c r="I2650" i="9"/>
  <c r="M2650" i="9"/>
  <c r="A2651" i="9"/>
  <c r="B2651" i="9"/>
  <c r="C2651" i="9"/>
  <c r="E2651" i="9"/>
  <c r="F2651" i="9"/>
  <c r="G2651" i="9"/>
  <c r="H2651" i="9"/>
  <c r="A2652" i="9"/>
  <c r="H2652" i="9" s="1"/>
  <c r="B2652" i="9"/>
  <c r="C2652" i="9"/>
  <c r="G2652" i="9"/>
  <c r="I2652" i="9"/>
  <c r="J2652" i="9"/>
  <c r="K2652" i="9" s="1"/>
  <c r="L2652" i="9"/>
  <c r="M2652" i="9"/>
  <c r="A2653" i="9"/>
  <c r="B2653" i="9"/>
  <c r="C2653" i="9"/>
  <c r="D2653" i="9"/>
  <c r="E2653" i="9"/>
  <c r="F2653" i="9"/>
  <c r="G2653" i="9"/>
  <c r="H2653" i="9"/>
  <c r="A2654" i="9"/>
  <c r="E2654" i="9" s="1"/>
  <c r="B2654" i="9"/>
  <c r="C2654" i="9"/>
  <c r="D2654" i="9"/>
  <c r="F2654" i="9"/>
  <c r="G2654" i="9"/>
  <c r="H2654" i="9"/>
  <c r="I2654" i="9"/>
  <c r="J2654" i="9"/>
  <c r="K2654" i="9" s="1"/>
  <c r="L2654" i="9"/>
  <c r="M2654" i="9"/>
  <c r="A2655" i="9"/>
  <c r="B2655" i="9"/>
  <c r="C2655" i="9"/>
  <c r="D2655" i="9"/>
  <c r="H2655" i="9"/>
  <c r="I2655" i="9"/>
  <c r="A2656" i="9"/>
  <c r="E2656" i="9" s="1"/>
  <c r="B2656" i="9"/>
  <c r="C2656" i="9"/>
  <c r="D2656" i="9"/>
  <c r="F2656" i="9"/>
  <c r="G2656" i="9"/>
  <c r="H2656" i="9"/>
  <c r="I2656" i="9"/>
  <c r="J2656" i="9"/>
  <c r="K2656" i="9"/>
  <c r="A2657" i="9"/>
  <c r="F2657" i="9" s="1"/>
  <c r="B2657" i="9"/>
  <c r="C2657" i="9"/>
  <c r="D2657" i="9"/>
  <c r="E2657" i="9"/>
  <c r="G2657" i="9"/>
  <c r="H2657" i="9"/>
  <c r="I2657" i="9"/>
  <c r="J2657" i="9"/>
  <c r="K2657" i="9"/>
  <c r="L2657" i="9"/>
  <c r="M2657" i="9"/>
  <c r="A2658" i="9"/>
  <c r="I2658" i="9" s="1"/>
  <c r="C2658" i="9"/>
  <c r="A2659" i="9"/>
  <c r="B2659" i="9" s="1"/>
  <c r="C2659" i="9"/>
  <c r="D2659" i="9"/>
  <c r="E2659" i="9"/>
  <c r="L2659" i="9"/>
  <c r="A2660" i="9"/>
  <c r="B2660" i="9"/>
  <c r="C2660" i="9"/>
  <c r="D2660" i="9"/>
  <c r="E2660" i="9"/>
  <c r="F2660" i="9"/>
  <c r="G2660" i="9"/>
  <c r="H2660" i="9"/>
  <c r="I2660" i="9"/>
  <c r="J2660" i="9"/>
  <c r="K2660" i="9"/>
  <c r="L2660" i="9"/>
  <c r="M2660" i="9"/>
  <c r="A2661" i="9"/>
  <c r="B2661" i="9"/>
  <c r="C2661" i="9"/>
  <c r="D2661" i="9"/>
  <c r="E2661" i="9"/>
  <c r="F2661" i="9"/>
  <c r="J2661" i="9"/>
  <c r="K2661" i="9" s="1"/>
  <c r="L2661" i="9"/>
  <c r="M2661" i="9"/>
  <c r="A2662" i="9"/>
  <c r="B2662" i="9"/>
  <c r="C2662" i="9"/>
  <c r="D2662" i="9"/>
  <c r="E2662" i="9"/>
  <c r="F2662" i="9"/>
  <c r="G2662" i="9"/>
  <c r="H2662" i="9"/>
  <c r="I2662" i="9"/>
  <c r="J2662" i="9"/>
  <c r="K2662" i="9" s="1"/>
  <c r="L2662" i="9"/>
  <c r="M2662" i="9"/>
  <c r="A2663" i="9"/>
  <c r="B2663" i="9"/>
  <c r="C2663" i="9"/>
  <c r="D2663" i="9"/>
  <c r="E2663" i="9"/>
  <c r="F2663" i="9"/>
  <c r="G2663" i="9"/>
  <c r="H2663" i="9"/>
  <c r="I2663" i="9"/>
  <c r="J2663" i="9"/>
  <c r="K2663" i="9" s="1"/>
  <c r="L2663" i="9"/>
  <c r="M2663" i="9"/>
  <c r="A2664" i="9"/>
  <c r="A2665" i="9"/>
  <c r="G2665" i="9" s="1"/>
  <c r="D2665" i="9"/>
  <c r="E2665" i="9"/>
  <c r="F2665" i="9"/>
  <c r="H2665" i="9"/>
  <c r="I2665" i="9"/>
  <c r="J2665" i="9"/>
  <c r="K2665" i="9"/>
  <c r="L2665" i="9"/>
  <c r="M2665" i="9"/>
  <c r="A2666" i="9"/>
  <c r="E2666" i="9"/>
  <c r="M2666" i="9"/>
  <c r="A2667" i="9"/>
  <c r="B2667" i="9"/>
  <c r="C2667" i="9"/>
  <c r="D2667" i="9"/>
  <c r="E2667" i="9"/>
  <c r="F2667" i="9"/>
  <c r="G2667" i="9"/>
  <c r="H2667" i="9"/>
  <c r="L2667" i="9"/>
  <c r="M2667" i="9"/>
  <c r="A2668" i="9"/>
  <c r="B2668" i="9"/>
  <c r="D2668" i="9"/>
  <c r="M2668" i="9"/>
  <c r="A2669" i="9"/>
  <c r="B2669" i="9"/>
  <c r="F2669" i="9"/>
  <c r="G2669" i="9"/>
  <c r="H2669" i="9"/>
  <c r="I2669" i="9"/>
  <c r="L2669" i="9"/>
  <c r="A2670" i="9"/>
  <c r="B2670" i="9"/>
  <c r="I2670" i="9"/>
  <c r="A2671" i="9"/>
  <c r="D2671" i="9" s="1"/>
  <c r="B2671" i="9"/>
  <c r="C2671" i="9"/>
  <c r="F2671" i="9"/>
  <c r="G2671" i="9"/>
  <c r="H2671" i="9"/>
  <c r="I2671" i="9"/>
  <c r="J2671" i="9"/>
  <c r="K2671" i="9"/>
  <c r="L2671" i="9"/>
  <c r="M2671" i="9"/>
  <c r="A2672" i="9"/>
  <c r="B2672" i="9"/>
  <c r="C2672" i="9"/>
  <c r="G2672" i="9"/>
  <c r="H2672" i="9"/>
  <c r="I2672" i="9"/>
  <c r="J2672" i="9"/>
  <c r="K2672" i="9" s="1"/>
  <c r="L2672" i="9"/>
  <c r="M2672" i="9"/>
  <c r="A2673" i="9"/>
  <c r="C2673" i="9" s="1"/>
  <c r="B2673" i="9"/>
  <c r="D2673" i="9"/>
  <c r="E2673" i="9"/>
  <c r="F2673" i="9"/>
  <c r="G2673" i="9"/>
  <c r="H2673" i="9"/>
  <c r="I2673" i="9"/>
  <c r="J2673" i="9"/>
  <c r="K2673" i="9" s="1"/>
  <c r="A2674" i="9"/>
  <c r="I2674" i="9"/>
  <c r="L2674" i="9"/>
  <c r="M2674" i="9"/>
  <c r="A2675" i="9"/>
  <c r="B2675" i="9"/>
  <c r="C2675" i="9"/>
  <c r="D2675" i="9"/>
  <c r="H2675" i="9"/>
  <c r="I2675" i="9"/>
  <c r="J2675" i="9"/>
  <c r="K2675" i="9" s="1"/>
  <c r="M2675" i="9"/>
  <c r="A2676" i="9"/>
  <c r="B2676" i="9"/>
  <c r="C2676" i="9"/>
  <c r="D2676" i="9"/>
  <c r="E2676" i="9"/>
  <c r="F2676" i="9"/>
  <c r="G2676" i="9"/>
  <c r="H2676" i="9"/>
  <c r="I2676" i="9"/>
  <c r="J2676" i="9"/>
  <c r="K2676" i="9" s="1"/>
  <c r="A2677" i="9"/>
  <c r="F2677" i="9" s="1"/>
  <c r="B2677" i="9"/>
  <c r="C2677" i="9"/>
  <c r="D2677" i="9"/>
  <c r="E2677" i="9"/>
  <c r="G2677" i="9"/>
  <c r="H2677" i="9"/>
  <c r="I2677" i="9"/>
  <c r="J2677" i="9"/>
  <c r="K2677" i="9" s="1"/>
  <c r="L2677" i="9"/>
  <c r="M2677" i="9"/>
  <c r="A2678" i="9"/>
  <c r="E2678" i="9" s="1"/>
  <c r="B2678" i="9"/>
  <c r="C2678" i="9"/>
  <c r="D2678" i="9"/>
  <c r="I2678" i="9"/>
  <c r="J2678" i="9"/>
  <c r="K2678" i="9"/>
  <c r="L2678" i="9"/>
  <c r="A2679" i="9"/>
  <c r="C2679" i="9" s="1"/>
  <c r="A2680" i="9"/>
  <c r="B2680" i="9"/>
  <c r="C2680" i="9"/>
  <c r="D2680" i="9"/>
  <c r="E2680" i="9"/>
  <c r="F2680" i="9"/>
  <c r="G2680" i="9"/>
  <c r="H2680" i="9"/>
  <c r="I2680" i="9"/>
  <c r="J2680" i="9"/>
  <c r="K2680" i="9" s="1"/>
  <c r="L2680" i="9"/>
  <c r="M2680" i="9"/>
  <c r="A2681" i="9"/>
  <c r="B2681" i="9"/>
  <c r="C2681" i="9"/>
  <c r="M2681" i="9"/>
  <c r="A2682" i="9"/>
  <c r="B2682" i="9"/>
  <c r="C2682" i="9"/>
  <c r="D2682" i="9"/>
  <c r="E2682" i="9"/>
  <c r="F2682" i="9"/>
  <c r="G2682" i="9"/>
  <c r="H2682" i="9"/>
  <c r="I2682" i="9"/>
  <c r="J2682" i="9"/>
  <c r="K2682" i="9" s="1"/>
  <c r="L2682" i="9"/>
  <c r="M2682" i="9"/>
  <c r="A2683" i="9"/>
  <c r="B2683" i="9"/>
  <c r="C2683" i="9"/>
  <c r="D2683" i="9"/>
  <c r="E2683" i="9"/>
  <c r="F2683" i="9"/>
  <c r="G2683" i="9"/>
  <c r="H2683" i="9"/>
  <c r="I2683" i="9"/>
  <c r="J2683" i="9"/>
  <c r="K2683" i="9" s="1"/>
  <c r="L2683" i="9"/>
  <c r="M2683" i="9"/>
  <c r="A2684" i="9"/>
  <c r="B2684" i="9"/>
  <c r="C2684" i="9"/>
  <c r="D2684" i="9"/>
  <c r="E2684" i="9"/>
  <c r="F2684" i="9"/>
  <c r="G2684" i="9"/>
  <c r="A2685" i="9"/>
  <c r="B2685" i="9" s="1"/>
  <c r="C2685" i="9"/>
  <c r="D2685" i="9"/>
  <c r="E2685" i="9"/>
  <c r="G2685" i="9"/>
  <c r="H2685" i="9"/>
  <c r="I2685" i="9"/>
  <c r="J2685" i="9"/>
  <c r="K2685" i="9"/>
  <c r="L2685" i="9"/>
  <c r="M2685" i="9"/>
  <c r="A2686" i="9"/>
  <c r="E2686" i="9"/>
  <c r="F2686" i="9"/>
  <c r="G2686" i="9"/>
  <c r="H2686" i="9"/>
  <c r="A2687" i="9"/>
  <c r="D2687" i="9" s="1"/>
  <c r="B2687" i="9"/>
  <c r="C2687" i="9"/>
  <c r="E2687" i="9"/>
  <c r="F2687" i="9"/>
  <c r="G2687" i="9"/>
  <c r="H2687" i="9"/>
  <c r="L2687" i="9"/>
  <c r="M2687" i="9"/>
  <c r="A2688" i="9"/>
  <c r="G2688" i="9" s="1"/>
  <c r="B2688" i="9"/>
  <c r="D2688" i="9"/>
  <c r="E2688" i="9"/>
  <c r="F2688" i="9"/>
  <c r="A2689" i="9"/>
  <c r="F2689" i="9"/>
  <c r="G2689" i="9"/>
  <c r="H2689" i="9"/>
  <c r="I2689" i="9"/>
  <c r="L2689" i="9"/>
  <c r="M2689" i="9"/>
  <c r="A2690" i="9"/>
  <c r="B2690" i="9"/>
  <c r="C2690" i="9"/>
  <c r="D2690" i="9"/>
  <c r="A2691" i="9"/>
  <c r="D2691" i="9" s="1"/>
  <c r="B2691" i="9"/>
  <c r="E2691" i="9"/>
  <c r="F2691" i="9"/>
  <c r="G2691" i="9"/>
  <c r="H2691" i="9"/>
  <c r="I2691" i="9"/>
  <c r="J2691" i="9"/>
  <c r="K2691" i="9"/>
  <c r="L2691" i="9"/>
  <c r="M2691" i="9"/>
  <c r="A2692" i="9"/>
  <c r="B2692" i="9"/>
  <c r="C2692" i="9"/>
  <c r="A2693" i="9"/>
  <c r="H2693" i="9" s="1"/>
  <c r="C2693" i="9"/>
  <c r="D2693" i="9"/>
  <c r="E2693" i="9"/>
  <c r="F2693" i="9"/>
  <c r="A2694" i="9"/>
  <c r="D2694" i="9" s="1"/>
  <c r="B2694" i="9"/>
  <c r="C2694" i="9"/>
  <c r="L2694" i="9"/>
  <c r="A2695" i="9"/>
  <c r="B2695" i="9"/>
  <c r="C2695" i="9"/>
  <c r="D2695" i="9"/>
  <c r="H2695" i="9"/>
  <c r="I2695" i="9"/>
  <c r="J2695" i="9"/>
  <c r="K2695" i="9"/>
  <c r="M2695" i="9"/>
  <c r="A2696" i="9"/>
  <c r="B2696" i="9"/>
  <c r="A2697" i="9"/>
  <c r="F2697" i="9" s="1"/>
  <c r="B2697" i="9"/>
  <c r="C2697" i="9"/>
  <c r="D2697" i="9"/>
  <c r="E2697" i="9"/>
  <c r="G2697" i="9"/>
  <c r="H2697" i="9"/>
  <c r="I2697" i="9"/>
  <c r="J2697" i="9"/>
  <c r="K2697" i="9"/>
  <c r="L2697" i="9"/>
  <c r="M2697" i="9"/>
  <c r="A2698" i="9"/>
  <c r="B2698" i="9"/>
  <c r="C2698" i="9"/>
  <c r="D2698" i="9"/>
  <c r="E2698" i="9"/>
  <c r="I2698" i="9"/>
  <c r="J2698" i="9"/>
  <c r="K2698" i="9" s="1"/>
  <c r="L2698" i="9"/>
  <c r="A2699" i="9"/>
  <c r="F2699" i="9" s="1"/>
  <c r="B2699" i="9"/>
  <c r="C2699" i="9"/>
  <c r="D2699" i="9"/>
  <c r="E2699" i="9"/>
  <c r="G2699" i="9"/>
  <c r="H2699" i="9"/>
  <c r="I2699" i="9"/>
  <c r="J2699" i="9"/>
  <c r="K2699" i="9"/>
  <c r="A2700" i="9"/>
  <c r="B2700" i="9"/>
  <c r="C2700" i="9"/>
  <c r="D2700" i="9"/>
  <c r="E2700" i="9"/>
  <c r="F2700" i="9"/>
  <c r="G2700" i="9"/>
  <c r="H2700" i="9"/>
  <c r="I2700" i="9"/>
  <c r="J2700" i="9"/>
  <c r="K2700" i="9"/>
  <c r="L2700" i="9"/>
  <c r="M2700" i="9"/>
  <c r="A2701" i="9"/>
  <c r="B2701" i="9" s="1"/>
  <c r="D2701" i="9"/>
  <c r="E2701" i="9"/>
  <c r="F2701" i="9"/>
  <c r="A2702" i="9"/>
  <c r="B2702" i="9"/>
  <c r="C2702" i="9"/>
  <c r="D2702" i="9"/>
  <c r="E2702" i="9"/>
  <c r="F2702" i="9"/>
  <c r="G2702" i="9"/>
  <c r="H2702" i="9"/>
  <c r="I2702" i="9"/>
  <c r="J2702" i="9"/>
  <c r="K2702" i="9" s="1"/>
  <c r="L2702" i="9"/>
  <c r="M2702" i="9"/>
  <c r="A2703" i="9"/>
  <c r="B2703" i="9"/>
  <c r="C2703" i="9"/>
  <c r="D2703" i="9"/>
  <c r="E2703" i="9"/>
  <c r="F2703" i="9"/>
  <c r="G2703" i="9"/>
  <c r="H2703" i="9"/>
  <c r="I2703" i="9"/>
  <c r="J2703" i="9"/>
  <c r="K2703" i="9" s="1"/>
  <c r="L2703" i="9"/>
  <c r="M2703" i="9"/>
  <c r="A2704" i="9"/>
  <c r="L2704" i="9" s="1"/>
  <c r="B2704" i="9"/>
  <c r="C2704" i="9"/>
  <c r="A2705" i="9"/>
  <c r="B2705" i="9" s="1"/>
  <c r="C2705" i="9"/>
  <c r="D2705" i="9"/>
  <c r="E2705" i="9"/>
  <c r="F2705" i="9"/>
  <c r="G2705" i="9"/>
  <c r="H2705" i="9"/>
  <c r="I2705" i="9"/>
  <c r="J2705" i="9"/>
  <c r="K2705" i="9" s="1"/>
  <c r="L2705" i="9"/>
  <c r="M2705" i="9"/>
  <c r="A2706" i="9"/>
  <c r="F2706" i="9" s="1"/>
  <c r="A2707" i="9"/>
  <c r="B2707" i="9" s="1"/>
  <c r="C2707" i="9"/>
  <c r="D2707" i="9"/>
  <c r="E2707" i="9"/>
  <c r="F2707" i="9"/>
  <c r="G2707" i="9"/>
  <c r="H2707" i="9"/>
  <c r="L2707" i="9"/>
  <c r="M2707" i="9"/>
  <c r="A2708" i="9"/>
  <c r="H2708" i="9" s="1"/>
  <c r="B2708" i="9"/>
  <c r="D2708" i="9"/>
  <c r="E2708" i="9"/>
  <c r="A2709" i="9"/>
  <c r="H2709" i="9" s="1"/>
  <c r="B2709" i="9"/>
  <c r="F2709" i="9"/>
  <c r="G2709" i="9"/>
  <c r="I2709" i="9"/>
  <c r="L2709" i="9"/>
  <c r="M2709" i="9"/>
  <c r="A2710" i="9"/>
  <c r="B2710" i="9"/>
  <c r="C2710" i="9"/>
  <c r="D2710" i="9"/>
  <c r="E2710" i="9"/>
  <c r="F2710" i="9"/>
  <c r="G2710" i="9"/>
  <c r="A2711" i="9"/>
  <c r="D2711" i="9" s="1"/>
  <c r="B2711" i="9"/>
  <c r="C2711" i="9"/>
  <c r="E2711" i="9"/>
  <c r="F2711" i="9"/>
  <c r="G2711" i="9"/>
  <c r="H2711" i="9"/>
  <c r="I2711" i="9"/>
  <c r="J2711" i="9"/>
  <c r="K2711" i="9" s="1"/>
  <c r="L2711" i="9"/>
  <c r="M2711" i="9"/>
  <c r="A2712" i="9"/>
  <c r="B2712" i="9"/>
  <c r="C2712" i="9"/>
  <c r="G2712" i="9"/>
  <c r="H2712" i="9"/>
  <c r="I2712" i="9"/>
  <c r="A2713" i="9"/>
  <c r="E2713" i="9" s="1"/>
  <c r="B2713" i="9"/>
  <c r="C2713" i="9"/>
  <c r="D2713" i="9"/>
  <c r="F2713" i="9"/>
  <c r="G2713" i="9"/>
  <c r="H2713" i="9"/>
  <c r="I2713" i="9"/>
  <c r="J2713" i="9"/>
  <c r="K2713" i="9" s="1"/>
  <c r="A2714" i="9"/>
  <c r="B2714" i="9"/>
  <c r="C2714" i="9"/>
  <c r="D2714" i="9"/>
  <c r="F2714" i="9"/>
  <c r="G2714" i="9"/>
  <c r="H2714" i="9"/>
  <c r="A2715" i="9"/>
  <c r="C2715" i="9" s="1"/>
  <c r="B2715" i="9"/>
  <c r="D2715" i="9"/>
  <c r="H2715" i="9"/>
  <c r="I2715" i="9"/>
  <c r="J2715" i="9"/>
  <c r="K2715" i="9"/>
  <c r="M2715" i="9"/>
  <c r="A2716" i="9"/>
  <c r="E2716" i="9" s="1"/>
  <c r="B2716" i="9"/>
  <c r="C2716" i="9"/>
  <c r="D2716" i="9"/>
  <c r="F2716" i="9"/>
  <c r="A2717" i="9"/>
  <c r="F2717" i="9" s="1"/>
  <c r="B2717" i="9"/>
  <c r="C2717" i="9"/>
  <c r="D2717" i="9"/>
  <c r="E2717" i="9"/>
  <c r="G2717" i="9"/>
  <c r="H2717" i="9"/>
  <c r="I2717" i="9"/>
  <c r="J2717" i="9"/>
  <c r="K2717" i="9" s="1"/>
  <c r="L2717" i="9"/>
  <c r="M2717" i="9"/>
  <c r="A2718" i="9"/>
  <c r="B2718" i="9"/>
  <c r="C2718" i="9"/>
  <c r="A2719" i="9"/>
  <c r="E2719" i="9" s="1"/>
  <c r="C2719" i="9"/>
  <c r="D2719" i="9"/>
  <c r="F2719" i="9"/>
  <c r="G2719" i="9"/>
  <c r="H2719" i="9"/>
  <c r="I2719" i="9"/>
  <c r="J2719" i="9"/>
  <c r="K2719" i="9" s="1"/>
  <c r="L2719" i="9"/>
  <c r="A2720" i="9"/>
  <c r="B2720" i="9"/>
  <c r="C2720" i="9"/>
  <c r="D2720" i="9"/>
  <c r="E2720" i="9"/>
  <c r="F2720" i="9"/>
  <c r="G2720" i="9"/>
  <c r="H2720" i="9"/>
  <c r="I2720" i="9"/>
  <c r="J2720" i="9"/>
  <c r="K2720" i="9"/>
  <c r="L2720" i="9"/>
  <c r="M2720" i="9"/>
  <c r="A2721" i="9"/>
  <c r="B2721" i="9"/>
  <c r="C2721" i="9"/>
  <c r="D2721" i="9"/>
  <c r="E2721" i="9"/>
  <c r="F2721" i="9"/>
  <c r="J2721" i="9"/>
  <c r="K2721" i="9" s="1"/>
  <c r="L2721" i="9"/>
  <c r="A2722" i="9"/>
  <c r="B2722" i="9"/>
  <c r="C2722" i="9"/>
  <c r="D2722" i="9"/>
  <c r="E2722" i="9"/>
  <c r="F2722" i="9"/>
  <c r="G2722" i="9"/>
  <c r="H2722" i="9"/>
  <c r="I2722" i="9"/>
  <c r="J2722" i="9"/>
  <c r="K2722" i="9" s="1"/>
  <c r="L2722" i="9"/>
  <c r="M2722" i="9"/>
  <c r="A2723" i="9"/>
  <c r="B2723" i="9"/>
  <c r="C2723" i="9"/>
  <c r="D2723" i="9"/>
  <c r="E2723" i="9"/>
  <c r="F2723" i="9"/>
  <c r="G2723" i="9"/>
  <c r="H2723" i="9"/>
  <c r="I2723" i="9"/>
  <c r="J2723" i="9"/>
  <c r="K2723" i="9" s="1"/>
  <c r="L2723" i="9"/>
  <c r="M2723" i="9"/>
  <c r="A2724" i="9"/>
  <c r="B2724" i="9"/>
  <c r="C2724" i="9"/>
  <c r="D2724" i="9"/>
  <c r="E2724" i="9"/>
  <c r="F2724" i="9"/>
  <c r="G2724" i="9"/>
  <c r="L2724" i="9"/>
  <c r="M2724" i="9"/>
  <c r="A2725" i="9"/>
  <c r="C2725" i="9"/>
  <c r="D2725" i="9"/>
  <c r="M2725" i="9"/>
  <c r="A2726" i="9"/>
  <c r="L2726" i="9" s="1"/>
  <c r="E2726" i="9"/>
  <c r="F2726" i="9"/>
  <c r="A2727" i="9"/>
  <c r="B2727" i="9" s="1"/>
  <c r="L2727" i="9"/>
  <c r="A2728" i="9"/>
  <c r="C2728" i="9" s="1"/>
  <c r="B2728" i="9"/>
  <c r="D2728" i="9"/>
  <c r="E2728" i="9"/>
  <c r="F2728" i="9"/>
  <c r="G2728" i="9"/>
  <c r="H2728" i="9"/>
  <c r="I2728" i="9"/>
  <c r="J2728" i="9"/>
  <c r="K2728" i="9"/>
  <c r="L2728" i="9"/>
  <c r="A2729" i="9"/>
  <c r="B2729" i="9"/>
  <c r="F2729" i="9"/>
  <c r="G2729" i="9"/>
  <c r="H2729" i="9"/>
  <c r="I2729" i="9"/>
  <c r="L2729" i="9"/>
  <c r="M2729" i="9"/>
  <c r="A2730" i="9"/>
  <c r="B2730" i="9"/>
  <c r="C2730" i="9"/>
  <c r="D2730" i="9"/>
  <c r="E2730" i="9"/>
  <c r="F2730" i="9"/>
  <c r="G2730" i="9"/>
  <c r="H2730" i="9"/>
  <c r="I2730" i="9"/>
  <c r="M2730" i="9"/>
  <c r="A2731" i="9"/>
  <c r="I2731" i="9"/>
  <c r="L2731" i="9"/>
  <c r="M2731" i="9"/>
  <c r="A2732" i="9"/>
  <c r="C2732" i="9" s="1"/>
  <c r="B2732" i="9"/>
  <c r="G2732" i="9"/>
  <c r="H2732" i="9"/>
  <c r="I2732" i="9"/>
  <c r="J2732" i="9"/>
  <c r="K2732" i="9" s="1"/>
  <c r="L2732" i="9"/>
  <c r="M2732" i="9"/>
  <c r="A2733" i="9"/>
  <c r="B2733" i="9"/>
  <c r="C2733" i="9"/>
  <c r="D2733" i="9"/>
  <c r="E2733" i="9"/>
  <c r="F2733" i="9"/>
  <c r="G2733" i="9"/>
  <c r="H2733" i="9"/>
  <c r="I2733" i="9"/>
  <c r="J2733" i="9"/>
  <c r="K2733" i="9" s="1"/>
  <c r="A2734" i="9"/>
  <c r="D2734" i="9" s="1"/>
  <c r="B2734" i="9"/>
  <c r="C2734" i="9"/>
  <c r="F2734" i="9"/>
  <c r="G2734" i="9"/>
  <c r="H2734" i="9"/>
  <c r="I2734" i="9"/>
  <c r="J2734" i="9"/>
  <c r="K2734" i="9" s="1"/>
  <c r="A2735" i="9"/>
  <c r="B2735" i="9"/>
  <c r="C2735" i="9"/>
  <c r="D2735" i="9"/>
  <c r="H2735" i="9"/>
  <c r="I2735" i="9"/>
  <c r="J2735" i="9"/>
  <c r="K2735" i="9"/>
  <c r="M2735" i="9"/>
  <c r="A2736" i="9"/>
  <c r="E2736" i="9" s="1"/>
  <c r="B2736" i="9"/>
  <c r="C2736" i="9"/>
  <c r="D2736" i="9"/>
  <c r="F2736" i="9"/>
  <c r="G2736" i="9"/>
  <c r="H2736" i="9"/>
  <c r="I2736" i="9"/>
  <c r="A2737" i="9"/>
  <c r="F2737" i="9" s="1"/>
  <c r="B2737" i="9"/>
  <c r="C2737" i="9"/>
  <c r="D2737" i="9"/>
  <c r="E2737" i="9"/>
  <c r="G2737" i="9"/>
  <c r="H2737" i="9"/>
  <c r="I2737" i="9"/>
  <c r="J2737" i="9"/>
  <c r="K2737" i="9"/>
  <c r="L2737" i="9"/>
  <c r="M2737" i="9"/>
  <c r="A2738" i="9"/>
  <c r="D2738" i="9" s="1"/>
  <c r="B2738" i="9"/>
  <c r="C2738" i="9"/>
  <c r="E2738" i="9"/>
  <c r="I2738" i="9"/>
  <c r="A2739" i="9"/>
  <c r="M2739" i="9" s="1"/>
  <c r="B2739" i="9"/>
  <c r="C2739" i="9"/>
  <c r="D2739" i="9"/>
  <c r="F2739" i="9"/>
  <c r="G2739" i="9"/>
  <c r="H2739" i="9"/>
  <c r="I2739" i="9"/>
  <c r="J2739" i="9"/>
  <c r="K2739" i="9"/>
  <c r="L2739" i="9"/>
  <c r="A2740" i="9"/>
  <c r="B2740" i="9"/>
  <c r="C2740" i="9"/>
  <c r="D2740" i="9"/>
  <c r="E2740" i="9"/>
  <c r="F2740" i="9"/>
  <c r="G2740" i="9"/>
  <c r="H2740" i="9"/>
  <c r="I2740" i="9"/>
  <c r="J2740" i="9"/>
  <c r="K2740" i="9"/>
  <c r="L2740" i="9"/>
  <c r="M2740" i="9"/>
  <c r="A2741" i="9"/>
  <c r="B2741" i="9"/>
  <c r="C2741" i="9"/>
  <c r="D2741" i="9"/>
  <c r="E2741" i="9"/>
  <c r="F2741" i="9"/>
  <c r="A2742" i="9"/>
  <c r="B2742" i="9"/>
  <c r="C2742" i="9"/>
  <c r="D2742" i="9"/>
  <c r="E2742" i="9"/>
  <c r="F2742" i="9"/>
  <c r="G2742" i="9"/>
  <c r="H2742" i="9"/>
  <c r="I2742" i="9"/>
  <c r="J2742" i="9"/>
  <c r="K2742" i="9" s="1"/>
  <c r="L2742" i="9"/>
  <c r="M2742" i="9"/>
  <c r="A2743" i="9"/>
  <c r="B2743" i="9"/>
  <c r="C2743" i="9"/>
  <c r="D2743" i="9"/>
  <c r="E2743" i="9"/>
  <c r="F2743" i="9"/>
  <c r="G2743" i="9"/>
  <c r="H2743" i="9"/>
  <c r="I2743" i="9"/>
  <c r="J2743" i="9"/>
  <c r="K2743" i="9"/>
  <c r="L2743" i="9"/>
  <c r="M2743" i="9"/>
  <c r="A2744" i="9"/>
  <c r="D2744" i="9" s="1"/>
  <c r="B2744" i="9"/>
  <c r="C2744" i="9"/>
  <c r="E2744" i="9"/>
  <c r="F2744" i="9"/>
  <c r="G2744" i="9"/>
  <c r="L2744" i="9"/>
  <c r="M2744" i="9"/>
  <c r="A2745" i="9"/>
  <c r="D2745" i="9" s="1"/>
  <c r="A2746" i="9"/>
  <c r="G2746" i="9" s="1"/>
  <c r="F2746" i="9"/>
  <c r="H2746" i="9"/>
  <c r="J2746" i="9"/>
  <c r="K2746" i="9"/>
  <c r="L2746" i="9"/>
  <c r="M2746" i="9"/>
  <c r="A2747" i="9"/>
  <c r="B2747" i="9"/>
  <c r="C2747" i="9"/>
  <c r="D2747" i="9"/>
  <c r="E2747" i="9"/>
  <c r="A2748" i="9"/>
  <c r="B2748" i="9"/>
  <c r="A2749" i="9"/>
  <c r="B2749" i="9"/>
  <c r="F2749" i="9"/>
  <c r="M2749" i="9"/>
  <c r="A2750" i="9"/>
  <c r="M2750" i="9" s="1"/>
  <c r="C2750" i="9"/>
  <c r="D2750" i="9"/>
  <c r="E2750" i="9"/>
  <c r="F2750" i="9"/>
  <c r="G2750" i="9"/>
  <c r="H2750" i="9"/>
  <c r="A2751" i="9"/>
  <c r="B2751" i="9"/>
  <c r="C2751" i="9"/>
  <c r="J2751" i="9"/>
  <c r="K2751" i="9" s="1"/>
  <c r="M2751" i="9"/>
  <c r="A2752" i="9"/>
  <c r="B2752" i="9"/>
  <c r="C2752" i="9"/>
  <c r="F2752" i="9"/>
  <c r="G2752" i="9"/>
  <c r="H2752" i="9"/>
  <c r="I2752" i="9"/>
  <c r="J2752" i="9"/>
  <c r="K2752" i="9" s="1"/>
  <c r="L2752" i="9"/>
  <c r="M2752" i="9"/>
  <c r="A2753" i="9"/>
  <c r="A2754" i="9"/>
  <c r="D2754" i="9" s="1"/>
  <c r="B2754" i="9"/>
  <c r="C2754" i="9"/>
  <c r="F2754" i="9"/>
  <c r="G2754" i="9"/>
  <c r="H2754" i="9"/>
  <c r="I2754" i="9"/>
  <c r="J2754" i="9"/>
  <c r="K2754" i="9"/>
  <c r="A2755" i="9"/>
  <c r="B2755" i="9"/>
  <c r="C2755" i="9"/>
  <c r="D2755" i="9"/>
  <c r="G2755" i="9"/>
  <c r="H2755" i="9"/>
  <c r="I2755" i="9"/>
  <c r="J2755" i="9"/>
  <c r="K2755" i="9" s="1"/>
  <c r="M2755" i="9"/>
  <c r="A2756" i="9"/>
  <c r="D2756" i="9" s="1"/>
  <c r="B2756" i="9"/>
  <c r="C2756" i="9"/>
  <c r="E2756" i="9"/>
  <c r="F2756" i="9"/>
  <c r="G2756" i="9"/>
  <c r="H2756" i="9"/>
  <c r="A2757" i="9"/>
  <c r="F2757" i="9" s="1"/>
  <c r="B2757" i="9"/>
  <c r="C2757" i="9"/>
  <c r="D2757" i="9"/>
  <c r="G2757" i="9"/>
  <c r="H2757" i="9"/>
  <c r="I2757" i="9"/>
  <c r="J2757" i="9"/>
  <c r="K2757" i="9" s="1"/>
  <c r="L2757" i="9"/>
  <c r="M2757" i="9"/>
  <c r="A2758" i="9"/>
  <c r="E2758" i="9" s="1"/>
  <c r="B2758" i="9"/>
  <c r="C2758" i="9"/>
  <c r="D2758" i="9"/>
  <c r="A2759" i="9"/>
  <c r="B2759" i="9"/>
  <c r="D2759" i="9"/>
  <c r="E2759" i="9"/>
  <c r="F2759" i="9"/>
  <c r="G2759" i="9"/>
  <c r="H2759" i="9"/>
  <c r="I2759" i="9"/>
  <c r="J2759" i="9"/>
  <c r="K2759" i="9"/>
  <c r="L2759" i="9"/>
  <c r="A2760" i="9"/>
  <c r="B2760" i="9"/>
  <c r="C2760" i="9"/>
  <c r="D2760" i="9"/>
  <c r="E2760" i="9"/>
  <c r="F2760" i="9"/>
  <c r="G2760" i="9"/>
  <c r="H2760" i="9"/>
  <c r="I2760" i="9"/>
  <c r="J2760" i="9"/>
  <c r="K2760" i="9" s="1"/>
  <c r="L2760" i="9"/>
  <c r="M2760" i="9"/>
  <c r="A2761" i="9"/>
  <c r="B2761" i="9"/>
  <c r="C2761" i="9"/>
  <c r="D2761" i="9"/>
  <c r="E2761" i="9"/>
  <c r="F2761" i="9"/>
  <c r="I2761" i="9"/>
  <c r="J2761" i="9"/>
  <c r="K2761" i="9"/>
  <c r="A2762" i="9"/>
  <c r="B2762" i="9"/>
  <c r="C2762" i="9"/>
  <c r="D2762" i="9"/>
  <c r="E2762" i="9"/>
  <c r="F2762" i="9"/>
  <c r="G2762" i="9"/>
  <c r="H2762" i="9"/>
  <c r="I2762" i="9"/>
  <c r="J2762" i="9"/>
  <c r="K2762" i="9" s="1"/>
  <c r="L2762" i="9"/>
  <c r="M2762" i="9"/>
  <c r="A2763" i="9"/>
  <c r="B2763" i="9"/>
  <c r="C2763" i="9"/>
  <c r="D2763" i="9"/>
  <c r="E2763" i="9"/>
  <c r="F2763" i="9"/>
  <c r="G2763" i="9"/>
  <c r="H2763" i="9"/>
  <c r="I2763" i="9"/>
  <c r="J2763" i="9"/>
  <c r="K2763" i="9"/>
  <c r="L2763" i="9"/>
  <c r="M2763" i="9"/>
  <c r="A2764" i="9"/>
  <c r="B2764" i="9"/>
  <c r="C2764" i="9"/>
  <c r="D2764" i="9"/>
  <c r="E2764" i="9"/>
  <c r="F2764" i="9"/>
  <c r="G2764" i="9"/>
  <c r="J2764" i="9"/>
  <c r="K2764" i="9"/>
  <c r="L2764" i="9"/>
  <c r="M2764" i="9"/>
  <c r="A2765" i="9"/>
  <c r="C2765" i="9"/>
  <c r="A2766" i="9"/>
  <c r="F2766" i="9" s="1"/>
  <c r="D2766" i="9"/>
  <c r="E2766" i="9"/>
  <c r="G2766" i="9"/>
  <c r="H2766" i="9"/>
  <c r="J2766" i="9"/>
  <c r="K2766" i="9" s="1"/>
  <c r="L2766" i="9"/>
  <c r="M2766" i="9"/>
  <c r="A2767" i="9"/>
  <c r="B2767" i="9"/>
  <c r="C2767" i="9"/>
  <c r="D2767" i="9"/>
  <c r="E2767" i="9"/>
  <c r="F2767" i="9"/>
  <c r="G2767" i="9"/>
  <c r="H2767" i="9"/>
  <c r="L2767" i="9"/>
  <c r="M2767" i="9"/>
  <c r="A2768" i="9"/>
  <c r="D2768" i="9" s="1"/>
  <c r="B2768" i="9"/>
  <c r="E2768" i="9"/>
  <c r="F2768" i="9"/>
  <c r="G2768" i="9"/>
  <c r="H2768" i="9"/>
  <c r="I2768" i="9"/>
  <c r="J2768" i="9"/>
  <c r="K2768" i="9" s="1"/>
  <c r="A2769" i="9"/>
  <c r="G2769" i="9" s="1"/>
  <c r="B2769" i="9"/>
  <c r="E2769" i="9"/>
  <c r="F2769" i="9"/>
  <c r="H2769" i="9"/>
  <c r="I2769" i="9"/>
  <c r="L2769" i="9"/>
  <c r="M2769" i="9"/>
  <c r="A2770" i="9"/>
  <c r="E2770" i="9" s="1"/>
  <c r="B2770" i="9"/>
  <c r="C2770" i="9"/>
  <c r="D2770" i="9"/>
  <c r="F2770" i="9"/>
  <c r="G2770" i="9"/>
  <c r="A2771" i="9"/>
  <c r="D2771" i="9" s="1"/>
  <c r="B2771" i="9"/>
  <c r="C2771" i="9"/>
  <c r="F2771" i="9"/>
  <c r="G2771" i="9"/>
  <c r="H2771" i="9"/>
  <c r="I2771" i="9"/>
  <c r="J2771" i="9"/>
  <c r="K2771" i="9" s="1"/>
  <c r="L2771" i="9"/>
  <c r="M2771" i="9"/>
  <c r="A2772" i="9"/>
  <c r="B2772" i="9"/>
  <c r="C2772" i="9"/>
  <c r="F2772" i="9"/>
  <c r="M2772" i="9"/>
  <c r="A2773" i="9"/>
  <c r="C2773" i="9" s="1"/>
  <c r="D2773" i="9"/>
  <c r="E2773" i="9"/>
  <c r="F2773" i="9"/>
  <c r="G2773" i="9"/>
  <c r="H2773" i="9"/>
  <c r="I2773" i="9"/>
  <c r="J2773" i="9"/>
  <c r="K2773" i="9" s="1"/>
  <c r="M2773" i="9"/>
  <c r="A2774" i="9"/>
  <c r="M2774" i="9" s="1"/>
  <c r="B2774" i="9"/>
  <c r="C2774" i="9"/>
  <c r="J2774" i="9"/>
  <c r="K2774" i="9" s="1"/>
  <c r="A2775" i="9"/>
  <c r="H2775" i="9" s="1"/>
  <c r="B2775" i="9"/>
  <c r="C2775" i="9"/>
  <c r="D2775" i="9"/>
  <c r="G2775" i="9"/>
  <c r="I2775" i="9"/>
  <c r="J2775" i="9"/>
  <c r="K2775" i="9"/>
  <c r="M2775" i="9"/>
  <c r="A2776" i="9"/>
  <c r="G2776" i="9"/>
  <c r="H2776" i="9"/>
  <c r="J2776" i="9"/>
  <c r="K2776" i="9"/>
  <c r="A2777" i="9"/>
  <c r="I2777" i="9" s="1"/>
  <c r="B2777" i="9"/>
  <c r="C2777" i="9"/>
  <c r="A2778" i="9"/>
  <c r="B2778" i="9"/>
  <c r="C2778" i="9"/>
  <c r="D2778" i="9"/>
  <c r="E2778" i="9"/>
  <c r="H2778" i="9"/>
  <c r="I2778" i="9"/>
  <c r="J2778" i="9"/>
  <c r="K2778" i="9"/>
  <c r="L2778" i="9"/>
  <c r="A2779" i="9"/>
  <c r="E2779" i="9" s="1"/>
  <c r="B2779" i="9"/>
  <c r="C2779" i="9"/>
  <c r="A2780" i="9"/>
  <c r="B2780" i="9"/>
  <c r="C2780" i="9"/>
  <c r="D2780" i="9"/>
  <c r="E2780" i="9"/>
  <c r="F2780" i="9"/>
  <c r="G2780" i="9"/>
  <c r="H2780" i="9"/>
  <c r="I2780" i="9"/>
  <c r="J2780" i="9"/>
  <c r="K2780" i="9"/>
  <c r="L2780" i="9"/>
  <c r="M2780" i="9"/>
  <c r="A2781" i="9"/>
  <c r="B2781" i="9"/>
  <c r="A2782" i="9"/>
  <c r="B2782" i="9"/>
  <c r="C2782" i="9"/>
  <c r="D2782" i="9"/>
  <c r="E2782" i="9"/>
  <c r="F2782" i="9"/>
  <c r="G2782" i="9"/>
  <c r="H2782" i="9"/>
  <c r="I2782" i="9"/>
  <c r="J2782" i="9"/>
  <c r="K2782" i="9" s="1"/>
  <c r="L2782" i="9"/>
  <c r="M2782" i="9"/>
  <c r="A2783" i="9"/>
  <c r="B2783" i="9"/>
  <c r="C2783" i="9"/>
  <c r="D2783" i="9"/>
  <c r="E2783" i="9"/>
  <c r="F2783" i="9"/>
  <c r="G2783" i="9"/>
  <c r="H2783" i="9"/>
  <c r="I2783" i="9"/>
  <c r="J2783" i="9"/>
  <c r="K2783" i="9"/>
  <c r="L2783" i="9"/>
  <c r="M2783" i="9"/>
  <c r="A2784" i="9"/>
  <c r="B2784" i="9"/>
  <c r="C2784" i="9"/>
  <c r="D2784" i="9"/>
  <c r="E2784" i="9"/>
  <c r="F2784" i="9"/>
  <c r="A2785" i="9"/>
  <c r="I2785" i="9" s="1"/>
  <c r="C2785" i="9"/>
  <c r="E2785" i="9"/>
  <c r="F2785" i="9"/>
  <c r="G2785" i="9"/>
  <c r="A2786" i="9"/>
  <c r="D2786" i="9" s="1"/>
  <c r="E2786" i="9"/>
  <c r="L2786" i="9"/>
  <c r="M2786" i="9"/>
  <c r="A2787" i="9"/>
  <c r="B2787" i="9"/>
  <c r="C2787" i="9"/>
  <c r="D2787" i="9"/>
  <c r="E2787" i="9"/>
  <c r="F2787" i="9"/>
  <c r="G2787" i="9"/>
  <c r="H2787" i="9"/>
  <c r="L2787" i="9"/>
  <c r="M2787" i="9"/>
  <c r="A2788" i="9"/>
  <c r="M2788" i="9" s="1"/>
  <c r="B2788" i="9"/>
  <c r="I2788" i="9"/>
  <c r="J2788" i="9"/>
  <c r="K2788" i="9" s="1"/>
  <c r="L2788" i="9"/>
  <c r="A2789" i="9"/>
  <c r="B2789" i="9"/>
  <c r="E2789" i="9"/>
  <c r="F2789" i="9"/>
  <c r="G2789" i="9"/>
  <c r="H2789" i="9"/>
  <c r="I2789" i="9"/>
  <c r="L2789" i="9"/>
  <c r="M2789" i="9"/>
  <c r="A2790" i="9"/>
  <c r="J2790" i="9" s="1"/>
  <c r="K2790" i="9" s="1"/>
  <c r="B2790" i="9"/>
  <c r="C2790" i="9"/>
  <c r="D2790" i="9"/>
  <c r="E2790" i="9"/>
  <c r="F2790" i="9"/>
  <c r="G2790" i="9"/>
  <c r="H2790" i="9"/>
  <c r="I2790" i="9"/>
  <c r="L2790" i="9"/>
  <c r="M2790" i="9"/>
  <c r="A2791" i="9"/>
  <c r="B2791" i="9"/>
  <c r="C2791" i="9"/>
  <c r="E2791" i="9"/>
  <c r="F2791" i="9"/>
  <c r="G2791" i="9"/>
  <c r="H2791" i="9"/>
  <c r="I2791" i="9"/>
  <c r="J2791" i="9"/>
  <c r="K2791" i="9" s="1"/>
  <c r="A2792" i="9"/>
  <c r="G2792" i="9" s="1"/>
  <c r="B2792" i="9"/>
  <c r="C2792" i="9"/>
  <c r="F2792" i="9"/>
  <c r="H2792" i="9"/>
  <c r="I2792" i="9"/>
  <c r="J2792" i="9"/>
  <c r="K2792" i="9" s="1"/>
  <c r="L2792" i="9"/>
  <c r="M2792" i="9"/>
  <c r="A2793" i="9"/>
  <c r="B2793" i="9"/>
  <c r="C2793" i="9"/>
  <c r="D2793" i="9"/>
  <c r="E2793" i="9"/>
  <c r="F2793" i="9"/>
  <c r="G2793" i="9"/>
  <c r="A2794" i="9"/>
  <c r="E2794" i="9" s="1"/>
  <c r="B2794" i="9"/>
  <c r="C2794" i="9"/>
  <c r="F2794" i="9"/>
  <c r="G2794" i="9"/>
  <c r="H2794" i="9"/>
  <c r="I2794" i="9"/>
  <c r="J2794" i="9"/>
  <c r="K2794" i="9"/>
  <c r="L2794" i="9"/>
  <c r="M2794" i="9"/>
  <c r="A2795" i="9"/>
  <c r="C2795" i="9" s="1"/>
  <c r="B2795" i="9"/>
  <c r="D2795" i="9"/>
  <c r="M2795" i="9"/>
  <c r="A2796" i="9"/>
  <c r="C2796" i="9"/>
  <c r="D2796" i="9"/>
  <c r="E2796" i="9"/>
  <c r="F2796" i="9"/>
  <c r="G2796" i="9"/>
  <c r="H2796" i="9"/>
  <c r="I2796" i="9"/>
  <c r="J2796" i="9"/>
  <c r="K2796" i="9" s="1"/>
  <c r="A2797" i="9"/>
  <c r="M2797" i="9" s="1"/>
  <c r="B2797" i="9"/>
  <c r="C2797" i="9"/>
  <c r="I2797" i="9"/>
  <c r="J2797" i="9"/>
  <c r="K2797" i="9" s="1"/>
  <c r="A2798" i="9"/>
  <c r="B2798" i="9"/>
  <c r="C2798" i="9"/>
  <c r="D2798" i="9"/>
  <c r="E2798" i="9"/>
  <c r="H2798" i="9"/>
  <c r="I2798" i="9"/>
  <c r="J2798" i="9"/>
  <c r="K2798" i="9" s="1"/>
  <c r="L2798" i="9"/>
  <c r="A2799" i="9"/>
  <c r="H2799" i="9" s="1"/>
  <c r="F2799" i="9"/>
  <c r="A2800" i="9"/>
  <c r="B2800" i="9"/>
  <c r="C2800" i="9"/>
  <c r="D2800" i="9"/>
  <c r="E2800" i="9"/>
  <c r="F2800" i="9"/>
  <c r="G2800" i="9"/>
  <c r="H2800" i="9"/>
  <c r="I2800" i="9"/>
  <c r="J2800" i="9"/>
  <c r="K2800" i="9" s="1"/>
  <c r="L2800" i="9"/>
  <c r="M2800" i="9"/>
  <c r="A2801" i="9"/>
  <c r="F2801" i="9" s="1"/>
  <c r="B2801" i="9"/>
  <c r="A2802" i="9"/>
  <c r="B2802" i="9"/>
  <c r="C2802" i="9"/>
  <c r="D2802" i="9"/>
  <c r="E2802" i="9"/>
  <c r="F2802" i="9"/>
  <c r="G2802" i="9"/>
  <c r="H2802" i="9"/>
  <c r="I2802" i="9"/>
  <c r="J2802" i="9"/>
  <c r="K2802" i="9"/>
  <c r="L2802" i="9"/>
  <c r="M2802" i="9"/>
  <c r="A2803" i="9"/>
  <c r="B2803" i="9"/>
  <c r="C2803" i="9"/>
  <c r="D2803" i="9"/>
  <c r="E2803" i="9"/>
  <c r="F2803" i="9"/>
  <c r="G2803" i="9"/>
  <c r="H2803" i="9"/>
  <c r="I2803" i="9"/>
  <c r="J2803" i="9"/>
  <c r="K2803" i="9"/>
  <c r="L2803" i="9"/>
  <c r="M2803" i="9"/>
  <c r="A2804" i="9"/>
  <c r="B2804" i="9" s="1"/>
  <c r="C2804" i="9"/>
  <c r="D2804" i="9"/>
  <c r="E2804" i="9"/>
  <c r="F2804" i="9"/>
  <c r="G2804" i="9"/>
  <c r="J2804" i="9"/>
  <c r="K2804" i="9" s="1"/>
  <c r="L2804" i="9"/>
  <c r="M2804" i="9"/>
  <c r="A2805" i="9"/>
  <c r="E2805" i="9" s="1"/>
  <c r="C2805" i="9"/>
  <c r="D2805" i="9"/>
  <c r="F2805" i="9"/>
  <c r="G2805" i="9"/>
  <c r="H2805" i="9"/>
  <c r="I2805" i="9"/>
  <c r="A2806" i="9"/>
  <c r="D2806" i="9"/>
  <c r="E2806" i="9"/>
  <c r="G2806" i="9"/>
  <c r="H2806" i="9"/>
  <c r="J2806" i="9"/>
  <c r="K2806" i="9"/>
  <c r="L2806" i="9"/>
  <c r="A2807" i="9"/>
  <c r="M2807" i="9" s="1"/>
  <c r="B2807" i="9"/>
  <c r="C2807" i="9"/>
  <c r="D2807" i="9"/>
  <c r="E2807" i="9"/>
  <c r="F2807" i="9"/>
  <c r="A2808" i="9"/>
  <c r="B2808" i="9"/>
  <c r="E2808" i="9"/>
  <c r="F2808" i="9"/>
  <c r="G2808" i="9"/>
  <c r="H2808" i="9"/>
  <c r="I2808" i="9"/>
  <c r="J2808" i="9"/>
  <c r="K2808" i="9"/>
  <c r="L2808" i="9"/>
  <c r="M2808" i="9"/>
  <c r="A2809" i="9"/>
  <c r="E2809" i="9" s="1"/>
  <c r="A2810" i="9"/>
  <c r="J2810" i="9" s="1"/>
  <c r="K2810" i="9" s="1"/>
  <c r="B2810" i="9"/>
  <c r="C2810" i="9"/>
  <c r="D2810" i="9"/>
  <c r="E2810" i="9"/>
  <c r="F2810" i="9"/>
  <c r="G2810" i="9"/>
  <c r="H2810" i="9"/>
  <c r="I2810" i="9"/>
  <c r="L2810" i="9"/>
  <c r="M2810" i="9"/>
  <c r="A2811" i="9"/>
  <c r="M2811" i="9" s="1"/>
  <c r="B2811" i="9"/>
  <c r="H2811" i="9"/>
  <c r="I2811" i="9"/>
  <c r="A2812" i="9"/>
  <c r="G2812" i="9" s="1"/>
  <c r="B2812" i="9"/>
  <c r="C2812" i="9"/>
  <c r="F2812" i="9"/>
  <c r="H2812" i="9"/>
  <c r="I2812" i="9"/>
  <c r="J2812" i="9"/>
  <c r="K2812" i="9" s="1"/>
  <c r="L2812" i="9"/>
  <c r="M2812" i="9"/>
  <c r="A2813" i="9"/>
  <c r="L2813" i="9" s="1"/>
  <c r="B2813" i="9"/>
  <c r="C2813" i="9"/>
  <c r="D2813" i="9"/>
  <c r="E2813" i="9"/>
  <c r="F2813" i="9"/>
  <c r="G2813" i="9"/>
  <c r="H2813" i="9"/>
  <c r="I2813" i="9"/>
  <c r="J2813" i="9"/>
  <c r="K2813" i="9" s="1"/>
  <c r="M2813" i="9"/>
  <c r="A2814" i="9"/>
  <c r="D2814" i="9" s="1"/>
  <c r="B2814" i="9"/>
  <c r="C2814" i="9"/>
  <c r="F2814" i="9"/>
  <c r="G2814" i="9"/>
  <c r="H2814" i="9"/>
  <c r="I2814" i="9"/>
  <c r="J2814" i="9"/>
  <c r="K2814" i="9" s="1"/>
  <c r="A2815" i="9"/>
  <c r="G2815" i="9" s="1"/>
  <c r="B2815" i="9"/>
  <c r="C2815" i="9"/>
  <c r="D2815" i="9"/>
  <c r="H2815" i="9"/>
  <c r="I2815" i="9"/>
  <c r="J2815" i="9"/>
  <c r="K2815" i="9" s="1"/>
  <c r="M2815" i="9"/>
  <c r="A2816" i="9"/>
  <c r="F2816" i="9" s="1"/>
  <c r="B2816" i="9"/>
  <c r="C2816" i="9"/>
  <c r="D2816" i="9"/>
  <c r="E2816" i="9"/>
  <c r="G2816" i="9"/>
  <c r="A2817" i="9"/>
  <c r="B2817" i="9"/>
  <c r="C2817" i="9"/>
  <c r="E2817" i="9"/>
  <c r="G2817" i="9"/>
  <c r="H2817" i="9"/>
  <c r="I2817" i="9"/>
  <c r="J2817" i="9"/>
  <c r="K2817" i="9"/>
  <c r="L2817" i="9"/>
  <c r="M2817" i="9"/>
  <c r="A2818" i="9"/>
  <c r="B2818" i="9"/>
  <c r="C2818" i="9"/>
  <c r="D2818" i="9"/>
  <c r="L2818" i="9"/>
  <c r="A2819" i="9"/>
  <c r="C2819" i="9" s="1"/>
  <c r="D2819" i="9"/>
  <c r="E2819" i="9"/>
  <c r="F2819" i="9"/>
  <c r="G2819" i="9"/>
  <c r="H2819" i="9"/>
  <c r="I2819" i="9"/>
  <c r="J2819" i="9"/>
  <c r="K2819" i="9"/>
  <c r="L2819" i="9"/>
  <c r="A2820" i="9"/>
  <c r="B2820" i="9"/>
  <c r="C2820" i="9"/>
  <c r="D2820" i="9"/>
  <c r="E2820" i="9"/>
  <c r="F2820" i="9"/>
  <c r="G2820" i="9"/>
  <c r="H2820" i="9"/>
  <c r="I2820" i="9"/>
  <c r="J2820" i="9"/>
  <c r="K2820" i="9" s="1"/>
  <c r="L2820" i="9"/>
  <c r="M2820" i="9"/>
  <c r="A2821" i="9"/>
  <c r="B2821" i="9"/>
  <c r="C2821" i="9"/>
  <c r="D2821" i="9"/>
  <c r="E2821" i="9"/>
  <c r="F2821" i="9"/>
  <c r="I2821" i="9"/>
  <c r="J2821" i="9"/>
  <c r="K2821" i="9"/>
  <c r="A2822" i="9"/>
  <c r="B2822" i="9"/>
  <c r="C2822" i="9"/>
  <c r="D2822" i="9"/>
  <c r="E2822" i="9"/>
  <c r="F2822" i="9"/>
  <c r="G2822" i="9"/>
  <c r="H2822" i="9"/>
  <c r="I2822" i="9"/>
  <c r="J2822" i="9"/>
  <c r="K2822" i="9" s="1"/>
  <c r="L2822" i="9"/>
  <c r="M2822" i="9"/>
  <c r="A2823" i="9"/>
  <c r="B2823" i="9"/>
  <c r="C2823" i="9"/>
  <c r="D2823" i="9"/>
  <c r="E2823" i="9"/>
  <c r="F2823" i="9"/>
  <c r="G2823" i="9"/>
  <c r="H2823" i="9"/>
  <c r="I2823" i="9"/>
  <c r="J2823" i="9"/>
  <c r="K2823" i="9" s="1"/>
  <c r="L2823" i="9"/>
  <c r="M2823" i="9"/>
  <c r="A2824" i="9"/>
  <c r="C2824" i="9" s="1"/>
  <c r="B2824" i="9"/>
  <c r="D2824" i="9"/>
  <c r="E2824" i="9"/>
  <c r="F2824" i="9"/>
  <c r="G2824" i="9"/>
  <c r="J2824" i="9"/>
  <c r="K2824" i="9"/>
  <c r="L2824" i="9"/>
  <c r="M2824" i="9"/>
  <c r="A2825" i="9"/>
  <c r="G2825" i="9"/>
  <c r="H2825" i="9"/>
  <c r="I2825" i="9"/>
  <c r="A2826" i="9"/>
  <c r="G2826" i="9" s="1"/>
  <c r="D2826" i="9"/>
  <c r="E2826" i="9"/>
  <c r="F2826" i="9"/>
  <c r="H2826" i="9"/>
  <c r="J2826" i="9"/>
  <c r="K2826" i="9"/>
  <c r="L2826" i="9"/>
  <c r="A2827" i="9"/>
  <c r="B2827" i="9" s="1"/>
  <c r="C2827" i="9"/>
  <c r="D2827" i="9"/>
  <c r="E2827" i="9"/>
  <c r="F2827" i="9"/>
  <c r="G2827" i="9"/>
  <c r="H2827" i="9"/>
  <c r="L2827" i="9"/>
  <c r="M2827" i="9"/>
  <c r="A2828" i="9"/>
  <c r="G2828" i="9" s="1"/>
  <c r="B2828" i="9"/>
  <c r="D2828" i="9"/>
  <c r="E2828" i="9"/>
  <c r="F2828" i="9"/>
  <c r="H2828" i="9"/>
  <c r="I2828" i="9"/>
  <c r="A2829" i="9"/>
  <c r="B2829" i="9"/>
  <c r="E2829" i="9"/>
  <c r="G2829" i="9"/>
  <c r="H2829" i="9"/>
  <c r="I2829" i="9"/>
  <c r="L2829" i="9"/>
  <c r="M2829" i="9"/>
  <c r="A2830" i="9"/>
  <c r="D2830" i="9" s="1"/>
  <c r="A2831" i="9"/>
  <c r="B2831" i="9" s="1"/>
  <c r="E2831" i="9"/>
  <c r="F2831" i="9"/>
  <c r="G2831" i="9"/>
  <c r="H2831" i="9"/>
  <c r="I2831" i="9"/>
  <c r="J2831" i="9"/>
  <c r="K2831" i="9"/>
  <c r="L2831" i="9"/>
  <c r="M2831" i="9"/>
  <c r="A2832" i="9"/>
  <c r="B2832" i="9"/>
  <c r="C2832" i="9"/>
  <c r="A2833" i="9"/>
  <c r="L2833" i="9" s="1"/>
  <c r="B2833" i="9"/>
  <c r="C2833" i="9"/>
  <c r="D2833" i="9"/>
  <c r="E2833" i="9"/>
  <c r="F2833" i="9"/>
  <c r="G2833" i="9"/>
  <c r="H2833" i="9"/>
  <c r="I2833" i="9"/>
  <c r="J2833" i="9"/>
  <c r="K2833" i="9" s="1"/>
  <c r="M2833" i="9"/>
  <c r="A2834" i="9"/>
  <c r="B2834" i="9"/>
  <c r="H2834" i="9"/>
  <c r="I2834" i="9"/>
  <c r="J2834" i="9"/>
  <c r="K2834" i="9" s="1"/>
  <c r="L2834" i="9"/>
  <c r="A2835" i="9"/>
  <c r="I2835" i="9" s="1"/>
  <c r="B2835" i="9"/>
  <c r="C2835" i="9"/>
  <c r="D2835" i="9"/>
  <c r="G2835" i="9"/>
  <c r="H2835" i="9"/>
  <c r="J2835" i="9"/>
  <c r="K2835" i="9" s="1"/>
  <c r="M2835" i="9"/>
  <c r="A2836" i="9"/>
  <c r="B2836" i="9"/>
  <c r="C2836" i="9"/>
  <c r="D2836" i="9"/>
  <c r="E2836" i="9"/>
  <c r="F2836" i="9"/>
  <c r="G2836" i="9"/>
  <c r="H2836" i="9"/>
  <c r="I2836" i="9"/>
  <c r="J2836" i="9"/>
  <c r="K2836" i="9" s="1"/>
  <c r="A2837" i="9"/>
  <c r="F2837" i="9" s="1"/>
  <c r="B2837" i="9"/>
  <c r="C2837" i="9"/>
  <c r="D2837" i="9"/>
  <c r="E2837" i="9"/>
  <c r="G2837" i="9"/>
  <c r="H2837" i="9"/>
  <c r="I2837" i="9"/>
  <c r="A2838" i="9"/>
  <c r="B2838" i="9"/>
  <c r="C2838" i="9"/>
  <c r="E2838" i="9"/>
  <c r="H2838" i="9"/>
  <c r="I2838" i="9"/>
  <c r="J2838" i="9"/>
  <c r="K2838" i="9" s="1"/>
  <c r="L2838" i="9"/>
  <c r="A2839" i="9"/>
  <c r="B2839" i="9"/>
  <c r="C2839" i="9"/>
  <c r="D2839" i="9"/>
  <c r="E2839" i="9"/>
  <c r="J2839" i="9"/>
  <c r="K2839" i="9" s="1"/>
  <c r="L2839" i="9"/>
  <c r="A2840" i="9"/>
  <c r="B2840" i="9"/>
  <c r="C2840" i="9"/>
  <c r="D2840" i="9"/>
  <c r="E2840" i="9"/>
  <c r="F2840" i="9"/>
  <c r="G2840" i="9"/>
  <c r="H2840" i="9"/>
  <c r="I2840" i="9"/>
  <c r="J2840" i="9"/>
  <c r="K2840" i="9"/>
  <c r="L2840" i="9"/>
  <c r="M2840" i="9"/>
  <c r="A2841" i="9"/>
  <c r="B2841" i="9"/>
  <c r="C2841" i="9"/>
  <c r="D2841" i="9"/>
  <c r="E2841" i="9"/>
  <c r="F2841" i="9"/>
  <c r="I2841" i="9"/>
  <c r="J2841" i="9"/>
  <c r="K2841" i="9"/>
  <c r="L2841" i="9"/>
  <c r="M2841" i="9"/>
  <c r="A2842" i="9"/>
  <c r="I2842" i="9" s="1"/>
  <c r="B2842" i="9"/>
  <c r="C2842" i="9"/>
  <c r="D2842" i="9"/>
  <c r="E2842" i="9"/>
  <c r="F2842" i="9"/>
  <c r="G2842" i="9"/>
  <c r="A2843" i="9"/>
  <c r="B2843" i="9"/>
  <c r="C2843" i="9"/>
  <c r="D2843" i="9"/>
  <c r="E2843" i="9"/>
  <c r="F2843" i="9"/>
  <c r="G2843" i="9"/>
  <c r="H2843" i="9"/>
  <c r="I2843" i="9"/>
  <c r="J2843" i="9"/>
  <c r="K2843" i="9"/>
  <c r="L2843" i="9"/>
  <c r="M2843" i="9"/>
  <c r="A2844" i="9"/>
  <c r="B2844" i="9"/>
  <c r="C2844" i="9"/>
  <c r="J2844" i="9"/>
  <c r="K2844" i="9"/>
  <c r="A2845" i="9"/>
  <c r="M2845" i="9" s="1"/>
  <c r="B2845" i="9"/>
  <c r="C2845" i="9"/>
  <c r="D2845" i="9"/>
  <c r="E2845" i="9"/>
  <c r="F2845" i="9"/>
  <c r="H2845" i="9"/>
  <c r="I2845" i="9"/>
  <c r="J2845" i="9"/>
  <c r="K2845" i="9" s="1"/>
  <c r="L2845" i="9"/>
  <c r="A2846" i="9"/>
  <c r="D2846" i="9" s="1"/>
  <c r="E2846" i="9"/>
  <c r="F2846" i="9"/>
  <c r="G2846" i="9"/>
  <c r="H2846" i="9"/>
  <c r="I2846" i="9"/>
  <c r="J2846" i="9"/>
  <c r="K2846" i="9" s="1"/>
  <c r="L2846" i="9"/>
  <c r="M2846" i="9"/>
  <c r="A2847" i="9"/>
  <c r="E2847" i="9" s="1"/>
  <c r="B2847" i="9"/>
  <c r="C2847" i="9"/>
  <c r="D2847" i="9"/>
  <c r="F2847" i="9"/>
  <c r="G2847" i="9"/>
  <c r="H2847" i="9"/>
  <c r="A2848" i="9"/>
  <c r="E2848" i="9" s="1"/>
  <c r="B2848" i="9"/>
  <c r="C2848" i="9"/>
  <c r="D2848" i="9"/>
  <c r="F2848" i="9"/>
  <c r="G2848" i="9"/>
  <c r="H2848" i="9"/>
  <c r="I2848" i="9"/>
  <c r="J2848" i="9"/>
  <c r="K2848" i="9" s="1"/>
  <c r="L2848" i="9"/>
  <c r="M2848" i="9"/>
  <c r="A2849" i="9"/>
  <c r="B2849" i="9"/>
  <c r="E2849" i="9"/>
  <c r="F2849" i="9"/>
  <c r="L2849" i="9"/>
  <c r="M2849" i="9"/>
  <c r="A2850" i="9"/>
  <c r="J2850" i="9" s="1"/>
  <c r="K2850" i="9" s="1"/>
  <c r="B2850" i="9"/>
  <c r="C2850" i="9"/>
  <c r="D2850" i="9"/>
  <c r="E2850" i="9"/>
  <c r="F2850" i="9"/>
  <c r="G2850" i="9"/>
  <c r="H2850" i="9"/>
  <c r="I2850" i="9"/>
  <c r="L2850" i="9"/>
  <c r="M2850" i="9"/>
  <c r="A2851" i="9"/>
  <c r="L2851" i="9" s="1"/>
  <c r="B2851" i="9"/>
  <c r="G2851" i="9"/>
  <c r="H2851" i="9"/>
  <c r="I2851" i="9"/>
  <c r="M2851" i="9"/>
  <c r="A2852" i="9"/>
  <c r="B2852" i="9"/>
  <c r="C2852" i="9"/>
  <c r="F2852" i="9"/>
  <c r="G2852" i="9"/>
  <c r="H2852" i="9"/>
  <c r="I2852" i="9"/>
  <c r="J2852" i="9"/>
  <c r="K2852" i="9" s="1"/>
  <c r="A2853" i="9"/>
  <c r="L2853" i="9" s="1"/>
  <c r="B2853" i="9"/>
  <c r="C2853" i="9"/>
  <c r="D2853" i="9"/>
  <c r="E2853" i="9"/>
  <c r="F2853" i="9"/>
  <c r="G2853" i="9"/>
  <c r="H2853" i="9"/>
  <c r="I2853" i="9"/>
  <c r="J2853" i="9"/>
  <c r="K2853" i="9" s="1"/>
  <c r="M2853" i="9"/>
  <c r="A2854" i="9"/>
  <c r="B2854" i="9"/>
  <c r="C2854" i="9"/>
  <c r="D2854" i="9"/>
  <c r="E2854" i="9"/>
  <c r="F2854" i="9"/>
  <c r="G2854" i="9"/>
  <c r="L2854" i="9"/>
  <c r="M2854" i="9"/>
  <c r="A2855" i="9"/>
  <c r="G2855" i="9" s="1"/>
  <c r="C2855" i="9"/>
  <c r="A2856" i="9"/>
  <c r="B2856" i="9"/>
  <c r="C2856" i="9"/>
  <c r="H2856" i="9"/>
  <c r="I2856" i="9"/>
  <c r="J2856" i="9"/>
  <c r="K2856" i="9" s="1"/>
  <c r="A2857" i="9"/>
  <c r="M2857" i="9" s="1"/>
  <c r="B2857" i="9"/>
  <c r="C2857" i="9"/>
  <c r="D2857" i="9"/>
  <c r="E2857" i="9"/>
  <c r="F2857" i="9"/>
  <c r="A2858" i="9"/>
  <c r="B2858" i="9" s="1"/>
  <c r="C2858" i="9"/>
  <c r="D2858" i="9"/>
  <c r="E2858" i="9"/>
  <c r="H2858" i="9"/>
  <c r="I2858" i="9"/>
  <c r="J2858" i="9"/>
  <c r="K2858" i="9" s="1"/>
  <c r="L2858" i="9"/>
  <c r="M2858" i="9"/>
  <c r="A2859" i="9"/>
  <c r="B2859" i="9"/>
  <c r="C2859" i="9"/>
  <c r="D2859" i="9"/>
  <c r="A2860" i="9"/>
  <c r="B2860" i="9"/>
  <c r="C2860" i="9"/>
  <c r="D2860" i="9"/>
  <c r="E2860" i="9"/>
  <c r="F2860" i="9"/>
  <c r="G2860" i="9"/>
  <c r="H2860" i="9"/>
  <c r="I2860" i="9"/>
  <c r="J2860" i="9"/>
  <c r="K2860" i="9"/>
  <c r="L2860" i="9"/>
  <c r="M2860" i="9"/>
  <c r="A2861" i="9"/>
  <c r="B2861" i="9"/>
  <c r="C2861" i="9"/>
  <c r="A2862" i="9"/>
  <c r="M2862" i="9" s="1"/>
  <c r="B2862" i="9"/>
  <c r="C2862" i="9"/>
  <c r="D2862" i="9"/>
  <c r="F2862" i="9"/>
  <c r="G2862" i="9"/>
  <c r="H2862" i="9"/>
  <c r="I2862" i="9"/>
  <c r="J2862" i="9"/>
  <c r="K2862" i="9"/>
  <c r="L2862" i="9"/>
  <c r="A2863" i="9"/>
  <c r="B2863" i="9"/>
  <c r="C2863" i="9"/>
  <c r="D2863" i="9"/>
  <c r="E2863" i="9"/>
  <c r="F2863" i="9"/>
  <c r="G2863" i="9"/>
  <c r="H2863" i="9"/>
  <c r="I2863" i="9"/>
  <c r="J2863" i="9"/>
  <c r="K2863" i="9"/>
  <c r="L2863" i="9"/>
  <c r="M2863" i="9"/>
  <c r="A2864" i="9"/>
  <c r="B2864" i="9"/>
  <c r="C2864" i="9"/>
  <c r="D2864" i="9"/>
  <c r="E2864" i="9"/>
  <c r="F2864" i="9"/>
  <c r="M2864" i="9"/>
  <c r="A2865" i="9"/>
  <c r="C2865" i="9" s="1"/>
  <c r="B2865" i="9"/>
  <c r="D2865" i="9"/>
  <c r="E2865" i="9"/>
  <c r="F2865" i="9"/>
  <c r="A2866" i="9"/>
  <c r="D2866" i="9"/>
  <c r="I2866" i="9"/>
  <c r="J2866" i="9"/>
  <c r="K2866" i="9" s="1"/>
  <c r="M2866" i="9"/>
  <c r="A2867" i="9"/>
  <c r="B2867" i="9"/>
  <c r="C2867" i="9"/>
  <c r="D2867" i="9"/>
  <c r="E2867" i="9"/>
  <c r="F2867" i="9"/>
  <c r="G2867" i="9"/>
  <c r="A2868" i="9"/>
  <c r="B2868" i="9"/>
  <c r="C2868" i="9"/>
  <c r="D2868" i="9"/>
  <c r="E2868" i="9"/>
  <c r="F2868" i="9"/>
  <c r="G2868" i="9"/>
  <c r="H2868" i="9"/>
  <c r="I2868" i="9"/>
  <c r="J2868" i="9"/>
  <c r="K2868" i="9" s="1"/>
  <c r="L2868" i="9"/>
  <c r="M2868" i="9"/>
  <c r="A2869" i="9"/>
  <c r="B2869" i="9"/>
  <c r="E2869" i="9"/>
  <c r="A2870" i="9"/>
  <c r="E2870" i="9" s="1"/>
  <c r="B2870" i="9"/>
  <c r="C2870" i="9"/>
  <c r="F2870" i="9"/>
  <c r="G2870" i="9"/>
  <c r="H2870" i="9"/>
  <c r="I2870" i="9"/>
  <c r="L2870" i="9"/>
  <c r="M2870" i="9"/>
  <c r="A2871" i="9"/>
  <c r="B2871" i="9"/>
  <c r="C2871" i="9"/>
  <c r="D2871" i="9"/>
  <c r="E2871" i="9"/>
  <c r="J2871" i="9"/>
  <c r="K2871" i="9" s="1"/>
  <c r="A2872" i="9"/>
  <c r="H2872" i="9" s="1"/>
  <c r="B2872" i="9"/>
  <c r="C2872" i="9"/>
  <c r="F2872" i="9"/>
  <c r="G2872" i="9"/>
  <c r="I2872" i="9"/>
  <c r="J2872" i="9"/>
  <c r="K2872" i="9" s="1"/>
  <c r="L2872" i="9"/>
  <c r="M2872" i="9"/>
  <c r="A2873" i="9"/>
  <c r="F2873" i="9"/>
  <c r="G2873" i="9"/>
  <c r="H2873" i="9"/>
  <c r="J2873" i="9"/>
  <c r="K2873" i="9" s="1"/>
  <c r="M2873" i="9"/>
  <c r="A2874" i="9"/>
  <c r="A2875" i="9"/>
  <c r="G2875" i="9" s="1"/>
  <c r="B2875" i="9"/>
  <c r="C2875" i="9"/>
  <c r="D2875" i="9"/>
  <c r="H2875" i="9"/>
  <c r="I2875" i="9"/>
  <c r="J2875" i="9"/>
  <c r="K2875" i="9" s="1"/>
  <c r="L2875" i="9"/>
  <c r="M2875" i="9"/>
  <c r="A2876" i="9"/>
  <c r="D2876" i="9" s="1"/>
  <c r="A2877" i="9"/>
  <c r="C2877" i="9" s="1"/>
  <c r="D2877" i="9"/>
  <c r="E2877" i="9"/>
  <c r="F2877" i="9"/>
  <c r="G2877" i="9"/>
  <c r="H2877" i="9"/>
  <c r="I2877" i="9"/>
  <c r="J2877" i="9"/>
  <c r="K2877" i="9"/>
  <c r="L2877" i="9"/>
  <c r="M2877" i="9"/>
  <c r="A2878" i="9"/>
  <c r="M2878" i="9" s="1"/>
  <c r="B2878" i="9"/>
  <c r="A2879" i="9"/>
  <c r="D2879" i="9" s="1"/>
  <c r="B2879" i="9"/>
  <c r="C2879" i="9"/>
  <c r="E2879" i="9"/>
  <c r="F2879" i="9"/>
  <c r="G2879" i="9"/>
  <c r="H2879" i="9"/>
  <c r="I2879" i="9"/>
  <c r="J2879" i="9"/>
  <c r="K2879" i="9"/>
  <c r="A2880" i="9"/>
  <c r="B2880" i="9"/>
  <c r="C2880" i="9"/>
  <c r="D2880" i="9"/>
  <c r="E2880" i="9"/>
  <c r="F2880" i="9"/>
  <c r="G2880" i="9"/>
  <c r="H2880" i="9"/>
  <c r="I2880" i="9"/>
  <c r="J2880" i="9"/>
  <c r="K2880" i="9" s="1"/>
  <c r="L2880" i="9"/>
  <c r="M2880" i="9"/>
  <c r="A2881" i="9"/>
  <c r="B2881" i="9"/>
  <c r="C2881" i="9"/>
  <c r="D2881" i="9"/>
  <c r="E2881" i="9"/>
  <c r="F2881" i="9"/>
  <c r="M2881" i="9"/>
  <c r="A2882" i="9"/>
  <c r="C2882" i="9" s="1"/>
  <c r="B2882" i="9"/>
  <c r="D2882" i="9"/>
  <c r="E2882" i="9"/>
  <c r="F2882" i="9"/>
  <c r="A2883" i="9"/>
  <c r="B2883" i="9"/>
  <c r="C2883" i="9"/>
  <c r="D2883" i="9"/>
  <c r="E2883" i="9"/>
  <c r="F2883" i="9"/>
  <c r="G2883" i="9"/>
  <c r="H2883" i="9"/>
  <c r="I2883" i="9"/>
  <c r="J2883" i="9"/>
  <c r="K2883" i="9"/>
  <c r="L2883" i="9"/>
  <c r="M2883" i="9"/>
  <c r="A2884" i="9"/>
  <c r="B2884" i="9"/>
  <c r="C2884" i="9"/>
  <c r="D2884" i="9"/>
  <c r="E2884" i="9"/>
  <c r="F2884" i="9"/>
  <c r="G2884" i="9"/>
  <c r="J2884" i="9"/>
  <c r="K2884" i="9" s="1"/>
  <c r="A2885" i="9"/>
  <c r="B2885" i="9"/>
  <c r="C2885" i="9"/>
  <c r="D2885" i="9"/>
  <c r="E2885" i="9"/>
  <c r="F2885" i="9"/>
  <c r="G2885" i="9"/>
  <c r="H2885" i="9"/>
  <c r="I2885" i="9"/>
  <c r="J2885" i="9"/>
  <c r="K2885" i="9" s="1"/>
  <c r="L2885" i="9"/>
  <c r="M2885" i="9"/>
  <c r="A2886" i="9"/>
  <c r="L2886" i="9" s="1"/>
  <c r="D2886" i="9"/>
  <c r="E2886" i="9"/>
  <c r="F2886" i="9"/>
  <c r="G2886" i="9"/>
  <c r="M2886" i="9"/>
  <c r="A2887" i="9"/>
  <c r="C2887" i="9"/>
  <c r="D2887" i="9"/>
  <c r="E2887" i="9"/>
  <c r="F2887" i="9"/>
  <c r="G2887" i="9"/>
  <c r="H2887" i="9"/>
  <c r="L2887" i="9"/>
  <c r="M2887" i="9"/>
  <c r="A2888" i="9"/>
  <c r="L2888" i="9" s="1"/>
  <c r="A2889" i="9"/>
  <c r="B2889" i="9"/>
  <c r="E2889" i="9"/>
  <c r="F2889" i="9"/>
  <c r="G2889" i="9"/>
  <c r="H2889" i="9"/>
  <c r="I2889" i="9"/>
  <c r="J2889" i="9"/>
  <c r="K2889" i="9"/>
  <c r="L2889" i="9"/>
  <c r="A2890" i="9"/>
  <c r="J2890" i="9" s="1"/>
  <c r="K2890" i="9" s="1"/>
  <c r="C2890" i="9"/>
  <c r="D2890" i="9"/>
  <c r="E2890" i="9"/>
  <c r="F2890" i="9"/>
  <c r="G2890" i="9"/>
  <c r="H2890" i="9"/>
  <c r="I2890" i="9"/>
  <c r="L2890" i="9"/>
  <c r="M2890" i="9"/>
  <c r="A2891" i="9"/>
  <c r="B2891" i="9"/>
  <c r="C2891" i="9"/>
  <c r="D2891" i="9"/>
  <c r="E2891" i="9"/>
  <c r="F2891" i="9"/>
  <c r="G2891" i="9"/>
  <c r="L2891" i="9"/>
  <c r="M2891" i="9"/>
  <c r="A2892" i="9"/>
  <c r="J2892" i="9" s="1"/>
  <c r="K2892" i="9" s="1"/>
  <c r="C2892" i="9"/>
  <c r="E2892" i="9"/>
  <c r="A2893" i="9"/>
  <c r="B2893" i="9"/>
  <c r="G2893" i="9"/>
  <c r="H2893" i="9"/>
  <c r="I2893" i="9"/>
  <c r="L2893" i="9"/>
  <c r="M2893" i="9"/>
  <c r="A2894" i="9"/>
  <c r="B2894" i="9"/>
  <c r="C2894" i="9"/>
  <c r="D2894" i="9"/>
  <c r="E2894" i="9"/>
  <c r="A2895" i="9"/>
  <c r="E2895" i="9" s="1"/>
  <c r="B2895" i="9"/>
  <c r="C2895" i="9"/>
  <c r="D2895" i="9"/>
  <c r="G2895" i="9"/>
  <c r="H2895" i="9"/>
  <c r="I2895" i="9"/>
  <c r="J2895" i="9"/>
  <c r="K2895" i="9"/>
  <c r="L2895" i="9"/>
  <c r="M2895" i="9"/>
  <c r="A2896" i="9"/>
  <c r="B2896" i="9"/>
  <c r="C2896" i="9"/>
  <c r="D2896" i="9"/>
  <c r="A2897" i="9"/>
  <c r="B2897" i="9"/>
  <c r="C2897" i="9"/>
  <c r="D2897" i="9"/>
  <c r="E2897" i="9"/>
  <c r="F2897" i="9"/>
  <c r="G2897" i="9"/>
  <c r="H2897" i="9"/>
  <c r="I2897" i="9"/>
  <c r="J2897" i="9"/>
  <c r="K2897" i="9"/>
  <c r="L2897" i="9"/>
  <c r="M2897" i="9"/>
  <c r="A2898" i="9"/>
  <c r="F2898" i="9" s="1"/>
  <c r="B2898" i="9"/>
  <c r="C2898" i="9"/>
  <c r="D2898" i="9"/>
  <c r="E2898" i="9"/>
  <c r="G2898" i="9"/>
  <c r="H2898" i="9"/>
  <c r="I2898" i="9"/>
  <c r="J2898" i="9"/>
  <c r="K2898" i="9"/>
  <c r="L2898" i="9"/>
  <c r="M2898" i="9"/>
  <c r="A2899" i="9"/>
  <c r="B2899" i="9"/>
  <c r="C2899" i="9"/>
  <c r="D2899" i="9"/>
  <c r="E2899" i="9"/>
  <c r="F2899" i="9"/>
  <c r="G2899" i="9"/>
  <c r="H2899" i="9"/>
  <c r="A2900" i="9"/>
  <c r="D2900" i="9" s="1"/>
  <c r="B2900" i="9"/>
  <c r="C2900" i="9"/>
  <c r="A2901" i="9"/>
  <c r="B2901" i="9"/>
  <c r="C2901" i="9"/>
  <c r="I2901" i="9"/>
  <c r="J2901" i="9"/>
  <c r="K2901" i="9" s="1"/>
  <c r="M2901" i="9"/>
  <c r="A2902" i="9"/>
  <c r="I2902" i="9" s="1"/>
  <c r="B2902" i="9"/>
  <c r="C2902" i="9"/>
  <c r="D2902" i="9"/>
  <c r="A2903" i="9"/>
  <c r="B2903" i="9"/>
  <c r="C2903" i="9"/>
  <c r="D2903" i="9"/>
  <c r="E2903" i="9"/>
  <c r="F2903" i="9"/>
  <c r="G2903" i="9"/>
  <c r="H2903" i="9"/>
  <c r="I2903" i="9"/>
  <c r="J2903" i="9"/>
  <c r="K2903" i="9" s="1"/>
  <c r="L2903" i="9"/>
  <c r="M2903" i="9"/>
  <c r="A2904" i="9"/>
  <c r="B2904" i="9"/>
  <c r="C2904" i="9"/>
  <c r="D2904" i="9"/>
  <c r="E2904" i="9"/>
  <c r="L2904" i="9"/>
  <c r="M2904" i="9"/>
  <c r="A2905" i="9"/>
  <c r="B2905" i="9"/>
  <c r="C2905" i="9"/>
  <c r="D2905" i="9"/>
  <c r="E2905" i="9"/>
  <c r="F2905" i="9"/>
  <c r="G2905" i="9"/>
  <c r="H2905" i="9"/>
  <c r="I2905" i="9"/>
  <c r="J2905" i="9"/>
  <c r="K2905" i="9" s="1"/>
  <c r="L2905" i="9"/>
  <c r="M2905" i="9"/>
  <c r="A2906" i="9"/>
  <c r="B2906" i="9" s="1"/>
  <c r="C2906" i="9"/>
  <c r="D2906" i="9"/>
  <c r="E2906" i="9"/>
  <c r="F2906" i="9"/>
  <c r="G2906" i="9"/>
  <c r="H2906" i="9"/>
  <c r="I2906" i="9"/>
  <c r="J2906" i="9"/>
  <c r="K2906" i="9"/>
  <c r="L2906" i="9"/>
  <c r="M2906" i="9"/>
  <c r="A2907" i="9"/>
  <c r="B2907" i="9"/>
  <c r="C2907" i="9"/>
  <c r="D2907" i="9"/>
  <c r="E2907" i="9"/>
  <c r="F2907" i="9"/>
  <c r="G2907" i="9"/>
  <c r="A2908" i="9"/>
  <c r="D2908" i="9" s="1"/>
  <c r="B2908" i="9"/>
  <c r="C2908" i="9"/>
  <c r="E2908" i="9"/>
  <c r="F2908" i="9"/>
  <c r="G2908" i="9"/>
  <c r="I2908" i="9"/>
  <c r="J2908" i="9"/>
  <c r="K2908" i="9" s="1"/>
  <c r="L2908" i="9"/>
  <c r="M2908" i="9"/>
  <c r="A2909" i="9"/>
  <c r="B2909" i="9"/>
  <c r="D2909" i="9"/>
  <c r="I2909" i="9"/>
  <c r="J2909" i="9"/>
  <c r="K2909" i="9" s="1"/>
  <c r="M2909" i="9"/>
  <c r="A2910" i="9"/>
  <c r="B2910" i="9"/>
  <c r="C2910" i="9"/>
  <c r="D2910" i="9"/>
  <c r="E2910" i="9"/>
  <c r="F2910" i="9"/>
  <c r="G2910" i="9"/>
  <c r="H2910" i="9"/>
  <c r="I2910" i="9"/>
  <c r="L2910" i="9"/>
  <c r="A2911" i="9"/>
  <c r="B2911" i="9" s="1"/>
  <c r="C2911" i="9"/>
  <c r="D2911" i="9"/>
  <c r="E2911" i="9"/>
  <c r="F2911" i="9"/>
  <c r="G2911" i="9"/>
  <c r="H2911" i="9"/>
  <c r="I2911" i="9"/>
  <c r="J2911" i="9"/>
  <c r="K2911" i="9" s="1"/>
  <c r="L2911" i="9"/>
  <c r="M2911" i="9"/>
  <c r="A2912" i="9"/>
  <c r="F2912" i="9" s="1"/>
  <c r="B2912" i="9"/>
  <c r="C2912" i="9"/>
  <c r="E2912" i="9"/>
  <c r="G2912" i="9"/>
  <c r="L2912" i="9"/>
  <c r="M2912" i="9"/>
  <c r="A2913" i="9"/>
  <c r="B2913" i="9" s="1"/>
  <c r="C2913" i="9"/>
  <c r="D2913" i="9"/>
  <c r="E2913" i="9"/>
  <c r="F2913" i="9"/>
  <c r="G2913" i="9"/>
  <c r="H2913" i="9"/>
  <c r="I2913" i="9"/>
  <c r="J2913" i="9"/>
  <c r="K2913" i="9" s="1"/>
  <c r="A2914" i="9"/>
  <c r="B2914" i="9"/>
  <c r="G2914" i="9"/>
  <c r="H2914" i="9"/>
  <c r="I2914" i="9"/>
  <c r="L2914" i="9"/>
  <c r="M2914" i="9"/>
  <c r="A2915" i="9"/>
  <c r="B2915" i="9"/>
  <c r="C2915" i="9"/>
  <c r="D2915" i="9"/>
  <c r="F2915" i="9"/>
  <c r="G2915" i="9"/>
  <c r="H2915" i="9"/>
  <c r="I2915" i="9"/>
  <c r="J2915" i="9"/>
  <c r="K2915" i="9" s="1"/>
  <c r="A2916" i="9"/>
  <c r="L2916" i="9" s="1"/>
  <c r="B2916" i="9"/>
  <c r="C2916" i="9"/>
  <c r="D2916" i="9"/>
  <c r="F2916" i="9"/>
  <c r="G2916" i="9"/>
  <c r="H2916" i="9"/>
  <c r="I2916" i="9"/>
  <c r="J2916" i="9"/>
  <c r="K2916" i="9"/>
  <c r="M2916" i="9"/>
  <c r="A2917" i="9"/>
  <c r="B2917" i="9"/>
  <c r="C2917" i="9"/>
  <c r="D2917" i="9"/>
  <c r="E2917" i="9"/>
  <c r="J2917" i="9"/>
  <c r="K2917" i="9"/>
  <c r="L2917" i="9"/>
  <c r="A2918" i="9"/>
  <c r="F2918" i="9" s="1"/>
  <c r="B2918" i="9"/>
  <c r="A2919" i="9"/>
  <c r="M2919" i="9" s="1"/>
  <c r="B2919" i="9"/>
  <c r="C2919" i="9"/>
  <c r="D2919" i="9"/>
  <c r="E2919" i="9"/>
  <c r="F2919" i="9"/>
  <c r="G2919" i="9"/>
  <c r="H2919" i="9"/>
  <c r="I2919" i="9"/>
  <c r="J2919" i="9"/>
  <c r="K2919" i="9" s="1"/>
  <c r="L2919" i="9"/>
  <c r="A2920" i="9"/>
  <c r="F2920" i="9" s="1"/>
  <c r="B2920" i="9"/>
  <c r="C2920" i="9"/>
  <c r="D2920" i="9"/>
  <c r="E2920" i="9"/>
  <c r="G2920" i="9"/>
  <c r="H2920" i="9"/>
  <c r="M2920" i="9"/>
  <c r="A2921" i="9"/>
  <c r="M2921" i="9" s="1"/>
  <c r="B2921" i="9"/>
  <c r="D2921" i="9"/>
  <c r="E2921" i="9"/>
  <c r="F2921" i="9"/>
  <c r="H2921" i="9"/>
  <c r="I2921" i="9"/>
  <c r="J2921" i="9"/>
  <c r="K2921" i="9"/>
  <c r="A2922" i="9"/>
  <c r="I2922" i="9" s="1"/>
  <c r="B2922" i="9"/>
  <c r="C2922" i="9"/>
  <c r="G2922" i="9"/>
  <c r="H2922" i="9"/>
  <c r="J2922" i="9"/>
  <c r="K2922" i="9" s="1"/>
  <c r="L2922" i="9"/>
  <c r="M2922" i="9"/>
  <c r="A2923" i="9"/>
  <c r="B2923" i="9"/>
  <c r="C2923" i="9"/>
  <c r="D2923" i="9"/>
  <c r="E2923" i="9"/>
  <c r="F2923" i="9"/>
  <c r="G2923" i="9"/>
  <c r="H2923" i="9"/>
  <c r="I2923" i="9"/>
  <c r="J2923" i="9"/>
  <c r="K2923" i="9" s="1"/>
  <c r="L2923" i="9"/>
  <c r="M2923" i="9"/>
  <c r="A2924" i="9"/>
  <c r="F2924" i="9" s="1"/>
  <c r="B2924" i="9"/>
  <c r="C2924" i="9"/>
  <c r="D2924" i="9"/>
  <c r="G2924" i="9"/>
  <c r="I2924" i="9"/>
  <c r="J2924" i="9"/>
  <c r="K2924" i="9"/>
  <c r="L2924" i="9"/>
  <c r="M2924" i="9"/>
  <c r="A2925" i="9"/>
  <c r="B2925" i="9"/>
  <c r="C2925" i="9"/>
  <c r="D2925" i="9"/>
  <c r="E2925" i="9"/>
  <c r="I2925" i="9"/>
  <c r="A2926" i="9"/>
  <c r="B2926" i="9" s="1"/>
  <c r="C2926" i="9"/>
  <c r="D2926" i="9"/>
  <c r="E2926" i="9"/>
  <c r="G2926" i="9"/>
  <c r="H2926" i="9"/>
  <c r="I2926" i="9"/>
  <c r="J2926" i="9"/>
  <c r="K2926" i="9"/>
  <c r="L2926" i="9"/>
  <c r="M2926" i="9"/>
  <c r="A2927" i="9"/>
  <c r="I2927" i="9" s="1"/>
  <c r="B2927" i="9"/>
  <c r="C2927" i="9"/>
  <c r="D2927" i="9"/>
  <c r="E2927" i="9"/>
  <c r="F2927" i="9"/>
  <c r="G2927" i="9"/>
  <c r="H2927" i="9"/>
  <c r="J2927" i="9"/>
  <c r="K2927" i="9" s="1"/>
  <c r="L2927" i="9"/>
  <c r="M2927" i="9"/>
  <c r="A2928" i="9"/>
  <c r="B2928" i="9"/>
  <c r="C2928" i="9"/>
  <c r="D2928" i="9"/>
  <c r="E2928" i="9"/>
  <c r="F2928" i="9"/>
  <c r="G2928" i="9"/>
  <c r="H2928" i="9"/>
  <c r="L2928" i="9"/>
  <c r="M2928" i="9"/>
  <c r="A2929" i="9"/>
  <c r="J2929" i="9" s="1"/>
  <c r="K2929" i="9" s="1"/>
  <c r="B2929" i="9"/>
  <c r="E2929" i="9"/>
  <c r="A2930" i="9"/>
  <c r="B2930" i="9"/>
  <c r="C2930" i="9"/>
  <c r="G2930" i="9"/>
  <c r="H2930" i="9"/>
  <c r="I2930" i="9"/>
  <c r="M2930" i="9"/>
  <c r="A2931" i="9"/>
  <c r="I2931" i="9" s="1"/>
  <c r="B2931" i="9"/>
  <c r="C2931" i="9"/>
  <c r="D2931" i="9"/>
  <c r="A2932" i="9"/>
  <c r="D2932" i="9" s="1"/>
  <c r="B2932" i="9"/>
  <c r="C2932" i="9"/>
  <c r="E2932" i="9"/>
  <c r="F2932" i="9"/>
  <c r="G2932" i="9"/>
  <c r="H2932" i="9"/>
  <c r="I2932" i="9"/>
  <c r="J2932" i="9"/>
  <c r="K2932" i="9"/>
  <c r="L2932" i="9"/>
  <c r="M2932" i="9"/>
  <c r="A2933" i="9"/>
  <c r="A2934" i="9"/>
  <c r="B2934" i="9" s="1"/>
  <c r="C2934" i="9"/>
  <c r="D2934" i="9"/>
  <c r="E2934" i="9"/>
  <c r="F2934" i="9"/>
  <c r="G2934" i="9"/>
  <c r="H2934" i="9"/>
  <c r="I2934" i="9"/>
  <c r="J2934" i="9"/>
  <c r="K2934" i="9" s="1"/>
  <c r="L2934" i="9"/>
  <c r="M2934" i="9"/>
  <c r="A2935" i="9"/>
  <c r="F2935" i="9"/>
  <c r="G2935" i="9"/>
  <c r="H2935" i="9"/>
  <c r="I2935" i="9"/>
  <c r="L2935" i="9"/>
  <c r="M2935" i="9"/>
  <c r="A2936" i="9"/>
  <c r="B2936" i="9"/>
  <c r="C2936" i="9"/>
  <c r="D2936" i="9"/>
  <c r="E2936" i="9"/>
  <c r="F2936" i="9"/>
  <c r="G2936" i="9"/>
  <c r="H2936" i="9"/>
  <c r="I2936" i="9"/>
  <c r="A2937" i="9"/>
  <c r="E2937" i="9" s="1"/>
  <c r="B2937" i="9"/>
  <c r="C2937" i="9"/>
  <c r="A2938" i="9"/>
  <c r="B2938" i="9"/>
  <c r="C2938" i="9"/>
  <c r="D2938" i="9"/>
  <c r="I2938" i="9"/>
  <c r="J2938" i="9"/>
  <c r="K2938" i="9"/>
  <c r="L2938" i="9"/>
  <c r="A2939" i="9"/>
  <c r="M2939" i="9" s="1"/>
  <c r="B2939" i="9"/>
  <c r="C2939" i="9"/>
  <c r="A2940" i="9"/>
  <c r="B2940" i="9"/>
  <c r="C2940" i="9"/>
  <c r="D2940" i="9"/>
  <c r="E2940" i="9"/>
  <c r="F2940" i="9"/>
  <c r="G2940" i="9"/>
  <c r="H2940" i="9"/>
  <c r="I2940" i="9"/>
  <c r="J2940" i="9"/>
  <c r="K2940" i="9"/>
  <c r="L2940" i="9"/>
  <c r="M2940" i="9"/>
  <c r="A2941" i="9"/>
  <c r="F2941" i="9" s="1"/>
  <c r="B2941" i="9"/>
  <c r="C2941" i="9"/>
  <c r="D2941" i="9"/>
  <c r="E2941" i="9"/>
  <c r="H2941" i="9"/>
  <c r="L2941" i="9"/>
  <c r="M2941" i="9"/>
  <c r="A2942" i="9"/>
  <c r="C2942" i="9" s="1"/>
  <c r="B2942" i="9"/>
  <c r="D2942" i="9"/>
  <c r="E2942" i="9"/>
  <c r="F2942" i="9"/>
  <c r="G2942" i="9"/>
  <c r="H2942" i="9"/>
  <c r="I2942" i="9"/>
  <c r="J2942" i="9"/>
  <c r="K2942" i="9" s="1"/>
  <c r="A2943" i="9"/>
  <c r="B2943" i="9"/>
  <c r="C2943" i="9"/>
  <c r="D2943" i="9"/>
  <c r="E2943" i="9"/>
  <c r="F2943" i="9"/>
  <c r="G2943" i="9"/>
  <c r="H2943" i="9"/>
  <c r="I2943" i="9"/>
  <c r="J2943" i="9"/>
  <c r="K2943" i="9" s="1"/>
  <c r="L2943" i="9"/>
  <c r="M2943" i="9"/>
  <c r="A2944" i="9"/>
  <c r="I2944" i="9" s="1"/>
  <c r="B2944" i="9"/>
  <c r="C2944" i="9"/>
  <c r="D2944" i="9"/>
  <c r="A2945" i="9"/>
  <c r="E2945" i="9" s="1"/>
  <c r="B2945" i="9"/>
  <c r="D2945" i="9"/>
  <c r="F2945" i="9"/>
  <c r="G2945" i="9"/>
  <c r="H2945" i="9"/>
  <c r="I2945" i="9"/>
  <c r="J2945" i="9"/>
  <c r="K2945" i="9"/>
  <c r="L2945" i="9"/>
  <c r="M2945" i="9"/>
  <c r="A2946" i="9"/>
  <c r="L2946" i="9" s="1"/>
  <c r="C2946" i="9"/>
  <c r="D2946" i="9"/>
  <c r="A2947" i="9"/>
  <c r="I2947" i="9" s="1"/>
  <c r="B2947" i="9"/>
  <c r="D2947" i="9"/>
  <c r="E2947" i="9"/>
  <c r="F2947" i="9"/>
  <c r="G2947" i="9"/>
  <c r="H2947" i="9"/>
  <c r="J2947" i="9"/>
  <c r="K2947" i="9"/>
  <c r="L2947" i="9"/>
  <c r="M2947" i="9"/>
  <c r="A2948" i="9"/>
  <c r="B2948" i="9"/>
  <c r="C2948" i="9"/>
  <c r="D2948" i="9"/>
  <c r="E2948" i="9"/>
  <c r="F2948" i="9"/>
  <c r="G2948" i="9"/>
  <c r="H2948" i="9"/>
  <c r="I2948" i="9"/>
  <c r="J2948" i="9"/>
  <c r="K2948" i="9" s="1"/>
  <c r="L2948" i="9"/>
  <c r="M2948" i="9"/>
  <c r="A2949" i="9"/>
  <c r="B2949" i="9"/>
  <c r="D2949" i="9"/>
  <c r="E2949" i="9"/>
  <c r="F2949" i="9"/>
  <c r="G2949" i="9"/>
  <c r="H2949" i="9"/>
  <c r="L2949" i="9"/>
  <c r="M2949" i="9"/>
  <c r="A2950" i="9"/>
  <c r="A2951" i="9"/>
  <c r="B2951" i="9"/>
  <c r="C2951" i="9"/>
  <c r="G2951" i="9"/>
  <c r="H2951" i="9"/>
  <c r="I2951" i="9"/>
  <c r="J2951" i="9"/>
  <c r="K2951" i="9" s="1"/>
  <c r="L2951" i="9"/>
  <c r="M2951" i="9"/>
  <c r="A2952" i="9"/>
  <c r="C2952" i="9" s="1"/>
  <c r="A2953" i="9"/>
  <c r="B2953" i="9"/>
  <c r="C2953" i="9"/>
  <c r="D2953" i="9"/>
  <c r="E2953" i="9"/>
  <c r="F2953" i="9"/>
  <c r="G2953" i="9"/>
  <c r="H2953" i="9"/>
  <c r="I2953" i="9"/>
  <c r="J2953" i="9"/>
  <c r="K2953" i="9" s="1"/>
  <c r="L2953" i="9"/>
  <c r="M2953" i="9"/>
  <c r="A2954" i="9"/>
  <c r="J2954" i="9" s="1"/>
  <c r="K2954" i="9" s="1"/>
  <c r="B2954" i="9"/>
  <c r="C2954" i="9"/>
  <c r="D2954" i="9"/>
  <c r="E2954" i="9"/>
  <c r="F2954" i="9"/>
  <c r="L2954" i="9"/>
  <c r="M2954" i="9"/>
  <c r="A2955" i="9"/>
  <c r="E2955" i="9" s="1"/>
  <c r="B2955" i="9"/>
  <c r="C2955" i="9"/>
  <c r="D2955" i="9"/>
  <c r="F2955" i="9"/>
  <c r="G2955" i="9"/>
  <c r="H2955" i="9"/>
  <c r="I2955" i="9"/>
  <c r="J2955" i="9"/>
  <c r="K2955" i="9" s="1"/>
  <c r="L2955" i="9"/>
  <c r="M2955" i="9"/>
  <c r="A2956" i="9"/>
  <c r="H2956" i="9" s="1"/>
  <c r="E2956" i="9"/>
  <c r="F2956" i="9"/>
  <c r="G2956" i="9"/>
  <c r="J2956" i="9"/>
  <c r="K2956" i="9" s="1"/>
  <c r="M2956" i="9"/>
  <c r="A2957" i="9"/>
  <c r="B2957" i="9"/>
  <c r="C2957" i="9"/>
  <c r="D2957" i="9"/>
  <c r="E2957" i="9"/>
  <c r="F2957" i="9"/>
  <c r="G2957" i="9"/>
  <c r="H2957" i="9"/>
  <c r="I2957" i="9"/>
  <c r="A2958" i="9"/>
  <c r="I2958" i="9" s="1"/>
  <c r="B2958" i="9"/>
  <c r="C2958" i="9"/>
  <c r="E2958" i="9"/>
  <c r="G2958" i="9"/>
  <c r="H2958" i="9"/>
  <c r="J2958" i="9"/>
  <c r="K2958" i="9"/>
  <c r="L2958" i="9"/>
  <c r="M2958" i="9"/>
  <c r="A2959" i="9"/>
  <c r="B2959" i="9"/>
  <c r="C2959" i="9"/>
  <c r="D2959" i="9"/>
  <c r="H2959" i="9"/>
  <c r="I2959" i="9"/>
  <c r="J2959" i="9"/>
  <c r="K2959" i="9" s="1"/>
  <c r="A2960" i="9"/>
  <c r="M2960" i="9" s="1"/>
  <c r="B2960" i="9"/>
  <c r="C2960" i="9"/>
  <c r="D2960" i="9"/>
  <c r="E2960" i="9"/>
  <c r="F2960" i="9"/>
  <c r="G2960" i="9"/>
  <c r="H2960" i="9"/>
  <c r="I2960" i="9"/>
  <c r="J2960" i="9"/>
  <c r="K2960" i="9"/>
  <c r="L2960" i="9"/>
  <c r="A2961" i="9"/>
  <c r="G2961" i="9" s="1"/>
  <c r="C2961" i="9"/>
  <c r="D2961" i="9"/>
  <c r="E2961" i="9"/>
  <c r="F2961" i="9"/>
  <c r="H2961" i="9"/>
  <c r="I2961" i="9"/>
  <c r="J2961" i="9"/>
  <c r="K2961" i="9" s="1"/>
  <c r="L2961" i="9"/>
  <c r="M2961" i="9"/>
  <c r="A2962" i="9"/>
  <c r="E2962" i="9" s="1"/>
  <c r="B2962" i="9"/>
  <c r="C2962" i="9"/>
  <c r="D2962" i="9"/>
  <c r="F2962" i="9"/>
  <c r="G2962" i="9"/>
  <c r="L2962" i="9"/>
  <c r="M2962" i="9"/>
  <c r="A2963" i="9"/>
  <c r="B2963" i="9"/>
  <c r="C2963" i="9"/>
  <c r="D2963" i="9"/>
  <c r="E2963" i="9"/>
  <c r="F2963" i="9"/>
  <c r="G2963" i="9"/>
  <c r="H2963" i="9"/>
  <c r="I2963" i="9"/>
  <c r="J2963" i="9"/>
  <c r="K2963" i="9" s="1"/>
  <c r="L2963" i="9"/>
  <c r="M2963" i="9"/>
  <c r="A2964" i="9"/>
  <c r="E2964" i="9" s="1"/>
  <c r="F2964" i="9"/>
  <c r="G2964" i="9"/>
  <c r="I2964" i="9"/>
  <c r="L2964" i="9"/>
  <c r="M2964" i="9"/>
  <c r="A2965" i="9"/>
  <c r="I2965" i="9" s="1"/>
  <c r="B2965" i="9"/>
  <c r="C2965" i="9"/>
  <c r="D2965" i="9"/>
  <c r="E2965" i="9"/>
  <c r="F2965" i="9"/>
  <c r="A2966" i="9"/>
  <c r="F2966" i="9" s="1"/>
  <c r="C2966" i="9"/>
  <c r="D2966" i="9"/>
  <c r="G2966" i="9"/>
  <c r="H2966" i="9"/>
  <c r="I2966" i="9"/>
  <c r="J2966" i="9"/>
  <c r="K2966" i="9" s="1"/>
  <c r="L2966" i="9"/>
  <c r="M2966" i="9"/>
  <c r="A2967" i="9"/>
  <c r="B2967" i="9"/>
  <c r="C2967" i="9"/>
  <c r="D2967" i="9"/>
  <c r="H2967" i="9"/>
  <c r="A2968" i="9"/>
  <c r="M2968" i="9" s="1"/>
  <c r="B2968" i="9"/>
  <c r="C2968" i="9"/>
  <c r="D2968" i="9"/>
  <c r="F2968" i="9"/>
  <c r="G2968" i="9"/>
  <c r="H2968" i="9"/>
  <c r="I2968" i="9"/>
  <c r="J2968" i="9"/>
  <c r="K2968" i="9" s="1"/>
  <c r="L2968" i="9"/>
  <c r="A2969" i="9"/>
  <c r="C2969" i="9" s="1"/>
  <c r="D2969" i="9"/>
  <c r="E2969" i="9"/>
  <c r="F2969" i="9"/>
  <c r="G2969" i="9"/>
  <c r="H2969" i="9"/>
  <c r="I2969" i="9"/>
  <c r="J2969" i="9"/>
  <c r="K2969" i="9" s="1"/>
  <c r="L2969" i="9"/>
  <c r="M2969" i="9"/>
  <c r="A2970" i="9"/>
  <c r="B2970" i="9" s="1"/>
  <c r="C2970" i="9"/>
  <c r="D2970" i="9"/>
  <c r="E2970" i="9"/>
  <c r="F2970" i="9"/>
  <c r="G2970" i="9"/>
  <c r="L2970" i="9"/>
  <c r="M2970" i="9"/>
  <c r="A2971" i="9"/>
  <c r="C2971" i="9" s="1"/>
  <c r="B2971" i="9"/>
  <c r="D2971" i="9"/>
  <c r="E2971" i="9"/>
  <c r="F2971" i="9"/>
  <c r="A2972" i="9"/>
  <c r="B2972" i="9"/>
  <c r="G2972" i="9"/>
  <c r="H2972" i="9"/>
  <c r="I2972" i="9"/>
  <c r="J2972" i="9"/>
  <c r="K2972" i="9" s="1"/>
  <c r="L2972" i="9"/>
  <c r="M2972" i="9"/>
  <c r="A2973" i="9"/>
  <c r="G2973" i="9" s="1"/>
  <c r="B2973" i="9"/>
  <c r="C2973" i="9"/>
  <c r="D2973" i="9"/>
  <c r="E2973" i="9"/>
  <c r="A2974" i="9"/>
  <c r="B2974" i="9"/>
  <c r="C2974" i="9"/>
  <c r="D2974" i="9"/>
  <c r="E2974" i="9"/>
  <c r="F2974" i="9"/>
  <c r="G2974" i="9"/>
  <c r="H2974" i="9"/>
  <c r="I2974" i="9"/>
  <c r="J2974" i="9"/>
  <c r="K2974" i="9"/>
  <c r="L2974" i="9"/>
  <c r="M2974" i="9"/>
  <c r="A2975" i="9"/>
  <c r="B2975" i="9"/>
  <c r="A2976" i="9"/>
  <c r="L2976" i="9" s="1"/>
  <c r="B2976" i="9"/>
  <c r="C2976" i="9"/>
  <c r="D2976" i="9"/>
  <c r="E2976" i="9"/>
  <c r="F2976" i="9"/>
  <c r="G2976" i="9"/>
  <c r="H2976" i="9"/>
  <c r="I2976" i="9"/>
  <c r="J2976" i="9"/>
  <c r="K2976" i="9" s="1"/>
  <c r="M2976" i="9"/>
  <c r="A2977" i="9"/>
  <c r="M2977" i="9" s="1"/>
  <c r="A2978" i="9"/>
  <c r="B2978" i="9"/>
  <c r="C2978" i="9"/>
  <c r="D2978" i="9"/>
  <c r="E2978" i="9"/>
  <c r="G2978" i="9"/>
  <c r="H2978" i="9"/>
  <c r="I2978" i="9"/>
  <c r="M2978" i="9"/>
  <c r="A2979" i="9"/>
  <c r="B2979" i="9"/>
  <c r="C2979" i="9"/>
  <c r="A2980" i="9"/>
  <c r="B2980" i="9"/>
  <c r="C2980" i="9"/>
  <c r="D2980" i="9"/>
  <c r="H2980" i="9"/>
  <c r="I2980" i="9"/>
  <c r="J2980" i="9"/>
  <c r="K2980" i="9"/>
  <c r="M2980" i="9"/>
  <c r="A2981" i="9"/>
  <c r="J2981" i="9" s="1"/>
  <c r="K2981" i="9" s="1"/>
  <c r="B2981" i="9"/>
  <c r="C2981" i="9"/>
  <c r="A2982" i="9"/>
  <c r="B2982" i="9" s="1"/>
  <c r="C2982" i="9"/>
  <c r="D2982" i="9"/>
  <c r="E2982" i="9"/>
  <c r="F2982" i="9"/>
  <c r="G2982" i="9"/>
  <c r="H2982" i="9"/>
  <c r="I2982" i="9"/>
  <c r="J2982" i="9"/>
  <c r="K2982" i="9" s="1"/>
  <c r="L2982" i="9"/>
  <c r="M2982" i="9"/>
  <c r="A2983" i="9"/>
  <c r="B2983" i="9"/>
  <c r="C2983" i="9"/>
  <c r="D2983" i="9"/>
  <c r="E2983" i="9"/>
  <c r="F2983" i="9"/>
  <c r="G2983" i="9"/>
  <c r="H2983" i="9"/>
  <c r="I2983" i="9"/>
  <c r="J2983" i="9"/>
  <c r="K2983" i="9"/>
  <c r="L2983" i="9"/>
  <c r="M2983" i="9"/>
  <c r="A2984" i="9"/>
  <c r="H2984" i="9" s="1"/>
  <c r="B2984" i="9"/>
  <c r="C2984" i="9"/>
  <c r="D2984" i="9"/>
  <c r="E2984" i="9"/>
  <c r="F2984" i="9"/>
  <c r="G2984" i="9"/>
  <c r="I2984" i="9"/>
  <c r="J2984" i="9"/>
  <c r="K2984" i="9" s="1"/>
  <c r="L2984" i="9"/>
  <c r="M2984" i="9"/>
  <c r="A2985" i="9"/>
  <c r="F2985" i="9" s="1"/>
  <c r="E2985" i="9"/>
  <c r="G2985" i="9"/>
  <c r="H2985" i="9"/>
  <c r="J2985" i="9"/>
  <c r="K2985" i="9"/>
  <c r="L2985" i="9"/>
  <c r="M2985" i="9"/>
  <c r="A2986" i="9"/>
  <c r="M2986" i="9" s="1"/>
  <c r="C2986" i="9"/>
  <c r="D2986" i="9"/>
  <c r="E2986" i="9"/>
  <c r="F2986" i="9"/>
  <c r="G2986" i="9"/>
  <c r="A2987" i="9"/>
  <c r="F2987" i="9" s="1"/>
  <c r="B2987" i="9"/>
  <c r="C2987" i="9"/>
  <c r="E2987" i="9"/>
  <c r="G2987" i="9"/>
  <c r="H2987" i="9"/>
  <c r="J2987" i="9"/>
  <c r="K2987" i="9"/>
  <c r="L2987" i="9"/>
  <c r="M2987" i="9"/>
  <c r="A2988" i="9"/>
  <c r="B2988" i="9"/>
  <c r="C2988" i="9"/>
  <c r="D2988" i="9"/>
  <c r="H2988" i="9"/>
  <c r="I2988" i="9"/>
  <c r="A2989" i="9"/>
  <c r="F2989" i="9" s="1"/>
  <c r="B2989" i="9"/>
  <c r="D2989" i="9"/>
  <c r="E2989" i="9"/>
  <c r="G2989" i="9"/>
  <c r="H2989" i="9"/>
  <c r="I2989" i="9"/>
  <c r="J2989" i="9"/>
  <c r="K2989" i="9"/>
  <c r="L2989" i="9"/>
  <c r="A2990" i="9"/>
  <c r="J2990" i="9" s="1"/>
  <c r="K2990" i="9" s="1"/>
  <c r="C2990" i="9"/>
  <c r="D2990" i="9"/>
  <c r="E2990" i="9"/>
  <c r="F2990" i="9"/>
  <c r="G2990" i="9"/>
  <c r="H2990" i="9"/>
  <c r="I2990" i="9"/>
  <c r="L2990" i="9"/>
  <c r="M2990" i="9"/>
  <c r="A2991" i="9"/>
  <c r="C2991" i="9" s="1"/>
  <c r="B2991" i="9"/>
  <c r="D2991" i="9"/>
  <c r="E2991" i="9"/>
  <c r="F2991" i="9"/>
  <c r="G2991" i="9"/>
  <c r="L2991" i="9"/>
  <c r="M2991" i="9"/>
  <c r="A2992" i="9"/>
  <c r="C2992" i="9"/>
  <c r="E2992" i="9"/>
  <c r="F2992" i="9"/>
  <c r="G2992" i="9"/>
  <c r="A2993" i="9"/>
  <c r="B2993" i="9" s="1"/>
  <c r="F2993" i="9"/>
  <c r="G2993" i="9"/>
  <c r="H2993" i="9"/>
  <c r="I2993" i="9"/>
  <c r="L2993" i="9"/>
  <c r="M2993" i="9"/>
  <c r="A2994" i="9"/>
  <c r="B2994" i="9"/>
  <c r="C2994" i="9"/>
  <c r="D2994" i="9"/>
  <c r="E2994" i="9"/>
  <c r="F2994" i="9"/>
  <c r="A2995" i="9"/>
  <c r="D2995" i="9" s="1"/>
  <c r="B2995" i="9"/>
  <c r="C2995" i="9"/>
  <c r="G2995" i="9"/>
  <c r="H2995" i="9"/>
  <c r="I2995" i="9"/>
  <c r="J2995" i="9"/>
  <c r="K2995" i="9" s="1"/>
  <c r="L2995" i="9"/>
  <c r="M2995" i="9"/>
  <c r="A2996" i="9"/>
  <c r="B2996" i="9"/>
  <c r="C2996" i="9"/>
  <c r="D2996" i="9"/>
  <c r="E2996" i="9"/>
  <c r="A2997" i="9"/>
  <c r="B2997" i="9"/>
  <c r="C2997" i="9"/>
  <c r="D2997" i="9"/>
  <c r="E2997" i="9"/>
  <c r="F2997" i="9"/>
  <c r="G2997" i="9"/>
  <c r="H2997" i="9"/>
  <c r="I2997" i="9"/>
  <c r="J2997" i="9"/>
  <c r="K2997" i="9"/>
  <c r="L2997" i="9"/>
  <c r="M2997" i="9"/>
  <c r="A2998" i="9"/>
  <c r="F2998" i="9" s="1"/>
  <c r="B2998" i="9"/>
  <c r="C2998" i="9"/>
  <c r="D2998" i="9"/>
  <c r="E2998" i="9"/>
  <c r="G2998" i="9"/>
  <c r="H2998" i="9"/>
  <c r="I2998" i="9"/>
  <c r="J2998" i="9"/>
  <c r="K2998" i="9"/>
  <c r="L2998" i="9"/>
  <c r="M2998" i="9"/>
  <c r="A2999" i="9"/>
  <c r="B2999" i="9"/>
  <c r="C2999" i="9"/>
  <c r="D2999" i="9"/>
  <c r="E2999" i="9"/>
  <c r="F2999" i="9"/>
  <c r="G2999" i="9"/>
  <c r="H2999" i="9"/>
  <c r="L2999" i="9"/>
  <c r="A3000" i="9"/>
  <c r="D3000" i="9" s="1"/>
  <c r="B3000" i="9"/>
  <c r="B3" i="8"/>
  <c r="A3" i="8" s="1"/>
  <c r="B4" i="8"/>
  <c r="A4" i="8" s="1"/>
  <c r="D4" i="8" s="1"/>
  <c r="B5" i="8"/>
  <c r="A5" i="8" s="1"/>
  <c r="A6" i="8"/>
  <c r="B6" i="8"/>
  <c r="B7" i="8"/>
  <c r="A7" i="8" s="1"/>
  <c r="F7" i="8" s="1"/>
  <c r="A8" i="8"/>
  <c r="C8" i="8" s="1"/>
  <c r="B8" i="8"/>
  <c r="A9" i="8"/>
  <c r="C9" i="8" s="1"/>
  <c r="B9" i="8"/>
  <c r="E9" i="8"/>
  <c r="F9" i="8"/>
  <c r="A10" i="8"/>
  <c r="B10" i="8"/>
  <c r="A11" i="8"/>
  <c r="F11" i="8" s="1"/>
  <c r="B11" i="8"/>
  <c r="N11" i="8"/>
  <c r="A12" i="8"/>
  <c r="C12" i="8" s="1"/>
  <c r="B12" i="8"/>
  <c r="D12" i="8"/>
  <c r="E12" i="8"/>
  <c r="G12" i="8"/>
  <c r="L12" i="8"/>
  <c r="A13" i="8"/>
  <c r="D13" i="8" s="1"/>
  <c r="B13" i="8"/>
  <c r="C13" i="8"/>
  <c r="A14" i="8"/>
  <c r="G14" i="8" s="1"/>
  <c r="B14" i="8"/>
  <c r="E14" i="8"/>
  <c r="F14" i="8"/>
  <c r="A15" i="8"/>
  <c r="B15" i="8"/>
  <c r="I15" i="8"/>
  <c r="L15" i="8"/>
  <c r="A16" i="8"/>
  <c r="B16" i="8"/>
  <c r="A17" i="8"/>
  <c r="C17" i="8" s="1"/>
  <c r="B17" i="8"/>
  <c r="A18" i="8"/>
  <c r="B18" i="8"/>
  <c r="I18" i="8"/>
  <c r="A19" i="8"/>
  <c r="B19" i="8"/>
  <c r="A20" i="8"/>
  <c r="C20" i="8" s="1"/>
  <c r="B20" i="8"/>
  <c r="A21" i="8"/>
  <c r="L21" i="8" s="1"/>
  <c r="B21" i="8"/>
  <c r="A22" i="8"/>
  <c r="N22" i="8" s="1"/>
  <c r="B22" i="8"/>
  <c r="F22" i="8"/>
  <c r="L22" i="8"/>
  <c r="A23" i="8"/>
  <c r="B23" i="8"/>
  <c r="F23" i="8"/>
  <c r="A24" i="8"/>
  <c r="B24" i="8"/>
  <c r="A25" i="8"/>
  <c r="I25" i="8" s="1"/>
  <c r="B25" i="8"/>
  <c r="A26" i="8"/>
  <c r="F26" i="8" s="1"/>
  <c r="B26" i="8"/>
  <c r="M26" i="8"/>
  <c r="N26" i="8"/>
  <c r="A27" i="8"/>
  <c r="B27" i="8"/>
  <c r="A28" i="8"/>
  <c r="C28" i="8" s="1"/>
  <c r="B28" i="8"/>
  <c r="G28" i="8"/>
  <c r="A29" i="8"/>
  <c r="H29" i="8" s="1"/>
  <c r="B29" i="8"/>
  <c r="A30" i="8"/>
  <c r="F30" i="8" s="1"/>
  <c r="B30" i="8"/>
  <c r="E30" i="8"/>
  <c r="A31" i="8"/>
  <c r="B31" i="8"/>
  <c r="A32" i="8"/>
  <c r="B32" i="8"/>
  <c r="A33" i="8"/>
  <c r="C33" i="8" s="1"/>
  <c r="B33" i="8"/>
  <c r="F33" i="8"/>
  <c r="G33" i="8"/>
  <c r="A34" i="8"/>
  <c r="E34" i="8" s="1"/>
  <c r="B34" i="8"/>
  <c r="A35" i="8"/>
  <c r="B35" i="8"/>
  <c r="A36" i="8"/>
  <c r="B36" i="8"/>
  <c r="A37" i="8"/>
  <c r="C37" i="8" s="1"/>
  <c r="B37" i="8"/>
  <c r="A38" i="8"/>
  <c r="H38" i="8" s="1"/>
  <c r="B38" i="8"/>
  <c r="A39" i="8"/>
  <c r="B39" i="8"/>
  <c r="A40" i="8"/>
  <c r="C40" i="8" s="1"/>
  <c r="B40" i="8"/>
  <c r="E40" i="8"/>
  <c r="G40" i="8"/>
  <c r="L40" i="8"/>
  <c r="A41" i="8"/>
  <c r="G41" i="8" s="1"/>
  <c r="B41" i="8"/>
  <c r="A42" i="8"/>
  <c r="B42" i="8"/>
  <c r="A43" i="8"/>
  <c r="E43" i="8" s="1"/>
  <c r="B43" i="8"/>
  <c r="A44" i="8"/>
  <c r="C44" i="8" s="1"/>
  <c r="B44" i="8"/>
  <c r="D44" i="8"/>
  <c r="A45" i="8"/>
  <c r="G45" i="8" s="1"/>
  <c r="B45" i="8"/>
  <c r="C45" i="8"/>
  <c r="D45" i="8"/>
  <c r="E45" i="8"/>
  <c r="F45" i="8"/>
  <c r="A46" i="8"/>
  <c r="B46" i="8"/>
  <c r="N46" i="8"/>
  <c r="A47" i="8"/>
  <c r="F47" i="8" s="1"/>
  <c r="B47" i="8"/>
  <c r="E47" i="8"/>
  <c r="G47" i="8"/>
  <c r="I47" i="8"/>
  <c r="A48" i="8"/>
  <c r="E48" i="8" s="1"/>
  <c r="B48" i="8"/>
  <c r="D48" i="8"/>
  <c r="L48" i="8"/>
  <c r="N48" i="8"/>
  <c r="A49" i="8"/>
  <c r="B49" i="8"/>
  <c r="A50" i="8"/>
  <c r="B50" i="8"/>
  <c r="A51" i="8"/>
  <c r="B51" i="8"/>
  <c r="G51" i="8"/>
  <c r="A52" i="8"/>
  <c r="B52" i="8"/>
  <c r="A53" i="8"/>
  <c r="B53" i="8"/>
  <c r="A54" i="8"/>
  <c r="M54" i="8" s="1"/>
  <c r="B54" i="8"/>
  <c r="I54" i="8"/>
  <c r="N54" i="8"/>
  <c r="A55" i="8"/>
  <c r="B55" i="8"/>
  <c r="A56" i="8"/>
  <c r="B56" i="8"/>
  <c r="A57" i="8"/>
  <c r="B57" i="8"/>
  <c r="A58" i="8"/>
  <c r="L58" i="8" s="1"/>
  <c r="B58" i="8"/>
  <c r="I58" i="8"/>
  <c r="A59" i="8"/>
  <c r="N59" i="8" s="1"/>
  <c r="B59" i="8"/>
  <c r="A60" i="8"/>
  <c r="C60" i="8" s="1"/>
  <c r="B60" i="8"/>
  <c r="D60" i="8"/>
  <c r="N60" i="8"/>
  <c r="A61" i="8"/>
  <c r="B61" i="8"/>
  <c r="A62" i="8"/>
  <c r="B62" i="8"/>
  <c r="A63" i="8"/>
  <c r="G63" i="8" s="1"/>
  <c r="B63" i="8"/>
  <c r="I63" i="8"/>
  <c r="A64" i="8"/>
  <c r="B64" i="8"/>
  <c r="A65" i="8"/>
  <c r="F65" i="8" s="1"/>
  <c r="B65" i="8"/>
  <c r="A66" i="8"/>
  <c r="B66" i="8"/>
  <c r="A67" i="8"/>
  <c r="B67" i="8"/>
  <c r="A68" i="8"/>
  <c r="B68" i="8"/>
  <c r="A69" i="8"/>
  <c r="B69" i="8"/>
  <c r="C69" i="8"/>
  <c r="E69" i="8"/>
  <c r="A70" i="8"/>
  <c r="F70" i="8" s="1"/>
  <c r="B70" i="8"/>
  <c r="E70" i="8"/>
  <c r="I70" i="8"/>
  <c r="L70" i="8"/>
  <c r="A71" i="8"/>
  <c r="B71" i="8"/>
  <c r="A72" i="8"/>
  <c r="E72" i="8" s="1"/>
  <c r="B72" i="8"/>
  <c r="G72" i="8"/>
  <c r="L72" i="8"/>
  <c r="N72" i="8"/>
  <c r="A73" i="8"/>
  <c r="H73" i="8" s="1"/>
  <c r="B73" i="8"/>
  <c r="A74" i="8"/>
  <c r="D74" i="8" s="1"/>
  <c r="B74" i="8"/>
  <c r="A75" i="8"/>
  <c r="M75" i="8" s="1"/>
  <c r="B75" i="8"/>
  <c r="A76" i="8"/>
  <c r="E76" i="8" s="1"/>
  <c r="B76" i="8"/>
  <c r="L76" i="8"/>
  <c r="N76" i="8"/>
  <c r="A77" i="8"/>
  <c r="B77" i="8"/>
  <c r="A78" i="8"/>
  <c r="E78" i="8" s="1"/>
  <c r="B78" i="8"/>
  <c r="A79" i="8"/>
  <c r="B79" i="8"/>
  <c r="A80" i="8"/>
  <c r="B80" i="8"/>
  <c r="F80" i="8"/>
  <c r="L80" i="8"/>
  <c r="A81" i="8"/>
  <c r="B81" i="8"/>
  <c r="A82" i="8"/>
  <c r="N82" i="8" s="1"/>
  <c r="B82" i="8"/>
  <c r="A83" i="8"/>
  <c r="B83" i="8"/>
  <c r="A84" i="8"/>
  <c r="N84" i="8" s="1"/>
  <c r="B84" i="8"/>
  <c r="C84" i="8"/>
  <c r="G84" i="8"/>
  <c r="L84" i="8"/>
  <c r="A85" i="8"/>
  <c r="B85" i="8"/>
  <c r="A86" i="8"/>
  <c r="D86" i="8" s="1"/>
  <c r="B86" i="8"/>
  <c r="A87" i="8"/>
  <c r="B87" i="8"/>
  <c r="A88" i="8"/>
  <c r="B88" i="8"/>
  <c r="A89" i="8"/>
  <c r="B89" i="8"/>
  <c r="A90" i="8"/>
  <c r="B90" i="8"/>
  <c r="A91" i="8"/>
  <c r="B91" i="8"/>
  <c r="E91" i="8"/>
  <c r="A92" i="8"/>
  <c r="G92" i="8" s="1"/>
  <c r="B92" i="8"/>
  <c r="F92" i="8"/>
  <c r="A93" i="8"/>
  <c r="B93" i="8"/>
  <c r="A94" i="8"/>
  <c r="H94" i="8" s="1"/>
  <c r="J94" i="8" s="1"/>
  <c r="B94" i="8"/>
  <c r="G94" i="8"/>
  <c r="I94" i="8"/>
  <c r="A95" i="8"/>
  <c r="B95" i="8"/>
  <c r="A96" i="8"/>
  <c r="B96" i="8"/>
  <c r="A97" i="8"/>
  <c r="L97" i="8" s="1"/>
  <c r="B97" i="8"/>
  <c r="A98" i="8"/>
  <c r="B98" i="8"/>
  <c r="A99" i="8"/>
  <c r="B99" i="8"/>
  <c r="A100" i="8"/>
  <c r="B100" i="8"/>
  <c r="A101" i="8"/>
  <c r="C101" i="8" s="1"/>
  <c r="B101" i="8"/>
  <c r="I101" i="8"/>
  <c r="L101" i="8"/>
  <c r="A102" i="8"/>
  <c r="B102" i="8"/>
  <c r="D102" i="8"/>
  <c r="E102" i="8"/>
  <c r="F102" i="8"/>
  <c r="A103" i="8"/>
  <c r="E103" i="8" s="1"/>
  <c r="B103" i="8"/>
  <c r="G103" i="8"/>
  <c r="N103" i="8"/>
  <c r="A104" i="8"/>
  <c r="C104" i="8" s="1"/>
  <c r="B104" i="8"/>
  <c r="D104" i="8"/>
  <c r="L104" i="8"/>
  <c r="A105" i="8"/>
  <c r="E105" i="8" s="1"/>
  <c r="B105" i="8"/>
  <c r="A106" i="8"/>
  <c r="B106" i="8"/>
  <c r="A107" i="8"/>
  <c r="B107" i="8"/>
  <c r="A108" i="8"/>
  <c r="C108" i="8" s="1"/>
  <c r="B108" i="8"/>
  <c r="A109" i="8"/>
  <c r="H109" i="8" s="1"/>
  <c r="B109" i="8"/>
  <c r="D109" i="8"/>
  <c r="E109" i="8"/>
  <c r="I109" i="8"/>
  <c r="A110" i="8"/>
  <c r="L110" i="8" s="1"/>
  <c r="B110" i="8"/>
  <c r="N110" i="8"/>
  <c r="A111" i="8"/>
  <c r="G111" i="8" s="1"/>
  <c r="B111" i="8"/>
  <c r="A112" i="8"/>
  <c r="H112" i="8" s="1"/>
  <c r="J112" i="8" s="1"/>
  <c r="B112" i="8"/>
  <c r="A113" i="8"/>
  <c r="M113" i="8" s="1"/>
  <c r="B113" i="8"/>
  <c r="A114" i="8"/>
  <c r="D114" i="8" s="1"/>
  <c r="B114" i="8"/>
  <c r="A115" i="8"/>
  <c r="B115" i="8"/>
  <c r="A116" i="8"/>
  <c r="E116" i="8" s="1"/>
  <c r="B116" i="8"/>
  <c r="A117" i="8"/>
  <c r="D117" i="8" s="1"/>
  <c r="B117" i="8"/>
  <c r="A118" i="8"/>
  <c r="B118" i="8"/>
  <c r="A119" i="8"/>
  <c r="B119" i="8"/>
  <c r="A120" i="8"/>
  <c r="H120" i="8" s="1"/>
  <c r="B120" i="8"/>
  <c r="A121" i="8"/>
  <c r="F121" i="8" s="1"/>
  <c r="B121" i="8"/>
  <c r="I121" i="8"/>
  <c r="A122" i="8"/>
  <c r="D122" i="8" s="1"/>
  <c r="B122" i="8"/>
  <c r="C122" i="8"/>
  <c r="F122" i="8"/>
  <c r="I122" i="8"/>
  <c r="L122" i="8"/>
  <c r="N122" i="8"/>
  <c r="A123" i="8"/>
  <c r="N123" i="8" s="1"/>
  <c r="B123" i="8"/>
  <c r="A124" i="8"/>
  <c r="B124" i="8"/>
  <c r="A125" i="8"/>
  <c r="E125" i="8" s="1"/>
  <c r="B125" i="8"/>
  <c r="A126" i="8"/>
  <c r="B126" i="8"/>
  <c r="L126" i="8"/>
  <c r="N126" i="8"/>
  <c r="A127" i="8"/>
  <c r="G127" i="8" s="1"/>
  <c r="B127" i="8"/>
  <c r="F127" i="8"/>
  <c r="I127" i="8"/>
  <c r="A128" i="8"/>
  <c r="D128" i="8" s="1"/>
  <c r="B128" i="8"/>
  <c r="A129" i="8"/>
  <c r="B129" i="8"/>
  <c r="A130" i="8"/>
  <c r="B130" i="8"/>
  <c r="A131" i="8"/>
  <c r="B131" i="8"/>
  <c r="A132" i="8"/>
  <c r="B132" i="8"/>
  <c r="D132" i="8"/>
  <c r="A133" i="8"/>
  <c r="B133" i="8"/>
  <c r="D133" i="8"/>
  <c r="E133" i="8"/>
  <c r="F133" i="8"/>
  <c r="A134" i="8"/>
  <c r="B134" i="8"/>
  <c r="A135" i="8"/>
  <c r="F135" i="8" s="1"/>
  <c r="B135" i="8"/>
  <c r="A136" i="8"/>
  <c r="D136" i="8" s="1"/>
  <c r="B136" i="8"/>
  <c r="A137" i="8"/>
  <c r="B137" i="8"/>
  <c r="E137" i="8"/>
  <c r="A138" i="8"/>
  <c r="B138" i="8"/>
  <c r="A139" i="8"/>
  <c r="I139" i="8" s="1"/>
  <c r="B139" i="8"/>
  <c r="N139" i="8"/>
  <c r="A140" i="8"/>
  <c r="L140" i="8" s="1"/>
  <c r="B140" i="8"/>
  <c r="A141" i="8"/>
  <c r="B141" i="8"/>
  <c r="A142" i="8"/>
  <c r="F142" i="8" s="1"/>
  <c r="B142" i="8"/>
  <c r="D142" i="8"/>
  <c r="A143" i="8"/>
  <c r="B143" i="8"/>
  <c r="F143" i="8"/>
  <c r="A144" i="8"/>
  <c r="M144" i="8" s="1"/>
  <c r="B144" i="8"/>
  <c r="A145" i="8"/>
  <c r="G145" i="8" s="1"/>
  <c r="B145" i="8"/>
  <c r="A146" i="8"/>
  <c r="D146" i="8" s="1"/>
  <c r="B146" i="8"/>
  <c r="F146" i="8"/>
  <c r="H146" i="8"/>
  <c r="I146" i="8"/>
  <c r="A147" i="8"/>
  <c r="B147" i="8"/>
  <c r="C147" i="8"/>
  <c r="F147" i="8"/>
  <c r="H147" i="8"/>
  <c r="K147" i="8" s="1"/>
  <c r="A148" i="8"/>
  <c r="B148" i="8"/>
  <c r="A149" i="8"/>
  <c r="B149" i="8"/>
  <c r="A150" i="8"/>
  <c r="H150" i="8" s="1"/>
  <c r="B150" i="8"/>
  <c r="A151" i="8"/>
  <c r="F151" i="8" s="1"/>
  <c r="B151" i="8"/>
  <c r="A152" i="8"/>
  <c r="D152" i="8" s="1"/>
  <c r="B152" i="8"/>
  <c r="A153" i="8"/>
  <c r="L153" i="8" s="1"/>
  <c r="B153" i="8"/>
  <c r="M153" i="8"/>
  <c r="A154" i="8"/>
  <c r="B154" i="8"/>
  <c r="A155" i="8"/>
  <c r="B155" i="8"/>
  <c r="C155" i="8"/>
  <c r="D155" i="8"/>
  <c r="A156" i="8"/>
  <c r="B156" i="8"/>
  <c r="A157" i="8"/>
  <c r="C157" i="8" s="1"/>
  <c r="B157" i="8"/>
  <c r="A158" i="8"/>
  <c r="B158" i="8"/>
  <c r="A159" i="8"/>
  <c r="C159" i="8" s="1"/>
  <c r="B159" i="8"/>
  <c r="A160" i="8"/>
  <c r="G160" i="8" s="1"/>
  <c r="B160" i="8"/>
  <c r="A161" i="8"/>
  <c r="C161" i="8" s="1"/>
  <c r="B161" i="8"/>
  <c r="A162" i="8"/>
  <c r="B162" i="8"/>
  <c r="A163" i="8"/>
  <c r="B163" i="8"/>
  <c r="A164" i="8"/>
  <c r="C164" i="8" s="1"/>
  <c r="B164" i="8"/>
  <c r="A165" i="8"/>
  <c r="B165" i="8"/>
  <c r="A166" i="8"/>
  <c r="L166" i="8" s="1"/>
  <c r="B166" i="8"/>
  <c r="H166" i="8"/>
  <c r="K166" i="8" s="1"/>
  <c r="J166" i="8"/>
  <c r="M166" i="8"/>
  <c r="N166" i="8"/>
  <c r="O166" i="8"/>
  <c r="A167" i="8"/>
  <c r="C167" i="8" s="1"/>
  <c r="B167" i="8"/>
  <c r="A168" i="8"/>
  <c r="B168" i="8"/>
  <c r="A169" i="8"/>
  <c r="F169" i="8" s="1"/>
  <c r="B169" i="8"/>
  <c r="A170" i="8"/>
  <c r="C170" i="8" s="1"/>
  <c r="B170" i="8"/>
  <c r="A171" i="8"/>
  <c r="H171" i="8" s="1"/>
  <c r="B171" i="8"/>
  <c r="A172" i="8"/>
  <c r="C172" i="8" s="1"/>
  <c r="B172" i="8"/>
  <c r="A173" i="8"/>
  <c r="D173" i="8" s="1"/>
  <c r="B173" i="8"/>
  <c r="A174" i="8"/>
  <c r="F174" i="8" s="1"/>
  <c r="B174" i="8"/>
  <c r="A175" i="8"/>
  <c r="E175" i="8" s="1"/>
  <c r="B175" i="8"/>
  <c r="A176" i="8"/>
  <c r="G176" i="8" s="1"/>
  <c r="B176" i="8"/>
  <c r="A177" i="8"/>
  <c r="E177" i="8" s="1"/>
  <c r="B177" i="8"/>
  <c r="D177" i="8"/>
  <c r="F177" i="8"/>
  <c r="A178" i="8"/>
  <c r="E178" i="8" s="1"/>
  <c r="B178" i="8"/>
  <c r="D178" i="8"/>
  <c r="A179" i="8"/>
  <c r="C179" i="8" s="1"/>
  <c r="B179" i="8"/>
  <c r="A180" i="8"/>
  <c r="B180" i="8"/>
  <c r="G180" i="8"/>
  <c r="M180" i="8"/>
  <c r="N180" i="8"/>
  <c r="A181" i="8"/>
  <c r="D181" i="8" s="1"/>
  <c r="B181" i="8"/>
  <c r="G181" i="8"/>
  <c r="H181" i="8"/>
  <c r="O181" i="8" s="1"/>
  <c r="I181" i="8"/>
  <c r="A182" i="8"/>
  <c r="B182" i="8"/>
  <c r="E182" i="8"/>
  <c r="M182" i="8"/>
  <c r="A183" i="8"/>
  <c r="C183" i="8" s="1"/>
  <c r="B183" i="8"/>
  <c r="A184" i="8"/>
  <c r="C184" i="8" s="1"/>
  <c r="B184" i="8"/>
  <c r="A185" i="8"/>
  <c r="B185" i="8"/>
  <c r="A186" i="8"/>
  <c r="C186" i="8" s="1"/>
  <c r="B186" i="8"/>
  <c r="A187" i="8"/>
  <c r="C187" i="8" s="1"/>
  <c r="B187" i="8"/>
  <c r="E187" i="8"/>
  <c r="F187" i="8"/>
  <c r="H187" i="8"/>
  <c r="J187" i="8" s="1"/>
  <c r="I187" i="8"/>
  <c r="A188" i="8"/>
  <c r="C188" i="8" s="1"/>
  <c r="B188" i="8"/>
  <c r="A189" i="8"/>
  <c r="B189" i="8"/>
  <c r="A190" i="8"/>
  <c r="B190" i="8"/>
  <c r="E190" i="8"/>
  <c r="A191" i="8"/>
  <c r="B191" i="8"/>
  <c r="A192" i="8"/>
  <c r="B192" i="8"/>
  <c r="M192" i="8"/>
  <c r="A193" i="8"/>
  <c r="E193" i="8" s="1"/>
  <c r="B193" i="8"/>
  <c r="D193" i="8"/>
  <c r="A194" i="8"/>
  <c r="G194" i="8" s="1"/>
  <c r="B194" i="8"/>
  <c r="C194" i="8"/>
  <c r="F194" i="8"/>
  <c r="A195" i="8"/>
  <c r="F195" i="8" s="1"/>
  <c r="B195" i="8"/>
  <c r="C195" i="8"/>
  <c r="D195" i="8"/>
  <c r="E195" i="8"/>
  <c r="N195" i="8"/>
  <c r="A196" i="8"/>
  <c r="C196" i="8" s="1"/>
  <c r="B196" i="8"/>
  <c r="A197" i="8"/>
  <c r="B197" i="8"/>
  <c r="A198" i="8"/>
  <c r="E198" i="8" s="1"/>
  <c r="B198" i="8"/>
  <c r="A199" i="8"/>
  <c r="B199" i="8"/>
  <c r="A200" i="8"/>
  <c r="F200" i="8" s="1"/>
  <c r="B200" i="8"/>
  <c r="A201" i="8"/>
  <c r="E201" i="8" s="1"/>
  <c r="B201" i="8"/>
  <c r="A202" i="8"/>
  <c r="B202" i="8"/>
  <c r="A203" i="8"/>
  <c r="D203" i="8" s="1"/>
  <c r="B203" i="8"/>
  <c r="A204" i="8"/>
  <c r="B204" i="8"/>
  <c r="C204" i="8"/>
  <c r="A205" i="8"/>
  <c r="M205" i="8" s="1"/>
  <c r="B205" i="8"/>
  <c r="A206" i="8"/>
  <c r="B206" i="8"/>
  <c r="A207" i="8"/>
  <c r="F207" i="8" s="1"/>
  <c r="B207" i="8"/>
  <c r="E207" i="8"/>
  <c r="H207" i="8"/>
  <c r="I207" i="8"/>
  <c r="L207" i="8"/>
  <c r="A208" i="8"/>
  <c r="M208" i="8" s="1"/>
  <c r="B208" i="8"/>
  <c r="A209" i="8"/>
  <c r="B209" i="8"/>
  <c r="D209" i="8"/>
  <c r="A210" i="8"/>
  <c r="B210" i="8"/>
  <c r="A211" i="8"/>
  <c r="C211" i="8" s="1"/>
  <c r="B211" i="8"/>
  <c r="H211" i="8"/>
  <c r="I211" i="8"/>
  <c r="L211" i="8"/>
  <c r="N211" i="8"/>
  <c r="A212" i="8"/>
  <c r="C212" i="8" s="1"/>
  <c r="B212" i="8"/>
  <c r="F212" i="8"/>
  <c r="A213" i="8"/>
  <c r="B213" i="8"/>
  <c r="A214" i="8"/>
  <c r="B214" i="8"/>
  <c r="A215" i="8"/>
  <c r="L215" i="8" s="1"/>
  <c r="B215" i="8"/>
  <c r="D215" i="8"/>
  <c r="E215" i="8"/>
  <c r="A216" i="8"/>
  <c r="E216" i="8" s="1"/>
  <c r="B216" i="8"/>
  <c r="A217" i="8"/>
  <c r="B217" i="8"/>
  <c r="C217" i="8"/>
  <c r="A218" i="8"/>
  <c r="L218" i="8" s="1"/>
  <c r="B218" i="8"/>
  <c r="N218" i="8"/>
  <c r="A219" i="8"/>
  <c r="D219" i="8" s="1"/>
  <c r="B219" i="8"/>
  <c r="A220" i="8"/>
  <c r="I220" i="8" s="1"/>
  <c r="B220" i="8"/>
  <c r="A221" i="8"/>
  <c r="B221" i="8"/>
  <c r="I221" i="8"/>
  <c r="L221" i="8"/>
  <c r="M221" i="8"/>
  <c r="A222" i="8"/>
  <c r="B222" i="8"/>
  <c r="A223" i="8"/>
  <c r="B223" i="8"/>
  <c r="A224" i="8"/>
  <c r="H224" i="8" s="1"/>
  <c r="B224" i="8"/>
  <c r="A225" i="8"/>
  <c r="B225" i="8"/>
  <c r="A226" i="8"/>
  <c r="E226" i="8" s="1"/>
  <c r="B226" i="8"/>
  <c r="A227" i="8"/>
  <c r="B227" i="8"/>
  <c r="A228" i="8"/>
  <c r="F228" i="8" s="1"/>
  <c r="B228" i="8"/>
  <c r="A229" i="8"/>
  <c r="L229" i="8" s="1"/>
  <c r="B229" i="8"/>
  <c r="A230" i="8"/>
  <c r="C230" i="8" s="1"/>
  <c r="B230" i="8"/>
  <c r="A231" i="8"/>
  <c r="I231" i="8" s="1"/>
  <c r="B231" i="8"/>
  <c r="M231" i="8"/>
  <c r="N231" i="8"/>
  <c r="A232" i="8"/>
  <c r="B232" i="8"/>
  <c r="D232" i="8"/>
  <c r="E232" i="8"/>
  <c r="F232" i="8"/>
  <c r="G232" i="8"/>
  <c r="A233" i="8"/>
  <c r="B233" i="8"/>
  <c r="A234" i="8"/>
  <c r="C234" i="8" s="1"/>
  <c r="B234" i="8"/>
  <c r="A235" i="8"/>
  <c r="C235" i="8" s="1"/>
  <c r="B235" i="8"/>
  <c r="E235" i="8"/>
  <c r="H235" i="8"/>
  <c r="A236" i="8"/>
  <c r="B236" i="8"/>
  <c r="A237" i="8"/>
  <c r="B237" i="8"/>
  <c r="G237" i="8"/>
  <c r="N237" i="8"/>
  <c r="A238" i="8"/>
  <c r="L238" i="8" s="1"/>
  <c r="B238" i="8"/>
  <c r="I238" i="8"/>
  <c r="A239" i="8"/>
  <c r="N239" i="8" s="1"/>
  <c r="B239" i="8"/>
  <c r="I239" i="8"/>
  <c r="A240" i="8"/>
  <c r="B240" i="8"/>
  <c r="A241" i="8"/>
  <c r="B241" i="8"/>
  <c r="A242" i="8"/>
  <c r="B242" i="8"/>
  <c r="A243" i="8"/>
  <c r="B243" i="8"/>
  <c r="C243" i="8"/>
  <c r="D243" i="8"/>
  <c r="E243" i="8"/>
  <c r="F243" i="8"/>
  <c r="H243" i="8"/>
  <c r="K243" i="8" s="1"/>
  <c r="I243" i="8"/>
  <c r="A244" i="8"/>
  <c r="B244" i="8"/>
  <c r="A245" i="8"/>
  <c r="B245" i="8"/>
  <c r="G245" i="8"/>
  <c r="A246" i="8"/>
  <c r="B246" i="8"/>
  <c r="A247" i="8"/>
  <c r="B247" i="8"/>
  <c r="E247" i="8"/>
  <c r="F247" i="8"/>
  <c r="N247" i="8"/>
  <c r="A248" i="8"/>
  <c r="B248" i="8"/>
  <c r="C248" i="8"/>
  <c r="A249" i="8"/>
  <c r="D249" i="8" s="1"/>
  <c r="B249" i="8"/>
  <c r="E249" i="8"/>
  <c r="F249" i="8"/>
  <c r="L249" i="8"/>
  <c r="A250" i="8"/>
  <c r="B250" i="8"/>
  <c r="A251" i="8"/>
  <c r="C251" i="8" s="1"/>
  <c r="B251" i="8"/>
  <c r="A252" i="8"/>
  <c r="B252" i="8"/>
  <c r="E252" i="8"/>
  <c r="A253" i="8"/>
  <c r="B253" i="8"/>
  <c r="D253" i="8"/>
  <c r="G253" i="8"/>
  <c r="H253" i="8"/>
  <c r="K253" i="8" s="1"/>
  <c r="L253" i="8"/>
  <c r="M253" i="8"/>
  <c r="A254" i="8"/>
  <c r="C254" i="8" s="1"/>
  <c r="B254" i="8"/>
  <c r="A255" i="8"/>
  <c r="N255" i="8" s="1"/>
  <c r="B255" i="8"/>
  <c r="A256" i="8"/>
  <c r="E256" i="8" s="1"/>
  <c r="B256" i="8"/>
  <c r="A257" i="8"/>
  <c r="C257" i="8" s="1"/>
  <c r="B257" i="8"/>
  <c r="A258" i="8"/>
  <c r="N258" i="8" s="1"/>
  <c r="B258" i="8"/>
  <c r="D258" i="8"/>
  <c r="I258" i="8"/>
  <c r="A259" i="8"/>
  <c r="B259" i="8"/>
  <c r="I259" i="8"/>
  <c r="A260" i="8"/>
  <c r="B260" i="8"/>
  <c r="A261" i="8"/>
  <c r="D261" i="8" s="1"/>
  <c r="B261" i="8"/>
  <c r="G261" i="8"/>
  <c r="A262" i="8"/>
  <c r="B262" i="8"/>
  <c r="D262" i="8"/>
  <c r="I262" i="8"/>
  <c r="N262" i="8"/>
  <c r="A263" i="8"/>
  <c r="G263" i="8" s="1"/>
  <c r="B263" i="8"/>
  <c r="F263" i="8"/>
  <c r="A264" i="8"/>
  <c r="B264" i="8"/>
  <c r="A265" i="8"/>
  <c r="D265" i="8" s="1"/>
  <c r="B265" i="8"/>
  <c r="C265" i="8"/>
  <c r="H265" i="8"/>
  <c r="A266" i="8"/>
  <c r="D266" i="8" s="1"/>
  <c r="B266" i="8"/>
  <c r="E266" i="8"/>
  <c r="A267" i="8"/>
  <c r="D267" i="8" s="1"/>
  <c r="B267" i="8"/>
  <c r="A268" i="8"/>
  <c r="B268" i="8"/>
  <c r="A269" i="8"/>
  <c r="B269" i="8"/>
  <c r="A270" i="8"/>
  <c r="F270" i="8" s="1"/>
  <c r="B270" i="8"/>
  <c r="A271" i="8"/>
  <c r="B271" i="8"/>
  <c r="D271" i="8"/>
  <c r="A272" i="8"/>
  <c r="C272" i="8" s="1"/>
  <c r="B272" i="8"/>
  <c r="D272" i="8"/>
  <c r="E272" i="8"/>
  <c r="F272" i="8"/>
  <c r="A273" i="8"/>
  <c r="B273" i="8"/>
  <c r="A274" i="8"/>
  <c r="B274" i="8"/>
  <c r="A275" i="8"/>
  <c r="M275" i="8" s="1"/>
  <c r="B275" i="8"/>
  <c r="A276" i="8"/>
  <c r="F276" i="8" s="1"/>
  <c r="B276" i="8"/>
  <c r="C276" i="8"/>
  <c r="D276" i="8"/>
  <c r="G276" i="8"/>
  <c r="A277" i="8"/>
  <c r="B277" i="8"/>
  <c r="A278" i="8"/>
  <c r="B278" i="8"/>
  <c r="A279" i="8"/>
  <c r="G279" i="8" s="1"/>
  <c r="B279" i="8"/>
  <c r="L279" i="8"/>
  <c r="M279" i="8"/>
  <c r="A280" i="8"/>
  <c r="B280" i="8"/>
  <c r="A281" i="8"/>
  <c r="B281" i="8"/>
  <c r="A282" i="8"/>
  <c r="D282" i="8" s="1"/>
  <c r="B282" i="8"/>
  <c r="A283" i="8"/>
  <c r="N283" i="8" s="1"/>
  <c r="B283" i="8"/>
  <c r="A284" i="8"/>
  <c r="B284" i="8"/>
  <c r="A285" i="8"/>
  <c r="B285" i="8"/>
  <c r="A286" i="8"/>
  <c r="D286" i="8" s="1"/>
  <c r="B286" i="8"/>
  <c r="H286" i="8"/>
  <c r="I286" i="8"/>
  <c r="A287" i="8"/>
  <c r="B287" i="8"/>
  <c r="D287" i="8"/>
  <c r="A288" i="8"/>
  <c r="C288" i="8" s="1"/>
  <c r="B288" i="8"/>
  <c r="A289" i="8"/>
  <c r="B289" i="8"/>
  <c r="E289" i="8"/>
  <c r="F289" i="8"/>
  <c r="G289" i="8"/>
  <c r="H289" i="8"/>
  <c r="K289" i="8" s="1"/>
  <c r="J289" i="8"/>
  <c r="L289" i="8"/>
  <c r="M289" i="8"/>
  <c r="O289" i="8"/>
  <c r="A290" i="8"/>
  <c r="C290" i="8" s="1"/>
  <c r="B290" i="8"/>
  <c r="A291" i="8"/>
  <c r="I291" i="8" s="1"/>
  <c r="B291" i="8"/>
  <c r="C291" i="8"/>
  <c r="D291" i="8"/>
  <c r="A292" i="8"/>
  <c r="B292" i="8"/>
  <c r="A293" i="8"/>
  <c r="M293" i="8" s="1"/>
  <c r="B293" i="8"/>
  <c r="A294" i="8"/>
  <c r="C294" i="8" s="1"/>
  <c r="B294" i="8"/>
  <c r="A295" i="8"/>
  <c r="C295" i="8" s="1"/>
  <c r="B295" i="8"/>
  <c r="A296" i="8"/>
  <c r="B296" i="8"/>
  <c r="L296" i="8"/>
  <c r="A297" i="8"/>
  <c r="B297" i="8"/>
  <c r="A298" i="8"/>
  <c r="D298" i="8" s="1"/>
  <c r="B298" i="8"/>
  <c r="L298" i="8"/>
  <c r="M298" i="8"/>
  <c r="A299" i="8"/>
  <c r="B299" i="8"/>
  <c r="M299" i="8"/>
  <c r="N299" i="8"/>
  <c r="A300" i="8"/>
  <c r="E300" i="8" s="1"/>
  <c r="B300" i="8"/>
  <c r="A301" i="8"/>
  <c r="C301" i="8" s="1"/>
  <c r="B301" i="8"/>
  <c r="A302" i="8"/>
  <c r="M302" i="8" s="1"/>
  <c r="B302" i="8"/>
  <c r="A303" i="8"/>
  <c r="C303" i="8" s="1"/>
  <c r="B303" i="8"/>
  <c r="L303" i="8"/>
  <c r="A304" i="8"/>
  <c r="B304" i="8"/>
  <c r="C304" i="8"/>
  <c r="E304" i="8"/>
  <c r="G304" i="8"/>
  <c r="A305" i="8"/>
  <c r="C305" i="8" s="1"/>
  <c r="B305" i="8"/>
  <c r="D305" i="8"/>
  <c r="H305" i="8"/>
  <c r="A306" i="8"/>
  <c r="B306" i="8"/>
  <c r="A307" i="8"/>
  <c r="C307" i="8" s="1"/>
  <c r="B307" i="8"/>
  <c r="D307" i="8"/>
  <c r="E307" i="8"/>
  <c r="F307" i="8"/>
  <c r="H307" i="8"/>
  <c r="J307" i="8" s="1"/>
  <c r="I307" i="8"/>
  <c r="A308" i="8"/>
  <c r="B308" i="8"/>
  <c r="F308" i="8"/>
  <c r="N308" i="8"/>
  <c r="A309" i="8"/>
  <c r="B309" i="8"/>
  <c r="A310" i="8"/>
  <c r="B310" i="8"/>
  <c r="A311" i="8"/>
  <c r="B311" i="8"/>
  <c r="A312" i="8"/>
  <c r="L312" i="8" s="1"/>
  <c r="B312" i="8"/>
  <c r="G312" i="8"/>
  <c r="I312" i="8"/>
  <c r="M312" i="8"/>
  <c r="A313" i="8"/>
  <c r="B313" i="8"/>
  <c r="E313" i="8"/>
  <c r="A314" i="8"/>
  <c r="B314" i="8"/>
  <c r="A315" i="8"/>
  <c r="B315" i="8"/>
  <c r="A316" i="8"/>
  <c r="B316" i="8"/>
  <c r="C316" i="8"/>
  <c r="A317" i="8"/>
  <c r="C317" i="8" s="1"/>
  <c r="B317" i="8"/>
  <c r="A318" i="8"/>
  <c r="D318" i="8" s="1"/>
  <c r="B318" i="8"/>
  <c r="C318" i="8"/>
  <c r="E318" i="8"/>
  <c r="F318" i="8"/>
  <c r="G318" i="8"/>
  <c r="H318" i="8"/>
  <c r="J318" i="8" s="1"/>
  <c r="A319" i="8"/>
  <c r="N319" i="8" s="1"/>
  <c r="B319" i="8"/>
  <c r="L319" i="8"/>
  <c r="M319" i="8"/>
  <c r="A320" i="8"/>
  <c r="C320" i="8" s="1"/>
  <c r="B320" i="8"/>
  <c r="D320" i="8"/>
  <c r="E320" i="8"/>
  <c r="A321" i="8"/>
  <c r="C321" i="8" s="1"/>
  <c r="B321" i="8"/>
  <c r="E321" i="8"/>
  <c r="G321" i="8"/>
  <c r="H321" i="8"/>
  <c r="A322" i="8"/>
  <c r="E322" i="8" s="1"/>
  <c r="B322" i="8"/>
  <c r="A323" i="8"/>
  <c r="N323" i="8" s="1"/>
  <c r="B323" i="8"/>
  <c r="E323" i="8"/>
  <c r="A324" i="8"/>
  <c r="B324" i="8"/>
  <c r="A325" i="8"/>
  <c r="B325" i="8"/>
  <c r="A326" i="8"/>
  <c r="B326" i="8"/>
  <c r="A327" i="8"/>
  <c r="D327" i="8" s="1"/>
  <c r="B327" i="8"/>
  <c r="F327" i="8"/>
  <c r="G327" i="8"/>
  <c r="A328" i="8"/>
  <c r="I328" i="8" s="1"/>
  <c r="B328" i="8"/>
  <c r="G328" i="8"/>
  <c r="H328" i="8"/>
  <c r="K328" i="8"/>
  <c r="A329" i="8"/>
  <c r="B329" i="8"/>
  <c r="A330" i="8"/>
  <c r="B330" i="8"/>
  <c r="A331" i="8"/>
  <c r="C331" i="8" s="1"/>
  <c r="B331" i="8"/>
  <c r="A332" i="8"/>
  <c r="I332" i="8" s="1"/>
  <c r="B332" i="8"/>
  <c r="F332" i="8"/>
  <c r="G332" i="8"/>
  <c r="H332" i="8"/>
  <c r="A333" i="8"/>
  <c r="B333" i="8"/>
  <c r="A334" i="8"/>
  <c r="C334" i="8" s="1"/>
  <c r="B334" i="8"/>
  <c r="A335" i="8"/>
  <c r="I335" i="8" s="1"/>
  <c r="B335" i="8"/>
  <c r="L335" i="8"/>
  <c r="M335" i="8"/>
  <c r="N335" i="8"/>
  <c r="A336" i="8"/>
  <c r="N336" i="8" s="1"/>
  <c r="B336" i="8"/>
  <c r="D336" i="8"/>
  <c r="A337" i="8"/>
  <c r="D337" i="8" s="1"/>
  <c r="B337" i="8"/>
  <c r="A338" i="8"/>
  <c r="B338" i="8"/>
  <c r="A339" i="8"/>
  <c r="B339" i="8"/>
  <c r="A340" i="8"/>
  <c r="L340" i="8" s="1"/>
  <c r="B340" i="8"/>
  <c r="I340" i="8"/>
  <c r="A341" i="8"/>
  <c r="B341" i="8"/>
  <c r="A342" i="8"/>
  <c r="B342" i="8"/>
  <c r="A343" i="8"/>
  <c r="D343" i="8" s="1"/>
  <c r="B343" i="8"/>
  <c r="E343" i="8"/>
  <c r="F343" i="8"/>
  <c r="A344" i="8"/>
  <c r="L344" i="8" s="1"/>
  <c r="B344" i="8"/>
  <c r="C344" i="8"/>
  <c r="D344" i="8"/>
  <c r="M344" i="8"/>
  <c r="N344" i="8"/>
  <c r="A345" i="8"/>
  <c r="C345" i="8" s="1"/>
  <c r="B345" i="8"/>
  <c r="E345" i="8"/>
  <c r="A346" i="8"/>
  <c r="D346" i="8" s="1"/>
  <c r="B346" i="8"/>
  <c r="A347" i="8"/>
  <c r="N347" i="8" s="1"/>
  <c r="B347" i="8"/>
  <c r="F347" i="8"/>
  <c r="G347" i="8"/>
  <c r="H347" i="8"/>
  <c r="J347" i="8" s="1"/>
  <c r="I347" i="8"/>
  <c r="L347" i="8"/>
  <c r="M347" i="8"/>
  <c r="O347" i="8"/>
  <c r="A348" i="8"/>
  <c r="B348" i="8"/>
  <c r="L348" i="8"/>
  <c r="A349" i="8"/>
  <c r="C349" i="8" s="1"/>
  <c r="B349" i="8"/>
  <c r="A350" i="8"/>
  <c r="B350" i="8"/>
  <c r="A351" i="8"/>
  <c r="D351" i="8" s="1"/>
  <c r="B351" i="8"/>
  <c r="G351" i="8"/>
  <c r="H351" i="8"/>
  <c r="O351" i="8" s="1"/>
  <c r="I351" i="8"/>
  <c r="L351" i="8"/>
  <c r="M351" i="8"/>
  <c r="N351" i="8"/>
  <c r="A352" i="8"/>
  <c r="E352" i="8" s="1"/>
  <c r="B352" i="8"/>
  <c r="D352" i="8"/>
  <c r="N352" i="8"/>
  <c r="A353" i="8"/>
  <c r="B353" i="8"/>
  <c r="A354" i="8"/>
  <c r="B354" i="8"/>
  <c r="A355" i="8"/>
  <c r="M355" i="8" s="1"/>
  <c r="B355" i="8"/>
  <c r="D355" i="8"/>
  <c r="E355" i="8"/>
  <c r="F355" i="8"/>
  <c r="G355" i="8"/>
  <c r="H355" i="8"/>
  <c r="K355" i="8" s="1"/>
  <c r="I355" i="8"/>
  <c r="L355" i="8"/>
  <c r="N355" i="8"/>
  <c r="A356" i="8"/>
  <c r="N356" i="8" s="1"/>
  <c r="B356" i="8"/>
  <c r="C356" i="8"/>
  <c r="M356" i="8"/>
  <c r="A357" i="8"/>
  <c r="B357" i="8"/>
  <c r="A358" i="8"/>
  <c r="C358" i="8" s="1"/>
  <c r="B358" i="8"/>
  <c r="A359" i="8"/>
  <c r="I359" i="8" s="1"/>
  <c r="B359" i="8"/>
  <c r="A360" i="8"/>
  <c r="C360" i="8" s="1"/>
  <c r="B360" i="8"/>
  <c r="A361" i="8"/>
  <c r="B361" i="8"/>
  <c r="A362" i="8"/>
  <c r="F362" i="8" s="1"/>
  <c r="B362" i="8"/>
  <c r="A363" i="8"/>
  <c r="I363" i="8" s="1"/>
  <c r="B363" i="8"/>
  <c r="A364" i="8"/>
  <c r="B364" i="8"/>
  <c r="F364" i="8"/>
  <c r="N364" i="8"/>
  <c r="A365" i="8"/>
  <c r="N365" i="8" s="1"/>
  <c r="B365" i="8"/>
  <c r="C365" i="8"/>
  <c r="D365" i="8"/>
  <c r="E365" i="8"/>
  <c r="L365" i="8"/>
  <c r="M365" i="8"/>
  <c r="A366" i="8"/>
  <c r="B366" i="8"/>
  <c r="A367" i="8"/>
  <c r="I367" i="8" s="1"/>
  <c r="B367" i="8"/>
  <c r="A368" i="8"/>
  <c r="C368" i="8" s="1"/>
  <c r="B368" i="8"/>
  <c r="E368" i="8"/>
  <c r="F368" i="8"/>
  <c r="G368" i="8"/>
  <c r="H368" i="8"/>
  <c r="J368" i="8" s="1"/>
  <c r="I368" i="8"/>
  <c r="A369" i="8"/>
  <c r="N369" i="8" s="1"/>
  <c r="B369" i="8"/>
  <c r="C369" i="8"/>
  <c r="E369" i="8"/>
  <c r="A370" i="8"/>
  <c r="E370" i="8" s="1"/>
  <c r="B370" i="8"/>
  <c r="C370" i="8"/>
  <c r="D370" i="8"/>
  <c r="A371" i="8"/>
  <c r="C371" i="8" s="1"/>
  <c r="B371" i="8"/>
  <c r="A372" i="8"/>
  <c r="B372" i="8"/>
  <c r="A373" i="8"/>
  <c r="C373" i="8" s="1"/>
  <c r="B373" i="8"/>
  <c r="A374" i="8"/>
  <c r="B374" i="8"/>
  <c r="A375" i="8"/>
  <c r="D375" i="8" s="1"/>
  <c r="B375" i="8"/>
  <c r="A376" i="8"/>
  <c r="B376" i="8"/>
  <c r="C376" i="8"/>
  <c r="E376" i="8"/>
  <c r="F376" i="8"/>
  <c r="A377" i="8"/>
  <c r="C377" i="8" s="1"/>
  <c r="B377" i="8"/>
  <c r="I377" i="8"/>
  <c r="L377" i="8"/>
  <c r="M377" i="8"/>
  <c r="N377" i="8"/>
  <c r="A378" i="8"/>
  <c r="B378" i="8"/>
  <c r="A379" i="8"/>
  <c r="I379" i="8" s="1"/>
  <c r="B379" i="8"/>
  <c r="F379" i="8"/>
  <c r="M379" i="8"/>
  <c r="N379" i="8"/>
  <c r="A380" i="8"/>
  <c r="C380" i="8" s="1"/>
  <c r="B380" i="8"/>
  <c r="A381" i="8"/>
  <c r="D381" i="8" s="1"/>
  <c r="B381" i="8"/>
  <c r="A382" i="8"/>
  <c r="B382" i="8"/>
  <c r="C382" i="8"/>
  <c r="D382" i="8"/>
  <c r="E382" i="8"/>
  <c r="F382" i="8"/>
  <c r="G382" i="8"/>
  <c r="H382" i="8"/>
  <c r="I382" i="8"/>
  <c r="N382" i="8"/>
  <c r="A383" i="8"/>
  <c r="C383" i="8" s="1"/>
  <c r="B383" i="8"/>
  <c r="D383" i="8"/>
  <c r="F383" i="8"/>
  <c r="G383" i="8"/>
  <c r="A384" i="8"/>
  <c r="D384" i="8" s="1"/>
  <c r="B384" i="8"/>
  <c r="G384" i="8"/>
  <c r="H384" i="8"/>
  <c r="A385" i="8"/>
  <c r="B385" i="8"/>
  <c r="C385" i="8"/>
  <c r="E385" i="8"/>
  <c r="H385" i="8"/>
  <c r="K385" i="8" s="1"/>
  <c r="I385" i="8"/>
  <c r="A386" i="8"/>
  <c r="E386" i="8" s="1"/>
  <c r="B386" i="8"/>
  <c r="F386" i="8"/>
  <c r="A387" i="8"/>
  <c r="L387" i="8" s="1"/>
  <c r="B387" i="8"/>
  <c r="A388" i="8"/>
  <c r="I388" i="8" s="1"/>
  <c r="B388" i="8"/>
  <c r="C388" i="8"/>
  <c r="D388" i="8"/>
  <c r="F388" i="8"/>
  <c r="A389" i="8"/>
  <c r="B389" i="8"/>
  <c r="A390" i="8"/>
  <c r="B390" i="8"/>
  <c r="C390" i="8"/>
  <c r="D390" i="8"/>
  <c r="A391" i="8"/>
  <c r="D391" i="8" s="1"/>
  <c r="B391" i="8"/>
  <c r="C391" i="8"/>
  <c r="E391" i="8"/>
  <c r="A392" i="8"/>
  <c r="B392" i="8"/>
  <c r="D392" i="8"/>
  <c r="E392" i="8"/>
  <c r="F392" i="8"/>
  <c r="A393" i="8"/>
  <c r="B393" i="8"/>
  <c r="A394" i="8"/>
  <c r="D394" i="8" s="1"/>
  <c r="B394" i="8"/>
  <c r="H394" i="8"/>
  <c r="A395" i="8"/>
  <c r="B395" i="8"/>
  <c r="E395" i="8"/>
  <c r="F395" i="8"/>
  <c r="A396" i="8"/>
  <c r="B396" i="8"/>
  <c r="H396" i="8"/>
  <c r="I396" i="8"/>
  <c r="L396" i="8"/>
  <c r="M396" i="8"/>
  <c r="N396" i="8"/>
  <c r="A397" i="8"/>
  <c r="E397" i="8" s="1"/>
  <c r="B397" i="8"/>
  <c r="A398" i="8"/>
  <c r="B398" i="8"/>
  <c r="E398" i="8"/>
  <c r="M398" i="8"/>
  <c r="N398" i="8"/>
  <c r="A399" i="8"/>
  <c r="B399" i="8"/>
  <c r="A400" i="8"/>
  <c r="D400" i="8" s="1"/>
  <c r="B400" i="8"/>
  <c r="C400" i="8"/>
  <c r="A401" i="8"/>
  <c r="D401" i="8" s="1"/>
  <c r="B401" i="8"/>
  <c r="H401" i="8"/>
  <c r="J401" i="8" s="1"/>
  <c r="A402" i="8"/>
  <c r="N402" i="8" s="1"/>
  <c r="B402" i="8"/>
  <c r="M402" i="8"/>
  <c r="A403" i="8"/>
  <c r="C403" i="8" s="1"/>
  <c r="B403" i="8"/>
  <c r="D403" i="8"/>
  <c r="E403" i="8"/>
  <c r="F403" i="8"/>
  <c r="A404" i="8"/>
  <c r="I404" i="8" s="1"/>
  <c r="B404" i="8"/>
  <c r="A405" i="8"/>
  <c r="N405" i="8" s="1"/>
  <c r="B405" i="8"/>
  <c r="A406" i="8"/>
  <c r="D406" i="8" s="1"/>
  <c r="B406" i="8"/>
  <c r="C406" i="8"/>
  <c r="A407" i="8"/>
  <c r="B407" i="8"/>
  <c r="C407" i="8"/>
  <c r="E407" i="8"/>
  <c r="G407" i="8"/>
  <c r="A408" i="8"/>
  <c r="B408" i="8"/>
  <c r="A409" i="8"/>
  <c r="E409" i="8" s="1"/>
  <c r="B409" i="8"/>
  <c r="A410" i="8"/>
  <c r="B410" i="8"/>
  <c r="A411" i="8"/>
  <c r="I411" i="8" s="1"/>
  <c r="B411" i="8"/>
  <c r="L411" i="8"/>
  <c r="M411" i="8"/>
  <c r="N411" i="8"/>
  <c r="A412" i="8"/>
  <c r="C412" i="8" s="1"/>
  <c r="B412" i="8"/>
  <c r="A413" i="8"/>
  <c r="C413" i="8" s="1"/>
  <c r="B413" i="8"/>
  <c r="A414" i="8"/>
  <c r="E414" i="8" s="1"/>
  <c r="B414" i="8"/>
  <c r="G414" i="8"/>
  <c r="A415" i="8"/>
  <c r="C415" i="8" s="1"/>
  <c r="B415" i="8"/>
  <c r="F415" i="8"/>
  <c r="H415" i="8"/>
  <c r="I415" i="8"/>
  <c r="K415" i="8"/>
  <c r="L415" i="8"/>
  <c r="M415" i="8"/>
  <c r="A416" i="8"/>
  <c r="B416" i="8"/>
  <c r="A417" i="8"/>
  <c r="B417" i="8"/>
  <c r="A418" i="8"/>
  <c r="B418" i="8"/>
  <c r="A419" i="8"/>
  <c r="B419" i="8"/>
  <c r="C419" i="8"/>
  <c r="D419" i="8"/>
  <c r="E419" i="8"/>
  <c r="F419" i="8"/>
  <c r="G419" i="8"/>
  <c r="H419" i="8"/>
  <c r="I419" i="8"/>
  <c r="J419" i="8"/>
  <c r="A420" i="8"/>
  <c r="B420" i="8"/>
  <c r="D420" i="8"/>
  <c r="A421" i="8"/>
  <c r="B421" i="8"/>
  <c r="A422" i="8"/>
  <c r="D422" i="8" s="1"/>
  <c r="B422" i="8"/>
  <c r="A423" i="8"/>
  <c r="B423" i="8"/>
  <c r="D423" i="8"/>
  <c r="F423" i="8"/>
  <c r="H423" i="8"/>
  <c r="O423" i="8" s="1"/>
  <c r="I423" i="8"/>
  <c r="A424" i="8"/>
  <c r="B424" i="8"/>
  <c r="A425" i="8"/>
  <c r="E425" i="8" s="1"/>
  <c r="B425" i="8"/>
  <c r="D425" i="8"/>
  <c r="G425" i="8"/>
  <c r="H425" i="8"/>
  <c r="I425" i="8"/>
  <c r="A426" i="8"/>
  <c r="I426" i="8" s="1"/>
  <c r="B426" i="8"/>
  <c r="C426" i="8"/>
  <c r="D426" i="8"/>
  <c r="F426" i="8"/>
  <c r="A427" i="8"/>
  <c r="C427" i="8" s="1"/>
  <c r="B427" i="8"/>
  <c r="A428" i="8"/>
  <c r="E428" i="8" s="1"/>
  <c r="B428" i="8"/>
  <c r="C428" i="8"/>
  <c r="A429" i="8"/>
  <c r="B429" i="8"/>
  <c r="C429" i="8"/>
  <c r="A430" i="8"/>
  <c r="B430" i="8"/>
  <c r="A431" i="8"/>
  <c r="B431" i="8"/>
  <c r="A432" i="8"/>
  <c r="C432" i="8" s="1"/>
  <c r="B432" i="8"/>
  <c r="A433" i="8"/>
  <c r="L433" i="8" s="1"/>
  <c r="B433" i="8"/>
  <c r="A434" i="8"/>
  <c r="B434" i="8"/>
  <c r="C434" i="8"/>
  <c r="A435" i="8"/>
  <c r="C435" i="8" s="1"/>
  <c r="B435" i="8"/>
  <c r="A436" i="8"/>
  <c r="C436" i="8" s="1"/>
  <c r="B436" i="8"/>
  <c r="D436" i="8"/>
  <c r="E436" i="8"/>
  <c r="A437" i="8"/>
  <c r="B437" i="8"/>
  <c r="A438" i="8"/>
  <c r="H438" i="8" s="1"/>
  <c r="B438" i="8"/>
  <c r="D438" i="8"/>
  <c r="F438" i="8"/>
  <c r="G438" i="8"/>
  <c r="A439" i="8"/>
  <c r="B439" i="8"/>
  <c r="C439" i="8"/>
  <c r="F439" i="8"/>
  <c r="G439" i="8"/>
  <c r="H439" i="8"/>
  <c r="K439" i="8" s="1"/>
  <c r="I439" i="8"/>
  <c r="A440" i="8"/>
  <c r="B440" i="8"/>
  <c r="A441" i="8"/>
  <c r="C441" i="8" s="1"/>
  <c r="B441" i="8"/>
  <c r="A442" i="8"/>
  <c r="C442" i="8" s="1"/>
  <c r="B442" i="8"/>
  <c r="H442" i="8"/>
  <c r="J442" i="8" s="1"/>
  <c r="I442" i="8"/>
  <c r="A443" i="8"/>
  <c r="B443" i="8"/>
  <c r="C443" i="8"/>
  <c r="D443" i="8"/>
  <c r="F443" i="8"/>
  <c r="G443" i="8"/>
  <c r="H443" i="8"/>
  <c r="O443" i="8" s="1"/>
  <c r="M443" i="8"/>
  <c r="A444" i="8"/>
  <c r="E444" i="8" s="1"/>
  <c r="B444" i="8"/>
  <c r="C444" i="8"/>
  <c r="D444" i="8"/>
  <c r="F444" i="8"/>
  <c r="A445" i="8"/>
  <c r="B445" i="8"/>
  <c r="C445" i="8"/>
  <c r="E445" i="8"/>
  <c r="A446" i="8"/>
  <c r="E446" i="8" s="1"/>
  <c r="B446" i="8"/>
  <c r="A447" i="8"/>
  <c r="D447" i="8" s="1"/>
  <c r="B447" i="8"/>
  <c r="I447" i="8"/>
  <c r="L447" i="8"/>
  <c r="A448" i="8"/>
  <c r="D448" i="8" s="1"/>
  <c r="B448" i="8"/>
  <c r="E448" i="8"/>
  <c r="M448" i="8"/>
  <c r="A449" i="8"/>
  <c r="B449" i="8"/>
  <c r="C449" i="8"/>
  <c r="G449" i="8"/>
  <c r="H449" i="8"/>
  <c r="J449" i="8" s="1"/>
  <c r="A450" i="8"/>
  <c r="M450" i="8" s="1"/>
  <c r="B450" i="8"/>
  <c r="A451" i="8"/>
  <c r="C451" i="8" s="1"/>
  <c r="B451" i="8"/>
  <c r="A452" i="8"/>
  <c r="D452" i="8" s="1"/>
  <c r="B452" i="8"/>
  <c r="E452" i="8"/>
  <c r="I452" i="8"/>
  <c r="L452" i="8"/>
  <c r="M452" i="8"/>
  <c r="N452" i="8"/>
  <c r="A453" i="8"/>
  <c r="L453" i="8" s="1"/>
  <c r="B453" i="8"/>
  <c r="C453" i="8"/>
  <c r="D453" i="8"/>
  <c r="I453" i="8"/>
  <c r="A454" i="8"/>
  <c r="E454" i="8" s="1"/>
  <c r="B454" i="8"/>
  <c r="A455" i="8"/>
  <c r="L455" i="8" s="1"/>
  <c r="B455" i="8"/>
  <c r="E455" i="8"/>
  <c r="F455" i="8"/>
  <c r="G455" i="8"/>
  <c r="H455" i="8"/>
  <c r="I455" i="8"/>
  <c r="J455" i="8"/>
  <c r="M455" i="8"/>
  <c r="N455" i="8"/>
  <c r="A456" i="8"/>
  <c r="B456" i="8"/>
  <c r="A457" i="8"/>
  <c r="B457" i="8"/>
  <c r="A458" i="8"/>
  <c r="C458" i="8" s="1"/>
  <c r="B458" i="8"/>
  <c r="A459" i="8"/>
  <c r="C459" i="8" s="1"/>
  <c r="B459" i="8"/>
  <c r="F459" i="8"/>
  <c r="G459" i="8"/>
  <c r="H459" i="8"/>
  <c r="A460" i="8"/>
  <c r="C460" i="8" s="1"/>
  <c r="B460" i="8"/>
  <c r="A461" i="8"/>
  <c r="C461" i="8" s="1"/>
  <c r="B461" i="8"/>
  <c r="D461" i="8"/>
  <c r="A462" i="8"/>
  <c r="C462" i="8" s="1"/>
  <c r="B462" i="8"/>
  <c r="A463" i="8"/>
  <c r="B463" i="8"/>
  <c r="C463" i="8"/>
  <c r="A464" i="8"/>
  <c r="E464" i="8" s="1"/>
  <c r="B464" i="8"/>
  <c r="F464" i="8"/>
  <c r="H464" i="8"/>
  <c r="J464" i="8" s="1"/>
  <c r="I464" i="8"/>
  <c r="L464" i="8"/>
  <c r="M464" i="8"/>
  <c r="N464" i="8"/>
  <c r="O464" i="8"/>
  <c r="A465" i="8"/>
  <c r="B465" i="8"/>
  <c r="A466" i="8"/>
  <c r="B466" i="8"/>
  <c r="A467" i="8"/>
  <c r="D467" i="8" s="1"/>
  <c r="B467" i="8"/>
  <c r="A468" i="8"/>
  <c r="B468" i="8"/>
  <c r="C468" i="8"/>
  <c r="D468" i="8"/>
  <c r="E468" i="8"/>
  <c r="A469" i="8"/>
  <c r="C469" i="8" s="1"/>
  <c r="B469" i="8"/>
  <c r="A470" i="8"/>
  <c r="B470" i="8"/>
  <c r="C470" i="8"/>
  <c r="F470" i="8"/>
  <c r="A471" i="8"/>
  <c r="B471" i="8"/>
  <c r="A472" i="8"/>
  <c r="C472" i="8" s="1"/>
  <c r="B472" i="8"/>
  <c r="A473" i="8"/>
  <c r="B473" i="8"/>
  <c r="A474" i="8"/>
  <c r="I474" i="8" s="1"/>
  <c r="B474" i="8"/>
  <c r="E474" i="8"/>
  <c r="F474" i="8"/>
  <c r="G474" i="8"/>
  <c r="L474" i="8"/>
  <c r="A475" i="8"/>
  <c r="M475" i="8" s="1"/>
  <c r="B475" i="8"/>
  <c r="A476" i="8"/>
  <c r="C476" i="8" s="1"/>
  <c r="B476" i="8"/>
  <c r="A477" i="8"/>
  <c r="C477" i="8" s="1"/>
  <c r="B477" i="8"/>
  <c r="E477" i="8"/>
  <c r="G477" i="8"/>
  <c r="H477" i="8"/>
  <c r="I477" i="8"/>
  <c r="J477" i="8"/>
  <c r="L477" i="8"/>
  <c r="M477" i="8"/>
  <c r="A478" i="8"/>
  <c r="B478" i="8"/>
  <c r="A479" i="8"/>
  <c r="F479" i="8" s="1"/>
  <c r="B479" i="8"/>
  <c r="D479" i="8"/>
  <c r="A480" i="8"/>
  <c r="B480" i="8"/>
  <c r="A481" i="8"/>
  <c r="E481" i="8" s="1"/>
  <c r="B481" i="8"/>
  <c r="C481" i="8"/>
  <c r="D481" i="8"/>
  <c r="A482" i="8"/>
  <c r="N482" i="8" s="1"/>
  <c r="B482" i="8"/>
  <c r="A483" i="8"/>
  <c r="D483" i="8" s="1"/>
  <c r="B483" i="8"/>
  <c r="E483" i="8"/>
  <c r="G483" i="8"/>
  <c r="H483" i="8"/>
  <c r="K483" i="8" s="1"/>
  <c r="L483" i="8"/>
  <c r="A484" i="8"/>
  <c r="B484" i="8"/>
  <c r="A485" i="8"/>
  <c r="C485" i="8" s="1"/>
  <c r="B485" i="8"/>
  <c r="A486" i="8"/>
  <c r="C486" i="8" s="1"/>
  <c r="B486" i="8"/>
  <c r="A487" i="8"/>
  <c r="C487" i="8" s="1"/>
  <c r="B487" i="8"/>
  <c r="E487" i="8"/>
  <c r="F487" i="8"/>
  <c r="G487" i="8"/>
  <c r="H487" i="8"/>
  <c r="J487" i="8"/>
  <c r="M487" i="8"/>
  <c r="N487" i="8"/>
  <c r="A488" i="8"/>
  <c r="C488" i="8" s="1"/>
  <c r="B488" i="8"/>
  <c r="A489" i="8"/>
  <c r="C489" i="8" s="1"/>
  <c r="B489" i="8"/>
  <c r="G489" i="8"/>
  <c r="H489" i="8"/>
  <c r="J489" i="8" s="1"/>
  <c r="L489" i="8"/>
  <c r="N489" i="8"/>
  <c r="A490" i="8"/>
  <c r="F490" i="8" s="1"/>
  <c r="B490" i="8"/>
  <c r="D490" i="8"/>
  <c r="E490" i="8"/>
  <c r="A491" i="8"/>
  <c r="D491" i="8" s="1"/>
  <c r="B491" i="8"/>
  <c r="C491" i="8"/>
  <c r="I491" i="8"/>
  <c r="L491" i="8"/>
  <c r="N491" i="8"/>
  <c r="A492" i="8"/>
  <c r="B492" i="8"/>
  <c r="A493" i="8"/>
  <c r="B493" i="8"/>
  <c r="A494" i="8"/>
  <c r="B494" i="8"/>
  <c r="C494" i="8"/>
  <c r="D494" i="8"/>
  <c r="E494" i="8"/>
  <c r="A495" i="8"/>
  <c r="D495" i="8" s="1"/>
  <c r="B495" i="8"/>
  <c r="A496" i="8"/>
  <c r="B496" i="8"/>
  <c r="D496" i="8"/>
  <c r="A497" i="8"/>
  <c r="E497" i="8" s="1"/>
  <c r="B497" i="8"/>
  <c r="A498" i="8"/>
  <c r="H498" i="8" s="1"/>
  <c r="J498" i="8" s="1"/>
  <c r="B498" i="8"/>
  <c r="A499" i="8"/>
  <c r="B499" i="8"/>
  <c r="C499" i="8"/>
  <c r="D499" i="8"/>
  <c r="E499" i="8"/>
  <c r="F499" i="8"/>
  <c r="G499" i="8"/>
  <c r="H499" i="8"/>
  <c r="I499" i="8"/>
  <c r="L499" i="8"/>
  <c r="M499" i="8"/>
  <c r="N499" i="8"/>
  <c r="A500" i="8"/>
  <c r="B500" i="8"/>
  <c r="A3" i="3"/>
  <c r="B3" i="3" s="1"/>
  <c r="E3" i="3"/>
  <c r="F3" i="3"/>
  <c r="H3" i="3"/>
  <c r="A4" i="3"/>
  <c r="C4" i="3" s="1"/>
  <c r="B4" i="3"/>
  <c r="E4" i="3"/>
  <c r="H4" i="3"/>
  <c r="A5" i="3"/>
  <c r="B5" i="3" s="1"/>
  <c r="H5" i="3"/>
  <c r="A6" i="3"/>
  <c r="B6" i="3"/>
  <c r="E6" i="3"/>
  <c r="H6" i="3"/>
  <c r="A7" i="3"/>
  <c r="D7" i="3" s="1"/>
  <c r="B7" i="3"/>
  <c r="C7" i="3"/>
  <c r="E7" i="3"/>
  <c r="F7" i="3"/>
  <c r="H7" i="3"/>
  <c r="A8" i="3"/>
  <c r="B8" i="3" s="1"/>
  <c r="E8" i="3"/>
  <c r="F8" i="3"/>
  <c r="H8" i="3"/>
  <c r="A9" i="3"/>
  <c r="C9" i="3" s="1"/>
  <c r="B9" i="3"/>
  <c r="H9" i="3"/>
  <c r="A10" i="3"/>
  <c r="D10" i="3" s="1"/>
  <c r="B10" i="3"/>
  <c r="C10" i="3"/>
  <c r="E10" i="3"/>
  <c r="H10" i="3"/>
  <c r="A11" i="3"/>
  <c r="B11" i="3"/>
  <c r="E11" i="3"/>
  <c r="F11" i="3"/>
  <c r="G11" i="3"/>
  <c r="H11" i="3"/>
  <c r="A12" i="3"/>
  <c r="B12" i="3"/>
  <c r="C12" i="3"/>
  <c r="D12" i="3"/>
  <c r="E12" i="3"/>
  <c r="H12" i="3"/>
  <c r="A13" i="3"/>
  <c r="E13" i="3"/>
  <c r="F13" i="3"/>
  <c r="H13" i="3"/>
  <c r="A14" i="3"/>
  <c r="C14" i="3" s="1"/>
  <c r="B14" i="3"/>
  <c r="E14" i="3"/>
  <c r="F14" i="3"/>
  <c r="G14" i="3"/>
  <c r="H14" i="3"/>
  <c r="A15" i="3"/>
  <c r="B15" i="3"/>
  <c r="C15" i="3"/>
  <c r="D15" i="3"/>
  <c r="E15" i="3"/>
  <c r="H15" i="3"/>
  <c r="A16" i="3"/>
  <c r="B16" i="3" s="1"/>
  <c r="E16" i="3"/>
  <c r="F16" i="3"/>
  <c r="G16" i="3"/>
  <c r="H16" i="3"/>
  <c r="A17" i="3"/>
  <c r="C17" i="3" s="1"/>
  <c r="B17" i="3"/>
  <c r="E17" i="3"/>
  <c r="F17" i="3"/>
  <c r="G17" i="3"/>
  <c r="H17" i="3"/>
  <c r="A18" i="3"/>
  <c r="E18" i="3"/>
  <c r="F18" i="3"/>
  <c r="H18" i="3"/>
  <c r="A19" i="3"/>
  <c r="H19" i="3"/>
  <c r="A20" i="3"/>
  <c r="C20" i="3" s="1"/>
  <c r="H20" i="3"/>
  <c r="A21" i="3"/>
  <c r="G21" i="3" s="1"/>
  <c r="H21" i="3"/>
  <c r="A22" i="3"/>
  <c r="H22" i="3"/>
  <c r="A23" i="3"/>
  <c r="F23" i="3" s="1"/>
  <c r="E23" i="3"/>
  <c r="H23" i="3"/>
  <c r="A24" i="3"/>
  <c r="C24" i="3"/>
  <c r="E24" i="3" s="1"/>
  <c r="D24" i="3"/>
  <c r="G24" i="3"/>
  <c r="H24" i="3"/>
  <c r="A25" i="3"/>
  <c r="H25" i="3"/>
  <c r="A26" i="3"/>
  <c r="H26" i="3"/>
  <c r="A27" i="3"/>
  <c r="B27" i="3"/>
  <c r="C27" i="3"/>
  <c r="D27" i="3"/>
  <c r="E27" i="3"/>
  <c r="F27" i="3"/>
  <c r="G27" i="3"/>
  <c r="H27" i="3"/>
  <c r="A28" i="3"/>
  <c r="H28" i="3"/>
  <c r="A29" i="3"/>
  <c r="D29" i="3" s="1"/>
  <c r="B29" i="3"/>
  <c r="C29" i="3"/>
  <c r="E29" i="3"/>
  <c r="F29" i="3"/>
  <c r="H29" i="3"/>
  <c r="A30" i="3"/>
  <c r="B30" i="3"/>
  <c r="C30" i="3"/>
  <c r="D30" i="3"/>
  <c r="E30" i="3"/>
  <c r="H30" i="3"/>
  <c r="A31" i="3"/>
  <c r="B31" i="3"/>
  <c r="E31" i="3"/>
  <c r="H31" i="3"/>
  <c r="A32" i="3"/>
  <c r="D32" i="3" s="1"/>
  <c r="B32" i="3"/>
  <c r="C32" i="3"/>
  <c r="E32" i="3"/>
  <c r="F32" i="3"/>
  <c r="H32" i="3"/>
  <c r="A33" i="3"/>
  <c r="E33" i="3"/>
  <c r="F33" i="3"/>
  <c r="H33" i="3"/>
  <c r="A34" i="3"/>
  <c r="B34" i="3"/>
  <c r="C34" i="3"/>
  <c r="D34" i="3"/>
  <c r="E34" i="3"/>
  <c r="H34" i="3"/>
  <c r="A35" i="3"/>
  <c r="D35" i="3" s="1"/>
  <c r="B35" i="3"/>
  <c r="C35" i="3"/>
  <c r="E35" i="3"/>
  <c r="H35" i="3"/>
  <c r="A36" i="3"/>
  <c r="B36" i="3"/>
  <c r="E36" i="3"/>
  <c r="F36" i="3"/>
  <c r="G36" i="3"/>
  <c r="H36" i="3"/>
  <c r="A37" i="3"/>
  <c r="B37" i="3" s="1"/>
  <c r="D37" i="3"/>
  <c r="E37" i="3"/>
  <c r="H37" i="3"/>
  <c r="A38" i="3"/>
  <c r="E38" i="3"/>
  <c r="F38" i="3"/>
  <c r="H38" i="3"/>
  <c r="A39" i="3"/>
  <c r="C39" i="3" s="1"/>
  <c r="B39" i="3"/>
  <c r="E39" i="3"/>
  <c r="F39" i="3"/>
  <c r="G39" i="3"/>
  <c r="H39" i="3"/>
  <c r="A40" i="3"/>
  <c r="B40" i="3"/>
  <c r="C40" i="3"/>
  <c r="H40" i="3"/>
  <c r="A41" i="3"/>
  <c r="B41" i="3" s="1"/>
  <c r="E41" i="3"/>
  <c r="F41" i="3"/>
  <c r="G41" i="3"/>
  <c r="H41" i="3"/>
  <c r="A42" i="3"/>
  <c r="C42" i="3" s="1"/>
  <c r="B42" i="3"/>
  <c r="E42" i="3"/>
  <c r="F42" i="3"/>
  <c r="G42" i="3"/>
  <c r="H42" i="3"/>
  <c r="A43" i="3"/>
  <c r="E43" i="3"/>
  <c r="F43" i="3"/>
  <c r="H43" i="3"/>
  <c r="A44" i="3"/>
  <c r="H44" i="3"/>
  <c r="A45" i="3"/>
  <c r="C45" i="3" s="1"/>
  <c r="B45" i="3"/>
  <c r="E45" i="3"/>
  <c r="H45" i="3"/>
  <c r="A46" i="3"/>
  <c r="B46" i="3"/>
  <c r="E46" i="3"/>
  <c r="F46" i="3"/>
  <c r="G46" i="3"/>
  <c r="H46" i="3"/>
  <c r="A47" i="3"/>
  <c r="H47" i="3"/>
  <c r="A48" i="3"/>
  <c r="F48" i="3" s="1"/>
  <c r="E48" i="3"/>
  <c r="H48" i="3"/>
  <c r="A49" i="3"/>
  <c r="B49" i="3"/>
  <c r="C49" i="3"/>
  <c r="D49" i="3"/>
  <c r="E49" i="3"/>
  <c r="F49" i="3"/>
  <c r="G49" i="3"/>
  <c r="H49" i="3"/>
  <c r="A50" i="3"/>
  <c r="H50" i="3"/>
  <c r="A51" i="3"/>
  <c r="B51" i="3" s="1"/>
  <c r="H51" i="3"/>
  <c r="A52" i="3"/>
  <c r="B52" i="3"/>
  <c r="C52" i="3"/>
  <c r="D52" i="3"/>
  <c r="E52" i="3"/>
  <c r="F52" i="3"/>
  <c r="G52" i="3"/>
  <c r="H52" i="3"/>
  <c r="A53" i="3"/>
  <c r="H53" i="3"/>
  <c r="A54" i="3"/>
  <c r="D54" i="3" s="1"/>
  <c r="B54" i="3"/>
  <c r="C54" i="3"/>
  <c r="E54" i="3"/>
  <c r="F54" i="3"/>
  <c r="H54" i="3"/>
  <c r="A55" i="3"/>
  <c r="B55" i="3"/>
  <c r="C55" i="3"/>
  <c r="D55" i="3"/>
  <c r="E55" i="3"/>
  <c r="H55" i="3"/>
  <c r="A56" i="3"/>
  <c r="B56" i="3"/>
  <c r="E56" i="3"/>
  <c r="H56" i="3"/>
  <c r="A57" i="3"/>
  <c r="D57" i="3" s="1"/>
  <c r="B57" i="3"/>
  <c r="C57" i="3"/>
  <c r="E57" i="3"/>
  <c r="F57" i="3"/>
  <c r="H57" i="3"/>
  <c r="A58" i="3"/>
  <c r="E58" i="3"/>
  <c r="F58" i="3"/>
  <c r="H58" i="3"/>
  <c r="A59" i="3"/>
  <c r="B59" i="3"/>
  <c r="C59" i="3"/>
  <c r="D59" i="3"/>
  <c r="E59" i="3"/>
  <c r="H59" i="3"/>
  <c r="A60" i="3"/>
  <c r="D60" i="3" s="1"/>
  <c r="B60" i="3"/>
  <c r="C60" i="3"/>
  <c r="E60" i="3"/>
  <c r="H60" i="3"/>
  <c r="A61" i="3"/>
  <c r="B61" i="3"/>
  <c r="E61" i="3"/>
  <c r="F61" i="3"/>
  <c r="G61" i="3"/>
  <c r="H61" i="3"/>
  <c r="A62" i="3"/>
  <c r="B62" i="3"/>
  <c r="C62" i="3"/>
  <c r="D62" i="3"/>
  <c r="E62" i="3"/>
  <c r="H62" i="3"/>
  <c r="A63" i="3"/>
  <c r="E63" i="3"/>
  <c r="F63" i="3"/>
  <c r="H63" i="3"/>
  <c r="A64" i="3"/>
  <c r="C64" i="3" s="1"/>
  <c r="B64" i="3"/>
  <c r="E64" i="3"/>
  <c r="F64" i="3"/>
  <c r="G64" i="3"/>
  <c r="H64" i="3"/>
  <c r="A65" i="3"/>
  <c r="B65" i="3"/>
  <c r="C65" i="3"/>
  <c r="D65" i="3"/>
  <c r="H65" i="3"/>
  <c r="A66" i="3"/>
  <c r="B66" i="3" s="1"/>
  <c r="E66" i="3"/>
  <c r="F66" i="3"/>
  <c r="G66" i="3"/>
  <c r="H66" i="3"/>
  <c r="A67" i="3"/>
  <c r="C67" i="3" s="1"/>
  <c r="B67" i="3"/>
  <c r="E67" i="3"/>
  <c r="F67" i="3"/>
  <c r="G67" i="3"/>
  <c r="H67" i="3"/>
  <c r="A68" i="3"/>
  <c r="E68" i="3"/>
  <c r="F68" i="3"/>
  <c r="H68" i="3"/>
  <c r="A69" i="3"/>
  <c r="H69" i="3"/>
  <c r="A70" i="3"/>
  <c r="C70" i="3" s="1"/>
  <c r="B70" i="3"/>
  <c r="E70" i="3"/>
  <c r="H70" i="3"/>
  <c r="A71" i="3"/>
  <c r="B71" i="3"/>
  <c r="E71" i="3"/>
  <c r="F71" i="3"/>
  <c r="G71" i="3"/>
  <c r="H71" i="3"/>
  <c r="A72" i="3"/>
  <c r="G72" i="3"/>
  <c r="H72" i="3"/>
  <c r="A73" i="3"/>
  <c r="F73" i="3" s="1"/>
  <c r="E73" i="3"/>
  <c r="H73" i="3"/>
  <c r="A74" i="3"/>
  <c r="B74" i="3"/>
  <c r="C74" i="3"/>
  <c r="D74" i="3"/>
  <c r="E74" i="3"/>
  <c r="F74" i="3"/>
  <c r="G74" i="3"/>
  <c r="H74" i="3"/>
  <c r="A75" i="3"/>
  <c r="H75" i="3"/>
  <c r="A76" i="3"/>
  <c r="F76" i="3"/>
  <c r="H76" i="3"/>
  <c r="A77" i="3"/>
  <c r="B77" i="3"/>
  <c r="C77" i="3"/>
  <c r="D77" i="3"/>
  <c r="E77" i="3"/>
  <c r="F77" i="3"/>
  <c r="G77" i="3"/>
  <c r="H77" i="3"/>
  <c r="A78" i="3"/>
  <c r="H78" i="3"/>
  <c r="A79" i="3"/>
  <c r="D79" i="3" s="1"/>
  <c r="B79" i="3"/>
  <c r="C79" i="3"/>
  <c r="E79" i="3"/>
  <c r="F79" i="3"/>
  <c r="H79" i="3"/>
  <c r="A80" i="3"/>
  <c r="B80" i="3"/>
  <c r="C80" i="3"/>
  <c r="D80" i="3"/>
  <c r="E80" i="3"/>
  <c r="H80" i="3"/>
  <c r="A81" i="3"/>
  <c r="B81" i="3"/>
  <c r="E81" i="3"/>
  <c r="H81" i="3"/>
  <c r="A82" i="3"/>
  <c r="D82" i="3" s="1"/>
  <c r="B82" i="3"/>
  <c r="C82" i="3"/>
  <c r="E82" i="3"/>
  <c r="F82" i="3"/>
  <c r="H82" i="3"/>
  <c r="A83" i="3"/>
  <c r="E83" i="3"/>
  <c r="F83" i="3"/>
  <c r="H83" i="3"/>
  <c r="A84" i="3"/>
  <c r="B84" i="3"/>
  <c r="C84" i="3"/>
  <c r="D84" i="3"/>
  <c r="E84" i="3"/>
  <c r="H84" i="3"/>
  <c r="A85" i="3"/>
  <c r="D85" i="3" s="1"/>
  <c r="B85" i="3"/>
  <c r="C85" i="3"/>
  <c r="E85" i="3"/>
  <c r="H85" i="3"/>
  <c r="A86" i="3"/>
  <c r="B86" i="3"/>
  <c r="E86" i="3"/>
  <c r="F86" i="3"/>
  <c r="G86" i="3"/>
  <c r="H86" i="3"/>
  <c r="A87" i="3"/>
  <c r="B87" i="3" s="1"/>
  <c r="C87" i="3"/>
  <c r="D87" i="3"/>
  <c r="E87" i="3"/>
  <c r="H87" i="3"/>
  <c r="A88" i="3"/>
  <c r="E88" i="3"/>
  <c r="F88" i="3"/>
  <c r="H88" i="3"/>
  <c r="A89" i="3"/>
  <c r="C89" i="3" s="1"/>
  <c r="B89" i="3"/>
  <c r="E89" i="3"/>
  <c r="F89" i="3"/>
  <c r="G89" i="3"/>
  <c r="H89" i="3"/>
  <c r="A90" i="3"/>
  <c r="B90" i="3"/>
  <c r="C90" i="3"/>
  <c r="H90" i="3"/>
  <c r="A91" i="3"/>
  <c r="B91" i="3" s="1"/>
  <c r="E91" i="3"/>
  <c r="F91" i="3"/>
  <c r="G91" i="3"/>
  <c r="H91" i="3"/>
  <c r="A92" i="3"/>
  <c r="C92" i="3" s="1"/>
  <c r="B92" i="3"/>
  <c r="E92" i="3"/>
  <c r="F92" i="3"/>
  <c r="G92" i="3"/>
  <c r="H92" i="3"/>
  <c r="A93" i="3"/>
  <c r="E93" i="3"/>
  <c r="F93" i="3"/>
  <c r="H93" i="3"/>
  <c r="A94" i="3"/>
  <c r="G94" i="3"/>
  <c r="H94" i="3"/>
  <c r="A95" i="3"/>
  <c r="C95" i="3" s="1"/>
  <c r="B95" i="3"/>
  <c r="E95" i="3"/>
  <c r="H95" i="3"/>
  <c r="A96" i="3"/>
  <c r="G96" i="3" s="1"/>
  <c r="B96" i="3"/>
  <c r="E96" i="3"/>
  <c r="F96" i="3"/>
  <c r="H96" i="3"/>
  <c r="A97" i="3"/>
  <c r="G97" i="3"/>
  <c r="H97" i="3"/>
  <c r="A98" i="3"/>
  <c r="F98" i="3" s="1"/>
  <c r="E98" i="3"/>
  <c r="H98" i="3"/>
  <c r="A99" i="3"/>
  <c r="B99" i="3"/>
  <c r="C99" i="3"/>
  <c r="D99" i="3"/>
  <c r="E99" i="3"/>
  <c r="F99" i="3"/>
  <c r="G99" i="3"/>
  <c r="H99" i="3"/>
  <c r="A100" i="3"/>
  <c r="H100" i="3"/>
  <c r="A101" i="3"/>
  <c r="F101" i="3"/>
  <c r="H101" i="3"/>
  <c r="A102" i="3"/>
  <c r="B102" i="3"/>
  <c r="C102" i="3"/>
  <c r="D102" i="3"/>
  <c r="E102" i="3"/>
  <c r="F102" i="3"/>
  <c r="G102" i="3"/>
  <c r="H102" i="3"/>
  <c r="A103" i="3"/>
  <c r="H103" i="3"/>
  <c r="A104" i="3"/>
  <c r="D104" i="3" s="1"/>
  <c r="B104" i="3"/>
  <c r="C104" i="3"/>
  <c r="E104" i="3"/>
  <c r="F104" i="3"/>
  <c r="H104" i="3"/>
  <c r="A105" i="3"/>
  <c r="B105" i="3"/>
  <c r="C105" i="3"/>
  <c r="D105" i="3"/>
  <c r="E105" i="3"/>
  <c r="H105" i="3"/>
  <c r="A106" i="3"/>
  <c r="B106" i="3"/>
  <c r="E106" i="3"/>
  <c r="H106" i="3"/>
  <c r="A107" i="3"/>
  <c r="D107" i="3" s="1"/>
  <c r="B107" i="3"/>
  <c r="C107" i="3"/>
  <c r="E107" i="3"/>
  <c r="F107" i="3"/>
  <c r="H107" i="3"/>
  <c r="A108" i="3"/>
  <c r="E108" i="3"/>
  <c r="F108" i="3"/>
  <c r="H108" i="3"/>
  <c r="A109" i="3"/>
  <c r="D109" i="3" s="1"/>
  <c r="B109" i="3"/>
  <c r="C109" i="3"/>
  <c r="H109" i="3"/>
  <c r="A110" i="3"/>
  <c r="D110" i="3" s="1"/>
  <c r="B110" i="3"/>
  <c r="C110" i="3"/>
  <c r="E110" i="3"/>
  <c r="H110" i="3"/>
  <c r="A111" i="3"/>
  <c r="B111" i="3"/>
  <c r="E111" i="3"/>
  <c r="F111" i="3"/>
  <c r="G111" i="3"/>
  <c r="H111" i="3"/>
  <c r="A112" i="3"/>
  <c r="B112" i="3"/>
  <c r="C112" i="3"/>
  <c r="D112" i="3"/>
  <c r="E112" i="3"/>
  <c r="H112" i="3"/>
  <c r="A113" i="3"/>
  <c r="E113" i="3"/>
  <c r="F113" i="3"/>
  <c r="H113" i="3"/>
  <c r="A114" i="3"/>
  <c r="C114" i="3" s="1"/>
  <c r="B114" i="3"/>
  <c r="E114" i="3"/>
  <c r="F114" i="3"/>
  <c r="G114" i="3"/>
  <c r="H114" i="3"/>
  <c r="A115" i="3"/>
  <c r="D115" i="3" s="1"/>
  <c r="H115" i="3"/>
  <c r="A116" i="3"/>
  <c r="B116" i="3" s="1"/>
  <c r="E116" i="3"/>
  <c r="F116" i="3"/>
  <c r="G116" i="3"/>
  <c r="H116" i="3"/>
  <c r="A117" i="3"/>
  <c r="C117" i="3" s="1"/>
  <c r="B117" i="3"/>
  <c r="E117" i="3"/>
  <c r="F117" i="3"/>
  <c r="G117" i="3"/>
  <c r="H117" i="3"/>
  <c r="A118" i="3"/>
  <c r="E118" i="3"/>
  <c r="F118" i="3"/>
  <c r="H118" i="3"/>
  <c r="A119" i="3"/>
  <c r="G119" i="3"/>
  <c r="H119" i="3"/>
  <c r="A120" i="3"/>
  <c r="C120" i="3" s="1"/>
  <c r="B120" i="3"/>
  <c r="E120" i="3"/>
  <c r="H120" i="3"/>
  <c r="A121" i="3"/>
  <c r="E121" i="3" s="1"/>
  <c r="B121" i="3"/>
  <c r="H121" i="3"/>
  <c r="A122" i="3"/>
  <c r="G122" i="3"/>
  <c r="H122" i="3"/>
  <c r="A123" i="3"/>
  <c r="F123" i="3" s="1"/>
  <c r="E123" i="3"/>
  <c r="H123" i="3"/>
  <c r="A124" i="3"/>
  <c r="B124" i="3"/>
  <c r="C124" i="3"/>
  <c r="D124" i="3"/>
  <c r="E124" i="3"/>
  <c r="F124" i="3"/>
  <c r="G124" i="3"/>
  <c r="H124" i="3"/>
  <c r="A125" i="3"/>
  <c r="H125" i="3"/>
  <c r="A126" i="3"/>
  <c r="F126" i="3"/>
  <c r="H126" i="3"/>
  <c r="A127" i="3"/>
  <c r="B127" i="3"/>
  <c r="C127" i="3"/>
  <c r="D127" i="3"/>
  <c r="E127" i="3"/>
  <c r="F127" i="3"/>
  <c r="G127" i="3"/>
  <c r="H127" i="3"/>
  <c r="A128" i="3"/>
  <c r="H128" i="3"/>
  <c r="A129" i="3"/>
  <c r="C129" i="3" s="1"/>
  <c r="B129" i="3"/>
  <c r="E129" i="3"/>
  <c r="H129" i="3"/>
  <c r="A130" i="3"/>
  <c r="D130" i="3" s="1"/>
  <c r="B130" i="3"/>
  <c r="C130" i="3"/>
  <c r="H130" i="3"/>
  <c r="A131" i="3"/>
  <c r="B131" i="3"/>
  <c r="H131" i="3"/>
  <c r="A132" i="3"/>
  <c r="C132" i="3" s="1"/>
  <c r="B132" i="3"/>
  <c r="E132" i="3"/>
  <c r="H132" i="3"/>
  <c r="A133" i="3"/>
  <c r="H133" i="3"/>
  <c r="A134" i="3"/>
  <c r="B134" i="3"/>
  <c r="C134" i="3"/>
  <c r="H134" i="3"/>
  <c r="A135" i="3"/>
  <c r="D135" i="3" s="1"/>
  <c r="H135" i="3"/>
  <c r="A136" i="3"/>
  <c r="B136" i="3"/>
  <c r="E136" i="3"/>
  <c r="F136" i="3"/>
  <c r="G136" i="3"/>
  <c r="H136" i="3"/>
  <c r="A137" i="3"/>
  <c r="B137" i="3"/>
  <c r="C137" i="3"/>
  <c r="H137" i="3"/>
  <c r="A138" i="3"/>
  <c r="F138" i="3" s="1"/>
  <c r="H138" i="3"/>
  <c r="A139" i="3"/>
  <c r="B139" i="3"/>
  <c r="C139" i="3"/>
  <c r="D139" i="3"/>
  <c r="E139" i="3"/>
  <c r="F139" i="3"/>
  <c r="G139" i="3"/>
  <c r="H139" i="3"/>
  <c r="A140" i="3"/>
  <c r="B140" i="3"/>
  <c r="H140" i="3"/>
  <c r="A141" i="3"/>
  <c r="E141" i="3" s="1"/>
  <c r="B141" i="3"/>
  <c r="G141" i="3"/>
  <c r="H141" i="3"/>
  <c r="A142" i="3"/>
  <c r="B142" i="3"/>
  <c r="C142" i="3"/>
  <c r="D142" i="3"/>
  <c r="E142" i="3"/>
  <c r="F142" i="3"/>
  <c r="G142" i="3"/>
  <c r="H142" i="3"/>
  <c r="A143" i="3"/>
  <c r="D143" i="3"/>
  <c r="H143" i="3"/>
  <c r="A144" i="3"/>
  <c r="D144" i="3" s="1"/>
  <c r="B144" i="3"/>
  <c r="C144" i="3"/>
  <c r="E144" i="3"/>
  <c r="F144" i="3"/>
  <c r="H144" i="3"/>
  <c r="A145" i="3"/>
  <c r="B145" i="3"/>
  <c r="C145" i="3"/>
  <c r="D145" i="3"/>
  <c r="E145" i="3"/>
  <c r="H145" i="3"/>
  <c r="A146" i="3"/>
  <c r="B146" i="3"/>
  <c r="E146" i="3"/>
  <c r="H146" i="3"/>
  <c r="A147" i="3"/>
  <c r="D147" i="3" s="1"/>
  <c r="B147" i="3"/>
  <c r="C147" i="3"/>
  <c r="E147" i="3"/>
  <c r="F147" i="3"/>
  <c r="H147" i="3"/>
  <c r="A148" i="3"/>
  <c r="D148" i="3"/>
  <c r="E148" i="3"/>
  <c r="F148" i="3"/>
  <c r="H148" i="3"/>
  <c r="A149" i="3"/>
  <c r="B149" i="3"/>
  <c r="C149" i="3"/>
  <c r="H149" i="3"/>
  <c r="A150" i="3"/>
  <c r="C150" i="3" s="1"/>
  <c r="B150" i="3"/>
  <c r="E150" i="3"/>
  <c r="H150" i="3"/>
  <c r="A151" i="3"/>
  <c r="B151" i="3"/>
  <c r="E151" i="3"/>
  <c r="F151" i="3"/>
  <c r="G151" i="3"/>
  <c r="H151" i="3"/>
  <c r="A152" i="3"/>
  <c r="B152" i="3"/>
  <c r="C152" i="3"/>
  <c r="D152" i="3"/>
  <c r="H152" i="3"/>
  <c r="A153" i="3"/>
  <c r="E153" i="3" s="1"/>
  <c r="D153" i="3"/>
  <c r="H153" i="3"/>
  <c r="A154" i="3"/>
  <c r="B154" i="3"/>
  <c r="C154" i="3"/>
  <c r="D154" i="3"/>
  <c r="E154" i="3"/>
  <c r="F154" i="3"/>
  <c r="G154" i="3"/>
  <c r="H154" i="3"/>
  <c r="A155" i="3"/>
  <c r="B155" i="3" s="1"/>
  <c r="H155" i="3"/>
  <c r="A156" i="3"/>
  <c r="C156" i="3" s="1"/>
  <c r="B156" i="3"/>
  <c r="D156" i="3"/>
  <c r="F156" i="3"/>
  <c r="G156" i="3"/>
  <c r="H156" i="3"/>
  <c r="A157" i="3"/>
  <c r="B157" i="3"/>
  <c r="C157" i="3"/>
  <c r="D157" i="3"/>
  <c r="E157" i="3"/>
  <c r="F157" i="3"/>
  <c r="G157" i="3"/>
  <c r="H157" i="3"/>
  <c r="A158" i="3"/>
  <c r="D158" i="3"/>
  <c r="H158" i="3"/>
  <c r="A159" i="3"/>
  <c r="D159" i="3" s="1"/>
  <c r="B159" i="3"/>
  <c r="C159" i="3"/>
  <c r="E159" i="3"/>
  <c r="F159" i="3"/>
  <c r="H159" i="3"/>
  <c r="A160" i="3"/>
  <c r="B160" i="3"/>
  <c r="C160" i="3"/>
  <c r="D160" i="3"/>
  <c r="E160" i="3"/>
  <c r="H160" i="3"/>
  <c r="A161" i="3"/>
  <c r="B161" i="3" s="1"/>
  <c r="D161" i="3"/>
  <c r="H161" i="3"/>
  <c r="A162" i="3"/>
  <c r="C162" i="3" s="1"/>
  <c r="B162" i="3"/>
  <c r="E162" i="3"/>
  <c r="H162" i="3"/>
  <c r="A163" i="3"/>
  <c r="D163" i="3"/>
  <c r="E163" i="3"/>
  <c r="F163" i="3"/>
  <c r="H163" i="3"/>
  <c r="A164" i="3"/>
  <c r="B164" i="3"/>
  <c r="C164" i="3"/>
  <c r="H164" i="3"/>
  <c r="A165" i="3"/>
  <c r="D165" i="3"/>
  <c r="H165" i="3"/>
  <c r="A166" i="3"/>
  <c r="C166" i="3" s="1"/>
  <c r="B166" i="3"/>
  <c r="D166" i="3"/>
  <c r="E166" i="3"/>
  <c r="F166" i="3"/>
  <c r="G166" i="3"/>
  <c r="H166" i="3"/>
  <c r="A167" i="3"/>
  <c r="B167" i="3" s="1"/>
  <c r="H167" i="3"/>
  <c r="A168" i="3"/>
  <c r="D168" i="3"/>
  <c r="E168" i="3"/>
  <c r="F168" i="3"/>
  <c r="H168" i="3"/>
  <c r="A169" i="3"/>
  <c r="B169" i="3"/>
  <c r="C169" i="3"/>
  <c r="D169" i="3"/>
  <c r="E169" i="3"/>
  <c r="F169" i="3"/>
  <c r="G169" i="3"/>
  <c r="H169" i="3"/>
  <c r="A170" i="3"/>
  <c r="H170" i="3"/>
  <c r="A171" i="3"/>
  <c r="E171" i="3"/>
  <c r="H171" i="3"/>
  <c r="A172" i="3"/>
  <c r="B172" i="3"/>
  <c r="C172" i="3"/>
  <c r="D172" i="3"/>
  <c r="E172" i="3"/>
  <c r="F172" i="3"/>
  <c r="G172" i="3"/>
  <c r="H172" i="3"/>
  <c r="A173" i="3"/>
  <c r="D173" i="3"/>
  <c r="E173" i="3"/>
  <c r="F173" i="3"/>
  <c r="H173" i="3"/>
  <c r="A174" i="3"/>
  <c r="D174" i="3"/>
  <c r="H174" i="3"/>
  <c r="A175" i="3"/>
  <c r="E175" i="3" s="1"/>
  <c r="B175" i="3"/>
  <c r="C175" i="3"/>
  <c r="D175" i="3"/>
  <c r="H175" i="3"/>
  <c r="A176" i="3"/>
  <c r="H176" i="3"/>
  <c r="A177" i="3"/>
  <c r="B177" i="3"/>
  <c r="C177" i="3"/>
  <c r="D177" i="3"/>
  <c r="E177" i="3"/>
  <c r="F177" i="3"/>
  <c r="G177" i="3"/>
  <c r="H177" i="3"/>
  <c r="A178" i="3"/>
  <c r="D178" i="3"/>
  <c r="E178" i="3"/>
  <c r="F178" i="3"/>
  <c r="H178" i="3"/>
  <c r="A179" i="3"/>
  <c r="G179" i="3"/>
  <c r="H179" i="3"/>
  <c r="A180" i="3"/>
  <c r="C180" i="3" s="1"/>
  <c r="B180" i="3"/>
  <c r="E180" i="3"/>
  <c r="H180" i="3"/>
  <c r="A181" i="3"/>
  <c r="C181" i="3" s="1"/>
  <c r="B181" i="3"/>
  <c r="D181" i="3"/>
  <c r="E181" i="3"/>
  <c r="F181" i="3"/>
  <c r="G181" i="3"/>
  <c r="H181" i="3"/>
  <c r="A182" i="3"/>
  <c r="B182" i="3"/>
  <c r="C182" i="3"/>
  <c r="D182" i="3"/>
  <c r="E182" i="3"/>
  <c r="F182" i="3"/>
  <c r="G182" i="3"/>
  <c r="H182" i="3"/>
  <c r="A183" i="3"/>
  <c r="F183" i="3" s="1"/>
  <c r="H183" i="3"/>
  <c r="A184" i="3"/>
  <c r="B184" i="3"/>
  <c r="C184" i="3"/>
  <c r="D184" i="3"/>
  <c r="E184" i="3"/>
  <c r="F184" i="3"/>
  <c r="G184" i="3"/>
  <c r="H184" i="3"/>
  <c r="A185" i="3"/>
  <c r="B185" i="3" s="1"/>
  <c r="C185" i="3"/>
  <c r="D185" i="3"/>
  <c r="E185" i="3"/>
  <c r="H185" i="3"/>
  <c r="A186" i="3"/>
  <c r="C186" i="3" s="1"/>
  <c r="B186" i="3"/>
  <c r="F186" i="3"/>
  <c r="G186" i="3"/>
  <c r="H186" i="3"/>
  <c r="A187" i="3"/>
  <c r="G187" i="3" s="1"/>
  <c r="B187" i="3"/>
  <c r="C187" i="3"/>
  <c r="D187" i="3"/>
  <c r="E187" i="3"/>
  <c r="F187" i="3"/>
  <c r="H187" i="3"/>
  <c r="A188" i="3"/>
  <c r="D188" i="3"/>
  <c r="E188" i="3"/>
  <c r="F188" i="3"/>
  <c r="H188" i="3"/>
  <c r="A189" i="3"/>
  <c r="C189" i="3" s="1"/>
  <c r="B189" i="3"/>
  <c r="E189" i="3"/>
  <c r="F189" i="3"/>
  <c r="G189" i="3"/>
  <c r="H189" i="3"/>
  <c r="A190" i="3"/>
  <c r="C190" i="3" s="1"/>
  <c r="B190" i="3"/>
  <c r="H190" i="3"/>
  <c r="A191" i="3"/>
  <c r="C191" i="3" s="1"/>
  <c r="D191" i="3"/>
  <c r="E191" i="3"/>
  <c r="F191" i="3"/>
  <c r="H191" i="3"/>
  <c r="A192" i="3"/>
  <c r="D192" i="3"/>
  <c r="H192" i="3"/>
  <c r="A193" i="3"/>
  <c r="D193" i="3"/>
  <c r="E193" i="3"/>
  <c r="F193" i="3"/>
  <c r="H193" i="3"/>
  <c r="A194" i="3"/>
  <c r="B194" i="3" s="1"/>
  <c r="C194" i="3"/>
  <c r="D194" i="3"/>
  <c r="E194" i="3"/>
  <c r="G194" i="3"/>
  <c r="H194" i="3"/>
  <c r="A195" i="3"/>
  <c r="B195" i="3"/>
  <c r="C195" i="3"/>
  <c r="D195" i="3"/>
  <c r="E195" i="3"/>
  <c r="H195" i="3"/>
  <c r="A196" i="3"/>
  <c r="B196" i="3"/>
  <c r="D196" i="3"/>
  <c r="E196" i="3"/>
  <c r="F196" i="3"/>
  <c r="H196" i="3"/>
  <c r="A197" i="3"/>
  <c r="E197" i="3" s="1"/>
  <c r="B197" i="3"/>
  <c r="C197" i="3"/>
  <c r="D197" i="3"/>
  <c r="F197" i="3"/>
  <c r="G197" i="3"/>
  <c r="H197" i="3"/>
  <c r="A198" i="3"/>
  <c r="D198" i="3"/>
  <c r="E198" i="3"/>
  <c r="F198" i="3"/>
  <c r="H198" i="3"/>
  <c r="A199" i="3"/>
  <c r="H199" i="3"/>
  <c r="A200" i="3"/>
  <c r="D200" i="3" s="1"/>
  <c r="B200" i="3"/>
  <c r="C200" i="3"/>
  <c r="E200" i="3"/>
  <c r="H200" i="3"/>
  <c r="F85" i="11" l="1"/>
  <c r="G85" i="11"/>
  <c r="D85" i="11"/>
  <c r="F135" i="11"/>
  <c r="G135" i="11"/>
  <c r="D135" i="11"/>
  <c r="F185" i="11"/>
  <c r="G185" i="11"/>
  <c r="D185" i="11"/>
  <c r="F55" i="11"/>
  <c r="G55" i="11"/>
  <c r="D55" i="11"/>
  <c r="F105" i="11"/>
  <c r="G105" i="11"/>
  <c r="D105" i="11"/>
  <c r="E165" i="11"/>
  <c r="H165" i="11"/>
  <c r="F130" i="11"/>
  <c r="G130" i="11"/>
  <c r="E115" i="11"/>
  <c r="H115" i="11"/>
  <c r="E65" i="11"/>
  <c r="H65" i="11"/>
  <c r="E30" i="11"/>
  <c r="H30" i="11"/>
  <c r="E10" i="11"/>
  <c r="H10" i="11"/>
  <c r="F195" i="11"/>
  <c r="G195" i="11"/>
  <c r="E180" i="11"/>
  <c r="H180" i="11"/>
  <c r="E130" i="11"/>
  <c r="H130" i="11"/>
  <c r="E195" i="11"/>
  <c r="H195" i="11"/>
  <c r="F160" i="11"/>
  <c r="G160" i="11"/>
  <c r="F110" i="11"/>
  <c r="G110" i="11"/>
  <c r="E95" i="11"/>
  <c r="H95" i="11"/>
  <c r="F5" i="11"/>
  <c r="G5" i="11"/>
  <c r="F175" i="11"/>
  <c r="G175" i="11"/>
  <c r="E110" i="11"/>
  <c r="H110" i="11"/>
  <c r="F75" i="11"/>
  <c r="G75" i="11"/>
  <c r="E60" i="11"/>
  <c r="H60" i="11"/>
  <c r="E5" i="11"/>
  <c r="H5" i="11"/>
  <c r="C190" i="11"/>
  <c r="E175" i="11"/>
  <c r="H175" i="11"/>
  <c r="F152" i="11"/>
  <c r="C140" i="11"/>
  <c r="E125" i="11"/>
  <c r="H125" i="11"/>
  <c r="F102" i="11"/>
  <c r="C90" i="11"/>
  <c r="E75" i="11"/>
  <c r="H75" i="11"/>
  <c r="F52" i="11"/>
  <c r="C40" i="11"/>
  <c r="C20" i="11"/>
  <c r="G167" i="11"/>
  <c r="G117" i="11"/>
  <c r="G67" i="11"/>
  <c r="G32" i="11"/>
  <c r="E190" i="11"/>
  <c r="H190" i="11"/>
  <c r="F167" i="11"/>
  <c r="C155" i="11"/>
  <c r="E140" i="11"/>
  <c r="H140" i="11"/>
  <c r="F117" i="11"/>
  <c r="E90" i="11"/>
  <c r="H90" i="11"/>
  <c r="F67" i="11"/>
  <c r="E40" i="11"/>
  <c r="H40" i="11"/>
  <c r="F32" i="11"/>
  <c r="E20" i="11"/>
  <c r="H20" i="11"/>
  <c r="F25" i="11"/>
  <c r="G25" i="11"/>
  <c r="G182" i="11"/>
  <c r="G132" i="11"/>
  <c r="G82" i="11"/>
  <c r="E25" i="11"/>
  <c r="H25" i="11"/>
  <c r="F182" i="11"/>
  <c r="F170" i="11"/>
  <c r="G170" i="11"/>
  <c r="E155" i="11"/>
  <c r="H155" i="11"/>
  <c r="F132" i="11"/>
  <c r="F120" i="11"/>
  <c r="G120" i="11"/>
  <c r="E105" i="11"/>
  <c r="H105" i="11"/>
  <c r="F82" i="11"/>
  <c r="F70" i="11"/>
  <c r="G70" i="11"/>
  <c r="E55" i="11"/>
  <c r="H55" i="11"/>
  <c r="F35" i="11"/>
  <c r="G35" i="11"/>
  <c r="F15" i="11"/>
  <c r="G15" i="11"/>
  <c r="F180" i="11"/>
  <c r="G180" i="11"/>
  <c r="F80" i="11"/>
  <c r="G80" i="11"/>
  <c r="F145" i="11"/>
  <c r="G145" i="11"/>
  <c r="F95" i="11"/>
  <c r="G95" i="11"/>
  <c r="E80" i="11"/>
  <c r="H80" i="11"/>
  <c r="F45" i="11"/>
  <c r="G45" i="11"/>
  <c r="E145" i="11"/>
  <c r="H145" i="11"/>
  <c r="F60" i="11"/>
  <c r="G60" i="11"/>
  <c r="E45" i="11"/>
  <c r="H45" i="11"/>
  <c r="E160" i="11"/>
  <c r="H160" i="11"/>
  <c r="F125" i="11"/>
  <c r="G125" i="11"/>
  <c r="E170" i="11"/>
  <c r="H170" i="11"/>
  <c r="E120" i="11"/>
  <c r="H120" i="11"/>
  <c r="E70" i="11"/>
  <c r="H70" i="11"/>
  <c r="E35" i="11"/>
  <c r="H35" i="11"/>
  <c r="E15" i="11"/>
  <c r="H15" i="11"/>
  <c r="F200" i="11"/>
  <c r="G200" i="11"/>
  <c r="E185" i="11"/>
  <c r="H185" i="11"/>
  <c r="F150" i="11"/>
  <c r="G150" i="11"/>
  <c r="E135" i="11"/>
  <c r="H135" i="11"/>
  <c r="F100" i="11"/>
  <c r="G100" i="11"/>
  <c r="E85" i="11"/>
  <c r="H85" i="11"/>
  <c r="F50" i="11"/>
  <c r="G50" i="11"/>
  <c r="G7" i="11"/>
  <c r="G177" i="11"/>
  <c r="G127" i="11"/>
  <c r="G77" i="11"/>
  <c r="F7" i="11"/>
  <c r="E200" i="11"/>
  <c r="H200" i="11"/>
  <c r="C165" i="11"/>
  <c r="E150" i="11"/>
  <c r="H150" i="11"/>
  <c r="C115" i="11"/>
  <c r="E100" i="11"/>
  <c r="H100" i="11"/>
  <c r="C65" i="11"/>
  <c r="E50" i="11"/>
  <c r="H50" i="11"/>
  <c r="C30" i="11"/>
  <c r="D180" i="11"/>
  <c r="B165" i="11"/>
  <c r="D130" i="11"/>
  <c r="B115" i="11"/>
  <c r="D80" i="11"/>
  <c r="B65" i="11"/>
  <c r="B30" i="11"/>
  <c r="C10" i="11"/>
  <c r="H196" i="11"/>
  <c r="H191" i="11"/>
  <c r="H186" i="11"/>
  <c r="H181" i="11"/>
  <c r="H176" i="11"/>
  <c r="H171" i="11"/>
  <c r="H166" i="11"/>
  <c r="H161" i="11"/>
  <c r="H156" i="11"/>
  <c r="H151" i="11"/>
  <c r="H146" i="11"/>
  <c r="H141" i="11"/>
  <c r="H136" i="11"/>
  <c r="H131" i="11"/>
  <c r="H126" i="11"/>
  <c r="H121" i="11"/>
  <c r="H116" i="11"/>
  <c r="H111" i="11"/>
  <c r="H106" i="11"/>
  <c r="H101" i="11"/>
  <c r="H96" i="11"/>
  <c r="H91" i="11"/>
  <c r="H86" i="11"/>
  <c r="H81" i="11"/>
  <c r="H76" i="11"/>
  <c r="H71" i="11"/>
  <c r="H66" i="11"/>
  <c r="H61" i="11"/>
  <c r="H56" i="11"/>
  <c r="H51" i="11"/>
  <c r="H46" i="11"/>
  <c r="H41" i="11"/>
  <c r="H36" i="11"/>
  <c r="H31" i="11"/>
  <c r="H26" i="11"/>
  <c r="H21" i="11"/>
  <c r="H16" i="11"/>
  <c r="H11" i="11"/>
  <c r="H6" i="11"/>
  <c r="C199" i="11"/>
  <c r="C194" i="11"/>
  <c r="C189" i="11"/>
  <c r="C184" i="11"/>
  <c r="C179" i="11"/>
  <c r="C174" i="11"/>
  <c r="C169" i="11"/>
  <c r="C164" i="11"/>
  <c r="C159" i="11"/>
  <c r="C154" i="11"/>
  <c r="C149" i="11"/>
  <c r="C144" i="11"/>
  <c r="C139" i="11"/>
  <c r="C134" i="11"/>
  <c r="C129" i="11"/>
  <c r="C124" i="11"/>
  <c r="C119" i="11"/>
  <c r="C114" i="11"/>
  <c r="C109" i="11"/>
  <c r="C104" i="11"/>
  <c r="C99" i="11"/>
  <c r="C94" i="11"/>
  <c r="C89" i="11"/>
  <c r="C84" i="11"/>
  <c r="C79" i="11"/>
  <c r="C74" i="11"/>
  <c r="C69" i="11"/>
  <c r="C64" i="11"/>
  <c r="C59" i="11"/>
  <c r="C54" i="11"/>
  <c r="C49" i="11"/>
  <c r="C44" i="11"/>
  <c r="C39" i="11"/>
  <c r="C34" i="11"/>
  <c r="C29" i="11"/>
  <c r="C24" i="11"/>
  <c r="C19" i="11"/>
  <c r="C14" i="11"/>
  <c r="C9" i="11"/>
  <c r="C4" i="11"/>
  <c r="E196" i="11"/>
  <c r="E191" i="11"/>
  <c r="E186" i="11"/>
  <c r="E181" i="11"/>
  <c r="E176" i="11"/>
  <c r="E171" i="11"/>
  <c r="E166" i="11"/>
  <c r="E161" i="11"/>
  <c r="E156" i="11"/>
  <c r="E151" i="11"/>
  <c r="E146" i="11"/>
  <c r="E141" i="11"/>
  <c r="E136" i="11"/>
  <c r="E131" i="11"/>
  <c r="E126" i="11"/>
  <c r="E121" i="11"/>
  <c r="E116" i="11"/>
  <c r="E111" i="11"/>
  <c r="E106" i="11"/>
  <c r="E101" i="11"/>
  <c r="E96" i="11"/>
  <c r="E91" i="11"/>
  <c r="E86" i="11"/>
  <c r="E81" i="11"/>
  <c r="E76" i="11"/>
  <c r="E71" i="11"/>
  <c r="E66" i="11"/>
  <c r="E61" i="11"/>
  <c r="E56" i="11"/>
  <c r="E51" i="11"/>
  <c r="E46" i="11"/>
  <c r="E41" i="11"/>
  <c r="E36" i="11"/>
  <c r="E31" i="11"/>
  <c r="E26" i="11"/>
  <c r="E21" i="11"/>
  <c r="E16" i="11"/>
  <c r="E11" i="11"/>
  <c r="E6" i="11"/>
  <c r="C196" i="11"/>
  <c r="C191" i="11"/>
  <c r="C186" i="11"/>
  <c r="C181" i="11"/>
  <c r="C176" i="11"/>
  <c r="C171" i="11"/>
  <c r="C166" i="11"/>
  <c r="C161" i="11"/>
  <c r="C156" i="11"/>
  <c r="C151" i="11"/>
  <c r="C146" i="11"/>
  <c r="C141" i="11"/>
  <c r="C136" i="11"/>
  <c r="C131" i="11"/>
  <c r="C126" i="11"/>
  <c r="C121" i="11"/>
  <c r="C116" i="11"/>
  <c r="C111" i="11"/>
  <c r="C106" i="11"/>
  <c r="C101" i="11"/>
  <c r="C96" i="11"/>
  <c r="C91" i="11"/>
  <c r="C86" i="11"/>
  <c r="C81" i="11"/>
  <c r="C76" i="11"/>
  <c r="C71" i="11"/>
  <c r="C66" i="11"/>
  <c r="C61" i="11"/>
  <c r="C56" i="11"/>
  <c r="C51" i="11"/>
  <c r="C46" i="11"/>
  <c r="C41" i="11"/>
  <c r="C36" i="11"/>
  <c r="C31" i="11"/>
  <c r="C26" i="11"/>
  <c r="C21" i="11"/>
  <c r="C16" i="11"/>
  <c r="C11" i="11"/>
  <c r="C6" i="11"/>
  <c r="Q14" i="10"/>
  <c r="Q15" i="10"/>
  <c r="Q91" i="10"/>
  <c r="Q90" i="10"/>
  <c r="Q70" i="10"/>
  <c r="Q71" i="10"/>
  <c r="Q50" i="10"/>
  <c r="Q51" i="10"/>
  <c r="Q94" i="10"/>
  <c r="Q95" i="10"/>
  <c r="Q74" i="10"/>
  <c r="Q75" i="10"/>
  <c r="Q54" i="10"/>
  <c r="Q55" i="10"/>
  <c r="Q34" i="10"/>
  <c r="Q35" i="10"/>
  <c r="Q98" i="10"/>
  <c r="Q99" i="10"/>
  <c r="Q78" i="10"/>
  <c r="Q79" i="10"/>
  <c r="Q58" i="10"/>
  <c r="Q59" i="10"/>
  <c r="Q38" i="10"/>
  <c r="Q39" i="10"/>
  <c r="Q82" i="10"/>
  <c r="Q83" i="10"/>
  <c r="Q62" i="10"/>
  <c r="Q63" i="10"/>
  <c r="Q42" i="10"/>
  <c r="Q43" i="10"/>
  <c r="Q10" i="10"/>
  <c r="Q86" i="10"/>
  <c r="Q87" i="10"/>
  <c r="Q66" i="10"/>
  <c r="Q67" i="10"/>
  <c r="Q46" i="10"/>
  <c r="Q47" i="10"/>
  <c r="Q26" i="10"/>
  <c r="Q27" i="10"/>
  <c r="Q22" i="10"/>
  <c r="Q23" i="10"/>
  <c r="Q30" i="10"/>
  <c r="Q31" i="10"/>
  <c r="Q18" i="10"/>
  <c r="Q19" i="10"/>
  <c r="P6" i="10"/>
  <c r="M85" i="9"/>
  <c r="M103" i="9"/>
  <c r="I132" i="9"/>
  <c r="I10" i="9"/>
  <c r="H131" i="9"/>
  <c r="I80" i="9"/>
  <c r="I83" i="9"/>
  <c r="M83" i="9" s="1"/>
  <c r="H133" i="9"/>
  <c r="I125" i="9"/>
  <c r="M125" i="9" s="1"/>
  <c r="M82" i="9"/>
  <c r="H129" i="9"/>
  <c r="M90" i="9"/>
  <c r="H85" i="9"/>
  <c r="J2950" i="9"/>
  <c r="K2950" i="9" s="1"/>
  <c r="C2950" i="9"/>
  <c r="G2933" i="9"/>
  <c r="H2933" i="9"/>
  <c r="I2933" i="9"/>
  <c r="L2874" i="9"/>
  <c r="M2874" i="9"/>
  <c r="H2664" i="9"/>
  <c r="I2664" i="9"/>
  <c r="J2664" i="9"/>
  <c r="K2664" i="9" s="1"/>
  <c r="E2664" i="9"/>
  <c r="F2664" i="9"/>
  <c r="G2664" i="9"/>
  <c r="L2664" i="9"/>
  <c r="M2664" i="9"/>
  <c r="I1849" i="9"/>
  <c r="J1849" i="9"/>
  <c r="K1849" i="9" s="1"/>
  <c r="L1849" i="9"/>
  <c r="M1849" i="9"/>
  <c r="F1849" i="9"/>
  <c r="G1849" i="9"/>
  <c r="H1849" i="9"/>
  <c r="C1849" i="9"/>
  <c r="D1849" i="9"/>
  <c r="E1849" i="9"/>
  <c r="B1849" i="9"/>
  <c r="C1750" i="9"/>
  <c r="E1750" i="9"/>
  <c r="F1750" i="9"/>
  <c r="G1750" i="9"/>
  <c r="H1750" i="9"/>
  <c r="I1750" i="9"/>
  <c r="J1750" i="9"/>
  <c r="K1750" i="9" s="1"/>
  <c r="L1750" i="9"/>
  <c r="M1750" i="9"/>
  <c r="E2975" i="9"/>
  <c r="G2975" i="9"/>
  <c r="H2975" i="9"/>
  <c r="I2975" i="9"/>
  <c r="G2781" i="9"/>
  <c r="H2781" i="9"/>
  <c r="D2781" i="9"/>
  <c r="E2781" i="9"/>
  <c r="I2781" i="9"/>
  <c r="F2781" i="9"/>
  <c r="J2781" i="9"/>
  <c r="K2781" i="9" s="1"/>
  <c r="M2781" i="9"/>
  <c r="B2765" i="9"/>
  <c r="D2765" i="9"/>
  <c r="G2765" i="9"/>
  <c r="E2765" i="9"/>
  <c r="F2765" i="9"/>
  <c r="H2765" i="9"/>
  <c r="C2748" i="9"/>
  <c r="D2748" i="9"/>
  <c r="D2631" i="9"/>
  <c r="H2631" i="9"/>
  <c r="I2631" i="9"/>
  <c r="J2631" i="9"/>
  <c r="K2631" i="9" s="1"/>
  <c r="L2631" i="9"/>
  <c r="M2631" i="9"/>
  <c r="D2612" i="9"/>
  <c r="E2612" i="9"/>
  <c r="F2612" i="9"/>
  <c r="F2312" i="9"/>
  <c r="L2312" i="9"/>
  <c r="M2312" i="9"/>
  <c r="E2312" i="9"/>
  <c r="G2312" i="9"/>
  <c r="H2312" i="9"/>
  <c r="I2312" i="9"/>
  <c r="J2312" i="9"/>
  <c r="K2312" i="9" s="1"/>
  <c r="G2115" i="9"/>
  <c r="H2115" i="9"/>
  <c r="I2115" i="9"/>
  <c r="E2115" i="9"/>
  <c r="F2115" i="9"/>
  <c r="J2115" i="9"/>
  <c r="K2115" i="9" s="1"/>
  <c r="L2115" i="9"/>
  <c r="M2115" i="9"/>
  <c r="B2080" i="9"/>
  <c r="C2080" i="9"/>
  <c r="D2080" i="9"/>
  <c r="I2080" i="9"/>
  <c r="H2080" i="9"/>
  <c r="J2080" i="9"/>
  <c r="K2080" i="9" s="1"/>
  <c r="M2080" i="9"/>
  <c r="D1512" i="9"/>
  <c r="E1512" i="9"/>
  <c r="F1512" i="9"/>
  <c r="G1512" i="9"/>
  <c r="H1512" i="9"/>
  <c r="I1512" i="9"/>
  <c r="L1512" i="9"/>
  <c r="I1453" i="9"/>
  <c r="B1453" i="9"/>
  <c r="L1453" i="9"/>
  <c r="M1453" i="9"/>
  <c r="D1453" i="9"/>
  <c r="E1453" i="9"/>
  <c r="F1453" i="9"/>
  <c r="G1453" i="9"/>
  <c r="H1453" i="9"/>
  <c r="J1453" i="9"/>
  <c r="K1453" i="9" s="1"/>
  <c r="M2979" i="9"/>
  <c r="D2979" i="9"/>
  <c r="C2869" i="9"/>
  <c r="D2869" i="9"/>
  <c r="J2869" i="9"/>
  <c r="K2869" i="9" s="1"/>
  <c r="M2869" i="9"/>
  <c r="L2869" i="9"/>
  <c r="G2861" i="9"/>
  <c r="H2861" i="9"/>
  <c r="D2861" i="9"/>
  <c r="E2861" i="9"/>
  <c r="F2861" i="9"/>
  <c r="I2861" i="9"/>
  <c r="M2861" i="9"/>
  <c r="D2832" i="9"/>
  <c r="E2832" i="9"/>
  <c r="F2832" i="9"/>
  <c r="G2832" i="9"/>
  <c r="I2832" i="9"/>
  <c r="H2832" i="9"/>
  <c r="G2486" i="9"/>
  <c r="H2486" i="9"/>
  <c r="I2486" i="9"/>
  <c r="M2486" i="9"/>
  <c r="M2859" i="9"/>
  <c r="I2859" i="9"/>
  <c r="L2859" i="9"/>
  <c r="J2859" i="9"/>
  <c r="K2859" i="9" s="1"/>
  <c r="G2576" i="9"/>
  <c r="J2576" i="9"/>
  <c r="K2576" i="9" s="1"/>
  <c r="L2576" i="9"/>
  <c r="C2576" i="9"/>
  <c r="D2576" i="9"/>
  <c r="E2576" i="9"/>
  <c r="F2576" i="9"/>
  <c r="H2576" i="9"/>
  <c r="I2576" i="9"/>
  <c r="I2141" i="9"/>
  <c r="J2141" i="9"/>
  <c r="K2141" i="9" s="1"/>
  <c r="M2141" i="9"/>
  <c r="F2141" i="9"/>
  <c r="G2141" i="9"/>
  <c r="H2141" i="9"/>
  <c r="L2141" i="9"/>
  <c r="B5" i="9"/>
  <c r="C5" i="9"/>
  <c r="D5" i="9"/>
  <c r="E5" i="9"/>
  <c r="F5" i="9"/>
  <c r="G5" i="9"/>
  <c r="I5" i="9"/>
  <c r="J5" i="9"/>
  <c r="K5" i="9" s="1"/>
  <c r="H5" i="9"/>
  <c r="L5" i="9"/>
  <c r="M5" i="9"/>
  <c r="D2992" i="9"/>
  <c r="B2992" i="9"/>
  <c r="I2967" i="9"/>
  <c r="E2967" i="9"/>
  <c r="F2967" i="9"/>
  <c r="G2967" i="9"/>
  <c r="M2967" i="9"/>
  <c r="L2894" i="9"/>
  <c r="M2894" i="9"/>
  <c r="E2674" i="9"/>
  <c r="B2674" i="9"/>
  <c r="C2674" i="9"/>
  <c r="D2674" i="9"/>
  <c r="F2674" i="9"/>
  <c r="G2674" i="9"/>
  <c r="H2674" i="9"/>
  <c r="J2674" i="9"/>
  <c r="K2674" i="9" s="1"/>
  <c r="L2531" i="9"/>
  <c r="G2531" i="9"/>
  <c r="H2531" i="9"/>
  <c r="I2531" i="9"/>
  <c r="J2531" i="9"/>
  <c r="K2531" i="9" s="1"/>
  <c r="M2531" i="9"/>
  <c r="M2474" i="9"/>
  <c r="I2474" i="9"/>
  <c r="J2474" i="9"/>
  <c r="K2474" i="9" s="1"/>
  <c r="L2474" i="9"/>
  <c r="F2353" i="9"/>
  <c r="G2353" i="9"/>
  <c r="H2353" i="9"/>
  <c r="M2353" i="9"/>
  <c r="L2353" i="9"/>
  <c r="I2353" i="9"/>
  <c r="J2353" i="9"/>
  <c r="K2353" i="9" s="1"/>
  <c r="J2284" i="9"/>
  <c r="K2284" i="9" s="1"/>
  <c r="D2284" i="9"/>
  <c r="C2284" i="9"/>
  <c r="E2284" i="9"/>
  <c r="F2284" i="9"/>
  <c r="G2284" i="9"/>
  <c r="H2284" i="9"/>
  <c r="L2284" i="9"/>
  <c r="J1953" i="9"/>
  <c r="K1953" i="9" s="1"/>
  <c r="L1953" i="9"/>
  <c r="C1953" i="9"/>
  <c r="D1953" i="9"/>
  <c r="E1953" i="9"/>
  <c r="F1953" i="9"/>
  <c r="G1953" i="9"/>
  <c r="H1953" i="9"/>
  <c r="I1953" i="9"/>
  <c r="D1854" i="9"/>
  <c r="E1854" i="9"/>
  <c r="F1854" i="9"/>
  <c r="C1854" i="9"/>
  <c r="G1854" i="9"/>
  <c r="H1854" i="9"/>
  <c r="I1854" i="9"/>
  <c r="J1854" i="9"/>
  <c r="K1854" i="9" s="1"/>
  <c r="L1854" i="9"/>
  <c r="M1854" i="9"/>
  <c r="G1843" i="9"/>
  <c r="H1843" i="9"/>
  <c r="I1843" i="9"/>
  <c r="B1843" i="9"/>
  <c r="E1843" i="9"/>
  <c r="F1843" i="9"/>
  <c r="J1843" i="9"/>
  <c r="K1843" i="9" s="1"/>
  <c r="L1843" i="9"/>
  <c r="M1843" i="9"/>
  <c r="D1794" i="9"/>
  <c r="E1794" i="9"/>
  <c r="F1794" i="9"/>
  <c r="J1794" i="9"/>
  <c r="K1794" i="9" s="1"/>
  <c r="L1794" i="9"/>
  <c r="M1794" i="9"/>
  <c r="B1794" i="9"/>
  <c r="C1794" i="9"/>
  <c r="G1794" i="9"/>
  <c r="H1794" i="9"/>
  <c r="I1794" i="9"/>
  <c r="H1685" i="9"/>
  <c r="M1685" i="9"/>
  <c r="L1685" i="9"/>
  <c r="J1685" i="9"/>
  <c r="K1685" i="9" s="1"/>
  <c r="E1685" i="9"/>
  <c r="F1685" i="9"/>
  <c r="G1685" i="9"/>
  <c r="I1685" i="9"/>
  <c r="D1685" i="9"/>
  <c r="M1634" i="9"/>
  <c r="H1634" i="9"/>
  <c r="I1634" i="9"/>
  <c r="J1634" i="9"/>
  <c r="K1634" i="9" s="1"/>
  <c r="L1634" i="9"/>
  <c r="C1634" i="9"/>
  <c r="D1634" i="9"/>
  <c r="E1634" i="9"/>
  <c r="F1634" i="9"/>
  <c r="G1634" i="9"/>
  <c r="C1489" i="9"/>
  <c r="L1489" i="9"/>
  <c r="M1489" i="9"/>
  <c r="H1489" i="9"/>
  <c r="I1489" i="9"/>
  <c r="J1489" i="9"/>
  <c r="K1489" i="9" s="1"/>
  <c r="I721" i="9"/>
  <c r="E721" i="9"/>
  <c r="L721" i="9"/>
  <c r="M721" i="9"/>
  <c r="C721" i="9"/>
  <c r="D721" i="9"/>
  <c r="F721" i="9"/>
  <c r="H721" i="9"/>
  <c r="B721" i="9"/>
  <c r="G721" i="9"/>
  <c r="J721" i="9"/>
  <c r="K721" i="9" s="1"/>
  <c r="L2994" i="9"/>
  <c r="M2994" i="9"/>
  <c r="F2925" i="9"/>
  <c r="G2925" i="9"/>
  <c r="H2925" i="9"/>
  <c r="M2925" i="9"/>
  <c r="F2871" i="9"/>
  <c r="I2871" i="9"/>
  <c r="G2871" i="9"/>
  <c r="H2871" i="9"/>
  <c r="M2871" i="9"/>
  <c r="H2644" i="9"/>
  <c r="I2644" i="9"/>
  <c r="J2644" i="9"/>
  <c r="K2644" i="9" s="1"/>
  <c r="B2644" i="9"/>
  <c r="C2644" i="9"/>
  <c r="D2644" i="9"/>
  <c r="E2644" i="9"/>
  <c r="F2644" i="9"/>
  <c r="G2644" i="9"/>
  <c r="L2644" i="9"/>
  <c r="M2514" i="9"/>
  <c r="B2514" i="9"/>
  <c r="G2514" i="9"/>
  <c r="H2514" i="9"/>
  <c r="I2514" i="9"/>
  <c r="J2514" i="9"/>
  <c r="K2514" i="9" s="1"/>
  <c r="L2514" i="9"/>
  <c r="C2182" i="9"/>
  <c r="I2182" i="9"/>
  <c r="J2182" i="9"/>
  <c r="K2182" i="9" s="1"/>
  <c r="D2182" i="9"/>
  <c r="E2182" i="9"/>
  <c r="F2182" i="9"/>
  <c r="G2182" i="9"/>
  <c r="H2182" i="9"/>
  <c r="L2182" i="9"/>
  <c r="M2182" i="9"/>
  <c r="F2032" i="9"/>
  <c r="G2032" i="9"/>
  <c r="H2032" i="9"/>
  <c r="M2032" i="9"/>
  <c r="J2032" i="9"/>
  <c r="K2032" i="9" s="1"/>
  <c r="L2032" i="9"/>
  <c r="B1788" i="9"/>
  <c r="C1788" i="9"/>
  <c r="D1788" i="9"/>
  <c r="I1788" i="9"/>
  <c r="M1788" i="9"/>
  <c r="E1788" i="9"/>
  <c r="F1788" i="9"/>
  <c r="G1788" i="9"/>
  <c r="H1788" i="9"/>
  <c r="J1788" i="9"/>
  <c r="K1788" i="9" s="1"/>
  <c r="E1535" i="9"/>
  <c r="F1535" i="9"/>
  <c r="M1535" i="9"/>
  <c r="C2909" i="9"/>
  <c r="E2909" i="9"/>
  <c r="F2909" i="9"/>
  <c r="H2909" i="9"/>
  <c r="G2909" i="9"/>
  <c r="L2909" i="9"/>
  <c r="I2867" i="9"/>
  <c r="J2867" i="9"/>
  <c r="K2867" i="9" s="1"/>
  <c r="I2747" i="9"/>
  <c r="J2747" i="9"/>
  <c r="K2747" i="9" s="1"/>
  <c r="F2747" i="9"/>
  <c r="G2747" i="9"/>
  <c r="L2747" i="9"/>
  <c r="H2747" i="9"/>
  <c r="M2747" i="9"/>
  <c r="D2712" i="9"/>
  <c r="E2712" i="9"/>
  <c r="F2712" i="9"/>
  <c r="J2712" i="9"/>
  <c r="K2712" i="9" s="1"/>
  <c r="L2712" i="9"/>
  <c r="M2712" i="9"/>
  <c r="D2651" i="9"/>
  <c r="L2651" i="9"/>
  <c r="M2651" i="9"/>
  <c r="C2569" i="9"/>
  <c r="B2569" i="9"/>
  <c r="E2417" i="9"/>
  <c r="F2417" i="9"/>
  <c r="G2417" i="9"/>
  <c r="L2417" i="9"/>
  <c r="M2417" i="9"/>
  <c r="I2301" i="9"/>
  <c r="F2301" i="9"/>
  <c r="G2301" i="9"/>
  <c r="H2301" i="9"/>
  <c r="E2301" i="9"/>
  <c r="J2301" i="9"/>
  <c r="K2301" i="9" s="1"/>
  <c r="L2301" i="9"/>
  <c r="C2301" i="9"/>
  <c r="D2301" i="9"/>
  <c r="M2301" i="9"/>
  <c r="C2283" i="9"/>
  <c r="J2283" i="9"/>
  <c r="K2283" i="9" s="1"/>
  <c r="L2283" i="9"/>
  <c r="B2283" i="9"/>
  <c r="D2283" i="9"/>
  <c r="E2283" i="9"/>
  <c r="F2283" i="9"/>
  <c r="G2283" i="9"/>
  <c r="H2283" i="9"/>
  <c r="M2283" i="9"/>
  <c r="I2121" i="9"/>
  <c r="J2121" i="9"/>
  <c r="K2121" i="9" s="1"/>
  <c r="E2121" i="9"/>
  <c r="F2121" i="9"/>
  <c r="G2121" i="9"/>
  <c r="C2121" i="9"/>
  <c r="D2121" i="9"/>
  <c r="H2121" i="9"/>
  <c r="L2121" i="9"/>
  <c r="M2121" i="9"/>
  <c r="M1941" i="9"/>
  <c r="D1941" i="9"/>
  <c r="G1941" i="9"/>
  <c r="H1941" i="9"/>
  <c r="I1941" i="9"/>
  <c r="G1913" i="9"/>
  <c r="H1913" i="9"/>
  <c r="I1913" i="9"/>
  <c r="J1913" i="9"/>
  <c r="K1913" i="9" s="1"/>
  <c r="L1913" i="9"/>
  <c r="M1913" i="9"/>
  <c r="G948" i="9"/>
  <c r="H948" i="9"/>
  <c r="F948" i="9"/>
  <c r="L948" i="9"/>
  <c r="M948" i="9"/>
  <c r="C948" i="9"/>
  <c r="B948" i="9"/>
  <c r="B422" i="9"/>
  <c r="C422" i="9"/>
  <c r="D422" i="9"/>
  <c r="E422" i="9"/>
  <c r="I422" i="9"/>
  <c r="M422" i="9"/>
  <c r="J422" i="9"/>
  <c r="K422" i="9" s="1"/>
  <c r="L422" i="9"/>
  <c r="H422" i="9"/>
  <c r="F422" i="9"/>
  <c r="G422" i="9"/>
  <c r="B2725" i="9"/>
  <c r="E2725" i="9"/>
  <c r="F2725" i="9"/>
  <c r="G2725" i="9"/>
  <c r="H2725" i="9"/>
  <c r="I2725" i="9"/>
  <c r="J2725" i="9"/>
  <c r="K2725" i="9" s="1"/>
  <c r="L2725" i="9"/>
  <c r="G2255" i="9"/>
  <c r="D2255" i="9"/>
  <c r="I2255" i="9"/>
  <c r="J2255" i="9"/>
  <c r="K2255" i="9" s="1"/>
  <c r="L2255" i="9"/>
  <c r="M2255" i="9"/>
  <c r="D1934" i="9"/>
  <c r="E1934" i="9"/>
  <c r="G1934" i="9"/>
  <c r="B1934" i="9"/>
  <c r="C1934" i="9"/>
  <c r="F1934" i="9"/>
  <c r="H1934" i="9"/>
  <c r="I1934" i="9"/>
  <c r="J1934" i="9"/>
  <c r="K1934" i="9" s="1"/>
  <c r="M1934" i="9"/>
  <c r="F1024" i="9"/>
  <c r="G1024" i="9"/>
  <c r="L1024" i="9"/>
  <c r="M1024" i="9"/>
  <c r="H1024" i="9"/>
  <c r="I1024" i="9"/>
  <c r="J1024" i="9"/>
  <c r="K1024" i="9" s="1"/>
  <c r="E1024" i="9"/>
  <c r="J2957" i="9"/>
  <c r="K2957" i="9" s="1"/>
  <c r="L2957" i="9"/>
  <c r="F2838" i="9"/>
  <c r="G2838" i="9"/>
  <c r="D2838" i="9"/>
  <c r="F2533" i="9"/>
  <c r="B2533" i="9"/>
  <c r="C2533" i="9"/>
  <c r="D2533" i="9"/>
  <c r="J2533" i="9"/>
  <c r="K2533" i="9" s="1"/>
  <c r="L2533" i="9"/>
  <c r="M2533" i="9"/>
  <c r="B2403" i="9"/>
  <c r="C2403" i="9"/>
  <c r="D2403" i="9"/>
  <c r="I2403" i="9"/>
  <c r="H2403" i="9"/>
  <c r="J2403" i="9"/>
  <c r="K2403" i="9" s="1"/>
  <c r="L2403" i="9"/>
  <c r="M2403" i="9"/>
  <c r="M2374" i="9"/>
  <c r="B2374" i="9"/>
  <c r="C2374" i="9"/>
  <c r="D2374" i="9"/>
  <c r="I2374" i="9"/>
  <c r="L2374" i="9"/>
  <c r="D2026" i="9"/>
  <c r="E2026" i="9"/>
  <c r="F2026" i="9"/>
  <c r="G2026" i="9"/>
  <c r="H2026" i="9"/>
  <c r="I2026" i="9"/>
  <c r="J2026" i="9"/>
  <c r="K2026" i="9" s="1"/>
  <c r="L2026" i="9"/>
  <c r="M2026" i="9"/>
  <c r="B2026" i="9"/>
  <c r="C1851" i="9"/>
  <c r="D1851" i="9"/>
  <c r="E1851" i="9"/>
  <c r="J1851" i="9"/>
  <c r="K1851" i="9" s="1"/>
  <c r="L1851" i="9"/>
  <c r="M1851" i="9"/>
  <c r="C2949" i="9"/>
  <c r="I2949" i="9"/>
  <c r="J2949" i="9"/>
  <c r="K2949" i="9" s="1"/>
  <c r="E2915" i="9"/>
  <c r="L2915" i="9"/>
  <c r="M2915" i="9"/>
  <c r="C2829" i="9"/>
  <c r="D2829" i="9"/>
  <c r="J2829" i="9"/>
  <c r="K2829" i="9" s="1"/>
  <c r="F2829" i="9"/>
  <c r="G2821" i="9"/>
  <c r="H2821" i="9"/>
  <c r="L2821" i="9"/>
  <c r="M2821" i="9"/>
  <c r="H2684" i="9"/>
  <c r="I2684" i="9"/>
  <c r="J2684" i="9"/>
  <c r="K2684" i="9" s="1"/>
  <c r="L2684" i="9"/>
  <c r="M2684" i="9"/>
  <c r="L2653" i="9"/>
  <c r="M2653" i="9"/>
  <c r="I2653" i="9"/>
  <c r="J2653" i="9"/>
  <c r="K2653" i="9" s="1"/>
  <c r="B2320" i="9"/>
  <c r="L2320" i="9"/>
  <c r="M2320" i="9"/>
  <c r="D2320" i="9"/>
  <c r="E2320" i="9"/>
  <c r="F2320" i="9"/>
  <c r="C2320" i="9"/>
  <c r="G2320" i="9"/>
  <c r="H2320" i="9"/>
  <c r="I2320" i="9"/>
  <c r="J2320" i="9"/>
  <c r="K2320" i="9" s="1"/>
  <c r="B2280" i="9"/>
  <c r="G2280" i="9"/>
  <c r="H2280" i="9"/>
  <c r="I2280" i="9"/>
  <c r="C2280" i="9"/>
  <c r="D2280" i="9"/>
  <c r="E2280" i="9"/>
  <c r="F2280" i="9"/>
  <c r="J2280" i="9"/>
  <c r="K2280" i="9" s="1"/>
  <c r="M2280" i="9"/>
  <c r="B1847" i="9"/>
  <c r="L1847" i="9"/>
  <c r="M1847" i="9"/>
  <c r="C1847" i="9"/>
  <c r="D1847" i="9"/>
  <c r="E1847" i="9"/>
  <c r="F1847" i="9"/>
  <c r="G1847" i="9"/>
  <c r="H1847" i="9"/>
  <c r="J1847" i="9"/>
  <c r="K1847" i="9" s="1"/>
  <c r="L1697" i="9"/>
  <c r="E1697" i="9"/>
  <c r="F1697" i="9"/>
  <c r="G1697" i="9"/>
  <c r="M1697" i="9"/>
  <c r="H1697" i="9"/>
  <c r="I1697" i="9"/>
  <c r="J1697" i="9"/>
  <c r="K1697" i="9" s="1"/>
  <c r="D1697" i="9"/>
  <c r="B1697" i="9"/>
  <c r="C1697" i="9"/>
  <c r="M2899" i="9"/>
  <c r="I2899" i="9"/>
  <c r="J2899" i="9"/>
  <c r="K2899" i="9" s="1"/>
  <c r="L2899" i="9"/>
  <c r="H2854" i="9"/>
  <c r="I2854" i="9"/>
  <c r="J2854" i="9"/>
  <c r="K2854" i="9" s="1"/>
  <c r="F2817" i="9"/>
  <c r="D2817" i="9"/>
  <c r="C2608" i="9"/>
  <c r="B2608" i="9"/>
  <c r="M2265" i="9"/>
  <c r="C2265" i="9"/>
  <c r="D2265" i="9"/>
  <c r="E2265" i="9"/>
  <c r="F2265" i="9"/>
  <c r="G2265" i="9"/>
  <c r="H2265" i="9"/>
  <c r="J2265" i="9"/>
  <c r="K2265" i="9" s="1"/>
  <c r="I2265" i="9"/>
  <c r="L2265" i="9"/>
  <c r="E2009" i="9"/>
  <c r="F2009" i="9"/>
  <c r="G2009" i="9"/>
  <c r="L2009" i="9"/>
  <c r="B2009" i="9"/>
  <c r="H2009" i="9"/>
  <c r="I2009" i="9"/>
  <c r="J2009" i="9"/>
  <c r="K2009" i="9" s="1"/>
  <c r="M2009" i="9"/>
  <c r="E1718" i="9"/>
  <c r="F1718" i="9"/>
  <c r="G1718" i="9"/>
  <c r="L1718" i="9"/>
  <c r="J1718" i="9"/>
  <c r="K1718" i="9" s="1"/>
  <c r="M1718" i="9"/>
  <c r="B1718" i="9"/>
  <c r="D1718" i="9"/>
  <c r="H1718" i="9"/>
  <c r="I1718" i="9"/>
  <c r="F308" i="9"/>
  <c r="B308" i="9"/>
  <c r="C308" i="9"/>
  <c r="D308" i="9"/>
  <c r="E308" i="9"/>
  <c r="I308" i="9"/>
  <c r="J308" i="9"/>
  <c r="K308" i="9" s="1"/>
  <c r="L308" i="9"/>
  <c r="M308" i="9"/>
  <c r="G308" i="9"/>
  <c r="H308" i="9"/>
  <c r="L3000" i="9"/>
  <c r="E2980" i="9"/>
  <c r="F2980" i="9"/>
  <c r="G2980" i="9"/>
  <c r="L2980" i="9"/>
  <c r="F2978" i="9"/>
  <c r="J2978" i="9"/>
  <c r="K2978" i="9" s="1"/>
  <c r="L2978" i="9"/>
  <c r="L2950" i="9"/>
  <c r="L2939" i="9"/>
  <c r="M2937" i="9"/>
  <c r="L2936" i="9"/>
  <c r="J2936" i="9"/>
  <c r="K2936" i="9" s="1"/>
  <c r="M2936" i="9"/>
  <c r="J2930" i="9"/>
  <c r="K2930" i="9" s="1"/>
  <c r="D2930" i="9"/>
  <c r="E2930" i="9"/>
  <c r="F2930" i="9"/>
  <c r="L2930" i="9"/>
  <c r="L2918" i="9"/>
  <c r="M2900" i="9"/>
  <c r="C2893" i="9"/>
  <c r="D2893" i="9"/>
  <c r="E2893" i="9"/>
  <c r="F2893" i="9"/>
  <c r="J2893" i="9"/>
  <c r="K2893" i="9" s="1"/>
  <c r="H2891" i="9"/>
  <c r="I2891" i="9"/>
  <c r="J2891" i="9"/>
  <c r="K2891" i="9" s="1"/>
  <c r="G2881" i="9"/>
  <c r="H2881" i="9"/>
  <c r="I2881" i="9"/>
  <c r="L2881" i="9"/>
  <c r="J2881" i="9"/>
  <c r="K2881" i="9" s="1"/>
  <c r="J2874" i="9"/>
  <c r="K2874" i="9" s="1"/>
  <c r="H2864" i="9"/>
  <c r="I2864" i="9"/>
  <c r="G2864" i="9"/>
  <c r="L2864" i="9"/>
  <c r="J2864" i="9"/>
  <c r="K2864" i="9" s="1"/>
  <c r="L2856" i="9"/>
  <c r="M2856" i="9"/>
  <c r="D2856" i="9"/>
  <c r="G2856" i="9"/>
  <c r="E2856" i="9"/>
  <c r="F2856" i="9"/>
  <c r="C2808" i="9"/>
  <c r="D2808" i="9"/>
  <c r="F2798" i="9"/>
  <c r="G2798" i="9"/>
  <c r="M2798" i="9"/>
  <c r="C2789" i="9"/>
  <c r="D2789" i="9"/>
  <c r="J2789" i="9"/>
  <c r="K2789" i="9" s="1"/>
  <c r="M2759" i="9"/>
  <c r="C2759" i="9"/>
  <c r="M2748" i="9"/>
  <c r="G2721" i="9"/>
  <c r="H2721" i="9"/>
  <c r="I2721" i="9"/>
  <c r="M2721" i="9"/>
  <c r="E2714" i="9"/>
  <c r="I2714" i="9"/>
  <c r="J2714" i="9"/>
  <c r="K2714" i="9" s="1"/>
  <c r="L2714" i="9"/>
  <c r="M2714" i="9"/>
  <c r="C2701" i="9"/>
  <c r="C2689" i="9"/>
  <c r="D2689" i="9"/>
  <c r="E2689" i="9"/>
  <c r="J2689" i="9"/>
  <c r="K2689" i="9" s="1"/>
  <c r="B2689" i="9"/>
  <c r="B2686" i="9"/>
  <c r="C2686" i="9"/>
  <c r="D2686" i="9"/>
  <c r="I2686" i="9"/>
  <c r="J2686" i="9"/>
  <c r="K2686" i="9" s="1"/>
  <c r="L2686" i="9"/>
  <c r="M2686" i="9"/>
  <c r="E2635" i="9"/>
  <c r="F2635" i="9"/>
  <c r="G2635" i="9"/>
  <c r="L2635" i="9"/>
  <c r="D2635" i="9"/>
  <c r="H2635" i="9"/>
  <c r="I2635" i="9"/>
  <c r="J2635" i="9"/>
  <c r="K2635" i="9" s="1"/>
  <c r="M2635" i="9"/>
  <c r="C2627" i="9"/>
  <c r="C2601" i="9"/>
  <c r="D2571" i="9"/>
  <c r="C2556" i="9"/>
  <c r="M2554" i="9"/>
  <c r="B2554" i="9"/>
  <c r="C2554" i="9"/>
  <c r="D2554" i="9"/>
  <c r="I2554" i="9"/>
  <c r="C2552" i="9"/>
  <c r="F2523" i="9"/>
  <c r="G2523" i="9"/>
  <c r="H2523" i="9"/>
  <c r="M2523" i="9"/>
  <c r="C2516" i="9"/>
  <c r="M2508" i="9"/>
  <c r="F2508" i="9"/>
  <c r="G2508" i="9"/>
  <c r="H2508" i="9"/>
  <c r="D2508" i="9"/>
  <c r="E2508" i="9"/>
  <c r="I2508" i="9"/>
  <c r="J2508" i="9"/>
  <c r="K2508" i="9" s="1"/>
  <c r="L2508" i="9"/>
  <c r="D2502" i="9"/>
  <c r="C2496" i="9"/>
  <c r="C2482" i="9"/>
  <c r="L2451" i="9"/>
  <c r="B2451" i="9"/>
  <c r="C2451" i="9"/>
  <c r="D2451" i="9"/>
  <c r="I2451" i="9"/>
  <c r="H2451" i="9"/>
  <c r="J2451" i="9"/>
  <c r="K2451" i="9" s="1"/>
  <c r="M2451" i="9"/>
  <c r="B2380" i="9"/>
  <c r="M2380" i="9"/>
  <c r="I2380" i="9"/>
  <c r="J2380" i="9"/>
  <c r="K2380" i="9" s="1"/>
  <c r="L2380" i="9"/>
  <c r="B2360" i="9"/>
  <c r="J2360" i="9"/>
  <c r="K2360" i="9" s="1"/>
  <c r="L2360" i="9"/>
  <c r="J2310" i="9"/>
  <c r="K2310" i="9" s="1"/>
  <c r="D2305" i="9"/>
  <c r="B2305" i="9"/>
  <c r="C2305" i="9"/>
  <c r="E2305" i="9"/>
  <c r="F2305" i="9"/>
  <c r="J2305" i="9"/>
  <c r="K2305" i="9" s="1"/>
  <c r="L2305" i="9"/>
  <c r="M2305" i="9"/>
  <c r="B2200" i="9"/>
  <c r="C2200" i="9"/>
  <c r="D2200" i="9"/>
  <c r="I2200" i="9"/>
  <c r="E2200" i="9"/>
  <c r="F2200" i="9"/>
  <c r="G2200" i="9"/>
  <c r="H2200" i="9"/>
  <c r="J2200" i="9"/>
  <c r="K2200" i="9" s="1"/>
  <c r="M2200" i="9"/>
  <c r="M2193" i="9"/>
  <c r="L2193" i="9"/>
  <c r="F2193" i="9"/>
  <c r="G2193" i="9"/>
  <c r="H2193" i="9"/>
  <c r="I2193" i="9"/>
  <c r="J2193" i="9"/>
  <c r="K2193" i="9" s="1"/>
  <c r="D2193" i="9"/>
  <c r="E2193" i="9"/>
  <c r="C2188" i="9"/>
  <c r="G2135" i="9"/>
  <c r="H2135" i="9"/>
  <c r="I2135" i="9"/>
  <c r="D2135" i="9"/>
  <c r="F2135" i="9"/>
  <c r="J2135" i="9"/>
  <c r="K2135" i="9" s="1"/>
  <c r="L2135" i="9"/>
  <c r="M2135" i="9"/>
  <c r="M2024" i="9"/>
  <c r="F1973" i="9"/>
  <c r="F1966" i="9"/>
  <c r="M1921" i="9"/>
  <c r="L1921" i="9"/>
  <c r="H1921" i="9"/>
  <c r="I1921" i="9"/>
  <c r="J1921" i="9"/>
  <c r="K1921" i="9" s="1"/>
  <c r="C1900" i="9"/>
  <c r="E1897" i="9"/>
  <c r="F1897" i="9"/>
  <c r="G1897" i="9"/>
  <c r="B1897" i="9"/>
  <c r="C1897" i="9"/>
  <c r="D1897" i="9"/>
  <c r="H1897" i="9"/>
  <c r="I1897" i="9"/>
  <c r="J1897" i="9"/>
  <c r="K1897" i="9" s="1"/>
  <c r="L1897" i="9"/>
  <c r="C1869" i="9"/>
  <c r="D1863" i="9"/>
  <c r="D1672" i="9"/>
  <c r="H1672" i="9"/>
  <c r="I1672" i="9"/>
  <c r="J1672" i="9"/>
  <c r="K1672" i="9" s="1"/>
  <c r="B1672" i="9"/>
  <c r="C1672" i="9"/>
  <c r="E1672" i="9"/>
  <c r="F1672" i="9"/>
  <c r="G1672" i="9"/>
  <c r="M1672" i="9"/>
  <c r="L1672" i="9"/>
  <c r="H1659" i="9"/>
  <c r="H1625" i="9"/>
  <c r="I1625" i="9"/>
  <c r="J1625" i="9"/>
  <c r="K1625" i="9" s="1"/>
  <c r="F1625" i="9"/>
  <c r="G1625" i="9"/>
  <c r="B1625" i="9"/>
  <c r="C1625" i="9"/>
  <c r="D1625" i="9"/>
  <c r="E1625" i="9"/>
  <c r="L1625" i="9"/>
  <c r="M1625" i="9"/>
  <c r="H1180" i="9"/>
  <c r="I1180" i="9"/>
  <c r="M1180" i="9"/>
  <c r="L1180" i="9"/>
  <c r="D1180" i="9"/>
  <c r="F1180" i="9"/>
  <c r="G1180" i="9"/>
  <c r="J1180" i="9"/>
  <c r="K1180" i="9" s="1"/>
  <c r="C1180" i="9"/>
  <c r="E1180" i="9"/>
  <c r="G1077" i="9"/>
  <c r="H1077" i="9"/>
  <c r="I1077" i="9"/>
  <c r="B1077" i="9"/>
  <c r="C1077" i="9"/>
  <c r="D1077" i="9"/>
  <c r="L1077" i="9"/>
  <c r="J1077" i="9"/>
  <c r="K1077" i="9" s="1"/>
  <c r="M1077" i="9"/>
  <c r="F1077" i="9"/>
  <c r="L474" i="9"/>
  <c r="D474" i="9"/>
  <c r="I474" i="9"/>
  <c r="J474" i="9"/>
  <c r="K474" i="9" s="1"/>
  <c r="M474" i="9"/>
  <c r="H474" i="9"/>
  <c r="F474" i="9"/>
  <c r="B474" i="9"/>
  <c r="C474" i="9"/>
  <c r="E474" i="9"/>
  <c r="G474" i="9"/>
  <c r="L2981" i="9"/>
  <c r="L2979" i="9"/>
  <c r="D2972" i="9"/>
  <c r="C2972" i="9"/>
  <c r="E2972" i="9"/>
  <c r="F2972" i="9"/>
  <c r="E2968" i="9"/>
  <c r="J2952" i="9"/>
  <c r="K2952" i="9" s="1"/>
  <c r="C2947" i="9"/>
  <c r="C2945" i="9"/>
  <c r="L2937" i="9"/>
  <c r="M2933" i="9"/>
  <c r="M2929" i="9"/>
  <c r="I2928" i="9"/>
  <c r="J2928" i="9"/>
  <c r="K2928" i="9" s="1"/>
  <c r="F2926" i="9"/>
  <c r="H2908" i="9"/>
  <c r="L2900" i="9"/>
  <c r="M2892" i="9"/>
  <c r="C2889" i="9"/>
  <c r="D2889" i="9"/>
  <c r="M2889" i="9"/>
  <c r="B2877" i="9"/>
  <c r="I2874" i="9"/>
  <c r="B2866" i="9"/>
  <c r="C2866" i="9"/>
  <c r="E2866" i="9"/>
  <c r="H2866" i="9"/>
  <c r="F2866" i="9"/>
  <c r="G2866" i="9"/>
  <c r="L2866" i="9"/>
  <c r="E2862" i="9"/>
  <c r="M2855" i="9"/>
  <c r="G2845" i="9"/>
  <c r="M2801" i="9"/>
  <c r="L2793" i="9"/>
  <c r="H2793" i="9"/>
  <c r="M2793" i="9"/>
  <c r="I2793" i="9"/>
  <c r="J2793" i="9"/>
  <c r="K2793" i="9" s="1"/>
  <c r="L2748" i="9"/>
  <c r="E2671" i="9"/>
  <c r="C2668" i="9"/>
  <c r="E2668" i="9"/>
  <c r="F2668" i="9"/>
  <c r="G2668" i="9"/>
  <c r="H2668" i="9"/>
  <c r="I2668" i="9"/>
  <c r="J2668" i="9"/>
  <c r="K2668" i="9" s="1"/>
  <c r="L2668" i="9"/>
  <c r="L2645" i="9"/>
  <c r="L2613" i="9"/>
  <c r="M2613" i="9"/>
  <c r="C2613" i="9"/>
  <c r="D2613" i="9"/>
  <c r="E2613" i="9"/>
  <c r="F2613" i="9"/>
  <c r="G2613" i="9"/>
  <c r="H2613" i="9"/>
  <c r="J2613" i="9"/>
  <c r="K2613" i="9" s="1"/>
  <c r="B2585" i="9"/>
  <c r="D2585" i="9"/>
  <c r="E2585" i="9"/>
  <c r="F2585" i="9"/>
  <c r="G2585" i="9"/>
  <c r="H2585" i="9"/>
  <c r="I2585" i="9"/>
  <c r="B2575" i="9"/>
  <c r="C2575" i="9"/>
  <c r="D2575" i="9"/>
  <c r="I2575" i="9"/>
  <c r="F2573" i="9"/>
  <c r="G2573" i="9"/>
  <c r="H2573" i="9"/>
  <c r="I2573" i="9"/>
  <c r="G2560" i="9"/>
  <c r="H2560" i="9"/>
  <c r="I2560" i="9"/>
  <c r="J2560" i="9"/>
  <c r="K2560" i="9" s="1"/>
  <c r="L2560" i="9"/>
  <c r="M2560" i="9"/>
  <c r="D2548" i="9"/>
  <c r="M2522" i="9"/>
  <c r="D2494" i="9"/>
  <c r="H2479" i="9"/>
  <c r="J2479" i="9"/>
  <c r="K2479" i="9" s="1"/>
  <c r="I2479" i="9"/>
  <c r="L2479" i="9"/>
  <c r="B2479" i="9"/>
  <c r="D2445" i="9"/>
  <c r="D2423" i="9"/>
  <c r="D2400" i="9"/>
  <c r="F2356" i="9"/>
  <c r="D2347" i="9"/>
  <c r="E2347" i="9"/>
  <c r="F2347" i="9"/>
  <c r="H2347" i="9"/>
  <c r="I2347" i="9"/>
  <c r="J2347" i="9"/>
  <c r="K2347" i="9" s="1"/>
  <c r="L2347" i="9"/>
  <c r="M2347" i="9"/>
  <c r="I2342" i="9"/>
  <c r="J2342" i="9"/>
  <c r="K2342" i="9" s="1"/>
  <c r="E2342" i="9"/>
  <c r="F2342" i="9"/>
  <c r="G2342" i="9"/>
  <c r="M2342" i="9"/>
  <c r="M2334" i="9"/>
  <c r="C2334" i="9"/>
  <c r="H2300" i="9"/>
  <c r="F2222" i="9"/>
  <c r="D2184" i="9"/>
  <c r="G2163" i="9"/>
  <c r="L2130" i="9"/>
  <c r="M2130" i="9"/>
  <c r="F2130" i="9"/>
  <c r="G2130" i="9"/>
  <c r="H2130" i="9"/>
  <c r="I2130" i="9"/>
  <c r="J2130" i="9"/>
  <c r="K2130" i="9" s="1"/>
  <c r="H2069" i="9"/>
  <c r="L2067" i="9"/>
  <c r="M2067" i="9"/>
  <c r="J2067" i="9"/>
  <c r="K2067" i="9" s="1"/>
  <c r="B2067" i="9"/>
  <c r="H2067" i="9"/>
  <c r="I2067" i="9"/>
  <c r="L1968" i="9"/>
  <c r="M1929" i="9"/>
  <c r="G1923" i="9"/>
  <c r="H1923" i="9"/>
  <c r="J1923" i="9"/>
  <c r="K1923" i="9" s="1"/>
  <c r="L1923" i="9"/>
  <c r="F1923" i="9"/>
  <c r="I1923" i="9"/>
  <c r="M1923" i="9"/>
  <c r="E1923" i="9"/>
  <c r="C1378" i="9"/>
  <c r="E1304" i="9"/>
  <c r="D1304" i="9"/>
  <c r="C2993" i="9"/>
  <c r="D2993" i="9"/>
  <c r="E2993" i="9"/>
  <c r="J2993" i="9"/>
  <c r="K2993" i="9" s="1"/>
  <c r="J2970" i="9"/>
  <c r="K2970" i="9" s="1"/>
  <c r="H2970" i="9"/>
  <c r="I2970" i="9"/>
  <c r="I2952" i="9"/>
  <c r="L2933" i="9"/>
  <c r="I3000" i="9"/>
  <c r="M2992" i="9"/>
  <c r="H2991" i="9"/>
  <c r="I2991" i="9"/>
  <c r="J2991" i="9"/>
  <c r="K2991" i="9" s="1"/>
  <c r="B2985" i="9"/>
  <c r="C2985" i="9"/>
  <c r="D2985" i="9"/>
  <c r="I2985" i="9"/>
  <c r="J2979" i="9"/>
  <c r="K2979" i="9" s="1"/>
  <c r="L2975" i="9"/>
  <c r="L2971" i="9"/>
  <c r="H2952" i="9"/>
  <c r="H2950" i="9"/>
  <c r="I2939" i="9"/>
  <c r="J2937" i="9"/>
  <c r="K2937" i="9" s="1"/>
  <c r="J2933" i="9"/>
  <c r="K2933" i="9" s="1"/>
  <c r="J2931" i="9"/>
  <c r="K2931" i="9" s="1"/>
  <c r="I2918" i="9"/>
  <c r="J2902" i="9"/>
  <c r="K2902" i="9" s="1"/>
  <c r="J2900" i="9"/>
  <c r="K2900" i="9" s="1"/>
  <c r="L2882" i="9"/>
  <c r="G2874" i="9"/>
  <c r="L2865" i="9"/>
  <c r="L2857" i="9"/>
  <c r="M2830" i="9"/>
  <c r="H2824" i="9"/>
  <c r="I2824" i="9"/>
  <c r="E2795" i="9"/>
  <c r="F2795" i="9"/>
  <c r="L2795" i="9"/>
  <c r="G2795" i="9"/>
  <c r="H2795" i="9"/>
  <c r="J2795" i="9"/>
  <c r="K2795" i="9" s="1"/>
  <c r="I2795" i="9"/>
  <c r="M2785" i="9"/>
  <c r="J2777" i="9"/>
  <c r="K2777" i="9" s="1"/>
  <c r="C2768" i="9"/>
  <c r="L2768" i="9"/>
  <c r="M2768" i="9"/>
  <c r="J2748" i="9"/>
  <c r="K2748" i="9" s="1"/>
  <c r="B2746" i="9"/>
  <c r="C2746" i="9"/>
  <c r="D2746" i="9"/>
  <c r="I2746" i="9"/>
  <c r="E2746" i="9"/>
  <c r="D2732" i="9"/>
  <c r="E2732" i="9"/>
  <c r="F2732" i="9"/>
  <c r="M2726" i="9"/>
  <c r="G2679" i="9"/>
  <c r="L2673" i="9"/>
  <c r="M2673" i="9"/>
  <c r="L2658" i="9"/>
  <c r="J2645" i="9"/>
  <c r="K2645" i="9" s="1"/>
  <c r="G2621" i="9"/>
  <c r="H2621" i="9"/>
  <c r="I2621" i="9"/>
  <c r="B2621" i="9"/>
  <c r="L2612" i="9"/>
  <c r="I2607" i="9"/>
  <c r="J2607" i="9"/>
  <c r="K2607" i="9" s="1"/>
  <c r="E2607" i="9"/>
  <c r="F2607" i="9"/>
  <c r="G2607" i="9"/>
  <c r="H2607" i="9"/>
  <c r="L2607" i="9"/>
  <c r="M2607" i="9"/>
  <c r="L2584" i="9"/>
  <c r="I2562" i="9"/>
  <c r="B2562" i="9"/>
  <c r="C2562" i="9"/>
  <c r="D2562" i="9"/>
  <c r="J2562" i="9"/>
  <c r="K2562" i="9" s="1"/>
  <c r="H2562" i="9"/>
  <c r="L2562" i="9"/>
  <c r="M2562" i="9"/>
  <c r="E2550" i="9"/>
  <c r="L2550" i="9"/>
  <c r="M2550" i="9"/>
  <c r="H2537" i="9"/>
  <c r="M2515" i="9"/>
  <c r="M2501" i="9"/>
  <c r="L2486" i="9"/>
  <c r="F2453" i="9"/>
  <c r="H2453" i="9"/>
  <c r="D2453" i="9"/>
  <c r="E2453" i="9"/>
  <c r="G2453" i="9"/>
  <c r="I2453" i="9"/>
  <c r="J2453" i="9"/>
  <c r="K2453" i="9" s="1"/>
  <c r="L2453" i="9"/>
  <c r="M2448" i="9"/>
  <c r="D2448" i="9"/>
  <c r="B2448" i="9"/>
  <c r="H2437" i="9"/>
  <c r="I2437" i="9"/>
  <c r="J2437" i="9"/>
  <c r="K2437" i="9" s="1"/>
  <c r="D2437" i="9"/>
  <c r="E2437" i="9"/>
  <c r="F2437" i="9"/>
  <c r="G2437" i="9"/>
  <c r="L2437" i="9"/>
  <c r="H2386" i="9"/>
  <c r="L2368" i="9"/>
  <c r="M2368" i="9"/>
  <c r="F2368" i="9"/>
  <c r="G2368" i="9"/>
  <c r="H2368" i="9"/>
  <c r="C2368" i="9"/>
  <c r="D2368" i="9"/>
  <c r="E2368" i="9"/>
  <c r="I2368" i="9"/>
  <c r="J2368" i="9"/>
  <c r="K2368" i="9" s="1"/>
  <c r="I2362" i="9"/>
  <c r="J2362" i="9"/>
  <c r="K2362" i="9" s="1"/>
  <c r="H2362" i="9"/>
  <c r="L2362" i="9"/>
  <c r="M2362" i="9"/>
  <c r="I2181" i="9"/>
  <c r="J2181" i="9"/>
  <c r="K2181" i="9" s="1"/>
  <c r="E2181" i="9"/>
  <c r="B2139" i="9"/>
  <c r="L2139" i="9"/>
  <c r="M2139" i="9"/>
  <c r="J2139" i="9"/>
  <c r="K2139" i="9" s="1"/>
  <c r="D2139" i="9"/>
  <c r="E2139" i="9"/>
  <c r="F2139" i="9"/>
  <c r="G2139" i="9"/>
  <c r="H2139" i="9"/>
  <c r="I2139" i="9"/>
  <c r="H2078" i="9"/>
  <c r="I2078" i="9"/>
  <c r="J2078" i="9"/>
  <c r="K2078" i="9" s="1"/>
  <c r="G2078" i="9"/>
  <c r="L2078" i="9"/>
  <c r="D2078" i="9"/>
  <c r="E2078" i="9"/>
  <c r="F2078" i="9"/>
  <c r="M2078" i="9"/>
  <c r="I2061" i="9"/>
  <c r="J2061" i="9"/>
  <c r="K2061" i="9" s="1"/>
  <c r="B2061" i="9"/>
  <c r="C2061" i="9"/>
  <c r="D2061" i="9"/>
  <c r="E2061" i="9"/>
  <c r="F2061" i="9"/>
  <c r="G2061" i="9"/>
  <c r="L2061" i="9"/>
  <c r="I2021" i="9"/>
  <c r="J2021" i="9"/>
  <c r="K2021" i="9" s="1"/>
  <c r="D2021" i="9"/>
  <c r="E2021" i="9"/>
  <c r="F2021" i="9"/>
  <c r="L2021" i="9"/>
  <c r="M2021" i="9"/>
  <c r="B1827" i="9"/>
  <c r="H1827" i="9"/>
  <c r="I1827" i="9"/>
  <c r="J1827" i="9"/>
  <c r="K1827" i="9" s="1"/>
  <c r="L1827" i="9"/>
  <c r="D1827" i="9"/>
  <c r="E1827" i="9"/>
  <c r="F1827" i="9"/>
  <c r="G1827" i="9"/>
  <c r="M1827" i="9"/>
  <c r="C1827" i="9"/>
  <c r="G1702" i="9"/>
  <c r="C1702" i="9"/>
  <c r="D1702" i="9"/>
  <c r="E1702" i="9"/>
  <c r="F1702" i="9"/>
  <c r="H1702" i="9"/>
  <c r="I1702" i="9"/>
  <c r="J1702" i="9"/>
  <c r="K1702" i="9" s="1"/>
  <c r="L1702" i="9"/>
  <c r="M1702" i="9"/>
  <c r="D1378" i="9"/>
  <c r="E1378" i="9"/>
  <c r="F1378" i="9"/>
  <c r="M1378" i="9"/>
  <c r="L1378" i="9"/>
  <c r="H1378" i="9"/>
  <c r="I1378" i="9"/>
  <c r="J1378" i="9"/>
  <c r="K1378" i="9" s="1"/>
  <c r="I1333" i="9"/>
  <c r="J1333" i="9"/>
  <c r="K1333" i="9" s="1"/>
  <c r="L1333" i="9"/>
  <c r="M1333" i="9"/>
  <c r="H1333" i="9"/>
  <c r="C1333" i="9"/>
  <c r="D1333" i="9"/>
  <c r="E1333" i="9"/>
  <c r="F1333" i="9"/>
  <c r="G1333" i="9"/>
  <c r="C1304" i="9"/>
  <c r="J2939" i="9"/>
  <c r="K2939" i="9" s="1"/>
  <c r="I2979" i="9"/>
  <c r="G2950" i="9"/>
  <c r="J2944" i="9"/>
  <c r="K2944" i="9" s="1"/>
  <c r="H2939" i="9"/>
  <c r="I2937" i="9"/>
  <c r="F2933" i="9"/>
  <c r="H2918" i="9"/>
  <c r="I2900" i="9"/>
  <c r="J2894" i="9"/>
  <c r="K2894" i="9" s="1"/>
  <c r="M2879" i="9"/>
  <c r="L2879" i="9"/>
  <c r="F2876" i="9"/>
  <c r="F2874" i="9"/>
  <c r="J2870" i="9"/>
  <c r="K2870" i="9" s="1"/>
  <c r="D2870" i="9"/>
  <c r="J2855" i="9"/>
  <c r="K2855" i="9" s="1"/>
  <c r="F2830" i="9"/>
  <c r="E2814" i="9"/>
  <c r="L2814" i="9"/>
  <c r="M2814" i="9"/>
  <c r="M2809" i="9"/>
  <c r="B2805" i="9"/>
  <c r="J2805" i="9"/>
  <c r="K2805" i="9" s="1"/>
  <c r="M2805" i="9"/>
  <c r="L2805" i="9"/>
  <c r="J2801" i="9"/>
  <c r="K2801" i="9" s="1"/>
  <c r="L2799" i="9"/>
  <c r="L2785" i="9"/>
  <c r="H2779" i="9"/>
  <c r="B2766" i="9"/>
  <c r="C2766" i="9"/>
  <c r="I2766" i="9"/>
  <c r="L2756" i="9"/>
  <c r="M2756" i="9"/>
  <c r="I2756" i="9"/>
  <c r="J2756" i="9"/>
  <c r="K2756" i="9" s="1"/>
  <c r="E2754" i="9"/>
  <c r="L2754" i="9"/>
  <c r="M2754" i="9"/>
  <c r="I2748" i="9"/>
  <c r="G2745" i="9"/>
  <c r="F2738" i="9"/>
  <c r="G2738" i="9"/>
  <c r="H2738" i="9"/>
  <c r="M2738" i="9"/>
  <c r="J2738" i="9"/>
  <c r="K2738" i="9" s="1"/>
  <c r="L2738" i="9"/>
  <c r="E2734" i="9"/>
  <c r="L2734" i="9"/>
  <c r="M2734" i="9"/>
  <c r="M2719" i="9"/>
  <c r="B2719" i="9"/>
  <c r="J2708" i="9"/>
  <c r="K2708" i="9" s="1"/>
  <c r="J2706" i="9"/>
  <c r="K2706" i="9" s="1"/>
  <c r="E2694" i="9"/>
  <c r="F2694" i="9"/>
  <c r="G2694" i="9"/>
  <c r="H2694" i="9"/>
  <c r="I2694" i="9"/>
  <c r="J2694" i="9"/>
  <c r="K2694" i="9" s="1"/>
  <c r="M2694" i="9"/>
  <c r="F2679" i="9"/>
  <c r="L2649" i="9"/>
  <c r="M2647" i="9"/>
  <c r="I2645" i="9"/>
  <c r="D2632" i="9"/>
  <c r="E2632" i="9"/>
  <c r="F2632" i="9"/>
  <c r="B2632" i="9"/>
  <c r="C2629" i="9"/>
  <c r="D2629" i="9"/>
  <c r="E2629" i="9"/>
  <c r="J2629" i="9"/>
  <c r="K2629" i="9" s="1"/>
  <c r="I2629" i="9"/>
  <c r="L2629" i="9"/>
  <c r="M2629" i="9"/>
  <c r="J2612" i="9"/>
  <c r="K2612" i="9" s="1"/>
  <c r="H2596" i="9"/>
  <c r="D2592" i="9"/>
  <c r="E2592" i="9"/>
  <c r="F2592" i="9"/>
  <c r="M2592" i="9"/>
  <c r="C2588" i="9"/>
  <c r="M2588" i="9"/>
  <c r="B2581" i="9"/>
  <c r="G2581" i="9"/>
  <c r="H2581" i="9"/>
  <c r="I2581" i="9"/>
  <c r="L2581" i="9"/>
  <c r="M2581" i="9"/>
  <c r="E2570" i="9"/>
  <c r="C2570" i="9"/>
  <c r="D2570" i="9"/>
  <c r="F2570" i="9"/>
  <c r="G2570" i="9"/>
  <c r="H2570" i="9"/>
  <c r="I2570" i="9"/>
  <c r="J2570" i="9"/>
  <c r="K2570" i="9" s="1"/>
  <c r="L2570" i="9"/>
  <c r="M2570" i="9"/>
  <c r="G2537" i="9"/>
  <c r="I2522" i="9"/>
  <c r="E2522" i="9"/>
  <c r="B2522" i="9"/>
  <c r="C2522" i="9"/>
  <c r="D2522" i="9"/>
  <c r="F2522" i="9"/>
  <c r="G2522" i="9"/>
  <c r="H2522" i="9"/>
  <c r="L2515" i="9"/>
  <c r="L2501" i="9"/>
  <c r="M2494" i="9"/>
  <c r="L2494" i="9"/>
  <c r="L2489" i="9"/>
  <c r="M2489" i="9"/>
  <c r="B2489" i="9"/>
  <c r="C2489" i="9"/>
  <c r="D2489" i="9"/>
  <c r="E2489" i="9"/>
  <c r="F2489" i="9"/>
  <c r="G2489" i="9"/>
  <c r="I2489" i="9"/>
  <c r="J2445" i="9"/>
  <c r="K2445" i="9" s="1"/>
  <c r="L2445" i="9"/>
  <c r="G2445" i="9"/>
  <c r="H2445" i="9"/>
  <c r="I2445" i="9"/>
  <c r="M2445" i="9"/>
  <c r="M2423" i="9"/>
  <c r="I2423" i="9"/>
  <c r="J2423" i="9"/>
  <c r="K2423" i="9" s="1"/>
  <c r="L2423" i="9"/>
  <c r="L2409" i="9"/>
  <c r="G2386" i="9"/>
  <c r="M2367" i="9"/>
  <c r="G2356" i="9"/>
  <c r="H2356" i="9"/>
  <c r="I2356" i="9"/>
  <c r="B2356" i="9"/>
  <c r="C2356" i="9"/>
  <c r="J2349" i="9"/>
  <c r="K2349" i="9" s="1"/>
  <c r="J2346" i="9"/>
  <c r="K2346" i="9" s="1"/>
  <c r="L2307" i="9"/>
  <c r="E2229" i="9"/>
  <c r="F2229" i="9"/>
  <c r="G2229" i="9"/>
  <c r="L2229" i="9"/>
  <c r="B2229" i="9"/>
  <c r="C2229" i="9"/>
  <c r="D2229" i="9"/>
  <c r="M2229" i="9"/>
  <c r="J2229" i="9"/>
  <c r="K2229" i="9" s="1"/>
  <c r="C2222" i="9"/>
  <c r="D2222" i="9"/>
  <c r="H2222" i="9"/>
  <c r="I2222" i="9"/>
  <c r="J2222" i="9"/>
  <c r="K2222" i="9" s="1"/>
  <c r="L2222" i="9"/>
  <c r="M2222" i="9"/>
  <c r="L2187" i="9"/>
  <c r="M2187" i="9"/>
  <c r="C2187" i="9"/>
  <c r="B2187" i="9"/>
  <c r="D2187" i="9"/>
  <c r="E2187" i="9"/>
  <c r="F2187" i="9"/>
  <c r="G2187" i="9"/>
  <c r="H2187" i="9"/>
  <c r="J2187" i="9"/>
  <c r="K2187" i="9" s="1"/>
  <c r="J2184" i="9"/>
  <c r="K2184" i="9" s="1"/>
  <c r="L2184" i="9"/>
  <c r="G2184" i="9"/>
  <c r="H2184" i="9"/>
  <c r="I2184" i="9"/>
  <c r="F2184" i="9"/>
  <c r="M2184" i="9"/>
  <c r="M2173" i="9"/>
  <c r="H2173" i="9"/>
  <c r="I2173" i="9"/>
  <c r="J2173" i="9"/>
  <c r="K2173" i="9" s="1"/>
  <c r="C2173" i="9"/>
  <c r="D2173" i="9"/>
  <c r="E2173" i="9"/>
  <c r="F2173" i="9"/>
  <c r="G2173" i="9"/>
  <c r="C2163" i="9"/>
  <c r="D2163" i="9"/>
  <c r="E2163" i="9"/>
  <c r="J2163" i="9"/>
  <c r="K2163" i="9" s="1"/>
  <c r="I2163" i="9"/>
  <c r="L2163" i="9"/>
  <c r="M2163" i="9"/>
  <c r="F2132" i="9"/>
  <c r="G2132" i="9"/>
  <c r="H2132" i="9"/>
  <c r="M2132" i="9"/>
  <c r="L2132" i="9"/>
  <c r="C2132" i="9"/>
  <c r="D2132" i="9"/>
  <c r="E2132" i="9"/>
  <c r="I2132" i="9"/>
  <c r="J2132" i="9"/>
  <c r="K2132" i="9" s="1"/>
  <c r="E2069" i="9"/>
  <c r="F2069" i="9"/>
  <c r="G2069" i="9"/>
  <c r="L2069" i="9"/>
  <c r="M2069" i="9"/>
  <c r="B2069" i="9"/>
  <c r="J2004" i="9"/>
  <c r="K2004" i="9" s="1"/>
  <c r="L2004" i="9"/>
  <c r="H2004" i="9"/>
  <c r="I2004" i="9"/>
  <c r="M2004" i="9"/>
  <c r="F2004" i="9"/>
  <c r="G2004" i="9"/>
  <c r="B2004" i="9"/>
  <c r="C2004" i="9"/>
  <c r="D2004" i="9"/>
  <c r="E2004" i="9"/>
  <c r="J1984" i="9"/>
  <c r="K1984" i="9" s="1"/>
  <c r="C1968" i="9"/>
  <c r="D1968" i="9"/>
  <c r="E1968" i="9"/>
  <c r="F1968" i="9"/>
  <c r="B1968" i="9"/>
  <c r="G1968" i="9"/>
  <c r="H1968" i="9"/>
  <c r="I1929" i="9"/>
  <c r="J1929" i="9"/>
  <c r="K1929" i="9" s="1"/>
  <c r="D1929" i="9"/>
  <c r="B1929" i="9"/>
  <c r="C1929" i="9"/>
  <c r="E1929" i="9"/>
  <c r="F1929" i="9"/>
  <c r="G1929" i="9"/>
  <c r="L1929" i="9"/>
  <c r="B1908" i="9"/>
  <c r="C1908" i="9"/>
  <c r="F1908" i="9"/>
  <c r="G1908" i="9"/>
  <c r="H1908" i="9"/>
  <c r="M1908" i="9"/>
  <c r="L1908" i="9"/>
  <c r="D1908" i="9"/>
  <c r="E1908" i="9"/>
  <c r="I1908" i="9"/>
  <c r="J1908" i="9"/>
  <c r="K1908" i="9" s="1"/>
  <c r="D1813" i="9"/>
  <c r="B1813" i="9"/>
  <c r="C1813" i="9"/>
  <c r="E1813" i="9"/>
  <c r="F1813" i="9"/>
  <c r="G1813" i="9"/>
  <c r="J1813" i="9"/>
  <c r="K1813" i="9" s="1"/>
  <c r="H1813" i="9"/>
  <c r="I1813" i="9"/>
  <c r="L1813" i="9"/>
  <c r="M1813" i="9"/>
  <c r="J3000" i="9"/>
  <c r="K3000" i="9" s="1"/>
  <c r="G2701" i="9"/>
  <c r="H2701" i="9"/>
  <c r="I2701" i="9"/>
  <c r="J2701" i="9"/>
  <c r="K2701" i="9" s="1"/>
  <c r="L2701" i="9"/>
  <c r="M2701" i="9"/>
  <c r="G3000" i="9"/>
  <c r="I2987" i="9"/>
  <c r="D2987" i="9"/>
  <c r="I2973" i="9"/>
  <c r="G2918" i="9"/>
  <c r="I2894" i="9"/>
  <c r="J2865" i="9"/>
  <c r="K2865" i="9" s="1"/>
  <c r="E2830" i="9"/>
  <c r="D2812" i="9"/>
  <c r="E2812" i="9"/>
  <c r="I2708" i="9"/>
  <c r="J2693" i="9"/>
  <c r="K2693" i="9" s="1"/>
  <c r="B2665" i="9"/>
  <c r="C2665" i="9"/>
  <c r="J2658" i="9"/>
  <c r="K2658" i="9" s="1"/>
  <c r="G2631" i="9"/>
  <c r="I2612" i="9"/>
  <c r="G2584" i="9"/>
  <c r="H2579" i="9"/>
  <c r="L2579" i="9"/>
  <c r="M2579" i="9"/>
  <c r="M2569" i="9"/>
  <c r="E2543" i="9"/>
  <c r="G2543" i="9"/>
  <c r="H2543" i="9"/>
  <c r="I2543" i="9"/>
  <c r="J2543" i="9"/>
  <c r="K2543" i="9" s="1"/>
  <c r="L2543" i="9"/>
  <c r="F2537" i="9"/>
  <c r="E2535" i="9"/>
  <c r="J2535" i="9"/>
  <c r="K2535" i="9" s="1"/>
  <c r="L2535" i="9"/>
  <c r="M2535" i="9"/>
  <c r="J2515" i="9"/>
  <c r="K2515" i="9" s="1"/>
  <c r="H2501" i="9"/>
  <c r="L2488" i="9"/>
  <c r="J2486" i="9"/>
  <c r="K2486" i="9" s="1"/>
  <c r="C2464" i="9"/>
  <c r="E2464" i="9"/>
  <c r="H2464" i="9"/>
  <c r="I2464" i="9"/>
  <c r="J2464" i="9"/>
  <c r="K2464" i="9" s="1"/>
  <c r="D2447" i="9"/>
  <c r="F2447" i="9"/>
  <c r="J2447" i="9"/>
  <c r="K2447" i="9" s="1"/>
  <c r="L2447" i="9"/>
  <c r="C2447" i="9"/>
  <c r="E2447" i="9"/>
  <c r="G2447" i="9"/>
  <c r="H2447" i="9"/>
  <c r="I2447" i="9"/>
  <c r="M2447" i="9"/>
  <c r="J2425" i="9"/>
  <c r="K2425" i="9" s="1"/>
  <c r="L2425" i="9"/>
  <c r="I2425" i="9"/>
  <c r="M2425" i="9"/>
  <c r="F2425" i="9"/>
  <c r="G2425" i="9"/>
  <c r="H2425" i="9"/>
  <c r="C2384" i="9"/>
  <c r="D2384" i="9"/>
  <c r="E2384" i="9"/>
  <c r="J2384" i="9"/>
  <c r="K2384" i="9" s="1"/>
  <c r="M2384" i="9"/>
  <c r="L2384" i="9"/>
  <c r="I2382" i="9"/>
  <c r="J2382" i="9"/>
  <c r="K2382" i="9" s="1"/>
  <c r="L2382" i="9"/>
  <c r="M2382" i="9"/>
  <c r="L2367" i="9"/>
  <c r="C2344" i="9"/>
  <c r="D2344" i="9"/>
  <c r="E2344" i="9"/>
  <c r="J2344" i="9"/>
  <c r="K2344" i="9" s="1"/>
  <c r="F2344" i="9"/>
  <c r="G2344" i="9"/>
  <c r="H2344" i="9"/>
  <c r="B2300" i="9"/>
  <c r="F2300" i="9"/>
  <c r="D2300" i="9"/>
  <c r="M2293" i="9"/>
  <c r="F2293" i="9"/>
  <c r="G2293" i="9"/>
  <c r="H2293" i="9"/>
  <c r="B2293" i="9"/>
  <c r="C2293" i="9"/>
  <c r="D2293" i="9"/>
  <c r="E2293" i="9"/>
  <c r="I2293" i="9"/>
  <c r="J2293" i="9"/>
  <c r="K2293" i="9" s="1"/>
  <c r="L2293" i="9"/>
  <c r="D2226" i="9"/>
  <c r="E2226" i="9"/>
  <c r="F2226" i="9"/>
  <c r="L2226" i="9"/>
  <c r="M2226" i="9"/>
  <c r="E2148" i="9"/>
  <c r="F2148" i="9"/>
  <c r="L2148" i="9"/>
  <c r="M2148" i="9"/>
  <c r="E2049" i="9"/>
  <c r="F2049" i="9"/>
  <c r="G2049" i="9"/>
  <c r="L2049" i="9"/>
  <c r="D2049" i="9"/>
  <c r="H2049" i="9"/>
  <c r="I2049" i="9"/>
  <c r="G2028" i="9"/>
  <c r="I1984" i="9"/>
  <c r="L1535" i="9"/>
  <c r="M1512" i="9"/>
  <c r="F1304" i="9"/>
  <c r="G1304" i="9"/>
  <c r="H1304" i="9"/>
  <c r="M1304" i="9"/>
  <c r="L1304" i="9"/>
  <c r="B2977" i="9"/>
  <c r="C2977" i="9"/>
  <c r="D2977" i="9"/>
  <c r="I2977" i="9"/>
  <c r="D2888" i="9"/>
  <c r="E2888" i="9"/>
  <c r="F2888" i="9"/>
  <c r="G2888" i="9"/>
  <c r="L2753" i="9"/>
  <c r="B2753" i="9"/>
  <c r="E2753" i="9"/>
  <c r="C2753" i="9"/>
  <c r="D2753" i="9"/>
  <c r="F2753" i="9"/>
  <c r="I2753" i="9"/>
  <c r="D2386" i="9"/>
  <c r="L2386" i="9"/>
  <c r="M2386" i="9"/>
  <c r="J2386" i="9"/>
  <c r="K2386" i="9" s="1"/>
  <c r="D2346" i="9"/>
  <c r="E2346" i="9"/>
  <c r="F2346" i="9"/>
  <c r="G2346" i="9"/>
  <c r="L2346" i="9"/>
  <c r="M2307" i="9"/>
  <c r="B2307" i="9"/>
  <c r="C2307" i="9"/>
  <c r="D2307" i="9"/>
  <c r="E2307" i="9"/>
  <c r="I2307" i="9"/>
  <c r="C2564" i="9"/>
  <c r="E2564" i="9"/>
  <c r="I2564" i="9"/>
  <c r="J2564" i="9"/>
  <c r="K2564" i="9" s="1"/>
  <c r="L2564" i="9"/>
  <c r="M2564" i="9"/>
  <c r="C2504" i="9"/>
  <c r="E2504" i="9"/>
  <c r="H2504" i="9"/>
  <c r="I2504" i="9"/>
  <c r="J2504" i="9"/>
  <c r="K2504" i="9" s="1"/>
  <c r="L2504" i="9"/>
  <c r="M2504" i="9"/>
  <c r="F2292" i="9"/>
  <c r="E2292" i="9"/>
  <c r="B2292" i="9"/>
  <c r="C2292" i="9"/>
  <c r="D2292" i="9"/>
  <c r="G2292" i="9"/>
  <c r="H2292" i="9"/>
  <c r="C1948" i="9"/>
  <c r="L1948" i="9"/>
  <c r="M1948" i="9"/>
  <c r="H1948" i="9"/>
  <c r="I1948" i="9"/>
  <c r="J1948" i="9"/>
  <c r="K1948" i="9" s="1"/>
  <c r="F1948" i="9"/>
  <c r="G1948" i="9"/>
  <c r="D1907" i="9"/>
  <c r="E1907" i="9"/>
  <c r="F1907" i="9"/>
  <c r="G1907" i="9"/>
  <c r="H1907" i="9"/>
  <c r="I1907" i="9"/>
  <c r="L1907" i="9"/>
  <c r="C1830" i="9"/>
  <c r="D1830" i="9"/>
  <c r="B1830" i="9"/>
  <c r="E1830" i="9"/>
  <c r="F1830" i="9"/>
  <c r="G1830" i="9"/>
  <c r="H1830" i="9"/>
  <c r="I1830" i="9"/>
  <c r="E1776" i="9"/>
  <c r="F1776" i="9"/>
  <c r="G1776" i="9"/>
  <c r="H1776" i="9"/>
  <c r="I1776" i="9"/>
  <c r="J1776" i="9"/>
  <c r="K1776" i="9" s="1"/>
  <c r="M1776" i="9"/>
  <c r="B1776" i="9"/>
  <c r="C1776" i="9"/>
  <c r="G2981" i="9"/>
  <c r="M2981" i="9"/>
  <c r="B2946" i="9"/>
  <c r="F2946" i="9"/>
  <c r="G2946" i="9"/>
  <c r="H2946" i="9"/>
  <c r="M2946" i="9"/>
  <c r="C2929" i="9"/>
  <c r="D2929" i="9"/>
  <c r="D2892" i="9"/>
  <c r="B2892" i="9"/>
  <c r="F2777" i="9"/>
  <c r="L2777" i="9"/>
  <c r="M2777" i="9"/>
  <c r="B2726" i="9"/>
  <c r="C2726" i="9"/>
  <c r="D2726" i="9"/>
  <c r="I2726" i="9"/>
  <c r="H2704" i="9"/>
  <c r="I2704" i="9"/>
  <c r="J2704" i="9"/>
  <c r="K2704" i="9" s="1"/>
  <c r="B2645" i="9"/>
  <c r="M2645" i="9"/>
  <c r="L2596" i="9"/>
  <c r="M2596" i="9"/>
  <c r="I2596" i="9"/>
  <c r="J2596" i="9"/>
  <c r="K2596" i="9" s="1"/>
  <c r="C2364" i="9"/>
  <c r="D2364" i="9"/>
  <c r="E2364" i="9"/>
  <c r="J2364" i="9"/>
  <c r="K2364" i="9" s="1"/>
  <c r="I2364" i="9"/>
  <c r="L2364" i="9"/>
  <c r="B2364" i="9"/>
  <c r="C1408" i="9"/>
  <c r="D1408" i="9"/>
  <c r="E1408" i="9"/>
  <c r="J1408" i="9"/>
  <c r="K1408" i="9" s="1"/>
  <c r="L1408" i="9"/>
  <c r="I1408" i="9"/>
  <c r="M1408" i="9"/>
  <c r="L2931" i="9"/>
  <c r="M2931" i="9"/>
  <c r="L2902" i="9"/>
  <c r="M2902" i="9"/>
  <c r="B2825" i="9"/>
  <c r="C2825" i="9"/>
  <c r="F2825" i="9"/>
  <c r="D2825" i="9"/>
  <c r="E2825" i="9"/>
  <c r="J2825" i="9"/>
  <c r="K2825" i="9" s="1"/>
  <c r="J2690" i="9"/>
  <c r="K2690" i="9" s="1"/>
  <c r="L2690" i="9"/>
  <c r="F2690" i="9"/>
  <c r="G2690" i="9"/>
  <c r="H2690" i="9"/>
  <c r="I2690" i="9"/>
  <c r="M2690" i="9"/>
  <c r="L2529" i="9"/>
  <c r="M2529" i="9"/>
  <c r="I2529" i="9"/>
  <c r="J2529" i="9"/>
  <c r="K2529" i="9" s="1"/>
  <c r="E2349" i="9"/>
  <c r="L2349" i="9"/>
  <c r="M2349" i="9"/>
  <c r="L1414" i="9"/>
  <c r="M1414" i="9"/>
  <c r="J1414" i="9"/>
  <c r="K1414" i="9" s="1"/>
  <c r="D1414" i="9"/>
  <c r="E1414" i="9"/>
  <c r="F1414" i="9"/>
  <c r="G1414" i="9"/>
  <c r="H1414" i="9"/>
  <c r="I1414" i="9"/>
  <c r="L2996" i="9"/>
  <c r="F2996" i="9"/>
  <c r="G2996" i="9"/>
  <c r="H2996" i="9"/>
  <c r="I2647" i="9"/>
  <c r="J2647" i="9"/>
  <c r="K2647" i="9" s="1"/>
  <c r="B2521" i="9"/>
  <c r="L2521" i="9"/>
  <c r="M2521" i="9"/>
  <c r="H2459" i="9"/>
  <c r="J2459" i="9"/>
  <c r="K2459" i="9" s="1"/>
  <c r="E2459" i="9"/>
  <c r="F2459" i="9"/>
  <c r="G2459" i="9"/>
  <c r="C2459" i="9"/>
  <c r="D2459" i="9"/>
  <c r="I2459" i="9"/>
  <c r="L2459" i="9"/>
  <c r="M2459" i="9"/>
  <c r="E2988" i="9"/>
  <c r="F2988" i="9"/>
  <c r="G2988" i="9"/>
  <c r="L2988" i="9"/>
  <c r="E2834" i="9"/>
  <c r="C2834" i="9"/>
  <c r="D2834" i="9"/>
  <c r="F2834" i="9"/>
  <c r="G2834" i="9"/>
  <c r="G2741" i="9"/>
  <c r="H2741" i="9"/>
  <c r="I2741" i="9"/>
  <c r="E2470" i="9"/>
  <c r="G2470" i="9"/>
  <c r="C2470" i="9"/>
  <c r="C2429" i="9"/>
  <c r="D2429" i="9"/>
  <c r="E2429" i="9"/>
  <c r="J2429" i="9"/>
  <c r="K2429" i="9" s="1"/>
  <c r="L2429" i="9"/>
  <c r="M2429" i="9"/>
  <c r="L2388" i="9"/>
  <c r="M2388" i="9"/>
  <c r="I2388" i="9"/>
  <c r="J2388" i="9"/>
  <c r="K2388" i="9" s="1"/>
  <c r="L1577" i="9"/>
  <c r="M1577" i="9"/>
  <c r="G1577" i="9"/>
  <c r="H1577" i="9"/>
  <c r="I1577" i="9"/>
  <c r="E1577" i="9"/>
  <c r="F1577" i="9"/>
  <c r="J1577" i="9"/>
  <c r="K1577" i="9" s="1"/>
  <c r="D1577" i="9"/>
  <c r="C1577" i="9"/>
  <c r="I2907" i="9"/>
  <c r="J2907" i="9"/>
  <c r="K2907" i="9" s="1"/>
  <c r="M2907" i="9"/>
  <c r="L2907" i="9"/>
  <c r="F2618" i="9"/>
  <c r="G2618" i="9"/>
  <c r="H2618" i="9"/>
  <c r="M2618" i="9"/>
  <c r="L2618" i="9"/>
  <c r="B2541" i="9"/>
  <c r="C2541" i="9"/>
  <c r="D2541" i="9"/>
  <c r="E2541" i="9"/>
  <c r="J2541" i="9"/>
  <c r="K2541" i="9" s="1"/>
  <c r="G2541" i="9"/>
  <c r="H2541" i="9"/>
  <c r="I2541" i="9"/>
  <c r="L2541" i="9"/>
  <c r="M2541" i="9"/>
  <c r="G2476" i="9"/>
  <c r="I2476" i="9"/>
  <c r="E2476" i="9"/>
  <c r="F2476" i="9"/>
  <c r="H2476" i="9"/>
  <c r="F2314" i="9"/>
  <c r="G2314" i="9"/>
  <c r="H2314" i="9"/>
  <c r="M2314" i="9"/>
  <c r="E2314" i="9"/>
  <c r="I2314" i="9"/>
  <c r="J2314" i="9"/>
  <c r="K2314" i="9" s="1"/>
  <c r="L2314" i="9"/>
  <c r="D1991" i="9"/>
  <c r="F1991" i="9"/>
  <c r="L1991" i="9"/>
  <c r="M1991" i="9"/>
  <c r="J1991" i="9"/>
  <c r="K1991" i="9" s="1"/>
  <c r="B1991" i="9"/>
  <c r="E1300" i="9"/>
  <c r="B1300" i="9"/>
  <c r="L1300" i="9"/>
  <c r="J1300" i="9"/>
  <c r="K1300" i="9" s="1"/>
  <c r="M1300" i="9"/>
  <c r="I1300" i="9"/>
  <c r="F1300" i="9"/>
  <c r="G1300" i="9"/>
  <c r="H1300" i="9"/>
  <c r="C1300" i="9"/>
  <c r="D1300" i="9"/>
  <c r="D2692" i="9"/>
  <c r="E2692" i="9"/>
  <c r="F2692" i="9"/>
  <c r="G2692" i="9"/>
  <c r="H2692" i="9"/>
  <c r="I2692" i="9"/>
  <c r="J2692" i="9"/>
  <c r="K2692" i="9" s="1"/>
  <c r="L2692" i="9"/>
  <c r="M2692" i="9"/>
  <c r="C2363" i="9"/>
  <c r="F2363" i="9"/>
  <c r="H2363" i="9"/>
  <c r="I2363" i="9"/>
  <c r="J2363" i="9"/>
  <c r="K2363" i="9" s="1"/>
  <c r="L2363" i="9"/>
  <c r="M2363" i="9"/>
  <c r="B1848" i="9"/>
  <c r="C1848" i="9"/>
  <c r="D1848" i="9"/>
  <c r="I1848" i="9"/>
  <c r="E1848" i="9"/>
  <c r="H1848" i="9"/>
  <c r="H4" i="9"/>
  <c r="I4" i="9"/>
  <c r="J4" i="9"/>
  <c r="K4" i="9" s="1"/>
  <c r="L4" i="9"/>
  <c r="M4" i="9"/>
  <c r="C4" i="9"/>
  <c r="D4" i="9"/>
  <c r="E4" i="9"/>
  <c r="G2761" i="9"/>
  <c r="H2761" i="9"/>
  <c r="M2761" i="9"/>
  <c r="L2636" i="9"/>
  <c r="M2636" i="9"/>
  <c r="B2636" i="9"/>
  <c r="M2566" i="9"/>
  <c r="H2566" i="9"/>
  <c r="I2566" i="9"/>
  <c r="J2566" i="9"/>
  <c r="K2566" i="9" s="1"/>
  <c r="L2566" i="9"/>
  <c r="C2443" i="9"/>
  <c r="G2443" i="9"/>
  <c r="H2443" i="9"/>
  <c r="I2443" i="9"/>
  <c r="J2443" i="9"/>
  <c r="K2443" i="9" s="1"/>
  <c r="L2443" i="9"/>
  <c r="D1947" i="9"/>
  <c r="E1947" i="9"/>
  <c r="F1947" i="9"/>
  <c r="C1947" i="9"/>
  <c r="B1947" i="9"/>
  <c r="J1892" i="9"/>
  <c r="K1892" i="9" s="1"/>
  <c r="L1892" i="9"/>
  <c r="H1892" i="9"/>
  <c r="I1892" i="9"/>
  <c r="M1892" i="9"/>
  <c r="F1892" i="9"/>
  <c r="G1892" i="9"/>
  <c r="E1892" i="9"/>
  <c r="D1674" i="9"/>
  <c r="E1674" i="9"/>
  <c r="F1674" i="9"/>
  <c r="L1674" i="9"/>
  <c r="C1674" i="9"/>
  <c r="G1674" i="9"/>
  <c r="H1674" i="9"/>
  <c r="I1674" i="9"/>
  <c r="J1674" i="9"/>
  <c r="K1674" i="9" s="1"/>
  <c r="M1674" i="9"/>
  <c r="D2951" i="9"/>
  <c r="E2951" i="9"/>
  <c r="F2951" i="9"/>
  <c r="B2625" i="9"/>
  <c r="J2625" i="9"/>
  <c r="K2625" i="9" s="1"/>
  <c r="L2625" i="9"/>
  <c r="M2625" i="9"/>
  <c r="L2616" i="9"/>
  <c r="M2616" i="9"/>
  <c r="B2605" i="9"/>
  <c r="G2605" i="9"/>
  <c r="H2605" i="9"/>
  <c r="I2605" i="9"/>
  <c r="J2605" i="9"/>
  <c r="K2605" i="9" s="1"/>
  <c r="L2605" i="9"/>
  <c r="E2503" i="9"/>
  <c r="F2503" i="9"/>
  <c r="G2503" i="9"/>
  <c r="L2503" i="9"/>
  <c r="B2503" i="9"/>
  <c r="D2467" i="9"/>
  <c r="F2467" i="9"/>
  <c r="M2467" i="9"/>
  <c r="B2467" i="9"/>
  <c r="C2467" i="9"/>
  <c r="E2467" i="9"/>
  <c r="G2467" i="9"/>
  <c r="H2467" i="9"/>
  <c r="I2467" i="9"/>
  <c r="G2456" i="9"/>
  <c r="I2456" i="9"/>
  <c r="B2456" i="9"/>
  <c r="C2456" i="9"/>
  <c r="D2456" i="9"/>
  <c r="G2336" i="9"/>
  <c r="H2336" i="9"/>
  <c r="I2336" i="9"/>
  <c r="M2336" i="9"/>
  <c r="I2201" i="9"/>
  <c r="J2201" i="9"/>
  <c r="K2201" i="9" s="1"/>
  <c r="B2201" i="9"/>
  <c r="C2201" i="9"/>
  <c r="D2201" i="9"/>
  <c r="L2201" i="9"/>
  <c r="F2201" i="9"/>
  <c r="G2201" i="9"/>
  <c r="H2201" i="9"/>
  <c r="M2201" i="9"/>
  <c r="C2143" i="9"/>
  <c r="D2143" i="9"/>
  <c r="E2143" i="9"/>
  <c r="J2143" i="9"/>
  <c r="K2143" i="9" s="1"/>
  <c r="L2143" i="9"/>
  <c r="M2143" i="9"/>
  <c r="D1971" i="9"/>
  <c r="G1971" i="9"/>
  <c r="H1971" i="9"/>
  <c r="I1971" i="9"/>
  <c r="F1971" i="9"/>
  <c r="J1971" i="9"/>
  <c r="K1971" i="9" s="1"/>
  <c r="L1971" i="9"/>
  <c r="M1971" i="9"/>
  <c r="L1915" i="9"/>
  <c r="C1915" i="9"/>
  <c r="D1915" i="9"/>
  <c r="E1915" i="9"/>
  <c r="J1915" i="9"/>
  <c r="K1915" i="9" s="1"/>
  <c r="I1915" i="9"/>
  <c r="M1915" i="9"/>
  <c r="B1915" i="9"/>
  <c r="G1783" i="9"/>
  <c r="H1783" i="9"/>
  <c r="I1783" i="9"/>
  <c r="F1783" i="9"/>
  <c r="J1783" i="9"/>
  <c r="K1783" i="9" s="1"/>
  <c r="L1783" i="9"/>
  <c r="M1783" i="9"/>
  <c r="B1783" i="9"/>
  <c r="G727" i="9"/>
  <c r="L727" i="9"/>
  <c r="M727" i="9"/>
  <c r="D727" i="9"/>
  <c r="E727" i="9"/>
  <c r="F727" i="9"/>
  <c r="H727" i="9"/>
  <c r="J727" i="9"/>
  <c r="K727" i="9" s="1"/>
  <c r="I727" i="9"/>
  <c r="E75" i="9"/>
  <c r="F75" i="9"/>
  <c r="L75" i="9"/>
  <c r="J75" i="9"/>
  <c r="K75" i="9" s="1"/>
  <c r="M75" i="9"/>
  <c r="G75" i="9"/>
  <c r="H75" i="9"/>
  <c r="I75" i="9"/>
  <c r="B75" i="9"/>
  <c r="C75" i="9"/>
  <c r="D75" i="9"/>
  <c r="G2376" i="9"/>
  <c r="H2376" i="9"/>
  <c r="I2376" i="9"/>
  <c r="E2376" i="9"/>
  <c r="M2376" i="9"/>
  <c r="D2327" i="9"/>
  <c r="E2327" i="9"/>
  <c r="F2327" i="9"/>
  <c r="M2327" i="9"/>
  <c r="B2327" i="9"/>
  <c r="L2127" i="9"/>
  <c r="M2127" i="9"/>
  <c r="C2127" i="9"/>
  <c r="D2127" i="9"/>
  <c r="E2127" i="9"/>
  <c r="J2127" i="9"/>
  <c r="K2127" i="9" s="1"/>
  <c r="I2127" i="9"/>
  <c r="L2047" i="9"/>
  <c r="M2047" i="9"/>
  <c r="F2047" i="9"/>
  <c r="G2047" i="9"/>
  <c r="H2047" i="9"/>
  <c r="J2047" i="9"/>
  <c r="K2047" i="9" s="1"/>
  <c r="D2047" i="9"/>
  <c r="E2047" i="9"/>
  <c r="I2047" i="9"/>
  <c r="L2977" i="9"/>
  <c r="M2971" i="9"/>
  <c r="H2964" i="9"/>
  <c r="B2964" i="9"/>
  <c r="C2964" i="9"/>
  <c r="D2964" i="9"/>
  <c r="J2964" i="9"/>
  <c r="K2964" i="9" s="1"/>
  <c r="B2786" i="9"/>
  <c r="C2786" i="9"/>
  <c r="I2786" i="9"/>
  <c r="F2786" i="9"/>
  <c r="J2786" i="9"/>
  <c r="K2786" i="9" s="1"/>
  <c r="G2786" i="9"/>
  <c r="H2786" i="9"/>
  <c r="I2727" i="9"/>
  <c r="J2727" i="9"/>
  <c r="K2727" i="9" s="1"/>
  <c r="C2727" i="9"/>
  <c r="D2727" i="9"/>
  <c r="E2727" i="9"/>
  <c r="F2727" i="9"/>
  <c r="G2727" i="9"/>
  <c r="H2727" i="9"/>
  <c r="M2727" i="9"/>
  <c r="L2706" i="9"/>
  <c r="M2704" i="9"/>
  <c r="H2679" i="9"/>
  <c r="I2627" i="9"/>
  <c r="J2627" i="9"/>
  <c r="K2627" i="9" s="1"/>
  <c r="H2627" i="9"/>
  <c r="L2627" i="9"/>
  <c r="M2627" i="9"/>
  <c r="M2584" i="9"/>
  <c r="I2502" i="9"/>
  <c r="C2502" i="9"/>
  <c r="F2502" i="9"/>
  <c r="G2502" i="9"/>
  <c r="H2502" i="9"/>
  <c r="J2502" i="9"/>
  <c r="K2502" i="9" s="1"/>
  <c r="L2502" i="9"/>
  <c r="M2502" i="9"/>
  <c r="G2496" i="9"/>
  <c r="I2496" i="9"/>
  <c r="J2496" i="9"/>
  <c r="K2496" i="9" s="1"/>
  <c r="L2496" i="9"/>
  <c r="M2496" i="9"/>
  <c r="M2346" i="9"/>
  <c r="L2310" i="9"/>
  <c r="B2310" i="9"/>
  <c r="M2310" i="9"/>
  <c r="D2310" i="9"/>
  <c r="E2310" i="9"/>
  <c r="F2310" i="9"/>
  <c r="G2310" i="9"/>
  <c r="H2310" i="9"/>
  <c r="I2310" i="9"/>
  <c r="M2113" i="9"/>
  <c r="B2113" i="9"/>
  <c r="H2113" i="9"/>
  <c r="I2113" i="9"/>
  <c r="J2113" i="9"/>
  <c r="K2113" i="9" s="1"/>
  <c r="L2113" i="9"/>
  <c r="C2113" i="9"/>
  <c r="D2113" i="9"/>
  <c r="E2113" i="9"/>
  <c r="F2113" i="9"/>
  <c r="G2113" i="9"/>
  <c r="H3000" i="9"/>
  <c r="L2992" i="9"/>
  <c r="J2973" i="9"/>
  <c r="K2973" i="9" s="1"/>
  <c r="M2996" i="9"/>
  <c r="C2989" i="9"/>
  <c r="M2989" i="9"/>
  <c r="H2979" i="9"/>
  <c r="H2962" i="9"/>
  <c r="I2962" i="9"/>
  <c r="J2962" i="9"/>
  <c r="K2962" i="9" s="1"/>
  <c r="F2952" i="9"/>
  <c r="H2900" i="9"/>
  <c r="J2882" i="9"/>
  <c r="K2882" i="9" s="1"/>
  <c r="M2867" i="9"/>
  <c r="J2857" i="9"/>
  <c r="K2857" i="9" s="1"/>
  <c r="I2855" i="9"/>
  <c r="L2809" i="9"/>
  <c r="J2770" i="9"/>
  <c r="K2770" i="9" s="1"/>
  <c r="H2770" i="9"/>
  <c r="I2770" i="9"/>
  <c r="L2770" i="9"/>
  <c r="M2770" i="9"/>
  <c r="D2751" i="9"/>
  <c r="E2751" i="9"/>
  <c r="F2751" i="9"/>
  <c r="H2751" i="9"/>
  <c r="G2751" i="9"/>
  <c r="I2751" i="9"/>
  <c r="L2751" i="9"/>
  <c r="E2679" i="9"/>
  <c r="F3000" i="9"/>
  <c r="I2994" i="9"/>
  <c r="J2992" i="9"/>
  <c r="K2992" i="9" s="1"/>
  <c r="M2988" i="9"/>
  <c r="F2981" i="9"/>
  <c r="G2979" i="9"/>
  <c r="G2977" i="9"/>
  <c r="F2975" i="9"/>
  <c r="H2973" i="9"/>
  <c r="I2971" i="9"/>
  <c r="L2967" i="9"/>
  <c r="E2952" i="9"/>
  <c r="E2950" i="9"/>
  <c r="J2946" i="9"/>
  <c r="K2946" i="9" s="1"/>
  <c r="G2944" i="9"/>
  <c r="M2942" i="9"/>
  <c r="G2941" i="9"/>
  <c r="I2941" i="9"/>
  <c r="J2941" i="9"/>
  <c r="K2941" i="9" s="1"/>
  <c r="F2939" i="9"/>
  <c r="G2937" i="9"/>
  <c r="D2933" i="9"/>
  <c r="G2931" i="9"/>
  <c r="H2929" i="9"/>
  <c r="L2925" i="9"/>
  <c r="D2922" i="9"/>
  <c r="E2922" i="9"/>
  <c r="F2922" i="9"/>
  <c r="I2920" i="9"/>
  <c r="L2920" i="9"/>
  <c r="J2920" i="9"/>
  <c r="K2920" i="9" s="1"/>
  <c r="E2918" i="9"/>
  <c r="C2914" i="9"/>
  <c r="D2914" i="9"/>
  <c r="E2914" i="9"/>
  <c r="F2914" i="9"/>
  <c r="J2914" i="9"/>
  <c r="K2914" i="9" s="1"/>
  <c r="G2902" i="9"/>
  <c r="G2900" i="9"/>
  <c r="H2894" i="9"/>
  <c r="H2892" i="9"/>
  <c r="H2888" i="9"/>
  <c r="B2886" i="9"/>
  <c r="C2886" i="9"/>
  <c r="H2886" i="9"/>
  <c r="I2886" i="9"/>
  <c r="J2886" i="9"/>
  <c r="K2886" i="9" s="1"/>
  <c r="I2882" i="9"/>
  <c r="D2874" i="9"/>
  <c r="D2872" i="9"/>
  <c r="E2872" i="9"/>
  <c r="H2869" i="9"/>
  <c r="L2867" i="9"/>
  <c r="I2865" i="9"/>
  <c r="L2861" i="9"/>
  <c r="G2859" i="9"/>
  <c r="I2857" i="9"/>
  <c r="H2855" i="9"/>
  <c r="J2837" i="9"/>
  <c r="K2837" i="9" s="1"/>
  <c r="M2837" i="9"/>
  <c r="L2837" i="9"/>
  <c r="M2832" i="9"/>
  <c r="C2828" i="9"/>
  <c r="J2828" i="9"/>
  <c r="K2828" i="9" s="1"/>
  <c r="M2828" i="9"/>
  <c r="L2828" i="9"/>
  <c r="M2825" i="9"/>
  <c r="L2816" i="9"/>
  <c r="M2816" i="9"/>
  <c r="H2816" i="9"/>
  <c r="I2816" i="9"/>
  <c r="J2816" i="9"/>
  <c r="K2816" i="9" s="1"/>
  <c r="J2799" i="9"/>
  <c r="K2799" i="9" s="1"/>
  <c r="C2788" i="9"/>
  <c r="D2788" i="9"/>
  <c r="E2788" i="9"/>
  <c r="G2788" i="9"/>
  <c r="F2788" i="9"/>
  <c r="H2788" i="9"/>
  <c r="J2785" i="9"/>
  <c r="K2785" i="9" s="1"/>
  <c r="L2781" i="9"/>
  <c r="F2779" i="9"/>
  <c r="G2777" i="9"/>
  <c r="E2775" i="9"/>
  <c r="F2775" i="9"/>
  <c r="L2775" i="9"/>
  <c r="L2765" i="9"/>
  <c r="J2753" i="9"/>
  <c r="K2753" i="9" s="1"/>
  <c r="G2748" i="9"/>
  <c r="E2745" i="9"/>
  <c r="L2741" i="9"/>
  <c r="J2726" i="9"/>
  <c r="K2726" i="9" s="1"/>
  <c r="G2706" i="9"/>
  <c r="F2704" i="9"/>
  <c r="M2699" i="9"/>
  <c r="L2699" i="9"/>
  <c r="I2693" i="9"/>
  <c r="C2688" i="9"/>
  <c r="H2688" i="9"/>
  <c r="I2688" i="9"/>
  <c r="J2688" i="9"/>
  <c r="K2688" i="9" s="1"/>
  <c r="L2688" i="9"/>
  <c r="M2688" i="9"/>
  <c r="D2679" i="9"/>
  <c r="D2664" i="9"/>
  <c r="I2649" i="9"/>
  <c r="H2647" i="9"/>
  <c r="G2645" i="9"/>
  <c r="M2639" i="9"/>
  <c r="C2639" i="9"/>
  <c r="D2639" i="9"/>
  <c r="E2639" i="9"/>
  <c r="F2639" i="9"/>
  <c r="G2639" i="9"/>
  <c r="H2639" i="9"/>
  <c r="J2639" i="9"/>
  <c r="K2639" i="9" s="1"/>
  <c r="F2631" i="9"/>
  <c r="H2612" i="9"/>
  <c r="F2596" i="9"/>
  <c r="J2590" i="9"/>
  <c r="K2590" i="9" s="1"/>
  <c r="L2590" i="9"/>
  <c r="F2584" i="9"/>
  <c r="L2569" i="9"/>
  <c r="G2564" i="9"/>
  <c r="J2542" i="9"/>
  <c r="K2542" i="9" s="1"/>
  <c r="B2540" i="9"/>
  <c r="C2540" i="9"/>
  <c r="G2529" i="9"/>
  <c r="D2527" i="9"/>
  <c r="C2527" i="9"/>
  <c r="J2527" i="9"/>
  <c r="K2527" i="9" s="1"/>
  <c r="L2527" i="9"/>
  <c r="M2527" i="9"/>
  <c r="I2521" i="9"/>
  <c r="I2515" i="9"/>
  <c r="E2510" i="9"/>
  <c r="G2510" i="9"/>
  <c r="B2510" i="9"/>
  <c r="C2510" i="9"/>
  <c r="D2510" i="9"/>
  <c r="I2510" i="9"/>
  <c r="J2510" i="9"/>
  <c r="K2510" i="9" s="1"/>
  <c r="L2510" i="9"/>
  <c r="M2510" i="9"/>
  <c r="G2504" i="9"/>
  <c r="G2501" i="9"/>
  <c r="I2488" i="9"/>
  <c r="F2486" i="9"/>
  <c r="H2474" i="9"/>
  <c r="L2470" i="9"/>
  <c r="M2441" i="9"/>
  <c r="M2434" i="9"/>
  <c r="C2434" i="9"/>
  <c r="D2434" i="9"/>
  <c r="E2434" i="9"/>
  <c r="J2434" i="9"/>
  <c r="K2434" i="9" s="1"/>
  <c r="J2427" i="9"/>
  <c r="K2427" i="9" s="1"/>
  <c r="I2402" i="9"/>
  <c r="J2402" i="9"/>
  <c r="K2402" i="9" s="1"/>
  <c r="B2402" i="9"/>
  <c r="E2386" i="9"/>
  <c r="J2367" i="9"/>
  <c r="K2367" i="9" s="1"/>
  <c r="J2365" i="9"/>
  <c r="K2365" i="9" s="1"/>
  <c r="L2365" i="9"/>
  <c r="D2365" i="9"/>
  <c r="M2365" i="9"/>
  <c r="H2349" i="9"/>
  <c r="H2346" i="9"/>
  <c r="F2322" i="9"/>
  <c r="G2322" i="9"/>
  <c r="H2322" i="9"/>
  <c r="M2322" i="9"/>
  <c r="C2322" i="9"/>
  <c r="D2322" i="9"/>
  <c r="E2322" i="9"/>
  <c r="L2322" i="9"/>
  <c r="H2307" i="9"/>
  <c r="M2292" i="9"/>
  <c r="G2195" i="9"/>
  <c r="H2195" i="9"/>
  <c r="I2195" i="9"/>
  <c r="L2195" i="9"/>
  <c r="M2195" i="9"/>
  <c r="D2195" i="9"/>
  <c r="E2195" i="9"/>
  <c r="F2195" i="9"/>
  <c r="J2195" i="9"/>
  <c r="K2195" i="9" s="1"/>
  <c r="H2158" i="9"/>
  <c r="I2158" i="9"/>
  <c r="J2158" i="9"/>
  <c r="K2158" i="9" s="1"/>
  <c r="E2158" i="9"/>
  <c r="F2158" i="9"/>
  <c r="G2158" i="9"/>
  <c r="L2080" i="9"/>
  <c r="D2046" i="9"/>
  <c r="E2046" i="9"/>
  <c r="F2046" i="9"/>
  <c r="B2046" i="9"/>
  <c r="C2046" i="9"/>
  <c r="F2028" i="9"/>
  <c r="C1831" i="9"/>
  <c r="D1831" i="9"/>
  <c r="E1831" i="9"/>
  <c r="J1831" i="9"/>
  <c r="K1831" i="9" s="1"/>
  <c r="G1831" i="9"/>
  <c r="H1831" i="9"/>
  <c r="I1831" i="9"/>
  <c r="L1831" i="9"/>
  <c r="M1831" i="9"/>
  <c r="L1477" i="9"/>
  <c r="M1477" i="9"/>
  <c r="B1477" i="9"/>
  <c r="C1477" i="9"/>
  <c r="D1477" i="9"/>
  <c r="E1477" i="9"/>
  <c r="F1477" i="9"/>
  <c r="G1477" i="9"/>
  <c r="I1477" i="9"/>
  <c r="H1477" i="9"/>
  <c r="J1477" i="9"/>
  <c r="K1477" i="9" s="1"/>
  <c r="J1396" i="9"/>
  <c r="K1396" i="9" s="1"/>
  <c r="D1396" i="9"/>
  <c r="E1396" i="9"/>
  <c r="F1396" i="9"/>
  <c r="M1396" i="9"/>
  <c r="H1396" i="9"/>
  <c r="I1396" i="9"/>
  <c r="L1396" i="9"/>
  <c r="G1327" i="9"/>
  <c r="H1327" i="9"/>
  <c r="I1327" i="9"/>
  <c r="E1327" i="9"/>
  <c r="M1327" i="9"/>
  <c r="C1327" i="9"/>
  <c r="D1327" i="9"/>
  <c r="F1327" i="9"/>
  <c r="J1327" i="9"/>
  <c r="K1327" i="9" s="1"/>
  <c r="L1327" i="9"/>
  <c r="C1315" i="9"/>
  <c r="D1315" i="9"/>
  <c r="E1315" i="9"/>
  <c r="J1315" i="9"/>
  <c r="K1315" i="9" s="1"/>
  <c r="L1315" i="9"/>
  <c r="M1315" i="9"/>
  <c r="F1315" i="9"/>
  <c r="G1315" i="9"/>
  <c r="H1315" i="9"/>
  <c r="I1315" i="9"/>
  <c r="L2876" i="9"/>
  <c r="M2876" i="9"/>
  <c r="G2876" i="9"/>
  <c r="H2876" i="9"/>
  <c r="I2876" i="9"/>
  <c r="J2876" i="9"/>
  <c r="K2876" i="9" s="1"/>
  <c r="J2830" i="9"/>
  <c r="K2830" i="9" s="1"/>
  <c r="G2830" i="9"/>
  <c r="L2830" i="9"/>
  <c r="H2830" i="9"/>
  <c r="I2830" i="9"/>
  <c r="H2539" i="9"/>
  <c r="G2539" i="9"/>
  <c r="I2539" i="9"/>
  <c r="J2539" i="9"/>
  <c r="K2539" i="9" s="1"/>
  <c r="D2539" i="9"/>
  <c r="E2539" i="9"/>
  <c r="F2539" i="9"/>
  <c r="L2539" i="9"/>
  <c r="M2539" i="9"/>
  <c r="D2276" i="9"/>
  <c r="J2276" i="9"/>
  <c r="K2276" i="9" s="1"/>
  <c r="L2276" i="9"/>
  <c r="M2276" i="9"/>
  <c r="E2276" i="9"/>
  <c r="F2276" i="9"/>
  <c r="G2276" i="9"/>
  <c r="H2276" i="9"/>
  <c r="I2276" i="9"/>
  <c r="C2102" i="9"/>
  <c r="L2102" i="9"/>
  <c r="M2102" i="9"/>
  <c r="B2102" i="9"/>
  <c r="D2102" i="9"/>
  <c r="E2102" i="9"/>
  <c r="F2102" i="9"/>
  <c r="G2102" i="9"/>
  <c r="H2102" i="9"/>
  <c r="J2102" i="9"/>
  <c r="K2102" i="9" s="1"/>
  <c r="E1984" i="9"/>
  <c r="F1984" i="9"/>
  <c r="G1984" i="9"/>
  <c r="L1984" i="9"/>
  <c r="H1984" i="9"/>
  <c r="M1984" i="9"/>
  <c r="C1771" i="9"/>
  <c r="D1771" i="9"/>
  <c r="E1771" i="9"/>
  <c r="J1771" i="9"/>
  <c r="K1771" i="9" s="1"/>
  <c r="B1771" i="9"/>
  <c r="F1771" i="9"/>
  <c r="G1771" i="9"/>
  <c r="H1771" i="9"/>
  <c r="I1771" i="9"/>
  <c r="L1771" i="9"/>
  <c r="E1756" i="9"/>
  <c r="B1756" i="9"/>
  <c r="C1756" i="9"/>
  <c r="D1756" i="9"/>
  <c r="F1756" i="9"/>
  <c r="G1756" i="9"/>
  <c r="H1756" i="9"/>
  <c r="J1756" i="9"/>
  <c r="K1756" i="9" s="1"/>
  <c r="I1756" i="9"/>
  <c r="L1756" i="9"/>
  <c r="M1756" i="9"/>
  <c r="F2878" i="9"/>
  <c r="G2878" i="9"/>
  <c r="C2878" i="9"/>
  <c r="D2878" i="9"/>
  <c r="E2878" i="9"/>
  <c r="H2878" i="9"/>
  <c r="L2878" i="9"/>
  <c r="G2801" i="9"/>
  <c r="H2801" i="9"/>
  <c r="D2801" i="9"/>
  <c r="L2696" i="9"/>
  <c r="M2696" i="9"/>
  <c r="D2696" i="9"/>
  <c r="E2696" i="9"/>
  <c r="F2696" i="9"/>
  <c r="G2696" i="9"/>
  <c r="H2696" i="9"/>
  <c r="I2696" i="9"/>
  <c r="F2658" i="9"/>
  <c r="G2658" i="9"/>
  <c r="H2658" i="9"/>
  <c r="M2658" i="9"/>
  <c r="B2658" i="9"/>
  <c r="M2537" i="9"/>
  <c r="I2537" i="9"/>
  <c r="J2537" i="9"/>
  <c r="K2537" i="9" s="1"/>
  <c r="L2537" i="9"/>
  <c r="C2263" i="9"/>
  <c r="E2263" i="9"/>
  <c r="B2263" i="9"/>
  <c r="D2263" i="9"/>
  <c r="F2263" i="9"/>
  <c r="G2263" i="9"/>
  <c r="H2263" i="9"/>
  <c r="I2263" i="9"/>
  <c r="J2263" i="9"/>
  <c r="K2263" i="9" s="1"/>
  <c r="D2125" i="9"/>
  <c r="E2125" i="9"/>
  <c r="F2125" i="9"/>
  <c r="G2125" i="9"/>
  <c r="L2125" i="9"/>
  <c r="C2125" i="9"/>
  <c r="H2125" i="9"/>
  <c r="I2125" i="9"/>
  <c r="J2125" i="9"/>
  <c r="K2125" i="9" s="1"/>
  <c r="M2125" i="9"/>
  <c r="D2086" i="9"/>
  <c r="E2086" i="9"/>
  <c r="F2086" i="9"/>
  <c r="C2086" i="9"/>
  <c r="G2086" i="9"/>
  <c r="H2086" i="9"/>
  <c r="B2086" i="9"/>
  <c r="L1614" i="9"/>
  <c r="M1614" i="9"/>
  <c r="H1614" i="9"/>
  <c r="I1614" i="9"/>
  <c r="J1614" i="9"/>
  <c r="K1614" i="9" s="1"/>
  <c r="D1614" i="9"/>
  <c r="E1614" i="9"/>
  <c r="F1614" i="9"/>
  <c r="G1614" i="9"/>
  <c r="F2598" i="9"/>
  <c r="G2598" i="9"/>
  <c r="H2598" i="9"/>
  <c r="M2598" i="9"/>
  <c r="I2598" i="9"/>
  <c r="J2598" i="9"/>
  <c r="K2598" i="9" s="1"/>
  <c r="L2598" i="9"/>
  <c r="J2545" i="9"/>
  <c r="K2545" i="9" s="1"/>
  <c r="F2545" i="9"/>
  <c r="G2545" i="9"/>
  <c r="H2545" i="9"/>
  <c r="I2545" i="9"/>
  <c r="L2545" i="9"/>
  <c r="C2524" i="9"/>
  <c r="B2524" i="9"/>
  <c r="D2524" i="9"/>
  <c r="E2524" i="9"/>
  <c r="F2524" i="9"/>
  <c r="G2524" i="9"/>
  <c r="H2524" i="9"/>
  <c r="J2524" i="9"/>
  <c r="K2524" i="9" s="1"/>
  <c r="L2457" i="9"/>
  <c r="M2457" i="9"/>
  <c r="F2457" i="9"/>
  <c r="G2457" i="9"/>
  <c r="H2457" i="9"/>
  <c r="I2457" i="9"/>
  <c r="J2457" i="9"/>
  <c r="K2457" i="9" s="1"/>
  <c r="E2370" i="9"/>
  <c r="F2370" i="9"/>
  <c r="G2370" i="9"/>
  <c r="L2370" i="9"/>
  <c r="D2370" i="9"/>
  <c r="H2370" i="9"/>
  <c r="I2370" i="9"/>
  <c r="M2370" i="9"/>
  <c r="D1297" i="9"/>
  <c r="G1297" i="9"/>
  <c r="H1297" i="9"/>
  <c r="I1297" i="9"/>
  <c r="F1297" i="9"/>
  <c r="L1297" i="9"/>
  <c r="M1297" i="9"/>
  <c r="B1297" i="9"/>
  <c r="C1297" i="9"/>
  <c r="E1297" i="9"/>
  <c r="J1297" i="9"/>
  <c r="K1297" i="9" s="1"/>
  <c r="L2896" i="9"/>
  <c r="F2896" i="9"/>
  <c r="G2896" i="9"/>
  <c r="H2896" i="9"/>
  <c r="I2896" i="9"/>
  <c r="D2811" i="9"/>
  <c r="C2811" i="9"/>
  <c r="G2811" i="9"/>
  <c r="E2811" i="9"/>
  <c r="F2811" i="9"/>
  <c r="C2708" i="9"/>
  <c r="L2708" i="9"/>
  <c r="M2708" i="9"/>
  <c r="J2044" i="9"/>
  <c r="K2044" i="9" s="1"/>
  <c r="L2044" i="9"/>
  <c r="D2044" i="9"/>
  <c r="C2044" i="9"/>
  <c r="E2044" i="9"/>
  <c r="F2044" i="9"/>
  <c r="G2044" i="9"/>
  <c r="H2044" i="9"/>
  <c r="I2044" i="9"/>
  <c r="D2006" i="9"/>
  <c r="E2006" i="9"/>
  <c r="F2006" i="9"/>
  <c r="I2006" i="9"/>
  <c r="J2006" i="9"/>
  <c r="K2006" i="9" s="1"/>
  <c r="L2006" i="9"/>
  <c r="M2006" i="9"/>
  <c r="D1834" i="9"/>
  <c r="E1834" i="9"/>
  <c r="F1834" i="9"/>
  <c r="L1834" i="9"/>
  <c r="M1834" i="9"/>
  <c r="B2986" i="9"/>
  <c r="J2986" i="9"/>
  <c r="K2986" i="9" s="1"/>
  <c r="L2986" i="9"/>
  <c r="J2965" i="9"/>
  <c r="K2965" i="9" s="1"/>
  <c r="L2965" i="9"/>
  <c r="J2506" i="9"/>
  <c r="K2506" i="9" s="1"/>
  <c r="L2506" i="9"/>
  <c r="D2506" i="9"/>
  <c r="E2506" i="9"/>
  <c r="F2506" i="9"/>
  <c r="G2506" i="9"/>
  <c r="H2506" i="9"/>
  <c r="I2506" i="9"/>
  <c r="D2480" i="9"/>
  <c r="H2480" i="9"/>
  <c r="I2480" i="9"/>
  <c r="J2480" i="9"/>
  <c r="K2480" i="9" s="1"/>
  <c r="L2480" i="9"/>
  <c r="M2480" i="9"/>
  <c r="F2449" i="9"/>
  <c r="G2449" i="9"/>
  <c r="H2449" i="9"/>
  <c r="M2449" i="9"/>
  <c r="E2449" i="9"/>
  <c r="I2449" i="9"/>
  <c r="J2449" i="9"/>
  <c r="K2449" i="9" s="1"/>
  <c r="L2449" i="9"/>
  <c r="C2409" i="9"/>
  <c r="M2409" i="9"/>
  <c r="J2224" i="9"/>
  <c r="K2224" i="9" s="1"/>
  <c r="L2224" i="9"/>
  <c r="B2224" i="9"/>
  <c r="M2224" i="9"/>
  <c r="D2224" i="9"/>
  <c r="E2224" i="9"/>
  <c r="F2224" i="9"/>
  <c r="G2224" i="9"/>
  <c r="H2224" i="9"/>
  <c r="I2224" i="9"/>
  <c r="L2873" i="9"/>
  <c r="B2873" i="9"/>
  <c r="C2873" i="9"/>
  <c r="E2873" i="9"/>
  <c r="D2873" i="9"/>
  <c r="I2873" i="9"/>
  <c r="J2750" i="9"/>
  <c r="K2750" i="9" s="1"/>
  <c r="B2750" i="9"/>
  <c r="B2421" i="9"/>
  <c r="D2421" i="9"/>
  <c r="C2421" i="9"/>
  <c r="I2421" i="9"/>
  <c r="J2421" i="9"/>
  <c r="K2421" i="9" s="1"/>
  <c r="L2421" i="9"/>
  <c r="M2421" i="9"/>
  <c r="L2351" i="9"/>
  <c r="M2351" i="9"/>
  <c r="J2351" i="9"/>
  <c r="K2351" i="9" s="1"/>
  <c r="L2027" i="9"/>
  <c r="M2027" i="9"/>
  <c r="B2027" i="9"/>
  <c r="C2027" i="9"/>
  <c r="D2027" i="9"/>
  <c r="I2027" i="9"/>
  <c r="E2027" i="9"/>
  <c r="C2002" i="9"/>
  <c r="J2002" i="9"/>
  <c r="K2002" i="9" s="1"/>
  <c r="L2002" i="9"/>
  <c r="D2002" i="9"/>
  <c r="E2002" i="9"/>
  <c r="F2002" i="9"/>
  <c r="G2002" i="9"/>
  <c r="H2002" i="9"/>
  <c r="I2002" i="9"/>
  <c r="L1975" i="9"/>
  <c r="D1975" i="9"/>
  <c r="M1975" i="9"/>
  <c r="E1975" i="9"/>
  <c r="F1975" i="9"/>
  <c r="G1975" i="9"/>
  <c r="H1975" i="9"/>
  <c r="I1975" i="9"/>
  <c r="J1975" i="9"/>
  <c r="K1975" i="9" s="1"/>
  <c r="G1943" i="9"/>
  <c r="H1943" i="9"/>
  <c r="B1943" i="9"/>
  <c r="C1943" i="9"/>
  <c r="D1943" i="9"/>
  <c r="M2959" i="9"/>
  <c r="E2959" i="9"/>
  <c r="F2959" i="9"/>
  <c r="G2959" i="9"/>
  <c r="L2959" i="9"/>
  <c r="B2806" i="9"/>
  <c r="C2806" i="9"/>
  <c r="I2806" i="9"/>
  <c r="F2806" i="9"/>
  <c r="L2776" i="9"/>
  <c r="M2776" i="9"/>
  <c r="B2776" i="9"/>
  <c r="C2776" i="9"/>
  <c r="E2776" i="9"/>
  <c r="D2776" i="9"/>
  <c r="F2776" i="9"/>
  <c r="I2776" i="9"/>
  <c r="C2669" i="9"/>
  <c r="D2669" i="9"/>
  <c r="E2669" i="9"/>
  <c r="J2669" i="9"/>
  <c r="K2669" i="9" s="1"/>
  <c r="L2633" i="9"/>
  <c r="M2633" i="9"/>
  <c r="F2633" i="9"/>
  <c r="G2633" i="9"/>
  <c r="H2633" i="9"/>
  <c r="I2633" i="9"/>
  <c r="J2633" i="9"/>
  <c r="K2633" i="9" s="1"/>
  <c r="E1227" i="9"/>
  <c r="F1227" i="9"/>
  <c r="G1227" i="9"/>
  <c r="H1227" i="9"/>
  <c r="I1227" i="9"/>
  <c r="J1227" i="9"/>
  <c r="K1227" i="9" s="1"/>
  <c r="L1227" i="9"/>
  <c r="M1227" i="9"/>
  <c r="B1227" i="9"/>
  <c r="C1227" i="9"/>
  <c r="D1227" i="9"/>
  <c r="F2917" i="9"/>
  <c r="I2917" i="9"/>
  <c r="G2917" i="9"/>
  <c r="H2917" i="9"/>
  <c r="M2917" i="9"/>
  <c r="E2655" i="9"/>
  <c r="F2655" i="9"/>
  <c r="G2655" i="9"/>
  <c r="L2655" i="9"/>
  <c r="J2655" i="9"/>
  <c r="K2655" i="9" s="1"/>
  <c r="M2655" i="9"/>
  <c r="B2435" i="9"/>
  <c r="L2435" i="9"/>
  <c r="M2435" i="9"/>
  <c r="F2435" i="9"/>
  <c r="G2435" i="9"/>
  <c r="H2435" i="9"/>
  <c r="I2435" i="9"/>
  <c r="J2435" i="9"/>
  <c r="K2435" i="9" s="1"/>
  <c r="I2325" i="9"/>
  <c r="J2325" i="9"/>
  <c r="K2325" i="9" s="1"/>
  <c r="M2325" i="9"/>
  <c r="B2325" i="9"/>
  <c r="H2018" i="9"/>
  <c r="I2018" i="9"/>
  <c r="J2018" i="9"/>
  <c r="K2018" i="9" s="1"/>
  <c r="B2018" i="9"/>
  <c r="L2018" i="9"/>
  <c r="M2018" i="9"/>
  <c r="B1687" i="9"/>
  <c r="I1687" i="9"/>
  <c r="J1687" i="9"/>
  <c r="K1687" i="9" s="1"/>
  <c r="H1687" i="9"/>
  <c r="L1687" i="9"/>
  <c r="M1687" i="9"/>
  <c r="F1687" i="9"/>
  <c r="G1687" i="9"/>
  <c r="G1642" i="9"/>
  <c r="I1642" i="9"/>
  <c r="C1642" i="9"/>
  <c r="D1642" i="9"/>
  <c r="E1642" i="9"/>
  <c r="L1642" i="9"/>
  <c r="M1642" i="9"/>
  <c r="F538" i="9"/>
  <c r="B538" i="9"/>
  <c r="J538" i="9"/>
  <c r="K538" i="9" s="1"/>
  <c r="L538" i="9"/>
  <c r="M538" i="9"/>
  <c r="E538" i="9"/>
  <c r="G538" i="9"/>
  <c r="I538" i="9"/>
  <c r="D538" i="9"/>
  <c r="H538" i="9"/>
  <c r="M3000" i="9"/>
  <c r="M2950" i="9"/>
  <c r="H2784" i="9"/>
  <c r="I2784" i="9"/>
  <c r="G2784" i="9"/>
  <c r="J2784" i="9"/>
  <c r="K2784" i="9" s="1"/>
  <c r="L2784" i="9"/>
  <c r="M2784" i="9"/>
  <c r="C2749" i="9"/>
  <c r="D2749" i="9"/>
  <c r="E2749" i="9"/>
  <c r="J2749" i="9"/>
  <c r="K2749" i="9" s="1"/>
  <c r="G2749" i="9"/>
  <c r="H2749" i="9"/>
  <c r="I2749" i="9"/>
  <c r="L2749" i="9"/>
  <c r="E2169" i="9"/>
  <c r="F2169" i="9"/>
  <c r="G2169" i="9"/>
  <c r="L2169" i="9"/>
  <c r="D2169" i="9"/>
  <c r="H2169" i="9"/>
  <c r="I2169" i="9"/>
  <c r="J2169" i="9"/>
  <c r="K2169" i="9" s="1"/>
  <c r="M2169" i="9"/>
  <c r="D2025" i="9"/>
  <c r="C2025" i="9"/>
  <c r="E2025" i="9"/>
  <c r="F2025" i="9"/>
  <c r="G2025" i="9"/>
  <c r="H2025" i="9"/>
  <c r="I2025" i="9"/>
  <c r="J2025" i="9"/>
  <c r="K2025" i="9" s="1"/>
  <c r="L2025" i="9"/>
  <c r="M2025" i="9"/>
  <c r="M1964" i="9"/>
  <c r="E1964" i="9"/>
  <c r="F1964" i="9"/>
  <c r="G1964" i="9"/>
  <c r="L1964" i="9"/>
  <c r="B1808" i="9"/>
  <c r="C1808" i="9"/>
  <c r="D1808" i="9"/>
  <c r="I1808" i="9"/>
  <c r="J1808" i="9"/>
  <c r="K1808" i="9" s="1"/>
  <c r="L1808" i="9"/>
  <c r="M1808" i="9"/>
  <c r="F1808" i="9"/>
  <c r="G1808" i="9"/>
  <c r="H1808" i="9"/>
  <c r="D1673" i="9"/>
  <c r="B1673" i="9"/>
  <c r="E1673" i="9"/>
  <c r="F1673" i="9"/>
  <c r="G1673" i="9"/>
  <c r="H1673" i="9"/>
  <c r="I1673" i="9"/>
  <c r="J1673" i="9"/>
  <c r="K1673" i="9" s="1"/>
  <c r="L1673" i="9"/>
  <c r="M1673" i="9"/>
  <c r="E1047" i="9"/>
  <c r="L1047" i="9"/>
  <c r="M1047" i="9"/>
  <c r="D1047" i="9"/>
  <c r="B1047" i="9"/>
  <c r="C1047" i="9"/>
  <c r="F1047" i="9"/>
  <c r="G1047" i="9"/>
  <c r="H1047" i="9"/>
  <c r="I1047" i="9"/>
  <c r="M2975" i="9"/>
  <c r="L2929" i="9"/>
  <c r="L2892" i="9"/>
  <c r="M2882" i="9"/>
  <c r="H2874" i="9"/>
  <c r="M2865" i="9"/>
  <c r="L2801" i="9"/>
  <c r="L2773" i="9"/>
  <c r="B2773" i="9"/>
  <c r="M2659" i="9"/>
  <c r="F2659" i="9"/>
  <c r="G2659" i="9"/>
  <c r="H2659" i="9"/>
  <c r="I2659" i="9"/>
  <c r="J2659" i="9"/>
  <c r="K2659" i="9" s="1"/>
  <c r="M2612" i="9"/>
  <c r="L2571" i="9"/>
  <c r="M2571" i="9"/>
  <c r="B2571" i="9"/>
  <c r="G2556" i="9"/>
  <c r="D2556" i="9"/>
  <c r="M2556" i="9"/>
  <c r="B1973" i="9"/>
  <c r="C1973" i="9"/>
  <c r="D1973" i="9"/>
  <c r="I1973" i="9"/>
  <c r="G1973" i="9"/>
  <c r="H1973" i="9"/>
  <c r="J1973" i="9"/>
  <c r="K1973" i="9" s="1"/>
  <c r="L1973" i="9"/>
  <c r="M1973" i="9"/>
  <c r="I1966" i="9"/>
  <c r="H1966" i="9"/>
  <c r="J1966" i="9"/>
  <c r="K1966" i="9" s="1"/>
  <c r="C1966" i="9"/>
  <c r="D1966" i="9"/>
  <c r="E1966" i="9"/>
  <c r="F1900" i="9"/>
  <c r="G1900" i="9"/>
  <c r="H1900" i="9"/>
  <c r="E1900" i="9"/>
  <c r="I1900" i="9"/>
  <c r="J1900" i="9"/>
  <c r="K1900" i="9" s="1"/>
  <c r="L1900" i="9"/>
  <c r="M1900" i="9"/>
  <c r="G1863" i="9"/>
  <c r="H1863" i="9"/>
  <c r="I1863" i="9"/>
  <c r="B1863" i="9"/>
  <c r="I2981" i="9"/>
  <c r="J2977" i="9"/>
  <c r="K2977" i="9" s="1"/>
  <c r="G2952" i="9"/>
  <c r="J2888" i="9"/>
  <c r="K2888" i="9" s="1"/>
  <c r="F2950" i="9"/>
  <c r="H2937" i="9"/>
  <c r="I2929" i="9"/>
  <c r="D2912" i="9"/>
  <c r="H2912" i="9"/>
  <c r="I2912" i="9"/>
  <c r="J2912" i="9"/>
  <c r="K2912" i="9" s="1"/>
  <c r="I2888" i="9"/>
  <c r="E2874" i="9"/>
  <c r="C2849" i="9"/>
  <c r="D2849" i="9"/>
  <c r="G2849" i="9"/>
  <c r="J2849" i="9"/>
  <c r="K2849" i="9" s="1"/>
  <c r="H2849" i="9"/>
  <c r="I2849" i="9"/>
  <c r="B2826" i="9"/>
  <c r="C2826" i="9"/>
  <c r="I2826" i="9"/>
  <c r="M2826" i="9"/>
  <c r="H2777" i="9"/>
  <c r="M2765" i="9"/>
  <c r="H2748" i="9"/>
  <c r="M2741" i="9"/>
  <c r="L2736" i="9"/>
  <c r="M2736" i="9"/>
  <c r="J2736" i="9"/>
  <c r="K2736" i="9" s="1"/>
  <c r="L2716" i="9"/>
  <c r="M2716" i="9"/>
  <c r="G2716" i="9"/>
  <c r="H2716" i="9"/>
  <c r="I2716" i="9"/>
  <c r="J2716" i="9"/>
  <c r="K2716" i="9" s="1"/>
  <c r="H2706" i="9"/>
  <c r="E3000" i="9"/>
  <c r="J2996" i="9"/>
  <c r="K2996" i="9" s="1"/>
  <c r="H2994" i="9"/>
  <c r="I2992" i="9"/>
  <c r="I2986" i="9"/>
  <c r="E2981" i="9"/>
  <c r="F2979" i="9"/>
  <c r="F2977" i="9"/>
  <c r="D2975" i="9"/>
  <c r="H2971" i="9"/>
  <c r="H2965" i="9"/>
  <c r="F2958" i="9"/>
  <c r="D2958" i="9"/>
  <c r="G2954" i="9"/>
  <c r="H2954" i="9"/>
  <c r="I2954" i="9"/>
  <c r="D2950" i="9"/>
  <c r="I2946" i="9"/>
  <c r="L2942" i="9"/>
  <c r="E2939" i="9"/>
  <c r="F2937" i="9"/>
  <c r="C2933" i="9"/>
  <c r="F2931" i="9"/>
  <c r="G2929" i="9"/>
  <c r="D2918" i="9"/>
  <c r="M2913" i="9"/>
  <c r="F2902" i="9"/>
  <c r="F2900" i="9"/>
  <c r="J2896" i="9"/>
  <c r="K2896" i="9" s="1"/>
  <c r="G2894" i="9"/>
  <c r="G2892" i="9"/>
  <c r="C2888" i="9"/>
  <c r="H2882" i="9"/>
  <c r="J2878" i="9"/>
  <c r="K2878" i="9" s="1"/>
  <c r="C2876" i="9"/>
  <c r="C2874" i="9"/>
  <c r="L2871" i="9"/>
  <c r="G2869" i="9"/>
  <c r="H2865" i="9"/>
  <c r="F2859" i="9"/>
  <c r="H2857" i="9"/>
  <c r="C2851" i="9"/>
  <c r="F2851" i="9"/>
  <c r="D2851" i="9"/>
  <c r="E2851" i="9"/>
  <c r="J2851" i="9"/>
  <c r="K2851" i="9" s="1"/>
  <c r="M2839" i="9"/>
  <c r="F2839" i="9"/>
  <c r="G2839" i="9"/>
  <c r="H2839" i="9"/>
  <c r="I2839" i="9"/>
  <c r="E2835" i="9"/>
  <c r="F2835" i="9"/>
  <c r="L2835" i="9"/>
  <c r="L2832" i="9"/>
  <c r="C2830" i="9"/>
  <c r="L2825" i="9"/>
  <c r="L2811" i="9"/>
  <c r="I2807" i="9"/>
  <c r="J2807" i="9"/>
  <c r="K2807" i="9" s="1"/>
  <c r="G2807" i="9"/>
  <c r="H2807" i="9"/>
  <c r="L2807" i="9"/>
  <c r="E2801" i="9"/>
  <c r="F2797" i="9"/>
  <c r="D2797" i="9"/>
  <c r="E2797" i="9"/>
  <c r="H2797" i="9"/>
  <c r="G2797" i="9"/>
  <c r="L2797" i="9"/>
  <c r="E2777" i="9"/>
  <c r="D2772" i="9"/>
  <c r="E2772" i="9"/>
  <c r="G2772" i="9"/>
  <c r="H2772" i="9"/>
  <c r="J2772" i="9"/>
  <c r="K2772" i="9" s="1"/>
  <c r="I2772" i="9"/>
  <c r="L2772" i="9"/>
  <c r="J2765" i="9"/>
  <c r="K2765" i="9" s="1"/>
  <c r="H2753" i="9"/>
  <c r="L2750" i="9"/>
  <c r="F2748" i="9"/>
  <c r="H2726" i="9"/>
  <c r="F2718" i="9"/>
  <c r="G2718" i="9"/>
  <c r="H2718" i="9"/>
  <c r="M2718" i="9"/>
  <c r="D2718" i="9"/>
  <c r="J2718" i="9"/>
  <c r="K2718" i="9" s="1"/>
  <c r="E2718" i="9"/>
  <c r="I2718" i="9"/>
  <c r="L2718" i="9"/>
  <c r="G2708" i="9"/>
  <c r="E2704" i="9"/>
  <c r="J2696" i="9"/>
  <c r="K2696" i="9" s="1"/>
  <c r="J2670" i="9"/>
  <c r="K2670" i="9" s="1"/>
  <c r="L2670" i="9"/>
  <c r="C2670" i="9"/>
  <c r="D2670" i="9"/>
  <c r="E2670" i="9"/>
  <c r="F2670" i="9"/>
  <c r="G2670" i="9"/>
  <c r="H2670" i="9"/>
  <c r="M2670" i="9"/>
  <c r="C2664" i="9"/>
  <c r="E2658" i="9"/>
  <c r="J2651" i="9"/>
  <c r="K2651" i="9" s="1"/>
  <c r="G2647" i="9"/>
  <c r="F2645" i="9"/>
  <c r="E2631" i="9"/>
  <c r="M2614" i="9"/>
  <c r="G2612" i="9"/>
  <c r="E2598" i="9"/>
  <c r="E2596" i="9"/>
  <c r="E2594" i="9"/>
  <c r="L2594" i="9"/>
  <c r="M2594" i="9"/>
  <c r="I2587" i="9"/>
  <c r="J2587" i="9"/>
  <c r="K2587" i="9" s="1"/>
  <c r="B2587" i="9"/>
  <c r="C2587" i="9"/>
  <c r="D2587" i="9"/>
  <c r="E2587" i="9"/>
  <c r="F2587" i="9"/>
  <c r="G2587" i="9"/>
  <c r="L2587" i="9"/>
  <c r="F2564" i="9"/>
  <c r="E2545" i="9"/>
  <c r="C2539" i="9"/>
  <c r="D2537" i="9"/>
  <c r="F2529" i="9"/>
  <c r="M2524" i="9"/>
  <c r="H2521" i="9"/>
  <c r="F2504" i="9"/>
  <c r="E2486" i="9"/>
  <c r="C2484" i="9"/>
  <c r="E2484" i="9"/>
  <c r="L2484" i="9"/>
  <c r="M2484" i="9"/>
  <c r="J2484" i="9"/>
  <c r="K2484" i="9" s="1"/>
  <c r="G2474" i="9"/>
  <c r="D2466" i="9"/>
  <c r="E2466" i="9"/>
  <c r="F2466" i="9"/>
  <c r="I2462" i="9"/>
  <c r="L2462" i="9"/>
  <c r="M2462" i="9"/>
  <c r="E2457" i="9"/>
  <c r="I2409" i="9"/>
  <c r="H2388" i="9"/>
  <c r="C2386" i="9"/>
  <c r="M2364" i="9"/>
  <c r="I2351" i="9"/>
  <c r="G2349" i="9"/>
  <c r="C2346" i="9"/>
  <c r="C2319" i="9"/>
  <c r="D2319" i="9"/>
  <c r="E2319" i="9"/>
  <c r="J2319" i="9"/>
  <c r="K2319" i="9" s="1"/>
  <c r="D2312" i="9"/>
  <c r="G2307" i="9"/>
  <c r="L2292" i="9"/>
  <c r="C2276" i="9"/>
  <c r="J2264" i="9"/>
  <c r="K2264" i="9" s="1"/>
  <c r="E2264" i="9"/>
  <c r="F2264" i="9"/>
  <c r="G2264" i="9"/>
  <c r="M2264" i="9"/>
  <c r="L2190" i="9"/>
  <c r="M2190" i="9"/>
  <c r="E2190" i="9"/>
  <c r="F2190" i="9"/>
  <c r="G2190" i="9"/>
  <c r="B2190" i="9"/>
  <c r="D2115" i="9"/>
  <c r="L2110" i="9"/>
  <c r="M2110" i="9"/>
  <c r="G2110" i="9"/>
  <c r="H2110" i="9"/>
  <c r="I2110" i="9"/>
  <c r="C2103" i="9"/>
  <c r="D2103" i="9"/>
  <c r="E2103" i="9"/>
  <c r="J2103" i="9"/>
  <c r="K2103" i="9" s="1"/>
  <c r="H2103" i="9"/>
  <c r="B2103" i="9"/>
  <c r="F2103" i="9"/>
  <c r="G2103" i="9"/>
  <c r="I2103" i="9"/>
  <c r="L2103" i="9"/>
  <c r="E2089" i="9"/>
  <c r="F2089" i="9"/>
  <c r="G2089" i="9"/>
  <c r="L2089" i="9"/>
  <c r="I2089" i="9"/>
  <c r="J2089" i="9"/>
  <c r="K2089" i="9" s="1"/>
  <c r="M2089" i="9"/>
  <c r="L2086" i="9"/>
  <c r="G2080" i="9"/>
  <c r="C2023" i="9"/>
  <c r="D2023" i="9"/>
  <c r="E2023" i="9"/>
  <c r="J2023" i="9"/>
  <c r="K2023" i="9" s="1"/>
  <c r="B2023" i="9"/>
  <c r="F2023" i="9"/>
  <c r="G2023" i="9"/>
  <c r="M2023" i="9"/>
  <c r="C1984" i="9"/>
  <c r="E1948" i="9"/>
  <c r="J1907" i="9"/>
  <c r="K1907" i="9" s="1"/>
  <c r="I1834" i="9"/>
  <c r="M1830" i="9"/>
  <c r="E1777" i="9"/>
  <c r="F1777" i="9"/>
  <c r="G1777" i="9"/>
  <c r="L1777" i="9"/>
  <c r="C1777" i="9"/>
  <c r="D1777" i="9"/>
  <c r="H1777" i="9"/>
  <c r="I1777" i="9"/>
  <c r="J1777" i="9"/>
  <c r="K1777" i="9" s="1"/>
  <c r="M1777" i="9"/>
  <c r="D1750" i="9"/>
  <c r="J1535" i="9"/>
  <c r="K1535" i="9" s="1"/>
  <c r="J1512" i="9"/>
  <c r="K1512" i="9" s="1"/>
  <c r="H1408" i="9"/>
  <c r="C1395" i="9"/>
  <c r="D1395" i="9"/>
  <c r="B1395" i="9"/>
  <c r="E1395" i="9"/>
  <c r="F1395" i="9"/>
  <c r="G1395" i="9"/>
  <c r="H1395" i="9"/>
  <c r="I1395" i="9"/>
  <c r="J1395" i="9"/>
  <c r="K1395" i="9" s="1"/>
  <c r="L1395" i="9"/>
  <c r="M1395" i="9"/>
  <c r="C1375" i="9"/>
  <c r="D1375" i="9"/>
  <c r="B1375" i="9"/>
  <c r="F1375" i="9"/>
  <c r="G1375" i="9"/>
  <c r="E1375" i="9"/>
  <c r="D2952" i="9"/>
  <c r="L2952" i="9"/>
  <c r="M2952" i="9"/>
  <c r="C2809" i="9"/>
  <c r="D2809" i="9"/>
  <c r="J2809" i="9"/>
  <c r="K2809" i="9" s="1"/>
  <c r="F2809" i="9"/>
  <c r="I2809" i="9"/>
  <c r="G2809" i="9"/>
  <c r="H2809" i="9"/>
  <c r="B2745" i="9"/>
  <c r="H2745" i="9"/>
  <c r="I2745" i="9"/>
  <c r="J2745" i="9"/>
  <c r="K2745" i="9" s="1"/>
  <c r="L2745" i="9"/>
  <c r="M2745" i="9"/>
  <c r="B2706" i="9"/>
  <c r="C2706" i="9"/>
  <c r="D2706" i="9"/>
  <c r="I2706" i="9"/>
  <c r="M2706" i="9"/>
  <c r="M2679" i="9"/>
  <c r="I2679" i="9"/>
  <c r="J2679" i="9"/>
  <c r="K2679" i="9" s="1"/>
  <c r="L2679" i="9"/>
  <c r="B2515" i="9"/>
  <c r="D2515" i="9"/>
  <c r="E2515" i="9"/>
  <c r="F2515" i="9"/>
  <c r="C2515" i="9"/>
  <c r="B2441" i="9"/>
  <c r="D2441" i="9"/>
  <c r="G2441" i="9"/>
  <c r="F2441" i="9"/>
  <c r="H2441" i="9"/>
  <c r="I2441" i="9"/>
  <c r="J2441" i="9"/>
  <c r="K2441" i="9" s="1"/>
  <c r="L2441" i="9"/>
  <c r="E2855" i="9"/>
  <c r="F2855" i="9"/>
  <c r="B2855" i="9"/>
  <c r="M2799" i="9"/>
  <c r="B2799" i="9"/>
  <c r="E2799" i="9"/>
  <c r="C2799" i="9"/>
  <c r="D2799" i="9"/>
  <c r="I2799" i="9"/>
  <c r="B2501" i="9"/>
  <c r="D2501" i="9"/>
  <c r="I2501" i="9"/>
  <c r="J2501" i="9"/>
  <c r="K2501" i="9" s="1"/>
  <c r="D2427" i="9"/>
  <c r="F2427" i="9"/>
  <c r="G2427" i="9"/>
  <c r="H2427" i="9"/>
  <c r="I2427" i="9"/>
  <c r="L2427" i="9"/>
  <c r="M2427" i="9"/>
  <c r="E2028" i="9"/>
  <c r="M2028" i="9"/>
  <c r="J2028" i="9"/>
  <c r="K2028" i="9" s="1"/>
  <c r="L2028" i="9"/>
  <c r="H2028" i="9"/>
  <c r="I2028" i="9"/>
  <c r="M2779" i="9"/>
  <c r="I2779" i="9"/>
  <c r="J2779" i="9"/>
  <c r="K2779" i="9" s="1"/>
  <c r="L2779" i="9"/>
  <c r="C2649" i="9"/>
  <c r="D2649" i="9"/>
  <c r="E2649" i="9"/>
  <c r="J2649" i="9"/>
  <c r="K2649" i="9" s="1"/>
  <c r="M2649" i="9"/>
  <c r="H2584" i="9"/>
  <c r="I2584" i="9"/>
  <c r="J2584" i="9"/>
  <c r="K2584" i="9" s="1"/>
  <c r="M2488" i="9"/>
  <c r="C2488" i="9"/>
  <c r="D2488" i="9"/>
  <c r="E2488" i="9"/>
  <c r="J2488" i="9"/>
  <c r="K2488" i="9" s="1"/>
  <c r="D2367" i="9"/>
  <c r="E2367" i="9"/>
  <c r="F2367" i="9"/>
  <c r="B2367" i="9"/>
  <c r="F2212" i="9"/>
  <c r="G2212" i="9"/>
  <c r="H2212" i="9"/>
  <c r="M2212" i="9"/>
  <c r="E2212" i="9"/>
  <c r="I2212" i="9"/>
  <c r="J2212" i="9"/>
  <c r="K2212" i="9" s="1"/>
  <c r="C2212" i="9"/>
  <c r="D2212" i="9"/>
  <c r="L2212" i="9"/>
  <c r="G2175" i="9"/>
  <c r="H2175" i="9"/>
  <c r="I2175" i="9"/>
  <c r="E2175" i="9"/>
  <c r="F2175" i="9"/>
  <c r="J2175" i="9"/>
  <c r="K2175" i="9" s="1"/>
  <c r="D2175" i="9"/>
  <c r="L2175" i="9"/>
  <c r="M2175" i="9"/>
  <c r="M1640" i="9"/>
  <c r="F1640" i="9"/>
  <c r="G1640" i="9"/>
  <c r="H1640" i="9"/>
  <c r="J1640" i="9"/>
  <c r="K1640" i="9" s="1"/>
  <c r="L1640" i="9"/>
  <c r="C1640" i="9"/>
  <c r="D1640" i="9"/>
  <c r="E1640" i="9"/>
  <c r="I1640" i="9"/>
  <c r="H2944" i="9"/>
  <c r="L2944" i="9"/>
  <c r="M2944" i="9"/>
  <c r="E2774" i="9"/>
  <c r="D2774" i="9"/>
  <c r="H2774" i="9"/>
  <c r="F2774" i="9"/>
  <c r="G2774" i="9"/>
  <c r="I2774" i="9"/>
  <c r="L2774" i="9"/>
  <c r="D2146" i="9"/>
  <c r="E2146" i="9"/>
  <c r="F2146" i="9"/>
  <c r="G2146" i="9"/>
  <c r="I2146" i="9"/>
  <c r="J2146" i="9"/>
  <c r="K2146" i="9" s="1"/>
  <c r="L2146" i="9"/>
  <c r="M2146" i="9"/>
  <c r="B2146" i="9"/>
  <c r="C2146" i="9"/>
  <c r="H2146" i="9"/>
  <c r="L2973" i="9"/>
  <c r="M2973" i="9"/>
  <c r="H2844" i="9"/>
  <c r="I2844" i="9"/>
  <c r="D2844" i="9"/>
  <c r="E2844" i="9"/>
  <c r="G2844" i="9"/>
  <c r="F2844" i="9"/>
  <c r="M2844" i="9"/>
  <c r="B2785" i="9"/>
  <c r="D2785" i="9"/>
  <c r="L2693" i="9"/>
  <c r="M2693" i="9"/>
  <c r="B2693" i="9"/>
  <c r="I2542" i="9"/>
  <c r="L2542" i="9"/>
  <c r="M2542" i="9"/>
  <c r="B2542" i="9"/>
  <c r="E2245" i="9"/>
  <c r="I2245" i="9"/>
  <c r="J2245" i="9"/>
  <c r="K2245" i="9" s="1"/>
  <c r="L2245" i="9"/>
  <c r="M2245" i="9"/>
  <c r="G2235" i="9"/>
  <c r="I2235" i="9"/>
  <c r="C2235" i="9"/>
  <c r="J2235" i="9"/>
  <c r="K2235" i="9" s="1"/>
  <c r="L2235" i="9"/>
  <c r="M2235" i="9"/>
  <c r="E2209" i="9"/>
  <c r="F2209" i="9"/>
  <c r="G2209" i="9"/>
  <c r="L2209" i="9"/>
  <c r="H2209" i="9"/>
  <c r="M2209" i="9"/>
  <c r="C2063" i="9"/>
  <c r="D2063" i="9"/>
  <c r="E2063" i="9"/>
  <c r="J2063" i="9"/>
  <c r="K2063" i="9" s="1"/>
  <c r="H2063" i="9"/>
  <c r="I2063" i="9"/>
  <c r="L2063" i="9"/>
  <c r="M2063" i="9"/>
  <c r="B2666" i="9"/>
  <c r="C2666" i="9"/>
  <c r="D2666" i="9"/>
  <c r="I2666" i="9"/>
  <c r="F2666" i="9"/>
  <c r="G2666" i="9"/>
  <c r="H2666" i="9"/>
  <c r="J2666" i="9"/>
  <c r="K2666" i="9" s="1"/>
  <c r="L2666" i="9"/>
  <c r="F2413" i="9"/>
  <c r="G2413" i="9"/>
  <c r="H2413" i="9"/>
  <c r="L2413" i="9"/>
  <c r="M2413" i="9"/>
  <c r="E2390" i="9"/>
  <c r="F2390" i="9"/>
  <c r="G2390" i="9"/>
  <c r="L2390" i="9"/>
  <c r="J2390" i="9"/>
  <c r="K2390" i="9" s="1"/>
  <c r="M2390" i="9"/>
  <c r="B2340" i="9"/>
  <c r="G2340" i="9"/>
  <c r="H2340" i="9"/>
  <c r="I2340" i="9"/>
  <c r="F2340" i="9"/>
  <c r="J2340" i="9"/>
  <c r="K2340" i="9" s="1"/>
  <c r="L2340" i="9"/>
  <c r="M2340" i="9"/>
  <c r="E2330" i="9"/>
  <c r="F2330" i="9"/>
  <c r="G2330" i="9"/>
  <c r="L2330" i="9"/>
  <c r="H2330" i="9"/>
  <c r="M2330" i="9"/>
  <c r="H2278" i="9"/>
  <c r="L2278" i="9"/>
  <c r="M2278" i="9"/>
  <c r="E2278" i="9"/>
  <c r="F2278" i="9"/>
  <c r="G2278" i="9"/>
  <c r="I2278" i="9"/>
  <c r="J2278" i="9"/>
  <c r="K2278" i="9" s="1"/>
  <c r="D2278" i="9"/>
  <c r="J2262" i="9"/>
  <c r="K2262" i="9" s="1"/>
  <c r="L2262" i="9"/>
  <c r="E2262" i="9"/>
  <c r="F2262" i="9"/>
  <c r="G2262" i="9"/>
  <c r="H2262" i="9"/>
  <c r="I2262" i="9"/>
  <c r="M2262" i="9"/>
  <c r="B2040" i="9"/>
  <c r="C2040" i="9"/>
  <c r="D2040" i="9"/>
  <c r="I2040" i="9"/>
  <c r="G2040" i="9"/>
  <c r="J2040" i="9"/>
  <c r="K2040" i="9" s="1"/>
  <c r="L2040" i="9"/>
  <c r="M2040" i="9"/>
  <c r="L1935" i="9"/>
  <c r="G1935" i="9"/>
  <c r="H1935" i="9"/>
  <c r="I1935" i="9"/>
  <c r="E1935" i="9"/>
  <c r="F1935" i="9"/>
  <c r="J1935" i="9"/>
  <c r="K1935" i="9" s="1"/>
  <c r="C1935" i="9"/>
  <c r="D1935" i="9"/>
  <c r="M1935" i="9"/>
  <c r="E1441" i="9"/>
  <c r="D1441" i="9"/>
  <c r="F1441" i="9"/>
  <c r="G1441" i="9"/>
  <c r="L1441" i="9"/>
  <c r="I1441" i="9"/>
  <c r="J1441" i="9"/>
  <c r="K1441" i="9" s="1"/>
  <c r="M1441" i="9"/>
  <c r="C1441" i="9"/>
  <c r="H1441" i="9"/>
  <c r="J2842" i="9"/>
  <c r="K2842" i="9" s="1"/>
  <c r="M2842" i="9"/>
  <c r="L2842" i="9"/>
  <c r="J2710" i="9"/>
  <c r="K2710" i="9" s="1"/>
  <c r="L2710" i="9"/>
  <c r="I2710" i="9"/>
  <c r="M2710" i="9"/>
  <c r="F2638" i="9"/>
  <c r="G2638" i="9"/>
  <c r="H2638" i="9"/>
  <c r="M2638" i="9"/>
  <c r="D2611" i="9"/>
  <c r="E2611" i="9"/>
  <c r="F2611" i="9"/>
  <c r="G2611" i="9"/>
  <c r="H2611" i="9"/>
  <c r="I2611" i="9"/>
  <c r="J2611" i="9"/>
  <c r="K2611" i="9" s="1"/>
  <c r="L2611" i="9"/>
  <c r="G1950" i="9"/>
  <c r="H1950" i="9"/>
  <c r="I1950" i="9"/>
  <c r="F1950" i="9"/>
  <c r="J1950" i="9"/>
  <c r="K1950" i="9" s="1"/>
  <c r="M1950" i="9"/>
  <c r="D952" i="9"/>
  <c r="E952" i="9"/>
  <c r="F952" i="9"/>
  <c r="J952" i="9"/>
  <c r="K952" i="9" s="1"/>
  <c r="L952" i="9"/>
  <c r="I952" i="9"/>
  <c r="M952" i="9"/>
  <c r="G952" i="9"/>
  <c r="H952" i="9"/>
  <c r="B2586" i="9"/>
  <c r="C2586" i="9"/>
  <c r="D2586" i="9"/>
  <c r="I2586" i="9"/>
  <c r="L2030" i="9"/>
  <c r="M2030" i="9"/>
  <c r="J2030" i="9"/>
  <c r="K2030" i="9" s="1"/>
  <c r="G638" i="9"/>
  <c r="L638" i="9"/>
  <c r="F638" i="9"/>
  <c r="H638" i="9"/>
  <c r="J638" i="9"/>
  <c r="K638" i="9" s="1"/>
  <c r="E638" i="9"/>
  <c r="I638" i="9"/>
  <c r="M638" i="9"/>
  <c r="C638" i="9"/>
  <c r="D638" i="9"/>
  <c r="B638" i="9"/>
  <c r="G2921" i="9"/>
  <c r="C2921" i="9"/>
  <c r="L2796" i="9"/>
  <c r="M2796" i="9"/>
  <c r="B2796" i="9"/>
  <c r="G2259" i="9"/>
  <c r="H2259" i="9"/>
  <c r="I2259" i="9"/>
  <c r="B2259" i="9"/>
  <c r="C2259" i="9"/>
  <c r="D2259" i="9"/>
  <c r="E2259" i="9"/>
  <c r="F2259" i="9"/>
  <c r="J2259" i="9"/>
  <c r="K2259" i="9" s="1"/>
  <c r="L2259" i="9"/>
  <c r="L1898" i="9"/>
  <c r="M1898" i="9"/>
  <c r="B1898" i="9"/>
  <c r="C1898" i="9"/>
  <c r="D1898" i="9"/>
  <c r="I1898" i="9"/>
  <c r="G1898" i="9"/>
  <c r="H1898" i="9"/>
  <c r="J1898" i="9"/>
  <c r="K1898" i="9" s="1"/>
  <c r="J2730" i="9"/>
  <c r="K2730" i="9" s="1"/>
  <c r="L2730" i="9"/>
  <c r="H2568" i="9"/>
  <c r="I2568" i="9"/>
  <c r="J2568" i="9"/>
  <c r="K2568" i="9" s="1"/>
  <c r="D2568" i="9"/>
  <c r="E2568" i="9"/>
  <c r="F2568" i="9"/>
  <c r="G2568" i="9"/>
  <c r="L2568" i="9"/>
  <c r="M2568" i="9"/>
  <c r="L13" i="9"/>
  <c r="M13" i="9"/>
  <c r="H13" i="9"/>
  <c r="I13" i="9"/>
  <c r="J13" i="9"/>
  <c r="K13" i="9" s="1"/>
  <c r="D13" i="9"/>
  <c r="E13" i="9"/>
  <c r="F13" i="9"/>
  <c r="G13" i="9"/>
  <c r="C13" i="9"/>
  <c r="M2999" i="9"/>
  <c r="I2999" i="9"/>
  <c r="J2999" i="9"/>
  <c r="K2999" i="9" s="1"/>
  <c r="F2938" i="9"/>
  <c r="E2938" i="9"/>
  <c r="G2938" i="9"/>
  <c r="H2938" i="9"/>
  <c r="M2938" i="9"/>
  <c r="M2918" i="9"/>
  <c r="G2901" i="9"/>
  <c r="D2901" i="9"/>
  <c r="E2901" i="9"/>
  <c r="F2901" i="9"/>
  <c r="H2901" i="9"/>
  <c r="L2901" i="9"/>
  <c r="I2887" i="9"/>
  <c r="J2887" i="9"/>
  <c r="K2887" i="9" s="1"/>
  <c r="B2887" i="9"/>
  <c r="D2852" i="9"/>
  <c r="E2852" i="9"/>
  <c r="L2852" i="9"/>
  <c r="M2852" i="9"/>
  <c r="D2791" i="9"/>
  <c r="L2791" i="9"/>
  <c r="M2791" i="9"/>
  <c r="D2752" i="9"/>
  <c r="E2752" i="9"/>
  <c r="E2695" i="9"/>
  <c r="F2695" i="9"/>
  <c r="G2695" i="9"/>
  <c r="L2695" i="9"/>
  <c r="C2223" i="9"/>
  <c r="D2223" i="9"/>
  <c r="E2223" i="9"/>
  <c r="J2223" i="9"/>
  <c r="K2223" i="9" s="1"/>
  <c r="G2223" i="9"/>
  <c r="H2223" i="9"/>
  <c r="I2223" i="9"/>
  <c r="B2223" i="9"/>
  <c r="E2108" i="9"/>
  <c r="I2108" i="9"/>
  <c r="J2108" i="9"/>
  <c r="K2108" i="9" s="1"/>
  <c r="F2108" i="9"/>
  <c r="G2108" i="9"/>
  <c r="H2108" i="9"/>
  <c r="L2108" i="9"/>
  <c r="M2108" i="9"/>
  <c r="E1974" i="9"/>
  <c r="J1974" i="9"/>
  <c r="K1974" i="9" s="1"/>
  <c r="L1974" i="9"/>
  <c r="B1974" i="9"/>
  <c r="C1974" i="9"/>
  <c r="D1974" i="9"/>
  <c r="M1974" i="9"/>
  <c r="F1974" i="9"/>
  <c r="I841" i="9"/>
  <c r="D841" i="9"/>
  <c r="C841" i="9"/>
  <c r="E841" i="9"/>
  <c r="F841" i="9"/>
  <c r="G841" i="9"/>
  <c r="M841" i="9"/>
  <c r="L841" i="9"/>
  <c r="H841" i="9"/>
  <c r="J841" i="9"/>
  <c r="K841" i="9" s="1"/>
  <c r="I2950" i="9"/>
  <c r="J2918" i="9"/>
  <c r="K2918" i="9" s="1"/>
  <c r="M2888" i="9"/>
  <c r="L2855" i="9"/>
  <c r="D2831" i="9"/>
  <c r="C2831" i="9"/>
  <c r="M2819" i="9"/>
  <c r="B2819" i="9"/>
  <c r="G2601" i="9"/>
  <c r="H2601" i="9"/>
  <c r="I2601" i="9"/>
  <c r="G2552" i="9"/>
  <c r="H2552" i="9"/>
  <c r="I2552" i="9"/>
  <c r="G2516" i="9"/>
  <c r="I2516" i="9"/>
  <c r="M2516" i="9"/>
  <c r="H2516" i="9"/>
  <c r="J2516" i="9"/>
  <c r="K2516" i="9" s="1"/>
  <c r="L2516" i="9"/>
  <c r="I2482" i="9"/>
  <c r="H2482" i="9"/>
  <c r="J2482" i="9"/>
  <c r="K2482" i="9" s="1"/>
  <c r="L2482" i="9"/>
  <c r="M2482" i="9"/>
  <c r="I2386" i="9"/>
  <c r="E2188" i="9"/>
  <c r="G2188" i="9"/>
  <c r="H2188" i="9"/>
  <c r="I2188" i="9"/>
  <c r="L2188" i="9"/>
  <c r="M2188" i="9"/>
  <c r="J2024" i="9"/>
  <c r="K2024" i="9" s="1"/>
  <c r="L2024" i="9"/>
  <c r="B2024" i="9"/>
  <c r="C2024" i="9"/>
  <c r="D2024" i="9"/>
  <c r="E2024" i="9"/>
  <c r="F2024" i="9"/>
  <c r="G2024" i="9"/>
  <c r="I2024" i="9"/>
  <c r="I1869" i="9"/>
  <c r="J1869" i="9"/>
  <c r="K1869" i="9" s="1"/>
  <c r="G1869" i="9"/>
  <c r="H1869" i="9"/>
  <c r="L1869" i="9"/>
  <c r="F1869" i="9"/>
  <c r="M1869" i="9"/>
  <c r="F1659" i="9"/>
  <c r="M1659" i="9"/>
  <c r="B1659" i="9"/>
  <c r="C1659" i="9"/>
  <c r="D1659" i="9"/>
  <c r="J1659" i="9"/>
  <c r="K1659" i="9" s="1"/>
  <c r="E1659" i="9"/>
  <c r="L1659" i="9"/>
  <c r="E2995" i="9"/>
  <c r="F2995" i="9"/>
  <c r="B2966" i="9"/>
  <c r="E2966" i="9"/>
  <c r="J2994" i="9"/>
  <c r="K2994" i="9" s="1"/>
  <c r="H2981" i="9"/>
  <c r="H2977" i="9"/>
  <c r="J2975" i="9"/>
  <c r="K2975" i="9" s="1"/>
  <c r="J2971" i="9"/>
  <c r="K2971" i="9" s="1"/>
  <c r="M2965" i="9"/>
  <c r="L2956" i="9"/>
  <c r="B2956" i="9"/>
  <c r="C2956" i="9"/>
  <c r="D2956" i="9"/>
  <c r="I2956" i="9"/>
  <c r="G2939" i="9"/>
  <c r="E2933" i="9"/>
  <c r="H2931" i="9"/>
  <c r="H2924" i="9"/>
  <c r="E2924" i="9"/>
  <c r="H2902" i="9"/>
  <c r="M2896" i="9"/>
  <c r="I2892" i="9"/>
  <c r="E2876" i="9"/>
  <c r="I2869" i="9"/>
  <c r="H2859" i="9"/>
  <c r="I2847" i="9"/>
  <c r="J2847" i="9"/>
  <c r="K2847" i="9" s="1"/>
  <c r="L2847" i="9"/>
  <c r="M2847" i="9"/>
  <c r="I2801" i="9"/>
  <c r="G2779" i="9"/>
  <c r="F2758" i="9"/>
  <c r="G2758" i="9"/>
  <c r="M2758" i="9"/>
  <c r="H2758" i="9"/>
  <c r="I2758" i="9"/>
  <c r="J2758" i="9"/>
  <c r="K2758" i="9" s="1"/>
  <c r="L2758" i="9"/>
  <c r="M2753" i="9"/>
  <c r="F2745" i="9"/>
  <c r="G2704" i="9"/>
  <c r="F2944" i="9"/>
  <c r="C3000" i="9"/>
  <c r="I2996" i="9"/>
  <c r="G2994" i="9"/>
  <c r="H2992" i="9"/>
  <c r="J2988" i="9"/>
  <c r="K2988" i="9" s="1"/>
  <c r="H2986" i="9"/>
  <c r="D2981" i="9"/>
  <c r="E2979" i="9"/>
  <c r="E2977" i="9"/>
  <c r="C2975" i="9"/>
  <c r="F2973" i="9"/>
  <c r="G2971" i="9"/>
  <c r="J2967" i="9"/>
  <c r="K2967" i="9" s="1"/>
  <c r="G2965" i="9"/>
  <c r="M2957" i="9"/>
  <c r="B2952" i="9"/>
  <c r="B2950" i="9"/>
  <c r="E2946" i="9"/>
  <c r="E2944" i="9"/>
  <c r="D2939" i="9"/>
  <c r="D2937" i="9"/>
  <c r="E2935" i="9"/>
  <c r="B2935" i="9"/>
  <c r="C2935" i="9"/>
  <c r="D2935" i="9"/>
  <c r="J2935" i="9"/>
  <c r="K2935" i="9" s="1"/>
  <c r="B2933" i="9"/>
  <c r="E2931" i="9"/>
  <c r="F2929" i="9"/>
  <c r="J2925" i="9"/>
  <c r="K2925" i="9" s="1"/>
  <c r="L2921" i="9"/>
  <c r="C2918" i="9"/>
  <c r="L2913" i="9"/>
  <c r="J2910" i="9"/>
  <c r="K2910" i="9" s="1"/>
  <c r="M2910" i="9"/>
  <c r="H2907" i="9"/>
  <c r="H2904" i="9"/>
  <c r="F2904" i="9"/>
  <c r="G2904" i="9"/>
  <c r="I2904" i="9"/>
  <c r="J2904" i="9"/>
  <c r="K2904" i="9" s="1"/>
  <c r="E2902" i="9"/>
  <c r="E2900" i="9"/>
  <c r="E2896" i="9"/>
  <c r="F2894" i="9"/>
  <c r="F2892" i="9"/>
  <c r="B2888" i="9"/>
  <c r="H2884" i="9"/>
  <c r="I2884" i="9"/>
  <c r="L2884" i="9"/>
  <c r="M2884" i="9"/>
  <c r="G2882" i="9"/>
  <c r="I2878" i="9"/>
  <c r="B2876" i="9"/>
  <c r="B2874" i="9"/>
  <c r="F2869" i="9"/>
  <c r="H2867" i="9"/>
  <c r="G2865" i="9"/>
  <c r="J2861" i="9"/>
  <c r="K2861" i="9" s="1"/>
  <c r="E2859" i="9"/>
  <c r="G2857" i="9"/>
  <c r="D2855" i="9"/>
  <c r="L2844" i="9"/>
  <c r="H2842" i="9"/>
  <c r="M2838" i="9"/>
  <c r="M2834" i="9"/>
  <c r="J2832" i="9"/>
  <c r="K2832" i="9" s="1"/>
  <c r="B2830" i="9"/>
  <c r="F2818" i="9"/>
  <c r="G2818" i="9"/>
  <c r="M2818" i="9"/>
  <c r="E2818" i="9"/>
  <c r="J2818" i="9"/>
  <c r="K2818" i="9" s="1"/>
  <c r="H2818" i="9"/>
  <c r="I2818" i="9"/>
  <c r="J2811" i="9"/>
  <c r="K2811" i="9" s="1"/>
  <c r="B2809" i="9"/>
  <c r="M2806" i="9"/>
  <c r="C2801" i="9"/>
  <c r="G2799" i="9"/>
  <c r="H2785" i="9"/>
  <c r="C2781" i="9"/>
  <c r="D2779" i="9"/>
  <c r="D2777" i="9"/>
  <c r="I2765" i="9"/>
  <c r="L2761" i="9"/>
  <c r="G2753" i="9"/>
  <c r="I2750" i="9"/>
  <c r="E2748" i="9"/>
  <c r="C2745" i="9"/>
  <c r="J2741" i="9"/>
  <c r="K2741" i="9" s="1"/>
  <c r="D2731" i="9"/>
  <c r="B2731" i="9"/>
  <c r="C2731" i="9"/>
  <c r="E2731" i="9"/>
  <c r="F2731" i="9"/>
  <c r="G2731" i="9"/>
  <c r="H2731" i="9"/>
  <c r="J2731" i="9"/>
  <c r="K2731" i="9" s="1"/>
  <c r="M2728" i="9"/>
  <c r="G2726" i="9"/>
  <c r="H2710" i="9"/>
  <c r="F2708" i="9"/>
  <c r="E2706" i="9"/>
  <c r="D2704" i="9"/>
  <c r="C2696" i="9"/>
  <c r="G2693" i="9"/>
  <c r="E2690" i="9"/>
  <c r="G2681" i="9"/>
  <c r="H2681" i="9"/>
  <c r="I2681" i="9"/>
  <c r="D2681" i="9"/>
  <c r="E2681" i="9"/>
  <c r="F2681" i="9"/>
  <c r="J2681" i="9"/>
  <c r="K2681" i="9" s="1"/>
  <c r="L2681" i="9"/>
  <c r="B2679" i="9"/>
  <c r="E2675" i="9"/>
  <c r="F2675" i="9"/>
  <c r="G2675" i="9"/>
  <c r="L2675" i="9"/>
  <c r="M2669" i="9"/>
  <c r="B2664" i="9"/>
  <c r="D2658" i="9"/>
  <c r="I2651" i="9"/>
  <c r="G2649" i="9"/>
  <c r="F2647" i="9"/>
  <c r="E2645" i="9"/>
  <c r="C2631" i="9"/>
  <c r="L2614" i="9"/>
  <c r="C2612" i="9"/>
  <c r="C2609" i="9"/>
  <c r="D2609" i="9"/>
  <c r="E2609" i="9"/>
  <c r="J2609" i="9"/>
  <c r="K2609" i="9" s="1"/>
  <c r="F2609" i="9"/>
  <c r="G2609" i="9"/>
  <c r="H2609" i="9"/>
  <c r="I2609" i="9"/>
  <c r="L2609" i="9"/>
  <c r="D2598" i="9"/>
  <c r="D2596" i="9"/>
  <c r="M2586" i="9"/>
  <c r="D2584" i="9"/>
  <c r="J2569" i="9"/>
  <c r="K2569" i="9" s="1"/>
  <c r="D2564" i="9"/>
  <c r="D2545" i="9"/>
  <c r="G2542" i="9"/>
  <c r="B2539" i="9"/>
  <c r="C2537" i="9"/>
  <c r="F2531" i="9"/>
  <c r="E2529" i="9"/>
  <c r="L2524" i="9"/>
  <c r="G2521" i="9"/>
  <c r="G2515" i="9"/>
  <c r="D2504" i="9"/>
  <c r="E2501" i="9"/>
  <c r="G2488" i="9"/>
  <c r="D2486" i="9"/>
  <c r="B2481" i="9"/>
  <c r="D2481" i="9"/>
  <c r="F2481" i="9"/>
  <c r="G2481" i="9"/>
  <c r="H2481" i="9"/>
  <c r="M2481" i="9"/>
  <c r="C2481" i="9"/>
  <c r="M2476" i="9"/>
  <c r="F2474" i="9"/>
  <c r="J2470" i="9"/>
  <c r="K2470" i="9" s="1"/>
  <c r="D2457" i="9"/>
  <c r="C2441" i="9"/>
  <c r="C2427" i="9"/>
  <c r="J2413" i="9"/>
  <c r="K2413" i="9" s="1"/>
  <c r="H2409" i="9"/>
  <c r="D2407" i="9"/>
  <c r="E2407" i="9"/>
  <c r="F2407" i="9"/>
  <c r="C2407" i="9"/>
  <c r="L2407" i="9"/>
  <c r="M2407" i="9"/>
  <c r="L2391" i="9"/>
  <c r="M2391" i="9"/>
  <c r="E2391" i="9"/>
  <c r="G2391" i="9"/>
  <c r="H2391" i="9"/>
  <c r="I2391" i="9"/>
  <c r="J2391" i="9"/>
  <c r="K2391" i="9" s="1"/>
  <c r="G2388" i="9"/>
  <c r="B2386" i="9"/>
  <c r="J2370" i="9"/>
  <c r="K2370" i="9" s="1"/>
  <c r="H2367" i="9"/>
  <c r="H2364" i="9"/>
  <c r="H2351" i="9"/>
  <c r="F2349" i="9"/>
  <c r="B2346" i="9"/>
  <c r="C2312" i="9"/>
  <c r="F2307" i="9"/>
  <c r="J2292" i="9"/>
  <c r="K2292" i="9" s="1"/>
  <c r="E2285" i="9"/>
  <c r="F2285" i="9"/>
  <c r="G2285" i="9"/>
  <c r="L2285" i="9"/>
  <c r="M2285" i="9"/>
  <c r="B2276" i="9"/>
  <c r="M2263" i="9"/>
  <c r="G2245" i="9"/>
  <c r="H2235" i="9"/>
  <c r="J2209" i="9"/>
  <c r="K2209" i="9" s="1"/>
  <c r="E2141" i="9"/>
  <c r="C2115" i="9"/>
  <c r="F2112" i="9"/>
  <c r="G2112" i="9"/>
  <c r="H2112" i="9"/>
  <c r="M2112" i="9"/>
  <c r="D2112" i="9"/>
  <c r="E2112" i="9"/>
  <c r="I2112" i="9"/>
  <c r="I2102" i="9"/>
  <c r="J2086" i="9"/>
  <c r="K2086" i="9" s="1"/>
  <c r="F2080" i="9"/>
  <c r="I2030" i="9"/>
  <c r="C2028" i="9"/>
  <c r="H2006" i="9"/>
  <c r="J1989" i="9"/>
  <c r="K1989" i="9" s="1"/>
  <c r="C1989" i="9"/>
  <c r="D1989" i="9"/>
  <c r="E1989" i="9"/>
  <c r="L1989" i="9"/>
  <c r="M1989" i="9"/>
  <c r="G1989" i="9"/>
  <c r="H1989" i="9"/>
  <c r="I1989" i="9"/>
  <c r="B1984" i="9"/>
  <c r="D1948" i="9"/>
  <c r="L1941" i="9"/>
  <c r="C1907" i="9"/>
  <c r="H1834" i="9"/>
  <c r="L1830" i="9"/>
  <c r="L1776" i="9"/>
  <c r="M1771" i="9"/>
  <c r="B1750" i="9"/>
  <c r="C1614" i="9"/>
  <c r="I1535" i="9"/>
  <c r="C1512" i="9"/>
  <c r="G1489" i="9"/>
  <c r="G1408" i="9"/>
  <c r="E2916" i="9"/>
  <c r="F2895" i="9"/>
  <c r="D2794" i="9"/>
  <c r="I2787" i="9"/>
  <c r="J2787" i="9"/>
  <c r="K2787" i="9" s="1"/>
  <c r="E2771" i="9"/>
  <c r="H2764" i="9"/>
  <c r="I2764" i="9"/>
  <c r="E2757" i="9"/>
  <c r="E2739" i="9"/>
  <c r="H2724" i="9"/>
  <c r="I2724" i="9"/>
  <c r="J2724" i="9"/>
  <c r="K2724" i="9" s="1"/>
  <c r="C2691" i="9"/>
  <c r="F2685" i="9"/>
  <c r="I2667" i="9"/>
  <c r="J2667" i="9"/>
  <c r="K2667" i="9" s="1"/>
  <c r="G2650" i="9"/>
  <c r="C2634" i="9"/>
  <c r="F2628" i="9"/>
  <c r="J2610" i="9"/>
  <c r="K2610" i="9" s="1"/>
  <c r="L2610" i="9"/>
  <c r="B2606" i="9"/>
  <c r="C2606" i="9"/>
  <c r="D2606" i="9"/>
  <c r="I2606" i="9"/>
  <c r="D2599" i="9"/>
  <c r="H2595" i="9"/>
  <c r="C2544" i="9"/>
  <c r="F2544" i="9"/>
  <c r="G2544" i="9"/>
  <c r="H2544" i="9"/>
  <c r="M2544" i="9"/>
  <c r="E2534" i="9"/>
  <c r="F2532" i="9"/>
  <c r="E2526" i="9"/>
  <c r="F2513" i="9"/>
  <c r="H2513" i="9"/>
  <c r="G2513" i="9"/>
  <c r="I2513" i="9"/>
  <c r="J2513" i="9"/>
  <c r="K2513" i="9" s="1"/>
  <c r="D2509" i="9"/>
  <c r="D2507" i="9"/>
  <c r="F2507" i="9"/>
  <c r="E2507" i="9"/>
  <c r="J2493" i="9"/>
  <c r="K2493" i="9" s="1"/>
  <c r="M2454" i="9"/>
  <c r="F2454" i="9"/>
  <c r="G2454" i="9"/>
  <c r="H2454" i="9"/>
  <c r="C2444" i="9"/>
  <c r="E2444" i="9"/>
  <c r="D2444" i="9"/>
  <c r="F2444" i="9"/>
  <c r="G2444" i="9"/>
  <c r="L2444" i="9"/>
  <c r="I2442" i="9"/>
  <c r="G2442" i="9"/>
  <c r="H2442" i="9"/>
  <c r="J2442" i="9"/>
  <c r="K2442" i="9" s="1"/>
  <c r="L2440" i="9"/>
  <c r="M2440" i="9"/>
  <c r="F2430" i="9"/>
  <c r="F2426" i="9"/>
  <c r="F2416" i="9"/>
  <c r="L2411" i="9"/>
  <c r="M2411" i="9"/>
  <c r="E2406" i="9"/>
  <c r="M2394" i="9"/>
  <c r="E2394" i="9"/>
  <c r="F2394" i="9"/>
  <c r="G2394" i="9"/>
  <c r="L2394" i="9"/>
  <c r="H2379" i="9"/>
  <c r="I2379" i="9"/>
  <c r="J2379" i="9"/>
  <c r="K2379" i="9" s="1"/>
  <c r="B2379" i="9"/>
  <c r="C2379" i="9"/>
  <c r="D2379" i="9"/>
  <c r="L2379" i="9"/>
  <c r="H2339" i="9"/>
  <c r="I2339" i="9"/>
  <c r="J2339" i="9"/>
  <c r="K2339" i="9" s="1"/>
  <c r="C2339" i="9"/>
  <c r="J2304" i="9"/>
  <c r="K2304" i="9" s="1"/>
  <c r="I2304" i="9"/>
  <c r="L2304" i="9"/>
  <c r="E2299" i="9"/>
  <c r="E2289" i="9"/>
  <c r="B2289" i="9"/>
  <c r="M2289" i="9"/>
  <c r="H2274" i="9"/>
  <c r="F2268" i="9"/>
  <c r="E2251" i="9"/>
  <c r="H2239" i="9"/>
  <c r="I2239" i="9"/>
  <c r="J2239" i="9"/>
  <c r="K2239" i="9" s="1"/>
  <c r="D2239" i="9"/>
  <c r="E2239" i="9"/>
  <c r="F2239" i="9"/>
  <c r="G2239" i="9"/>
  <c r="L2239" i="9"/>
  <c r="I2232" i="9"/>
  <c r="B2160" i="9"/>
  <c r="C2160" i="9"/>
  <c r="D2160" i="9"/>
  <c r="I2160" i="9"/>
  <c r="F2160" i="9"/>
  <c r="G2160" i="9"/>
  <c r="H2160" i="9"/>
  <c r="F2152" i="9"/>
  <c r="G2152" i="9"/>
  <c r="H2152" i="9"/>
  <c r="M2152" i="9"/>
  <c r="J2104" i="9"/>
  <c r="K2104" i="9" s="1"/>
  <c r="L2104" i="9"/>
  <c r="I2104" i="9"/>
  <c r="M2104" i="9"/>
  <c r="E2104" i="9"/>
  <c r="F2104" i="9"/>
  <c r="G2104" i="9"/>
  <c r="H2104" i="9"/>
  <c r="G2095" i="9"/>
  <c r="H2095" i="9"/>
  <c r="I2095" i="9"/>
  <c r="J2095" i="9"/>
  <c r="K2095" i="9" s="1"/>
  <c r="L2095" i="9"/>
  <c r="M2093" i="9"/>
  <c r="J2093" i="9"/>
  <c r="K2093" i="9" s="1"/>
  <c r="L2093" i="9"/>
  <c r="D2085" i="9"/>
  <c r="B2085" i="9"/>
  <c r="H2085" i="9"/>
  <c r="I2085" i="9"/>
  <c r="J2085" i="9"/>
  <c r="K2085" i="9" s="1"/>
  <c r="L2085" i="9"/>
  <c r="M2085" i="9"/>
  <c r="F2082" i="9"/>
  <c r="H2053" i="9"/>
  <c r="D2045" i="9"/>
  <c r="H2045" i="9"/>
  <c r="I2045" i="9"/>
  <c r="J2045" i="9"/>
  <c r="K2045" i="9" s="1"/>
  <c r="E2045" i="9"/>
  <c r="F2045" i="9"/>
  <c r="G2045" i="9"/>
  <c r="L2045" i="9"/>
  <c r="M2045" i="9"/>
  <c r="G2042" i="9"/>
  <c r="F2008" i="9"/>
  <c r="I1955" i="9"/>
  <c r="B1952" i="9"/>
  <c r="C1952" i="9"/>
  <c r="D1952" i="9"/>
  <c r="I1952" i="9"/>
  <c r="G1952" i="9"/>
  <c r="H1952" i="9"/>
  <c r="J1952" i="9"/>
  <c r="K1952" i="9" s="1"/>
  <c r="J1932" i="9"/>
  <c r="K1932" i="9" s="1"/>
  <c r="B1932" i="9"/>
  <c r="C1932" i="9"/>
  <c r="D1932" i="9"/>
  <c r="I1932" i="9"/>
  <c r="L1932" i="9"/>
  <c r="M1932" i="9"/>
  <c r="L1890" i="9"/>
  <c r="M1890" i="9"/>
  <c r="E1890" i="9"/>
  <c r="F1890" i="9"/>
  <c r="G1890" i="9"/>
  <c r="H1890" i="9"/>
  <c r="I1890" i="9"/>
  <c r="J1890" i="9"/>
  <c r="K1890" i="9" s="1"/>
  <c r="C1890" i="9"/>
  <c r="D1890" i="9"/>
  <c r="B1868" i="9"/>
  <c r="C1868" i="9"/>
  <c r="D1868" i="9"/>
  <c r="G1868" i="9"/>
  <c r="E1868" i="9"/>
  <c r="F1868" i="9"/>
  <c r="H1868" i="9"/>
  <c r="I1868" i="9"/>
  <c r="J1868" i="9"/>
  <c r="K1868" i="9" s="1"/>
  <c r="M1868" i="9"/>
  <c r="D1853" i="9"/>
  <c r="I1853" i="9"/>
  <c r="J1853" i="9"/>
  <c r="K1853" i="9" s="1"/>
  <c r="I1648" i="9"/>
  <c r="L1648" i="9"/>
  <c r="M1648" i="9"/>
  <c r="F1648" i="9"/>
  <c r="G1648" i="9"/>
  <c r="H1648" i="9"/>
  <c r="J1648" i="9"/>
  <c r="K1648" i="9" s="1"/>
  <c r="F1579" i="9"/>
  <c r="G1579" i="9"/>
  <c r="H1579" i="9"/>
  <c r="M1579" i="9"/>
  <c r="D1579" i="9"/>
  <c r="E1579" i="9"/>
  <c r="I1579" i="9"/>
  <c r="L1579" i="9"/>
  <c r="J1551" i="9"/>
  <c r="K1551" i="9" s="1"/>
  <c r="L1551" i="9"/>
  <c r="D1551" i="9"/>
  <c r="E1551" i="9"/>
  <c r="F1551" i="9"/>
  <c r="G1551" i="9"/>
  <c r="H1551" i="9"/>
  <c r="I1551" i="9"/>
  <c r="M1551" i="9"/>
  <c r="F1428" i="9"/>
  <c r="G1428" i="9"/>
  <c r="H1428" i="9"/>
  <c r="M1428" i="9"/>
  <c r="B1428" i="9"/>
  <c r="C1428" i="9"/>
  <c r="D1428" i="9"/>
  <c r="E1428" i="9"/>
  <c r="I1428" i="9"/>
  <c r="J1428" i="9"/>
  <c r="K1428" i="9" s="1"/>
  <c r="L1428" i="9"/>
  <c r="D1418" i="9"/>
  <c r="E1418" i="9"/>
  <c r="C1418" i="9"/>
  <c r="F1418" i="9"/>
  <c r="G1418" i="9"/>
  <c r="L1418" i="9"/>
  <c r="H1394" i="9"/>
  <c r="I1394" i="9"/>
  <c r="J1394" i="9"/>
  <c r="K1394" i="9" s="1"/>
  <c r="D1394" i="9"/>
  <c r="E1394" i="9"/>
  <c r="F1394" i="9"/>
  <c r="G1394" i="9"/>
  <c r="L1394" i="9"/>
  <c r="M1394" i="9"/>
  <c r="C1105" i="9"/>
  <c r="D1105" i="9"/>
  <c r="E1105" i="9"/>
  <c r="B1105" i="9"/>
  <c r="F1105" i="9"/>
  <c r="G1105" i="9"/>
  <c r="H1105" i="9"/>
  <c r="I1105" i="9"/>
  <c r="J1105" i="9"/>
  <c r="K1105" i="9" s="1"/>
  <c r="L1105" i="9"/>
  <c r="M1105" i="9"/>
  <c r="E1716" i="9"/>
  <c r="J1716" i="9"/>
  <c r="K1716" i="9" s="1"/>
  <c r="L1716" i="9"/>
  <c r="H1716" i="9"/>
  <c r="I1716" i="9"/>
  <c r="M1716" i="9"/>
  <c r="F1716" i="9"/>
  <c r="G1716" i="9"/>
  <c r="C1701" i="9"/>
  <c r="E1701" i="9"/>
  <c r="F1701" i="9"/>
  <c r="G1701" i="9"/>
  <c r="H1701" i="9"/>
  <c r="I1701" i="9"/>
  <c r="J1701" i="9"/>
  <c r="K1701" i="9" s="1"/>
  <c r="L1701" i="9"/>
  <c r="D1689" i="9"/>
  <c r="E1689" i="9"/>
  <c r="F1689" i="9"/>
  <c r="J1689" i="9"/>
  <c r="K1689" i="9" s="1"/>
  <c r="L1689" i="9"/>
  <c r="M1689" i="9"/>
  <c r="L1434" i="9"/>
  <c r="M1434" i="9"/>
  <c r="I1434" i="9"/>
  <c r="J1434" i="9"/>
  <c r="K1434" i="9" s="1"/>
  <c r="G1434" i="9"/>
  <c r="H1434" i="9"/>
  <c r="H1410" i="9"/>
  <c r="I1410" i="9"/>
  <c r="D1410" i="9"/>
  <c r="G1410" i="9"/>
  <c r="F1410" i="9"/>
  <c r="J1410" i="9"/>
  <c r="K1410" i="9" s="1"/>
  <c r="L1410" i="9"/>
  <c r="M1410" i="9"/>
  <c r="F1404" i="9"/>
  <c r="G1404" i="9"/>
  <c r="L1404" i="9"/>
  <c r="M1404" i="9"/>
  <c r="J1356" i="9"/>
  <c r="K1356" i="9" s="1"/>
  <c r="L1356" i="9"/>
  <c r="I1356" i="9"/>
  <c r="M1356" i="9"/>
  <c r="E1356" i="9"/>
  <c r="G1356" i="9"/>
  <c r="H1356" i="9"/>
  <c r="D1356" i="9"/>
  <c r="F1356" i="9"/>
  <c r="B1356" i="9"/>
  <c r="C1356" i="9"/>
  <c r="E1260" i="9"/>
  <c r="L1260" i="9"/>
  <c r="M1260" i="9"/>
  <c r="C1260" i="9"/>
  <c r="F1260" i="9"/>
  <c r="G1260" i="9"/>
  <c r="H1260" i="9"/>
  <c r="I1260" i="9"/>
  <c r="J1260" i="9"/>
  <c r="K1260" i="9" s="1"/>
  <c r="D1260" i="9"/>
  <c r="B1260" i="9"/>
  <c r="L1241" i="9"/>
  <c r="M1241" i="9"/>
  <c r="D1241" i="9"/>
  <c r="E1241" i="9"/>
  <c r="F1241" i="9"/>
  <c r="G1241" i="9"/>
  <c r="J1241" i="9"/>
  <c r="K1241" i="9" s="1"/>
  <c r="B1241" i="9"/>
  <c r="C1241" i="9"/>
  <c r="H1241" i="9"/>
  <c r="I1241" i="9"/>
  <c r="M1115" i="9"/>
  <c r="E1115" i="9"/>
  <c r="F1115" i="9"/>
  <c r="G1115" i="9"/>
  <c r="L1115" i="9"/>
  <c r="H1115" i="9"/>
  <c r="D1115" i="9"/>
  <c r="I1115" i="9"/>
  <c r="J1115" i="9"/>
  <c r="K1115" i="9" s="1"/>
  <c r="E2715" i="9"/>
  <c r="F2715" i="9"/>
  <c r="G2715" i="9"/>
  <c r="L2715" i="9"/>
  <c r="H2604" i="9"/>
  <c r="I2604" i="9"/>
  <c r="J2604" i="9"/>
  <c r="K2604" i="9" s="1"/>
  <c r="J2565" i="9"/>
  <c r="K2565" i="9" s="1"/>
  <c r="E2565" i="9"/>
  <c r="F2565" i="9"/>
  <c r="G2565" i="9"/>
  <c r="M2565" i="9"/>
  <c r="H2499" i="9"/>
  <c r="J2499" i="9"/>
  <c r="K2499" i="9" s="1"/>
  <c r="M2499" i="9"/>
  <c r="E2450" i="9"/>
  <c r="G2450" i="9"/>
  <c r="I2422" i="9"/>
  <c r="D2422" i="9"/>
  <c r="E2422" i="9"/>
  <c r="F2422" i="9"/>
  <c r="M2422" i="9"/>
  <c r="H2420" i="9"/>
  <c r="I2420" i="9"/>
  <c r="J2420" i="9"/>
  <c r="K2420" i="9" s="1"/>
  <c r="C2404" i="9"/>
  <c r="D2404" i="9"/>
  <c r="E2404" i="9"/>
  <c r="L2404" i="9"/>
  <c r="M2404" i="9"/>
  <c r="E2369" i="9"/>
  <c r="C2369" i="9"/>
  <c r="L2348" i="9"/>
  <c r="M2348" i="9"/>
  <c r="C2348" i="9"/>
  <c r="D2348" i="9"/>
  <c r="E2348" i="9"/>
  <c r="J2348" i="9"/>
  <c r="K2348" i="9" s="1"/>
  <c r="D2186" i="9"/>
  <c r="E2186" i="9"/>
  <c r="F2186" i="9"/>
  <c r="H2186" i="9"/>
  <c r="I2186" i="9"/>
  <c r="J2186" i="9"/>
  <c r="K2186" i="9" s="1"/>
  <c r="H2118" i="9"/>
  <c r="I2118" i="9"/>
  <c r="J2118" i="9"/>
  <c r="K2118" i="9" s="1"/>
  <c r="C2118" i="9"/>
  <c r="C2106" i="9"/>
  <c r="D2082" i="9"/>
  <c r="D2072" i="9"/>
  <c r="F2053" i="9"/>
  <c r="D2042" i="9"/>
  <c r="B2020" i="9"/>
  <c r="C2020" i="9"/>
  <c r="D2020" i="9"/>
  <c r="I2020" i="9"/>
  <c r="E2020" i="9"/>
  <c r="H1983" i="9"/>
  <c r="D1983" i="9"/>
  <c r="L1983" i="9"/>
  <c r="M1983" i="9"/>
  <c r="B1983" i="9"/>
  <c r="D1955" i="9"/>
  <c r="D1874" i="9"/>
  <c r="E1874" i="9"/>
  <c r="F1874" i="9"/>
  <c r="L1874" i="9"/>
  <c r="M1874" i="9"/>
  <c r="L1755" i="9"/>
  <c r="M1755" i="9"/>
  <c r="E1576" i="9"/>
  <c r="F1576" i="9"/>
  <c r="G1576" i="9"/>
  <c r="L1576" i="9"/>
  <c r="C1576" i="9"/>
  <c r="E1211" i="9"/>
  <c r="F1211" i="9"/>
  <c r="H1211" i="9"/>
  <c r="I1211" i="9"/>
  <c r="J1211" i="9"/>
  <c r="K1211" i="9" s="1"/>
  <c r="L1211" i="9"/>
  <c r="M1211" i="9"/>
  <c r="D1211" i="9"/>
  <c r="G1211" i="9"/>
  <c r="C1211" i="9"/>
  <c r="H2744" i="9"/>
  <c r="I2744" i="9"/>
  <c r="J2744" i="9"/>
  <c r="K2744" i="9" s="1"/>
  <c r="I2687" i="9"/>
  <c r="J2687" i="9"/>
  <c r="K2687" i="9" s="1"/>
  <c r="J2630" i="9"/>
  <c r="K2630" i="9" s="1"/>
  <c r="L2630" i="9"/>
  <c r="B2626" i="9"/>
  <c r="C2626" i="9"/>
  <c r="D2626" i="9"/>
  <c r="I2626" i="9"/>
  <c r="J2563" i="9"/>
  <c r="K2563" i="9" s="1"/>
  <c r="L2563" i="9"/>
  <c r="G2536" i="9"/>
  <c r="E2536" i="9"/>
  <c r="F2536" i="9"/>
  <c r="H2536" i="9"/>
  <c r="M2536" i="9"/>
  <c r="C2532" i="9"/>
  <c r="D2528" i="9"/>
  <c r="E2528" i="9"/>
  <c r="F2528" i="9"/>
  <c r="L2528" i="9"/>
  <c r="L2511" i="9"/>
  <c r="M2511" i="9"/>
  <c r="B2483" i="9"/>
  <c r="C2483" i="9"/>
  <c r="D2483" i="9"/>
  <c r="I2483" i="9"/>
  <c r="B2426" i="9"/>
  <c r="F2373" i="9"/>
  <c r="G2373" i="9"/>
  <c r="H2373" i="9"/>
  <c r="M2373" i="9"/>
  <c r="E2329" i="9"/>
  <c r="L2329" i="9"/>
  <c r="M2329" i="9"/>
  <c r="L2291" i="9"/>
  <c r="M2291" i="9"/>
  <c r="F2272" i="9"/>
  <c r="G2272" i="9"/>
  <c r="H2272" i="9"/>
  <c r="I2272" i="9"/>
  <c r="L2272" i="9"/>
  <c r="M2272" i="9"/>
  <c r="E2249" i="9"/>
  <c r="G2249" i="9"/>
  <c r="L2249" i="9"/>
  <c r="M2249" i="9"/>
  <c r="J2249" i="9"/>
  <c r="K2249" i="9" s="1"/>
  <c r="B2219" i="9"/>
  <c r="H2219" i="9"/>
  <c r="I2219" i="9"/>
  <c r="J2219" i="9"/>
  <c r="K2219" i="9" s="1"/>
  <c r="L2150" i="9"/>
  <c r="M2150" i="9"/>
  <c r="D2150" i="9"/>
  <c r="C2123" i="9"/>
  <c r="D2123" i="9"/>
  <c r="E2123" i="9"/>
  <c r="J2123" i="9"/>
  <c r="K2123" i="9" s="1"/>
  <c r="F2123" i="9"/>
  <c r="G2123" i="9"/>
  <c r="H2123" i="9"/>
  <c r="L2123" i="9"/>
  <c r="M2123" i="9"/>
  <c r="L2090" i="9"/>
  <c r="M2090" i="9"/>
  <c r="C2090" i="9"/>
  <c r="D2090" i="9"/>
  <c r="E2090" i="9"/>
  <c r="J2090" i="9"/>
  <c r="K2090" i="9" s="1"/>
  <c r="B2090" i="9"/>
  <c r="F2090" i="9"/>
  <c r="G2090" i="9"/>
  <c r="H2090" i="9"/>
  <c r="I2090" i="9"/>
  <c r="L1938" i="9"/>
  <c r="M1938" i="9"/>
  <c r="E1938" i="9"/>
  <c r="C1938" i="9"/>
  <c r="D1938" i="9"/>
  <c r="F1938" i="9"/>
  <c r="G1938" i="9"/>
  <c r="H1938" i="9"/>
  <c r="I1938" i="9"/>
  <c r="D1856" i="9"/>
  <c r="I1856" i="9"/>
  <c r="J1856" i="9"/>
  <c r="K1856" i="9" s="1"/>
  <c r="L1856" i="9"/>
  <c r="M1856" i="9"/>
  <c r="B1856" i="9"/>
  <c r="E1726" i="9"/>
  <c r="F1726" i="9"/>
  <c r="G1726" i="9"/>
  <c r="L1726" i="9"/>
  <c r="B1726" i="9"/>
  <c r="C1726" i="9"/>
  <c r="D1726" i="9"/>
  <c r="H1726" i="9"/>
  <c r="I1726" i="9"/>
  <c r="J1726" i="9"/>
  <c r="K1726" i="9" s="1"/>
  <c r="M1726" i="9"/>
  <c r="E1656" i="9"/>
  <c r="L1656" i="9"/>
  <c r="D1656" i="9"/>
  <c r="H1656" i="9"/>
  <c r="I1656" i="9"/>
  <c r="J1656" i="9"/>
  <c r="K1656" i="9" s="1"/>
  <c r="M1656" i="9"/>
  <c r="E1636" i="9"/>
  <c r="G1636" i="9"/>
  <c r="L1636" i="9"/>
  <c r="M1636" i="9"/>
  <c r="C1636" i="9"/>
  <c r="D1636" i="9"/>
  <c r="F1636" i="9"/>
  <c r="H1636" i="9"/>
  <c r="I1636" i="9"/>
  <c r="J1636" i="9"/>
  <c r="K1636" i="9" s="1"/>
  <c r="E1575" i="9"/>
  <c r="I1575" i="9"/>
  <c r="J1575" i="9"/>
  <c r="K1575" i="9" s="1"/>
  <c r="B1575" i="9"/>
  <c r="C1575" i="9"/>
  <c r="D1575" i="9"/>
  <c r="F1575" i="9"/>
  <c r="G1575" i="9"/>
  <c r="H1575" i="9"/>
  <c r="L1575" i="9"/>
  <c r="M1575" i="9"/>
  <c r="C1470" i="9"/>
  <c r="D1470" i="9"/>
  <c r="E1470" i="9"/>
  <c r="J1470" i="9"/>
  <c r="K1470" i="9" s="1"/>
  <c r="H1470" i="9"/>
  <c r="I1470" i="9"/>
  <c r="L1470" i="9"/>
  <c r="M1470" i="9"/>
  <c r="L2713" i="9"/>
  <c r="M2713" i="9"/>
  <c r="C2709" i="9"/>
  <c r="D2709" i="9"/>
  <c r="E2709" i="9"/>
  <c r="J2709" i="9"/>
  <c r="K2709" i="9" s="1"/>
  <c r="F2678" i="9"/>
  <c r="G2678" i="9"/>
  <c r="H2678" i="9"/>
  <c r="M2678" i="9"/>
  <c r="L2656" i="9"/>
  <c r="M2656" i="9"/>
  <c r="D2652" i="9"/>
  <c r="E2652" i="9"/>
  <c r="F2652" i="9"/>
  <c r="G2641" i="9"/>
  <c r="H2641" i="9"/>
  <c r="I2641" i="9"/>
  <c r="E2595" i="9"/>
  <c r="F2595" i="9"/>
  <c r="G2595" i="9"/>
  <c r="L2595" i="9"/>
  <c r="M2534" i="9"/>
  <c r="J2534" i="9"/>
  <c r="K2534" i="9" s="1"/>
  <c r="L2534" i="9"/>
  <c r="I2526" i="9"/>
  <c r="J2526" i="9"/>
  <c r="K2526" i="9" s="1"/>
  <c r="F2493" i="9"/>
  <c r="H2493" i="9"/>
  <c r="C2493" i="9"/>
  <c r="D2493" i="9"/>
  <c r="E2493" i="9"/>
  <c r="L2493" i="9"/>
  <c r="E2430" i="9"/>
  <c r="G2430" i="9"/>
  <c r="L2430" i="9"/>
  <c r="M2430" i="9"/>
  <c r="G2416" i="9"/>
  <c r="H2416" i="9"/>
  <c r="I2416" i="9"/>
  <c r="B2416" i="9"/>
  <c r="I2406" i="9"/>
  <c r="J2406" i="9"/>
  <c r="K2406" i="9" s="1"/>
  <c r="H2318" i="9"/>
  <c r="B2318" i="9"/>
  <c r="D2318" i="9"/>
  <c r="E2318" i="9"/>
  <c r="F2318" i="9"/>
  <c r="L2318" i="9"/>
  <c r="D2306" i="9"/>
  <c r="E2306" i="9"/>
  <c r="F2306" i="9"/>
  <c r="G2306" i="9"/>
  <c r="L2306" i="9"/>
  <c r="L2299" i="9"/>
  <c r="M2299" i="9"/>
  <c r="F2299" i="9"/>
  <c r="G2299" i="9"/>
  <c r="H2299" i="9"/>
  <c r="I2299" i="9"/>
  <c r="J2299" i="9"/>
  <c r="K2299" i="9" s="1"/>
  <c r="B2274" i="9"/>
  <c r="C2274" i="9"/>
  <c r="D2274" i="9"/>
  <c r="I2274" i="9"/>
  <c r="L2274" i="9"/>
  <c r="M2274" i="9"/>
  <c r="C2268" i="9"/>
  <c r="L2268" i="9"/>
  <c r="M2268" i="9"/>
  <c r="G2251" i="9"/>
  <c r="H2251" i="9"/>
  <c r="I2251" i="9"/>
  <c r="J2251" i="9"/>
  <c r="K2251" i="9" s="1"/>
  <c r="L2251" i="9"/>
  <c r="M2251" i="9"/>
  <c r="F2232" i="9"/>
  <c r="G2232" i="9"/>
  <c r="H2232" i="9"/>
  <c r="M2232" i="9"/>
  <c r="L2232" i="9"/>
  <c r="B2232" i="9"/>
  <c r="D2106" i="9"/>
  <c r="E2106" i="9"/>
  <c r="F2106" i="9"/>
  <c r="J2106" i="9"/>
  <c r="K2106" i="9" s="1"/>
  <c r="L2106" i="9"/>
  <c r="M2106" i="9"/>
  <c r="H2106" i="9"/>
  <c r="I2106" i="9"/>
  <c r="C2082" i="9"/>
  <c r="G2082" i="9"/>
  <c r="H2082" i="9"/>
  <c r="I2082" i="9"/>
  <c r="F2072" i="9"/>
  <c r="G2072" i="9"/>
  <c r="H2072" i="9"/>
  <c r="M2072" i="9"/>
  <c r="B2072" i="9"/>
  <c r="E2072" i="9"/>
  <c r="I2072" i="9"/>
  <c r="J2072" i="9"/>
  <c r="K2072" i="9" s="1"/>
  <c r="L2072" i="9"/>
  <c r="M2053" i="9"/>
  <c r="B2053" i="9"/>
  <c r="C2053" i="9"/>
  <c r="D2053" i="9"/>
  <c r="I2053" i="9"/>
  <c r="C2042" i="9"/>
  <c r="F2042" i="9"/>
  <c r="L2042" i="9"/>
  <c r="M2042" i="9"/>
  <c r="B2019" i="9"/>
  <c r="F2019" i="9"/>
  <c r="G2019" i="9"/>
  <c r="H2019" i="9"/>
  <c r="M2019" i="9"/>
  <c r="D2019" i="9"/>
  <c r="E2019" i="9"/>
  <c r="I2019" i="9"/>
  <c r="J2019" i="9"/>
  <c r="K2019" i="9" s="1"/>
  <c r="L2019" i="9"/>
  <c r="E2008" i="9"/>
  <c r="H2008" i="9"/>
  <c r="I2008" i="9"/>
  <c r="J2008" i="9"/>
  <c r="K2008" i="9" s="1"/>
  <c r="G1960" i="9"/>
  <c r="C1960" i="9"/>
  <c r="D1960" i="9"/>
  <c r="E1960" i="9"/>
  <c r="H1960" i="9"/>
  <c r="I1960" i="9"/>
  <c r="J1960" i="9"/>
  <c r="K1960" i="9" s="1"/>
  <c r="F1960" i="9"/>
  <c r="L1960" i="9"/>
  <c r="M1960" i="9"/>
  <c r="L1955" i="9"/>
  <c r="E1955" i="9"/>
  <c r="F1955" i="9"/>
  <c r="G1955" i="9"/>
  <c r="M1955" i="9"/>
  <c r="B1955" i="9"/>
  <c r="J1955" i="9"/>
  <c r="K1955" i="9" s="1"/>
  <c r="H1721" i="9"/>
  <c r="I1721" i="9"/>
  <c r="J1721" i="9"/>
  <c r="K1721" i="9" s="1"/>
  <c r="B1721" i="9"/>
  <c r="M1721" i="9"/>
  <c r="G1721" i="9"/>
  <c r="L1721" i="9"/>
  <c r="F1678" i="9"/>
  <c r="D1678" i="9"/>
  <c r="E1678" i="9"/>
  <c r="G1678" i="9"/>
  <c r="H1678" i="9"/>
  <c r="I1678" i="9"/>
  <c r="J1678" i="9"/>
  <c r="K1678" i="9" s="1"/>
  <c r="M1678" i="9"/>
  <c r="C1678" i="9"/>
  <c r="L1678" i="9"/>
  <c r="C1629" i="9"/>
  <c r="F1629" i="9"/>
  <c r="G1629" i="9"/>
  <c r="H1629" i="9"/>
  <c r="M1629" i="9"/>
  <c r="E1629" i="9"/>
  <c r="I1629" i="9"/>
  <c r="J1629" i="9"/>
  <c r="K1629" i="9" s="1"/>
  <c r="L1629" i="9"/>
  <c r="L1574" i="9"/>
  <c r="M1574" i="9"/>
  <c r="E1574" i="9"/>
  <c r="B1574" i="9"/>
  <c r="C1574" i="9"/>
  <c r="D1574" i="9"/>
  <c r="F1574" i="9"/>
  <c r="G1574" i="9"/>
  <c r="H1574" i="9"/>
  <c r="I1574" i="9"/>
  <c r="J1574" i="9"/>
  <c r="K1574" i="9" s="1"/>
  <c r="D2792" i="9"/>
  <c r="E2792" i="9"/>
  <c r="B2990" i="9"/>
  <c r="B2969" i="9"/>
  <c r="B2961" i="9"/>
  <c r="B2890" i="9"/>
  <c r="F2778" i="9"/>
  <c r="G2778" i="9"/>
  <c r="M2778" i="9"/>
  <c r="E2755" i="9"/>
  <c r="F2755" i="9"/>
  <c r="L2755" i="9"/>
  <c r="E2735" i="9"/>
  <c r="F2735" i="9"/>
  <c r="G2735" i="9"/>
  <c r="L2735" i="9"/>
  <c r="H2624" i="9"/>
  <c r="I2624" i="9"/>
  <c r="J2624" i="9"/>
  <c r="K2624" i="9" s="1"/>
  <c r="B2619" i="9"/>
  <c r="B2497" i="9"/>
  <c r="L2408" i="9"/>
  <c r="M2408" i="9"/>
  <c r="F2408" i="9"/>
  <c r="G2408" i="9"/>
  <c r="H2408" i="9"/>
  <c r="L2371" i="9"/>
  <c r="M2371" i="9"/>
  <c r="B2371" i="9"/>
  <c r="F2333" i="9"/>
  <c r="G2333" i="9"/>
  <c r="H2333" i="9"/>
  <c r="M2333" i="9"/>
  <c r="E2333" i="9"/>
  <c r="I2333" i="9"/>
  <c r="J2333" i="9"/>
  <c r="K2333" i="9" s="1"/>
  <c r="D2286" i="9"/>
  <c r="M2286" i="9"/>
  <c r="C2286" i="9"/>
  <c r="E2286" i="9"/>
  <c r="F2286" i="9"/>
  <c r="G2286" i="9"/>
  <c r="H2286" i="9"/>
  <c r="L2227" i="9"/>
  <c r="M2227" i="9"/>
  <c r="D2227" i="9"/>
  <c r="E2227" i="9"/>
  <c r="F2227" i="9"/>
  <c r="C2227" i="9"/>
  <c r="G2227" i="9"/>
  <c r="H2227" i="9"/>
  <c r="I2227" i="9"/>
  <c r="J2227" i="9"/>
  <c r="K2227" i="9" s="1"/>
  <c r="H2198" i="9"/>
  <c r="I2198" i="9"/>
  <c r="J2198" i="9"/>
  <c r="K2198" i="9" s="1"/>
  <c r="M2198" i="9"/>
  <c r="L1876" i="9"/>
  <c r="M1876" i="9"/>
  <c r="H1876" i="9"/>
  <c r="I1876" i="9"/>
  <c r="J1876" i="9"/>
  <c r="K1876" i="9" s="1"/>
  <c r="H1786" i="9"/>
  <c r="I1786" i="9"/>
  <c r="J1786" i="9"/>
  <c r="K1786" i="9" s="1"/>
  <c r="D1786" i="9"/>
  <c r="E1786" i="9"/>
  <c r="F1786" i="9"/>
  <c r="G1786" i="9"/>
  <c r="L1786" i="9"/>
  <c r="F2858" i="9"/>
  <c r="G2858" i="9"/>
  <c r="B2846" i="9"/>
  <c r="C2846" i="9"/>
  <c r="I2827" i="9"/>
  <c r="J2827" i="9"/>
  <c r="K2827" i="9" s="1"/>
  <c r="H2804" i="9"/>
  <c r="I2804" i="9"/>
  <c r="I2707" i="9"/>
  <c r="J2707" i="9"/>
  <c r="K2707" i="9" s="1"/>
  <c r="J2650" i="9"/>
  <c r="K2650" i="9" s="1"/>
  <c r="L2650" i="9"/>
  <c r="B2646" i="9"/>
  <c r="C2646" i="9"/>
  <c r="D2646" i="9"/>
  <c r="I2646" i="9"/>
  <c r="L2593" i="9"/>
  <c r="M2593" i="9"/>
  <c r="C2589" i="9"/>
  <c r="D2589" i="9"/>
  <c r="E2589" i="9"/>
  <c r="J2589" i="9"/>
  <c r="K2589" i="9" s="1"/>
  <c r="E2557" i="9"/>
  <c r="F2557" i="9"/>
  <c r="G2557" i="9"/>
  <c r="L2557" i="9"/>
  <c r="C2520" i="9"/>
  <c r="D2520" i="9"/>
  <c r="E2520" i="9"/>
  <c r="J2520" i="9"/>
  <c r="K2520" i="9" s="1"/>
  <c r="L2491" i="9"/>
  <c r="H2491" i="9"/>
  <c r="I2491" i="9"/>
  <c r="J2491" i="9"/>
  <c r="K2491" i="9" s="1"/>
  <c r="J2485" i="9"/>
  <c r="K2485" i="9" s="1"/>
  <c r="L2485" i="9"/>
  <c r="E2485" i="9"/>
  <c r="B2475" i="9"/>
  <c r="E2475" i="9"/>
  <c r="E2410" i="9"/>
  <c r="F2410" i="9"/>
  <c r="G2410" i="9"/>
  <c r="C2410" i="9"/>
  <c r="D2410" i="9"/>
  <c r="H2410" i="9"/>
  <c r="M2410" i="9"/>
  <c r="H2399" i="9"/>
  <c r="I2399" i="9"/>
  <c r="J2399" i="9"/>
  <c r="K2399" i="9" s="1"/>
  <c r="E2399" i="9"/>
  <c r="F2399" i="9"/>
  <c r="G2399" i="9"/>
  <c r="D2387" i="9"/>
  <c r="E2387" i="9"/>
  <c r="F2387" i="9"/>
  <c r="H2387" i="9"/>
  <c r="D2366" i="9"/>
  <c r="H2366" i="9"/>
  <c r="I2366" i="9"/>
  <c r="J2366" i="9"/>
  <c r="K2366" i="9" s="1"/>
  <c r="C2343" i="9"/>
  <c r="B2343" i="9"/>
  <c r="L2331" i="9"/>
  <c r="M2331" i="9"/>
  <c r="I2331" i="9"/>
  <c r="J2331" i="9"/>
  <c r="K2331" i="9" s="1"/>
  <c r="L2270" i="9"/>
  <c r="M2270" i="9"/>
  <c r="M2253" i="9"/>
  <c r="B2253" i="9"/>
  <c r="C2253" i="9"/>
  <c r="D2253" i="9"/>
  <c r="I2253" i="9"/>
  <c r="H2253" i="9"/>
  <c r="J2253" i="9"/>
  <c r="K2253" i="9" s="1"/>
  <c r="L2253" i="9"/>
  <c r="I2241" i="9"/>
  <c r="D2241" i="9"/>
  <c r="E2241" i="9"/>
  <c r="F2241" i="9"/>
  <c r="M2241" i="9"/>
  <c r="G2241" i="9"/>
  <c r="H2241" i="9"/>
  <c r="J2241" i="9"/>
  <c r="K2241" i="9" s="1"/>
  <c r="L2241" i="9"/>
  <c r="I2221" i="9"/>
  <c r="J2221" i="9"/>
  <c r="K2221" i="9" s="1"/>
  <c r="F2221" i="9"/>
  <c r="G2221" i="9"/>
  <c r="H2221" i="9"/>
  <c r="L2210" i="9"/>
  <c r="M2210" i="9"/>
  <c r="I2210" i="9"/>
  <c r="J2210" i="9"/>
  <c r="K2210" i="9" s="1"/>
  <c r="D2210" i="9"/>
  <c r="E2210" i="9"/>
  <c r="F2210" i="9"/>
  <c r="G2210" i="9"/>
  <c r="H2210" i="9"/>
  <c r="D2165" i="9"/>
  <c r="L2165" i="9"/>
  <c r="M2165" i="9"/>
  <c r="E2128" i="9"/>
  <c r="G2128" i="9"/>
  <c r="H2128" i="9"/>
  <c r="I2128" i="9"/>
  <c r="J2128" i="9"/>
  <c r="K2128" i="9" s="1"/>
  <c r="L2128" i="9"/>
  <c r="G2015" i="9"/>
  <c r="H2015" i="9"/>
  <c r="I2015" i="9"/>
  <c r="L2015" i="9"/>
  <c r="M2015" i="9"/>
  <c r="L2007" i="9"/>
  <c r="M2007" i="9"/>
  <c r="D2007" i="9"/>
  <c r="B2007" i="9"/>
  <c r="C2007" i="9"/>
  <c r="E2007" i="9"/>
  <c r="F2007" i="9"/>
  <c r="G2007" i="9"/>
  <c r="H2007" i="9"/>
  <c r="J2007" i="9"/>
  <c r="K2007" i="9" s="1"/>
  <c r="G1980" i="9"/>
  <c r="B1980" i="9"/>
  <c r="C1980" i="9"/>
  <c r="D1980" i="9"/>
  <c r="E1980" i="9"/>
  <c r="I1980" i="9"/>
  <c r="J1980" i="9"/>
  <c r="K1980" i="9" s="1"/>
  <c r="L1980" i="9"/>
  <c r="M1980" i="9"/>
  <c r="C1931" i="9"/>
  <c r="D1931" i="9"/>
  <c r="E1931" i="9"/>
  <c r="F1931" i="9"/>
  <c r="G1931" i="9"/>
  <c r="H1931" i="9"/>
  <c r="L1931" i="9"/>
  <c r="B1928" i="9"/>
  <c r="C1928" i="9"/>
  <c r="J1928" i="9"/>
  <c r="K1928" i="9" s="1"/>
  <c r="L1928" i="9"/>
  <c r="D1919" i="9"/>
  <c r="L1919" i="9"/>
  <c r="M1919" i="9"/>
  <c r="C1919" i="9"/>
  <c r="E1919" i="9"/>
  <c r="F1919" i="9"/>
  <c r="G1919" i="9"/>
  <c r="H1919" i="9"/>
  <c r="I1919" i="9"/>
  <c r="G1903" i="9"/>
  <c r="H1903" i="9"/>
  <c r="I1903" i="9"/>
  <c r="C1903" i="9"/>
  <c r="D1903" i="9"/>
  <c r="E1903" i="9"/>
  <c r="M1903" i="9"/>
  <c r="B1903" i="9"/>
  <c r="F1903" i="9"/>
  <c r="J1903" i="9"/>
  <c r="K1903" i="9" s="1"/>
  <c r="L1903" i="9"/>
  <c r="G1823" i="9"/>
  <c r="H1823" i="9"/>
  <c r="I1823" i="9"/>
  <c r="J1823" i="9"/>
  <c r="K1823" i="9" s="1"/>
  <c r="L1823" i="9"/>
  <c r="M1823" i="9"/>
  <c r="E1823" i="9"/>
  <c r="F1823" i="9"/>
  <c r="M1741" i="9"/>
  <c r="E1741" i="9"/>
  <c r="F1741" i="9"/>
  <c r="G1741" i="9"/>
  <c r="H1741" i="9"/>
  <c r="I1741" i="9"/>
  <c r="J1741" i="9"/>
  <c r="K1741" i="9" s="1"/>
  <c r="L1741" i="9"/>
  <c r="B1741" i="9"/>
  <c r="C1741" i="9"/>
  <c r="D1741" i="9"/>
  <c r="D1733" i="9"/>
  <c r="L1733" i="9"/>
  <c r="M1733" i="9"/>
  <c r="B1733" i="9"/>
  <c r="C1733" i="9"/>
  <c r="E1733" i="9"/>
  <c r="F1733" i="9"/>
  <c r="G1733" i="9"/>
  <c r="H1733" i="9"/>
  <c r="J1733" i="9"/>
  <c r="K1733" i="9" s="1"/>
  <c r="E1536" i="9"/>
  <c r="F1536" i="9"/>
  <c r="G1536" i="9"/>
  <c r="L1536" i="9"/>
  <c r="I1536" i="9"/>
  <c r="J1536" i="9"/>
  <c r="K1536" i="9" s="1"/>
  <c r="B1536" i="9"/>
  <c r="C1536" i="9"/>
  <c r="D1536" i="9"/>
  <c r="H1536" i="9"/>
  <c r="M1536" i="9"/>
  <c r="L1282" i="9"/>
  <c r="M1282" i="9"/>
  <c r="C1282" i="9"/>
  <c r="E1282" i="9"/>
  <c r="F1282" i="9"/>
  <c r="I1282" i="9"/>
  <c r="J1282" i="9"/>
  <c r="K1282" i="9" s="1"/>
  <c r="H1282" i="9"/>
  <c r="E2875" i="9"/>
  <c r="F2875" i="9"/>
  <c r="E2815" i="9"/>
  <c r="F2815" i="9"/>
  <c r="L2815" i="9"/>
  <c r="C2769" i="9"/>
  <c r="D2769" i="9"/>
  <c r="J2769" i="9"/>
  <c r="K2769" i="9" s="1"/>
  <c r="G2841" i="9"/>
  <c r="H2841" i="9"/>
  <c r="L2836" i="9"/>
  <c r="M2836" i="9"/>
  <c r="I2767" i="9"/>
  <c r="J2767" i="9"/>
  <c r="K2767" i="9" s="1"/>
  <c r="L2733" i="9"/>
  <c r="M2733" i="9"/>
  <c r="C2729" i="9"/>
  <c r="D2729" i="9"/>
  <c r="E2729" i="9"/>
  <c r="J2729" i="9"/>
  <c r="K2729" i="9" s="1"/>
  <c r="F2698" i="9"/>
  <c r="G2698" i="9"/>
  <c r="H2698" i="9"/>
  <c r="M2698" i="9"/>
  <c r="L2676" i="9"/>
  <c r="M2676" i="9"/>
  <c r="D2672" i="9"/>
  <c r="E2672" i="9"/>
  <c r="F2672" i="9"/>
  <c r="G2661" i="9"/>
  <c r="H2661" i="9"/>
  <c r="I2661" i="9"/>
  <c r="E2615" i="9"/>
  <c r="F2615" i="9"/>
  <c r="G2615" i="9"/>
  <c r="L2615" i="9"/>
  <c r="J2555" i="9"/>
  <c r="K2555" i="9" s="1"/>
  <c r="L2555" i="9"/>
  <c r="D2549" i="9"/>
  <c r="E2549" i="9"/>
  <c r="F2549" i="9"/>
  <c r="D2547" i="9"/>
  <c r="I2547" i="9"/>
  <c r="J2547" i="9"/>
  <c r="K2547" i="9" s="1"/>
  <c r="L2471" i="9"/>
  <c r="E2471" i="9"/>
  <c r="F2471" i="9"/>
  <c r="G2471" i="9"/>
  <c r="M2471" i="9"/>
  <c r="I2469" i="9"/>
  <c r="J2469" i="9"/>
  <c r="K2469" i="9" s="1"/>
  <c r="J2465" i="9"/>
  <c r="K2465" i="9" s="1"/>
  <c r="L2465" i="9"/>
  <c r="B2465" i="9"/>
  <c r="H2439" i="9"/>
  <c r="J2439" i="9"/>
  <c r="K2439" i="9" s="1"/>
  <c r="B2439" i="9"/>
  <c r="C2439" i="9"/>
  <c r="D2439" i="9"/>
  <c r="B2401" i="9"/>
  <c r="C2401" i="9"/>
  <c r="D2401" i="9"/>
  <c r="E2401" i="9"/>
  <c r="F2401" i="9"/>
  <c r="G2401" i="9"/>
  <c r="L2401" i="9"/>
  <c r="B2361" i="9"/>
  <c r="C2361" i="9"/>
  <c r="D2361" i="9"/>
  <c r="I2361" i="9"/>
  <c r="G2361" i="9"/>
  <c r="G2215" i="9"/>
  <c r="H2215" i="9"/>
  <c r="I2215" i="9"/>
  <c r="B2215" i="9"/>
  <c r="L2167" i="9"/>
  <c r="M2167" i="9"/>
  <c r="J2167" i="9"/>
  <c r="K2167" i="9" s="1"/>
  <c r="J2084" i="9"/>
  <c r="K2084" i="9" s="1"/>
  <c r="L2084" i="9"/>
  <c r="E2084" i="9"/>
  <c r="F2084" i="9"/>
  <c r="G2084" i="9"/>
  <c r="B2059" i="9"/>
  <c r="M2059" i="9"/>
  <c r="L2050" i="9"/>
  <c r="M2050" i="9"/>
  <c r="B2050" i="9"/>
  <c r="D2050" i="9"/>
  <c r="E2050" i="9"/>
  <c r="F2050" i="9"/>
  <c r="G2050" i="9"/>
  <c r="H2050" i="9"/>
  <c r="I2050" i="9"/>
  <c r="G1995" i="9"/>
  <c r="H1995" i="9"/>
  <c r="I1995" i="9"/>
  <c r="F1995" i="9"/>
  <c r="J1995" i="9"/>
  <c r="K1995" i="9" s="1"/>
  <c r="M1993" i="9"/>
  <c r="I1993" i="9"/>
  <c r="J1993" i="9"/>
  <c r="K1993" i="9" s="1"/>
  <c r="E1937" i="9"/>
  <c r="F1937" i="9"/>
  <c r="C1937" i="9"/>
  <c r="D1937" i="9"/>
  <c r="G1937" i="9"/>
  <c r="L1937" i="9"/>
  <c r="J1937" i="9"/>
  <c r="K1937" i="9" s="1"/>
  <c r="M1937" i="9"/>
  <c r="C1911" i="9"/>
  <c r="D1911" i="9"/>
  <c r="L1911" i="9"/>
  <c r="M1911" i="9"/>
  <c r="G1911" i="9"/>
  <c r="H1911" i="9"/>
  <c r="I1911" i="9"/>
  <c r="J1911" i="9"/>
  <c r="K1911" i="9" s="1"/>
  <c r="E1837" i="9"/>
  <c r="F1837" i="9"/>
  <c r="G1837" i="9"/>
  <c r="L1837" i="9"/>
  <c r="B1837" i="9"/>
  <c r="C1837" i="9"/>
  <c r="D1837" i="9"/>
  <c r="I1837" i="9"/>
  <c r="M1837" i="9"/>
  <c r="J1837" i="9"/>
  <c r="K1837" i="9" s="1"/>
  <c r="J1792" i="9"/>
  <c r="K1792" i="9" s="1"/>
  <c r="L1792" i="9"/>
  <c r="I1792" i="9"/>
  <c r="M1792" i="9"/>
  <c r="H1792" i="9"/>
  <c r="B1487" i="9"/>
  <c r="C1487" i="9"/>
  <c r="D1487" i="9"/>
  <c r="I1487" i="9"/>
  <c r="M1487" i="9"/>
  <c r="H1487" i="9"/>
  <c r="J1487" i="9"/>
  <c r="K1487" i="9" s="1"/>
  <c r="L1487" i="9"/>
  <c r="E1487" i="9"/>
  <c r="F1487" i="9"/>
  <c r="G1487" i="9"/>
  <c r="H1290" i="9"/>
  <c r="I1290" i="9"/>
  <c r="J1290" i="9"/>
  <c r="K1290" i="9" s="1"/>
  <c r="E1290" i="9"/>
  <c r="D1290" i="9"/>
  <c r="B1290" i="9"/>
  <c r="C1290" i="9"/>
  <c r="F1290" i="9"/>
  <c r="G1290" i="9"/>
  <c r="L1290" i="9"/>
  <c r="F2559" i="9"/>
  <c r="F2551" i="9"/>
  <c r="G2530" i="9"/>
  <c r="H2519" i="9"/>
  <c r="J2519" i="9"/>
  <c r="K2519" i="9" s="1"/>
  <c r="D2487" i="9"/>
  <c r="F2487" i="9"/>
  <c r="F2433" i="9"/>
  <c r="H2433" i="9"/>
  <c r="F2393" i="9"/>
  <c r="G2393" i="9"/>
  <c r="H2393" i="9"/>
  <c r="M2393" i="9"/>
  <c r="J2345" i="9"/>
  <c r="K2345" i="9" s="1"/>
  <c r="L2345" i="9"/>
  <c r="B2341" i="9"/>
  <c r="C2341" i="9"/>
  <c r="D2341" i="9"/>
  <c r="I2341" i="9"/>
  <c r="I2321" i="9"/>
  <c r="E2321" i="9"/>
  <c r="H2298" i="9"/>
  <c r="C2298" i="9"/>
  <c r="D2298" i="9"/>
  <c r="E2298" i="9"/>
  <c r="D2242" i="9"/>
  <c r="B2240" i="9"/>
  <c r="D2240" i="9"/>
  <c r="C2240" i="9"/>
  <c r="C2183" i="9"/>
  <c r="D2183" i="9"/>
  <c r="E2183" i="9"/>
  <c r="J2183" i="9"/>
  <c r="K2183" i="9" s="1"/>
  <c r="F2183" i="9"/>
  <c r="H2180" i="9"/>
  <c r="E2178" i="9"/>
  <c r="C2162" i="9"/>
  <c r="E2162" i="9"/>
  <c r="F2162" i="9"/>
  <c r="G2162" i="9"/>
  <c r="L2162" i="9"/>
  <c r="D2145" i="9"/>
  <c r="J2145" i="9"/>
  <c r="K2145" i="9" s="1"/>
  <c r="L2145" i="9"/>
  <c r="D2065" i="9"/>
  <c r="L2065" i="9"/>
  <c r="M2065" i="9"/>
  <c r="B2039" i="9"/>
  <c r="J2039" i="9"/>
  <c r="K2039" i="9" s="1"/>
  <c r="L2039" i="9"/>
  <c r="C2003" i="9"/>
  <c r="D2003" i="9"/>
  <c r="E2003" i="9"/>
  <c r="J2003" i="9"/>
  <c r="K2003" i="9" s="1"/>
  <c r="G2003" i="9"/>
  <c r="C1988" i="9"/>
  <c r="B1988" i="9"/>
  <c r="G1988" i="9"/>
  <c r="H1979" i="9"/>
  <c r="I1979" i="9"/>
  <c r="J1979" i="9"/>
  <c r="K1979" i="9" s="1"/>
  <c r="F1977" i="9"/>
  <c r="M1977" i="9"/>
  <c r="C1959" i="9"/>
  <c r="D1959" i="9"/>
  <c r="E1954" i="9"/>
  <c r="D1954" i="9"/>
  <c r="H1954" i="9"/>
  <c r="I1954" i="9"/>
  <c r="J1954" i="9"/>
  <c r="K1954" i="9" s="1"/>
  <c r="D1894" i="9"/>
  <c r="E1894" i="9"/>
  <c r="F1894" i="9"/>
  <c r="H1894" i="9"/>
  <c r="I1894" i="9"/>
  <c r="J1894" i="9"/>
  <c r="K1894" i="9" s="1"/>
  <c r="M1894" i="9"/>
  <c r="B1807" i="9"/>
  <c r="E1807" i="9"/>
  <c r="F1807" i="9"/>
  <c r="G1807" i="9"/>
  <c r="H1807" i="9"/>
  <c r="I1807" i="9"/>
  <c r="L1807" i="9"/>
  <c r="J1772" i="9"/>
  <c r="K1772" i="9" s="1"/>
  <c r="L1772" i="9"/>
  <c r="F1772" i="9"/>
  <c r="G1772" i="9"/>
  <c r="H1772" i="9"/>
  <c r="I1772" i="9"/>
  <c r="M1772" i="9"/>
  <c r="C1772" i="9"/>
  <c r="D1772" i="9"/>
  <c r="E1772" i="9"/>
  <c r="L1735" i="9"/>
  <c r="M1735" i="9"/>
  <c r="I1735" i="9"/>
  <c r="J1735" i="9"/>
  <c r="K1735" i="9" s="1"/>
  <c r="F1735" i="9"/>
  <c r="G1735" i="9"/>
  <c r="H1735" i="9"/>
  <c r="E1706" i="9"/>
  <c r="C1610" i="9"/>
  <c r="D1610" i="9"/>
  <c r="E1610" i="9"/>
  <c r="J1610" i="9"/>
  <c r="K1610" i="9" s="1"/>
  <c r="L1610" i="9"/>
  <c r="M1610" i="9"/>
  <c r="B1610" i="9"/>
  <c r="F1610" i="9"/>
  <c r="G1610" i="9"/>
  <c r="H1610" i="9"/>
  <c r="I1610" i="9"/>
  <c r="D1593" i="9"/>
  <c r="E1593" i="9"/>
  <c r="F1593" i="9"/>
  <c r="M1593" i="9"/>
  <c r="D1440" i="9"/>
  <c r="F1440" i="9"/>
  <c r="G1440" i="9"/>
  <c r="H1440" i="9"/>
  <c r="I1440" i="9"/>
  <c r="J1440" i="9"/>
  <c r="K1440" i="9" s="1"/>
  <c r="M1440" i="9"/>
  <c r="J1436" i="9"/>
  <c r="K1436" i="9" s="1"/>
  <c r="F1436" i="9"/>
  <c r="G1436" i="9"/>
  <c r="H1436" i="9"/>
  <c r="L1436" i="9"/>
  <c r="M1436" i="9"/>
  <c r="C1391" i="9"/>
  <c r="D1391" i="9"/>
  <c r="E1391" i="9"/>
  <c r="J1391" i="9"/>
  <c r="K1391" i="9" s="1"/>
  <c r="I1391" i="9"/>
  <c r="M1391" i="9"/>
  <c r="F1264" i="9"/>
  <c r="G1264" i="9"/>
  <c r="H1264" i="9"/>
  <c r="M1264" i="9"/>
  <c r="I1264" i="9"/>
  <c r="J1264" i="9"/>
  <c r="K1264" i="9" s="1"/>
  <c r="L1264" i="9"/>
  <c r="C1264" i="9"/>
  <c r="E1264" i="9"/>
  <c r="B1264" i="9"/>
  <c r="D1264" i="9"/>
  <c r="M1026" i="9"/>
  <c r="B1026" i="9"/>
  <c r="F1026" i="9"/>
  <c r="G1026" i="9"/>
  <c r="H1026" i="9"/>
  <c r="L1026" i="9"/>
  <c r="E1026" i="9"/>
  <c r="C1026" i="9"/>
  <c r="J1631" i="9"/>
  <c r="K1631" i="9" s="1"/>
  <c r="L1631" i="9"/>
  <c r="D1631" i="9"/>
  <c r="E1631" i="9"/>
  <c r="F1631" i="9"/>
  <c r="M1631" i="9"/>
  <c r="G1562" i="9"/>
  <c r="H1562" i="9"/>
  <c r="I1562" i="9"/>
  <c r="J1562" i="9"/>
  <c r="K1562" i="9" s="1"/>
  <c r="L1562" i="9"/>
  <c r="E1562" i="9"/>
  <c r="F1562" i="9"/>
  <c r="M1562" i="9"/>
  <c r="M1540" i="9"/>
  <c r="E1540" i="9"/>
  <c r="F1540" i="9"/>
  <c r="G1540" i="9"/>
  <c r="L1540" i="9"/>
  <c r="H1540" i="9"/>
  <c r="I1540" i="9"/>
  <c r="J1540" i="9"/>
  <c r="K1540" i="9" s="1"/>
  <c r="B1467" i="9"/>
  <c r="C1467" i="9"/>
  <c r="D1467" i="9"/>
  <c r="I1467" i="9"/>
  <c r="G1467" i="9"/>
  <c r="H1467" i="9"/>
  <c r="J1467" i="9"/>
  <c r="K1467" i="9" s="1"/>
  <c r="L1467" i="9"/>
  <c r="M1467" i="9"/>
  <c r="E1467" i="9"/>
  <c r="F1467" i="9"/>
  <c r="C1335" i="9"/>
  <c r="D1335" i="9"/>
  <c r="E1335" i="9"/>
  <c r="I1335" i="9"/>
  <c r="J1335" i="9"/>
  <c r="K1335" i="9" s="1"/>
  <c r="H1335" i="9"/>
  <c r="L1335" i="9"/>
  <c r="M1335" i="9"/>
  <c r="L1319" i="9"/>
  <c r="M1319" i="9"/>
  <c r="G1319" i="9"/>
  <c r="H1319" i="9"/>
  <c r="I1319" i="9"/>
  <c r="E1319" i="9"/>
  <c r="J1319" i="9"/>
  <c r="K1319" i="9" s="1"/>
  <c r="B1319" i="9"/>
  <c r="B1312" i="9"/>
  <c r="C1312" i="9"/>
  <c r="D1312" i="9"/>
  <c r="I1312" i="9"/>
  <c r="H1312" i="9"/>
  <c r="G1312" i="9"/>
  <c r="L1312" i="9"/>
  <c r="L1192" i="9"/>
  <c r="M1192" i="9"/>
  <c r="J1192" i="9"/>
  <c r="K1192" i="9" s="1"/>
  <c r="I1192" i="9"/>
  <c r="C1192" i="9"/>
  <c r="D1192" i="9"/>
  <c r="E1192" i="9"/>
  <c r="F1192" i="9"/>
  <c r="G1192" i="9"/>
  <c r="H1192" i="9"/>
  <c r="B1182" i="9"/>
  <c r="C1182" i="9"/>
  <c r="I1182" i="9"/>
  <c r="J1182" i="9"/>
  <c r="K1182" i="9" s="1"/>
  <c r="H1182" i="9"/>
  <c r="L1182" i="9"/>
  <c r="M1182" i="9"/>
  <c r="E1182" i="9"/>
  <c r="G1182" i="9"/>
  <c r="E2256" i="9"/>
  <c r="F2256" i="9"/>
  <c r="G2256" i="9"/>
  <c r="L2256" i="9"/>
  <c r="D2246" i="9"/>
  <c r="F2246" i="9"/>
  <c r="G2246" i="9"/>
  <c r="H2246" i="9"/>
  <c r="I2246" i="9"/>
  <c r="J2244" i="9"/>
  <c r="K2244" i="9" s="1"/>
  <c r="L2244" i="9"/>
  <c r="I2244" i="9"/>
  <c r="M2244" i="9"/>
  <c r="B2234" i="9"/>
  <c r="I2234" i="9"/>
  <c r="J2234" i="9"/>
  <c r="K2234" i="9" s="1"/>
  <c r="C2122" i="9"/>
  <c r="B2122" i="9"/>
  <c r="G2075" i="9"/>
  <c r="H2075" i="9"/>
  <c r="I2075" i="9"/>
  <c r="C2075" i="9"/>
  <c r="D2075" i="9"/>
  <c r="E2075" i="9"/>
  <c r="M2075" i="9"/>
  <c r="M2073" i="9"/>
  <c r="F2073" i="9"/>
  <c r="G2073" i="9"/>
  <c r="H2073" i="9"/>
  <c r="F2012" i="9"/>
  <c r="G2012" i="9"/>
  <c r="H2012" i="9"/>
  <c r="M2012" i="9"/>
  <c r="C2012" i="9"/>
  <c r="D2012" i="9"/>
  <c r="E2012" i="9"/>
  <c r="L2010" i="9"/>
  <c r="M2010" i="9"/>
  <c r="F2010" i="9"/>
  <c r="G2010" i="9"/>
  <c r="H2010" i="9"/>
  <c r="H1963" i="9"/>
  <c r="E1963" i="9"/>
  <c r="F1963" i="9"/>
  <c r="G1963" i="9"/>
  <c r="M1963" i="9"/>
  <c r="F1880" i="9"/>
  <c r="G1880" i="9"/>
  <c r="H1880" i="9"/>
  <c r="D1880" i="9"/>
  <c r="E1880" i="9"/>
  <c r="I1880" i="9"/>
  <c r="I1829" i="9"/>
  <c r="J1829" i="9"/>
  <c r="K1829" i="9" s="1"/>
  <c r="F1829" i="9"/>
  <c r="G1829" i="9"/>
  <c r="H1829" i="9"/>
  <c r="M1829" i="9"/>
  <c r="H1665" i="9"/>
  <c r="J1665" i="9"/>
  <c r="K1665" i="9" s="1"/>
  <c r="L1665" i="9"/>
  <c r="D1318" i="9"/>
  <c r="E1318" i="9"/>
  <c r="F1318" i="9"/>
  <c r="C1318" i="9"/>
  <c r="G1318" i="9"/>
  <c r="B1318" i="9"/>
  <c r="H1318" i="9"/>
  <c r="I1318" i="9"/>
  <c r="J1318" i="9"/>
  <c r="K1318" i="9" s="1"/>
  <c r="L1318" i="9"/>
  <c r="M1318" i="9"/>
  <c r="I1123" i="9"/>
  <c r="J1123" i="9"/>
  <c r="K1123" i="9" s="1"/>
  <c r="M1123" i="9"/>
  <c r="E1123" i="9"/>
  <c r="F1123" i="9"/>
  <c r="G1123" i="9"/>
  <c r="H1123" i="9"/>
  <c r="L1123" i="9"/>
  <c r="C1123" i="9"/>
  <c r="D1123" i="9"/>
  <c r="B1102" i="9"/>
  <c r="C1102" i="9"/>
  <c r="D1102" i="9"/>
  <c r="L1102" i="9"/>
  <c r="M1102" i="9"/>
  <c r="E1102" i="9"/>
  <c r="I2296" i="9"/>
  <c r="J2296" i="9"/>
  <c r="K2296" i="9" s="1"/>
  <c r="J2254" i="9"/>
  <c r="K2254" i="9" s="1"/>
  <c r="L2254" i="9"/>
  <c r="C2248" i="9"/>
  <c r="D2248" i="9"/>
  <c r="E2248" i="9"/>
  <c r="J2248" i="9"/>
  <c r="K2248" i="9" s="1"/>
  <c r="E2236" i="9"/>
  <c r="F2236" i="9"/>
  <c r="G2236" i="9"/>
  <c r="L2236" i="9"/>
  <c r="M2213" i="9"/>
  <c r="C2213" i="9"/>
  <c r="D2206" i="9"/>
  <c r="E2206" i="9"/>
  <c r="F2206" i="9"/>
  <c r="M2206" i="9"/>
  <c r="C2202" i="9"/>
  <c r="M2202" i="9"/>
  <c r="J2164" i="9"/>
  <c r="K2164" i="9" s="1"/>
  <c r="L2164" i="9"/>
  <c r="C2164" i="9"/>
  <c r="D2164" i="9"/>
  <c r="E2164" i="9"/>
  <c r="M2164" i="9"/>
  <c r="L2147" i="9"/>
  <c r="M2147" i="9"/>
  <c r="H2147" i="9"/>
  <c r="I2147" i="9"/>
  <c r="J2147" i="9"/>
  <c r="K2147" i="9" s="1"/>
  <c r="B2079" i="9"/>
  <c r="E2079" i="9"/>
  <c r="I2041" i="9"/>
  <c r="J2041" i="9"/>
  <c r="K2041" i="9" s="1"/>
  <c r="H2041" i="9"/>
  <c r="L2041" i="9"/>
  <c r="M2041" i="9"/>
  <c r="C1981" i="9"/>
  <c r="D1981" i="9"/>
  <c r="E1981" i="9"/>
  <c r="J1981" i="9"/>
  <c r="K1981" i="9" s="1"/>
  <c r="B1888" i="9"/>
  <c r="C1888" i="9"/>
  <c r="D1888" i="9"/>
  <c r="H1888" i="9"/>
  <c r="I1888" i="9"/>
  <c r="J1888" i="9"/>
  <c r="K1888" i="9" s="1"/>
  <c r="L1888" i="9"/>
  <c r="M1888" i="9"/>
  <c r="L1878" i="9"/>
  <c r="M1878" i="9"/>
  <c r="H1878" i="9"/>
  <c r="I1878" i="9"/>
  <c r="J1878" i="9"/>
  <c r="K1878" i="9" s="1"/>
  <c r="F1840" i="9"/>
  <c r="G1840" i="9"/>
  <c r="H1840" i="9"/>
  <c r="M1840" i="9"/>
  <c r="L1840" i="9"/>
  <c r="B1840" i="9"/>
  <c r="H1766" i="9"/>
  <c r="I1766" i="9"/>
  <c r="J1766" i="9"/>
  <c r="K1766" i="9" s="1"/>
  <c r="L1766" i="9"/>
  <c r="M1766" i="9"/>
  <c r="B1748" i="9"/>
  <c r="C1748" i="9"/>
  <c r="D1748" i="9"/>
  <c r="I1748" i="9"/>
  <c r="F1748" i="9"/>
  <c r="G1748" i="9"/>
  <c r="H1748" i="9"/>
  <c r="J1748" i="9"/>
  <c r="K1748" i="9" s="1"/>
  <c r="L1748" i="9"/>
  <c r="M1748" i="9"/>
  <c r="E1737" i="9"/>
  <c r="F1737" i="9"/>
  <c r="G1737" i="9"/>
  <c r="L1737" i="9"/>
  <c r="J1737" i="9"/>
  <c r="K1737" i="9" s="1"/>
  <c r="M1737" i="9"/>
  <c r="I1737" i="9"/>
  <c r="I1708" i="9"/>
  <c r="H1708" i="9"/>
  <c r="J1708" i="9"/>
  <c r="K1708" i="9" s="1"/>
  <c r="M1708" i="9"/>
  <c r="F1708" i="9"/>
  <c r="G1708" i="9"/>
  <c r="L1708" i="9"/>
  <c r="D1633" i="9"/>
  <c r="E1633" i="9"/>
  <c r="F1633" i="9"/>
  <c r="B1633" i="9"/>
  <c r="C1633" i="9"/>
  <c r="G1633" i="9"/>
  <c r="M1633" i="9"/>
  <c r="L1557" i="9"/>
  <c r="M1557" i="9"/>
  <c r="B1557" i="9"/>
  <c r="C1557" i="9"/>
  <c r="D1557" i="9"/>
  <c r="I1557" i="9"/>
  <c r="I1548" i="9"/>
  <c r="J1548" i="9"/>
  <c r="K1548" i="9" s="1"/>
  <c r="B1548" i="9"/>
  <c r="H1370" i="9"/>
  <c r="I1370" i="9"/>
  <c r="J1370" i="9"/>
  <c r="K1370" i="9" s="1"/>
  <c r="L1370" i="9"/>
  <c r="M1370" i="9"/>
  <c r="F1370" i="9"/>
  <c r="B1370" i="9"/>
  <c r="C1370" i="9"/>
  <c r="D1370" i="9"/>
  <c r="E1370" i="9"/>
  <c r="G1370" i="9"/>
  <c r="L1279" i="9"/>
  <c r="M1279" i="9"/>
  <c r="C1279" i="9"/>
  <c r="D1279" i="9"/>
  <c r="E1279" i="9"/>
  <c r="F1279" i="9"/>
  <c r="J1279" i="9"/>
  <c r="K1279" i="9" s="1"/>
  <c r="B1279" i="9"/>
  <c r="G1279" i="9"/>
  <c r="H1279" i="9"/>
  <c r="I1279" i="9"/>
  <c r="D1228" i="9"/>
  <c r="E1228" i="9"/>
  <c r="G1228" i="9"/>
  <c r="H1228" i="9"/>
  <c r="I1228" i="9"/>
  <c r="J1228" i="9"/>
  <c r="K1228" i="9" s="1"/>
  <c r="L1228" i="9"/>
  <c r="M1228" i="9"/>
  <c r="L1109" i="9"/>
  <c r="M1109" i="9"/>
  <c r="H1109" i="9"/>
  <c r="I1109" i="9"/>
  <c r="J1109" i="9"/>
  <c r="K1109" i="9" s="1"/>
  <c r="C1109" i="9"/>
  <c r="D1109" i="9"/>
  <c r="E1109" i="9"/>
  <c r="F1109" i="9"/>
  <c r="G1109" i="9"/>
  <c r="G2275" i="9"/>
  <c r="J2275" i="9"/>
  <c r="K2275" i="9" s="1"/>
  <c r="L2275" i="9"/>
  <c r="B2180" i="9"/>
  <c r="C2180" i="9"/>
  <c r="D2180" i="9"/>
  <c r="I2180" i="9"/>
  <c r="L2180" i="9"/>
  <c r="M2180" i="9"/>
  <c r="H2178" i="9"/>
  <c r="I2178" i="9"/>
  <c r="J2178" i="9"/>
  <c r="K2178" i="9" s="1"/>
  <c r="L2178" i="9"/>
  <c r="M2178" i="9"/>
  <c r="H2058" i="9"/>
  <c r="I2058" i="9"/>
  <c r="J2058" i="9"/>
  <c r="K2058" i="9" s="1"/>
  <c r="C2058" i="9"/>
  <c r="D2058" i="9"/>
  <c r="E2058" i="9"/>
  <c r="M2058" i="9"/>
  <c r="L1961" i="9"/>
  <c r="M1961" i="9"/>
  <c r="C1961" i="9"/>
  <c r="C1936" i="9"/>
  <c r="E1936" i="9"/>
  <c r="J1867" i="9"/>
  <c r="K1867" i="9" s="1"/>
  <c r="L1867" i="9"/>
  <c r="L1775" i="9"/>
  <c r="M1775" i="9"/>
  <c r="B1775" i="9"/>
  <c r="E1775" i="9"/>
  <c r="F1775" i="9"/>
  <c r="G1775" i="9"/>
  <c r="H1775" i="9"/>
  <c r="I1775" i="9"/>
  <c r="J1775" i="9"/>
  <c r="K1775" i="9" s="1"/>
  <c r="M1706" i="9"/>
  <c r="J1706" i="9"/>
  <c r="K1706" i="9" s="1"/>
  <c r="L1706" i="9"/>
  <c r="G1602" i="9"/>
  <c r="H1602" i="9"/>
  <c r="I1602" i="9"/>
  <c r="D1602" i="9"/>
  <c r="F1602" i="9"/>
  <c r="J1602" i="9"/>
  <c r="K1602" i="9" s="1"/>
  <c r="L1602" i="9"/>
  <c r="M1602" i="9"/>
  <c r="E1556" i="9"/>
  <c r="F1556" i="9"/>
  <c r="G1556" i="9"/>
  <c r="L1556" i="9"/>
  <c r="B1556" i="9"/>
  <c r="C1556" i="9"/>
  <c r="D1556" i="9"/>
  <c r="H1556" i="9"/>
  <c r="I1556" i="9"/>
  <c r="J1556" i="9"/>
  <c r="K1556" i="9" s="1"/>
  <c r="M1556" i="9"/>
  <c r="L1497" i="9"/>
  <c r="M1497" i="9"/>
  <c r="G1497" i="9"/>
  <c r="H1497" i="9"/>
  <c r="I1497" i="9"/>
  <c r="J1497" i="9"/>
  <c r="K1497" i="9" s="1"/>
  <c r="B1497" i="9"/>
  <c r="C1497" i="9"/>
  <c r="D1497" i="9"/>
  <c r="E1497" i="9"/>
  <c r="F1497" i="9"/>
  <c r="H1233" i="9"/>
  <c r="I1233" i="9"/>
  <c r="J1233" i="9"/>
  <c r="K1233" i="9" s="1"/>
  <c r="E1233" i="9"/>
  <c r="F1233" i="9"/>
  <c r="G1233" i="9"/>
  <c r="L1233" i="9"/>
  <c r="B1233" i="9"/>
  <c r="D1233" i="9"/>
  <c r="M1233" i="9"/>
  <c r="E2490" i="9"/>
  <c r="G2490" i="9"/>
  <c r="G2436" i="9"/>
  <c r="I2436" i="9"/>
  <c r="H2419" i="9"/>
  <c r="J2419" i="9"/>
  <c r="K2419" i="9" s="1"/>
  <c r="J2405" i="9"/>
  <c r="K2405" i="9" s="1"/>
  <c r="L2405" i="9"/>
  <c r="H2359" i="9"/>
  <c r="I2359" i="9"/>
  <c r="J2359" i="9"/>
  <c r="K2359" i="9" s="1"/>
  <c r="C2311" i="9"/>
  <c r="D2311" i="9"/>
  <c r="E2311" i="9"/>
  <c r="J2311" i="9"/>
  <c r="K2311" i="9" s="1"/>
  <c r="E2309" i="9"/>
  <c r="H2309" i="9"/>
  <c r="I2309" i="9"/>
  <c r="J2309" i="9"/>
  <c r="K2309" i="9" s="1"/>
  <c r="E2269" i="9"/>
  <c r="C2269" i="9"/>
  <c r="D2269" i="9"/>
  <c r="F2269" i="9"/>
  <c r="L2230" i="9"/>
  <c r="M2230" i="9"/>
  <c r="H2218" i="9"/>
  <c r="I2218" i="9"/>
  <c r="J2218" i="9"/>
  <c r="K2218" i="9" s="1"/>
  <c r="D2218" i="9"/>
  <c r="J2204" i="9"/>
  <c r="K2204" i="9" s="1"/>
  <c r="L2204" i="9"/>
  <c r="D2185" i="9"/>
  <c r="E2185" i="9"/>
  <c r="F2172" i="9"/>
  <c r="G2172" i="9"/>
  <c r="H2172" i="9"/>
  <c r="M2172" i="9"/>
  <c r="D2172" i="9"/>
  <c r="E2149" i="9"/>
  <c r="F2149" i="9"/>
  <c r="G2149" i="9"/>
  <c r="L2149" i="9"/>
  <c r="I2149" i="9"/>
  <c r="J2149" i="9"/>
  <c r="K2149" i="9" s="1"/>
  <c r="L2107" i="9"/>
  <c r="M2107" i="9"/>
  <c r="E2107" i="9"/>
  <c r="B2100" i="9"/>
  <c r="C2100" i="9"/>
  <c r="D2100" i="9"/>
  <c r="I2100" i="9"/>
  <c r="M2100" i="9"/>
  <c r="E2088" i="9"/>
  <c r="D2088" i="9"/>
  <c r="F2088" i="9"/>
  <c r="G2088" i="9"/>
  <c r="L2088" i="9"/>
  <c r="C2043" i="9"/>
  <c r="D2043" i="9"/>
  <c r="E2043" i="9"/>
  <c r="J2043" i="9"/>
  <c r="K2043" i="9" s="1"/>
  <c r="I2043" i="9"/>
  <c r="L2043" i="9"/>
  <c r="G2035" i="9"/>
  <c r="H2035" i="9"/>
  <c r="I2035" i="9"/>
  <c r="B2035" i="9"/>
  <c r="D2005" i="9"/>
  <c r="F2005" i="9"/>
  <c r="H1998" i="9"/>
  <c r="I1998" i="9"/>
  <c r="J1998" i="9"/>
  <c r="K1998" i="9" s="1"/>
  <c r="M1998" i="9"/>
  <c r="B1985" i="9"/>
  <c r="M1985" i="9"/>
  <c r="J1985" i="9"/>
  <c r="K1985" i="9" s="1"/>
  <c r="L1985" i="9"/>
  <c r="E1976" i="9"/>
  <c r="F1976" i="9"/>
  <c r="G1976" i="9"/>
  <c r="L1976" i="9"/>
  <c r="B1976" i="9"/>
  <c r="C1976" i="9"/>
  <c r="D1976" i="9"/>
  <c r="M1976" i="9"/>
  <c r="M1956" i="9"/>
  <c r="G1956" i="9"/>
  <c r="H1956" i="9"/>
  <c r="I1956" i="9"/>
  <c r="L1933" i="9"/>
  <c r="M1933" i="9"/>
  <c r="E1933" i="9"/>
  <c r="F1933" i="9"/>
  <c r="G1933" i="9"/>
  <c r="C1891" i="9"/>
  <c r="D1891" i="9"/>
  <c r="E1891" i="9"/>
  <c r="H1891" i="9"/>
  <c r="B1891" i="9"/>
  <c r="D1870" i="9"/>
  <c r="G1870" i="9"/>
  <c r="H1870" i="9"/>
  <c r="I1870" i="9"/>
  <c r="J1870" i="9"/>
  <c r="K1870" i="9" s="1"/>
  <c r="L1870" i="9"/>
  <c r="F1860" i="9"/>
  <c r="G1860" i="9"/>
  <c r="H1860" i="9"/>
  <c r="M1860" i="9"/>
  <c r="E1860" i="9"/>
  <c r="I1860" i="9"/>
  <c r="J1860" i="9"/>
  <c r="K1860" i="9" s="1"/>
  <c r="L1860" i="9"/>
  <c r="J1812" i="9"/>
  <c r="K1812" i="9" s="1"/>
  <c r="L1812" i="9"/>
  <c r="F1679" i="9"/>
  <c r="M1679" i="9"/>
  <c r="E1679" i="9"/>
  <c r="G1679" i="9"/>
  <c r="H1679" i="9"/>
  <c r="L1679" i="9"/>
  <c r="C1670" i="9"/>
  <c r="J1670" i="9"/>
  <c r="K1670" i="9" s="1"/>
  <c r="L1670" i="9"/>
  <c r="M1670" i="9"/>
  <c r="D1670" i="9"/>
  <c r="E1670" i="9"/>
  <c r="F1670" i="9"/>
  <c r="G1670" i="9"/>
  <c r="H1670" i="9"/>
  <c r="I1670" i="9"/>
  <c r="E1616" i="9"/>
  <c r="F1616" i="9"/>
  <c r="G1616" i="9"/>
  <c r="L1616" i="9"/>
  <c r="I1616" i="9"/>
  <c r="J1616" i="9"/>
  <c r="K1616" i="9" s="1"/>
  <c r="M1616" i="9"/>
  <c r="D1553" i="9"/>
  <c r="E1553" i="9"/>
  <c r="F1553" i="9"/>
  <c r="B1553" i="9"/>
  <c r="C1553" i="9"/>
  <c r="G1553" i="9"/>
  <c r="M1553" i="9"/>
  <c r="L1553" i="9"/>
  <c r="L1474" i="9"/>
  <c r="M1474" i="9"/>
  <c r="F1474" i="9"/>
  <c r="G1474" i="9"/>
  <c r="H1474" i="9"/>
  <c r="I1474" i="9"/>
  <c r="J1474" i="9"/>
  <c r="K1474" i="9" s="1"/>
  <c r="D1474" i="9"/>
  <c r="E1474" i="9"/>
  <c r="C1446" i="9"/>
  <c r="D1446" i="9"/>
  <c r="E1446" i="9"/>
  <c r="J1446" i="9"/>
  <c r="K1446" i="9" s="1"/>
  <c r="F1446" i="9"/>
  <c r="G1446" i="9"/>
  <c r="H1446" i="9"/>
  <c r="I1446" i="9"/>
  <c r="L1446" i="9"/>
  <c r="G1217" i="9"/>
  <c r="H1217" i="9"/>
  <c r="B1217" i="9"/>
  <c r="F1217" i="9"/>
  <c r="I1217" i="9"/>
  <c r="J1217" i="9"/>
  <c r="K1217" i="9" s="1"/>
  <c r="L1217" i="9"/>
  <c r="M1217" i="9"/>
  <c r="C1205" i="9"/>
  <c r="D1205" i="9"/>
  <c r="E1205" i="9"/>
  <c r="H1205" i="9"/>
  <c r="J1205" i="9"/>
  <c r="K1205" i="9" s="1"/>
  <c r="L1205" i="9"/>
  <c r="B1205" i="9"/>
  <c r="F1205" i="9"/>
  <c r="G1205" i="9"/>
  <c r="I1205" i="9"/>
  <c r="M1205" i="9"/>
  <c r="F2473" i="9"/>
  <c r="H2473" i="9"/>
  <c r="C2424" i="9"/>
  <c r="E2424" i="9"/>
  <c r="J2385" i="9"/>
  <c r="K2385" i="9" s="1"/>
  <c r="L2385" i="9"/>
  <c r="B2381" i="9"/>
  <c r="C2381" i="9"/>
  <c r="D2381" i="9"/>
  <c r="I2381" i="9"/>
  <c r="L2328" i="9"/>
  <c r="M2328" i="9"/>
  <c r="D2326" i="9"/>
  <c r="C2326" i="9"/>
  <c r="L2290" i="9"/>
  <c r="C2290" i="9"/>
  <c r="D2290" i="9"/>
  <c r="E2290" i="9"/>
  <c r="J2290" i="9"/>
  <c r="K2290" i="9" s="1"/>
  <c r="H2267" i="9"/>
  <c r="I2267" i="9"/>
  <c r="J2267" i="9"/>
  <c r="K2267" i="9" s="1"/>
  <c r="I2261" i="9"/>
  <c r="B2261" i="9"/>
  <c r="C2261" i="9"/>
  <c r="D2261" i="9"/>
  <c r="J2261" i="9"/>
  <c r="K2261" i="9" s="1"/>
  <c r="D2225" i="9"/>
  <c r="F2225" i="9"/>
  <c r="G2225" i="9"/>
  <c r="H2225" i="9"/>
  <c r="M2225" i="9"/>
  <c r="B2199" i="9"/>
  <c r="D2199" i="9"/>
  <c r="E2199" i="9"/>
  <c r="F2199" i="9"/>
  <c r="E2168" i="9"/>
  <c r="B2168" i="9"/>
  <c r="C2168" i="9"/>
  <c r="D2168" i="9"/>
  <c r="J2168" i="9"/>
  <c r="K2168" i="9" s="1"/>
  <c r="I2081" i="9"/>
  <c r="J2081" i="9"/>
  <c r="K2081" i="9" s="1"/>
  <c r="C2081" i="9"/>
  <c r="E2048" i="9"/>
  <c r="C2048" i="9"/>
  <c r="B2000" i="9"/>
  <c r="C2000" i="9"/>
  <c r="D2000" i="9"/>
  <c r="I2000" i="9"/>
  <c r="L2000" i="9"/>
  <c r="M2000" i="9"/>
  <c r="F1992" i="9"/>
  <c r="G1992" i="9"/>
  <c r="H1992" i="9"/>
  <c r="M1992" i="9"/>
  <c r="E1992" i="9"/>
  <c r="M1958" i="9"/>
  <c r="H1958" i="9"/>
  <c r="I1958" i="9"/>
  <c r="J1958" i="9"/>
  <c r="K1958" i="9" s="1"/>
  <c r="E1958" i="9"/>
  <c r="F1958" i="9"/>
  <c r="G1958" i="9"/>
  <c r="I1909" i="9"/>
  <c r="J1909" i="9"/>
  <c r="K1909" i="9" s="1"/>
  <c r="E1909" i="9"/>
  <c r="F1909" i="9"/>
  <c r="G1909" i="9"/>
  <c r="H1909" i="9"/>
  <c r="C1790" i="9"/>
  <c r="L1790" i="9"/>
  <c r="M1790" i="9"/>
  <c r="G1790" i="9"/>
  <c r="H1790" i="9"/>
  <c r="I1790" i="9"/>
  <c r="J1790" i="9"/>
  <c r="K1790" i="9" s="1"/>
  <c r="C1751" i="9"/>
  <c r="D1751" i="9"/>
  <c r="E1751" i="9"/>
  <c r="J1751" i="9"/>
  <c r="K1751" i="9" s="1"/>
  <c r="H1751" i="9"/>
  <c r="I1751" i="9"/>
  <c r="L1751" i="9"/>
  <c r="M1751" i="9"/>
  <c r="J2505" i="9"/>
  <c r="K2505" i="9" s="1"/>
  <c r="L2505" i="9"/>
  <c r="B2461" i="9"/>
  <c r="D2461" i="9"/>
  <c r="G2396" i="9"/>
  <c r="H2396" i="9"/>
  <c r="I2396" i="9"/>
  <c r="E2350" i="9"/>
  <c r="F2350" i="9"/>
  <c r="G2350" i="9"/>
  <c r="L2350" i="9"/>
  <c r="M2313" i="9"/>
  <c r="E2313" i="9"/>
  <c r="H2288" i="9"/>
  <c r="I2288" i="9"/>
  <c r="J2288" i="9"/>
  <c r="K2288" i="9" s="1"/>
  <c r="B2282" i="9"/>
  <c r="C2282" i="9"/>
  <c r="D2282" i="9"/>
  <c r="I2282" i="9"/>
  <c r="B2220" i="9"/>
  <c r="C2220" i="9"/>
  <c r="D2220" i="9"/>
  <c r="I2220" i="9"/>
  <c r="E2220" i="9"/>
  <c r="E2208" i="9"/>
  <c r="L2208" i="9"/>
  <c r="M2208" i="9"/>
  <c r="B2159" i="9"/>
  <c r="C2159" i="9"/>
  <c r="M2153" i="9"/>
  <c r="D2153" i="9"/>
  <c r="E2153" i="9"/>
  <c r="F2153" i="9"/>
  <c r="D2126" i="9"/>
  <c r="E2126" i="9"/>
  <c r="F2126" i="9"/>
  <c r="B2119" i="9"/>
  <c r="G2119" i="9"/>
  <c r="H2119" i="9"/>
  <c r="I2119" i="9"/>
  <c r="E2109" i="9"/>
  <c r="F2109" i="9"/>
  <c r="G2109" i="9"/>
  <c r="L2109" i="9"/>
  <c r="C2109" i="9"/>
  <c r="H2098" i="9"/>
  <c r="I2098" i="9"/>
  <c r="J2098" i="9"/>
  <c r="K2098" i="9" s="1"/>
  <c r="C2062" i="9"/>
  <c r="B2062" i="9"/>
  <c r="D2062" i="9"/>
  <c r="E2062" i="9"/>
  <c r="J2062" i="9"/>
  <c r="K2062" i="9" s="1"/>
  <c r="F2052" i="9"/>
  <c r="G2052" i="9"/>
  <c r="H2052" i="9"/>
  <c r="M2052" i="9"/>
  <c r="M2033" i="9"/>
  <c r="E2033" i="9"/>
  <c r="H1987" i="9"/>
  <c r="I1987" i="9"/>
  <c r="J1987" i="9"/>
  <c r="K1987" i="9" s="1"/>
  <c r="L1987" i="9"/>
  <c r="M1987" i="9"/>
  <c r="I1946" i="9"/>
  <c r="C1946" i="9"/>
  <c r="H1946" i="9"/>
  <c r="J1946" i="9"/>
  <c r="K1946" i="9" s="1"/>
  <c r="F1930" i="9"/>
  <c r="G1930" i="9"/>
  <c r="H1930" i="9"/>
  <c r="M1930" i="9"/>
  <c r="H1906" i="9"/>
  <c r="I1906" i="9"/>
  <c r="J1906" i="9"/>
  <c r="K1906" i="9" s="1"/>
  <c r="L1906" i="9"/>
  <c r="M1901" i="9"/>
  <c r="H1901" i="9"/>
  <c r="I1901" i="9"/>
  <c r="J1901" i="9"/>
  <c r="K1901" i="9" s="1"/>
  <c r="D1901" i="9"/>
  <c r="E1901" i="9"/>
  <c r="F1901" i="9"/>
  <c r="G1901" i="9"/>
  <c r="L1901" i="9"/>
  <c r="E1896" i="9"/>
  <c r="F1896" i="9"/>
  <c r="G1896" i="9"/>
  <c r="L1896" i="9"/>
  <c r="E1864" i="9"/>
  <c r="F1864" i="9"/>
  <c r="G1864" i="9"/>
  <c r="L1864" i="9"/>
  <c r="B1864" i="9"/>
  <c r="C1864" i="9"/>
  <c r="D1864" i="9"/>
  <c r="H1864" i="9"/>
  <c r="I1864" i="9"/>
  <c r="J1864" i="9"/>
  <c r="K1864" i="9" s="1"/>
  <c r="M1864" i="9"/>
  <c r="L1855" i="9"/>
  <c r="M1855" i="9"/>
  <c r="G1855" i="9"/>
  <c r="H1855" i="9"/>
  <c r="I1855" i="9"/>
  <c r="B1855" i="9"/>
  <c r="J1832" i="9"/>
  <c r="K1832" i="9" s="1"/>
  <c r="L1832" i="9"/>
  <c r="B1832" i="9"/>
  <c r="G1832" i="9"/>
  <c r="H1832" i="9"/>
  <c r="I1832" i="9"/>
  <c r="M1832" i="9"/>
  <c r="F1800" i="9"/>
  <c r="G1800" i="9"/>
  <c r="H1800" i="9"/>
  <c r="M1800" i="9"/>
  <c r="C1800" i="9"/>
  <c r="D1800" i="9"/>
  <c r="E1800" i="9"/>
  <c r="I1800" i="9"/>
  <c r="J1800" i="9"/>
  <c r="K1800" i="9" s="1"/>
  <c r="B1800" i="9"/>
  <c r="L1800" i="9"/>
  <c r="D1774" i="9"/>
  <c r="E1774" i="9"/>
  <c r="F1774" i="9"/>
  <c r="G1774" i="9"/>
  <c r="H1774" i="9"/>
  <c r="I1774" i="9"/>
  <c r="J1774" i="9"/>
  <c r="K1774" i="9" s="1"/>
  <c r="L1774" i="9"/>
  <c r="M1774" i="9"/>
  <c r="B1768" i="9"/>
  <c r="C1768" i="9"/>
  <c r="D1768" i="9"/>
  <c r="I1768" i="9"/>
  <c r="J1768" i="9"/>
  <c r="K1768" i="9" s="1"/>
  <c r="L1768" i="9"/>
  <c r="M1768" i="9"/>
  <c r="C1710" i="9"/>
  <c r="D1710" i="9"/>
  <c r="E1710" i="9"/>
  <c r="F1710" i="9"/>
  <c r="M1710" i="9"/>
  <c r="L1710" i="9"/>
  <c r="L1703" i="9"/>
  <c r="M1703" i="9"/>
  <c r="D1703" i="9"/>
  <c r="E1703" i="9"/>
  <c r="F1703" i="9"/>
  <c r="G1703" i="9"/>
  <c r="H1703" i="9"/>
  <c r="I1703" i="9"/>
  <c r="B1703" i="9"/>
  <c r="G1681" i="9"/>
  <c r="B1681" i="9"/>
  <c r="C1681" i="9"/>
  <c r="D1681" i="9"/>
  <c r="J1681" i="9"/>
  <c r="K1681" i="9" s="1"/>
  <c r="L1681" i="9"/>
  <c r="M1681" i="9"/>
  <c r="D1652" i="9"/>
  <c r="E1652" i="9"/>
  <c r="F1652" i="9"/>
  <c r="G1652" i="9"/>
  <c r="L1652" i="9"/>
  <c r="I1652" i="9"/>
  <c r="J1652" i="9"/>
  <c r="K1652" i="9" s="1"/>
  <c r="M1652" i="9"/>
  <c r="C1652" i="9"/>
  <c r="H1652" i="9"/>
  <c r="B1626" i="9"/>
  <c r="D1626" i="9"/>
  <c r="C1626" i="9"/>
  <c r="G1626" i="9"/>
  <c r="H1626" i="9"/>
  <c r="I1626" i="9"/>
  <c r="J1626" i="9"/>
  <c r="K1626" i="9" s="1"/>
  <c r="L1626" i="9"/>
  <c r="B1606" i="9"/>
  <c r="L1606" i="9"/>
  <c r="M1606" i="9"/>
  <c r="C1606" i="9"/>
  <c r="D1606" i="9"/>
  <c r="E1606" i="9"/>
  <c r="F1606" i="9"/>
  <c r="G1606" i="9"/>
  <c r="H1606" i="9"/>
  <c r="J1606" i="9"/>
  <c r="K1606" i="9" s="1"/>
  <c r="C1570" i="9"/>
  <c r="D1570" i="9"/>
  <c r="E1570" i="9"/>
  <c r="J1570" i="9"/>
  <c r="K1570" i="9" s="1"/>
  <c r="H1570" i="9"/>
  <c r="I1570" i="9"/>
  <c r="L1570" i="9"/>
  <c r="M1570" i="9"/>
  <c r="D1473" i="9"/>
  <c r="E1473" i="9"/>
  <c r="F1473" i="9"/>
  <c r="B1473" i="9"/>
  <c r="C1473" i="9"/>
  <c r="G1473" i="9"/>
  <c r="H1473" i="9"/>
  <c r="I1473" i="9"/>
  <c r="J1473" i="9"/>
  <c r="K1473" i="9" s="1"/>
  <c r="M1473" i="9"/>
  <c r="L1463" i="9"/>
  <c r="M1463" i="9"/>
  <c r="G1463" i="9"/>
  <c r="H1463" i="9"/>
  <c r="I1463" i="9"/>
  <c r="J1463" i="9"/>
  <c r="K1463" i="9" s="1"/>
  <c r="B1463" i="9"/>
  <c r="C1463" i="9"/>
  <c r="D1463" i="9"/>
  <c r="E1463" i="9"/>
  <c r="F1463" i="9"/>
  <c r="B1271" i="9"/>
  <c r="G1271" i="9"/>
  <c r="H1271" i="9"/>
  <c r="I1271" i="9"/>
  <c r="J1271" i="9"/>
  <c r="K1271" i="9" s="1"/>
  <c r="M1271" i="9"/>
  <c r="C1271" i="9"/>
  <c r="F1271" i="9"/>
  <c r="L1271" i="9"/>
  <c r="D1257" i="9"/>
  <c r="B1257" i="9"/>
  <c r="C1257" i="9"/>
  <c r="E1257" i="9"/>
  <c r="F1257" i="9"/>
  <c r="I1257" i="9"/>
  <c r="J1257" i="9"/>
  <c r="K1257" i="9" s="1"/>
  <c r="M1257" i="9"/>
  <c r="L1257" i="9"/>
  <c r="I2243" i="9"/>
  <c r="G2207" i="9"/>
  <c r="E2189" i="9"/>
  <c r="F2189" i="9"/>
  <c r="G2189" i="9"/>
  <c r="L2189" i="9"/>
  <c r="I2161" i="9"/>
  <c r="J2161" i="9"/>
  <c r="K2161" i="9" s="1"/>
  <c r="H2142" i="9"/>
  <c r="J2124" i="9"/>
  <c r="K2124" i="9" s="1"/>
  <c r="L2124" i="9"/>
  <c r="B2120" i="9"/>
  <c r="C2120" i="9"/>
  <c r="D2120" i="9"/>
  <c r="I2120" i="9"/>
  <c r="L2087" i="9"/>
  <c r="M2087" i="9"/>
  <c r="C2083" i="9"/>
  <c r="D2083" i="9"/>
  <c r="E2083" i="9"/>
  <c r="J2083" i="9"/>
  <c r="K2083" i="9" s="1"/>
  <c r="H1999" i="9"/>
  <c r="J1969" i="9"/>
  <c r="K1969" i="9" s="1"/>
  <c r="L1969" i="9"/>
  <c r="M1969" i="9"/>
  <c r="F1940" i="9"/>
  <c r="G1940" i="9"/>
  <c r="J1940" i="9"/>
  <c r="K1940" i="9" s="1"/>
  <c r="L1940" i="9"/>
  <c r="H1926" i="9"/>
  <c r="I1926" i="9"/>
  <c r="F1924" i="9"/>
  <c r="B1910" i="9"/>
  <c r="C1910" i="9"/>
  <c r="D1910" i="9"/>
  <c r="I1910" i="9"/>
  <c r="C1904" i="9"/>
  <c r="H1895" i="9"/>
  <c r="D1887" i="9"/>
  <c r="E1887" i="9"/>
  <c r="F1887" i="9"/>
  <c r="I1877" i="9"/>
  <c r="C1871" i="9"/>
  <c r="D1871" i="9"/>
  <c r="E1871" i="9"/>
  <c r="G1871" i="9"/>
  <c r="H1871" i="9"/>
  <c r="I1871" i="9"/>
  <c r="E1818" i="9"/>
  <c r="G1803" i="9"/>
  <c r="H1803" i="9"/>
  <c r="I1803" i="9"/>
  <c r="L1803" i="9"/>
  <c r="M1803" i="9"/>
  <c r="B1747" i="9"/>
  <c r="C1747" i="9"/>
  <c r="E1729" i="9"/>
  <c r="H1725" i="9"/>
  <c r="D1725" i="9"/>
  <c r="G1677" i="9"/>
  <c r="I1669" i="9"/>
  <c r="G1655" i="9"/>
  <c r="M1647" i="9"/>
  <c r="B1627" i="9"/>
  <c r="C1627" i="9"/>
  <c r="D1627" i="9"/>
  <c r="I1627" i="9"/>
  <c r="G1627" i="9"/>
  <c r="H1627" i="9"/>
  <c r="J1627" i="9"/>
  <c r="K1627" i="9" s="1"/>
  <c r="L1627" i="9"/>
  <c r="M1627" i="9"/>
  <c r="E1589" i="9"/>
  <c r="G1517" i="9"/>
  <c r="E1515" i="9"/>
  <c r="I1515" i="9"/>
  <c r="J1515" i="9"/>
  <c r="K1515" i="9" s="1"/>
  <c r="L1515" i="9"/>
  <c r="M1515" i="9"/>
  <c r="G1509" i="9"/>
  <c r="F1506" i="9"/>
  <c r="C1499" i="9"/>
  <c r="C1491" i="9"/>
  <c r="E1485" i="9"/>
  <c r="C1476" i="9"/>
  <c r="G1462" i="9"/>
  <c r="H1100" i="9"/>
  <c r="I1100" i="9"/>
  <c r="J1100" i="9"/>
  <c r="K1100" i="9" s="1"/>
  <c r="E1100" i="9"/>
  <c r="D846" i="9"/>
  <c r="B846" i="9"/>
  <c r="F846" i="9"/>
  <c r="G846" i="9"/>
  <c r="H846" i="9"/>
  <c r="I846" i="9"/>
  <c r="J846" i="9"/>
  <c r="K846" i="9" s="1"/>
  <c r="M846" i="9"/>
  <c r="L846" i="9"/>
  <c r="C846" i="9"/>
  <c r="E846" i="9"/>
  <c r="M1620" i="9"/>
  <c r="E1620" i="9"/>
  <c r="F1620" i="9"/>
  <c r="G1620" i="9"/>
  <c r="L1620" i="9"/>
  <c r="D1612" i="9"/>
  <c r="J1612" i="9"/>
  <c r="K1612" i="9" s="1"/>
  <c r="L1612" i="9"/>
  <c r="F1612" i="9"/>
  <c r="G1612" i="9"/>
  <c r="H1612" i="9"/>
  <c r="I1612" i="9"/>
  <c r="M1612" i="9"/>
  <c r="C1550" i="9"/>
  <c r="D1550" i="9"/>
  <c r="E1550" i="9"/>
  <c r="J1550" i="9"/>
  <c r="K1550" i="9" s="1"/>
  <c r="J1416" i="9"/>
  <c r="K1416" i="9" s="1"/>
  <c r="G1416" i="9"/>
  <c r="H1416" i="9"/>
  <c r="I1416" i="9"/>
  <c r="E1416" i="9"/>
  <c r="F1416" i="9"/>
  <c r="L1416" i="9"/>
  <c r="M1416" i="9"/>
  <c r="F1251" i="9"/>
  <c r="H1251" i="9"/>
  <c r="I1251" i="9"/>
  <c r="J1251" i="9"/>
  <c r="K1251" i="9" s="1"/>
  <c r="B1251" i="9"/>
  <c r="D1251" i="9"/>
  <c r="E1251" i="9"/>
  <c r="C1251" i="9"/>
  <c r="H1238" i="9"/>
  <c r="I1238" i="9"/>
  <c r="J1238" i="9"/>
  <c r="K1238" i="9" s="1"/>
  <c r="B1238" i="9"/>
  <c r="C1238" i="9"/>
  <c r="M1238" i="9"/>
  <c r="L1238" i="9"/>
  <c r="B1098" i="9"/>
  <c r="C1098" i="9"/>
  <c r="I1098" i="9"/>
  <c r="G1883" i="9"/>
  <c r="H1883" i="9"/>
  <c r="I1883" i="9"/>
  <c r="L1883" i="9"/>
  <c r="M1883" i="9"/>
  <c r="E1857" i="9"/>
  <c r="F1857" i="9"/>
  <c r="G1857" i="9"/>
  <c r="D1857" i="9"/>
  <c r="H1857" i="9"/>
  <c r="I1857" i="9"/>
  <c r="B1828" i="9"/>
  <c r="C1828" i="9"/>
  <c r="D1828" i="9"/>
  <c r="I1828" i="9"/>
  <c r="E1828" i="9"/>
  <c r="F1820" i="9"/>
  <c r="G1820" i="9"/>
  <c r="H1820" i="9"/>
  <c r="M1820" i="9"/>
  <c r="I1820" i="9"/>
  <c r="J1820" i="9"/>
  <c r="K1820" i="9" s="1"/>
  <c r="L1820" i="9"/>
  <c r="D1814" i="9"/>
  <c r="E1814" i="9"/>
  <c r="F1814" i="9"/>
  <c r="E1796" i="9"/>
  <c r="I1796" i="9"/>
  <c r="J1796" i="9"/>
  <c r="K1796" i="9" s="1"/>
  <c r="L1796" i="9"/>
  <c r="M1796" i="9"/>
  <c r="M1781" i="9"/>
  <c r="L1781" i="9"/>
  <c r="G1763" i="9"/>
  <c r="H1763" i="9"/>
  <c r="I1763" i="9"/>
  <c r="C1763" i="9"/>
  <c r="D1763" i="9"/>
  <c r="E1763" i="9"/>
  <c r="F1763" i="9"/>
  <c r="J1763" i="9"/>
  <c r="K1763" i="9" s="1"/>
  <c r="M1763" i="9"/>
  <c r="M1761" i="9"/>
  <c r="H1761" i="9"/>
  <c r="I1761" i="9"/>
  <c r="J1761" i="9"/>
  <c r="K1761" i="9" s="1"/>
  <c r="L1761" i="9"/>
  <c r="J1752" i="9"/>
  <c r="K1752" i="9" s="1"/>
  <c r="L1752" i="9"/>
  <c r="C1752" i="9"/>
  <c r="D1752" i="9"/>
  <c r="E1752" i="9"/>
  <c r="F1752" i="9"/>
  <c r="G1752" i="9"/>
  <c r="H1752" i="9"/>
  <c r="M1752" i="9"/>
  <c r="C1650" i="9"/>
  <c r="J1650" i="9"/>
  <c r="K1650" i="9" s="1"/>
  <c r="H1650" i="9"/>
  <c r="I1650" i="9"/>
  <c r="E1650" i="9"/>
  <c r="F1650" i="9"/>
  <c r="G1650" i="9"/>
  <c r="L1650" i="9"/>
  <c r="M1650" i="9"/>
  <c r="C1589" i="9"/>
  <c r="B1589" i="9"/>
  <c r="I1589" i="9"/>
  <c r="J1589" i="9"/>
  <c r="K1589" i="9" s="1"/>
  <c r="L1589" i="9"/>
  <c r="M1589" i="9"/>
  <c r="F1499" i="9"/>
  <c r="G1499" i="9"/>
  <c r="H1499" i="9"/>
  <c r="M1499" i="9"/>
  <c r="D1499" i="9"/>
  <c r="E1499" i="9"/>
  <c r="I1499" i="9"/>
  <c r="J1499" i="9"/>
  <c r="K1499" i="9" s="1"/>
  <c r="L1499" i="9"/>
  <c r="J1491" i="9"/>
  <c r="K1491" i="9" s="1"/>
  <c r="L1491" i="9"/>
  <c r="I1491" i="9"/>
  <c r="M1491" i="9"/>
  <c r="E1476" i="9"/>
  <c r="F1476" i="9"/>
  <c r="G1476" i="9"/>
  <c r="L1476" i="9"/>
  <c r="L1462" i="9"/>
  <c r="D1462" i="9"/>
  <c r="E1462" i="9"/>
  <c r="F1462" i="9"/>
  <c r="B1462" i="9"/>
  <c r="B1432" i="9"/>
  <c r="C1432" i="9"/>
  <c r="J1432" i="9"/>
  <c r="K1432" i="9" s="1"/>
  <c r="L1432" i="9"/>
  <c r="M1432" i="9"/>
  <c r="E1432" i="9"/>
  <c r="F1432" i="9"/>
  <c r="G1432" i="9"/>
  <c r="H1432" i="9"/>
  <c r="I1432" i="9"/>
  <c r="E1400" i="9"/>
  <c r="M1400" i="9"/>
  <c r="J1400" i="9"/>
  <c r="K1400" i="9" s="1"/>
  <c r="L1400" i="9"/>
  <c r="B1400" i="9"/>
  <c r="C1400" i="9"/>
  <c r="D1400" i="9"/>
  <c r="F1400" i="9"/>
  <c r="G1400" i="9"/>
  <c r="H1400" i="9"/>
  <c r="I1400" i="9"/>
  <c r="M1385" i="9"/>
  <c r="C1385" i="9"/>
  <c r="E1385" i="9"/>
  <c r="G1385" i="9"/>
  <c r="H1385" i="9"/>
  <c r="E1351" i="9"/>
  <c r="F1351" i="9"/>
  <c r="G1351" i="9"/>
  <c r="L1351" i="9"/>
  <c r="I1351" i="9"/>
  <c r="J1351" i="9"/>
  <c r="K1351" i="9" s="1"/>
  <c r="M1351" i="9"/>
  <c r="F1250" i="9"/>
  <c r="G1250" i="9"/>
  <c r="H1250" i="9"/>
  <c r="M1250" i="9"/>
  <c r="B1250" i="9"/>
  <c r="C1250" i="9"/>
  <c r="D1250" i="9"/>
  <c r="E1250" i="9"/>
  <c r="I1250" i="9"/>
  <c r="J1250" i="9"/>
  <c r="K1250" i="9" s="1"/>
  <c r="L1250" i="9"/>
  <c r="B1162" i="9"/>
  <c r="C1162" i="9"/>
  <c r="E1162" i="9"/>
  <c r="F1162" i="9"/>
  <c r="G1162" i="9"/>
  <c r="L1162" i="9"/>
  <c r="M1162" i="9"/>
  <c r="H1162" i="9"/>
  <c r="I1162" i="9"/>
  <c r="J1162" i="9"/>
  <c r="K1162" i="9" s="1"/>
  <c r="C1145" i="9"/>
  <c r="D1145" i="9"/>
  <c r="E1145" i="9"/>
  <c r="F1145" i="9"/>
  <c r="G1145" i="9"/>
  <c r="H1145" i="9"/>
  <c r="M1145" i="9"/>
  <c r="B1145" i="9"/>
  <c r="J1912" i="9"/>
  <c r="K1912" i="9" s="1"/>
  <c r="E1912" i="9"/>
  <c r="D1873" i="9"/>
  <c r="E1873" i="9"/>
  <c r="F1873" i="9"/>
  <c r="D1833" i="9"/>
  <c r="F1833" i="9"/>
  <c r="G1833" i="9"/>
  <c r="H1833" i="9"/>
  <c r="J1833" i="9"/>
  <c r="K1833" i="9" s="1"/>
  <c r="M1833" i="9"/>
  <c r="E1816" i="9"/>
  <c r="L1816" i="9"/>
  <c r="M1816" i="9"/>
  <c r="I1809" i="9"/>
  <c r="J1809" i="9"/>
  <c r="K1809" i="9" s="1"/>
  <c r="C1809" i="9"/>
  <c r="D1809" i="9"/>
  <c r="E1809" i="9"/>
  <c r="F1809" i="9"/>
  <c r="G1809" i="9"/>
  <c r="M1809" i="9"/>
  <c r="C1770" i="9"/>
  <c r="H1770" i="9"/>
  <c r="I1770" i="9"/>
  <c r="J1770" i="9"/>
  <c r="K1770" i="9" s="1"/>
  <c r="L1770" i="9"/>
  <c r="M1770" i="9"/>
  <c r="E1757" i="9"/>
  <c r="F1757" i="9"/>
  <c r="G1757" i="9"/>
  <c r="L1757" i="9"/>
  <c r="M1700" i="9"/>
  <c r="H1700" i="9"/>
  <c r="I1700" i="9"/>
  <c r="J1700" i="9"/>
  <c r="K1700" i="9" s="1"/>
  <c r="B1667" i="9"/>
  <c r="I1667" i="9"/>
  <c r="F1667" i="9"/>
  <c r="G1667" i="9"/>
  <c r="H1667" i="9"/>
  <c r="B1567" i="9"/>
  <c r="C1567" i="9"/>
  <c r="D1567" i="9"/>
  <c r="I1567" i="9"/>
  <c r="M1567" i="9"/>
  <c r="H1565" i="9"/>
  <c r="I1565" i="9"/>
  <c r="J1565" i="9"/>
  <c r="K1565" i="9" s="1"/>
  <c r="E1555" i="9"/>
  <c r="C1555" i="9"/>
  <c r="D1555" i="9"/>
  <c r="F1555" i="9"/>
  <c r="E1496" i="9"/>
  <c r="F1496" i="9"/>
  <c r="G1496" i="9"/>
  <c r="L1496" i="9"/>
  <c r="C1496" i="9"/>
  <c r="D1493" i="9"/>
  <c r="E1493" i="9"/>
  <c r="F1493" i="9"/>
  <c r="J1493" i="9"/>
  <c r="K1493" i="9" s="1"/>
  <c r="L1493" i="9"/>
  <c r="M1493" i="9"/>
  <c r="M1465" i="9"/>
  <c r="G1465" i="9"/>
  <c r="H1465" i="9"/>
  <c r="I1465" i="9"/>
  <c r="E1465" i="9"/>
  <c r="F1465" i="9"/>
  <c r="J1465" i="9"/>
  <c r="K1465" i="9" s="1"/>
  <c r="L1465" i="9"/>
  <c r="G1267" i="9"/>
  <c r="H1267" i="9"/>
  <c r="I1267" i="9"/>
  <c r="F1267" i="9"/>
  <c r="E1267" i="9"/>
  <c r="J1267" i="9"/>
  <c r="K1267" i="9" s="1"/>
  <c r="L1267" i="9"/>
  <c r="M1267" i="9"/>
  <c r="F1090" i="9"/>
  <c r="E1090" i="9"/>
  <c r="G1090" i="9"/>
  <c r="H1090" i="9"/>
  <c r="M1090" i="9"/>
  <c r="B1090" i="9"/>
  <c r="C1090" i="9"/>
  <c r="D1090" i="9"/>
  <c r="I1090" i="9"/>
  <c r="J1090" i="9"/>
  <c r="K1090" i="9" s="1"/>
  <c r="L1090" i="9"/>
  <c r="F1920" i="9"/>
  <c r="G1920" i="9"/>
  <c r="D1920" i="9"/>
  <c r="E1920" i="9"/>
  <c r="H1920" i="9"/>
  <c r="M1920" i="9"/>
  <c r="L1918" i="9"/>
  <c r="M1918" i="9"/>
  <c r="H1918" i="9"/>
  <c r="I1918" i="9"/>
  <c r="J1918" i="9"/>
  <c r="K1918" i="9" s="1"/>
  <c r="E1877" i="9"/>
  <c r="F1877" i="9"/>
  <c r="G1877" i="9"/>
  <c r="H1877" i="9"/>
  <c r="L1818" i="9"/>
  <c r="M1818" i="9"/>
  <c r="J1818" i="9"/>
  <c r="K1818" i="9" s="1"/>
  <c r="H1746" i="9"/>
  <c r="I1746" i="9"/>
  <c r="J1746" i="9"/>
  <c r="K1746" i="9" s="1"/>
  <c r="E1746" i="9"/>
  <c r="F1746" i="9"/>
  <c r="G1746" i="9"/>
  <c r="L1746" i="9"/>
  <c r="M1746" i="9"/>
  <c r="H1729" i="9"/>
  <c r="I1729" i="9"/>
  <c r="J1729" i="9"/>
  <c r="K1729" i="9" s="1"/>
  <c r="M1729" i="9"/>
  <c r="C1669" i="9"/>
  <c r="B1669" i="9"/>
  <c r="D1669" i="9"/>
  <c r="E1669" i="9"/>
  <c r="J1669" i="9"/>
  <c r="K1669" i="9" s="1"/>
  <c r="E1655" i="9"/>
  <c r="J1655" i="9"/>
  <c r="K1655" i="9" s="1"/>
  <c r="L1655" i="9"/>
  <c r="B1655" i="9"/>
  <c r="G1542" i="9"/>
  <c r="H1542" i="9"/>
  <c r="I1542" i="9"/>
  <c r="B1542" i="9"/>
  <c r="C1542" i="9"/>
  <c r="D1542" i="9"/>
  <c r="L1542" i="9"/>
  <c r="M1542" i="9"/>
  <c r="L1514" i="9"/>
  <c r="M1514" i="9"/>
  <c r="C1514" i="9"/>
  <c r="D1514" i="9"/>
  <c r="E1514" i="9"/>
  <c r="F1514" i="9"/>
  <c r="G1514" i="9"/>
  <c r="J1514" i="9"/>
  <c r="K1514" i="9" s="1"/>
  <c r="C1509" i="9"/>
  <c r="B1509" i="9"/>
  <c r="B1506" i="9"/>
  <c r="G1506" i="9"/>
  <c r="H1506" i="9"/>
  <c r="I1506" i="9"/>
  <c r="J1506" i="9"/>
  <c r="K1506" i="9" s="1"/>
  <c r="H1485" i="9"/>
  <c r="I1485" i="9"/>
  <c r="J1485" i="9"/>
  <c r="K1485" i="9" s="1"/>
  <c r="F1485" i="9"/>
  <c r="G1485" i="9"/>
  <c r="L1485" i="9"/>
  <c r="M1485" i="9"/>
  <c r="B2266" i="9"/>
  <c r="H2238" i="9"/>
  <c r="J2238" i="9"/>
  <c r="K2238" i="9" s="1"/>
  <c r="B2233" i="9"/>
  <c r="J2144" i="9"/>
  <c r="K2144" i="9" s="1"/>
  <c r="L2144" i="9"/>
  <c r="B2142" i="9"/>
  <c r="B2140" i="9"/>
  <c r="C2140" i="9"/>
  <c r="D2140" i="9"/>
  <c r="I2140" i="9"/>
  <c r="B2133" i="9"/>
  <c r="F2092" i="9"/>
  <c r="G2092" i="9"/>
  <c r="H2092" i="9"/>
  <c r="M2092" i="9"/>
  <c r="L2070" i="9"/>
  <c r="M2070" i="9"/>
  <c r="B2068" i="9"/>
  <c r="D2066" i="9"/>
  <c r="E2066" i="9"/>
  <c r="F2066" i="9"/>
  <c r="G2055" i="9"/>
  <c r="H2055" i="9"/>
  <c r="I2055" i="9"/>
  <c r="H2038" i="9"/>
  <c r="I2038" i="9"/>
  <c r="J2038" i="9"/>
  <c r="K2038" i="9" s="1"/>
  <c r="I2001" i="9"/>
  <c r="J2001" i="9"/>
  <c r="K2001" i="9" s="1"/>
  <c r="C1999" i="9"/>
  <c r="L1990" i="9"/>
  <c r="M1990" i="9"/>
  <c r="L1916" i="9"/>
  <c r="M1916" i="9"/>
  <c r="L1838" i="9"/>
  <c r="M1838" i="9"/>
  <c r="C1731" i="9"/>
  <c r="D1731" i="9"/>
  <c r="E1731" i="9"/>
  <c r="J1731" i="9"/>
  <c r="K1731" i="9" s="1"/>
  <c r="M1731" i="9"/>
  <c r="J1695" i="9"/>
  <c r="K1695" i="9" s="1"/>
  <c r="L1695" i="9"/>
  <c r="F1695" i="9"/>
  <c r="G1695" i="9"/>
  <c r="H1695" i="9"/>
  <c r="I1695" i="9"/>
  <c r="M1695" i="9"/>
  <c r="G1682" i="9"/>
  <c r="L1682" i="9"/>
  <c r="M1682" i="9"/>
  <c r="E1682" i="9"/>
  <c r="F1682" i="9"/>
  <c r="H1682" i="9"/>
  <c r="I1682" i="9"/>
  <c r="J1682" i="9"/>
  <c r="K1682" i="9" s="1"/>
  <c r="M1660" i="9"/>
  <c r="L1660" i="9"/>
  <c r="H1660" i="9"/>
  <c r="I1660" i="9"/>
  <c r="J1660" i="9"/>
  <c r="K1660" i="9" s="1"/>
  <c r="H1505" i="9"/>
  <c r="I1505" i="9"/>
  <c r="J1505" i="9"/>
  <c r="K1505" i="9" s="1"/>
  <c r="C1505" i="9"/>
  <c r="B1505" i="9"/>
  <c r="D1505" i="9"/>
  <c r="E1505" i="9"/>
  <c r="F1505" i="9"/>
  <c r="G1505" i="9"/>
  <c r="L1505" i="9"/>
  <c r="M1505" i="9"/>
  <c r="I1468" i="9"/>
  <c r="J1468" i="9"/>
  <c r="K1468" i="9" s="1"/>
  <c r="B1468" i="9"/>
  <c r="H1468" i="9"/>
  <c r="L1468" i="9"/>
  <c r="M1468" i="9"/>
  <c r="C2243" i="9"/>
  <c r="E2243" i="9"/>
  <c r="L2207" i="9"/>
  <c r="M2207" i="9"/>
  <c r="C2203" i="9"/>
  <c r="D2203" i="9"/>
  <c r="E2203" i="9"/>
  <c r="J2203" i="9"/>
  <c r="K2203" i="9" s="1"/>
  <c r="I2101" i="9"/>
  <c r="J2101" i="9"/>
  <c r="K2101" i="9" s="1"/>
  <c r="E2029" i="9"/>
  <c r="F2029" i="9"/>
  <c r="G2029" i="9"/>
  <c r="L2029" i="9"/>
  <c r="L1895" i="9"/>
  <c r="M1895" i="9"/>
  <c r="B1895" i="9"/>
  <c r="G1722" i="9"/>
  <c r="B1722" i="9"/>
  <c r="F1722" i="9"/>
  <c r="H1722" i="9"/>
  <c r="I1722" i="9"/>
  <c r="J1722" i="9"/>
  <c r="K1722" i="9" s="1"/>
  <c r="L1722" i="9"/>
  <c r="L1677" i="9"/>
  <c r="I1677" i="9"/>
  <c r="J1677" i="9"/>
  <c r="K1677" i="9" s="1"/>
  <c r="G1662" i="9"/>
  <c r="H1662" i="9"/>
  <c r="I1662" i="9"/>
  <c r="J1662" i="9"/>
  <c r="K1662" i="9" s="1"/>
  <c r="F1662" i="9"/>
  <c r="L1662" i="9"/>
  <c r="M1662" i="9"/>
  <c r="B1647" i="9"/>
  <c r="I1647" i="9"/>
  <c r="C1647" i="9"/>
  <c r="D1647" i="9"/>
  <c r="E1647" i="9"/>
  <c r="L1617" i="9"/>
  <c r="M1617" i="9"/>
  <c r="D1617" i="9"/>
  <c r="E1617" i="9"/>
  <c r="F1617" i="9"/>
  <c r="G1617" i="9"/>
  <c r="H1617" i="9"/>
  <c r="I1617" i="9"/>
  <c r="J1617" i="9"/>
  <c r="K1617" i="9" s="1"/>
  <c r="L1594" i="9"/>
  <c r="M1594" i="9"/>
  <c r="C1594" i="9"/>
  <c r="D1594" i="9"/>
  <c r="E1594" i="9"/>
  <c r="J1594" i="9"/>
  <c r="K1594" i="9" s="1"/>
  <c r="F1594" i="9"/>
  <c r="G1594" i="9"/>
  <c r="H1594" i="9"/>
  <c r="I1594" i="9"/>
  <c r="B1586" i="9"/>
  <c r="G1586" i="9"/>
  <c r="H1586" i="9"/>
  <c r="I1586" i="9"/>
  <c r="F1519" i="9"/>
  <c r="G1519" i="9"/>
  <c r="H1519" i="9"/>
  <c r="M1519" i="9"/>
  <c r="L1519" i="9"/>
  <c r="I1519" i="9"/>
  <c r="J1519" i="9"/>
  <c r="K1519" i="9" s="1"/>
  <c r="L1517" i="9"/>
  <c r="M1517" i="9"/>
  <c r="I1517" i="9"/>
  <c r="J1517" i="9"/>
  <c r="K1517" i="9" s="1"/>
  <c r="F1424" i="9"/>
  <c r="G1424" i="9"/>
  <c r="C1424" i="9"/>
  <c r="D1424" i="9"/>
  <c r="E1424" i="9"/>
  <c r="H1424" i="9"/>
  <c r="I1424" i="9"/>
  <c r="J1424" i="9"/>
  <c r="K1424" i="9" s="1"/>
  <c r="L1424" i="9"/>
  <c r="I1373" i="9"/>
  <c r="J1373" i="9"/>
  <c r="K1373" i="9" s="1"/>
  <c r="B1373" i="9"/>
  <c r="C1373" i="9"/>
  <c r="D1373" i="9"/>
  <c r="G1373" i="9"/>
  <c r="H1373" i="9"/>
  <c r="L1373" i="9"/>
  <c r="M1373" i="9"/>
  <c r="G1347" i="9"/>
  <c r="H1347" i="9"/>
  <c r="I1347" i="9"/>
  <c r="E1347" i="9"/>
  <c r="F2192" i="9"/>
  <c r="G2192" i="9"/>
  <c r="H2192" i="9"/>
  <c r="M2192" i="9"/>
  <c r="L2170" i="9"/>
  <c r="M2170" i="9"/>
  <c r="D2166" i="9"/>
  <c r="E2166" i="9"/>
  <c r="F2166" i="9"/>
  <c r="G2155" i="9"/>
  <c r="H2155" i="9"/>
  <c r="I2155" i="9"/>
  <c r="H2138" i="9"/>
  <c r="I2138" i="9"/>
  <c r="J2138" i="9"/>
  <c r="K2138" i="9" s="1"/>
  <c r="E2129" i="9"/>
  <c r="F2129" i="9"/>
  <c r="G2129" i="9"/>
  <c r="L2129" i="9"/>
  <c r="J2064" i="9"/>
  <c r="K2064" i="9" s="1"/>
  <c r="L2064" i="9"/>
  <c r="B2060" i="9"/>
  <c r="C2060" i="9"/>
  <c r="D2060" i="9"/>
  <c r="I2060" i="9"/>
  <c r="J1852" i="9"/>
  <c r="K1852" i="9" s="1"/>
  <c r="L1852" i="9"/>
  <c r="E1852" i="9"/>
  <c r="L1835" i="9"/>
  <c r="M1835" i="9"/>
  <c r="D1835" i="9"/>
  <c r="E1835" i="9"/>
  <c r="F1835" i="9"/>
  <c r="H1835" i="9"/>
  <c r="L1798" i="9"/>
  <c r="M1798" i="9"/>
  <c r="G1798" i="9"/>
  <c r="H1798" i="9"/>
  <c r="I1798" i="9"/>
  <c r="J1798" i="9"/>
  <c r="K1798" i="9" s="1"/>
  <c r="L1778" i="9"/>
  <c r="M1778" i="9"/>
  <c r="D1778" i="9"/>
  <c r="E1778" i="9"/>
  <c r="F1778" i="9"/>
  <c r="G1778" i="9"/>
  <c r="H1778" i="9"/>
  <c r="I1778" i="9"/>
  <c r="B1727" i="9"/>
  <c r="M1727" i="9"/>
  <c r="E1675" i="9"/>
  <c r="M1675" i="9"/>
  <c r="B1675" i="9"/>
  <c r="B1666" i="9"/>
  <c r="E1666" i="9"/>
  <c r="C1666" i="9"/>
  <c r="D1666" i="9"/>
  <c r="F1666" i="9"/>
  <c r="G1666" i="9"/>
  <c r="H1666" i="9"/>
  <c r="I1666" i="9"/>
  <c r="I1608" i="9"/>
  <c r="J1608" i="9"/>
  <c r="K1608" i="9" s="1"/>
  <c r="M1608" i="9"/>
  <c r="C1608" i="9"/>
  <c r="D1608" i="9"/>
  <c r="E1608" i="9"/>
  <c r="F1608" i="9"/>
  <c r="G1608" i="9"/>
  <c r="H1608" i="9"/>
  <c r="M1560" i="9"/>
  <c r="J1560" i="9"/>
  <c r="K1560" i="9" s="1"/>
  <c r="L1560" i="9"/>
  <c r="E1560" i="9"/>
  <c r="F1560" i="9"/>
  <c r="G1560" i="9"/>
  <c r="H1560" i="9"/>
  <c r="I1560" i="9"/>
  <c r="B1546" i="9"/>
  <c r="D1546" i="9"/>
  <c r="I1546" i="9"/>
  <c r="J1546" i="9"/>
  <c r="K1546" i="9" s="1"/>
  <c r="L1546" i="9"/>
  <c r="M1546" i="9"/>
  <c r="J1471" i="9"/>
  <c r="K1471" i="9" s="1"/>
  <c r="L1471" i="9"/>
  <c r="D1471" i="9"/>
  <c r="E1471" i="9"/>
  <c r="F1471" i="9"/>
  <c r="G1471" i="9"/>
  <c r="H1471" i="9"/>
  <c r="I1471" i="9"/>
  <c r="M1471" i="9"/>
  <c r="L1419" i="9"/>
  <c r="C1419" i="9"/>
  <c r="D1419" i="9"/>
  <c r="E1419" i="9"/>
  <c r="F1419" i="9"/>
  <c r="G1419" i="9"/>
  <c r="H1419" i="9"/>
  <c r="J1419" i="9"/>
  <c r="K1419" i="9" s="1"/>
  <c r="L1262" i="9"/>
  <c r="M1262" i="9"/>
  <c r="J1262" i="9"/>
  <c r="K1262" i="9" s="1"/>
  <c r="E1262" i="9"/>
  <c r="G1262" i="9"/>
  <c r="H1262" i="9"/>
  <c r="F1005" i="9"/>
  <c r="G1005" i="9"/>
  <c r="C1005" i="9"/>
  <c r="D1005" i="9"/>
  <c r="E1005" i="9"/>
  <c r="M1005" i="9"/>
  <c r="I1005" i="9"/>
  <c r="J1005" i="9"/>
  <c r="K1005" i="9" s="1"/>
  <c r="L1005" i="9"/>
  <c r="B1005" i="9"/>
  <c r="H1005" i="9"/>
  <c r="G2214" i="9"/>
  <c r="G2194" i="9"/>
  <c r="G2174" i="9"/>
  <c r="G2154" i="9"/>
  <c r="G2134" i="9"/>
  <c r="G2114" i="9"/>
  <c r="G2094" i="9"/>
  <c r="G2074" i="9"/>
  <c r="G2054" i="9"/>
  <c r="G2034" i="9"/>
  <c r="G2014" i="9"/>
  <c r="G1994" i="9"/>
  <c r="G1986" i="9"/>
  <c r="G1978" i="9"/>
  <c r="H1965" i="9"/>
  <c r="H1957" i="9"/>
  <c r="F1949" i="9"/>
  <c r="D1914" i="9"/>
  <c r="E1914" i="9"/>
  <c r="H1886" i="9"/>
  <c r="I1886" i="9"/>
  <c r="J1886" i="9"/>
  <c r="K1886" i="9" s="1"/>
  <c r="J1872" i="9"/>
  <c r="K1872" i="9" s="1"/>
  <c r="L1872" i="9"/>
  <c r="L1858" i="9"/>
  <c r="M1858" i="9"/>
  <c r="G1850" i="9"/>
  <c r="G1846" i="9"/>
  <c r="G1841" i="9"/>
  <c r="D1821" i="9"/>
  <c r="H1806" i="9"/>
  <c r="I1806" i="9"/>
  <c r="J1806" i="9"/>
  <c r="K1806" i="9" s="1"/>
  <c r="E1795" i="9"/>
  <c r="H1791" i="9"/>
  <c r="G1789" i="9"/>
  <c r="C1773" i="9"/>
  <c r="F1767" i="9"/>
  <c r="I1749" i="9"/>
  <c r="J1749" i="9"/>
  <c r="K1749" i="9" s="1"/>
  <c r="F1740" i="9"/>
  <c r="G1740" i="9"/>
  <c r="H1740" i="9"/>
  <c r="M1740" i="9"/>
  <c r="E1738" i="9"/>
  <c r="H1734" i="9"/>
  <c r="C1723" i="9"/>
  <c r="D1723" i="9"/>
  <c r="E1723" i="9"/>
  <c r="J1723" i="9"/>
  <c r="K1723" i="9" s="1"/>
  <c r="E1719" i="9"/>
  <c r="F1717" i="9"/>
  <c r="D1698" i="9"/>
  <c r="B1694" i="9"/>
  <c r="C1694" i="9"/>
  <c r="D1694" i="9"/>
  <c r="I1694" i="9"/>
  <c r="F1690" i="9"/>
  <c r="F1688" i="9"/>
  <c r="E1653" i="9"/>
  <c r="H1645" i="9"/>
  <c r="F1645" i="9"/>
  <c r="G1645" i="9"/>
  <c r="I1645" i="9"/>
  <c r="F1628" i="9"/>
  <c r="G1622" i="9"/>
  <c r="H1622" i="9"/>
  <c r="I1622" i="9"/>
  <c r="B1622" i="9"/>
  <c r="C1622" i="9"/>
  <c r="D1622" i="9"/>
  <c r="L1622" i="9"/>
  <c r="E1597" i="9"/>
  <c r="D1595" i="9"/>
  <c r="I1590" i="9"/>
  <c r="I1588" i="9"/>
  <c r="J1588" i="9"/>
  <c r="K1588" i="9" s="1"/>
  <c r="E1588" i="9"/>
  <c r="F1588" i="9"/>
  <c r="G1588" i="9"/>
  <c r="C1569" i="9"/>
  <c r="L1569" i="9"/>
  <c r="M1569" i="9"/>
  <c r="F1547" i="9"/>
  <c r="H1545" i="9"/>
  <c r="I1545" i="9"/>
  <c r="J1545" i="9"/>
  <c r="K1545" i="9" s="1"/>
  <c r="F1545" i="9"/>
  <c r="G1545" i="9"/>
  <c r="C1537" i="9"/>
  <c r="C1530" i="9"/>
  <c r="D1530" i="9"/>
  <c r="E1530" i="9"/>
  <c r="J1530" i="9"/>
  <c r="K1530" i="9" s="1"/>
  <c r="L1530" i="9"/>
  <c r="M1530" i="9"/>
  <c r="B1526" i="9"/>
  <c r="L1526" i="9"/>
  <c r="M1526" i="9"/>
  <c r="E1502" i="9"/>
  <c r="J1475" i="9"/>
  <c r="K1475" i="9" s="1"/>
  <c r="L1469" i="9"/>
  <c r="E1461" i="9"/>
  <c r="C1461" i="9"/>
  <c r="H1461" i="9"/>
  <c r="I1461" i="9"/>
  <c r="J1461" i="9"/>
  <c r="K1461" i="9" s="1"/>
  <c r="L1461" i="9"/>
  <c r="M1461" i="9"/>
  <c r="C1455" i="9"/>
  <c r="L1455" i="9"/>
  <c r="M1455" i="9"/>
  <c r="J1455" i="9"/>
  <c r="K1455" i="9" s="1"/>
  <c r="E1412" i="9"/>
  <c r="C1358" i="9"/>
  <c r="L1331" i="9"/>
  <c r="M1331" i="9"/>
  <c r="H1331" i="9"/>
  <c r="J1331" i="9"/>
  <c r="K1331" i="9" s="1"/>
  <c r="D1331" i="9"/>
  <c r="E1331" i="9"/>
  <c r="F1331" i="9"/>
  <c r="G1331" i="9"/>
  <c r="I1331" i="9"/>
  <c r="E1274" i="9"/>
  <c r="L1270" i="9"/>
  <c r="B1202" i="9"/>
  <c r="C1202" i="9"/>
  <c r="M1202" i="9"/>
  <c r="D1202" i="9"/>
  <c r="E1202" i="9"/>
  <c r="F1202" i="9"/>
  <c r="G1202" i="9"/>
  <c r="H1202" i="9"/>
  <c r="I1202" i="9"/>
  <c r="J1202" i="9"/>
  <c r="K1202" i="9" s="1"/>
  <c r="L1202" i="9"/>
  <c r="H1190" i="9"/>
  <c r="I1125" i="9"/>
  <c r="L1069" i="9"/>
  <c r="M1069" i="9"/>
  <c r="H1069" i="9"/>
  <c r="I1069" i="9"/>
  <c r="J1069" i="9"/>
  <c r="K1069" i="9" s="1"/>
  <c r="F1069" i="9"/>
  <c r="G1069" i="9"/>
  <c r="B1069" i="9"/>
  <c r="C1069" i="9"/>
  <c r="D1069" i="9"/>
  <c r="E1069" i="9"/>
  <c r="F832" i="9"/>
  <c r="D832" i="9"/>
  <c r="E832" i="9"/>
  <c r="L832" i="9"/>
  <c r="C832" i="9"/>
  <c r="G832" i="9"/>
  <c r="H832" i="9"/>
  <c r="B832" i="9"/>
  <c r="M832" i="9"/>
  <c r="B820" i="9"/>
  <c r="E820" i="9"/>
  <c r="G820" i="9"/>
  <c r="H820" i="9"/>
  <c r="C820" i="9"/>
  <c r="D820" i="9"/>
  <c r="F820" i="9"/>
  <c r="I820" i="9"/>
  <c r="L820" i="9"/>
  <c r="M820" i="9"/>
  <c r="J820" i="9"/>
  <c r="K820" i="9" s="1"/>
  <c r="F216" i="9"/>
  <c r="G216" i="9"/>
  <c r="H216" i="9"/>
  <c r="M216" i="9"/>
  <c r="B216" i="9"/>
  <c r="E216" i="9"/>
  <c r="I216" i="9"/>
  <c r="J216" i="9"/>
  <c r="K216" i="9" s="1"/>
  <c r="C216" i="9"/>
  <c r="D216" i="9"/>
  <c r="L216" i="9"/>
  <c r="F1599" i="9"/>
  <c r="G1599" i="9"/>
  <c r="H1599" i="9"/>
  <c r="M1599" i="9"/>
  <c r="L1599" i="9"/>
  <c r="I1528" i="9"/>
  <c r="J1528" i="9"/>
  <c r="K1528" i="9" s="1"/>
  <c r="M1528" i="9"/>
  <c r="F1457" i="9"/>
  <c r="G1457" i="9"/>
  <c r="H1457" i="9"/>
  <c r="M1457" i="9"/>
  <c r="L1457" i="9"/>
  <c r="E1448" i="9"/>
  <c r="F1448" i="9"/>
  <c r="G1448" i="9"/>
  <c r="H1448" i="9"/>
  <c r="I1448" i="9"/>
  <c r="J1448" i="9"/>
  <c r="K1448" i="9" s="1"/>
  <c r="M1448" i="9"/>
  <c r="E1361" i="9"/>
  <c r="F1361" i="9"/>
  <c r="G1361" i="9"/>
  <c r="B1361" i="9"/>
  <c r="C1361" i="9"/>
  <c r="M1361" i="9"/>
  <c r="L1361" i="9"/>
  <c r="H1221" i="9"/>
  <c r="I1221" i="9"/>
  <c r="J1221" i="9"/>
  <c r="K1221" i="9" s="1"/>
  <c r="C1221" i="9"/>
  <c r="D1221" i="9"/>
  <c r="E1221" i="9"/>
  <c r="F1221" i="9"/>
  <c r="G1221" i="9"/>
  <c r="L1221" i="9"/>
  <c r="M1221" i="9"/>
  <c r="H1160" i="9"/>
  <c r="I1160" i="9"/>
  <c r="G1160" i="9"/>
  <c r="J1160" i="9"/>
  <c r="K1160" i="9" s="1"/>
  <c r="L1160" i="9"/>
  <c r="M1160" i="9"/>
  <c r="C1160" i="9"/>
  <c r="D1160" i="9"/>
  <c r="E1160" i="9"/>
  <c r="F1160" i="9"/>
  <c r="B1160" i="9"/>
  <c r="H1125" i="9"/>
  <c r="B1121" i="9"/>
  <c r="I1121" i="9"/>
  <c r="J1121" i="9"/>
  <c r="K1121" i="9" s="1"/>
  <c r="L1121" i="9"/>
  <c r="M1121" i="9"/>
  <c r="C1121" i="9"/>
  <c r="D1121" i="9"/>
  <c r="C936" i="9"/>
  <c r="D936" i="9"/>
  <c r="J936" i="9"/>
  <c r="K936" i="9" s="1"/>
  <c r="H936" i="9"/>
  <c r="I936" i="9"/>
  <c r="L936" i="9"/>
  <c r="M936" i="9"/>
  <c r="B936" i="9"/>
  <c r="E936" i="9"/>
  <c r="F936" i="9"/>
  <c r="G936" i="9"/>
  <c r="H781" i="9"/>
  <c r="J750" i="9"/>
  <c r="K750" i="9" s="1"/>
  <c r="E1797" i="9"/>
  <c r="F1797" i="9"/>
  <c r="G1797" i="9"/>
  <c r="L1797" i="9"/>
  <c r="B1715" i="9"/>
  <c r="C1715" i="9"/>
  <c r="D1715" i="9"/>
  <c r="I1715" i="9"/>
  <c r="E1696" i="9"/>
  <c r="D1696" i="9"/>
  <c r="G1692" i="9"/>
  <c r="H1692" i="9"/>
  <c r="I1692" i="9"/>
  <c r="L1657" i="9"/>
  <c r="F1657" i="9"/>
  <c r="G1657" i="9"/>
  <c r="H1657" i="9"/>
  <c r="J1651" i="9"/>
  <c r="K1651" i="9" s="1"/>
  <c r="C1651" i="9"/>
  <c r="F1639" i="9"/>
  <c r="H1639" i="9"/>
  <c r="M1639" i="9"/>
  <c r="C1639" i="9"/>
  <c r="D1613" i="9"/>
  <c r="E1613" i="9"/>
  <c r="F1613" i="9"/>
  <c r="G1613" i="9"/>
  <c r="C1590" i="9"/>
  <c r="D1590" i="9"/>
  <c r="E1590" i="9"/>
  <c r="J1590" i="9"/>
  <c r="K1590" i="9" s="1"/>
  <c r="F1590" i="9"/>
  <c r="G1590" i="9"/>
  <c r="H1590" i="9"/>
  <c r="B1547" i="9"/>
  <c r="C1547" i="9"/>
  <c r="D1547" i="9"/>
  <c r="I1547" i="9"/>
  <c r="G1547" i="9"/>
  <c r="H1547" i="9"/>
  <c r="J1547" i="9"/>
  <c r="K1547" i="9" s="1"/>
  <c r="L1537" i="9"/>
  <c r="M1537" i="9"/>
  <c r="D1537" i="9"/>
  <c r="E1475" i="9"/>
  <c r="C1475" i="9"/>
  <c r="D1475" i="9"/>
  <c r="F1475" i="9"/>
  <c r="G1475" i="9"/>
  <c r="H1475" i="9"/>
  <c r="I1475" i="9"/>
  <c r="B1412" i="9"/>
  <c r="C1412" i="9"/>
  <c r="I1412" i="9"/>
  <c r="J1412" i="9"/>
  <c r="K1412" i="9" s="1"/>
  <c r="L1412" i="9"/>
  <c r="M1412" i="9"/>
  <c r="D1358" i="9"/>
  <c r="E1358" i="9"/>
  <c r="F1358" i="9"/>
  <c r="I1358" i="9"/>
  <c r="J1358" i="9"/>
  <c r="K1358" i="9" s="1"/>
  <c r="H1358" i="9"/>
  <c r="M1358" i="9"/>
  <c r="C1274" i="9"/>
  <c r="B1274" i="9"/>
  <c r="L1274" i="9"/>
  <c r="G1274" i="9"/>
  <c r="H1274" i="9"/>
  <c r="I1274" i="9"/>
  <c r="J1274" i="9"/>
  <c r="K1274" i="9" s="1"/>
  <c r="M1274" i="9"/>
  <c r="G1270" i="9"/>
  <c r="G1235" i="9"/>
  <c r="B1190" i="9"/>
  <c r="J1190" i="9"/>
  <c r="K1190" i="9" s="1"/>
  <c r="L1190" i="9"/>
  <c r="M1190" i="9"/>
  <c r="C1190" i="9"/>
  <c r="E1190" i="9"/>
  <c r="F1190" i="9"/>
  <c r="G1190" i="9"/>
  <c r="I1190" i="9"/>
  <c r="G1125" i="9"/>
  <c r="F799" i="9"/>
  <c r="C781" i="9"/>
  <c r="C569" i="9"/>
  <c r="B569" i="9"/>
  <c r="J569" i="9"/>
  <c r="K569" i="9" s="1"/>
  <c r="D569" i="9"/>
  <c r="E569" i="9"/>
  <c r="G569" i="9"/>
  <c r="L569" i="9"/>
  <c r="F569" i="9"/>
  <c r="H569" i="9"/>
  <c r="M569" i="9"/>
  <c r="I569" i="9"/>
  <c r="H1826" i="9"/>
  <c r="I1826" i="9"/>
  <c r="J1826" i="9"/>
  <c r="K1826" i="9" s="1"/>
  <c r="I1769" i="9"/>
  <c r="J1769" i="9"/>
  <c r="K1769" i="9" s="1"/>
  <c r="C1767" i="9"/>
  <c r="F1760" i="9"/>
  <c r="G1760" i="9"/>
  <c r="H1760" i="9"/>
  <c r="M1760" i="9"/>
  <c r="D1713" i="9"/>
  <c r="G1713" i="9"/>
  <c r="H1713" i="9"/>
  <c r="I1713" i="9"/>
  <c r="E1635" i="9"/>
  <c r="B1635" i="9"/>
  <c r="C1635" i="9"/>
  <c r="D1635" i="9"/>
  <c r="J1635" i="9"/>
  <c r="K1635" i="9" s="1"/>
  <c r="G1582" i="9"/>
  <c r="H1582" i="9"/>
  <c r="I1582" i="9"/>
  <c r="D1573" i="9"/>
  <c r="E1573" i="9"/>
  <c r="F1573" i="9"/>
  <c r="J1573" i="9"/>
  <c r="K1573" i="9" s="1"/>
  <c r="L1573" i="9"/>
  <c r="M1573" i="9"/>
  <c r="J1571" i="9"/>
  <c r="K1571" i="9" s="1"/>
  <c r="L1571" i="9"/>
  <c r="I1571" i="9"/>
  <c r="M1571" i="9"/>
  <c r="D1532" i="9"/>
  <c r="J1532" i="9"/>
  <c r="K1532" i="9" s="1"/>
  <c r="L1532" i="9"/>
  <c r="I1508" i="9"/>
  <c r="J1508" i="9"/>
  <c r="K1508" i="9" s="1"/>
  <c r="E1508" i="9"/>
  <c r="F1508" i="9"/>
  <c r="G1508" i="9"/>
  <c r="H1508" i="9"/>
  <c r="L1508" i="9"/>
  <c r="E1495" i="9"/>
  <c r="I1495" i="9"/>
  <c r="J1495" i="9"/>
  <c r="K1495" i="9" s="1"/>
  <c r="L1495" i="9"/>
  <c r="M1495" i="9"/>
  <c r="G1482" i="9"/>
  <c r="H1482" i="9"/>
  <c r="I1482" i="9"/>
  <c r="J1482" i="9"/>
  <c r="K1482" i="9" s="1"/>
  <c r="L1482" i="9"/>
  <c r="M1482" i="9"/>
  <c r="M1480" i="9"/>
  <c r="J1480" i="9"/>
  <c r="K1480" i="9" s="1"/>
  <c r="L1480" i="9"/>
  <c r="L1442" i="9"/>
  <c r="M1442" i="9"/>
  <c r="E1442" i="9"/>
  <c r="F1442" i="9"/>
  <c r="G1442" i="9"/>
  <c r="H1442" i="9"/>
  <c r="I1442" i="9"/>
  <c r="J1442" i="9"/>
  <c r="K1442" i="9" s="1"/>
  <c r="C1417" i="9"/>
  <c r="B1417" i="9"/>
  <c r="D1417" i="9"/>
  <c r="E1417" i="9"/>
  <c r="F1417" i="9"/>
  <c r="G1417" i="9"/>
  <c r="H1417" i="9"/>
  <c r="J1417" i="9"/>
  <c r="K1417" i="9" s="1"/>
  <c r="C1295" i="9"/>
  <c r="D1295" i="9"/>
  <c r="E1295" i="9"/>
  <c r="J1295" i="9"/>
  <c r="K1295" i="9" s="1"/>
  <c r="H1295" i="9"/>
  <c r="I1295" i="9"/>
  <c r="F1295" i="9"/>
  <c r="G1295" i="9"/>
  <c r="L1295" i="9"/>
  <c r="M1295" i="9"/>
  <c r="L1249" i="9"/>
  <c r="E1249" i="9"/>
  <c r="H1249" i="9"/>
  <c r="I1249" i="9"/>
  <c r="J1249" i="9"/>
  <c r="K1249" i="9" s="1"/>
  <c r="G1249" i="9"/>
  <c r="I1243" i="9"/>
  <c r="J1243" i="9"/>
  <c r="K1243" i="9" s="1"/>
  <c r="H1243" i="9"/>
  <c r="L1243" i="9"/>
  <c r="B1243" i="9"/>
  <c r="C1243" i="9"/>
  <c r="D1243" i="9"/>
  <c r="E1243" i="9"/>
  <c r="M1243" i="9"/>
  <c r="F875" i="9"/>
  <c r="G875" i="9"/>
  <c r="H875" i="9"/>
  <c r="I875" i="9"/>
  <c r="J875" i="9"/>
  <c r="K875" i="9" s="1"/>
  <c r="B875" i="9"/>
  <c r="C875" i="9"/>
  <c r="D875" i="9"/>
  <c r="E875" i="9"/>
  <c r="L875" i="9"/>
  <c r="L750" i="9"/>
  <c r="B750" i="9"/>
  <c r="C750" i="9"/>
  <c r="G750" i="9"/>
  <c r="I750" i="9"/>
  <c r="F750" i="9"/>
  <c r="M750" i="9"/>
  <c r="D750" i="9"/>
  <c r="E750" i="9"/>
  <c r="L1795" i="9"/>
  <c r="M1795" i="9"/>
  <c r="C1791" i="9"/>
  <c r="D1791" i="9"/>
  <c r="E1791" i="9"/>
  <c r="J1791" i="9"/>
  <c r="K1791" i="9" s="1"/>
  <c r="L1738" i="9"/>
  <c r="M1738" i="9"/>
  <c r="D1734" i="9"/>
  <c r="E1734" i="9"/>
  <c r="F1734" i="9"/>
  <c r="F1719" i="9"/>
  <c r="M1719" i="9"/>
  <c r="L1717" i="9"/>
  <c r="D1717" i="9"/>
  <c r="C1690" i="9"/>
  <c r="L1690" i="9"/>
  <c r="M1690" i="9"/>
  <c r="I1688" i="9"/>
  <c r="C1688" i="9"/>
  <c r="I1628" i="9"/>
  <c r="J1628" i="9"/>
  <c r="K1628" i="9" s="1"/>
  <c r="B1628" i="9"/>
  <c r="L1597" i="9"/>
  <c r="M1597" i="9"/>
  <c r="G1502" i="9"/>
  <c r="H1502" i="9"/>
  <c r="I1502" i="9"/>
  <c r="C1469" i="9"/>
  <c r="F1469" i="9"/>
  <c r="G1469" i="9"/>
  <c r="H1469" i="9"/>
  <c r="I1469" i="9"/>
  <c r="J1469" i="9"/>
  <c r="K1469" i="9" s="1"/>
  <c r="M1469" i="9"/>
  <c r="H1270" i="9"/>
  <c r="I1270" i="9"/>
  <c r="J1270" i="9"/>
  <c r="K1270" i="9" s="1"/>
  <c r="B1270" i="9"/>
  <c r="C1270" i="9"/>
  <c r="D1270" i="9"/>
  <c r="E1270" i="9"/>
  <c r="M1235" i="9"/>
  <c r="D1235" i="9"/>
  <c r="E1235" i="9"/>
  <c r="F1235" i="9"/>
  <c r="H1235" i="9"/>
  <c r="I1235" i="9"/>
  <c r="J1235" i="9"/>
  <c r="K1235" i="9" s="1"/>
  <c r="L1235" i="9"/>
  <c r="B1235" i="9"/>
  <c r="C1125" i="9"/>
  <c r="D1125" i="9"/>
  <c r="E1125" i="9"/>
  <c r="L1125" i="9"/>
  <c r="M1125" i="9"/>
  <c r="F1125" i="9"/>
  <c r="J1086" i="9"/>
  <c r="K1086" i="9" s="1"/>
  <c r="L1086" i="9"/>
  <c r="F1086" i="9"/>
  <c r="G1086" i="9"/>
  <c r="H1086" i="9"/>
  <c r="E1086" i="9"/>
  <c r="I1086" i="9"/>
  <c r="M1086" i="9"/>
  <c r="D1086" i="9"/>
  <c r="B1086" i="9"/>
  <c r="C1086" i="9"/>
  <c r="C857" i="9"/>
  <c r="D857" i="9"/>
  <c r="J857" i="9"/>
  <c r="K857" i="9" s="1"/>
  <c r="E857" i="9"/>
  <c r="F857" i="9"/>
  <c r="G857" i="9"/>
  <c r="H857" i="9"/>
  <c r="L857" i="9"/>
  <c r="M857" i="9"/>
  <c r="I857" i="9"/>
  <c r="E799" i="9"/>
  <c r="B799" i="9"/>
  <c r="J799" i="9"/>
  <c r="K799" i="9" s="1"/>
  <c r="L799" i="9"/>
  <c r="M799" i="9"/>
  <c r="C799" i="9"/>
  <c r="G799" i="9"/>
  <c r="H799" i="9"/>
  <c r="I799" i="9"/>
  <c r="I781" i="9"/>
  <c r="D781" i="9"/>
  <c r="E781" i="9"/>
  <c r="F781" i="9"/>
  <c r="M781" i="9"/>
  <c r="G781" i="9"/>
  <c r="J781" i="9"/>
  <c r="K781" i="9" s="1"/>
  <c r="L781" i="9"/>
  <c r="B1986" i="9"/>
  <c r="B1978" i="9"/>
  <c r="C1965" i="9"/>
  <c r="B1957" i="9"/>
  <c r="E1917" i="9"/>
  <c r="F1917" i="9"/>
  <c r="B1841" i="9"/>
  <c r="E1817" i="9"/>
  <c r="F1817" i="9"/>
  <c r="G1817" i="9"/>
  <c r="L1817" i="9"/>
  <c r="B1709" i="9"/>
  <c r="M1580" i="9"/>
  <c r="B1580" i="9"/>
  <c r="H1330" i="9"/>
  <c r="I1330" i="9"/>
  <c r="J1330" i="9"/>
  <c r="K1330" i="9" s="1"/>
  <c r="B1330" i="9"/>
  <c r="C1330" i="9"/>
  <c r="D1330" i="9"/>
  <c r="L1330" i="9"/>
  <c r="G1330" i="9"/>
  <c r="D1317" i="9"/>
  <c r="I1317" i="9"/>
  <c r="J1317" i="9"/>
  <c r="K1317" i="9" s="1"/>
  <c r="B1317" i="9"/>
  <c r="E1317" i="9"/>
  <c r="F1317" i="9"/>
  <c r="G1008" i="9"/>
  <c r="H1008" i="9"/>
  <c r="B1008" i="9"/>
  <c r="C1008" i="9"/>
  <c r="I1008" i="9"/>
  <c r="J1008" i="9"/>
  <c r="K1008" i="9" s="1"/>
  <c r="D1008" i="9"/>
  <c r="E1008" i="9"/>
  <c r="F1008" i="9"/>
  <c r="L1008" i="9"/>
  <c r="M1008" i="9"/>
  <c r="H931" i="9"/>
  <c r="I931" i="9"/>
  <c r="B931" i="9"/>
  <c r="C931" i="9"/>
  <c r="D931" i="9"/>
  <c r="E931" i="9"/>
  <c r="J931" i="9"/>
  <c r="K931" i="9" s="1"/>
  <c r="L931" i="9"/>
  <c r="F931" i="9"/>
  <c r="G931" i="9"/>
  <c r="M931" i="9"/>
  <c r="G835" i="9"/>
  <c r="J835" i="9"/>
  <c r="K835" i="9" s="1"/>
  <c r="E835" i="9"/>
  <c r="F835" i="9"/>
  <c r="H835" i="9"/>
  <c r="I835" i="9"/>
  <c r="M835" i="9"/>
  <c r="C835" i="9"/>
  <c r="M753" i="9"/>
  <c r="H753" i="9"/>
  <c r="I753" i="9"/>
  <c r="C753" i="9"/>
  <c r="D753" i="9"/>
  <c r="E753" i="9"/>
  <c r="F753" i="9"/>
  <c r="L753" i="9"/>
  <c r="B753" i="9"/>
  <c r="G753" i="9"/>
  <c r="J753" i="9"/>
  <c r="K753" i="9" s="1"/>
  <c r="H1866" i="9"/>
  <c r="I1866" i="9"/>
  <c r="J1866" i="9"/>
  <c r="K1866" i="9" s="1"/>
  <c r="H1846" i="9"/>
  <c r="I1846" i="9"/>
  <c r="J1846" i="9"/>
  <c r="K1846" i="9" s="1"/>
  <c r="I1789" i="9"/>
  <c r="J1789" i="9"/>
  <c r="K1789" i="9" s="1"/>
  <c r="F1780" i="9"/>
  <c r="G1780" i="9"/>
  <c r="H1780" i="9"/>
  <c r="M1780" i="9"/>
  <c r="G1743" i="9"/>
  <c r="H1743" i="9"/>
  <c r="I1743" i="9"/>
  <c r="J1732" i="9"/>
  <c r="K1732" i="9" s="1"/>
  <c r="L1732" i="9"/>
  <c r="C1730" i="9"/>
  <c r="B1730" i="9"/>
  <c r="J1711" i="9"/>
  <c r="K1711" i="9" s="1"/>
  <c r="L1711" i="9"/>
  <c r="M1711" i="9"/>
  <c r="D1592" i="9"/>
  <c r="E1592" i="9"/>
  <c r="F1592" i="9"/>
  <c r="G1592" i="9"/>
  <c r="L1592" i="9"/>
  <c r="L1554" i="9"/>
  <c r="M1554" i="9"/>
  <c r="L1534" i="9"/>
  <c r="M1534" i="9"/>
  <c r="H1534" i="9"/>
  <c r="I1534" i="9"/>
  <c r="J1534" i="9"/>
  <c r="K1534" i="9" s="1"/>
  <c r="M1500" i="9"/>
  <c r="B1500" i="9"/>
  <c r="L1422" i="9"/>
  <c r="M1422" i="9"/>
  <c r="D1422" i="9"/>
  <c r="L1209" i="9"/>
  <c r="J1209" i="9"/>
  <c r="K1209" i="9" s="1"/>
  <c r="M1209" i="9"/>
  <c r="I1209" i="9"/>
  <c r="G1209" i="9"/>
  <c r="D1209" i="9"/>
  <c r="E1209" i="9"/>
  <c r="F1209" i="9"/>
  <c r="H1209" i="9"/>
  <c r="E1002" i="9"/>
  <c r="F1002" i="9"/>
  <c r="H1002" i="9"/>
  <c r="L1002" i="9"/>
  <c r="M1002" i="9"/>
  <c r="I1002" i="9"/>
  <c r="J1002" i="9"/>
  <c r="K1002" i="9" s="1"/>
  <c r="I864" i="9"/>
  <c r="B864" i="9"/>
  <c r="E864" i="9"/>
  <c r="F864" i="9"/>
  <c r="G864" i="9"/>
  <c r="H864" i="9"/>
  <c r="L864" i="9"/>
  <c r="M864" i="9"/>
  <c r="D864" i="9"/>
  <c r="J864" i="9"/>
  <c r="K864" i="9" s="1"/>
  <c r="C864" i="9"/>
  <c r="I1889" i="9"/>
  <c r="J1889" i="9"/>
  <c r="K1889" i="9" s="1"/>
  <c r="L1875" i="9"/>
  <c r="M1875" i="9"/>
  <c r="L1815" i="9"/>
  <c r="M1815" i="9"/>
  <c r="C1811" i="9"/>
  <c r="D1811" i="9"/>
  <c r="E1811" i="9"/>
  <c r="J1811" i="9"/>
  <c r="K1811" i="9" s="1"/>
  <c r="L1758" i="9"/>
  <c r="M1758" i="9"/>
  <c r="D1754" i="9"/>
  <c r="E1754" i="9"/>
  <c r="F1754" i="9"/>
  <c r="H1705" i="9"/>
  <c r="E1705" i="9"/>
  <c r="F1705" i="9"/>
  <c r="G1705" i="9"/>
  <c r="M1705" i="9"/>
  <c r="C1630" i="9"/>
  <c r="D1630" i="9"/>
  <c r="E1630" i="9"/>
  <c r="J1630" i="9"/>
  <c r="K1630" i="9" s="1"/>
  <c r="E1615" i="9"/>
  <c r="F1615" i="9"/>
  <c r="H1585" i="9"/>
  <c r="I1585" i="9"/>
  <c r="J1585" i="9"/>
  <c r="K1585" i="9" s="1"/>
  <c r="C1585" i="9"/>
  <c r="C1549" i="9"/>
  <c r="F1549" i="9"/>
  <c r="G1549" i="9"/>
  <c r="H1549" i="9"/>
  <c r="M1549" i="9"/>
  <c r="D1513" i="9"/>
  <c r="E1513" i="9"/>
  <c r="F1513" i="9"/>
  <c r="C1510" i="9"/>
  <c r="D1510" i="9"/>
  <c r="E1510" i="9"/>
  <c r="J1510" i="9"/>
  <c r="K1510" i="9" s="1"/>
  <c r="F1510" i="9"/>
  <c r="G1510" i="9"/>
  <c r="H1510" i="9"/>
  <c r="I1510" i="9"/>
  <c r="F1444" i="9"/>
  <c r="H1444" i="9"/>
  <c r="I1444" i="9"/>
  <c r="J1444" i="9"/>
  <c r="K1444" i="9" s="1"/>
  <c r="C1444" i="9"/>
  <c r="D1444" i="9"/>
  <c r="E1444" i="9"/>
  <c r="G1444" i="9"/>
  <c r="L1444" i="9"/>
  <c r="E1381" i="9"/>
  <c r="F1381" i="9"/>
  <c r="B1381" i="9"/>
  <c r="C1381" i="9"/>
  <c r="D1381" i="9"/>
  <c r="G1381" i="9"/>
  <c r="H1381" i="9"/>
  <c r="L1381" i="9"/>
  <c r="M1381" i="9"/>
  <c r="D1338" i="9"/>
  <c r="E1338" i="9"/>
  <c r="F1338" i="9"/>
  <c r="C1338" i="9"/>
  <c r="H1338" i="9"/>
  <c r="I1338" i="9"/>
  <c r="L1338" i="9"/>
  <c r="M1338" i="9"/>
  <c r="M1325" i="9"/>
  <c r="C1325" i="9"/>
  <c r="D1325" i="9"/>
  <c r="E1325" i="9"/>
  <c r="J1325" i="9"/>
  <c r="K1325" i="9" s="1"/>
  <c r="F1325" i="9"/>
  <c r="G1325" i="9"/>
  <c r="H1325" i="9"/>
  <c r="I1325" i="9"/>
  <c r="L1325" i="9"/>
  <c r="B1292" i="9"/>
  <c r="C1292" i="9"/>
  <c r="D1292" i="9"/>
  <c r="I1292" i="9"/>
  <c r="F1292" i="9"/>
  <c r="E1280" i="9"/>
  <c r="C1280" i="9"/>
  <c r="F1280" i="9"/>
  <c r="G1280" i="9"/>
  <c r="D1280" i="9"/>
  <c r="H1280" i="9"/>
  <c r="I1280" i="9"/>
  <c r="J1280" i="9"/>
  <c r="K1280" i="9" s="1"/>
  <c r="L1280" i="9"/>
  <c r="I1273" i="9"/>
  <c r="J1273" i="9"/>
  <c r="K1273" i="9" s="1"/>
  <c r="E1273" i="9"/>
  <c r="F1273" i="9"/>
  <c r="G1273" i="9"/>
  <c r="H1273" i="9"/>
  <c r="M1273" i="9"/>
  <c r="C1178" i="9"/>
  <c r="M1178" i="9"/>
  <c r="G1178" i="9"/>
  <c r="I1178" i="9"/>
  <c r="J1178" i="9"/>
  <c r="K1178" i="9" s="1"/>
  <c r="E1178" i="9"/>
  <c r="F1178" i="9"/>
  <c r="H1178" i="9"/>
  <c r="L1178" i="9"/>
  <c r="M1175" i="9"/>
  <c r="L1175" i="9"/>
  <c r="D1175" i="9"/>
  <c r="E1175" i="9"/>
  <c r="F1175" i="9"/>
  <c r="G1175" i="9"/>
  <c r="H1175" i="9"/>
  <c r="I1175" i="9"/>
  <c r="J1175" i="9"/>
  <c r="K1175" i="9" s="1"/>
  <c r="B1175" i="9"/>
  <c r="J1146" i="9"/>
  <c r="K1146" i="9" s="1"/>
  <c r="G1146" i="9"/>
  <c r="H1146" i="9"/>
  <c r="I1146" i="9"/>
  <c r="L1146" i="9"/>
  <c r="M1146" i="9"/>
  <c r="E1146" i="9"/>
  <c r="F1146" i="9"/>
  <c r="I1127" i="9"/>
  <c r="J1127" i="9"/>
  <c r="K1127" i="9" s="1"/>
  <c r="E1127" i="9"/>
  <c r="B1127" i="9"/>
  <c r="B1641" i="9"/>
  <c r="G1641" i="9"/>
  <c r="F1619" i="9"/>
  <c r="G1619" i="9"/>
  <c r="H1619" i="9"/>
  <c r="M1619" i="9"/>
  <c r="J1591" i="9"/>
  <c r="K1591" i="9" s="1"/>
  <c r="L1591" i="9"/>
  <c r="B1587" i="9"/>
  <c r="C1587" i="9"/>
  <c r="D1587" i="9"/>
  <c r="I1587" i="9"/>
  <c r="F1539" i="9"/>
  <c r="G1539" i="9"/>
  <c r="H1539" i="9"/>
  <c r="M1539" i="9"/>
  <c r="J1511" i="9"/>
  <c r="K1511" i="9" s="1"/>
  <c r="L1511" i="9"/>
  <c r="B1507" i="9"/>
  <c r="C1507" i="9"/>
  <c r="D1507" i="9"/>
  <c r="I1507" i="9"/>
  <c r="E1494" i="9"/>
  <c r="H1490" i="9"/>
  <c r="D1466" i="9"/>
  <c r="H1454" i="9"/>
  <c r="F1452" i="9"/>
  <c r="G1447" i="9"/>
  <c r="L1447" i="9"/>
  <c r="M1447" i="9"/>
  <c r="M1445" i="9"/>
  <c r="B1445" i="9"/>
  <c r="I1439" i="9"/>
  <c r="J1439" i="9"/>
  <c r="K1439" i="9" s="1"/>
  <c r="L1439" i="9"/>
  <c r="E1431" i="9"/>
  <c r="J1401" i="9"/>
  <c r="K1401" i="9" s="1"/>
  <c r="B1380" i="9"/>
  <c r="M1380" i="9"/>
  <c r="C1380" i="9"/>
  <c r="F1360" i="9"/>
  <c r="G1360" i="9"/>
  <c r="H1360" i="9"/>
  <c r="M1360" i="9"/>
  <c r="L1360" i="9"/>
  <c r="M1340" i="9"/>
  <c r="G1340" i="9"/>
  <c r="I1340" i="9"/>
  <c r="J1340" i="9"/>
  <c r="K1340" i="9" s="1"/>
  <c r="F1337" i="9"/>
  <c r="G1337" i="9"/>
  <c r="H1337" i="9"/>
  <c r="M1337" i="9"/>
  <c r="B1337" i="9"/>
  <c r="B1311" i="9"/>
  <c r="L1311" i="9"/>
  <c r="M1311" i="9"/>
  <c r="D1311" i="9"/>
  <c r="L1299" i="9"/>
  <c r="M1299" i="9"/>
  <c r="E1299" i="9"/>
  <c r="F1299" i="9"/>
  <c r="G1299" i="9"/>
  <c r="J1299" i="9"/>
  <c r="K1299" i="9" s="1"/>
  <c r="B1291" i="9"/>
  <c r="I1291" i="9"/>
  <c r="J1291" i="9"/>
  <c r="K1291" i="9" s="1"/>
  <c r="F1291" i="9"/>
  <c r="H1291" i="9"/>
  <c r="L1291" i="9"/>
  <c r="I1184" i="9"/>
  <c r="F1166" i="9"/>
  <c r="H1104" i="9"/>
  <c r="I1104" i="9"/>
  <c r="J1104" i="9"/>
  <c r="K1104" i="9" s="1"/>
  <c r="F1104" i="9"/>
  <c r="I1083" i="9"/>
  <c r="J1083" i="9"/>
  <c r="K1083" i="9" s="1"/>
  <c r="D1083" i="9"/>
  <c r="L1083" i="9"/>
  <c r="M1083" i="9"/>
  <c r="B1083" i="9"/>
  <c r="I1045" i="9"/>
  <c r="F1043" i="9"/>
  <c r="F1038" i="9"/>
  <c r="M946" i="9"/>
  <c r="C946" i="9"/>
  <c r="D946" i="9"/>
  <c r="E946" i="9"/>
  <c r="F946" i="9"/>
  <c r="J917" i="9"/>
  <c r="K917" i="9" s="1"/>
  <c r="C917" i="9"/>
  <c r="D917" i="9"/>
  <c r="E917" i="9"/>
  <c r="F917" i="9"/>
  <c r="I917" i="9"/>
  <c r="L917" i="9"/>
  <c r="M917" i="9"/>
  <c r="H917" i="9"/>
  <c r="B917" i="9"/>
  <c r="G917" i="9"/>
  <c r="G827" i="9"/>
  <c r="H102" i="9"/>
  <c r="I102" i="9"/>
  <c r="B86" i="9"/>
  <c r="C86" i="9"/>
  <c r="D86" i="9"/>
  <c r="F86" i="9"/>
  <c r="G86" i="9"/>
  <c r="I86" i="9" s="1"/>
  <c r="L86" i="9"/>
  <c r="H86" i="9"/>
  <c r="J86" i="9"/>
  <c r="K86" i="9" s="1"/>
  <c r="I1460" i="9"/>
  <c r="J1460" i="9"/>
  <c r="K1460" i="9" s="1"/>
  <c r="F1411" i="9"/>
  <c r="G1411" i="9"/>
  <c r="H1411" i="9"/>
  <c r="M1411" i="9"/>
  <c r="J1377" i="9"/>
  <c r="K1377" i="9" s="1"/>
  <c r="L1377" i="9"/>
  <c r="B1377" i="9"/>
  <c r="C1377" i="9"/>
  <c r="M1377" i="9"/>
  <c r="G1307" i="9"/>
  <c r="H1307" i="9"/>
  <c r="I1307" i="9"/>
  <c r="C1307" i="9"/>
  <c r="J1307" i="9"/>
  <c r="K1307" i="9" s="1"/>
  <c r="D1278" i="9"/>
  <c r="E1278" i="9"/>
  <c r="F1278" i="9"/>
  <c r="J1278" i="9"/>
  <c r="K1278" i="9" s="1"/>
  <c r="C1184" i="9"/>
  <c r="L1170" i="9"/>
  <c r="M1170" i="9"/>
  <c r="F1170" i="9"/>
  <c r="G1170" i="9"/>
  <c r="H1170" i="9"/>
  <c r="I1170" i="9"/>
  <c r="J1170" i="9"/>
  <c r="K1170" i="9" s="1"/>
  <c r="D1138" i="9"/>
  <c r="E1138" i="9"/>
  <c r="F1138" i="9"/>
  <c r="B1138" i="9"/>
  <c r="C1138" i="9"/>
  <c r="G1138" i="9"/>
  <c r="H1138" i="9"/>
  <c r="I1138" i="9"/>
  <c r="J1138" i="9"/>
  <c r="K1138" i="9" s="1"/>
  <c r="L1138" i="9"/>
  <c r="M1138" i="9"/>
  <c r="G1045" i="9"/>
  <c r="C1043" i="9"/>
  <c r="I955" i="9"/>
  <c r="J955" i="9"/>
  <c r="K955" i="9" s="1"/>
  <c r="C955" i="9"/>
  <c r="D955" i="9"/>
  <c r="E955" i="9"/>
  <c r="F955" i="9"/>
  <c r="G955" i="9"/>
  <c r="H955" i="9"/>
  <c r="L955" i="9"/>
  <c r="E616" i="9"/>
  <c r="F616" i="9"/>
  <c r="M616" i="9"/>
  <c r="B616" i="9"/>
  <c r="C616" i="9"/>
  <c r="D616" i="9"/>
  <c r="G616" i="9"/>
  <c r="J616" i="9"/>
  <c r="K616" i="9" s="1"/>
  <c r="H616" i="9"/>
  <c r="I616" i="9"/>
  <c r="L616" i="9"/>
  <c r="D1533" i="9"/>
  <c r="E1533" i="9"/>
  <c r="F1533" i="9"/>
  <c r="G1522" i="9"/>
  <c r="H1522" i="9"/>
  <c r="I1522" i="9"/>
  <c r="I1433" i="9"/>
  <c r="C1433" i="9"/>
  <c r="D1433" i="9"/>
  <c r="E1433" i="9"/>
  <c r="I1413" i="9"/>
  <c r="J1413" i="9"/>
  <c r="K1413" i="9" s="1"/>
  <c r="B1413" i="9"/>
  <c r="C1413" i="9"/>
  <c r="D1413" i="9"/>
  <c r="L1399" i="9"/>
  <c r="I1399" i="9"/>
  <c r="J1399" i="9"/>
  <c r="K1399" i="9" s="1"/>
  <c r="M1399" i="9"/>
  <c r="B1372" i="9"/>
  <c r="C1372" i="9"/>
  <c r="D1372" i="9"/>
  <c r="H1372" i="9"/>
  <c r="I1372" i="9"/>
  <c r="J1372" i="9"/>
  <c r="K1372" i="9" s="1"/>
  <c r="M1372" i="9"/>
  <c r="F1344" i="9"/>
  <c r="G1344" i="9"/>
  <c r="H1344" i="9"/>
  <c r="I1344" i="9"/>
  <c r="J1344" i="9"/>
  <c r="K1344" i="9" s="1"/>
  <c r="E1344" i="9"/>
  <c r="M1344" i="9"/>
  <c r="L1342" i="9"/>
  <c r="M1342" i="9"/>
  <c r="J1342" i="9"/>
  <c r="K1342" i="9" s="1"/>
  <c r="G1342" i="9"/>
  <c r="I1342" i="9"/>
  <c r="J1296" i="9"/>
  <c r="K1296" i="9" s="1"/>
  <c r="L1296" i="9"/>
  <c r="C1296" i="9"/>
  <c r="E1296" i="9"/>
  <c r="G1296" i="9"/>
  <c r="H1296" i="9"/>
  <c r="C1130" i="9"/>
  <c r="H1130" i="9"/>
  <c r="I1130" i="9"/>
  <c r="J1130" i="9"/>
  <c r="K1130" i="9" s="1"/>
  <c r="L1130" i="9"/>
  <c r="M1130" i="9"/>
  <c r="G1130" i="9"/>
  <c r="B1038" i="9"/>
  <c r="G1038" i="9"/>
  <c r="H1038" i="9"/>
  <c r="I1038" i="9"/>
  <c r="J1038" i="9"/>
  <c r="K1038" i="9" s="1"/>
  <c r="E1038" i="9"/>
  <c r="L975" i="9"/>
  <c r="M975" i="9"/>
  <c r="F975" i="9"/>
  <c r="E975" i="9"/>
  <c r="G975" i="9"/>
  <c r="H975" i="9"/>
  <c r="I975" i="9"/>
  <c r="J975" i="9"/>
  <c r="K975" i="9" s="1"/>
  <c r="B975" i="9"/>
  <c r="C975" i="9"/>
  <c r="D975" i="9"/>
  <c r="F714" i="9"/>
  <c r="G714" i="9"/>
  <c r="J714" i="9"/>
  <c r="K714" i="9" s="1"/>
  <c r="L714" i="9"/>
  <c r="M714" i="9"/>
  <c r="D714" i="9"/>
  <c r="E714" i="9"/>
  <c r="H714" i="9"/>
  <c r="I714" i="9"/>
  <c r="C714" i="9"/>
  <c r="D706" i="9"/>
  <c r="J706" i="9"/>
  <c r="K706" i="9" s="1"/>
  <c r="E706" i="9"/>
  <c r="B706" i="9"/>
  <c r="C706" i="9"/>
  <c r="F706" i="9"/>
  <c r="G706" i="9"/>
  <c r="L706" i="9"/>
  <c r="M706" i="9"/>
  <c r="I568" i="9"/>
  <c r="J568" i="9"/>
  <c r="K568" i="9" s="1"/>
  <c r="L568" i="9"/>
  <c r="M568" i="9"/>
  <c r="C568" i="9"/>
  <c r="D568" i="9"/>
  <c r="E568" i="9"/>
  <c r="B568" i="9"/>
  <c r="F568" i="9"/>
  <c r="L1494" i="9"/>
  <c r="M1494" i="9"/>
  <c r="C1490" i="9"/>
  <c r="D1490" i="9"/>
  <c r="E1490" i="9"/>
  <c r="J1490" i="9"/>
  <c r="K1490" i="9" s="1"/>
  <c r="C1454" i="9"/>
  <c r="D1454" i="9"/>
  <c r="E1454" i="9"/>
  <c r="J1454" i="9"/>
  <c r="K1454" i="9" s="1"/>
  <c r="B1452" i="9"/>
  <c r="H1452" i="9"/>
  <c r="I1452" i="9"/>
  <c r="J1452" i="9"/>
  <c r="K1452" i="9" s="1"/>
  <c r="H1431" i="9"/>
  <c r="I1431" i="9"/>
  <c r="J1431" i="9"/>
  <c r="K1431" i="9" s="1"/>
  <c r="E1401" i="9"/>
  <c r="F1401" i="9"/>
  <c r="G1401" i="9"/>
  <c r="H1401" i="9"/>
  <c r="I1401" i="9"/>
  <c r="I1253" i="9"/>
  <c r="J1253" i="9"/>
  <c r="K1253" i="9" s="1"/>
  <c r="C1253" i="9"/>
  <c r="D1253" i="9"/>
  <c r="E1253" i="9"/>
  <c r="F1253" i="9"/>
  <c r="L1253" i="9"/>
  <c r="M1253" i="9"/>
  <c r="B1253" i="9"/>
  <c r="H1253" i="9"/>
  <c r="E1184" i="9"/>
  <c r="F1184" i="9"/>
  <c r="G1184" i="9"/>
  <c r="L1184" i="9"/>
  <c r="M1184" i="9"/>
  <c r="D1184" i="9"/>
  <c r="J1166" i="9"/>
  <c r="K1166" i="9" s="1"/>
  <c r="D1166" i="9"/>
  <c r="I1166" i="9"/>
  <c r="L1166" i="9"/>
  <c r="M1166" i="9"/>
  <c r="H1166" i="9"/>
  <c r="L1158" i="9"/>
  <c r="M1158" i="9"/>
  <c r="J1158" i="9"/>
  <c r="K1158" i="9" s="1"/>
  <c r="D1158" i="9"/>
  <c r="E1158" i="9"/>
  <c r="F1158" i="9"/>
  <c r="G1158" i="9"/>
  <c r="H1158" i="9"/>
  <c r="C1045" i="9"/>
  <c r="D1045" i="9"/>
  <c r="E1045" i="9"/>
  <c r="M1045" i="9"/>
  <c r="L1045" i="9"/>
  <c r="B1045" i="9"/>
  <c r="I1043" i="9"/>
  <c r="J1043" i="9"/>
  <c r="K1043" i="9" s="1"/>
  <c r="M1043" i="9"/>
  <c r="D1043" i="9"/>
  <c r="G1037" i="9"/>
  <c r="H1037" i="9"/>
  <c r="I1037" i="9"/>
  <c r="C1037" i="9"/>
  <c r="B1037" i="9"/>
  <c r="D1037" i="9"/>
  <c r="E1037" i="9"/>
  <c r="F1037" i="9"/>
  <c r="J1037" i="9"/>
  <c r="K1037" i="9" s="1"/>
  <c r="L1037" i="9"/>
  <c r="M1037" i="9"/>
  <c r="D827" i="9"/>
  <c r="E827" i="9"/>
  <c r="L827" i="9"/>
  <c r="H827" i="9"/>
  <c r="I827" i="9"/>
  <c r="J827" i="9"/>
  <c r="K827" i="9" s="1"/>
  <c r="M827" i="9"/>
  <c r="B587" i="9"/>
  <c r="C587" i="9"/>
  <c r="L587" i="9"/>
  <c r="E587" i="9"/>
  <c r="F587" i="9"/>
  <c r="H587" i="9"/>
  <c r="I587" i="9"/>
  <c r="D587" i="9"/>
  <c r="G587" i="9"/>
  <c r="J587" i="9"/>
  <c r="K587" i="9" s="1"/>
  <c r="M587" i="9"/>
  <c r="J1611" i="9"/>
  <c r="K1611" i="9" s="1"/>
  <c r="L1611" i="9"/>
  <c r="B1607" i="9"/>
  <c r="C1607" i="9"/>
  <c r="D1607" i="9"/>
  <c r="I1607" i="9"/>
  <c r="F1559" i="9"/>
  <c r="G1559" i="9"/>
  <c r="H1559" i="9"/>
  <c r="M1559" i="9"/>
  <c r="J1531" i="9"/>
  <c r="K1531" i="9" s="1"/>
  <c r="L1531" i="9"/>
  <c r="B1527" i="9"/>
  <c r="C1527" i="9"/>
  <c r="D1527" i="9"/>
  <c r="I1527" i="9"/>
  <c r="F1479" i="9"/>
  <c r="G1479" i="9"/>
  <c r="H1479" i="9"/>
  <c r="M1479" i="9"/>
  <c r="C1435" i="9"/>
  <c r="F1435" i="9"/>
  <c r="E1421" i="9"/>
  <c r="F1421" i="9"/>
  <c r="J1421" i="9"/>
  <c r="K1421" i="9" s="1"/>
  <c r="L1421" i="9"/>
  <c r="F1384" i="9"/>
  <c r="G1384" i="9"/>
  <c r="I1384" i="9"/>
  <c r="J1384" i="9"/>
  <c r="K1384" i="9" s="1"/>
  <c r="B1384" i="9"/>
  <c r="L1382" i="9"/>
  <c r="M1382" i="9"/>
  <c r="C1382" i="9"/>
  <c r="L1362" i="9"/>
  <c r="M1362" i="9"/>
  <c r="C1362" i="9"/>
  <c r="D1362" i="9"/>
  <c r="E1362" i="9"/>
  <c r="J1362" i="9"/>
  <c r="K1362" i="9" s="1"/>
  <c r="L1339" i="9"/>
  <c r="M1339" i="9"/>
  <c r="C1339" i="9"/>
  <c r="D1339" i="9"/>
  <c r="E1339" i="9"/>
  <c r="J1339" i="9"/>
  <c r="K1339" i="9" s="1"/>
  <c r="F1339" i="9"/>
  <c r="E1321" i="9"/>
  <c r="F1321" i="9"/>
  <c r="G1321" i="9"/>
  <c r="L1321" i="9"/>
  <c r="H1321" i="9"/>
  <c r="I1321" i="9"/>
  <c r="J1321" i="9"/>
  <c r="K1321" i="9" s="1"/>
  <c r="D1111" i="9"/>
  <c r="J1066" i="9"/>
  <c r="K1066" i="9" s="1"/>
  <c r="L1066" i="9"/>
  <c r="C1066" i="9"/>
  <c r="D1066" i="9"/>
  <c r="E1066" i="9"/>
  <c r="F1066" i="9"/>
  <c r="M1066" i="9"/>
  <c r="M833" i="9"/>
  <c r="D833" i="9"/>
  <c r="I833" i="9"/>
  <c r="J833" i="9"/>
  <c r="K833" i="9" s="1"/>
  <c r="L833" i="9"/>
  <c r="B833" i="9"/>
  <c r="E833" i="9"/>
  <c r="F833" i="9"/>
  <c r="G833" i="9"/>
  <c r="H833" i="9"/>
  <c r="C833" i="9"/>
  <c r="J784" i="9"/>
  <c r="K784" i="9" s="1"/>
  <c r="I784" i="9"/>
  <c r="M784" i="9"/>
  <c r="C784" i="9"/>
  <c r="D784" i="9"/>
  <c r="E784" i="9"/>
  <c r="F784" i="9"/>
  <c r="L784" i="9"/>
  <c r="E1676" i="9"/>
  <c r="L1676" i="9"/>
  <c r="I1568" i="9"/>
  <c r="J1568" i="9"/>
  <c r="K1568" i="9" s="1"/>
  <c r="C1566" i="9"/>
  <c r="I1488" i="9"/>
  <c r="J1488" i="9"/>
  <c r="K1488" i="9" s="1"/>
  <c r="C1486" i="9"/>
  <c r="J1456" i="9"/>
  <c r="K1456" i="9" s="1"/>
  <c r="E1456" i="9"/>
  <c r="H1450" i="9"/>
  <c r="M1450" i="9"/>
  <c r="G1427" i="9"/>
  <c r="H1427" i="9"/>
  <c r="D1427" i="9"/>
  <c r="C1415" i="9"/>
  <c r="D1415" i="9"/>
  <c r="G1415" i="9"/>
  <c r="B1392" i="9"/>
  <c r="C1392" i="9"/>
  <c r="L1392" i="9"/>
  <c r="M1392" i="9"/>
  <c r="I1392" i="9"/>
  <c r="L1379" i="9"/>
  <c r="F1379" i="9"/>
  <c r="G1379" i="9"/>
  <c r="H1379" i="9"/>
  <c r="B1379" i="9"/>
  <c r="C1379" i="9"/>
  <c r="D1277" i="9"/>
  <c r="E1277" i="9"/>
  <c r="F1277" i="9"/>
  <c r="G1277" i="9"/>
  <c r="H1277" i="9"/>
  <c r="L1277" i="9"/>
  <c r="I1277" i="9"/>
  <c r="M1277" i="9"/>
  <c r="D1258" i="9"/>
  <c r="E1258" i="9"/>
  <c r="F1258" i="9"/>
  <c r="B1258" i="9"/>
  <c r="G1258" i="9"/>
  <c r="H1258" i="9"/>
  <c r="B1247" i="9"/>
  <c r="C1247" i="9"/>
  <c r="D1247" i="9"/>
  <c r="I1247" i="9"/>
  <c r="G1247" i="9"/>
  <c r="H1247" i="9"/>
  <c r="J1247" i="9"/>
  <c r="K1247" i="9" s="1"/>
  <c r="E1231" i="9"/>
  <c r="F1231" i="9"/>
  <c r="L1231" i="9"/>
  <c r="M1231" i="9"/>
  <c r="G1231" i="9"/>
  <c r="H1231" i="9"/>
  <c r="I1231" i="9"/>
  <c r="J1231" i="9"/>
  <c r="K1231" i="9" s="1"/>
  <c r="D1148" i="9"/>
  <c r="E1148" i="9"/>
  <c r="L1148" i="9"/>
  <c r="M1148" i="9"/>
  <c r="I1148" i="9"/>
  <c r="J1148" i="9"/>
  <c r="K1148" i="9" s="1"/>
  <c r="H1148" i="9"/>
  <c r="H1605" i="9"/>
  <c r="I1605" i="9"/>
  <c r="J1605" i="9"/>
  <c r="K1605" i="9" s="1"/>
  <c r="E1596" i="9"/>
  <c r="F1596" i="9"/>
  <c r="G1596" i="9"/>
  <c r="L1596" i="9"/>
  <c r="H1525" i="9"/>
  <c r="I1525" i="9"/>
  <c r="J1525" i="9"/>
  <c r="K1525" i="9" s="1"/>
  <c r="E1516" i="9"/>
  <c r="F1516" i="9"/>
  <c r="G1516" i="9"/>
  <c r="L1516" i="9"/>
  <c r="M1425" i="9"/>
  <c r="B1425" i="9"/>
  <c r="C1425" i="9"/>
  <c r="D1425" i="9"/>
  <c r="I1425" i="9"/>
  <c r="F1423" i="9"/>
  <c r="G1423" i="9"/>
  <c r="H1423" i="9"/>
  <c r="M1423" i="9"/>
  <c r="L1354" i="9"/>
  <c r="M1354" i="9"/>
  <c r="E1354" i="9"/>
  <c r="G1354" i="9"/>
  <c r="H1354" i="9"/>
  <c r="I1313" i="9"/>
  <c r="J1313" i="9"/>
  <c r="K1313" i="9" s="1"/>
  <c r="L1313" i="9"/>
  <c r="M1313" i="9"/>
  <c r="F1313" i="9"/>
  <c r="I1293" i="9"/>
  <c r="J1293" i="9"/>
  <c r="K1293" i="9" s="1"/>
  <c r="G1293" i="9"/>
  <c r="H1293" i="9"/>
  <c r="L1293" i="9"/>
  <c r="I1143" i="9"/>
  <c r="J1143" i="9"/>
  <c r="K1143" i="9" s="1"/>
  <c r="F1143" i="9"/>
  <c r="G1143" i="9"/>
  <c r="H1143" i="9"/>
  <c r="B1143" i="9"/>
  <c r="C1143" i="9"/>
  <c r="D1143" i="9"/>
  <c r="E1143" i="9"/>
  <c r="L1143" i="9"/>
  <c r="E1111" i="9"/>
  <c r="F1111" i="9"/>
  <c r="G1111" i="9"/>
  <c r="L1111" i="9"/>
  <c r="M1111" i="9"/>
  <c r="C1111" i="9"/>
  <c r="I974" i="9"/>
  <c r="J974" i="9"/>
  <c r="K974" i="9" s="1"/>
  <c r="C974" i="9"/>
  <c r="D974" i="9"/>
  <c r="E974" i="9"/>
  <c r="L974" i="9"/>
  <c r="M974" i="9"/>
  <c r="F974" i="9"/>
  <c r="E888" i="9"/>
  <c r="I888" i="9"/>
  <c r="J888" i="9"/>
  <c r="K888" i="9" s="1"/>
  <c r="L888" i="9"/>
  <c r="B888" i="9"/>
  <c r="C888" i="9"/>
  <c r="D888" i="9"/>
  <c r="F888" i="9"/>
  <c r="G888" i="9"/>
  <c r="H888" i="9"/>
  <c r="M888" i="9"/>
  <c r="H718" i="9"/>
  <c r="I718" i="9"/>
  <c r="C718" i="9"/>
  <c r="D718" i="9"/>
  <c r="E718" i="9"/>
  <c r="F718" i="9"/>
  <c r="J718" i="9"/>
  <c r="K718" i="9" s="1"/>
  <c r="L718" i="9"/>
  <c r="B718" i="9"/>
  <c r="G718" i="9"/>
  <c r="M718" i="9"/>
  <c r="E1374" i="9"/>
  <c r="F1374" i="9"/>
  <c r="G1374" i="9"/>
  <c r="L1374" i="9"/>
  <c r="I1353" i="9"/>
  <c r="J1353" i="9"/>
  <c r="K1353" i="9" s="1"/>
  <c r="B1353" i="9"/>
  <c r="C1353" i="9"/>
  <c r="D1353" i="9"/>
  <c r="L1353" i="9"/>
  <c r="J1316" i="9"/>
  <c r="K1316" i="9" s="1"/>
  <c r="L1316" i="9"/>
  <c r="E1316" i="9"/>
  <c r="B1222" i="9"/>
  <c r="C1222" i="9"/>
  <c r="D1222" i="9"/>
  <c r="D1213" i="9"/>
  <c r="E1213" i="9"/>
  <c r="F1213" i="9"/>
  <c r="M1213" i="9"/>
  <c r="F1194" i="9"/>
  <c r="G1194" i="9"/>
  <c r="I1194" i="9"/>
  <c r="J1194" i="9"/>
  <c r="K1194" i="9" s="1"/>
  <c r="L1194" i="9"/>
  <c r="M1194" i="9"/>
  <c r="L1172" i="9"/>
  <c r="M1172" i="9"/>
  <c r="G1172" i="9"/>
  <c r="H1172" i="9"/>
  <c r="I1172" i="9"/>
  <c r="C1065" i="9"/>
  <c r="D1065" i="9"/>
  <c r="E1065" i="9"/>
  <c r="B1065" i="9"/>
  <c r="F1065" i="9"/>
  <c r="G1065" i="9"/>
  <c r="H1065" i="9"/>
  <c r="I1065" i="9"/>
  <c r="J1065" i="9"/>
  <c r="K1065" i="9" s="1"/>
  <c r="L1065" i="9"/>
  <c r="M1065" i="9"/>
  <c r="B1062" i="9"/>
  <c r="C1062" i="9"/>
  <c r="D1062" i="9"/>
  <c r="J1062" i="9"/>
  <c r="K1062" i="9" s="1"/>
  <c r="F1062" i="9"/>
  <c r="G1062" i="9"/>
  <c r="H1062" i="9"/>
  <c r="I1062" i="9"/>
  <c r="L1062" i="9"/>
  <c r="M1062" i="9"/>
  <c r="C1041" i="9"/>
  <c r="M1041" i="9"/>
  <c r="L1041" i="9"/>
  <c r="G735" i="9"/>
  <c r="M735" i="9"/>
  <c r="I735" i="9"/>
  <c r="J735" i="9"/>
  <c r="K735" i="9" s="1"/>
  <c r="L735" i="9"/>
  <c r="E735" i="9"/>
  <c r="F735" i="9"/>
  <c r="H735" i="9"/>
  <c r="B735" i="9"/>
  <c r="C735" i="9"/>
  <c r="D735" i="9"/>
  <c r="L1359" i="9"/>
  <c r="M1359" i="9"/>
  <c r="C1359" i="9"/>
  <c r="M1345" i="9"/>
  <c r="C1345" i="9"/>
  <c r="F1324" i="9"/>
  <c r="G1324" i="9"/>
  <c r="H1324" i="9"/>
  <c r="M1324" i="9"/>
  <c r="E1320" i="9"/>
  <c r="D1320" i="9"/>
  <c r="M1265" i="9"/>
  <c r="C1265" i="9"/>
  <c r="D1265" i="9"/>
  <c r="J1256" i="9"/>
  <c r="K1256" i="9" s="1"/>
  <c r="L1256" i="9"/>
  <c r="J1226" i="9"/>
  <c r="K1226" i="9" s="1"/>
  <c r="I1226" i="9"/>
  <c r="L1226" i="9"/>
  <c r="M1226" i="9"/>
  <c r="D1188" i="9"/>
  <c r="E1188" i="9"/>
  <c r="F1188" i="9"/>
  <c r="J1188" i="9"/>
  <c r="K1188" i="9" s="1"/>
  <c r="L1188" i="9"/>
  <c r="M1188" i="9"/>
  <c r="H1168" i="9"/>
  <c r="H1152" i="9"/>
  <c r="G1141" i="9"/>
  <c r="H1132" i="9"/>
  <c r="B1107" i="9"/>
  <c r="G1107" i="9"/>
  <c r="H1107" i="9"/>
  <c r="I1107" i="9"/>
  <c r="J1107" i="9"/>
  <c r="K1107" i="9" s="1"/>
  <c r="L1107" i="9"/>
  <c r="M1107" i="9"/>
  <c r="E1091" i="9"/>
  <c r="F1091" i="9"/>
  <c r="G1091" i="9"/>
  <c r="M1091" i="9"/>
  <c r="D1091" i="9"/>
  <c r="H1091" i="9"/>
  <c r="I1091" i="9"/>
  <c r="J1091" i="9"/>
  <c r="K1091" i="9" s="1"/>
  <c r="L1091" i="9"/>
  <c r="I1085" i="9"/>
  <c r="H1081" i="9"/>
  <c r="E1071" i="9"/>
  <c r="F1071" i="9"/>
  <c r="G1071" i="9"/>
  <c r="M1071" i="9"/>
  <c r="D1064" i="9"/>
  <c r="E1064" i="9"/>
  <c r="F1064" i="9"/>
  <c r="G1064" i="9"/>
  <c r="H1064" i="9"/>
  <c r="L1064" i="9"/>
  <c r="H982" i="9"/>
  <c r="H914" i="9"/>
  <c r="G911" i="9"/>
  <c r="J879" i="9"/>
  <c r="K879" i="9" s="1"/>
  <c r="D879" i="9"/>
  <c r="E879" i="9"/>
  <c r="F879" i="9"/>
  <c r="G879" i="9"/>
  <c r="L879" i="9"/>
  <c r="M879" i="9"/>
  <c r="B879" i="9"/>
  <c r="C879" i="9"/>
  <c r="H879" i="9"/>
  <c r="I879" i="9"/>
  <c r="H794" i="9"/>
  <c r="C794" i="9"/>
  <c r="B794" i="9"/>
  <c r="D794" i="9"/>
  <c r="E794" i="9"/>
  <c r="F794" i="9"/>
  <c r="J794" i="9"/>
  <c r="K794" i="9" s="1"/>
  <c r="L794" i="9"/>
  <c r="I794" i="9"/>
  <c r="M794" i="9"/>
  <c r="G1367" i="9"/>
  <c r="H1367" i="9"/>
  <c r="I1367" i="9"/>
  <c r="D1367" i="9"/>
  <c r="E1367" i="9"/>
  <c r="F1367" i="9"/>
  <c r="H1350" i="9"/>
  <c r="I1350" i="9"/>
  <c r="J1350" i="9"/>
  <c r="K1350" i="9" s="1"/>
  <c r="B1350" i="9"/>
  <c r="E1301" i="9"/>
  <c r="F1301" i="9"/>
  <c r="G1301" i="9"/>
  <c r="L1301" i="9"/>
  <c r="C1301" i="9"/>
  <c r="D1301" i="9"/>
  <c r="H1301" i="9"/>
  <c r="F1284" i="9"/>
  <c r="G1284" i="9"/>
  <c r="H1284" i="9"/>
  <c r="M1284" i="9"/>
  <c r="L1284" i="9"/>
  <c r="C1275" i="9"/>
  <c r="D1275" i="9"/>
  <c r="E1275" i="9"/>
  <c r="J1275" i="9"/>
  <c r="K1275" i="9" s="1"/>
  <c r="F1275" i="9"/>
  <c r="G1275" i="9"/>
  <c r="H1275" i="9"/>
  <c r="I1275" i="9"/>
  <c r="H1240" i="9"/>
  <c r="I1240" i="9"/>
  <c r="C1240" i="9"/>
  <c r="D1240" i="9"/>
  <c r="E1240" i="9"/>
  <c r="L1240" i="9"/>
  <c r="M1224" i="9"/>
  <c r="B1224" i="9"/>
  <c r="C1224" i="9"/>
  <c r="F1174" i="9"/>
  <c r="G1174" i="9"/>
  <c r="C1174" i="9"/>
  <c r="D1174" i="9"/>
  <c r="E1174" i="9"/>
  <c r="L1174" i="9"/>
  <c r="G1168" i="9"/>
  <c r="G1152" i="9"/>
  <c r="C1144" i="9"/>
  <c r="F1144" i="9"/>
  <c r="G1144" i="9"/>
  <c r="H1144" i="9"/>
  <c r="I1144" i="9"/>
  <c r="J1144" i="9"/>
  <c r="K1144" i="9" s="1"/>
  <c r="L1144" i="9"/>
  <c r="M1144" i="9"/>
  <c r="F1141" i="9"/>
  <c r="G1132" i="9"/>
  <c r="M1106" i="9"/>
  <c r="H1085" i="9"/>
  <c r="G1081" i="9"/>
  <c r="H1067" i="9"/>
  <c r="J997" i="9"/>
  <c r="K997" i="9" s="1"/>
  <c r="M997" i="9"/>
  <c r="E997" i="9"/>
  <c r="D997" i="9"/>
  <c r="F997" i="9"/>
  <c r="G997" i="9"/>
  <c r="H997" i="9"/>
  <c r="I997" i="9"/>
  <c r="L997" i="9"/>
  <c r="G982" i="9"/>
  <c r="J977" i="9"/>
  <c r="K977" i="9" s="1"/>
  <c r="H977" i="9"/>
  <c r="I977" i="9"/>
  <c r="L977" i="9"/>
  <c r="B977" i="9"/>
  <c r="M977" i="9"/>
  <c r="G914" i="9"/>
  <c r="F911" i="9"/>
  <c r="E872" i="9"/>
  <c r="C872" i="9"/>
  <c r="D872" i="9"/>
  <c r="F872" i="9"/>
  <c r="G872" i="9"/>
  <c r="M872" i="9"/>
  <c r="L872" i="9"/>
  <c r="L770" i="9"/>
  <c r="J770" i="9"/>
  <c r="K770" i="9" s="1"/>
  <c r="M770" i="9"/>
  <c r="D770" i="9"/>
  <c r="F770" i="9"/>
  <c r="G770" i="9"/>
  <c r="H770" i="9"/>
  <c r="I770" i="9"/>
  <c r="D764" i="9"/>
  <c r="I752" i="9"/>
  <c r="D615" i="9"/>
  <c r="H615" i="9"/>
  <c r="I615" i="9"/>
  <c r="L615" i="9"/>
  <c r="M615" i="9"/>
  <c r="C615" i="9"/>
  <c r="C1403" i="9"/>
  <c r="D1403" i="9"/>
  <c r="E1403" i="9"/>
  <c r="J1403" i="9"/>
  <c r="K1403" i="9" s="1"/>
  <c r="G1387" i="9"/>
  <c r="H1387" i="9"/>
  <c r="M1387" i="9"/>
  <c r="M1365" i="9"/>
  <c r="I1365" i="9"/>
  <c r="J1365" i="9"/>
  <c r="K1365" i="9" s="1"/>
  <c r="B1352" i="9"/>
  <c r="C1352" i="9"/>
  <c r="D1352" i="9"/>
  <c r="J1336" i="9"/>
  <c r="K1336" i="9" s="1"/>
  <c r="L1336" i="9"/>
  <c r="C1336" i="9"/>
  <c r="L1322" i="9"/>
  <c r="M1322" i="9"/>
  <c r="C1322" i="9"/>
  <c r="C1294" i="9"/>
  <c r="E1294" i="9"/>
  <c r="C1245" i="9"/>
  <c r="D1245" i="9"/>
  <c r="F1245" i="9"/>
  <c r="G1245" i="9"/>
  <c r="H1245" i="9"/>
  <c r="M1245" i="9"/>
  <c r="B1245" i="9"/>
  <c r="E1245" i="9"/>
  <c r="I1245" i="9"/>
  <c r="J1245" i="9"/>
  <c r="K1245" i="9" s="1"/>
  <c r="I1223" i="9"/>
  <c r="J1223" i="9"/>
  <c r="K1223" i="9" s="1"/>
  <c r="D1223" i="9"/>
  <c r="E1223" i="9"/>
  <c r="F1223" i="9"/>
  <c r="M1223" i="9"/>
  <c r="C1223" i="9"/>
  <c r="G1223" i="9"/>
  <c r="H1223" i="9"/>
  <c r="L1223" i="9"/>
  <c r="D1201" i="9"/>
  <c r="E1201" i="9"/>
  <c r="F1201" i="9"/>
  <c r="G1150" i="9"/>
  <c r="H1150" i="9"/>
  <c r="I1150" i="9"/>
  <c r="L1150" i="9"/>
  <c r="M1150" i="9"/>
  <c r="D1141" i="9"/>
  <c r="D1134" i="9"/>
  <c r="E1132" i="9"/>
  <c r="H1106" i="9"/>
  <c r="D1088" i="9"/>
  <c r="E1088" i="9"/>
  <c r="F1088" i="9"/>
  <c r="L1088" i="9"/>
  <c r="G1088" i="9"/>
  <c r="H1088" i="9"/>
  <c r="I1088" i="9"/>
  <c r="F1067" i="9"/>
  <c r="F1019" i="9"/>
  <c r="G775" i="9"/>
  <c r="M775" i="9"/>
  <c r="C775" i="9"/>
  <c r="D775" i="9"/>
  <c r="E775" i="9"/>
  <c r="F775" i="9"/>
  <c r="H775" i="9"/>
  <c r="I775" i="9"/>
  <c r="J775" i="9"/>
  <c r="K775" i="9" s="1"/>
  <c r="L775" i="9"/>
  <c r="D752" i="9"/>
  <c r="D746" i="9"/>
  <c r="J746" i="9"/>
  <c r="K746" i="9" s="1"/>
  <c r="H746" i="9"/>
  <c r="F746" i="9"/>
  <c r="G746" i="9"/>
  <c r="I746" i="9"/>
  <c r="M746" i="9"/>
  <c r="E746" i="9"/>
  <c r="L746" i="9"/>
  <c r="B683" i="9"/>
  <c r="J683" i="9"/>
  <c r="K683" i="9" s="1"/>
  <c r="M683" i="9"/>
  <c r="H683" i="9"/>
  <c r="I683" i="9"/>
  <c r="L683" i="9"/>
  <c r="G683" i="9"/>
  <c r="C683" i="9"/>
  <c r="E683" i="9"/>
  <c r="F683" i="9"/>
  <c r="J628" i="9"/>
  <c r="K628" i="9" s="1"/>
  <c r="G628" i="9"/>
  <c r="E628" i="9"/>
  <c r="F628" i="9"/>
  <c r="M628" i="9"/>
  <c r="H628" i="9"/>
  <c r="I628" i="9"/>
  <c r="L628" i="9"/>
  <c r="C628" i="9"/>
  <c r="D628" i="9"/>
  <c r="C590" i="9"/>
  <c r="D590" i="9"/>
  <c r="F590" i="9"/>
  <c r="B590" i="9"/>
  <c r="E590" i="9"/>
  <c r="G590" i="9"/>
  <c r="H590" i="9"/>
  <c r="I590" i="9"/>
  <c r="J590" i="9"/>
  <c r="K590" i="9" s="1"/>
  <c r="L590" i="9"/>
  <c r="L1152" i="9"/>
  <c r="M1152" i="9"/>
  <c r="C1152" i="9"/>
  <c r="D1152" i="9"/>
  <c r="E1152" i="9"/>
  <c r="J1152" i="9"/>
  <c r="K1152" i="9" s="1"/>
  <c r="C1141" i="9"/>
  <c r="C1134" i="9"/>
  <c r="D1132" i="9"/>
  <c r="D1106" i="9"/>
  <c r="C1085" i="9"/>
  <c r="D1085" i="9"/>
  <c r="E1085" i="9"/>
  <c r="B1085" i="9"/>
  <c r="E1019" i="9"/>
  <c r="E982" i="9"/>
  <c r="F982" i="9"/>
  <c r="L982" i="9"/>
  <c r="M982" i="9"/>
  <c r="C982" i="9"/>
  <c r="J982" i="9"/>
  <c r="K982" i="9" s="1"/>
  <c r="L920" i="9"/>
  <c r="J920" i="9"/>
  <c r="K920" i="9" s="1"/>
  <c r="M920" i="9"/>
  <c r="D920" i="9"/>
  <c r="E920" i="9"/>
  <c r="F920" i="9"/>
  <c r="G920" i="9"/>
  <c r="H920" i="9"/>
  <c r="I920" i="9"/>
  <c r="I914" i="9"/>
  <c r="J914" i="9"/>
  <c r="K914" i="9" s="1"/>
  <c r="B914" i="9"/>
  <c r="C914" i="9"/>
  <c r="D914" i="9"/>
  <c r="L914" i="9"/>
  <c r="M914" i="9"/>
  <c r="J764" i="9"/>
  <c r="K764" i="9" s="1"/>
  <c r="F764" i="9"/>
  <c r="G764" i="9"/>
  <c r="H764" i="9"/>
  <c r="I764" i="9"/>
  <c r="L764" i="9"/>
  <c r="E764" i="9"/>
  <c r="M764" i="9"/>
  <c r="G582" i="9"/>
  <c r="H582" i="9"/>
  <c r="E582" i="9"/>
  <c r="F582" i="9"/>
  <c r="J582" i="9"/>
  <c r="K582" i="9" s="1"/>
  <c r="M582" i="9"/>
  <c r="B582" i="9"/>
  <c r="D582" i="9"/>
  <c r="C1173" i="9"/>
  <c r="D1173" i="9"/>
  <c r="E1173" i="9"/>
  <c r="F1173" i="9"/>
  <c r="G1173" i="9"/>
  <c r="H1173" i="9"/>
  <c r="I1173" i="9"/>
  <c r="J1173" i="9"/>
  <c r="K1173" i="9" s="1"/>
  <c r="D1168" i="9"/>
  <c r="E1168" i="9"/>
  <c r="L1168" i="9"/>
  <c r="M1168" i="9"/>
  <c r="D1084" i="9"/>
  <c r="H1084" i="9"/>
  <c r="I1084" i="9"/>
  <c r="J1084" i="9"/>
  <c r="K1084" i="9" s="1"/>
  <c r="B1084" i="9"/>
  <c r="C1084" i="9"/>
  <c r="E1084" i="9"/>
  <c r="F1084" i="9"/>
  <c r="G1084" i="9"/>
  <c r="L1084" i="9"/>
  <c r="M1084" i="9"/>
  <c r="C1081" i="9"/>
  <c r="F1081" i="9"/>
  <c r="J1081" i="9"/>
  <c r="K1081" i="9" s="1"/>
  <c r="L1081" i="9"/>
  <c r="M1081" i="9"/>
  <c r="H911" i="9"/>
  <c r="I911" i="9"/>
  <c r="L911" i="9"/>
  <c r="M911" i="9"/>
  <c r="C911" i="9"/>
  <c r="I884" i="9"/>
  <c r="G884" i="9"/>
  <c r="H884" i="9"/>
  <c r="L884" i="9"/>
  <c r="M884" i="9"/>
  <c r="C884" i="9"/>
  <c r="D884" i="9"/>
  <c r="E884" i="9"/>
  <c r="F884" i="9"/>
  <c r="J884" i="9"/>
  <c r="K884" i="9" s="1"/>
  <c r="D768" i="9"/>
  <c r="B768" i="9"/>
  <c r="J768" i="9"/>
  <c r="K768" i="9" s="1"/>
  <c r="L768" i="9"/>
  <c r="M768" i="9"/>
  <c r="C768" i="9"/>
  <c r="E768" i="9"/>
  <c r="F768" i="9"/>
  <c r="G768" i="9"/>
  <c r="H768" i="9"/>
  <c r="I768" i="9"/>
  <c r="F752" i="9"/>
  <c r="L752" i="9"/>
  <c r="J752" i="9"/>
  <c r="K752" i="9" s="1"/>
  <c r="C752" i="9"/>
  <c r="E752" i="9"/>
  <c r="H752" i="9"/>
  <c r="L634" i="9"/>
  <c r="D634" i="9"/>
  <c r="E634" i="9"/>
  <c r="H634" i="9"/>
  <c r="I634" i="9"/>
  <c r="M634" i="9"/>
  <c r="C634" i="9"/>
  <c r="F634" i="9"/>
  <c r="G634" i="9"/>
  <c r="J634" i="9"/>
  <c r="K634" i="9" s="1"/>
  <c r="J631" i="9"/>
  <c r="K631" i="9" s="1"/>
  <c r="B631" i="9"/>
  <c r="C631" i="9"/>
  <c r="F631" i="9"/>
  <c r="G631" i="9"/>
  <c r="D631" i="9"/>
  <c r="E631" i="9"/>
  <c r="H631" i="9"/>
  <c r="B527" i="9"/>
  <c r="C527" i="9"/>
  <c r="I527" i="9"/>
  <c r="D527" i="9"/>
  <c r="E527" i="9"/>
  <c r="F527" i="9"/>
  <c r="H527" i="9"/>
  <c r="J527" i="9"/>
  <c r="K527" i="9" s="1"/>
  <c r="L527" i="9"/>
  <c r="G527" i="9"/>
  <c r="M527" i="9"/>
  <c r="I1141" i="9"/>
  <c r="J1141" i="9"/>
  <c r="K1141" i="9" s="1"/>
  <c r="F1134" i="9"/>
  <c r="G1134" i="9"/>
  <c r="H1134" i="9"/>
  <c r="L1134" i="9"/>
  <c r="M1134" i="9"/>
  <c r="E1134" i="9"/>
  <c r="I1134" i="9"/>
  <c r="J1134" i="9"/>
  <c r="K1134" i="9" s="1"/>
  <c r="D1019" i="9"/>
  <c r="H1019" i="9"/>
  <c r="I1019" i="9"/>
  <c r="M1019" i="9"/>
  <c r="B1019" i="9"/>
  <c r="J1019" i="9"/>
  <c r="K1019" i="9" s="1"/>
  <c r="L1019" i="9"/>
  <c r="B993" i="9"/>
  <c r="C993" i="9"/>
  <c r="E993" i="9"/>
  <c r="F993" i="9"/>
  <c r="G993" i="9"/>
  <c r="M993" i="9"/>
  <c r="H993" i="9"/>
  <c r="I993" i="9"/>
  <c r="J993" i="9"/>
  <c r="K993" i="9" s="1"/>
  <c r="L993" i="9"/>
  <c r="C823" i="9"/>
  <c r="H823" i="9"/>
  <c r="L823" i="9"/>
  <c r="M823" i="9"/>
  <c r="G823" i="9"/>
  <c r="B823" i="9"/>
  <c r="J823" i="9"/>
  <c r="K823" i="9" s="1"/>
  <c r="L1132" i="9"/>
  <c r="M1132" i="9"/>
  <c r="I1132" i="9"/>
  <c r="J1132" i="9"/>
  <c r="K1132" i="9" s="1"/>
  <c r="D1128" i="9"/>
  <c r="E1128" i="9"/>
  <c r="F1128" i="9"/>
  <c r="C1128" i="9"/>
  <c r="G1128" i="9"/>
  <c r="H1128" i="9"/>
  <c r="I1128" i="9"/>
  <c r="J1128" i="9"/>
  <c r="K1128" i="9" s="1"/>
  <c r="L1128" i="9"/>
  <c r="M1128" i="9"/>
  <c r="J1106" i="9"/>
  <c r="K1106" i="9" s="1"/>
  <c r="L1106" i="9"/>
  <c r="E1106" i="9"/>
  <c r="F1106" i="9"/>
  <c r="G1106" i="9"/>
  <c r="E1067" i="9"/>
  <c r="I1067" i="9"/>
  <c r="J1067" i="9"/>
  <c r="K1067" i="9" s="1"/>
  <c r="L1067" i="9"/>
  <c r="M1067" i="9"/>
  <c r="L893" i="9"/>
  <c r="C893" i="9"/>
  <c r="G893" i="9"/>
  <c r="D893" i="9"/>
  <c r="E893" i="9"/>
  <c r="F893" i="9"/>
  <c r="H893" i="9"/>
  <c r="I893" i="9"/>
  <c r="J893" i="9"/>
  <c r="K893" i="9" s="1"/>
  <c r="M893" i="9"/>
  <c r="G755" i="9"/>
  <c r="M755" i="9"/>
  <c r="E755" i="9"/>
  <c r="F755" i="9"/>
  <c r="C755" i="9"/>
  <c r="D755" i="9"/>
  <c r="H755" i="9"/>
  <c r="I755" i="9"/>
  <c r="L755" i="9"/>
  <c r="B643" i="9"/>
  <c r="M643" i="9"/>
  <c r="F643" i="9"/>
  <c r="G643" i="9"/>
  <c r="H643" i="9"/>
  <c r="I643" i="9"/>
  <c r="J643" i="9"/>
  <c r="K643" i="9" s="1"/>
  <c r="L643" i="9"/>
  <c r="G1621" i="9"/>
  <c r="G1601" i="9"/>
  <c r="G1581" i="9"/>
  <c r="G1561" i="9"/>
  <c r="G1541" i="9"/>
  <c r="G1521" i="9"/>
  <c r="G1501" i="9"/>
  <c r="G1481" i="9"/>
  <c r="G1464" i="9"/>
  <c r="G1451" i="9"/>
  <c r="G1443" i="9"/>
  <c r="G1430" i="9"/>
  <c r="G1407" i="9"/>
  <c r="H1407" i="9"/>
  <c r="F1405" i="9"/>
  <c r="L1402" i="9"/>
  <c r="M1402" i="9"/>
  <c r="I1398" i="9"/>
  <c r="H1390" i="9"/>
  <c r="I1390" i="9"/>
  <c r="G1388" i="9"/>
  <c r="G1383" i="9"/>
  <c r="J1341" i="9"/>
  <c r="K1341" i="9" s="1"/>
  <c r="G1314" i="9"/>
  <c r="G1310" i="9"/>
  <c r="L1302" i="9"/>
  <c r="M1302" i="9"/>
  <c r="D1298" i="9"/>
  <c r="E1298" i="9"/>
  <c r="F1298" i="9"/>
  <c r="G1287" i="9"/>
  <c r="H1287" i="9"/>
  <c r="I1287" i="9"/>
  <c r="F1285" i="9"/>
  <c r="J1276" i="9"/>
  <c r="K1276" i="9" s="1"/>
  <c r="L1276" i="9"/>
  <c r="B1272" i="9"/>
  <c r="C1272" i="9"/>
  <c r="D1272" i="9"/>
  <c r="I1272" i="9"/>
  <c r="B1246" i="9"/>
  <c r="C1230" i="9"/>
  <c r="D1230" i="9"/>
  <c r="E1230" i="9"/>
  <c r="J1230" i="9"/>
  <c r="K1230" i="9" s="1"/>
  <c r="C1197" i="9"/>
  <c r="I1191" i="9"/>
  <c r="D1189" i="9"/>
  <c r="D1187" i="9"/>
  <c r="F1183" i="9"/>
  <c r="L1177" i="9"/>
  <c r="H1169" i="9"/>
  <c r="E1167" i="9"/>
  <c r="E1165" i="9"/>
  <c r="G1163" i="9"/>
  <c r="G1161" i="9"/>
  <c r="I1157" i="9"/>
  <c r="F1147" i="9"/>
  <c r="L1129" i="9"/>
  <c r="M1129" i="9"/>
  <c r="F1129" i="9"/>
  <c r="G1129" i="9"/>
  <c r="H1129" i="9"/>
  <c r="I1122" i="9"/>
  <c r="D1118" i="9"/>
  <c r="E1114" i="9"/>
  <c r="H1110" i="9"/>
  <c r="D1108" i="9"/>
  <c r="E1108" i="9"/>
  <c r="F1108" i="9"/>
  <c r="B1108" i="9"/>
  <c r="C1108" i="9"/>
  <c r="G1108" i="9"/>
  <c r="L1108" i="9"/>
  <c r="M1097" i="9"/>
  <c r="G1087" i="9"/>
  <c r="G1082" i="9"/>
  <c r="F1078" i="9"/>
  <c r="I1074" i="9"/>
  <c r="E1051" i="9"/>
  <c r="F1051" i="9"/>
  <c r="G1051" i="9"/>
  <c r="M1051" i="9"/>
  <c r="J1051" i="9"/>
  <c r="K1051" i="9" s="1"/>
  <c r="L1051" i="9"/>
  <c r="L1049" i="9"/>
  <c r="M1049" i="9"/>
  <c r="I1049" i="9"/>
  <c r="J1049" i="9"/>
  <c r="K1049" i="9" s="1"/>
  <c r="H1040" i="9"/>
  <c r="I1040" i="9"/>
  <c r="J1040" i="9"/>
  <c r="K1040" i="9" s="1"/>
  <c r="B1040" i="9"/>
  <c r="C1040" i="9"/>
  <c r="D1040" i="9"/>
  <c r="E1040" i="9"/>
  <c r="F1040" i="9"/>
  <c r="L1040" i="9"/>
  <c r="D1034" i="9"/>
  <c r="C1032" i="9"/>
  <c r="G1022" i="9"/>
  <c r="D1011" i="9"/>
  <c r="E1009" i="9"/>
  <c r="F992" i="9"/>
  <c r="C988" i="9"/>
  <c r="M986" i="9"/>
  <c r="C986" i="9"/>
  <c r="D986" i="9"/>
  <c r="E986" i="9"/>
  <c r="I986" i="9"/>
  <c r="J986" i="9"/>
  <c r="K986" i="9" s="1"/>
  <c r="E962" i="9"/>
  <c r="F962" i="9"/>
  <c r="H962" i="9"/>
  <c r="I962" i="9"/>
  <c r="J962" i="9"/>
  <c r="K962" i="9" s="1"/>
  <c r="D962" i="9"/>
  <c r="G962" i="9"/>
  <c r="L962" i="9"/>
  <c r="M962" i="9"/>
  <c r="C957" i="9"/>
  <c r="L924" i="9"/>
  <c r="B913" i="9"/>
  <c r="C913" i="9"/>
  <c r="I913" i="9"/>
  <c r="H913" i="9"/>
  <c r="J913" i="9"/>
  <c r="K913" i="9" s="1"/>
  <c r="L913" i="9"/>
  <c r="L855" i="9"/>
  <c r="E805" i="9"/>
  <c r="F805" i="9"/>
  <c r="M805" i="9"/>
  <c r="H805" i="9"/>
  <c r="I805" i="9"/>
  <c r="J805" i="9"/>
  <c r="K805" i="9" s="1"/>
  <c r="L805" i="9"/>
  <c r="G805" i="9"/>
  <c r="L796" i="9"/>
  <c r="L693" i="9"/>
  <c r="F693" i="9"/>
  <c r="M693" i="9"/>
  <c r="D693" i="9"/>
  <c r="H693" i="9"/>
  <c r="I693" i="9"/>
  <c r="J693" i="9"/>
  <c r="K693" i="9" s="1"/>
  <c r="E693" i="9"/>
  <c r="G693" i="9"/>
  <c r="E674" i="9"/>
  <c r="D1248" i="9"/>
  <c r="E1248" i="9"/>
  <c r="L1248" i="9"/>
  <c r="M1248" i="9"/>
  <c r="F1234" i="9"/>
  <c r="G1234" i="9"/>
  <c r="B1234" i="9"/>
  <c r="D1218" i="9"/>
  <c r="E1218" i="9"/>
  <c r="F1218" i="9"/>
  <c r="F1157" i="9"/>
  <c r="E1131" i="9"/>
  <c r="F1131" i="9"/>
  <c r="G1131" i="9"/>
  <c r="C1131" i="9"/>
  <c r="D1131" i="9"/>
  <c r="H1131" i="9"/>
  <c r="M1131" i="9"/>
  <c r="H1120" i="9"/>
  <c r="I1120" i="9"/>
  <c r="J1120" i="9"/>
  <c r="K1120" i="9" s="1"/>
  <c r="E1120" i="9"/>
  <c r="F1120" i="9"/>
  <c r="G1120" i="9"/>
  <c r="C1118" i="9"/>
  <c r="D1114" i="9"/>
  <c r="L1092" i="9"/>
  <c r="M1092" i="9"/>
  <c r="D1092" i="9"/>
  <c r="E1092" i="9"/>
  <c r="F1092" i="9"/>
  <c r="H1080" i="9"/>
  <c r="I1080" i="9"/>
  <c r="J1080" i="9"/>
  <c r="K1080" i="9" s="1"/>
  <c r="L1080" i="9"/>
  <c r="M1080" i="9"/>
  <c r="C1061" i="9"/>
  <c r="B1061" i="9"/>
  <c r="C1011" i="9"/>
  <c r="C1009" i="9"/>
  <c r="J1004" i="9"/>
  <c r="K1004" i="9" s="1"/>
  <c r="L1004" i="9"/>
  <c r="D1004" i="9"/>
  <c r="D979" i="9"/>
  <c r="E979" i="9"/>
  <c r="F979" i="9"/>
  <c r="G979" i="9"/>
  <c r="H979" i="9"/>
  <c r="L979" i="9"/>
  <c r="M979" i="9"/>
  <c r="I934" i="9"/>
  <c r="J934" i="9"/>
  <c r="K934" i="9" s="1"/>
  <c r="L934" i="9"/>
  <c r="M934" i="9"/>
  <c r="C934" i="9"/>
  <c r="B934" i="9"/>
  <c r="D934" i="9"/>
  <c r="E934" i="9"/>
  <c r="F934" i="9"/>
  <c r="G934" i="9"/>
  <c r="H934" i="9"/>
  <c r="D889" i="9"/>
  <c r="F889" i="9"/>
  <c r="G889" i="9"/>
  <c r="M889" i="9"/>
  <c r="B889" i="9"/>
  <c r="C889" i="9"/>
  <c r="E889" i="9"/>
  <c r="L889" i="9"/>
  <c r="L853" i="9"/>
  <c r="M853" i="9"/>
  <c r="H853" i="9"/>
  <c r="I853" i="9"/>
  <c r="J853" i="9"/>
  <c r="K853" i="9" s="1"/>
  <c r="B853" i="9"/>
  <c r="G853" i="9"/>
  <c r="I831" i="9"/>
  <c r="C831" i="9"/>
  <c r="J831" i="9"/>
  <c r="K831" i="9" s="1"/>
  <c r="L831" i="9"/>
  <c r="M831" i="9"/>
  <c r="B831" i="9"/>
  <c r="D831" i="9"/>
  <c r="C825" i="9"/>
  <c r="H825" i="9"/>
  <c r="I825" i="9"/>
  <c r="G825" i="9"/>
  <c r="D825" i="9"/>
  <c r="E825" i="9"/>
  <c r="F825" i="9"/>
  <c r="J825" i="9"/>
  <c r="K825" i="9" s="1"/>
  <c r="L825" i="9"/>
  <c r="H796" i="9"/>
  <c r="L767" i="9"/>
  <c r="F767" i="9"/>
  <c r="G767" i="9"/>
  <c r="C767" i="9"/>
  <c r="D767" i="9"/>
  <c r="E767" i="9"/>
  <c r="E697" i="9"/>
  <c r="D674" i="9"/>
  <c r="E653" i="9"/>
  <c r="L653" i="9"/>
  <c r="M653" i="9"/>
  <c r="B653" i="9"/>
  <c r="C653" i="9"/>
  <c r="D653" i="9"/>
  <c r="F653" i="9"/>
  <c r="G653" i="9"/>
  <c r="H653" i="9"/>
  <c r="J653" i="9"/>
  <c r="K653" i="9" s="1"/>
  <c r="B526" i="9"/>
  <c r="H526" i="9"/>
  <c r="I526" i="9"/>
  <c r="G526" i="9"/>
  <c r="J526" i="9"/>
  <c r="K526" i="9" s="1"/>
  <c r="L526" i="9"/>
  <c r="C526" i="9"/>
  <c r="D526" i="9"/>
  <c r="E526" i="9"/>
  <c r="F526" i="9"/>
  <c r="E333" i="9"/>
  <c r="C333" i="9"/>
  <c r="D333" i="9"/>
  <c r="F333" i="9"/>
  <c r="G333" i="9"/>
  <c r="J333" i="9"/>
  <c r="K333" i="9" s="1"/>
  <c r="B333" i="9"/>
  <c r="I333" i="9"/>
  <c r="L333" i="9"/>
  <c r="M333" i="9"/>
  <c r="H333" i="9"/>
  <c r="G1197" i="9"/>
  <c r="H1197" i="9"/>
  <c r="M1197" i="9"/>
  <c r="C1165" i="9"/>
  <c r="D1165" i="9"/>
  <c r="J1165" i="9"/>
  <c r="K1165" i="9" s="1"/>
  <c r="L1165" i="9"/>
  <c r="B1147" i="9"/>
  <c r="C1147" i="9"/>
  <c r="D1147" i="9"/>
  <c r="I1147" i="9"/>
  <c r="B1122" i="9"/>
  <c r="C1122" i="9"/>
  <c r="D1122" i="9"/>
  <c r="E1122" i="9"/>
  <c r="F1122" i="9"/>
  <c r="G1122" i="9"/>
  <c r="L1122" i="9"/>
  <c r="B1034" i="9"/>
  <c r="F1034" i="9"/>
  <c r="G1034" i="9"/>
  <c r="H1034" i="9"/>
  <c r="G1032" i="9"/>
  <c r="L1032" i="9"/>
  <c r="M1032" i="9"/>
  <c r="L1000" i="9"/>
  <c r="B1000" i="9"/>
  <c r="C1000" i="9"/>
  <c r="D1000" i="9"/>
  <c r="J1000" i="9"/>
  <c r="K1000" i="9" s="1"/>
  <c r="F1000" i="9"/>
  <c r="G1000" i="9"/>
  <c r="H1000" i="9"/>
  <c r="I1000" i="9"/>
  <c r="M1000" i="9"/>
  <c r="G988" i="9"/>
  <c r="H988" i="9"/>
  <c r="D988" i="9"/>
  <c r="E988" i="9"/>
  <c r="F988" i="9"/>
  <c r="J957" i="9"/>
  <c r="K957" i="9" s="1"/>
  <c r="E957" i="9"/>
  <c r="F957" i="9"/>
  <c r="G957" i="9"/>
  <c r="M957" i="9"/>
  <c r="L957" i="9"/>
  <c r="M793" i="9"/>
  <c r="H793" i="9"/>
  <c r="I793" i="9"/>
  <c r="F793" i="9"/>
  <c r="H782" i="9"/>
  <c r="E633" i="9"/>
  <c r="L633" i="9"/>
  <c r="J633" i="9"/>
  <c r="K633" i="9" s="1"/>
  <c r="C633" i="9"/>
  <c r="D633" i="9"/>
  <c r="F633" i="9"/>
  <c r="G633" i="9"/>
  <c r="H633" i="9"/>
  <c r="E1191" i="9"/>
  <c r="F1191" i="9"/>
  <c r="B1191" i="9"/>
  <c r="C1191" i="9"/>
  <c r="D1191" i="9"/>
  <c r="L1189" i="9"/>
  <c r="F1189" i="9"/>
  <c r="G1189" i="9"/>
  <c r="H1189" i="9"/>
  <c r="J1187" i="9"/>
  <c r="K1187" i="9" s="1"/>
  <c r="L1187" i="9"/>
  <c r="G1157" i="9"/>
  <c r="H1157" i="9"/>
  <c r="C1157" i="9"/>
  <c r="D1157" i="9"/>
  <c r="E1157" i="9"/>
  <c r="L1157" i="9"/>
  <c r="J1118" i="9"/>
  <c r="K1118" i="9" s="1"/>
  <c r="L1118" i="9"/>
  <c r="F1114" i="9"/>
  <c r="G1114" i="9"/>
  <c r="H1114" i="9"/>
  <c r="B1114" i="9"/>
  <c r="B1082" i="9"/>
  <c r="C1082" i="9"/>
  <c r="D1082" i="9"/>
  <c r="J1082" i="9"/>
  <c r="K1082" i="9" s="1"/>
  <c r="I1082" i="9"/>
  <c r="L1082" i="9"/>
  <c r="H1011" i="9"/>
  <c r="I1011" i="9"/>
  <c r="E1011" i="9"/>
  <c r="F1011" i="9"/>
  <c r="L1011" i="9"/>
  <c r="M1011" i="9"/>
  <c r="L1009" i="9"/>
  <c r="D1009" i="9"/>
  <c r="J1009" i="9"/>
  <c r="K1009" i="9" s="1"/>
  <c r="M1009" i="9"/>
  <c r="C796" i="9"/>
  <c r="M796" i="9"/>
  <c r="B796" i="9"/>
  <c r="D796" i="9"/>
  <c r="E796" i="9"/>
  <c r="F796" i="9"/>
  <c r="I796" i="9"/>
  <c r="J796" i="9"/>
  <c r="K796" i="9" s="1"/>
  <c r="B788" i="9"/>
  <c r="G788" i="9"/>
  <c r="H788" i="9"/>
  <c r="C788" i="9"/>
  <c r="D788" i="9"/>
  <c r="E788" i="9"/>
  <c r="F788" i="9"/>
  <c r="L788" i="9"/>
  <c r="M788" i="9"/>
  <c r="I788" i="9"/>
  <c r="J788" i="9"/>
  <c r="K788" i="9" s="1"/>
  <c r="C697" i="9"/>
  <c r="D697" i="9"/>
  <c r="H697" i="9"/>
  <c r="G697" i="9"/>
  <c r="I697" i="9"/>
  <c r="J697" i="9"/>
  <c r="K697" i="9" s="1"/>
  <c r="L697" i="9"/>
  <c r="M697" i="9"/>
  <c r="F697" i="9"/>
  <c r="B674" i="9"/>
  <c r="H674" i="9"/>
  <c r="I674" i="9"/>
  <c r="L674" i="9"/>
  <c r="M674" i="9"/>
  <c r="G674" i="9"/>
  <c r="J674" i="9"/>
  <c r="K674" i="9" s="1"/>
  <c r="E652" i="9"/>
  <c r="F652" i="9"/>
  <c r="L652" i="9"/>
  <c r="M652" i="9"/>
  <c r="B652" i="9"/>
  <c r="H652" i="9"/>
  <c r="I652" i="9"/>
  <c r="D652" i="9"/>
  <c r="G652" i="9"/>
  <c r="J652" i="9"/>
  <c r="K652" i="9" s="1"/>
  <c r="F499" i="9"/>
  <c r="G499" i="9"/>
  <c r="M499" i="9"/>
  <c r="B499" i="9"/>
  <c r="I499" i="9"/>
  <c r="J499" i="9"/>
  <c r="K499" i="9" s="1"/>
  <c r="L499" i="9"/>
  <c r="C499" i="9"/>
  <c r="D499" i="9"/>
  <c r="H499" i="9"/>
  <c r="I1183" i="9"/>
  <c r="J1183" i="9"/>
  <c r="K1183" i="9" s="1"/>
  <c r="C1183" i="9"/>
  <c r="L1169" i="9"/>
  <c r="B1169" i="9"/>
  <c r="C1169" i="9"/>
  <c r="D1169" i="9"/>
  <c r="I1169" i="9"/>
  <c r="F1167" i="9"/>
  <c r="G1167" i="9"/>
  <c r="H1167" i="9"/>
  <c r="M1167" i="9"/>
  <c r="B1110" i="9"/>
  <c r="C1110" i="9"/>
  <c r="D1110" i="9"/>
  <c r="I1110" i="9"/>
  <c r="E1087" i="9"/>
  <c r="C1087" i="9"/>
  <c r="B1078" i="9"/>
  <c r="M1078" i="9"/>
  <c r="F1074" i="9"/>
  <c r="G1074" i="9"/>
  <c r="H1074" i="9"/>
  <c r="D1074" i="9"/>
  <c r="F1070" i="9"/>
  <c r="B1070" i="9"/>
  <c r="C1070" i="9"/>
  <c r="D1070" i="9"/>
  <c r="E1070" i="9"/>
  <c r="J1070" i="9"/>
  <c r="K1070" i="9" s="1"/>
  <c r="E1022" i="9"/>
  <c r="L1022" i="9"/>
  <c r="C1022" i="9"/>
  <c r="H1022" i="9"/>
  <c r="I1022" i="9"/>
  <c r="J1022" i="9"/>
  <c r="K1022" i="9" s="1"/>
  <c r="M1022" i="9"/>
  <c r="J992" i="9"/>
  <c r="K992" i="9" s="1"/>
  <c r="L992" i="9"/>
  <c r="D992" i="9"/>
  <c r="M906" i="9"/>
  <c r="L906" i="9"/>
  <c r="E906" i="9"/>
  <c r="C906" i="9"/>
  <c r="D906" i="9"/>
  <c r="F906" i="9"/>
  <c r="G906" i="9"/>
  <c r="H906" i="9"/>
  <c r="I906" i="9"/>
  <c r="B903" i="9"/>
  <c r="L903" i="9"/>
  <c r="M903" i="9"/>
  <c r="D903" i="9"/>
  <c r="E903" i="9"/>
  <c r="F903" i="9"/>
  <c r="G903" i="9"/>
  <c r="J903" i="9"/>
  <c r="K903" i="9" s="1"/>
  <c r="I903" i="9"/>
  <c r="F855" i="9"/>
  <c r="H855" i="9"/>
  <c r="I855" i="9"/>
  <c r="D855" i="9"/>
  <c r="E855" i="9"/>
  <c r="G855" i="9"/>
  <c r="J855" i="9"/>
  <c r="K855" i="9" s="1"/>
  <c r="M855" i="9"/>
  <c r="F792" i="9"/>
  <c r="M792" i="9"/>
  <c r="G792" i="9"/>
  <c r="B792" i="9"/>
  <c r="C792" i="9"/>
  <c r="D792" i="9"/>
  <c r="E792" i="9"/>
  <c r="J792" i="9"/>
  <c r="K792" i="9" s="1"/>
  <c r="L792" i="9"/>
  <c r="H792" i="9"/>
  <c r="B782" i="9"/>
  <c r="M782" i="9"/>
  <c r="C782" i="9"/>
  <c r="D782" i="9"/>
  <c r="E782" i="9"/>
  <c r="F782" i="9"/>
  <c r="I782" i="9"/>
  <c r="J782" i="9"/>
  <c r="K782" i="9" s="1"/>
  <c r="L782" i="9"/>
  <c r="F712" i="9"/>
  <c r="L712" i="9"/>
  <c r="M712" i="9"/>
  <c r="J712" i="9"/>
  <c r="K712" i="9" s="1"/>
  <c r="C712" i="9"/>
  <c r="D712" i="9"/>
  <c r="E712" i="9"/>
  <c r="G712" i="9"/>
  <c r="B566" i="9"/>
  <c r="C566" i="9"/>
  <c r="J566" i="9"/>
  <c r="K566" i="9" s="1"/>
  <c r="M566" i="9"/>
  <c r="I566" i="9"/>
  <c r="L566" i="9"/>
  <c r="F566" i="9"/>
  <c r="D566" i="9"/>
  <c r="E566" i="9"/>
  <c r="G566" i="9"/>
  <c r="H566" i="9"/>
  <c r="B466" i="9"/>
  <c r="F466" i="9"/>
  <c r="G466" i="9"/>
  <c r="H466" i="9"/>
  <c r="I466" i="9"/>
  <c r="M466" i="9"/>
  <c r="C466" i="9"/>
  <c r="D466" i="9"/>
  <c r="L466" i="9"/>
  <c r="B1430" i="9"/>
  <c r="I1393" i="9"/>
  <c r="J1393" i="9"/>
  <c r="K1393" i="9" s="1"/>
  <c r="F1364" i="9"/>
  <c r="G1364" i="9"/>
  <c r="H1364" i="9"/>
  <c r="C1355" i="9"/>
  <c r="D1355" i="9"/>
  <c r="E1355" i="9"/>
  <c r="B1332" i="9"/>
  <c r="C1332" i="9"/>
  <c r="D1332" i="9"/>
  <c r="E1261" i="9"/>
  <c r="F1261" i="9"/>
  <c r="G1261" i="9"/>
  <c r="L1261" i="9"/>
  <c r="L1212" i="9"/>
  <c r="M1212" i="9"/>
  <c r="B1212" i="9"/>
  <c r="M1195" i="9"/>
  <c r="C1195" i="9"/>
  <c r="C1185" i="9"/>
  <c r="D1185" i="9"/>
  <c r="M1155" i="9"/>
  <c r="H1155" i="9"/>
  <c r="I1155" i="9"/>
  <c r="J1155" i="9"/>
  <c r="K1155" i="9" s="1"/>
  <c r="L1149" i="9"/>
  <c r="E1149" i="9"/>
  <c r="J1027" i="9"/>
  <c r="K1027" i="9" s="1"/>
  <c r="B1027" i="9"/>
  <c r="C1027" i="9"/>
  <c r="D1027" i="9"/>
  <c r="E1027" i="9"/>
  <c r="F1027" i="9"/>
  <c r="G1027" i="9"/>
  <c r="H1027" i="9"/>
  <c r="L873" i="9"/>
  <c r="D873" i="9"/>
  <c r="E873" i="9"/>
  <c r="H873" i="9"/>
  <c r="I873" i="9"/>
  <c r="J873" i="9"/>
  <c r="K873" i="9" s="1"/>
  <c r="M873" i="9"/>
  <c r="C873" i="9"/>
  <c r="F873" i="9"/>
  <c r="G873" i="9"/>
  <c r="J824" i="9"/>
  <c r="K824" i="9" s="1"/>
  <c r="F824" i="9"/>
  <c r="C824" i="9"/>
  <c r="D824" i="9"/>
  <c r="E824" i="9"/>
  <c r="G824" i="9"/>
  <c r="L824" i="9"/>
  <c r="M824" i="9"/>
  <c r="H818" i="9"/>
  <c r="J818" i="9"/>
  <c r="K818" i="9" s="1"/>
  <c r="L818" i="9"/>
  <c r="C818" i="9"/>
  <c r="D818" i="9"/>
  <c r="E818" i="9"/>
  <c r="F818" i="9"/>
  <c r="M818" i="9"/>
  <c r="B816" i="9"/>
  <c r="I816" i="9"/>
  <c r="J816" i="9"/>
  <c r="K816" i="9" s="1"/>
  <c r="L816" i="9"/>
  <c r="C816" i="9"/>
  <c r="L626" i="9"/>
  <c r="H626" i="9"/>
  <c r="I626" i="9"/>
  <c r="D626" i="9"/>
  <c r="E626" i="9"/>
  <c r="G626" i="9"/>
  <c r="J626" i="9"/>
  <c r="K626" i="9" s="1"/>
  <c r="M626" i="9"/>
  <c r="B626" i="9"/>
  <c r="C626" i="9"/>
  <c r="D1398" i="9"/>
  <c r="E1398" i="9"/>
  <c r="E1341" i="9"/>
  <c r="F1341" i="9"/>
  <c r="G1341" i="9"/>
  <c r="H1310" i="9"/>
  <c r="I1310" i="9"/>
  <c r="J1310" i="9"/>
  <c r="K1310" i="9" s="1"/>
  <c r="F1214" i="9"/>
  <c r="G1214" i="9"/>
  <c r="M1214" i="9"/>
  <c r="G1177" i="9"/>
  <c r="H1177" i="9"/>
  <c r="I1177" i="9"/>
  <c r="J1177" i="9"/>
  <c r="K1177" i="9" s="1"/>
  <c r="I1163" i="9"/>
  <c r="J1163" i="9"/>
  <c r="K1163" i="9" s="1"/>
  <c r="B1124" i="9"/>
  <c r="C1124" i="9"/>
  <c r="D1124" i="9"/>
  <c r="I1124" i="9"/>
  <c r="G1097" i="9"/>
  <c r="H1097" i="9"/>
  <c r="I1097" i="9"/>
  <c r="E1097" i="9"/>
  <c r="F1097" i="9"/>
  <c r="J1097" i="9"/>
  <c r="K1097" i="9" s="1"/>
  <c r="F924" i="9"/>
  <c r="G924" i="9"/>
  <c r="H924" i="9"/>
  <c r="I924" i="9"/>
  <c r="J924" i="9"/>
  <c r="K924" i="9" s="1"/>
  <c r="M924" i="9"/>
  <c r="J804" i="9"/>
  <c r="K804" i="9" s="1"/>
  <c r="C804" i="9"/>
  <c r="D804" i="9"/>
  <c r="B804" i="9"/>
  <c r="E804" i="9"/>
  <c r="F804" i="9"/>
  <c r="M804" i="9"/>
  <c r="D766" i="9"/>
  <c r="J766" i="9"/>
  <c r="K766" i="9" s="1"/>
  <c r="B766" i="9"/>
  <c r="E766" i="9"/>
  <c r="I766" i="9"/>
  <c r="L766" i="9"/>
  <c r="M766" i="9"/>
  <c r="F498" i="9"/>
  <c r="H498" i="9"/>
  <c r="I498" i="9"/>
  <c r="B498" i="9"/>
  <c r="C498" i="9"/>
  <c r="L498" i="9"/>
  <c r="M498" i="9"/>
  <c r="D498" i="9"/>
  <c r="E498" i="9"/>
  <c r="G498" i="9"/>
  <c r="E1281" i="9"/>
  <c r="F1281" i="9"/>
  <c r="G1281" i="9"/>
  <c r="L1281" i="9"/>
  <c r="L1259" i="9"/>
  <c r="M1259" i="9"/>
  <c r="C1255" i="9"/>
  <c r="D1255" i="9"/>
  <c r="E1255" i="9"/>
  <c r="J1255" i="9"/>
  <c r="K1255" i="9" s="1"/>
  <c r="J1206" i="9"/>
  <c r="K1206" i="9" s="1"/>
  <c r="E1206" i="9"/>
  <c r="F1206" i="9"/>
  <c r="G1206" i="9"/>
  <c r="I1204" i="9"/>
  <c r="J1204" i="9"/>
  <c r="K1204" i="9" s="1"/>
  <c r="H1200" i="9"/>
  <c r="I1200" i="9"/>
  <c r="B1200" i="9"/>
  <c r="E1171" i="9"/>
  <c r="F1171" i="9"/>
  <c r="G1171" i="9"/>
  <c r="L1153" i="9"/>
  <c r="M1153" i="9"/>
  <c r="B1142" i="9"/>
  <c r="C1142" i="9"/>
  <c r="D1142" i="9"/>
  <c r="F1142" i="9"/>
  <c r="I1103" i="9"/>
  <c r="J1103" i="9"/>
  <c r="K1103" i="9" s="1"/>
  <c r="E1103" i="9"/>
  <c r="L1089" i="9"/>
  <c r="M1089" i="9"/>
  <c r="B1089" i="9"/>
  <c r="H1060" i="9"/>
  <c r="I1060" i="9"/>
  <c r="J1060" i="9"/>
  <c r="K1060" i="9" s="1"/>
  <c r="E1060" i="9"/>
  <c r="F1060" i="9"/>
  <c r="G1060" i="9"/>
  <c r="B1058" i="9"/>
  <c r="J1058" i="9"/>
  <c r="K1058" i="9" s="1"/>
  <c r="L1058" i="9"/>
  <c r="M1058" i="9"/>
  <c r="B1015" i="9"/>
  <c r="C1015" i="9"/>
  <c r="D1015" i="9"/>
  <c r="J1015" i="9"/>
  <c r="K1015" i="9" s="1"/>
  <c r="D964" i="9"/>
  <c r="E964" i="9"/>
  <c r="F964" i="9"/>
  <c r="J964" i="9"/>
  <c r="K964" i="9" s="1"/>
  <c r="L964" i="9"/>
  <c r="I964" i="9"/>
  <c r="M964" i="9"/>
  <c r="E852" i="9"/>
  <c r="D852" i="9"/>
  <c r="F852" i="9"/>
  <c r="L852" i="9"/>
  <c r="C852" i="9"/>
  <c r="G852" i="9"/>
  <c r="H852" i="9"/>
  <c r="F828" i="9"/>
  <c r="M828" i="9"/>
  <c r="C828" i="9"/>
  <c r="D828" i="9"/>
  <c r="E828" i="9"/>
  <c r="G828" i="9"/>
  <c r="J828" i="9"/>
  <c r="K828" i="9" s="1"/>
  <c r="L828" i="9"/>
  <c r="H828" i="9"/>
  <c r="I828" i="9"/>
  <c r="E791" i="9"/>
  <c r="L791" i="9"/>
  <c r="M791" i="9"/>
  <c r="G791" i="9"/>
  <c r="D791" i="9"/>
  <c r="F791" i="9"/>
  <c r="H791" i="9"/>
  <c r="I791" i="9"/>
  <c r="J791" i="9"/>
  <c r="K791" i="9" s="1"/>
  <c r="E1151" i="9"/>
  <c r="F1151" i="9"/>
  <c r="G1137" i="9"/>
  <c r="H1137" i="9"/>
  <c r="I1137" i="9"/>
  <c r="I1063" i="9"/>
  <c r="J1063" i="9"/>
  <c r="K1063" i="9" s="1"/>
  <c r="F1054" i="9"/>
  <c r="G1054" i="9"/>
  <c r="H1054" i="9"/>
  <c r="C1021" i="9"/>
  <c r="D1021" i="9"/>
  <c r="H1021" i="9"/>
  <c r="I1021" i="9"/>
  <c r="J1021" i="9"/>
  <c r="K1021" i="9" s="1"/>
  <c r="J1017" i="9"/>
  <c r="K1017" i="9" s="1"/>
  <c r="M1017" i="9"/>
  <c r="E1017" i="9"/>
  <c r="B981" i="9"/>
  <c r="C981" i="9"/>
  <c r="D981" i="9"/>
  <c r="H981" i="9"/>
  <c r="I981" i="9"/>
  <c r="J981" i="9"/>
  <c r="K981" i="9" s="1"/>
  <c r="C956" i="9"/>
  <c r="D956" i="9"/>
  <c r="B956" i="9"/>
  <c r="E956" i="9"/>
  <c r="F956" i="9"/>
  <c r="L956" i="9"/>
  <c r="E941" i="9"/>
  <c r="M941" i="9"/>
  <c r="G941" i="9"/>
  <c r="D938" i="9"/>
  <c r="F938" i="9"/>
  <c r="G938" i="9"/>
  <c r="H938" i="9"/>
  <c r="I938" i="9"/>
  <c r="L938" i="9"/>
  <c r="M938" i="9"/>
  <c r="M926" i="9"/>
  <c r="D926" i="9"/>
  <c r="E926" i="9"/>
  <c r="F926" i="9"/>
  <c r="G926" i="9"/>
  <c r="J926" i="9"/>
  <c r="K926" i="9" s="1"/>
  <c r="L926" i="9"/>
  <c r="E892" i="9"/>
  <c r="I892" i="9"/>
  <c r="J892" i="9"/>
  <c r="K892" i="9" s="1"/>
  <c r="B892" i="9"/>
  <c r="C892" i="9"/>
  <c r="D892" i="9"/>
  <c r="F892" i="9"/>
  <c r="L892" i="9"/>
  <c r="M892" i="9"/>
  <c r="D826" i="9"/>
  <c r="B826" i="9"/>
  <c r="C826" i="9"/>
  <c r="E826" i="9"/>
  <c r="F826" i="9"/>
  <c r="G826" i="9"/>
  <c r="J826" i="9"/>
  <c r="K826" i="9" s="1"/>
  <c r="L826" i="9"/>
  <c r="M826" i="9"/>
  <c r="G815" i="9"/>
  <c r="H815" i="9"/>
  <c r="F815" i="9"/>
  <c r="I815" i="9"/>
  <c r="C815" i="9"/>
  <c r="D815" i="9"/>
  <c r="E815" i="9"/>
  <c r="E803" i="9"/>
  <c r="F774" i="9"/>
  <c r="J774" i="9"/>
  <c r="K774" i="9" s="1"/>
  <c r="H774" i="9"/>
  <c r="I774" i="9"/>
  <c r="G774" i="9"/>
  <c r="L774" i="9"/>
  <c r="M774" i="9"/>
  <c r="D593" i="9"/>
  <c r="E593" i="9"/>
  <c r="B593" i="9"/>
  <c r="G593" i="9"/>
  <c r="H593" i="9"/>
  <c r="J593" i="9"/>
  <c r="K593" i="9" s="1"/>
  <c r="C593" i="9"/>
  <c r="F593" i="9"/>
  <c r="I593" i="9"/>
  <c r="L593" i="9"/>
  <c r="F317" i="9"/>
  <c r="G317" i="9"/>
  <c r="M317" i="9"/>
  <c r="D317" i="9"/>
  <c r="E317" i="9"/>
  <c r="H317" i="9"/>
  <c r="I317" i="9"/>
  <c r="L317" i="9"/>
  <c r="J317" i="9"/>
  <c r="K317" i="9" s="1"/>
  <c r="J287" i="9"/>
  <c r="K287" i="9" s="1"/>
  <c r="F287" i="9"/>
  <c r="L287" i="9"/>
  <c r="M287" i="9"/>
  <c r="C287" i="9"/>
  <c r="H287" i="9"/>
  <c r="I287" i="9"/>
  <c r="D287" i="9"/>
  <c r="E287" i="9"/>
  <c r="G287" i="9"/>
  <c r="C29" i="9"/>
  <c r="D29" i="9"/>
  <c r="J29" i="9"/>
  <c r="K29" i="9" s="1"/>
  <c r="H29" i="9"/>
  <c r="I29" i="9"/>
  <c r="L29" i="9"/>
  <c r="G29" i="9"/>
  <c r="M29" i="9"/>
  <c r="E29" i="9"/>
  <c r="F29" i="9"/>
  <c r="E1001" i="9"/>
  <c r="F1001" i="9"/>
  <c r="G1001" i="9"/>
  <c r="L1001" i="9"/>
  <c r="M1001" i="9"/>
  <c r="C996" i="9"/>
  <c r="D996" i="9"/>
  <c r="B996" i="9"/>
  <c r="E996" i="9"/>
  <c r="F996" i="9"/>
  <c r="J996" i="9"/>
  <c r="K996" i="9" s="1"/>
  <c r="L996" i="9"/>
  <c r="I994" i="9"/>
  <c r="J994" i="9"/>
  <c r="K994" i="9" s="1"/>
  <c r="F994" i="9"/>
  <c r="G994" i="9"/>
  <c r="H994" i="9"/>
  <c r="F895" i="9"/>
  <c r="L895" i="9"/>
  <c r="M895" i="9"/>
  <c r="E895" i="9"/>
  <c r="B877" i="9"/>
  <c r="F877" i="9"/>
  <c r="G877" i="9"/>
  <c r="H877" i="9"/>
  <c r="I877" i="9"/>
  <c r="L877" i="9"/>
  <c r="M877" i="9"/>
  <c r="I871" i="9"/>
  <c r="J871" i="9"/>
  <c r="K871" i="9" s="1"/>
  <c r="H871" i="9"/>
  <c r="L871" i="9"/>
  <c r="M871" i="9"/>
  <c r="B871" i="9"/>
  <c r="C866" i="9"/>
  <c r="L866" i="9"/>
  <c r="D866" i="9"/>
  <c r="E866" i="9"/>
  <c r="F866" i="9"/>
  <c r="G866" i="9"/>
  <c r="J866" i="9"/>
  <c r="K866" i="9" s="1"/>
  <c r="M866" i="9"/>
  <c r="I801" i="9"/>
  <c r="M801" i="9"/>
  <c r="J801" i="9"/>
  <c r="K801" i="9" s="1"/>
  <c r="L801" i="9"/>
  <c r="C801" i="9"/>
  <c r="E769" i="9"/>
  <c r="H769" i="9"/>
  <c r="C769" i="9"/>
  <c r="D769" i="9"/>
  <c r="M769" i="9"/>
  <c r="F769" i="9"/>
  <c r="G769" i="9"/>
  <c r="I769" i="9"/>
  <c r="M410" i="9"/>
  <c r="F410" i="9"/>
  <c r="G410" i="9"/>
  <c r="H410" i="9"/>
  <c r="I410" i="9"/>
  <c r="J410" i="9"/>
  <c r="K410" i="9" s="1"/>
  <c r="D410" i="9"/>
  <c r="E410" i="9"/>
  <c r="L410" i="9"/>
  <c r="B361" i="9"/>
  <c r="C361" i="9"/>
  <c r="D361" i="9"/>
  <c r="E361" i="9"/>
  <c r="H361" i="9"/>
  <c r="I361" i="9"/>
  <c r="M361" i="9"/>
  <c r="L361" i="9"/>
  <c r="J361" i="9"/>
  <c r="K361" i="9" s="1"/>
  <c r="L1023" i="9"/>
  <c r="C1023" i="9"/>
  <c r="D1023" i="9"/>
  <c r="E1023" i="9"/>
  <c r="M1006" i="9"/>
  <c r="G1006" i="9"/>
  <c r="H1006" i="9"/>
  <c r="L1006" i="9"/>
  <c r="C803" i="9"/>
  <c r="I803" i="9"/>
  <c r="J803" i="9"/>
  <c r="K803" i="9" s="1"/>
  <c r="G803" i="9"/>
  <c r="H803" i="9"/>
  <c r="L803" i="9"/>
  <c r="C723" i="9"/>
  <c r="I723" i="9"/>
  <c r="J723" i="9"/>
  <c r="K723" i="9" s="1"/>
  <c r="B723" i="9"/>
  <c r="M723" i="9"/>
  <c r="L723" i="9"/>
  <c r="E723" i="9"/>
  <c r="F723" i="9"/>
  <c r="G723" i="9"/>
  <c r="M480" i="9"/>
  <c r="L480" i="9"/>
  <c r="B480" i="9"/>
  <c r="C480" i="9"/>
  <c r="E480" i="9"/>
  <c r="F480" i="9"/>
  <c r="G480" i="9"/>
  <c r="I480" i="9"/>
  <c r="J480" i="9"/>
  <c r="K480" i="9" s="1"/>
  <c r="L407" i="9"/>
  <c r="M407" i="9"/>
  <c r="D407" i="9"/>
  <c r="E407" i="9"/>
  <c r="F407" i="9"/>
  <c r="G407" i="9"/>
  <c r="H407" i="9"/>
  <c r="B407" i="9"/>
  <c r="C407" i="9"/>
  <c r="I407" i="9"/>
  <c r="L1052" i="9"/>
  <c r="M1052" i="9"/>
  <c r="D1048" i="9"/>
  <c r="E1048" i="9"/>
  <c r="F1048" i="9"/>
  <c r="L1048" i="9"/>
  <c r="H1031" i="9"/>
  <c r="C1031" i="9"/>
  <c r="D1031" i="9"/>
  <c r="E1031" i="9"/>
  <c r="L1031" i="9"/>
  <c r="L943" i="9"/>
  <c r="M943" i="9"/>
  <c r="J943" i="9"/>
  <c r="K943" i="9" s="1"/>
  <c r="D943" i="9"/>
  <c r="L940" i="9"/>
  <c r="C940" i="9"/>
  <c r="D940" i="9"/>
  <c r="E940" i="9"/>
  <c r="F940" i="9"/>
  <c r="I940" i="9"/>
  <c r="J940" i="9"/>
  <c r="K940" i="9" s="1"/>
  <c r="M940" i="9"/>
  <c r="B932" i="9"/>
  <c r="L932" i="9"/>
  <c r="M932" i="9"/>
  <c r="F932" i="9"/>
  <c r="L923" i="9"/>
  <c r="M923" i="9"/>
  <c r="C923" i="9"/>
  <c r="D923" i="9"/>
  <c r="E923" i="9"/>
  <c r="L874" i="9"/>
  <c r="M874" i="9"/>
  <c r="C874" i="9"/>
  <c r="D874" i="9"/>
  <c r="E874" i="9"/>
  <c r="D869" i="9"/>
  <c r="M869" i="9"/>
  <c r="G869" i="9"/>
  <c r="E859" i="9"/>
  <c r="C859" i="9"/>
  <c r="D859" i="9"/>
  <c r="F859" i="9"/>
  <c r="G859" i="9"/>
  <c r="J859" i="9"/>
  <c r="K859" i="9" s="1"/>
  <c r="L859" i="9"/>
  <c r="C822" i="9"/>
  <c r="D822" i="9"/>
  <c r="J822" i="9"/>
  <c r="K822" i="9" s="1"/>
  <c r="B822" i="9"/>
  <c r="E822" i="9"/>
  <c r="F822" i="9"/>
  <c r="G822" i="9"/>
  <c r="L822" i="9"/>
  <c r="M822" i="9"/>
  <c r="D708" i="9"/>
  <c r="E708" i="9"/>
  <c r="B708" i="9"/>
  <c r="M708" i="9"/>
  <c r="C708" i="9"/>
  <c r="F708" i="9"/>
  <c r="G708" i="9"/>
  <c r="H708" i="9"/>
  <c r="L708" i="9"/>
  <c r="B1242" i="9"/>
  <c r="C1242" i="9"/>
  <c r="G1237" i="9"/>
  <c r="H1237" i="9"/>
  <c r="L1232" i="9"/>
  <c r="M1232" i="9"/>
  <c r="H1220" i="9"/>
  <c r="I1220" i="9"/>
  <c r="F1154" i="9"/>
  <c r="G1154" i="9"/>
  <c r="H1140" i="9"/>
  <c r="I1140" i="9"/>
  <c r="J1140" i="9"/>
  <c r="K1140" i="9" s="1"/>
  <c r="J1126" i="9"/>
  <c r="K1126" i="9" s="1"/>
  <c r="L1126" i="9"/>
  <c r="L1112" i="9"/>
  <c r="M1112" i="9"/>
  <c r="G1057" i="9"/>
  <c r="H1057" i="9"/>
  <c r="I1057" i="9"/>
  <c r="I1014" i="9"/>
  <c r="J1014" i="9"/>
  <c r="K1014" i="9" s="1"/>
  <c r="B1014" i="9"/>
  <c r="F965" i="9"/>
  <c r="G965" i="9"/>
  <c r="M965" i="9"/>
  <c r="E965" i="9"/>
  <c r="B953" i="9"/>
  <c r="C953" i="9"/>
  <c r="M953" i="9"/>
  <c r="G953" i="9"/>
  <c r="H901" i="9"/>
  <c r="C901" i="9"/>
  <c r="E901" i="9"/>
  <c r="F901" i="9"/>
  <c r="G901" i="9"/>
  <c r="I901" i="9"/>
  <c r="L901" i="9"/>
  <c r="M901" i="9"/>
  <c r="L882" i="9"/>
  <c r="M882" i="9"/>
  <c r="E882" i="9"/>
  <c r="D851" i="9"/>
  <c r="J851" i="9"/>
  <c r="K851" i="9" s="1"/>
  <c r="L851" i="9"/>
  <c r="M851" i="9"/>
  <c r="C851" i="9"/>
  <c r="L810" i="9"/>
  <c r="I810" i="9"/>
  <c r="E810" i="9"/>
  <c r="F810" i="9"/>
  <c r="G810" i="9"/>
  <c r="G795" i="9"/>
  <c r="D795" i="9"/>
  <c r="E795" i="9"/>
  <c r="L795" i="9"/>
  <c r="H795" i="9"/>
  <c r="C765" i="9"/>
  <c r="I765" i="9"/>
  <c r="J765" i="9"/>
  <c r="K765" i="9" s="1"/>
  <c r="B765" i="9"/>
  <c r="D765" i="9"/>
  <c r="E765" i="9"/>
  <c r="M765" i="9"/>
  <c r="B760" i="9"/>
  <c r="H760" i="9"/>
  <c r="E760" i="9"/>
  <c r="F760" i="9"/>
  <c r="M760" i="9"/>
  <c r="J760" i="9"/>
  <c r="K760" i="9" s="1"/>
  <c r="L760" i="9"/>
  <c r="H758" i="9"/>
  <c r="J758" i="9"/>
  <c r="K758" i="9" s="1"/>
  <c r="L758" i="9"/>
  <c r="M758" i="9"/>
  <c r="C758" i="9"/>
  <c r="D748" i="9"/>
  <c r="E748" i="9"/>
  <c r="F748" i="9"/>
  <c r="J748" i="9"/>
  <c r="K748" i="9" s="1"/>
  <c r="L748" i="9"/>
  <c r="M748" i="9"/>
  <c r="B748" i="9"/>
  <c r="E731" i="9"/>
  <c r="F731" i="9"/>
  <c r="B731" i="9"/>
  <c r="L731" i="9"/>
  <c r="M731" i="9"/>
  <c r="C731" i="9"/>
  <c r="F679" i="9"/>
  <c r="G679" i="9"/>
  <c r="E679" i="9"/>
  <c r="H679" i="9"/>
  <c r="D650" i="9"/>
  <c r="I650" i="9"/>
  <c r="B650" i="9"/>
  <c r="G650" i="9"/>
  <c r="H650" i="9"/>
  <c r="E650" i="9"/>
  <c r="F650" i="9"/>
  <c r="J650" i="9"/>
  <c r="K650" i="9" s="1"/>
  <c r="L650" i="9"/>
  <c r="M650" i="9"/>
  <c r="I528" i="9"/>
  <c r="J528" i="9"/>
  <c r="K528" i="9" s="1"/>
  <c r="E528" i="9"/>
  <c r="F528" i="9"/>
  <c r="L528" i="9"/>
  <c r="M528" i="9"/>
  <c r="C528" i="9"/>
  <c r="D528" i="9"/>
  <c r="H528" i="9"/>
  <c r="B528" i="9"/>
  <c r="G528" i="9"/>
  <c r="L517" i="9"/>
  <c r="M517" i="9"/>
  <c r="E517" i="9"/>
  <c r="F517" i="9"/>
  <c r="G517" i="9"/>
  <c r="H517" i="9"/>
  <c r="I517" i="9"/>
  <c r="B517" i="9"/>
  <c r="C517" i="9"/>
  <c r="J517" i="9"/>
  <c r="K517" i="9" s="1"/>
  <c r="D517" i="9"/>
  <c r="C1225" i="9"/>
  <c r="D1225" i="9"/>
  <c r="I1203" i="9"/>
  <c r="J1203" i="9"/>
  <c r="K1203" i="9" s="1"/>
  <c r="G1117" i="9"/>
  <c r="H1117" i="9"/>
  <c r="I1117" i="9"/>
  <c r="F1094" i="9"/>
  <c r="G1094" i="9"/>
  <c r="H1094" i="9"/>
  <c r="J1046" i="9"/>
  <c r="K1046" i="9" s="1"/>
  <c r="L1046" i="9"/>
  <c r="B1042" i="9"/>
  <c r="C1042" i="9"/>
  <c r="D1042" i="9"/>
  <c r="J1042" i="9"/>
  <c r="K1042" i="9" s="1"/>
  <c r="E1029" i="9"/>
  <c r="I1029" i="9"/>
  <c r="J1029" i="9"/>
  <c r="K1029" i="9" s="1"/>
  <c r="L983" i="9"/>
  <c r="M983" i="9"/>
  <c r="D983" i="9"/>
  <c r="E983" i="9"/>
  <c r="F983" i="9"/>
  <c r="C978" i="9"/>
  <c r="D978" i="9"/>
  <c r="E978" i="9"/>
  <c r="D969" i="9"/>
  <c r="E969" i="9"/>
  <c r="F969" i="9"/>
  <c r="J969" i="9"/>
  <c r="K969" i="9" s="1"/>
  <c r="L969" i="9"/>
  <c r="D918" i="9"/>
  <c r="M918" i="9"/>
  <c r="G918" i="9"/>
  <c r="C915" i="9"/>
  <c r="F915" i="9"/>
  <c r="G915" i="9"/>
  <c r="H915" i="9"/>
  <c r="I915" i="9"/>
  <c r="L915" i="9"/>
  <c r="M915" i="9"/>
  <c r="D806" i="9"/>
  <c r="C806" i="9"/>
  <c r="E806" i="9"/>
  <c r="F806" i="9"/>
  <c r="L806" i="9"/>
  <c r="C783" i="9"/>
  <c r="I783" i="9"/>
  <c r="B783" i="9"/>
  <c r="D783" i="9"/>
  <c r="H783" i="9"/>
  <c r="I625" i="9"/>
  <c r="D625" i="9"/>
  <c r="L625" i="9"/>
  <c r="E625" i="9"/>
  <c r="F625" i="9"/>
  <c r="B625" i="9"/>
  <c r="C625" i="9"/>
  <c r="G625" i="9"/>
  <c r="L574" i="9"/>
  <c r="G574" i="9"/>
  <c r="E574" i="9"/>
  <c r="F574" i="9"/>
  <c r="I574" i="9"/>
  <c r="J574" i="9"/>
  <c r="K574" i="9" s="1"/>
  <c r="B574" i="9"/>
  <c r="D574" i="9"/>
  <c r="H574" i="9"/>
  <c r="M574" i="9"/>
  <c r="L557" i="9"/>
  <c r="M557" i="9"/>
  <c r="G557" i="9"/>
  <c r="J557" i="9"/>
  <c r="K557" i="9" s="1"/>
  <c r="I557" i="9"/>
  <c r="D557" i="9"/>
  <c r="E450" i="9"/>
  <c r="I450" i="9"/>
  <c r="J450" i="9"/>
  <c r="K450" i="9" s="1"/>
  <c r="L450" i="9"/>
  <c r="M450" i="9"/>
  <c r="B450" i="9"/>
  <c r="C450" i="9"/>
  <c r="F450" i="9"/>
  <c r="G450" i="9"/>
  <c r="D450" i="9"/>
  <c r="H450" i="9"/>
  <c r="M296" i="9"/>
  <c r="H296" i="9"/>
  <c r="I296" i="9"/>
  <c r="E296" i="9"/>
  <c r="L296" i="9"/>
  <c r="J296" i="9"/>
  <c r="K296" i="9" s="1"/>
  <c r="G296" i="9"/>
  <c r="C296" i="9"/>
  <c r="D296" i="9"/>
  <c r="F296" i="9"/>
  <c r="F275" i="9"/>
  <c r="H275" i="9"/>
  <c r="E275" i="9"/>
  <c r="G275" i="9"/>
  <c r="C275" i="9"/>
  <c r="D275" i="9"/>
  <c r="L275" i="9"/>
  <c r="M275" i="9"/>
  <c r="I275" i="9"/>
  <c r="B275" i="9"/>
  <c r="J275" i="9"/>
  <c r="K275" i="9" s="1"/>
  <c r="D1208" i="9"/>
  <c r="E1208" i="9"/>
  <c r="L1072" i="9"/>
  <c r="M1072" i="9"/>
  <c r="D1068" i="9"/>
  <c r="E1068" i="9"/>
  <c r="F1068" i="9"/>
  <c r="L1068" i="9"/>
  <c r="B1033" i="9"/>
  <c r="G1033" i="9"/>
  <c r="F1025" i="9"/>
  <c r="G1025" i="9"/>
  <c r="C1016" i="9"/>
  <c r="E1016" i="9"/>
  <c r="F1016" i="9"/>
  <c r="J1016" i="9"/>
  <c r="K1016" i="9" s="1"/>
  <c r="L1016" i="9"/>
  <c r="H971" i="9"/>
  <c r="I971" i="9"/>
  <c r="D971" i="9"/>
  <c r="E971" i="9"/>
  <c r="F971" i="9"/>
  <c r="L960" i="9"/>
  <c r="J960" i="9"/>
  <c r="K960" i="9" s="1"/>
  <c r="M960" i="9"/>
  <c r="D960" i="9"/>
  <c r="J937" i="9"/>
  <c r="K937" i="9" s="1"/>
  <c r="B937" i="9"/>
  <c r="C937" i="9"/>
  <c r="D937" i="9"/>
  <c r="L937" i="9"/>
  <c r="G908" i="9"/>
  <c r="H908" i="9"/>
  <c r="F908" i="9"/>
  <c r="I908" i="9"/>
  <c r="J908" i="9"/>
  <c r="K908" i="9" s="1"/>
  <c r="G897" i="9"/>
  <c r="H897" i="9"/>
  <c r="L897" i="9"/>
  <c r="M897" i="9"/>
  <c r="D897" i="9"/>
  <c r="F868" i="9"/>
  <c r="G868" i="9"/>
  <c r="M868" i="9"/>
  <c r="B868" i="9"/>
  <c r="C868" i="9"/>
  <c r="D868" i="9"/>
  <c r="E868" i="9"/>
  <c r="J868" i="9"/>
  <c r="K868" i="9" s="1"/>
  <c r="L868" i="9"/>
  <c r="F814" i="9"/>
  <c r="J814" i="9"/>
  <c r="K814" i="9" s="1"/>
  <c r="L814" i="9"/>
  <c r="M814" i="9"/>
  <c r="C814" i="9"/>
  <c r="B800" i="9"/>
  <c r="M800" i="9"/>
  <c r="D800" i="9"/>
  <c r="E800" i="9"/>
  <c r="F800" i="9"/>
  <c r="G800" i="9"/>
  <c r="H800" i="9"/>
  <c r="F655" i="9"/>
  <c r="L655" i="9"/>
  <c r="M655" i="9"/>
  <c r="H655" i="9"/>
  <c r="I655" i="9"/>
  <c r="J655" i="9"/>
  <c r="K655" i="9" s="1"/>
  <c r="C655" i="9"/>
  <c r="I606" i="9"/>
  <c r="D606" i="9"/>
  <c r="E606" i="9"/>
  <c r="L606" i="9"/>
  <c r="B606" i="9"/>
  <c r="C606" i="9"/>
  <c r="F606" i="9"/>
  <c r="G606" i="9"/>
  <c r="H606" i="9"/>
  <c r="J606" i="9"/>
  <c r="K606" i="9" s="1"/>
  <c r="F599" i="9"/>
  <c r="G599" i="9"/>
  <c r="B599" i="9"/>
  <c r="C599" i="9"/>
  <c r="J599" i="9"/>
  <c r="K599" i="9" s="1"/>
  <c r="D599" i="9"/>
  <c r="E599" i="9"/>
  <c r="L599" i="9"/>
  <c r="M599" i="9"/>
  <c r="G482" i="9"/>
  <c r="H482" i="9"/>
  <c r="F482" i="9"/>
  <c r="I482" i="9"/>
  <c r="J482" i="9"/>
  <c r="K482" i="9" s="1"/>
  <c r="B482" i="9"/>
  <c r="C482" i="9"/>
  <c r="D482" i="9"/>
  <c r="L482" i="9"/>
  <c r="M1018" i="9"/>
  <c r="D999" i="9"/>
  <c r="E999" i="9"/>
  <c r="M961" i="9"/>
  <c r="F945" i="9"/>
  <c r="G945" i="9"/>
  <c r="M945" i="9"/>
  <c r="M935" i="9"/>
  <c r="E922" i="9"/>
  <c r="F922" i="9"/>
  <c r="L922" i="9"/>
  <c r="M912" i="9"/>
  <c r="B899" i="9"/>
  <c r="C899" i="9"/>
  <c r="I899" i="9"/>
  <c r="C886" i="9"/>
  <c r="B886" i="9"/>
  <c r="D886" i="9"/>
  <c r="J886" i="9"/>
  <c r="K886" i="9" s="1"/>
  <c r="M843" i="9"/>
  <c r="L842" i="9"/>
  <c r="E842" i="9"/>
  <c r="F842" i="9"/>
  <c r="M842" i="9"/>
  <c r="B840" i="9"/>
  <c r="I840" i="9"/>
  <c r="J840" i="9"/>
  <c r="K840" i="9" s="1"/>
  <c r="F776" i="9"/>
  <c r="E776" i="9"/>
  <c r="G776" i="9"/>
  <c r="M776" i="9"/>
  <c r="F772" i="9"/>
  <c r="L772" i="9"/>
  <c r="M772" i="9"/>
  <c r="I741" i="9"/>
  <c r="F741" i="9"/>
  <c r="C741" i="9"/>
  <c r="E741" i="9"/>
  <c r="E729" i="9"/>
  <c r="L729" i="9"/>
  <c r="D729" i="9"/>
  <c r="M729" i="9"/>
  <c r="E672" i="9"/>
  <c r="G672" i="9"/>
  <c r="M672" i="9"/>
  <c r="B672" i="9"/>
  <c r="J589" i="9"/>
  <c r="K589" i="9" s="1"/>
  <c r="H589" i="9"/>
  <c r="I589" i="9"/>
  <c r="L589" i="9"/>
  <c r="D589" i="9"/>
  <c r="E589" i="9"/>
  <c r="G589" i="9"/>
  <c r="J491" i="9"/>
  <c r="K491" i="9" s="1"/>
  <c r="D491" i="9"/>
  <c r="E491" i="9"/>
  <c r="G491" i="9"/>
  <c r="M491" i="9"/>
  <c r="C491" i="9"/>
  <c r="F491" i="9"/>
  <c r="H491" i="9"/>
  <c r="I491" i="9"/>
  <c r="L491" i="9"/>
  <c r="B491" i="9"/>
  <c r="D249" i="9"/>
  <c r="F249" i="9"/>
  <c r="L249" i="9"/>
  <c r="M249" i="9"/>
  <c r="C249" i="9"/>
  <c r="I249" i="9"/>
  <c r="J249" i="9"/>
  <c r="K249" i="9" s="1"/>
  <c r="E249" i="9"/>
  <c r="G249" i="9"/>
  <c r="H249" i="9"/>
  <c r="B249" i="9"/>
  <c r="G1018" i="9"/>
  <c r="I1013" i="9"/>
  <c r="I1003" i="9"/>
  <c r="H998" i="9"/>
  <c r="I976" i="9"/>
  <c r="H966" i="9"/>
  <c r="G961" i="9"/>
  <c r="H954" i="9"/>
  <c r="H944" i="9"/>
  <c r="J942" i="9"/>
  <c r="K942" i="9" s="1"/>
  <c r="D939" i="9"/>
  <c r="E939" i="9"/>
  <c r="G935" i="9"/>
  <c r="J933" i="9"/>
  <c r="K933" i="9" s="1"/>
  <c r="I928" i="9"/>
  <c r="H921" i="9"/>
  <c r="J919" i="9"/>
  <c r="K919" i="9" s="1"/>
  <c r="C916" i="9"/>
  <c r="D916" i="9"/>
  <c r="J916" i="9"/>
  <c r="K916" i="9" s="1"/>
  <c r="G912" i="9"/>
  <c r="D902" i="9"/>
  <c r="E902" i="9"/>
  <c r="J896" i="9"/>
  <c r="K896" i="9" s="1"/>
  <c r="L894" i="9"/>
  <c r="F887" i="9"/>
  <c r="H885" i="9"/>
  <c r="J883" i="9"/>
  <c r="K883" i="9" s="1"/>
  <c r="G878" i="9"/>
  <c r="B878" i="9"/>
  <c r="C878" i="9"/>
  <c r="J878" i="9"/>
  <c r="K878" i="9" s="1"/>
  <c r="J867" i="9"/>
  <c r="K867" i="9" s="1"/>
  <c r="E867" i="9"/>
  <c r="C865" i="9"/>
  <c r="D865" i="9"/>
  <c r="J865" i="9"/>
  <c r="K865" i="9" s="1"/>
  <c r="F861" i="9"/>
  <c r="G858" i="9"/>
  <c r="L858" i="9"/>
  <c r="G850" i="9"/>
  <c r="G843" i="9"/>
  <c r="F813" i="9"/>
  <c r="F798" i="9"/>
  <c r="M790" i="9"/>
  <c r="J749" i="9"/>
  <c r="K749" i="9" s="1"/>
  <c r="G747" i="9"/>
  <c r="H742" i="9"/>
  <c r="B740" i="9"/>
  <c r="H740" i="9"/>
  <c r="I740" i="9"/>
  <c r="J740" i="9"/>
  <c r="K740" i="9" s="1"/>
  <c r="L740" i="9"/>
  <c r="M740" i="9"/>
  <c r="L704" i="9"/>
  <c r="L699" i="9"/>
  <c r="F699" i="9"/>
  <c r="H699" i="9"/>
  <c r="I699" i="9"/>
  <c r="J699" i="9"/>
  <c r="K699" i="9" s="1"/>
  <c r="M699" i="9"/>
  <c r="M696" i="9"/>
  <c r="I696" i="9"/>
  <c r="J696" i="9"/>
  <c r="K696" i="9" s="1"/>
  <c r="B696" i="9"/>
  <c r="H687" i="9"/>
  <c r="E685" i="9"/>
  <c r="L685" i="9"/>
  <c r="M685" i="9"/>
  <c r="I685" i="9"/>
  <c r="J685" i="9"/>
  <c r="K685" i="9" s="1"/>
  <c r="I608" i="9"/>
  <c r="J608" i="9"/>
  <c r="K608" i="9" s="1"/>
  <c r="E608" i="9"/>
  <c r="B608" i="9"/>
  <c r="C608" i="9"/>
  <c r="L608" i="9"/>
  <c r="H608" i="9"/>
  <c r="M608" i="9"/>
  <c r="E576" i="9"/>
  <c r="F576" i="9"/>
  <c r="C576" i="9"/>
  <c r="L576" i="9"/>
  <c r="M576" i="9"/>
  <c r="G576" i="9"/>
  <c r="H576" i="9"/>
  <c r="I576" i="9"/>
  <c r="J576" i="9"/>
  <c r="K576" i="9" s="1"/>
  <c r="F459" i="9"/>
  <c r="G459" i="9"/>
  <c r="M459" i="9"/>
  <c r="I459" i="9"/>
  <c r="J459" i="9"/>
  <c r="K459" i="9" s="1"/>
  <c r="L459" i="9"/>
  <c r="B459" i="9"/>
  <c r="C459" i="9"/>
  <c r="D459" i="9"/>
  <c r="E459" i="9"/>
  <c r="H459" i="9"/>
  <c r="C420" i="9"/>
  <c r="D420" i="9"/>
  <c r="E420" i="9"/>
  <c r="B420" i="9"/>
  <c r="F420" i="9"/>
  <c r="G420" i="9"/>
  <c r="H420" i="9"/>
  <c r="L420" i="9"/>
  <c r="I420" i="9"/>
  <c r="J420" i="9"/>
  <c r="K420" i="9" s="1"/>
  <c r="M420" i="9"/>
  <c r="B1028" i="9"/>
  <c r="F1018" i="9"/>
  <c r="H1013" i="9"/>
  <c r="H1003" i="9"/>
  <c r="G998" i="9"/>
  <c r="J991" i="9"/>
  <c r="K991" i="9" s="1"/>
  <c r="F985" i="9"/>
  <c r="G985" i="9"/>
  <c r="H976" i="9"/>
  <c r="B973" i="9"/>
  <c r="C973" i="9"/>
  <c r="G966" i="9"/>
  <c r="F961" i="9"/>
  <c r="J959" i="9"/>
  <c r="K959" i="9" s="1"/>
  <c r="G954" i="9"/>
  <c r="G944" i="9"/>
  <c r="I942" i="9"/>
  <c r="F935" i="9"/>
  <c r="H933" i="9"/>
  <c r="F928" i="9"/>
  <c r="F925" i="9"/>
  <c r="G925" i="9"/>
  <c r="M925" i="9"/>
  <c r="G921" i="9"/>
  <c r="I919" i="9"/>
  <c r="F912" i="9"/>
  <c r="J905" i="9"/>
  <c r="K905" i="9" s="1"/>
  <c r="I896" i="9"/>
  <c r="J894" i="9"/>
  <c r="K894" i="9" s="1"/>
  <c r="E887" i="9"/>
  <c r="G885" i="9"/>
  <c r="I883" i="9"/>
  <c r="J881" i="9"/>
  <c r="K881" i="9" s="1"/>
  <c r="B863" i="9"/>
  <c r="H863" i="9"/>
  <c r="I863" i="9"/>
  <c r="E861" i="9"/>
  <c r="M856" i="9"/>
  <c r="B856" i="9"/>
  <c r="F850" i="9"/>
  <c r="J847" i="9"/>
  <c r="K847" i="9" s="1"/>
  <c r="F847" i="9"/>
  <c r="G847" i="9"/>
  <c r="B845" i="9"/>
  <c r="F843" i="9"/>
  <c r="E813" i="9"/>
  <c r="E798" i="9"/>
  <c r="M786" i="9"/>
  <c r="J780" i="9"/>
  <c r="K780" i="9" s="1"/>
  <c r="I749" i="9"/>
  <c r="F747" i="9"/>
  <c r="F742" i="9"/>
  <c r="H725" i="9"/>
  <c r="M698" i="9"/>
  <c r="I691" i="9"/>
  <c r="E687" i="9"/>
  <c r="H659" i="9"/>
  <c r="F657" i="9"/>
  <c r="J649" i="9"/>
  <c r="K649" i="9" s="1"/>
  <c r="M575" i="9"/>
  <c r="M540" i="9"/>
  <c r="I540" i="9"/>
  <c r="J540" i="9"/>
  <c r="K540" i="9" s="1"/>
  <c r="L540" i="9"/>
  <c r="C540" i="9"/>
  <c r="D540" i="9"/>
  <c r="E540" i="9"/>
  <c r="F540" i="9"/>
  <c r="G540" i="9"/>
  <c r="H540" i="9"/>
  <c r="J433" i="9"/>
  <c r="K433" i="9" s="1"/>
  <c r="M148" i="9"/>
  <c r="D148" i="9"/>
  <c r="E148" i="9"/>
  <c r="F148" i="9"/>
  <c r="G148" i="9"/>
  <c r="H148" i="9"/>
  <c r="J148" i="9"/>
  <c r="K148" i="9" s="1"/>
  <c r="L148" i="9"/>
  <c r="B148" i="9"/>
  <c r="C148" i="9"/>
  <c r="I148" i="9"/>
  <c r="G1013" i="9"/>
  <c r="G1003" i="9"/>
  <c r="F998" i="9"/>
  <c r="G991" i="9"/>
  <c r="G968" i="9"/>
  <c r="H968" i="9"/>
  <c r="F966" i="9"/>
  <c r="L963" i="9"/>
  <c r="M963" i="9"/>
  <c r="I959" i="9"/>
  <c r="F954" i="9"/>
  <c r="H951" i="9"/>
  <c r="I951" i="9"/>
  <c r="E944" i="9"/>
  <c r="H942" i="9"/>
  <c r="E935" i="9"/>
  <c r="F921" i="9"/>
  <c r="H919" i="9"/>
  <c r="E912" i="9"/>
  <c r="I905" i="9"/>
  <c r="H896" i="9"/>
  <c r="I894" i="9"/>
  <c r="F885" i="9"/>
  <c r="H883" i="9"/>
  <c r="I881" i="9"/>
  <c r="M876" i="9"/>
  <c r="G876" i="9"/>
  <c r="H876" i="9"/>
  <c r="E843" i="9"/>
  <c r="G836" i="9"/>
  <c r="D836" i="9"/>
  <c r="I790" i="9"/>
  <c r="I786" i="9"/>
  <c r="I780" i="9"/>
  <c r="C763" i="9"/>
  <c r="I763" i="9"/>
  <c r="L763" i="9"/>
  <c r="M763" i="9"/>
  <c r="H749" i="9"/>
  <c r="M744" i="9"/>
  <c r="H704" i="9"/>
  <c r="J698" i="9"/>
  <c r="K698" i="9" s="1"/>
  <c r="H691" i="9"/>
  <c r="L654" i="9"/>
  <c r="B654" i="9"/>
  <c r="H654" i="9"/>
  <c r="I654" i="9"/>
  <c r="C654" i="9"/>
  <c r="G654" i="9"/>
  <c r="J654" i="9"/>
  <c r="K654" i="9" s="1"/>
  <c r="I649" i="9"/>
  <c r="C647" i="9"/>
  <c r="J647" i="9"/>
  <c r="K647" i="9" s="1"/>
  <c r="D647" i="9"/>
  <c r="L647" i="9"/>
  <c r="M647" i="9"/>
  <c r="I647" i="9"/>
  <c r="I645" i="9"/>
  <c r="G645" i="9"/>
  <c r="M645" i="9"/>
  <c r="L645" i="9"/>
  <c r="D613" i="9"/>
  <c r="E613" i="9"/>
  <c r="H613" i="9"/>
  <c r="J613" i="9"/>
  <c r="K613" i="9" s="1"/>
  <c r="F613" i="9"/>
  <c r="G613" i="9"/>
  <c r="L613" i="9"/>
  <c r="M613" i="9"/>
  <c r="C613" i="9"/>
  <c r="I613" i="9"/>
  <c r="J471" i="9"/>
  <c r="K471" i="9" s="1"/>
  <c r="L471" i="9"/>
  <c r="M471" i="9"/>
  <c r="B471" i="9"/>
  <c r="I425" i="9"/>
  <c r="J425" i="9"/>
  <c r="K425" i="9" s="1"/>
  <c r="L425" i="9"/>
  <c r="M425" i="9"/>
  <c r="H425" i="9"/>
  <c r="G425" i="9"/>
  <c r="J887" i="9"/>
  <c r="K887" i="9" s="1"/>
  <c r="L887" i="9"/>
  <c r="H861" i="9"/>
  <c r="M861" i="9"/>
  <c r="M813" i="9"/>
  <c r="L813" i="9"/>
  <c r="J813" i="9"/>
  <c r="K813" i="9" s="1"/>
  <c r="H798" i="9"/>
  <c r="G798" i="9"/>
  <c r="I798" i="9"/>
  <c r="H747" i="9"/>
  <c r="B747" i="9"/>
  <c r="B742" i="9"/>
  <c r="G742" i="9"/>
  <c r="I742" i="9"/>
  <c r="J742" i="9"/>
  <c r="K742" i="9" s="1"/>
  <c r="J687" i="9"/>
  <c r="K687" i="9" s="1"/>
  <c r="F687" i="9"/>
  <c r="G687" i="9"/>
  <c r="L687" i="9"/>
  <c r="M687" i="9"/>
  <c r="F675" i="9"/>
  <c r="J675" i="9"/>
  <c r="K675" i="9" s="1"/>
  <c r="B675" i="9"/>
  <c r="G675" i="9"/>
  <c r="H675" i="9"/>
  <c r="I675" i="9"/>
  <c r="L675" i="9"/>
  <c r="M675" i="9"/>
  <c r="G639" i="9"/>
  <c r="E639" i="9"/>
  <c r="F639" i="9"/>
  <c r="B639" i="9"/>
  <c r="C639" i="9"/>
  <c r="I639" i="9"/>
  <c r="J639" i="9"/>
  <c r="K639" i="9" s="1"/>
  <c r="L639" i="9"/>
  <c r="M639" i="9"/>
  <c r="L617" i="9"/>
  <c r="M617" i="9"/>
  <c r="G617" i="9"/>
  <c r="F617" i="9"/>
  <c r="H617" i="9"/>
  <c r="B617" i="9"/>
  <c r="C617" i="9"/>
  <c r="D617" i="9"/>
  <c r="E617" i="9"/>
  <c r="I617" i="9"/>
  <c r="J617" i="9"/>
  <c r="K617" i="9" s="1"/>
  <c r="C575" i="9"/>
  <c r="D575" i="9"/>
  <c r="E575" i="9"/>
  <c r="G575" i="9"/>
  <c r="J575" i="9"/>
  <c r="K575" i="9" s="1"/>
  <c r="B575" i="9"/>
  <c r="F575" i="9"/>
  <c r="I441" i="9"/>
  <c r="F433" i="9"/>
  <c r="D430" i="9"/>
  <c r="C1013" i="9"/>
  <c r="C1003" i="9"/>
  <c r="C991" i="9"/>
  <c r="C976" i="9"/>
  <c r="D976" i="9"/>
  <c r="B966" i="9"/>
  <c r="C959" i="9"/>
  <c r="B933" i="9"/>
  <c r="C933" i="9"/>
  <c r="I933" i="9"/>
  <c r="G928" i="9"/>
  <c r="H928" i="9"/>
  <c r="C905" i="9"/>
  <c r="C896" i="9"/>
  <c r="C894" i="9"/>
  <c r="I850" i="9"/>
  <c r="J850" i="9"/>
  <c r="K850" i="9" s="1"/>
  <c r="L840" i="9"/>
  <c r="E790" i="9"/>
  <c r="C786" i="9"/>
  <c r="L776" i="9"/>
  <c r="J772" i="9"/>
  <c r="K772" i="9" s="1"/>
  <c r="D744" i="9"/>
  <c r="M741" i="9"/>
  <c r="C725" i="9"/>
  <c r="D725" i="9"/>
  <c r="J725" i="9"/>
  <c r="K725" i="9" s="1"/>
  <c r="L725" i="9"/>
  <c r="M725" i="9"/>
  <c r="C704" i="9"/>
  <c r="C691" i="9"/>
  <c r="L672" i="9"/>
  <c r="C665" i="9"/>
  <c r="G659" i="9"/>
  <c r="C659" i="9"/>
  <c r="J659" i="9"/>
  <c r="K659" i="9" s="1"/>
  <c r="I659" i="9"/>
  <c r="L659" i="9"/>
  <c r="M657" i="9"/>
  <c r="G657" i="9"/>
  <c r="L657" i="9"/>
  <c r="E596" i="9"/>
  <c r="F596" i="9"/>
  <c r="I596" i="9"/>
  <c r="H596" i="9"/>
  <c r="J596" i="9"/>
  <c r="K596" i="9" s="1"/>
  <c r="L596" i="9"/>
  <c r="M596" i="9"/>
  <c r="D596" i="9"/>
  <c r="G596" i="9"/>
  <c r="J571" i="9"/>
  <c r="K571" i="9" s="1"/>
  <c r="G571" i="9"/>
  <c r="C571" i="9"/>
  <c r="D571" i="9"/>
  <c r="F571" i="9"/>
  <c r="L571" i="9"/>
  <c r="M571" i="9"/>
  <c r="I571" i="9"/>
  <c r="G530" i="9"/>
  <c r="B467" i="9"/>
  <c r="C467" i="9"/>
  <c r="I467" i="9"/>
  <c r="L467" i="9"/>
  <c r="M467" i="9"/>
  <c r="F467" i="9"/>
  <c r="G467" i="9"/>
  <c r="J467" i="9"/>
  <c r="K467" i="9" s="1"/>
  <c r="D467" i="9"/>
  <c r="E467" i="9"/>
  <c r="H467" i="9"/>
  <c r="L452" i="9"/>
  <c r="D441" i="9"/>
  <c r="H435" i="9"/>
  <c r="I435" i="9"/>
  <c r="J435" i="9"/>
  <c r="K435" i="9" s="1"/>
  <c r="M435" i="9"/>
  <c r="E433" i="9"/>
  <c r="I954" i="9"/>
  <c r="J954" i="9"/>
  <c r="K954" i="9" s="1"/>
  <c r="E942" i="9"/>
  <c r="F942" i="9"/>
  <c r="L942" i="9"/>
  <c r="D919" i="9"/>
  <c r="E919" i="9"/>
  <c r="B883" i="9"/>
  <c r="G883" i="9"/>
  <c r="H881" i="9"/>
  <c r="D881" i="9"/>
  <c r="E881" i="9"/>
  <c r="L881" i="9"/>
  <c r="B780" i="9"/>
  <c r="H780" i="9"/>
  <c r="C780" i="9"/>
  <c r="I772" i="9"/>
  <c r="E749" i="9"/>
  <c r="D749" i="9"/>
  <c r="L741" i="9"/>
  <c r="J729" i="9"/>
  <c r="K729" i="9" s="1"/>
  <c r="G698" i="9"/>
  <c r="D698" i="9"/>
  <c r="L698" i="9"/>
  <c r="I698" i="9"/>
  <c r="B698" i="9"/>
  <c r="D649" i="9"/>
  <c r="G649" i="9"/>
  <c r="H649" i="9"/>
  <c r="L649" i="9"/>
  <c r="M649" i="9"/>
  <c r="G542" i="9"/>
  <c r="H542" i="9"/>
  <c r="J542" i="9"/>
  <c r="K542" i="9" s="1"/>
  <c r="D542" i="9"/>
  <c r="E542" i="9"/>
  <c r="F542" i="9"/>
  <c r="I542" i="9"/>
  <c r="M542" i="9"/>
  <c r="C542" i="9"/>
  <c r="L542" i="9"/>
  <c r="J511" i="9"/>
  <c r="K511" i="9" s="1"/>
  <c r="E511" i="9"/>
  <c r="B511" i="9"/>
  <c r="C511" i="9"/>
  <c r="D511" i="9"/>
  <c r="F511" i="9"/>
  <c r="G511" i="9"/>
  <c r="I511" i="9"/>
  <c r="L511" i="9"/>
  <c r="L1003" i="9"/>
  <c r="M1003" i="9"/>
  <c r="H991" i="9"/>
  <c r="I991" i="9"/>
  <c r="D959" i="9"/>
  <c r="E959" i="9"/>
  <c r="F905" i="9"/>
  <c r="G905" i="9"/>
  <c r="M905" i="9"/>
  <c r="M896" i="9"/>
  <c r="F896" i="9"/>
  <c r="D894" i="9"/>
  <c r="E894" i="9"/>
  <c r="L790" i="9"/>
  <c r="C790" i="9"/>
  <c r="D790" i="9"/>
  <c r="J790" i="9"/>
  <c r="K790" i="9" s="1"/>
  <c r="D786" i="9"/>
  <c r="J786" i="9"/>
  <c r="K786" i="9" s="1"/>
  <c r="F786" i="9"/>
  <c r="L786" i="9"/>
  <c r="J744" i="9"/>
  <c r="K744" i="9" s="1"/>
  <c r="C744" i="9"/>
  <c r="L744" i="9"/>
  <c r="G744" i="9"/>
  <c r="H744" i="9"/>
  <c r="I744" i="9"/>
  <c r="I704" i="9"/>
  <c r="J704" i="9"/>
  <c r="K704" i="9" s="1"/>
  <c r="F704" i="9"/>
  <c r="M704" i="9"/>
  <c r="F691" i="9"/>
  <c r="J691" i="9"/>
  <c r="K691" i="9" s="1"/>
  <c r="L691" i="9"/>
  <c r="M691" i="9"/>
  <c r="J672" i="9"/>
  <c r="K672" i="9" s="1"/>
  <c r="I665" i="9"/>
  <c r="L665" i="9"/>
  <c r="D665" i="9"/>
  <c r="E665" i="9"/>
  <c r="G665" i="9"/>
  <c r="M665" i="9"/>
  <c r="C530" i="9"/>
  <c r="D530" i="9"/>
  <c r="J530" i="9"/>
  <c r="K530" i="9" s="1"/>
  <c r="B530" i="9"/>
  <c r="E530" i="9"/>
  <c r="L530" i="9"/>
  <c r="M530" i="9"/>
  <c r="I530" i="9"/>
  <c r="H452" i="9"/>
  <c r="M452" i="9"/>
  <c r="C452" i="9"/>
  <c r="D452" i="9"/>
  <c r="E452" i="9"/>
  <c r="F452" i="9"/>
  <c r="G452" i="9"/>
  <c r="I452" i="9"/>
  <c r="J452" i="9"/>
  <c r="K452" i="9" s="1"/>
  <c r="F446" i="9"/>
  <c r="G446" i="9"/>
  <c r="H446" i="9"/>
  <c r="I446" i="9"/>
  <c r="J446" i="9"/>
  <c r="K446" i="9" s="1"/>
  <c r="L446" i="9"/>
  <c r="M446" i="9"/>
  <c r="B446" i="9"/>
  <c r="C446" i="9"/>
  <c r="D446" i="9"/>
  <c r="E446" i="9"/>
  <c r="L441" i="9"/>
  <c r="E441" i="9"/>
  <c r="F441" i="9"/>
  <c r="G441" i="9"/>
  <c r="H441" i="9"/>
  <c r="C441" i="9"/>
  <c r="M441" i="9"/>
  <c r="D433" i="9"/>
  <c r="C433" i="9"/>
  <c r="M430" i="9"/>
  <c r="L430" i="9"/>
  <c r="F430" i="9"/>
  <c r="G430" i="9"/>
  <c r="H430" i="9"/>
  <c r="I430" i="9"/>
  <c r="J430" i="9"/>
  <c r="K430" i="9" s="1"/>
  <c r="I821" i="9"/>
  <c r="M821" i="9"/>
  <c r="E789" i="9"/>
  <c r="J789" i="9"/>
  <c r="K789" i="9" s="1"/>
  <c r="H732" i="9"/>
  <c r="H728" i="9"/>
  <c r="G726" i="9"/>
  <c r="J720" i="9"/>
  <c r="K720" i="9" s="1"/>
  <c r="H715" i="9"/>
  <c r="I692" i="9"/>
  <c r="F690" i="9"/>
  <c r="G686" i="9"/>
  <c r="F684" i="9"/>
  <c r="F676" i="9"/>
  <c r="I669" i="9"/>
  <c r="C667" i="9"/>
  <c r="J667" i="9"/>
  <c r="K667" i="9" s="1"/>
  <c r="H667" i="9"/>
  <c r="D667" i="9"/>
  <c r="E667" i="9"/>
  <c r="G667" i="9"/>
  <c r="M667" i="9"/>
  <c r="H664" i="9"/>
  <c r="H637" i="9"/>
  <c r="H635" i="9"/>
  <c r="D630" i="9"/>
  <c r="B630" i="9"/>
  <c r="J630" i="9"/>
  <c r="K630" i="9" s="1"/>
  <c r="C630" i="9"/>
  <c r="E630" i="9"/>
  <c r="L630" i="9"/>
  <c r="I630" i="9"/>
  <c r="M630" i="9"/>
  <c r="I618" i="9"/>
  <c r="B618" i="9"/>
  <c r="C618" i="9"/>
  <c r="E618" i="9"/>
  <c r="F618" i="9"/>
  <c r="H618" i="9"/>
  <c r="J618" i="9"/>
  <c r="K618" i="9" s="1"/>
  <c r="M618" i="9"/>
  <c r="M614" i="9"/>
  <c r="F602" i="9"/>
  <c r="E598" i="9"/>
  <c r="L598" i="9"/>
  <c r="M598" i="9"/>
  <c r="H514" i="9"/>
  <c r="C469" i="9"/>
  <c r="M469" i="9"/>
  <c r="C457" i="9"/>
  <c r="L457" i="9"/>
  <c r="I457" i="9"/>
  <c r="J457" i="9"/>
  <c r="K457" i="9" s="1"/>
  <c r="M457" i="9"/>
  <c r="D457" i="9"/>
  <c r="E457" i="9"/>
  <c r="G457" i="9"/>
  <c r="H457" i="9"/>
  <c r="D364" i="9"/>
  <c r="F754" i="9"/>
  <c r="G754" i="9"/>
  <c r="C745" i="9"/>
  <c r="L745" i="9"/>
  <c r="C743" i="9"/>
  <c r="I743" i="9"/>
  <c r="B743" i="9"/>
  <c r="C651" i="9"/>
  <c r="D651" i="9"/>
  <c r="L651" i="9"/>
  <c r="M651" i="9"/>
  <c r="J611" i="9"/>
  <c r="K611" i="9" s="1"/>
  <c r="L611" i="9"/>
  <c r="I611" i="9"/>
  <c r="M611" i="9"/>
  <c r="B611" i="9"/>
  <c r="C611" i="9"/>
  <c r="E611" i="9"/>
  <c r="F611" i="9"/>
  <c r="L497" i="9"/>
  <c r="M497" i="9"/>
  <c r="E497" i="9"/>
  <c r="G497" i="9"/>
  <c r="H497" i="9"/>
  <c r="I497" i="9"/>
  <c r="J497" i="9"/>
  <c r="K497" i="9" s="1"/>
  <c r="H261" i="9"/>
  <c r="J261" i="9"/>
  <c r="K261" i="9" s="1"/>
  <c r="L261" i="9"/>
  <c r="M261" i="9"/>
  <c r="C261" i="9"/>
  <c r="D261" i="9"/>
  <c r="E261" i="9"/>
  <c r="F261" i="9"/>
  <c r="I261" i="9"/>
  <c r="B25" i="9"/>
  <c r="L25" i="9"/>
  <c r="M25" i="9"/>
  <c r="F25" i="9"/>
  <c r="G25" i="9"/>
  <c r="H25" i="9"/>
  <c r="I25" i="9"/>
  <c r="J25" i="9"/>
  <c r="K25" i="9" s="1"/>
  <c r="C25" i="9"/>
  <c r="E25" i="9"/>
  <c r="D25" i="9"/>
  <c r="C690" i="9"/>
  <c r="I690" i="9"/>
  <c r="J690" i="9"/>
  <c r="K690" i="9" s="1"/>
  <c r="D690" i="9"/>
  <c r="I684" i="9"/>
  <c r="C684" i="9"/>
  <c r="D684" i="9"/>
  <c r="M676" i="9"/>
  <c r="C676" i="9"/>
  <c r="D676" i="9"/>
  <c r="J676" i="9"/>
  <c r="K676" i="9" s="1"/>
  <c r="D669" i="9"/>
  <c r="C669" i="9"/>
  <c r="J669" i="9"/>
  <c r="K669" i="9" s="1"/>
  <c r="B669" i="9"/>
  <c r="E669" i="9"/>
  <c r="G669" i="9"/>
  <c r="M669" i="9"/>
  <c r="F635" i="9"/>
  <c r="G635" i="9"/>
  <c r="M635" i="9"/>
  <c r="C635" i="9"/>
  <c r="D635" i="9"/>
  <c r="L577" i="9"/>
  <c r="M577" i="9"/>
  <c r="B577" i="9"/>
  <c r="C577" i="9"/>
  <c r="E577" i="9"/>
  <c r="H577" i="9"/>
  <c r="I577" i="9"/>
  <c r="D577" i="9"/>
  <c r="F577" i="9"/>
  <c r="G462" i="9"/>
  <c r="H462" i="9"/>
  <c r="B462" i="9"/>
  <c r="C462" i="9"/>
  <c r="D462" i="9"/>
  <c r="E462" i="9"/>
  <c r="F462" i="9"/>
  <c r="J462" i="9"/>
  <c r="K462" i="9" s="1"/>
  <c r="I462" i="9"/>
  <c r="L462" i="9"/>
  <c r="E364" i="9"/>
  <c r="F364" i="9"/>
  <c r="G364" i="9"/>
  <c r="H364" i="9"/>
  <c r="L364" i="9"/>
  <c r="M364" i="9"/>
  <c r="D348" i="9"/>
  <c r="C348" i="9"/>
  <c r="E348" i="9"/>
  <c r="F348" i="9"/>
  <c r="G348" i="9"/>
  <c r="J348" i="9"/>
  <c r="K348" i="9" s="1"/>
  <c r="B348" i="9"/>
  <c r="I348" i="9"/>
  <c r="L348" i="9"/>
  <c r="M348" i="9"/>
  <c r="E692" i="9"/>
  <c r="D692" i="9"/>
  <c r="F692" i="9"/>
  <c r="B692" i="9"/>
  <c r="F656" i="9"/>
  <c r="M656" i="9"/>
  <c r="D656" i="9"/>
  <c r="E656" i="9"/>
  <c r="B656" i="9"/>
  <c r="I656" i="9"/>
  <c r="J656" i="9"/>
  <c r="K656" i="9" s="1"/>
  <c r="M637" i="9"/>
  <c r="C637" i="9"/>
  <c r="I637" i="9"/>
  <c r="J637" i="9"/>
  <c r="K637" i="9" s="1"/>
  <c r="B637" i="9"/>
  <c r="D637" i="9"/>
  <c r="G602" i="9"/>
  <c r="H602" i="9"/>
  <c r="C602" i="9"/>
  <c r="J602" i="9"/>
  <c r="K602" i="9" s="1"/>
  <c r="M602" i="9"/>
  <c r="L597" i="9"/>
  <c r="M597" i="9"/>
  <c r="C597" i="9"/>
  <c r="D597" i="9"/>
  <c r="E597" i="9"/>
  <c r="J597" i="9"/>
  <c r="K597" i="9" s="1"/>
  <c r="F597" i="9"/>
  <c r="G597" i="9"/>
  <c r="E555" i="9"/>
  <c r="B555" i="9"/>
  <c r="J555" i="9"/>
  <c r="K555" i="9" s="1"/>
  <c r="L555" i="9"/>
  <c r="M555" i="9"/>
  <c r="D555" i="9"/>
  <c r="F555" i="9"/>
  <c r="H555" i="9"/>
  <c r="I555" i="9"/>
  <c r="C400" i="9"/>
  <c r="D400" i="9"/>
  <c r="E400" i="9"/>
  <c r="F400" i="9"/>
  <c r="I400" i="9"/>
  <c r="J400" i="9"/>
  <c r="K400" i="9" s="1"/>
  <c r="L400" i="9"/>
  <c r="M400" i="9"/>
  <c r="J381" i="9"/>
  <c r="K381" i="9" s="1"/>
  <c r="L381" i="9"/>
  <c r="M381" i="9"/>
  <c r="D381" i="9"/>
  <c r="E381" i="9"/>
  <c r="F381" i="9"/>
  <c r="G381" i="9"/>
  <c r="H381" i="9"/>
  <c r="I381" i="9"/>
  <c r="H231" i="9"/>
  <c r="I231" i="9"/>
  <c r="B231" i="9"/>
  <c r="C231" i="9"/>
  <c r="L231" i="9"/>
  <c r="F231" i="9"/>
  <c r="G231" i="9"/>
  <c r="J231" i="9"/>
  <c r="K231" i="9" s="1"/>
  <c r="M231" i="9"/>
  <c r="E231" i="9"/>
  <c r="L194" i="9"/>
  <c r="M194" i="9"/>
  <c r="B194" i="9"/>
  <c r="D194" i="9"/>
  <c r="F194" i="9"/>
  <c r="H194" i="9"/>
  <c r="C194" i="9"/>
  <c r="F732" i="9"/>
  <c r="L732" i="9"/>
  <c r="M732" i="9"/>
  <c r="C732" i="9"/>
  <c r="D728" i="9"/>
  <c r="E728" i="9"/>
  <c r="I728" i="9"/>
  <c r="D726" i="9"/>
  <c r="J726" i="9"/>
  <c r="K726" i="9" s="1"/>
  <c r="L726" i="9"/>
  <c r="B720" i="9"/>
  <c r="H720" i="9"/>
  <c r="I720" i="9"/>
  <c r="D720" i="9"/>
  <c r="G715" i="9"/>
  <c r="M715" i="9"/>
  <c r="E715" i="9"/>
  <c r="C686" i="9"/>
  <c r="M686" i="9"/>
  <c r="I686" i="9"/>
  <c r="B664" i="9"/>
  <c r="I664" i="9"/>
  <c r="C664" i="9"/>
  <c r="J664" i="9"/>
  <c r="K664" i="9" s="1"/>
  <c r="G622" i="9"/>
  <c r="H622" i="9"/>
  <c r="I622" i="9"/>
  <c r="C622" i="9"/>
  <c r="D622" i="9"/>
  <c r="F622" i="9"/>
  <c r="J622" i="9"/>
  <c r="K622" i="9" s="1"/>
  <c r="M622" i="9"/>
  <c r="L614" i="9"/>
  <c r="B614" i="9"/>
  <c r="D614" i="9"/>
  <c r="E614" i="9"/>
  <c r="F614" i="9"/>
  <c r="G614" i="9"/>
  <c r="D573" i="9"/>
  <c r="E573" i="9"/>
  <c r="F573" i="9"/>
  <c r="B573" i="9"/>
  <c r="C573" i="9"/>
  <c r="H573" i="9"/>
  <c r="L573" i="9"/>
  <c r="M573" i="9"/>
  <c r="H525" i="9"/>
  <c r="I525" i="9"/>
  <c r="E525" i="9"/>
  <c r="B525" i="9"/>
  <c r="C525" i="9"/>
  <c r="G525" i="9"/>
  <c r="J525" i="9"/>
  <c r="K525" i="9" s="1"/>
  <c r="L525" i="9"/>
  <c r="M525" i="9"/>
  <c r="L514" i="9"/>
  <c r="E514" i="9"/>
  <c r="F514" i="9"/>
  <c r="M514" i="9"/>
  <c r="I488" i="9"/>
  <c r="J488" i="9"/>
  <c r="K488" i="9" s="1"/>
  <c r="D488" i="9"/>
  <c r="E488" i="9"/>
  <c r="F488" i="9"/>
  <c r="H488" i="9"/>
  <c r="M488" i="9"/>
  <c r="M344" i="9"/>
  <c r="G344" i="9"/>
  <c r="B344" i="9"/>
  <c r="D344" i="9"/>
  <c r="H344" i="9"/>
  <c r="I344" i="9"/>
  <c r="J344" i="9"/>
  <c r="K344" i="9" s="1"/>
  <c r="L344" i="9"/>
  <c r="C344" i="9"/>
  <c r="E344" i="9"/>
  <c r="F344" i="9"/>
  <c r="L730" i="9"/>
  <c r="F730" i="9"/>
  <c r="J724" i="9"/>
  <c r="K724" i="9" s="1"/>
  <c r="M724" i="9"/>
  <c r="M713" i="9"/>
  <c r="H713" i="9"/>
  <c r="E709" i="9"/>
  <c r="L709" i="9"/>
  <c r="C709" i="9"/>
  <c r="C705" i="9"/>
  <c r="D705" i="9"/>
  <c r="I705" i="9"/>
  <c r="H688" i="9"/>
  <c r="G688" i="9"/>
  <c r="G678" i="9"/>
  <c r="M678" i="9"/>
  <c r="I678" i="9"/>
  <c r="J678" i="9"/>
  <c r="K678" i="9" s="1"/>
  <c r="L678" i="9"/>
  <c r="C549" i="9"/>
  <c r="I549" i="9"/>
  <c r="J549" i="9"/>
  <c r="K549" i="9" s="1"/>
  <c r="L549" i="9"/>
  <c r="M549" i="9"/>
  <c r="H549" i="9"/>
  <c r="F519" i="9"/>
  <c r="G519" i="9"/>
  <c r="M519" i="9"/>
  <c r="L519" i="9"/>
  <c r="C519" i="9"/>
  <c r="D519" i="9"/>
  <c r="E519" i="9"/>
  <c r="H519" i="9"/>
  <c r="I519" i="9"/>
  <c r="E516" i="9"/>
  <c r="F516" i="9"/>
  <c r="L516" i="9"/>
  <c r="B516" i="9"/>
  <c r="C516" i="9"/>
  <c r="J844" i="9"/>
  <c r="K844" i="9" s="1"/>
  <c r="G844" i="9"/>
  <c r="F812" i="9"/>
  <c r="D812" i="9"/>
  <c r="E771" i="9"/>
  <c r="D771" i="9"/>
  <c r="B762" i="9"/>
  <c r="J762" i="9"/>
  <c r="K762" i="9" s="1"/>
  <c r="E671" i="9"/>
  <c r="F671" i="9"/>
  <c r="B671" i="9"/>
  <c r="C671" i="9"/>
  <c r="G671" i="9"/>
  <c r="L671" i="9"/>
  <c r="J591" i="9"/>
  <c r="K591" i="9" s="1"/>
  <c r="F591" i="9"/>
  <c r="G591" i="9"/>
  <c r="H591" i="9"/>
  <c r="L591" i="9"/>
  <c r="M591" i="9"/>
  <c r="D513" i="9"/>
  <c r="E513" i="9"/>
  <c r="B513" i="9"/>
  <c r="C513" i="9"/>
  <c r="F513" i="9"/>
  <c r="G513" i="9"/>
  <c r="H513" i="9"/>
  <c r="I513" i="9"/>
  <c r="L513" i="9"/>
  <c r="M513" i="9"/>
  <c r="C510" i="9"/>
  <c r="D510" i="9"/>
  <c r="J510" i="9"/>
  <c r="K510" i="9" s="1"/>
  <c r="L510" i="9"/>
  <c r="B722" i="9"/>
  <c r="C722" i="9"/>
  <c r="H701" i="9"/>
  <c r="F701" i="9"/>
  <c r="M701" i="9"/>
  <c r="B668" i="9"/>
  <c r="C668" i="9"/>
  <c r="C666" i="9"/>
  <c r="F666" i="9"/>
  <c r="G666" i="9"/>
  <c r="H648" i="9"/>
  <c r="L644" i="9"/>
  <c r="L642" i="9"/>
  <c r="F619" i="9"/>
  <c r="G619" i="9"/>
  <c r="C619" i="9"/>
  <c r="E619" i="9"/>
  <c r="H619" i="9"/>
  <c r="M619" i="9"/>
  <c r="I572" i="9"/>
  <c r="H565" i="9"/>
  <c r="I565" i="9"/>
  <c r="F565" i="9"/>
  <c r="B565" i="9"/>
  <c r="C565" i="9"/>
  <c r="E565" i="9"/>
  <c r="L565" i="9"/>
  <c r="F559" i="9"/>
  <c r="G559" i="9"/>
  <c r="M559" i="9"/>
  <c r="D559" i="9"/>
  <c r="L559" i="9"/>
  <c r="J551" i="9"/>
  <c r="K551" i="9" s="1"/>
  <c r="F551" i="9"/>
  <c r="I551" i="9"/>
  <c r="L551" i="9"/>
  <c r="M551" i="9"/>
  <c r="I508" i="9"/>
  <c r="J508" i="9"/>
  <c r="K508" i="9" s="1"/>
  <c r="M508" i="9"/>
  <c r="B506" i="9"/>
  <c r="M506" i="9"/>
  <c r="B417" i="9"/>
  <c r="C417" i="9"/>
  <c r="D417" i="9"/>
  <c r="I417" i="9"/>
  <c r="E417" i="9"/>
  <c r="L417" i="9"/>
  <c r="M417" i="9"/>
  <c r="E323" i="9"/>
  <c r="M230" i="9"/>
  <c r="F230" i="9"/>
  <c r="G230" i="9"/>
  <c r="H230" i="9"/>
  <c r="I230" i="9"/>
  <c r="J230" i="9"/>
  <c r="K230" i="9" s="1"/>
  <c r="F217" i="9"/>
  <c r="G217" i="9"/>
  <c r="H217" i="9"/>
  <c r="L217" i="9"/>
  <c r="B217" i="9"/>
  <c r="C217" i="9"/>
  <c r="E217" i="9"/>
  <c r="I217" i="9"/>
  <c r="J217" i="9"/>
  <c r="K217" i="9" s="1"/>
  <c r="M217" i="9"/>
  <c r="I213" i="9"/>
  <c r="M133" i="9"/>
  <c r="J128" i="9"/>
  <c r="K128" i="9" s="1"/>
  <c r="H90" i="9"/>
  <c r="H662" i="9"/>
  <c r="F662" i="9"/>
  <c r="M662" i="9"/>
  <c r="C627" i="9"/>
  <c r="G627" i="9"/>
  <c r="B627" i="9"/>
  <c r="D627" i="9"/>
  <c r="F612" i="9"/>
  <c r="E612" i="9"/>
  <c r="G612" i="9"/>
  <c r="G595" i="9"/>
  <c r="E595" i="9"/>
  <c r="F595" i="9"/>
  <c r="L595" i="9"/>
  <c r="M595" i="9"/>
  <c r="M580" i="9"/>
  <c r="D580" i="9"/>
  <c r="J580" i="9"/>
  <c r="K580" i="9" s="1"/>
  <c r="C570" i="9"/>
  <c r="D570" i="9"/>
  <c r="J570" i="9"/>
  <c r="K570" i="9" s="1"/>
  <c r="M570" i="9"/>
  <c r="L534" i="9"/>
  <c r="F534" i="9"/>
  <c r="I534" i="9"/>
  <c r="J534" i="9"/>
  <c r="K534" i="9" s="1"/>
  <c r="M534" i="9"/>
  <c r="C489" i="9"/>
  <c r="G489" i="9"/>
  <c r="H489" i="9"/>
  <c r="J489" i="9"/>
  <c r="K489" i="9" s="1"/>
  <c r="B489" i="9"/>
  <c r="D489" i="9"/>
  <c r="E489" i="9"/>
  <c r="F489" i="9"/>
  <c r="I489" i="9"/>
  <c r="L489" i="9"/>
  <c r="M489" i="9"/>
  <c r="H465" i="9"/>
  <c r="I465" i="9"/>
  <c r="C465" i="9"/>
  <c r="G465" i="9"/>
  <c r="J465" i="9"/>
  <c r="K465" i="9" s="1"/>
  <c r="L465" i="9"/>
  <c r="M465" i="9"/>
  <c r="D440" i="9"/>
  <c r="E440" i="9"/>
  <c r="C440" i="9"/>
  <c r="I440" i="9"/>
  <c r="J440" i="9"/>
  <c r="K440" i="9" s="1"/>
  <c r="L440" i="9"/>
  <c r="M440" i="9"/>
  <c r="B416" i="9"/>
  <c r="F416" i="9"/>
  <c r="G416" i="9"/>
  <c r="H416" i="9"/>
  <c r="I416" i="9"/>
  <c r="M416" i="9"/>
  <c r="C416" i="9"/>
  <c r="D416" i="9"/>
  <c r="E416" i="9"/>
  <c r="J416" i="9"/>
  <c r="K416" i="9" s="1"/>
  <c r="H323" i="9"/>
  <c r="I323" i="9"/>
  <c r="G323" i="9"/>
  <c r="M323" i="9"/>
  <c r="B323" i="9"/>
  <c r="C323" i="9"/>
  <c r="C213" i="9"/>
  <c r="D213" i="9"/>
  <c r="E213" i="9"/>
  <c r="J213" i="9"/>
  <c r="K213" i="9" s="1"/>
  <c r="G213" i="9"/>
  <c r="H213" i="9"/>
  <c r="M213" i="9"/>
  <c r="L213" i="9"/>
  <c r="B213" i="9"/>
  <c r="B128" i="9"/>
  <c r="C128" i="9"/>
  <c r="F128" i="9"/>
  <c r="G128" i="9"/>
  <c r="I128" i="9" s="1"/>
  <c r="L128" i="9"/>
  <c r="D128" i="9"/>
  <c r="D553" i="9"/>
  <c r="E553" i="9"/>
  <c r="C553" i="9"/>
  <c r="M553" i="9"/>
  <c r="J553" i="9"/>
  <c r="K553" i="9" s="1"/>
  <c r="L553" i="9"/>
  <c r="F539" i="9"/>
  <c r="G539" i="9"/>
  <c r="M539" i="9"/>
  <c r="C539" i="9"/>
  <c r="L539" i="9"/>
  <c r="D539" i="9"/>
  <c r="E539" i="9"/>
  <c r="B486" i="9"/>
  <c r="C486" i="9"/>
  <c r="G486" i="9"/>
  <c r="L486" i="9"/>
  <c r="M486" i="9"/>
  <c r="I455" i="9"/>
  <c r="B455" i="9"/>
  <c r="L455" i="9"/>
  <c r="M455" i="9"/>
  <c r="G455" i="9"/>
  <c r="H455" i="9"/>
  <c r="J455" i="9"/>
  <c r="K455" i="9" s="1"/>
  <c r="C448" i="9"/>
  <c r="D448" i="9"/>
  <c r="F448" i="9"/>
  <c r="J448" i="9"/>
  <c r="K448" i="9" s="1"/>
  <c r="L448" i="9"/>
  <c r="M448" i="9"/>
  <c r="D383" i="9"/>
  <c r="E383" i="9"/>
  <c r="F383" i="9"/>
  <c r="G383" i="9"/>
  <c r="J383" i="9"/>
  <c r="K383" i="9" s="1"/>
  <c r="M383" i="9"/>
  <c r="B383" i="9"/>
  <c r="C383" i="9"/>
  <c r="D52" i="9"/>
  <c r="E52" i="9"/>
  <c r="I52" i="9"/>
  <c r="J52" i="9"/>
  <c r="K52" i="9" s="1"/>
  <c r="L52" i="9"/>
  <c r="M52" i="9"/>
  <c r="G52" i="9"/>
  <c r="H52" i="9"/>
  <c r="B52" i="9"/>
  <c r="C52" i="9"/>
  <c r="F52" i="9"/>
  <c r="E677" i="9"/>
  <c r="L677" i="9"/>
  <c r="E536" i="9"/>
  <c r="F536" i="9"/>
  <c r="L536" i="9"/>
  <c r="C536" i="9"/>
  <c r="J536" i="9"/>
  <c r="K536" i="9" s="1"/>
  <c r="M536" i="9"/>
  <c r="J648" i="9"/>
  <c r="K648" i="9" s="1"/>
  <c r="M648" i="9"/>
  <c r="B644" i="9"/>
  <c r="I644" i="9"/>
  <c r="E644" i="9"/>
  <c r="F644" i="9"/>
  <c r="H642" i="9"/>
  <c r="B642" i="9"/>
  <c r="I642" i="9"/>
  <c r="J642" i="9"/>
  <c r="K642" i="9" s="1"/>
  <c r="E603" i="9"/>
  <c r="L603" i="9"/>
  <c r="C603" i="9"/>
  <c r="D603" i="9"/>
  <c r="B592" i="9"/>
  <c r="C592" i="9"/>
  <c r="D592" i="9"/>
  <c r="D572" i="9"/>
  <c r="J572" i="9"/>
  <c r="K572" i="9" s="1"/>
  <c r="C550" i="9"/>
  <c r="D550" i="9"/>
  <c r="J550" i="9"/>
  <c r="K550" i="9" s="1"/>
  <c r="E550" i="9"/>
  <c r="F550" i="9"/>
  <c r="G550" i="9"/>
  <c r="H545" i="9"/>
  <c r="I545" i="9"/>
  <c r="L545" i="9"/>
  <c r="M545" i="9"/>
  <c r="D492" i="9"/>
  <c r="B492" i="9"/>
  <c r="C492" i="9"/>
  <c r="D423" i="9"/>
  <c r="E423" i="9"/>
  <c r="F423" i="9"/>
  <c r="L423" i="9"/>
  <c r="M423" i="9"/>
  <c r="H423" i="9"/>
  <c r="I423" i="9"/>
  <c r="J423" i="9"/>
  <c r="K423" i="9" s="1"/>
  <c r="F734" i="9"/>
  <c r="G734" i="9"/>
  <c r="E711" i="9"/>
  <c r="F711" i="9"/>
  <c r="B682" i="9"/>
  <c r="H682" i="9"/>
  <c r="I682" i="9"/>
  <c r="B624" i="9"/>
  <c r="D624" i="9"/>
  <c r="L624" i="9"/>
  <c r="B607" i="9"/>
  <c r="C607" i="9"/>
  <c r="E607" i="9"/>
  <c r="H585" i="9"/>
  <c r="I585" i="9"/>
  <c r="C585" i="9"/>
  <c r="M585" i="9"/>
  <c r="F579" i="9"/>
  <c r="G579" i="9"/>
  <c r="J579" i="9"/>
  <c r="K579" i="9" s="1"/>
  <c r="B579" i="9"/>
  <c r="E579" i="9"/>
  <c r="H579" i="9"/>
  <c r="B547" i="9"/>
  <c r="C547" i="9"/>
  <c r="I547" i="9"/>
  <c r="L547" i="9"/>
  <c r="J547" i="9"/>
  <c r="K547" i="9" s="1"/>
  <c r="M547" i="9"/>
  <c r="D533" i="9"/>
  <c r="E533" i="9"/>
  <c r="L533" i="9"/>
  <c r="C533" i="9"/>
  <c r="F533" i="9"/>
  <c r="D512" i="9"/>
  <c r="H512" i="9"/>
  <c r="I512" i="9"/>
  <c r="M460" i="9"/>
  <c r="D460" i="9"/>
  <c r="G460" i="9"/>
  <c r="H460" i="9"/>
  <c r="I460" i="9"/>
  <c r="J460" i="9"/>
  <c r="K460" i="9" s="1"/>
  <c r="G320" i="9"/>
  <c r="H320" i="9"/>
  <c r="L320" i="9"/>
  <c r="M320" i="9"/>
  <c r="C320" i="9"/>
  <c r="B320" i="9"/>
  <c r="D320" i="9"/>
  <c r="E320" i="9"/>
  <c r="F320" i="9"/>
  <c r="I320" i="9"/>
  <c r="J320" i="9"/>
  <c r="K320" i="9" s="1"/>
  <c r="D285" i="9"/>
  <c r="E285" i="9"/>
  <c r="L285" i="9"/>
  <c r="M285" i="9"/>
  <c r="C285" i="9"/>
  <c r="I285" i="9"/>
  <c r="J285" i="9"/>
  <c r="K285" i="9" s="1"/>
  <c r="C259" i="9"/>
  <c r="I259" i="9"/>
  <c r="J259" i="9"/>
  <c r="K259" i="9" s="1"/>
  <c r="L259" i="9"/>
  <c r="B259" i="9"/>
  <c r="G259" i="9"/>
  <c r="H259" i="9"/>
  <c r="M259" i="9"/>
  <c r="J247" i="9"/>
  <c r="K247" i="9" s="1"/>
  <c r="L247" i="9"/>
  <c r="D247" i="9"/>
  <c r="M247" i="9"/>
  <c r="C247" i="9"/>
  <c r="E247" i="9"/>
  <c r="F247" i="9"/>
  <c r="G247" i="9"/>
  <c r="H247" i="9"/>
  <c r="I247" i="9"/>
  <c r="B247" i="9"/>
  <c r="F636" i="9"/>
  <c r="M636" i="9"/>
  <c r="M620" i="9"/>
  <c r="E620" i="9"/>
  <c r="L620" i="9"/>
  <c r="H605" i="9"/>
  <c r="I605" i="9"/>
  <c r="G605" i="9"/>
  <c r="H586" i="9"/>
  <c r="F560" i="9"/>
  <c r="G558" i="9"/>
  <c r="G556" i="9"/>
  <c r="F554" i="9"/>
  <c r="G552" i="9"/>
  <c r="E548" i="9"/>
  <c r="E537" i="9"/>
  <c r="F535" i="9"/>
  <c r="F531" i="9"/>
  <c r="D500" i="9"/>
  <c r="E496" i="9"/>
  <c r="F496" i="9"/>
  <c r="L496" i="9"/>
  <c r="J496" i="9"/>
  <c r="K496" i="9" s="1"/>
  <c r="H487" i="9"/>
  <c r="E485" i="9"/>
  <c r="F475" i="9"/>
  <c r="D473" i="9"/>
  <c r="E473" i="9"/>
  <c r="I473" i="9"/>
  <c r="J473" i="9"/>
  <c r="K473" i="9" s="1"/>
  <c r="L473" i="9"/>
  <c r="M473" i="9"/>
  <c r="D444" i="9"/>
  <c r="G439" i="9"/>
  <c r="I437" i="9"/>
  <c r="G432" i="9"/>
  <c r="H432" i="9"/>
  <c r="I432" i="9"/>
  <c r="J432" i="9"/>
  <c r="K432" i="9" s="1"/>
  <c r="L432" i="9"/>
  <c r="M432" i="9"/>
  <c r="B432" i="9"/>
  <c r="C432" i="9"/>
  <c r="D432" i="9"/>
  <c r="E432" i="9"/>
  <c r="F432" i="9"/>
  <c r="D427" i="9"/>
  <c r="I421" i="9"/>
  <c r="F415" i="9"/>
  <c r="F347" i="9"/>
  <c r="D338" i="9"/>
  <c r="C305" i="9"/>
  <c r="H305" i="9"/>
  <c r="L305" i="9"/>
  <c r="M305" i="9"/>
  <c r="J291" i="9"/>
  <c r="K291" i="9" s="1"/>
  <c r="F291" i="9"/>
  <c r="G291" i="9"/>
  <c r="H291" i="9"/>
  <c r="I291" i="9"/>
  <c r="H281" i="9"/>
  <c r="G281" i="9"/>
  <c r="L281" i="9"/>
  <c r="M281" i="9"/>
  <c r="B281" i="9"/>
  <c r="C281" i="9"/>
  <c r="D281" i="9"/>
  <c r="E281" i="9"/>
  <c r="F281" i="9"/>
  <c r="I264" i="9"/>
  <c r="B264" i="9"/>
  <c r="H264" i="9"/>
  <c r="G264" i="9"/>
  <c r="J264" i="9"/>
  <c r="K264" i="9" s="1"/>
  <c r="L264" i="9"/>
  <c r="M264" i="9"/>
  <c r="F258" i="9"/>
  <c r="G255" i="9"/>
  <c r="E253" i="9"/>
  <c r="I67" i="9"/>
  <c r="J67" i="9"/>
  <c r="K67" i="9" s="1"/>
  <c r="C67" i="9"/>
  <c r="D67" i="9"/>
  <c r="E67" i="9"/>
  <c r="F67" i="9"/>
  <c r="G67" i="9"/>
  <c r="H67" i="9"/>
  <c r="L594" i="9"/>
  <c r="M594" i="9"/>
  <c r="G562" i="9"/>
  <c r="H562" i="9"/>
  <c r="B562" i="9"/>
  <c r="E560" i="9"/>
  <c r="E558" i="9"/>
  <c r="E554" i="9"/>
  <c r="E531" i="9"/>
  <c r="M520" i="9"/>
  <c r="F520" i="9"/>
  <c r="L494" i="9"/>
  <c r="M494" i="9"/>
  <c r="H395" i="9"/>
  <c r="I395" i="9"/>
  <c r="J395" i="9"/>
  <c r="K395" i="9" s="1"/>
  <c r="B395" i="9"/>
  <c r="E395" i="9"/>
  <c r="F395" i="9"/>
  <c r="G395" i="9"/>
  <c r="L395" i="9"/>
  <c r="M395" i="9"/>
  <c r="E386" i="9"/>
  <c r="F386" i="9"/>
  <c r="G386" i="9"/>
  <c r="H386" i="9"/>
  <c r="L386" i="9"/>
  <c r="C386" i="9"/>
  <c r="D386" i="9"/>
  <c r="I386" i="9"/>
  <c r="J386" i="9"/>
  <c r="K386" i="9" s="1"/>
  <c r="M386" i="9"/>
  <c r="I328" i="9"/>
  <c r="L313" i="9"/>
  <c r="D313" i="9"/>
  <c r="I313" i="9"/>
  <c r="J313" i="9"/>
  <c r="K313" i="9" s="1"/>
  <c r="M313" i="9"/>
  <c r="B313" i="9"/>
  <c r="C313" i="9"/>
  <c r="E313" i="9"/>
  <c r="F313" i="9"/>
  <c r="G313" i="9"/>
  <c r="H313" i="9"/>
  <c r="G307" i="9"/>
  <c r="G298" i="9"/>
  <c r="C298" i="9"/>
  <c r="D298" i="9"/>
  <c r="M298" i="9"/>
  <c r="E298" i="9"/>
  <c r="L251" i="9"/>
  <c r="J251" i="9"/>
  <c r="K251" i="9" s="1"/>
  <c r="M251" i="9"/>
  <c r="D251" i="9"/>
  <c r="F235" i="9"/>
  <c r="H235" i="9"/>
  <c r="G235" i="9"/>
  <c r="J235" i="9"/>
  <c r="K235" i="9" s="1"/>
  <c r="M235" i="9"/>
  <c r="B235" i="9"/>
  <c r="I11" i="9"/>
  <c r="M11" i="9" s="1"/>
  <c r="H11" i="9"/>
  <c r="M500" i="9"/>
  <c r="E500" i="9"/>
  <c r="F500" i="9"/>
  <c r="L500" i="9"/>
  <c r="L444" i="9"/>
  <c r="M444" i="9"/>
  <c r="J444" i="9"/>
  <c r="K444" i="9" s="1"/>
  <c r="F444" i="9"/>
  <c r="G444" i="9"/>
  <c r="H444" i="9"/>
  <c r="I444" i="9"/>
  <c r="L427" i="9"/>
  <c r="M427" i="9"/>
  <c r="F427" i="9"/>
  <c r="G427" i="9"/>
  <c r="H427" i="9"/>
  <c r="I427" i="9"/>
  <c r="J421" i="9"/>
  <c r="K421" i="9" s="1"/>
  <c r="L421" i="9"/>
  <c r="C421" i="9"/>
  <c r="D421" i="9"/>
  <c r="E421" i="9"/>
  <c r="F421" i="9"/>
  <c r="G421" i="9"/>
  <c r="M421" i="9"/>
  <c r="B347" i="9"/>
  <c r="C347" i="9"/>
  <c r="J347" i="9"/>
  <c r="K347" i="9" s="1"/>
  <c r="G347" i="9"/>
  <c r="H347" i="9"/>
  <c r="I347" i="9"/>
  <c r="L347" i="9"/>
  <c r="M347" i="9"/>
  <c r="M338" i="9"/>
  <c r="F338" i="9"/>
  <c r="G338" i="9"/>
  <c r="H338" i="9"/>
  <c r="I338" i="9"/>
  <c r="L338" i="9"/>
  <c r="D331" i="9"/>
  <c r="E331" i="9"/>
  <c r="F331" i="9"/>
  <c r="G331" i="9"/>
  <c r="H331" i="9"/>
  <c r="I331" i="9"/>
  <c r="M331" i="9"/>
  <c r="J331" i="9"/>
  <c r="K331" i="9" s="1"/>
  <c r="L331" i="9"/>
  <c r="B263" i="9"/>
  <c r="D263" i="9"/>
  <c r="H263" i="9"/>
  <c r="I263" i="9"/>
  <c r="C263" i="9"/>
  <c r="E263" i="9"/>
  <c r="F263" i="9"/>
  <c r="G263" i="9"/>
  <c r="L263" i="9"/>
  <c r="M263" i="9"/>
  <c r="G258" i="9"/>
  <c r="I258" i="9"/>
  <c r="H258" i="9"/>
  <c r="J258" i="9"/>
  <c r="K258" i="9" s="1"/>
  <c r="C258" i="9"/>
  <c r="D258" i="9"/>
  <c r="F255" i="9"/>
  <c r="H255" i="9"/>
  <c r="B255" i="9"/>
  <c r="C255" i="9"/>
  <c r="J255" i="9"/>
  <c r="K255" i="9" s="1"/>
  <c r="L255" i="9"/>
  <c r="M255" i="9"/>
  <c r="L253" i="9"/>
  <c r="G253" i="9"/>
  <c r="H253" i="9"/>
  <c r="M253" i="9"/>
  <c r="C253" i="9"/>
  <c r="E556" i="9"/>
  <c r="F556" i="9"/>
  <c r="L556" i="9"/>
  <c r="M556" i="9"/>
  <c r="B554" i="9"/>
  <c r="D552" i="9"/>
  <c r="B552" i="9"/>
  <c r="I548" i="9"/>
  <c r="J548" i="9"/>
  <c r="K548" i="9" s="1"/>
  <c r="F548" i="9"/>
  <c r="L537" i="9"/>
  <c r="M537" i="9"/>
  <c r="F537" i="9"/>
  <c r="E535" i="9"/>
  <c r="I535" i="9"/>
  <c r="B531" i="9"/>
  <c r="H485" i="9"/>
  <c r="I485" i="9"/>
  <c r="L485" i="9"/>
  <c r="M485" i="9"/>
  <c r="E475" i="9"/>
  <c r="G475" i="9"/>
  <c r="H475" i="9"/>
  <c r="I475" i="9"/>
  <c r="J475" i="9"/>
  <c r="K475" i="9" s="1"/>
  <c r="B437" i="9"/>
  <c r="C437" i="9"/>
  <c r="D437" i="9"/>
  <c r="M437" i="9"/>
  <c r="E437" i="9"/>
  <c r="F429" i="9"/>
  <c r="G429" i="9"/>
  <c r="H429" i="9"/>
  <c r="B429" i="9"/>
  <c r="C429" i="9"/>
  <c r="D429" i="9"/>
  <c r="E429" i="9"/>
  <c r="L429" i="9"/>
  <c r="H415" i="9"/>
  <c r="I415" i="9"/>
  <c r="J415" i="9"/>
  <c r="K415" i="9" s="1"/>
  <c r="B415" i="9"/>
  <c r="B379" i="9"/>
  <c r="C379" i="9"/>
  <c r="J379" i="9"/>
  <c r="K379" i="9" s="1"/>
  <c r="H379" i="9"/>
  <c r="I379" i="9"/>
  <c r="L379" i="9"/>
  <c r="M379" i="9"/>
  <c r="D379" i="9"/>
  <c r="E334" i="9"/>
  <c r="F334" i="9"/>
  <c r="L334" i="9"/>
  <c r="G334" i="9"/>
  <c r="B334" i="9"/>
  <c r="C334" i="9"/>
  <c r="D334" i="9"/>
  <c r="H334" i="9"/>
  <c r="I334" i="9"/>
  <c r="J334" i="9"/>
  <c r="K334" i="9" s="1"/>
  <c r="M334" i="9"/>
  <c r="M560" i="9"/>
  <c r="G560" i="9"/>
  <c r="F558" i="9"/>
  <c r="J558" i="9"/>
  <c r="K558" i="9" s="1"/>
  <c r="B487" i="9"/>
  <c r="C487" i="9"/>
  <c r="I487" i="9"/>
  <c r="J487" i="9"/>
  <c r="K487" i="9" s="1"/>
  <c r="M487" i="9"/>
  <c r="I468" i="9"/>
  <c r="J468" i="9"/>
  <c r="K468" i="9" s="1"/>
  <c r="C468" i="9"/>
  <c r="D468" i="9"/>
  <c r="E468" i="9"/>
  <c r="F468" i="9"/>
  <c r="L468" i="9"/>
  <c r="I439" i="9"/>
  <c r="J439" i="9"/>
  <c r="K439" i="9" s="1"/>
  <c r="L439" i="9"/>
  <c r="B439" i="9"/>
  <c r="I418" i="9"/>
  <c r="J418" i="9"/>
  <c r="K418" i="9" s="1"/>
  <c r="D418" i="9"/>
  <c r="E418" i="9"/>
  <c r="F418" i="9"/>
  <c r="G418" i="9"/>
  <c r="M418" i="9"/>
  <c r="C328" i="9"/>
  <c r="D328" i="9"/>
  <c r="J328" i="9"/>
  <c r="K328" i="9" s="1"/>
  <c r="E328" i="9"/>
  <c r="F328" i="9"/>
  <c r="M328" i="9"/>
  <c r="J307" i="9"/>
  <c r="K307" i="9" s="1"/>
  <c r="L307" i="9"/>
  <c r="M307" i="9"/>
  <c r="F307" i="9"/>
  <c r="B307" i="9"/>
  <c r="F167" i="9"/>
  <c r="L167" i="9"/>
  <c r="J167" i="9"/>
  <c r="K167" i="9" s="1"/>
  <c r="M167" i="9"/>
  <c r="E167" i="9"/>
  <c r="H167" i="9"/>
  <c r="I167" i="9"/>
  <c r="E586" i="9"/>
  <c r="L586" i="9"/>
  <c r="H505" i="9"/>
  <c r="I505" i="9"/>
  <c r="D505" i="9"/>
  <c r="E505" i="9"/>
  <c r="M505" i="9"/>
  <c r="L477" i="9"/>
  <c r="M477" i="9"/>
  <c r="D477" i="9"/>
  <c r="E477" i="9"/>
  <c r="F477" i="9"/>
  <c r="G477" i="9"/>
  <c r="B397" i="9"/>
  <c r="C397" i="9"/>
  <c r="D397" i="9"/>
  <c r="E397" i="9"/>
  <c r="H397" i="9"/>
  <c r="I397" i="9"/>
  <c r="J397" i="9"/>
  <c r="K397" i="9" s="1"/>
  <c r="L397" i="9"/>
  <c r="M397" i="9"/>
  <c r="B283" i="9"/>
  <c r="I283" i="9"/>
  <c r="J283" i="9"/>
  <c r="K283" i="9" s="1"/>
  <c r="M283" i="9"/>
  <c r="E283" i="9"/>
  <c r="L283" i="9"/>
  <c r="D283" i="9"/>
  <c r="F283" i="9"/>
  <c r="G283" i="9"/>
  <c r="H283" i="9"/>
  <c r="J122" i="9"/>
  <c r="K122" i="9" s="1"/>
  <c r="B122" i="9"/>
  <c r="C122" i="9"/>
  <c r="D122" i="9"/>
  <c r="F122" i="9"/>
  <c r="G122" i="9"/>
  <c r="I122" i="9" s="1"/>
  <c r="L122" i="9"/>
  <c r="B567" i="9"/>
  <c r="C567" i="9"/>
  <c r="I567" i="9"/>
  <c r="E567" i="9"/>
  <c r="M567" i="9"/>
  <c r="C436" i="9"/>
  <c r="D436" i="9"/>
  <c r="E436" i="9"/>
  <c r="F436" i="9"/>
  <c r="J436" i="9"/>
  <c r="K436" i="9" s="1"/>
  <c r="G436" i="9"/>
  <c r="H436" i="9"/>
  <c r="I436" i="9"/>
  <c r="L436" i="9"/>
  <c r="H600" i="9"/>
  <c r="I546" i="9"/>
  <c r="I532" i="9"/>
  <c r="G522" i="9"/>
  <c r="H522" i="9"/>
  <c r="I518" i="9"/>
  <c r="H509" i="9"/>
  <c r="H495" i="9"/>
  <c r="C490" i="9"/>
  <c r="D490" i="9"/>
  <c r="J490" i="9"/>
  <c r="K490" i="9" s="1"/>
  <c r="E476" i="9"/>
  <c r="F476" i="9"/>
  <c r="L476" i="9"/>
  <c r="G472" i="9"/>
  <c r="G454" i="9"/>
  <c r="C402" i="9"/>
  <c r="D402" i="9"/>
  <c r="M402" i="9"/>
  <c r="B399" i="9"/>
  <c r="C399" i="9"/>
  <c r="J399" i="9"/>
  <c r="K399" i="9" s="1"/>
  <c r="D399" i="9"/>
  <c r="M390" i="9"/>
  <c r="G390" i="9"/>
  <c r="F390" i="9"/>
  <c r="H390" i="9"/>
  <c r="I390" i="9"/>
  <c r="J390" i="9"/>
  <c r="K390" i="9" s="1"/>
  <c r="L390" i="9"/>
  <c r="J372" i="9"/>
  <c r="K372" i="9" s="1"/>
  <c r="L353" i="9"/>
  <c r="J346" i="9"/>
  <c r="K346" i="9" s="1"/>
  <c r="H346" i="9"/>
  <c r="I346" i="9"/>
  <c r="L346" i="9"/>
  <c r="B346" i="9"/>
  <c r="L277" i="9"/>
  <c r="G238" i="9"/>
  <c r="I238" i="9"/>
  <c r="D238" i="9"/>
  <c r="E238" i="9"/>
  <c r="M238" i="9"/>
  <c r="B238" i="9"/>
  <c r="C238" i="9"/>
  <c r="F238" i="9"/>
  <c r="H238" i="9"/>
  <c r="L238" i="9"/>
  <c r="J199" i="9"/>
  <c r="K199" i="9" s="1"/>
  <c r="M199" i="9"/>
  <c r="H199" i="9"/>
  <c r="I199" i="9"/>
  <c r="L199" i="9"/>
  <c r="B199" i="9"/>
  <c r="C178" i="9"/>
  <c r="I178" i="9"/>
  <c r="G178" i="9"/>
  <c r="H178" i="9"/>
  <c r="L178" i="9"/>
  <c r="M178" i="9"/>
  <c r="E178" i="9"/>
  <c r="F178" i="9"/>
  <c r="J178" i="9"/>
  <c r="K178" i="9" s="1"/>
  <c r="G170" i="9"/>
  <c r="M170" i="9"/>
  <c r="C170" i="9"/>
  <c r="D170" i="9"/>
  <c r="E170" i="9"/>
  <c r="J170" i="9"/>
  <c r="K170" i="9" s="1"/>
  <c r="L170" i="9"/>
  <c r="B445" i="9"/>
  <c r="F445" i="9"/>
  <c r="E406" i="9"/>
  <c r="F406" i="9"/>
  <c r="G406" i="9"/>
  <c r="H406" i="9"/>
  <c r="L406" i="9"/>
  <c r="I398" i="9"/>
  <c r="J398" i="9"/>
  <c r="K398" i="9" s="1"/>
  <c r="L398" i="9"/>
  <c r="C398" i="9"/>
  <c r="D398" i="9"/>
  <c r="E398" i="9"/>
  <c r="F398" i="9"/>
  <c r="G398" i="9"/>
  <c r="H398" i="9"/>
  <c r="E356" i="9"/>
  <c r="F356" i="9"/>
  <c r="G356" i="9"/>
  <c r="H356" i="9"/>
  <c r="L356" i="9"/>
  <c r="I356" i="9"/>
  <c r="J356" i="9"/>
  <c r="K356" i="9" s="1"/>
  <c r="M356" i="9"/>
  <c r="E351" i="9"/>
  <c r="G351" i="9"/>
  <c r="H351" i="9"/>
  <c r="I351" i="9"/>
  <c r="J351" i="9"/>
  <c r="K351" i="9" s="1"/>
  <c r="M351" i="9"/>
  <c r="L351" i="9"/>
  <c r="I191" i="9"/>
  <c r="J191" i="9"/>
  <c r="K191" i="9" s="1"/>
  <c r="L191" i="9"/>
  <c r="M191" i="9"/>
  <c r="C191" i="9"/>
  <c r="D191" i="9"/>
  <c r="B162" i="9"/>
  <c r="C162" i="9"/>
  <c r="D162" i="9"/>
  <c r="F162" i="9"/>
  <c r="I162" i="9"/>
  <c r="E162" i="9"/>
  <c r="M162" i="9"/>
  <c r="H162" i="9"/>
  <c r="J162" i="9"/>
  <c r="K162" i="9" s="1"/>
  <c r="L162" i="9"/>
  <c r="K129" i="9"/>
  <c r="M129" i="9"/>
  <c r="C89" i="9"/>
  <c r="D89" i="9"/>
  <c r="J89" i="9"/>
  <c r="K89" i="9" s="1"/>
  <c r="L89" i="9"/>
  <c r="B89" i="9"/>
  <c r="F89" i="9"/>
  <c r="G89" i="9"/>
  <c r="H89" i="9" s="1"/>
  <c r="M32" i="9"/>
  <c r="B472" i="9"/>
  <c r="J458" i="9"/>
  <c r="K458" i="9" s="1"/>
  <c r="E458" i="9"/>
  <c r="C456" i="9"/>
  <c r="D456" i="9"/>
  <c r="J456" i="9"/>
  <c r="K456" i="9" s="1"/>
  <c r="G449" i="9"/>
  <c r="L449" i="9"/>
  <c r="M447" i="9"/>
  <c r="B447" i="9"/>
  <c r="L404" i="9"/>
  <c r="M404" i="9"/>
  <c r="L349" i="9"/>
  <c r="M349" i="9"/>
  <c r="E349" i="9"/>
  <c r="J349" i="9"/>
  <c r="K349" i="9" s="1"/>
  <c r="D330" i="9"/>
  <c r="B330" i="9"/>
  <c r="C330" i="9"/>
  <c r="C327" i="9"/>
  <c r="J327" i="9"/>
  <c r="K327" i="9" s="1"/>
  <c r="L327" i="9"/>
  <c r="M327" i="9"/>
  <c r="D327" i="9"/>
  <c r="B327" i="9"/>
  <c r="C228" i="9"/>
  <c r="B228" i="9"/>
  <c r="D228" i="9"/>
  <c r="J228" i="9"/>
  <c r="K228" i="9" s="1"/>
  <c r="G228" i="9"/>
  <c r="H228" i="9"/>
  <c r="I228" i="9"/>
  <c r="E228" i="9"/>
  <c r="F228" i="9"/>
  <c r="L228" i="9"/>
  <c r="M228" i="9"/>
  <c r="E204" i="9"/>
  <c r="D204" i="9"/>
  <c r="G204" i="9"/>
  <c r="L204" i="9"/>
  <c r="M204" i="9"/>
  <c r="B204" i="9"/>
  <c r="D201" i="9"/>
  <c r="L201" i="9"/>
  <c r="I201" i="9"/>
  <c r="J201" i="9"/>
  <c r="K201" i="9" s="1"/>
  <c r="G201" i="9"/>
  <c r="H201" i="9"/>
  <c r="C201" i="9"/>
  <c r="I196" i="9"/>
  <c r="H196" i="9"/>
  <c r="J196" i="9"/>
  <c r="K196" i="9" s="1"/>
  <c r="B196" i="9"/>
  <c r="D196" i="9"/>
  <c r="M196" i="9"/>
  <c r="H193" i="9"/>
  <c r="C193" i="9"/>
  <c r="D193" i="9"/>
  <c r="E193" i="9"/>
  <c r="L193" i="9"/>
  <c r="J193" i="9"/>
  <c r="K193" i="9" s="1"/>
  <c r="M193" i="9"/>
  <c r="B193" i="9"/>
  <c r="F193" i="9"/>
  <c r="H117" i="9"/>
  <c r="B117" i="9"/>
  <c r="C117" i="9"/>
  <c r="D117" i="9"/>
  <c r="E117" i="9"/>
  <c r="F117" i="9"/>
  <c r="I117" i="9"/>
  <c r="J117" i="9"/>
  <c r="K117" i="9" s="1"/>
  <c r="M117" i="9"/>
  <c r="B454" i="9"/>
  <c r="H454" i="9"/>
  <c r="I454" i="9"/>
  <c r="L372" i="9"/>
  <c r="F372" i="9"/>
  <c r="G372" i="9"/>
  <c r="H372" i="9"/>
  <c r="I372" i="9"/>
  <c r="M372" i="9"/>
  <c r="B353" i="9"/>
  <c r="C353" i="9"/>
  <c r="D353" i="9"/>
  <c r="E353" i="9"/>
  <c r="H353" i="9"/>
  <c r="I353" i="9"/>
  <c r="J336" i="9"/>
  <c r="K336" i="9" s="1"/>
  <c r="L336" i="9"/>
  <c r="M336" i="9"/>
  <c r="D336" i="9"/>
  <c r="F336" i="9"/>
  <c r="G336" i="9"/>
  <c r="H336" i="9"/>
  <c r="I336" i="9"/>
  <c r="B277" i="9"/>
  <c r="C277" i="9"/>
  <c r="D277" i="9"/>
  <c r="J277" i="9"/>
  <c r="K277" i="9" s="1"/>
  <c r="E277" i="9"/>
  <c r="F277" i="9"/>
  <c r="M277" i="9"/>
  <c r="C180" i="9"/>
  <c r="D180" i="9"/>
  <c r="E180" i="9"/>
  <c r="J180" i="9"/>
  <c r="K180" i="9" s="1"/>
  <c r="L180" i="9"/>
  <c r="H180" i="9"/>
  <c r="I180" i="9"/>
  <c r="M180" i="9"/>
  <c r="D161" i="9"/>
  <c r="J161" i="9"/>
  <c r="K161" i="9" s="1"/>
  <c r="I161" i="9"/>
  <c r="E161" i="9"/>
  <c r="F161" i="9"/>
  <c r="H161" i="9"/>
  <c r="L161" i="9"/>
  <c r="M161" i="9"/>
  <c r="B161" i="9"/>
  <c r="C161" i="9"/>
  <c r="G502" i="9"/>
  <c r="H502" i="9"/>
  <c r="C470" i="9"/>
  <c r="D470" i="9"/>
  <c r="J470" i="9"/>
  <c r="K470" i="9" s="1"/>
  <c r="E426" i="9"/>
  <c r="F426" i="9"/>
  <c r="G426" i="9"/>
  <c r="C426" i="9"/>
  <c r="L384" i="9"/>
  <c r="M384" i="9"/>
  <c r="E384" i="9"/>
  <c r="D384" i="9"/>
  <c r="F384" i="9"/>
  <c r="G384" i="9"/>
  <c r="H384" i="9"/>
  <c r="I384" i="9"/>
  <c r="J384" i="9"/>
  <c r="K384" i="9" s="1"/>
  <c r="L370" i="9"/>
  <c r="M370" i="9"/>
  <c r="E370" i="9"/>
  <c r="B362" i="9"/>
  <c r="J362" i="9"/>
  <c r="K362" i="9" s="1"/>
  <c r="L362" i="9"/>
  <c r="M362" i="9"/>
  <c r="D362" i="9"/>
  <c r="E362" i="9"/>
  <c r="F362" i="9"/>
  <c r="G362" i="9"/>
  <c r="H362" i="9"/>
  <c r="I362" i="9"/>
  <c r="I206" i="9"/>
  <c r="J206" i="9"/>
  <c r="K206" i="9" s="1"/>
  <c r="L206" i="9"/>
  <c r="B206" i="9"/>
  <c r="G206" i="9"/>
  <c r="H206" i="9"/>
  <c r="M206" i="9"/>
  <c r="C610" i="9"/>
  <c r="D610" i="9"/>
  <c r="I588" i="9"/>
  <c r="J588" i="9"/>
  <c r="K588" i="9" s="1"/>
  <c r="B507" i="9"/>
  <c r="C507" i="9"/>
  <c r="I507" i="9"/>
  <c r="D493" i="9"/>
  <c r="E493" i="9"/>
  <c r="F479" i="9"/>
  <c r="G479" i="9"/>
  <c r="M479" i="9"/>
  <c r="G412" i="9"/>
  <c r="H412" i="9"/>
  <c r="I412" i="9"/>
  <c r="J412" i="9"/>
  <c r="K412" i="9" s="1"/>
  <c r="L412" i="9"/>
  <c r="M412" i="9"/>
  <c r="F389" i="9"/>
  <c r="G389" i="9"/>
  <c r="H389" i="9"/>
  <c r="I389" i="9"/>
  <c r="L389" i="9"/>
  <c r="M389" i="9"/>
  <c r="C266" i="9"/>
  <c r="E266" i="9"/>
  <c r="M266" i="9"/>
  <c r="I266" i="9"/>
  <c r="L165" i="9"/>
  <c r="B165" i="9"/>
  <c r="C165" i="9"/>
  <c r="M165" i="9"/>
  <c r="E165" i="9"/>
  <c r="F165" i="9"/>
  <c r="G165" i="9"/>
  <c r="H165" i="9"/>
  <c r="I165" i="9"/>
  <c r="J165" i="9"/>
  <c r="K165" i="9" s="1"/>
  <c r="C158" i="9"/>
  <c r="I158" i="9"/>
  <c r="D158" i="9"/>
  <c r="E158" i="9"/>
  <c r="F158" i="9"/>
  <c r="G158" i="9"/>
  <c r="H158" i="9"/>
  <c r="B158" i="9"/>
  <c r="J158" i="9"/>
  <c r="K158" i="9" s="1"/>
  <c r="L158" i="9"/>
  <c r="M158" i="9"/>
  <c r="F424" i="9"/>
  <c r="I378" i="9"/>
  <c r="J378" i="9"/>
  <c r="K378" i="9" s="1"/>
  <c r="L378" i="9"/>
  <c r="C378" i="9"/>
  <c r="M369" i="9"/>
  <c r="M355" i="9"/>
  <c r="C355" i="9"/>
  <c r="D355" i="9"/>
  <c r="B325" i="9"/>
  <c r="C325" i="9"/>
  <c r="I325" i="9"/>
  <c r="M325" i="9"/>
  <c r="F325" i="9"/>
  <c r="I304" i="9"/>
  <c r="H304" i="9"/>
  <c r="J304" i="9"/>
  <c r="K304" i="9" s="1"/>
  <c r="C304" i="9"/>
  <c r="D304" i="9"/>
  <c r="E304" i="9"/>
  <c r="F304" i="9"/>
  <c r="L304" i="9"/>
  <c r="M304" i="9"/>
  <c r="I268" i="9"/>
  <c r="J268" i="9"/>
  <c r="K268" i="9" s="1"/>
  <c r="F268" i="9"/>
  <c r="I220" i="9"/>
  <c r="L215" i="9"/>
  <c r="E215" i="9"/>
  <c r="G215" i="9"/>
  <c r="H215" i="9"/>
  <c r="M215" i="9"/>
  <c r="I215" i="9"/>
  <c r="B212" i="9"/>
  <c r="C212" i="9"/>
  <c r="D212" i="9"/>
  <c r="E212" i="9"/>
  <c r="M212" i="9"/>
  <c r="J70" i="9"/>
  <c r="K70" i="9" s="1"/>
  <c r="D70" i="9"/>
  <c r="E70" i="9"/>
  <c r="F70" i="9"/>
  <c r="G70" i="9"/>
  <c r="L70" i="9"/>
  <c r="M70" i="9"/>
  <c r="C70" i="9"/>
  <c r="H70" i="9"/>
  <c r="I70" i="9"/>
  <c r="L387" i="9"/>
  <c r="M387" i="9"/>
  <c r="F387" i="9"/>
  <c r="C380" i="9"/>
  <c r="D380" i="9"/>
  <c r="E380" i="9"/>
  <c r="F380" i="9"/>
  <c r="I380" i="9"/>
  <c r="J380" i="9"/>
  <c r="K380" i="9" s="1"/>
  <c r="I363" i="9"/>
  <c r="C363" i="9"/>
  <c r="D363" i="9"/>
  <c r="L363" i="9"/>
  <c r="E314" i="9"/>
  <c r="F314" i="9"/>
  <c r="L314" i="9"/>
  <c r="C314" i="9"/>
  <c r="D314" i="9"/>
  <c r="B237" i="9"/>
  <c r="D237" i="9"/>
  <c r="I237" i="9"/>
  <c r="E232" i="9"/>
  <c r="G232" i="9"/>
  <c r="B232" i="9"/>
  <c r="H232" i="9"/>
  <c r="I232" i="9"/>
  <c r="J232" i="9"/>
  <c r="K232" i="9" s="1"/>
  <c r="D211" i="9"/>
  <c r="H211" i="9"/>
  <c r="I211" i="9"/>
  <c r="J211" i="9"/>
  <c r="K211" i="9" s="1"/>
  <c r="E211" i="9"/>
  <c r="F211" i="9"/>
  <c r="M211" i="9"/>
  <c r="B211" i="9"/>
  <c r="C211" i="9"/>
  <c r="G211" i="9"/>
  <c r="H123" i="9"/>
  <c r="I123" i="9"/>
  <c r="M123" i="9" s="1"/>
  <c r="L96" i="9"/>
  <c r="F96" i="9"/>
  <c r="M96" i="9" s="1"/>
  <c r="F337" i="9"/>
  <c r="G337" i="9"/>
  <c r="C337" i="9"/>
  <c r="D337" i="9"/>
  <c r="M337" i="9"/>
  <c r="L293" i="9"/>
  <c r="E293" i="9"/>
  <c r="F293" i="9"/>
  <c r="M293" i="9"/>
  <c r="D293" i="9"/>
  <c r="G293" i="9"/>
  <c r="H293" i="9"/>
  <c r="I293" i="9"/>
  <c r="D265" i="9"/>
  <c r="E265" i="9"/>
  <c r="C265" i="9"/>
  <c r="F265" i="9"/>
  <c r="G265" i="9"/>
  <c r="H265" i="9"/>
  <c r="L265" i="9"/>
  <c r="M265" i="9"/>
  <c r="E220" i="9"/>
  <c r="I156" i="9"/>
  <c r="G156" i="9"/>
  <c r="H156" i="9"/>
  <c r="E156" i="9"/>
  <c r="F156" i="9"/>
  <c r="J156" i="9"/>
  <c r="K156" i="9" s="1"/>
  <c r="L156" i="9"/>
  <c r="M156" i="9"/>
  <c r="J401" i="9"/>
  <c r="K401" i="9" s="1"/>
  <c r="L401" i="9"/>
  <c r="M401" i="9"/>
  <c r="D401" i="9"/>
  <c r="H367" i="9"/>
  <c r="I367" i="9"/>
  <c r="J367" i="9"/>
  <c r="K367" i="9" s="1"/>
  <c r="B367" i="9"/>
  <c r="G357" i="9"/>
  <c r="M357" i="9"/>
  <c r="F357" i="9"/>
  <c r="B311" i="9"/>
  <c r="C311" i="9"/>
  <c r="I311" i="9"/>
  <c r="L311" i="9"/>
  <c r="M311" i="9"/>
  <c r="D311" i="9"/>
  <c r="D309" i="9"/>
  <c r="G309" i="9"/>
  <c r="H309" i="9"/>
  <c r="M309" i="9"/>
  <c r="E309" i="9"/>
  <c r="M270" i="9"/>
  <c r="E270" i="9"/>
  <c r="F270" i="9"/>
  <c r="G270" i="9"/>
  <c r="B257" i="9"/>
  <c r="G257" i="9"/>
  <c r="J257" i="9"/>
  <c r="K257" i="9" s="1"/>
  <c r="L257" i="9"/>
  <c r="M257" i="9"/>
  <c r="C257" i="9"/>
  <c r="H241" i="9"/>
  <c r="J241" i="9"/>
  <c r="K241" i="9" s="1"/>
  <c r="G241" i="9"/>
  <c r="I241" i="9"/>
  <c r="M241" i="9"/>
  <c r="C241" i="9"/>
  <c r="D163" i="9"/>
  <c r="F163" i="9"/>
  <c r="G163" i="9"/>
  <c r="M163" i="9"/>
  <c r="L163" i="9"/>
  <c r="I163" i="9"/>
  <c r="J163" i="9"/>
  <c r="K163" i="9" s="1"/>
  <c r="L424" i="9"/>
  <c r="M424" i="9"/>
  <c r="C369" i="9"/>
  <c r="D369" i="9"/>
  <c r="E369" i="9"/>
  <c r="F369" i="9"/>
  <c r="I369" i="9"/>
  <c r="J369" i="9"/>
  <c r="K369" i="9" s="1"/>
  <c r="B243" i="9"/>
  <c r="D243" i="9"/>
  <c r="E243" i="9"/>
  <c r="F243" i="9"/>
  <c r="L243" i="9"/>
  <c r="M243" i="9"/>
  <c r="C243" i="9"/>
  <c r="G220" i="9"/>
  <c r="C220" i="9"/>
  <c r="L220" i="9"/>
  <c r="M220" i="9"/>
  <c r="D220" i="9"/>
  <c r="M168" i="9"/>
  <c r="G168" i="9"/>
  <c r="H168" i="9"/>
  <c r="B168" i="9"/>
  <c r="E168" i="9"/>
  <c r="D168" i="9"/>
  <c r="F168" i="9"/>
  <c r="J168" i="9"/>
  <c r="K168" i="9" s="1"/>
  <c r="L168" i="9"/>
  <c r="I168" i="9"/>
  <c r="F409" i="9"/>
  <c r="G409" i="9"/>
  <c r="H409" i="9"/>
  <c r="I409" i="9"/>
  <c r="L409" i="9"/>
  <c r="M409" i="9"/>
  <c r="D403" i="9"/>
  <c r="E403" i="9"/>
  <c r="F403" i="9"/>
  <c r="G403" i="9"/>
  <c r="J403" i="9"/>
  <c r="K403" i="9" s="1"/>
  <c r="C365" i="9"/>
  <c r="M365" i="9"/>
  <c r="G365" i="9"/>
  <c r="B324" i="9"/>
  <c r="C324" i="9"/>
  <c r="D324" i="9"/>
  <c r="E324" i="9"/>
  <c r="F324" i="9"/>
  <c r="I324" i="9"/>
  <c r="J324" i="9"/>
  <c r="K324" i="9" s="1"/>
  <c r="M236" i="9"/>
  <c r="H236" i="9"/>
  <c r="I236" i="9"/>
  <c r="C236" i="9"/>
  <c r="D236" i="9"/>
  <c r="E236" i="9"/>
  <c r="F236" i="9"/>
  <c r="L236" i="9"/>
  <c r="B126" i="9"/>
  <c r="C126" i="9"/>
  <c r="F126" i="9"/>
  <c r="G126" i="9"/>
  <c r="I126" i="9" s="1"/>
  <c r="H126" i="9"/>
  <c r="J126" i="9"/>
  <c r="K126" i="9" s="1"/>
  <c r="L126" i="9"/>
  <c r="E443" i="9"/>
  <c r="F443" i="9"/>
  <c r="C382" i="9"/>
  <c r="D382" i="9"/>
  <c r="B377" i="9"/>
  <c r="C377" i="9"/>
  <c r="D377" i="9"/>
  <c r="E377" i="9"/>
  <c r="H377" i="9"/>
  <c r="I377" i="9"/>
  <c r="H375" i="9"/>
  <c r="I375" i="9"/>
  <c r="J375" i="9"/>
  <c r="K375" i="9" s="1"/>
  <c r="B375" i="9"/>
  <c r="F354" i="9"/>
  <c r="J354" i="9"/>
  <c r="K354" i="9" s="1"/>
  <c r="L354" i="9"/>
  <c r="M354" i="9"/>
  <c r="C354" i="9"/>
  <c r="I343" i="9"/>
  <c r="E343" i="9"/>
  <c r="F343" i="9"/>
  <c r="G343" i="9"/>
  <c r="H343" i="9"/>
  <c r="L343" i="9"/>
  <c r="M343" i="9"/>
  <c r="J341" i="9"/>
  <c r="K341" i="9" s="1"/>
  <c r="L341" i="9"/>
  <c r="M341" i="9"/>
  <c r="D341" i="9"/>
  <c r="F316" i="9"/>
  <c r="B316" i="9"/>
  <c r="C316" i="9"/>
  <c r="H301" i="9"/>
  <c r="E301" i="9"/>
  <c r="F301" i="9"/>
  <c r="M301" i="9"/>
  <c r="B301" i="9"/>
  <c r="C301" i="9"/>
  <c r="I176" i="9"/>
  <c r="L176" i="9"/>
  <c r="M176" i="9"/>
  <c r="H176" i="9"/>
  <c r="J176" i="9"/>
  <c r="K176" i="9" s="1"/>
  <c r="B176" i="9"/>
  <c r="C176" i="9"/>
  <c r="D176" i="9"/>
  <c r="E176" i="9"/>
  <c r="L315" i="9"/>
  <c r="M315" i="9"/>
  <c r="G278" i="9"/>
  <c r="I278" i="9"/>
  <c r="L278" i="9"/>
  <c r="M278" i="9"/>
  <c r="F224" i="9"/>
  <c r="H224" i="9"/>
  <c r="J224" i="9"/>
  <c r="K224" i="9" s="1"/>
  <c r="B157" i="9"/>
  <c r="C157" i="9"/>
  <c r="D157" i="9"/>
  <c r="E157" i="9"/>
  <c r="G157" i="9"/>
  <c r="H157" i="9"/>
  <c r="I157" i="9"/>
  <c r="F147" i="9"/>
  <c r="L147" i="9"/>
  <c r="B147" i="9"/>
  <c r="C147" i="9"/>
  <c r="D147" i="9"/>
  <c r="G147" i="9"/>
  <c r="H147" i="9"/>
  <c r="J147" i="9"/>
  <c r="K147" i="9" s="1"/>
  <c r="J137" i="9"/>
  <c r="K137" i="9" s="1"/>
  <c r="L137" i="9"/>
  <c r="M137" i="9"/>
  <c r="C137" i="9"/>
  <c r="D137" i="9"/>
  <c r="E137" i="9"/>
  <c r="G137" i="9"/>
  <c r="H137" i="9"/>
  <c r="B137" i="9"/>
  <c r="H134" i="9"/>
  <c r="I134" i="9"/>
  <c r="M131" i="9"/>
  <c r="L93" i="9"/>
  <c r="F93" i="9"/>
  <c r="G93" i="9"/>
  <c r="H93" i="9" s="1"/>
  <c r="I93" i="9"/>
  <c r="J93" i="9"/>
  <c r="K93" i="9" s="1"/>
  <c r="B368" i="9"/>
  <c r="B294" i="9"/>
  <c r="B227" i="9"/>
  <c r="G203" i="9"/>
  <c r="E203" i="9"/>
  <c r="F203" i="9"/>
  <c r="H203" i="9"/>
  <c r="M203" i="9"/>
  <c r="L203" i="9"/>
  <c r="C198" i="9"/>
  <c r="I198" i="9"/>
  <c r="D198" i="9"/>
  <c r="E198" i="9"/>
  <c r="F198" i="9"/>
  <c r="L198" i="9"/>
  <c r="B198" i="9"/>
  <c r="B125" i="9"/>
  <c r="C125" i="9"/>
  <c r="M392" i="9"/>
  <c r="E292" i="9"/>
  <c r="D292" i="9"/>
  <c r="B290" i="9"/>
  <c r="C290" i="9"/>
  <c r="I290" i="9"/>
  <c r="L233" i="9"/>
  <c r="D233" i="9"/>
  <c r="E233" i="9"/>
  <c r="D229" i="9"/>
  <c r="F229" i="9"/>
  <c r="L229" i="9"/>
  <c r="M229" i="9"/>
  <c r="I219" i="9"/>
  <c r="J219" i="9"/>
  <c r="K219" i="9" s="1"/>
  <c r="B219" i="9"/>
  <c r="C219" i="9"/>
  <c r="G219" i="9"/>
  <c r="L219" i="9"/>
  <c r="F189" i="9"/>
  <c r="L189" i="9"/>
  <c r="M189" i="9"/>
  <c r="J189" i="9"/>
  <c r="K189" i="9" s="1"/>
  <c r="E184" i="9"/>
  <c r="F184" i="9"/>
  <c r="G184" i="9"/>
  <c r="H184" i="9"/>
  <c r="F99" i="9"/>
  <c r="G99" i="9"/>
  <c r="H99" i="9" s="1"/>
  <c r="L99" i="9"/>
  <c r="J99" i="9"/>
  <c r="K99" i="9" s="1"/>
  <c r="J392" i="9"/>
  <c r="K392" i="9" s="1"/>
  <c r="D340" i="9"/>
  <c r="D335" i="9"/>
  <c r="L329" i="9"/>
  <c r="J315" i="9"/>
  <c r="K315" i="9" s="1"/>
  <c r="E312" i="9"/>
  <c r="J312" i="9"/>
  <c r="K312" i="9" s="1"/>
  <c r="G306" i="9"/>
  <c r="J302" i="9"/>
  <c r="K302" i="9" s="1"/>
  <c r="E297" i="9"/>
  <c r="G288" i="9"/>
  <c r="H288" i="9"/>
  <c r="G269" i="9"/>
  <c r="M256" i="9"/>
  <c r="L256" i="9"/>
  <c r="M250" i="9"/>
  <c r="B250" i="9"/>
  <c r="C250" i="9"/>
  <c r="I250" i="9"/>
  <c r="C246" i="9"/>
  <c r="E246" i="9"/>
  <c r="J246" i="9"/>
  <c r="K246" i="9" s="1"/>
  <c r="B225" i="9"/>
  <c r="E225" i="9"/>
  <c r="D209" i="9"/>
  <c r="D207" i="9"/>
  <c r="G207" i="9"/>
  <c r="H207" i="9"/>
  <c r="L207" i="9"/>
  <c r="D181" i="9"/>
  <c r="J181" i="9"/>
  <c r="K181" i="9" s="1"/>
  <c r="M181" i="9"/>
  <c r="E181" i="9"/>
  <c r="B181" i="9"/>
  <c r="C181" i="9"/>
  <c r="G181" i="9"/>
  <c r="I181" i="9"/>
  <c r="L181" i="9"/>
  <c r="F149" i="9"/>
  <c r="M149" i="9"/>
  <c r="B149" i="9"/>
  <c r="C149" i="9"/>
  <c r="D149" i="9"/>
  <c r="G149" i="9"/>
  <c r="H149" i="9"/>
  <c r="J149" i="9"/>
  <c r="K149" i="9" s="1"/>
  <c r="E149" i="9"/>
  <c r="G141" i="9"/>
  <c r="B141" i="9"/>
  <c r="I141" i="9"/>
  <c r="E141" i="9"/>
  <c r="F141" i="9"/>
  <c r="H141" i="9"/>
  <c r="D141" i="9"/>
  <c r="J141" i="9"/>
  <c r="K141" i="9" s="1"/>
  <c r="M141" i="9"/>
  <c r="G61" i="9"/>
  <c r="H61" i="9"/>
  <c r="F61" i="9"/>
  <c r="I61" i="9"/>
  <c r="J61" i="9"/>
  <c r="K61" i="9" s="1"/>
  <c r="L61" i="9"/>
  <c r="M61" i="9"/>
  <c r="C434" i="9"/>
  <c r="C414" i="9"/>
  <c r="C394" i="9"/>
  <c r="I392" i="9"/>
  <c r="C374" i="9"/>
  <c r="C340" i="9"/>
  <c r="C335" i="9"/>
  <c r="I329" i="9"/>
  <c r="I315" i="9"/>
  <c r="F306" i="9"/>
  <c r="I302" i="9"/>
  <c r="D297" i="9"/>
  <c r="C286" i="9"/>
  <c r="L286" i="9"/>
  <c r="M286" i="9"/>
  <c r="E269" i="9"/>
  <c r="E252" i="9"/>
  <c r="G252" i="9"/>
  <c r="F252" i="9"/>
  <c r="F248" i="9"/>
  <c r="G248" i="9"/>
  <c r="M248" i="9"/>
  <c r="M224" i="9"/>
  <c r="C209" i="9"/>
  <c r="I113" i="9"/>
  <c r="M113" i="9" s="1"/>
  <c r="D111" i="9"/>
  <c r="E111" i="9"/>
  <c r="B111" i="9"/>
  <c r="C111" i="9"/>
  <c r="F111" i="9"/>
  <c r="M111" i="9"/>
  <c r="C50" i="9"/>
  <c r="I27" i="9"/>
  <c r="J27" i="9"/>
  <c r="K27" i="9" s="1"/>
  <c r="L27" i="9"/>
  <c r="M27" i="9"/>
  <c r="E27" i="9"/>
  <c r="F27" i="9"/>
  <c r="G27" i="9"/>
  <c r="H27" i="9"/>
  <c r="B27" i="9"/>
  <c r="C27" i="9"/>
  <c r="D27" i="9"/>
  <c r="H392" i="9"/>
  <c r="H329" i="9"/>
  <c r="I326" i="9"/>
  <c r="J326" i="9"/>
  <c r="K326" i="9" s="1"/>
  <c r="H315" i="9"/>
  <c r="H302" i="9"/>
  <c r="B297" i="9"/>
  <c r="I284" i="9"/>
  <c r="C284" i="9"/>
  <c r="J278" i="9"/>
  <c r="K278" i="9" s="1"/>
  <c r="L273" i="9"/>
  <c r="J273" i="9"/>
  <c r="K273" i="9" s="1"/>
  <c r="L224" i="9"/>
  <c r="E214" i="9"/>
  <c r="L214" i="9"/>
  <c r="M214" i="9"/>
  <c r="B214" i="9"/>
  <c r="F169" i="9"/>
  <c r="I169" i="9"/>
  <c r="J169" i="9"/>
  <c r="K169" i="9" s="1"/>
  <c r="B169" i="9"/>
  <c r="G340" i="9"/>
  <c r="H340" i="9"/>
  <c r="L335" i="9"/>
  <c r="M335" i="9"/>
  <c r="G329" i="9"/>
  <c r="G315" i="9"/>
  <c r="C306" i="9"/>
  <c r="D306" i="9"/>
  <c r="E306" i="9"/>
  <c r="G302" i="9"/>
  <c r="H278" i="9"/>
  <c r="D269" i="9"/>
  <c r="F269" i="9"/>
  <c r="C269" i="9"/>
  <c r="I224" i="9"/>
  <c r="J209" i="9"/>
  <c r="K209" i="9" s="1"/>
  <c r="M209" i="9"/>
  <c r="F209" i="9"/>
  <c r="G209" i="9"/>
  <c r="L209" i="9"/>
  <c r="J50" i="9"/>
  <c r="K50" i="9" s="1"/>
  <c r="L50" i="9"/>
  <c r="M50" i="9"/>
  <c r="D50" i="9"/>
  <c r="E50" i="9"/>
  <c r="F50" i="9"/>
  <c r="G50" i="9"/>
  <c r="H50" i="9"/>
  <c r="I50" i="9"/>
  <c r="H282" i="9"/>
  <c r="J272" i="9"/>
  <c r="K272" i="9" s="1"/>
  <c r="H245" i="9"/>
  <c r="L221" i="9"/>
  <c r="C208" i="9"/>
  <c r="E208" i="9"/>
  <c r="F208" i="9"/>
  <c r="G208" i="9"/>
  <c r="L208" i="9"/>
  <c r="F202" i="9"/>
  <c r="E186" i="9"/>
  <c r="D186" i="9"/>
  <c r="F186" i="9"/>
  <c r="G186" i="9"/>
  <c r="L186" i="9"/>
  <c r="L183" i="9"/>
  <c r="J173" i="9"/>
  <c r="K173" i="9" s="1"/>
  <c r="E171" i="9"/>
  <c r="F146" i="9"/>
  <c r="F144" i="9"/>
  <c r="H105" i="9"/>
  <c r="D105" i="9"/>
  <c r="E105" i="9"/>
  <c r="F105" i="9"/>
  <c r="I105" i="9"/>
  <c r="J105" i="9"/>
  <c r="K105" i="9" s="1"/>
  <c r="L105" i="9"/>
  <c r="M105" i="9"/>
  <c r="C202" i="9"/>
  <c r="M188" i="9"/>
  <c r="B188" i="9"/>
  <c r="C188" i="9"/>
  <c r="D188" i="9"/>
  <c r="I188" i="9"/>
  <c r="H94" i="9"/>
  <c r="H88" i="9"/>
  <c r="I88" i="9"/>
  <c r="M88" i="9" s="1"/>
  <c r="H173" i="9"/>
  <c r="F173" i="9"/>
  <c r="G173" i="9"/>
  <c r="C173" i="9"/>
  <c r="D173" i="9"/>
  <c r="E173" i="9"/>
  <c r="M173" i="9"/>
  <c r="L171" i="9"/>
  <c r="M171" i="9"/>
  <c r="G171" i="9"/>
  <c r="H171" i="9"/>
  <c r="I171" i="9"/>
  <c r="E146" i="9"/>
  <c r="H146" i="9"/>
  <c r="I146" i="9"/>
  <c r="J146" i="9"/>
  <c r="K146" i="9" s="1"/>
  <c r="H144" i="9"/>
  <c r="D144" i="9"/>
  <c r="L144" i="9"/>
  <c r="M144" i="9"/>
  <c r="M94" i="9"/>
  <c r="F17" i="9"/>
  <c r="E17" i="9"/>
  <c r="G17" i="9"/>
  <c r="H17" i="9"/>
  <c r="I17" i="9"/>
  <c r="J17" i="9"/>
  <c r="K17" i="9" s="1"/>
  <c r="L17" i="9"/>
  <c r="M17" i="9"/>
  <c r="B17" i="9"/>
  <c r="C17" i="9"/>
  <c r="D17" i="9"/>
  <c r="J267" i="9"/>
  <c r="K267" i="9" s="1"/>
  <c r="L267" i="9"/>
  <c r="J130" i="9"/>
  <c r="K130" i="9" s="1"/>
  <c r="E130" i="9"/>
  <c r="F130" i="9"/>
  <c r="G130" i="9"/>
  <c r="F97" i="9"/>
  <c r="B97" i="9"/>
  <c r="J97" i="9"/>
  <c r="K97" i="9" s="1"/>
  <c r="L97" i="9"/>
  <c r="C97" i="9"/>
  <c r="D97" i="9"/>
  <c r="G97" i="9"/>
  <c r="H97" i="9" s="1"/>
  <c r="D91" i="9"/>
  <c r="C91" i="9"/>
  <c r="F91" i="9"/>
  <c r="G91" i="9"/>
  <c r="H91" i="9" s="1"/>
  <c r="E272" i="9"/>
  <c r="G272" i="9"/>
  <c r="D221" i="9"/>
  <c r="E221" i="9"/>
  <c r="F221" i="9"/>
  <c r="D183" i="9"/>
  <c r="I183" i="9"/>
  <c r="J183" i="9"/>
  <c r="K183" i="9" s="1"/>
  <c r="B183" i="9"/>
  <c r="M139" i="9"/>
  <c r="G139" i="9"/>
  <c r="I139" i="9"/>
  <c r="J139" i="9"/>
  <c r="K139" i="9" s="1"/>
  <c r="D139" i="9"/>
  <c r="E139" i="9"/>
  <c r="F139" i="9"/>
  <c r="L139" i="9"/>
  <c r="G121" i="9"/>
  <c r="H121" i="9"/>
  <c r="E121" i="9"/>
  <c r="F121" i="9"/>
  <c r="L73" i="9"/>
  <c r="M73" i="9"/>
  <c r="B73" i="9"/>
  <c r="C73" i="9"/>
  <c r="D73" i="9"/>
  <c r="E73" i="9"/>
  <c r="F73" i="9"/>
  <c r="G73" i="9"/>
  <c r="H73" i="9"/>
  <c r="I73" i="9"/>
  <c r="J73" i="9"/>
  <c r="K73" i="9" s="1"/>
  <c r="C68" i="9"/>
  <c r="G68" i="9"/>
  <c r="H68" i="9"/>
  <c r="I68" i="9"/>
  <c r="J68" i="9"/>
  <c r="K68" i="9" s="1"/>
  <c r="M68" i="9"/>
  <c r="L68" i="9"/>
  <c r="E68" i="9"/>
  <c r="F68" i="9"/>
  <c r="G210" i="9"/>
  <c r="L185" i="9"/>
  <c r="E185" i="9"/>
  <c r="F185" i="9"/>
  <c r="J159" i="9"/>
  <c r="K159" i="9" s="1"/>
  <c r="M159" i="9"/>
  <c r="C142" i="9"/>
  <c r="F138" i="9"/>
  <c r="G138" i="9"/>
  <c r="D138" i="9"/>
  <c r="H114" i="9"/>
  <c r="J112" i="9"/>
  <c r="K112" i="9" s="1"/>
  <c r="E110" i="9"/>
  <c r="E108" i="9"/>
  <c r="H104" i="9"/>
  <c r="I104" i="9"/>
  <c r="F104" i="9"/>
  <c r="M92" i="9"/>
  <c r="E48" i="9"/>
  <c r="D41" i="9"/>
  <c r="H39" i="9"/>
  <c r="B155" i="9"/>
  <c r="H155" i="9"/>
  <c r="C110" i="9"/>
  <c r="C108" i="9"/>
  <c r="D102" i="9"/>
  <c r="J102" i="9"/>
  <c r="F98" i="9"/>
  <c r="G98" i="9"/>
  <c r="L98" i="9"/>
  <c r="F95" i="9"/>
  <c r="L95" i="9"/>
  <c r="C95" i="9"/>
  <c r="G95" i="9"/>
  <c r="I95" i="9" s="1"/>
  <c r="H95" i="9"/>
  <c r="J95" i="9"/>
  <c r="K95" i="9" s="1"/>
  <c r="G87" i="9"/>
  <c r="H87" i="9" s="1"/>
  <c r="L56" i="9"/>
  <c r="M56" i="9"/>
  <c r="D56" i="9"/>
  <c r="E56" i="9"/>
  <c r="F56" i="9"/>
  <c r="G56" i="9"/>
  <c r="J56" i="9"/>
  <c r="K56" i="9" s="1"/>
  <c r="B56" i="9"/>
  <c r="C56" i="9"/>
  <c r="H56" i="9"/>
  <c r="I56" i="9"/>
  <c r="B45" i="9"/>
  <c r="F45" i="9"/>
  <c r="G45" i="9"/>
  <c r="H45" i="9"/>
  <c r="I45" i="9"/>
  <c r="L45" i="9"/>
  <c r="M45" i="9"/>
  <c r="F39" i="9"/>
  <c r="M39" i="9" s="1"/>
  <c r="C7" i="9"/>
  <c r="H153" i="9"/>
  <c r="C153" i="9"/>
  <c r="D153" i="9"/>
  <c r="E153" i="9"/>
  <c r="J127" i="9"/>
  <c r="K127" i="9" s="1"/>
  <c r="G127" i="9"/>
  <c r="H127" i="9" s="1"/>
  <c r="B108" i="9"/>
  <c r="C48" i="9"/>
  <c r="M48" i="9"/>
  <c r="J48" i="9"/>
  <c r="K48" i="9" s="1"/>
  <c r="L48" i="9"/>
  <c r="G41" i="9"/>
  <c r="H41" i="9"/>
  <c r="J110" i="9"/>
  <c r="K110" i="9" s="1"/>
  <c r="I110" i="9"/>
  <c r="J87" i="9"/>
  <c r="K87" i="9" s="1"/>
  <c r="B87" i="9"/>
  <c r="C87" i="9"/>
  <c r="D87" i="9"/>
  <c r="C39" i="9"/>
  <c r="D39" i="9"/>
  <c r="I7" i="9"/>
  <c r="J7" i="9"/>
  <c r="K7" i="9" s="1"/>
  <c r="L7" i="9"/>
  <c r="M7" i="9"/>
  <c r="D7" i="9"/>
  <c r="E7" i="9"/>
  <c r="F7" i="9"/>
  <c r="G7" i="9"/>
  <c r="H7" i="9"/>
  <c r="B200" i="9"/>
  <c r="B195" i="9"/>
  <c r="F195" i="9"/>
  <c r="G190" i="9"/>
  <c r="M190" i="9"/>
  <c r="H190" i="9"/>
  <c r="C177" i="9"/>
  <c r="E166" i="9"/>
  <c r="L166" i="9"/>
  <c r="B164" i="9"/>
  <c r="C129" i="9"/>
  <c r="D129" i="9"/>
  <c r="L129" i="9"/>
  <c r="G84" i="9"/>
  <c r="H84" i="9" s="1"/>
  <c r="J84" i="9"/>
  <c r="K84" i="9" s="1"/>
  <c r="L84" i="9"/>
  <c r="F77" i="9"/>
  <c r="H77" i="9"/>
  <c r="I77" i="9"/>
  <c r="J77" i="9"/>
  <c r="K77" i="9" s="1"/>
  <c r="L53" i="9"/>
  <c r="C53" i="9"/>
  <c r="D53" i="9"/>
  <c r="E53" i="9"/>
  <c r="J53" i="9"/>
  <c r="K53" i="9" s="1"/>
  <c r="M53" i="9"/>
  <c r="J30" i="9"/>
  <c r="K30" i="9" s="1"/>
  <c r="B30" i="9"/>
  <c r="C30" i="9"/>
  <c r="D30" i="9"/>
  <c r="H30" i="9"/>
  <c r="I30" i="9"/>
  <c r="L30" i="9"/>
  <c r="M30" i="9"/>
  <c r="I151" i="9"/>
  <c r="J151" i="9"/>
  <c r="K151" i="9" s="1"/>
  <c r="H124" i="9"/>
  <c r="I124" i="9"/>
  <c r="B124" i="9"/>
  <c r="J124" i="9"/>
  <c r="K124" i="9" s="1"/>
  <c r="D124" i="9"/>
  <c r="F124" i="9"/>
  <c r="M124" i="9" s="1"/>
  <c r="C114" i="9"/>
  <c r="I114" i="9"/>
  <c r="J114" i="9"/>
  <c r="D112" i="9"/>
  <c r="G112" i="9"/>
  <c r="L16" i="9"/>
  <c r="M16" i="9"/>
  <c r="B16" i="9"/>
  <c r="C16" i="9"/>
  <c r="D16" i="9"/>
  <c r="E135" i="9"/>
  <c r="F135" i="9"/>
  <c r="L135" i="9"/>
  <c r="M135" i="9"/>
  <c r="L133" i="9"/>
  <c r="C133" i="9"/>
  <c r="L116" i="9"/>
  <c r="M116" i="9"/>
  <c r="E116" i="9"/>
  <c r="F116" i="9"/>
  <c r="D92" i="9"/>
  <c r="B92" i="9"/>
  <c r="C92" i="9"/>
  <c r="M79" i="9"/>
  <c r="E79" i="9"/>
  <c r="F79" i="9"/>
  <c r="G79" i="9"/>
  <c r="H79" i="9"/>
  <c r="L79" i="9"/>
  <c r="I47" i="9"/>
  <c r="J47" i="9"/>
  <c r="K47" i="9" s="1"/>
  <c r="C47" i="9"/>
  <c r="D47" i="9"/>
  <c r="E47" i="9"/>
  <c r="F47" i="9"/>
  <c r="L47" i="9"/>
  <c r="M47" i="9"/>
  <c r="M19" i="9"/>
  <c r="C19" i="9"/>
  <c r="D19" i="9"/>
  <c r="E19" i="9"/>
  <c r="F19" i="9"/>
  <c r="G19" i="9"/>
  <c r="I19" i="9"/>
  <c r="J19" i="9"/>
  <c r="K19" i="9" s="1"/>
  <c r="M59" i="9"/>
  <c r="L59" i="9"/>
  <c r="F44" i="9"/>
  <c r="C34" i="9"/>
  <c r="C31" i="9"/>
  <c r="H24" i="9"/>
  <c r="I24" i="9"/>
  <c r="B24" i="9"/>
  <c r="C24" i="9"/>
  <c r="D24" i="9"/>
  <c r="E24" i="9"/>
  <c r="J24" i="9"/>
  <c r="K24" i="9" s="1"/>
  <c r="L24" i="9"/>
  <c r="E15" i="9"/>
  <c r="F15" i="9"/>
  <c r="L15" i="9"/>
  <c r="H15" i="9"/>
  <c r="I15" i="9"/>
  <c r="J15" i="9"/>
  <c r="K15" i="9" s="1"/>
  <c r="M15" i="9"/>
  <c r="J6" i="9"/>
  <c r="K6" i="9" s="1"/>
  <c r="H44" i="9"/>
  <c r="I44" i="9"/>
  <c r="B44" i="9"/>
  <c r="C44" i="9"/>
  <c r="D44" i="9"/>
  <c r="E34" i="9"/>
  <c r="M34" i="9"/>
  <c r="D31" i="9"/>
  <c r="F31" i="9"/>
  <c r="G31" i="9"/>
  <c r="H31" i="9"/>
  <c r="I31" i="9"/>
  <c r="L31" i="9"/>
  <c r="M31" i="9"/>
  <c r="C9" i="9"/>
  <c r="D9" i="9"/>
  <c r="F9" i="9"/>
  <c r="G9" i="9"/>
  <c r="H9" i="9" s="1"/>
  <c r="J9" i="9"/>
  <c r="K9" i="9" s="1"/>
  <c r="L9" i="9"/>
  <c r="B6" i="9"/>
  <c r="C6" i="9"/>
  <c r="D6" i="9"/>
  <c r="E6" i="9"/>
  <c r="F6" i="9"/>
  <c r="G6" i="9"/>
  <c r="I6" i="9"/>
  <c r="L136" i="9"/>
  <c r="M136" i="9"/>
  <c r="B136" i="9"/>
  <c r="H136" i="9"/>
  <c r="M119" i="9"/>
  <c r="D119" i="9"/>
  <c r="J119" i="9"/>
  <c r="K119" i="9" s="1"/>
  <c r="E54" i="9"/>
  <c r="G54" i="9"/>
  <c r="H54" i="9"/>
  <c r="I54" i="9"/>
  <c r="J54" i="9"/>
  <c r="K54" i="9" s="1"/>
  <c r="M54" i="9"/>
  <c r="F38" i="9"/>
  <c r="G38" i="9"/>
  <c r="M38" i="9"/>
  <c r="I38" i="9"/>
  <c r="J38" i="9"/>
  <c r="K38" i="9" s="1"/>
  <c r="L38" i="9"/>
  <c r="G33" i="9"/>
  <c r="H33" i="9" s="1"/>
  <c r="D12" i="9"/>
  <c r="F12" i="9"/>
  <c r="G12" i="9"/>
  <c r="I12" i="9" s="1"/>
  <c r="B12" i="9"/>
  <c r="C12" i="9"/>
  <c r="H12" i="9"/>
  <c r="G150" i="9"/>
  <c r="M150" i="9"/>
  <c r="H82" i="9"/>
  <c r="M80" i="9"/>
  <c r="B66" i="9"/>
  <c r="C66" i="9"/>
  <c r="I66" i="9"/>
  <c r="J66" i="9"/>
  <c r="K66" i="9" s="1"/>
  <c r="L66" i="9"/>
  <c r="M66" i="9"/>
  <c r="H64" i="9"/>
  <c r="I64" i="9"/>
  <c r="L64" i="9"/>
  <c r="M64" i="9"/>
  <c r="L36" i="9"/>
  <c r="M36" i="9"/>
  <c r="J36" i="9"/>
  <c r="K36" i="9" s="1"/>
  <c r="F187" i="9"/>
  <c r="L187" i="9"/>
  <c r="B175" i="9"/>
  <c r="H175" i="9"/>
  <c r="F134" i="9"/>
  <c r="M134" i="9" s="1"/>
  <c r="L134" i="9"/>
  <c r="D132" i="9"/>
  <c r="J132" i="9"/>
  <c r="E115" i="9"/>
  <c r="F115" i="9"/>
  <c r="L115" i="9"/>
  <c r="C109" i="9"/>
  <c r="D109" i="9"/>
  <c r="H109" i="9"/>
  <c r="I109" i="9"/>
  <c r="I107" i="9"/>
  <c r="J107" i="9"/>
  <c r="K107" i="9" s="1"/>
  <c r="D107" i="9"/>
  <c r="L107" i="9"/>
  <c r="L33" i="9"/>
  <c r="C33" i="9"/>
  <c r="D33" i="9"/>
  <c r="F33" i="9"/>
  <c r="J33" i="9"/>
  <c r="K33" i="9" s="1"/>
  <c r="J81" i="9"/>
  <c r="K81" i="9" s="1"/>
  <c r="I74" i="9"/>
  <c r="B46" i="9"/>
  <c r="C46" i="9"/>
  <c r="I46" i="9"/>
  <c r="D32" i="9"/>
  <c r="F18" i="9"/>
  <c r="G18" i="9"/>
  <c r="M18" i="9"/>
  <c r="E76" i="9"/>
  <c r="H74" i="9"/>
  <c r="C69" i="9"/>
  <c r="D69" i="9"/>
  <c r="J69" i="9"/>
  <c r="K69" i="9" s="1"/>
  <c r="E55" i="9"/>
  <c r="F55" i="9"/>
  <c r="L55" i="9"/>
  <c r="I49" i="9"/>
  <c r="I35" i="9"/>
  <c r="D10" i="9"/>
  <c r="F118" i="9"/>
  <c r="G118" i="9"/>
  <c r="B106" i="9"/>
  <c r="C106" i="9"/>
  <c r="G101" i="9"/>
  <c r="I101" i="9" s="1"/>
  <c r="M101" i="9" s="1"/>
  <c r="H101" i="9"/>
  <c r="F81" i="9"/>
  <c r="F78" i="9"/>
  <c r="G78" i="9"/>
  <c r="M78" i="9"/>
  <c r="G74" i="9"/>
  <c r="F65" i="9"/>
  <c r="F51" i="9"/>
  <c r="H49" i="9"/>
  <c r="H35" i="9"/>
  <c r="J10" i="9"/>
  <c r="K10" i="9" s="1"/>
  <c r="L10" i="9"/>
  <c r="M10" i="9"/>
  <c r="C81" i="9"/>
  <c r="L76" i="9"/>
  <c r="M76" i="9"/>
  <c r="C74" i="9"/>
  <c r="E49" i="9"/>
  <c r="C35" i="9"/>
  <c r="G21" i="9"/>
  <c r="H21" i="9"/>
  <c r="B74" i="9"/>
  <c r="B26" i="9"/>
  <c r="C26" i="9"/>
  <c r="I26" i="9"/>
  <c r="G81" i="9"/>
  <c r="I81" i="9" s="1"/>
  <c r="C49" i="9"/>
  <c r="D49" i="9"/>
  <c r="J49" i="9"/>
  <c r="K49" i="9" s="1"/>
  <c r="E35" i="9"/>
  <c r="F35" i="9"/>
  <c r="L35" i="9"/>
  <c r="D72" i="9"/>
  <c r="E72" i="9"/>
  <c r="F58" i="9"/>
  <c r="G58" i="9"/>
  <c r="M58" i="9"/>
  <c r="D435" i="8"/>
  <c r="C424" i="8"/>
  <c r="E424" i="8"/>
  <c r="E401" i="8"/>
  <c r="H392" i="8"/>
  <c r="I392" i="8"/>
  <c r="M392" i="8"/>
  <c r="L392" i="8"/>
  <c r="C392" i="8"/>
  <c r="N376" i="8"/>
  <c r="I376" i="8"/>
  <c r="L376" i="8"/>
  <c r="M376" i="8"/>
  <c r="D376" i="8"/>
  <c r="C353" i="8"/>
  <c r="D353" i="8"/>
  <c r="M348" i="8"/>
  <c r="N348" i="8"/>
  <c r="E332" i="8"/>
  <c r="I279" i="8"/>
  <c r="D105" i="8"/>
  <c r="D474" i="8"/>
  <c r="N467" i="8"/>
  <c r="F463" i="8"/>
  <c r="D463" i="8"/>
  <c r="E463" i="8"/>
  <c r="C456" i="8"/>
  <c r="D456" i="8"/>
  <c r="F407" i="8"/>
  <c r="D407" i="8"/>
  <c r="D332" i="8"/>
  <c r="C315" i="8"/>
  <c r="D315" i="8"/>
  <c r="G286" i="8"/>
  <c r="N242" i="8"/>
  <c r="D242" i="8"/>
  <c r="L111" i="8"/>
  <c r="C105" i="8"/>
  <c r="L29" i="8"/>
  <c r="E383" i="8"/>
  <c r="G379" i="8"/>
  <c r="M343" i="8"/>
  <c r="E336" i="8"/>
  <c r="D259" i="8"/>
  <c r="F259" i="8"/>
  <c r="E253" i="8"/>
  <c r="I253" i="8"/>
  <c r="E194" i="8"/>
  <c r="D84" i="8"/>
  <c r="G9" i="8"/>
  <c r="E480" i="8"/>
  <c r="F480" i="8"/>
  <c r="G480" i="8"/>
  <c r="I480" i="8"/>
  <c r="L480" i="8"/>
  <c r="E416" i="8"/>
  <c r="M416" i="8"/>
  <c r="C107" i="8"/>
  <c r="I107" i="8"/>
  <c r="M107" i="8"/>
  <c r="H420" i="8"/>
  <c r="I420" i="8"/>
  <c r="L420" i="8"/>
  <c r="N420" i="8"/>
  <c r="G325" i="8"/>
  <c r="D325" i="8"/>
  <c r="F325" i="8"/>
  <c r="H325" i="8"/>
  <c r="O325" i="8" s="1"/>
  <c r="C467" i="8"/>
  <c r="G467" i="8"/>
  <c r="H467" i="8"/>
  <c r="J467" i="8" s="1"/>
  <c r="I467" i="8"/>
  <c r="M467" i="8"/>
  <c r="L467" i="8"/>
  <c r="G410" i="8"/>
  <c r="C410" i="8"/>
  <c r="D410" i="8"/>
  <c r="C387" i="8"/>
  <c r="D387" i="8"/>
  <c r="E387" i="8"/>
  <c r="F387" i="8"/>
  <c r="G387" i="8"/>
  <c r="I387" i="8"/>
  <c r="H387" i="8"/>
  <c r="C286" i="8"/>
  <c r="L286" i="8"/>
  <c r="M286" i="8"/>
  <c r="D111" i="8"/>
  <c r="E111" i="8"/>
  <c r="F111" i="8"/>
  <c r="F428" i="8"/>
  <c r="G428" i="8"/>
  <c r="H428" i="8"/>
  <c r="J428" i="8" s="1"/>
  <c r="I428" i="8"/>
  <c r="M428" i="8"/>
  <c r="N428" i="8"/>
  <c r="L409" i="8"/>
  <c r="C352" i="8"/>
  <c r="F352" i="8"/>
  <c r="L352" i="8"/>
  <c r="G319" i="8"/>
  <c r="M296" i="8"/>
  <c r="N296" i="8"/>
  <c r="H296" i="8"/>
  <c r="C246" i="8"/>
  <c r="D246" i="8"/>
  <c r="N198" i="8"/>
  <c r="N167" i="8"/>
  <c r="L487" i="8"/>
  <c r="L423" i="8"/>
  <c r="E423" i="8"/>
  <c r="I414" i="8"/>
  <c r="I409" i="8"/>
  <c r="C395" i="8"/>
  <c r="G395" i="8"/>
  <c r="H395" i="8"/>
  <c r="O395" i="8" s="1"/>
  <c r="I395" i="8"/>
  <c r="C386" i="8"/>
  <c r="G362" i="8"/>
  <c r="M323" i="8"/>
  <c r="M295" i="8"/>
  <c r="E271" i="8"/>
  <c r="F271" i="8"/>
  <c r="L271" i="8"/>
  <c r="N271" i="8"/>
  <c r="M239" i="8"/>
  <c r="I198" i="8"/>
  <c r="E132" i="8"/>
  <c r="F132" i="8"/>
  <c r="L132" i="8"/>
  <c r="F431" i="8"/>
  <c r="E431" i="8"/>
  <c r="O499" i="8"/>
  <c r="K499" i="8"/>
  <c r="C309" i="8"/>
  <c r="M309" i="8"/>
  <c r="E24" i="8"/>
  <c r="C24" i="8"/>
  <c r="D24" i="8"/>
  <c r="E422" i="8"/>
  <c r="D409" i="8"/>
  <c r="M367" i="8"/>
  <c r="G343" i="8"/>
  <c r="H343" i="8"/>
  <c r="I343" i="8"/>
  <c r="L343" i="8"/>
  <c r="N343" i="8"/>
  <c r="C343" i="8"/>
  <c r="L295" i="8"/>
  <c r="G198" i="8"/>
  <c r="F117" i="8"/>
  <c r="D497" i="8"/>
  <c r="M483" i="8"/>
  <c r="N483" i="8"/>
  <c r="F483" i="8"/>
  <c r="D451" i="8"/>
  <c r="F447" i="8"/>
  <c r="F414" i="8"/>
  <c r="C409" i="8"/>
  <c r="L399" i="8"/>
  <c r="M399" i="8"/>
  <c r="N399" i="8"/>
  <c r="F394" i="8"/>
  <c r="E362" i="8"/>
  <c r="D323" i="8"/>
  <c r="I159" i="8"/>
  <c r="C131" i="8"/>
  <c r="D131" i="8"/>
  <c r="E117" i="8"/>
  <c r="C408" i="8"/>
  <c r="D408" i="8"/>
  <c r="H408" i="8"/>
  <c r="E408" i="8"/>
  <c r="F408" i="8"/>
  <c r="G408" i="8"/>
  <c r="C339" i="8"/>
  <c r="E339" i="8"/>
  <c r="H339" i="8"/>
  <c r="J339" i="8" s="1"/>
  <c r="F339" i="8"/>
  <c r="G339" i="8"/>
  <c r="G280" i="8"/>
  <c r="N280" i="8"/>
  <c r="C190" i="8"/>
  <c r="D190" i="8"/>
  <c r="C228" i="8"/>
  <c r="D228" i="8"/>
  <c r="E63" i="8"/>
  <c r="M63" i="8"/>
  <c r="H9" i="8"/>
  <c r="J9" i="8" s="1"/>
  <c r="I9" i="8"/>
  <c r="C471" i="8"/>
  <c r="E471" i="8"/>
  <c r="F471" i="8"/>
  <c r="G471" i="8"/>
  <c r="H471" i="8"/>
  <c r="O471" i="8" s="1"/>
  <c r="J385" i="8"/>
  <c r="C329" i="8"/>
  <c r="M329" i="8"/>
  <c r="N329" i="8"/>
  <c r="C323" i="8"/>
  <c r="G250" i="8"/>
  <c r="I250" i="8"/>
  <c r="L250" i="8"/>
  <c r="M250" i="8"/>
  <c r="N250" i="8"/>
  <c r="H245" i="8"/>
  <c r="I245" i="8"/>
  <c r="I205" i="8"/>
  <c r="G70" i="8"/>
  <c r="H70" i="8"/>
  <c r="E451" i="8"/>
  <c r="F451" i="8"/>
  <c r="C389" i="8"/>
  <c r="E389" i="8"/>
  <c r="G389" i="8"/>
  <c r="C446" i="8"/>
  <c r="M431" i="8"/>
  <c r="M408" i="8"/>
  <c r="N388" i="8"/>
  <c r="G185" i="8"/>
  <c r="H185" i="8"/>
  <c r="O185" i="8" s="1"/>
  <c r="E172" i="8"/>
  <c r="E73" i="8"/>
  <c r="F209" i="8"/>
  <c r="G209" i="8"/>
  <c r="C300" i="8"/>
  <c r="F300" i="8"/>
  <c r="N408" i="8"/>
  <c r="F172" i="8"/>
  <c r="F73" i="8"/>
  <c r="C496" i="8"/>
  <c r="E496" i="8"/>
  <c r="C490" i="8"/>
  <c r="K464" i="8"/>
  <c r="D431" i="8"/>
  <c r="G420" i="8"/>
  <c r="N416" i="8"/>
  <c r="L408" i="8"/>
  <c r="C398" i="8"/>
  <c r="F398" i="8"/>
  <c r="M388" i="8"/>
  <c r="D345" i="8"/>
  <c r="F328" i="8"/>
  <c r="C311" i="8"/>
  <c r="E311" i="8"/>
  <c r="F311" i="8"/>
  <c r="N267" i="8"/>
  <c r="I210" i="8"/>
  <c r="E210" i="8"/>
  <c r="E184" i="8"/>
  <c r="D172" i="8"/>
  <c r="N135" i="8"/>
  <c r="F128" i="8"/>
  <c r="D73" i="8"/>
  <c r="F420" i="8"/>
  <c r="D416" i="8"/>
  <c r="D412" i="8"/>
  <c r="I408" i="8"/>
  <c r="N392" i="8"/>
  <c r="L388" i="8"/>
  <c r="H376" i="8"/>
  <c r="O376" i="8" s="1"/>
  <c r="I267" i="8"/>
  <c r="H209" i="8"/>
  <c r="O209" i="8" s="1"/>
  <c r="E204" i="8"/>
  <c r="I204" i="8"/>
  <c r="D191" i="8"/>
  <c r="F191" i="8"/>
  <c r="G178" i="8"/>
  <c r="I142" i="8"/>
  <c r="N86" i="8"/>
  <c r="C73" i="8"/>
  <c r="C52" i="8"/>
  <c r="D52" i="8"/>
  <c r="E52" i="8"/>
  <c r="F52" i="8"/>
  <c r="G52" i="8"/>
  <c r="N52" i="8"/>
  <c r="L17" i="8"/>
  <c r="C31" i="8"/>
  <c r="E31" i="8"/>
  <c r="F31" i="8"/>
  <c r="I31" i="8"/>
  <c r="M31" i="8"/>
  <c r="N31" i="8"/>
  <c r="E51" i="8"/>
  <c r="L51" i="8"/>
  <c r="M51" i="8"/>
  <c r="C418" i="8"/>
  <c r="D418" i="8"/>
  <c r="M418" i="8"/>
  <c r="N418" i="8"/>
  <c r="L367" i="8"/>
  <c r="N367" i="8"/>
  <c r="H362" i="8"/>
  <c r="K362" i="8" s="1"/>
  <c r="I362" i="8"/>
  <c r="C362" i="8"/>
  <c r="D362" i="8"/>
  <c r="J355" i="8"/>
  <c r="O355" i="8"/>
  <c r="D306" i="8"/>
  <c r="E306" i="8"/>
  <c r="G306" i="8"/>
  <c r="H306" i="8"/>
  <c r="L198" i="8"/>
  <c r="M198" i="8"/>
  <c r="G73" i="8"/>
  <c r="M500" i="8"/>
  <c r="C500" i="8"/>
  <c r="D500" i="8"/>
  <c r="M447" i="8"/>
  <c r="N447" i="8"/>
  <c r="H447" i="8"/>
  <c r="D432" i="8"/>
  <c r="E432" i="8"/>
  <c r="F432" i="8"/>
  <c r="G432" i="8"/>
  <c r="G394" i="8"/>
  <c r="I394" i="8"/>
  <c r="O328" i="8"/>
  <c r="J328" i="8"/>
  <c r="I41" i="8"/>
  <c r="L41" i="8"/>
  <c r="D487" i="8"/>
  <c r="I487" i="8"/>
  <c r="C475" i="8"/>
  <c r="N454" i="8"/>
  <c r="F454" i="8"/>
  <c r="C450" i="8"/>
  <c r="N450" i="8"/>
  <c r="I436" i="8"/>
  <c r="C431" i="8"/>
  <c r="J499" i="8"/>
  <c r="D480" i="8"/>
  <c r="M453" i="8"/>
  <c r="H436" i="8"/>
  <c r="O436" i="8" s="1"/>
  <c r="E420" i="8"/>
  <c r="C416" i="8"/>
  <c r="G403" i="8"/>
  <c r="H403" i="8"/>
  <c r="J403" i="8" s="1"/>
  <c r="I403" i="8"/>
  <c r="G392" i="8"/>
  <c r="H388" i="8"/>
  <c r="G376" i="8"/>
  <c r="L369" i="8"/>
  <c r="N339" i="8"/>
  <c r="F305" i="8"/>
  <c r="G305" i="8"/>
  <c r="I280" i="8"/>
  <c r="N253" i="8"/>
  <c r="C249" i="8"/>
  <c r="G249" i="8"/>
  <c r="I249" i="8"/>
  <c r="E209" i="8"/>
  <c r="I190" i="8"/>
  <c r="D157" i="8"/>
  <c r="E157" i="8"/>
  <c r="G157" i="8"/>
  <c r="N157" i="8"/>
  <c r="I157" i="8"/>
  <c r="L157" i="8"/>
  <c r="H142" i="8"/>
  <c r="E86" i="8"/>
  <c r="G80" i="8"/>
  <c r="D80" i="8"/>
  <c r="E80" i="8"/>
  <c r="N51" i="8"/>
  <c r="G24" i="8"/>
  <c r="D373" i="8"/>
  <c r="C171" i="8"/>
  <c r="E22" i="8"/>
  <c r="E498" i="8"/>
  <c r="E459" i="8"/>
  <c r="D455" i="8"/>
  <c r="F442" i="8"/>
  <c r="C438" i="8"/>
  <c r="C425" i="8"/>
  <c r="E415" i="8"/>
  <c r="F384" i="8"/>
  <c r="D368" i="8"/>
  <c r="F351" i="8"/>
  <c r="D347" i="8"/>
  <c r="H335" i="8"/>
  <c r="F321" i="8"/>
  <c r="G303" i="8"/>
  <c r="H283" i="8"/>
  <c r="O283" i="8" s="1"/>
  <c r="F261" i="8"/>
  <c r="F211" i="8"/>
  <c r="E200" i="8"/>
  <c r="L195" i="8"/>
  <c r="F181" i="8"/>
  <c r="D164" i="8"/>
  <c r="H127" i="8"/>
  <c r="J127" i="8" s="1"/>
  <c r="M103" i="8"/>
  <c r="G76" i="8"/>
  <c r="F72" i="8"/>
  <c r="C48" i="8"/>
  <c r="I38" i="8"/>
  <c r="L26" i="8"/>
  <c r="M14" i="8"/>
  <c r="M11" i="8"/>
  <c r="D498" i="8"/>
  <c r="C455" i="8"/>
  <c r="N444" i="8"/>
  <c r="E442" i="8"/>
  <c r="D415" i="8"/>
  <c r="E384" i="8"/>
  <c r="C351" i="8"/>
  <c r="C347" i="8"/>
  <c r="G335" i="8"/>
  <c r="F303" i="8"/>
  <c r="E283" i="8"/>
  <c r="E261" i="8"/>
  <c r="C216" i="8"/>
  <c r="E211" i="8"/>
  <c r="D200" i="8"/>
  <c r="E181" i="8"/>
  <c r="H176" i="8"/>
  <c r="J176" i="8" s="1"/>
  <c r="I145" i="8"/>
  <c r="L103" i="8"/>
  <c r="L82" i="8"/>
  <c r="D72" i="8"/>
  <c r="G38" i="8"/>
  <c r="H26" i="8"/>
  <c r="L14" i="8"/>
  <c r="L11" i="8"/>
  <c r="N14" i="8"/>
  <c r="C498" i="8"/>
  <c r="M444" i="8"/>
  <c r="D442" i="8"/>
  <c r="E335" i="8"/>
  <c r="C283" i="8"/>
  <c r="N265" i="8"/>
  <c r="C200" i="8"/>
  <c r="I195" i="8"/>
  <c r="F38" i="8"/>
  <c r="G26" i="8"/>
  <c r="I14" i="8"/>
  <c r="G11" i="8"/>
  <c r="L444" i="8"/>
  <c r="H291" i="8"/>
  <c r="J291" i="8" s="1"/>
  <c r="I276" i="8"/>
  <c r="M265" i="8"/>
  <c r="N235" i="8"/>
  <c r="H195" i="8"/>
  <c r="J195" i="8" s="1"/>
  <c r="N47" i="8"/>
  <c r="H14" i="8"/>
  <c r="J14" i="8" s="1"/>
  <c r="G444" i="8"/>
  <c r="F320" i="8"/>
  <c r="E291" i="8"/>
  <c r="H276" i="8"/>
  <c r="I265" i="8"/>
  <c r="M235" i="8"/>
  <c r="L47" i="8"/>
  <c r="M222" i="8"/>
  <c r="C222" i="8"/>
  <c r="L222" i="8"/>
  <c r="N222" i="8"/>
  <c r="E19" i="8"/>
  <c r="F19" i="8"/>
  <c r="G19" i="8"/>
  <c r="I19" i="8"/>
  <c r="L19" i="8"/>
  <c r="F429" i="8"/>
  <c r="G429" i="8"/>
  <c r="I429" i="8"/>
  <c r="I380" i="8"/>
  <c r="L380" i="8"/>
  <c r="G468" i="8"/>
  <c r="L468" i="8"/>
  <c r="M468" i="8"/>
  <c r="E228" i="8"/>
  <c r="G228" i="8"/>
  <c r="I228" i="8"/>
  <c r="M228" i="8"/>
  <c r="N228" i="8"/>
  <c r="C206" i="8"/>
  <c r="D206" i="8"/>
  <c r="E206" i="8"/>
  <c r="G206" i="8"/>
  <c r="F178" i="8"/>
  <c r="I178" i="8"/>
  <c r="L178" i="8"/>
  <c r="N178" i="8"/>
  <c r="G147" i="8"/>
  <c r="I147" i="8"/>
  <c r="M147" i="8"/>
  <c r="N147" i="8"/>
  <c r="H102" i="8"/>
  <c r="K102" i="8" s="1"/>
  <c r="I102" i="8"/>
  <c r="L414" i="8"/>
  <c r="D414" i="8"/>
  <c r="C414" i="8"/>
  <c r="H414" i="8"/>
  <c r="J414" i="8" s="1"/>
  <c r="F277" i="8"/>
  <c r="N277" i="8"/>
  <c r="G277" i="8"/>
  <c r="H277" i="8"/>
  <c r="I277" i="8"/>
  <c r="D129" i="8"/>
  <c r="M129" i="8"/>
  <c r="N129" i="8"/>
  <c r="H432" i="8"/>
  <c r="O432" i="8" s="1"/>
  <c r="I432" i="8"/>
  <c r="H308" i="8"/>
  <c r="J308" i="8" s="1"/>
  <c r="G308" i="8"/>
  <c r="I308" i="8"/>
  <c r="L308" i="8"/>
  <c r="I305" i="8"/>
  <c r="M305" i="8"/>
  <c r="L305" i="8"/>
  <c r="N305" i="8"/>
  <c r="C141" i="8"/>
  <c r="D141" i="8"/>
  <c r="F39" i="8"/>
  <c r="L39" i="8"/>
  <c r="M39" i="8"/>
  <c r="O455" i="8"/>
  <c r="K455" i="8"/>
  <c r="D439" i="8"/>
  <c r="E439" i="8"/>
  <c r="C158" i="8"/>
  <c r="E158" i="8"/>
  <c r="C134" i="8"/>
  <c r="D134" i="8"/>
  <c r="L134" i="8"/>
  <c r="N134" i="8"/>
  <c r="E13" i="8"/>
  <c r="F13" i="8"/>
  <c r="G13" i="8"/>
  <c r="H13" i="8"/>
  <c r="K13" i="8" s="1"/>
  <c r="I13" i="8"/>
  <c r="D165" i="8"/>
  <c r="E165" i="8"/>
  <c r="C165" i="8"/>
  <c r="M220" i="8"/>
  <c r="G220" i="8"/>
  <c r="G464" i="8"/>
  <c r="D464" i="8"/>
  <c r="C464" i="8"/>
  <c r="G447" i="8"/>
  <c r="E447" i="8"/>
  <c r="C447" i="8"/>
  <c r="M371" i="8"/>
  <c r="D339" i="8"/>
  <c r="I339" i="8"/>
  <c r="L339" i="8"/>
  <c r="M339" i="8"/>
  <c r="G317" i="8"/>
  <c r="D317" i="8"/>
  <c r="E317" i="8"/>
  <c r="F317" i="8"/>
  <c r="H317" i="8"/>
  <c r="I317" i="8"/>
  <c r="C232" i="8"/>
  <c r="H232" i="8"/>
  <c r="O232" i="8" s="1"/>
  <c r="F86" i="8"/>
  <c r="G86" i="8"/>
  <c r="H86" i="8"/>
  <c r="O86" i="8" s="1"/>
  <c r="L86" i="8"/>
  <c r="M86" i="8"/>
  <c r="O73" i="8"/>
  <c r="J73" i="8"/>
  <c r="K73" i="8"/>
  <c r="F27" i="8"/>
  <c r="G27" i="8"/>
  <c r="I27" i="8"/>
  <c r="L27" i="8"/>
  <c r="E27" i="8"/>
  <c r="D489" i="8"/>
  <c r="E489" i="8"/>
  <c r="M489" i="8"/>
  <c r="L485" i="8"/>
  <c r="N479" i="8"/>
  <c r="M463" i="8"/>
  <c r="D428" i="8"/>
  <c r="L428" i="8"/>
  <c r="J415" i="8"/>
  <c r="O415" i="8"/>
  <c r="E381" i="8"/>
  <c r="C381" i="8"/>
  <c r="L375" i="8"/>
  <c r="E327" i="8"/>
  <c r="C327" i="8"/>
  <c r="N254" i="8"/>
  <c r="N224" i="8"/>
  <c r="M495" i="8"/>
  <c r="E491" i="8"/>
  <c r="D488" i="8"/>
  <c r="C483" i="8"/>
  <c r="I483" i="8"/>
  <c r="M479" i="8"/>
  <c r="E472" i="8"/>
  <c r="L463" i="8"/>
  <c r="M460" i="8"/>
  <c r="N456" i="8"/>
  <c r="E434" i="8"/>
  <c r="D434" i="8"/>
  <c r="D398" i="8"/>
  <c r="D395" i="8"/>
  <c r="N380" i="8"/>
  <c r="I375" i="8"/>
  <c r="I371" i="8"/>
  <c r="M337" i="8"/>
  <c r="F280" i="8"/>
  <c r="L275" i="8"/>
  <c r="C271" i="8"/>
  <c r="G271" i="8"/>
  <c r="I271" i="8"/>
  <c r="H254" i="8"/>
  <c r="K254" i="8" s="1"/>
  <c r="I224" i="8"/>
  <c r="I209" i="8"/>
  <c r="N209" i="8"/>
  <c r="D204" i="8"/>
  <c r="F204" i="8"/>
  <c r="G204" i="8"/>
  <c r="M204" i="8"/>
  <c r="N204" i="8"/>
  <c r="C185" i="8"/>
  <c r="I185" i="8"/>
  <c r="L185" i="8"/>
  <c r="N185" i="8"/>
  <c r="D185" i="8"/>
  <c r="E185" i="8"/>
  <c r="F185" i="8"/>
  <c r="M185" i="8"/>
  <c r="D169" i="8"/>
  <c r="E169" i="8"/>
  <c r="H169" i="8"/>
  <c r="I169" i="8"/>
  <c r="L169" i="8"/>
  <c r="L139" i="8"/>
  <c r="C139" i="8"/>
  <c r="E139" i="8"/>
  <c r="F139" i="8"/>
  <c r="G139" i="8"/>
  <c r="H139" i="8"/>
  <c r="J139" i="8" s="1"/>
  <c r="M139" i="8"/>
  <c r="F63" i="8"/>
  <c r="M480" i="8"/>
  <c r="N480" i="8"/>
  <c r="N463" i="8"/>
  <c r="L371" i="8"/>
  <c r="G213" i="8"/>
  <c r="E213" i="8"/>
  <c r="F213" i="8"/>
  <c r="I213" i="8"/>
  <c r="M213" i="8"/>
  <c r="H213" i="8"/>
  <c r="J213" i="8" s="1"/>
  <c r="L213" i="8"/>
  <c r="N213" i="8"/>
  <c r="N460" i="8"/>
  <c r="N446" i="8"/>
  <c r="N500" i="8"/>
  <c r="L495" i="8"/>
  <c r="I485" i="8"/>
  <c r="L479" i="8"/>
  <c r="N468" i="8"/>
  <c r="L460" i="8"/>
  <c r="M456" i="8"/>
  <c r="F449" i="8"/>
  <c r="E449" i="8"/>
  <c r="D449" i="8"/>
  <c r="I446" i="8"/>
  <c r="M380" i="8"/>
  <c r="H375" i="8"/>
  <c r="K375" i="8" s="1"/>
  <c r="H371" i="8"/>
  <c r="L337" i="8"/>
  <c r="H326" i="8"/>
  <c r="O326" i="8" s="1"/>
  <c r="L326" i="8"/>
  <c r="M326" i="8"/>
  <c r="N326" i="8"/>
  <c r="N322" i="8"/>
  <c r="E286" i="8"/>
  <c r="C275" i="8"/>
  <c r="C260" i="8"/>
  <c r="H260" i="8"/>
  <c r="K260" i="8" s="1"/>
  <c r="I260" i="8"/>
  <c r="L243" i="8"/>
  <c r="M243" i="8"/>
  <c r="G208" i="8"/>
  <c r="M70" i="8"/>
  <c r="N70" i="8"/>
  <c r="D37" i="8"/>
  <c r="E37" i="8"/>
  <c r="N485" i="8"/>
  <c r="E461" i="8"/>
  <c r="G461" i="8"/>
  <c r="L379" i="8"/>
  <c r="C379" i="8"/>
  <c r="D379" i="8"/>
  <c r="E379" i="8"/>
  <c r="H379" i="8"/>
  <c r="F495" i="8"/>
  <c r="H485" i="8"/>
  <c r="J485" i="8" s="1"/>
  <c r="E467" i="8"/>
  <c r="F467" i="8"/>
  <c r="I460" i="8"/>
  <c r="L456" i="8"/>
  <c r="H446" i="8"/>
  <c r="M442" i="8"/>
  <c r="L442" i="8"/>
  <c r="N429" i="8"/>
  <c r="L426" i="8"/>
  <c r="D424" i="8"/>
  <c r="M424" i="8"/>
  <c r="N424" i="8"/>
  <c r="M404" i="8"/>
  <c r="N387" i="8"/>
  <c r="M387" i="8"/>
  <c r="H380" i="8"/>
  <c r="G375" i="8"/>
  <c r="G371" i="8"/>
  <c r="G352" i="8"/>
  <c r="H352" i="8"/>
  <c r="I352" i="8"/>
  <c r="M352" i="8"/>
  <c r="N325" i="8"/>
  <c r="M322" i="8"/>
  <c r="N315" i="8"/>
  <c r="H298" i="8"/>
  <c r="E298" i="8"/>
  <c r="F298" i="8"/>
  <c r="G298" i="8"/>
  <c r="I298" i="8"/>
  <c r="N293" i="8"/>
  <c r="H231" i="8"/>
  <c r="O231" i="8" s="1"/>
  <c r="F231" i="8"/>
  <c r="L231" i="8"/>
  <c r="I97" i="8"/>
  <c r="L30" i="8"/>
  <c r="C23" i="8"/>
  <c r="G23" i="8"/>
  <c r="M23" i="8"/>
  <c r="N23" i="8"/>
  <c r="N371" i="8"/>
  <c r="D369" i="8"/>
  <c r="M369" i="8"/>
  <c r="L398" i="8"/>
  <c r="I398" i="8"/>
  <c r="G398" i="8"/>
  <c r="H398" i="8"/>
  <c r="F375" i="8"/>
  <c r="I254" i="8"/>
  <c r="M254" i="8"/>
  <c r="H144" i="8"/>
  <c r="N144" i="8"/>
  <c r="D144" i="8"/>
  <c r="E144" i="8"/>
  <c r="I144" i="8"/>
  <c r="E108" i="8"/>
  <c r="D108" i="8"/>
  <c r="F108" i="8"/>
  <c r="H97" i="8"/>
  <c r="F78" i="8"/>
  <c r="G78" i="8"/>
  <c r="E55" i="8"/>
  <c r="F55" i="8"/>
  <c r="G55" i="8"/>
  <c r="L45" i="8"/>
  <c r="I30" i="8"/>
  <c r="F436" i="8"/>
  <c r="G436" i="8"/>
  <c r="L436" i="8"/>
  <c r="M375" i="8"/>
  <c r="D295" i="8"/>
  <c r="G295" i="8"/>
  <c r="H295" i="8"/>
  <c r="J295" i="8" s="1"/>
  <c r="I295" i="8"/>
  <c r="C255" i="8"/>
  <c r="E255" i="8"/>
  <c r="D255" i="8"/>
  <c r="H255" i="8"/>
  <c r="L255" i="8"/>
  <c r="G485" i="8"/>
  <c r="H460" i="8"/>
  <c r="K460" i="8" s="1"/>
  <c r="G380" i="8"/>
  <c r="E485" i="8"/>
  <c r="I481" i="8"/>
  <c r="G479" i="8"/>
  <c r="I468" i="8"/>
  <c r="H463" i="8"/>
  <c r="G460" i="8"/>
  <c r="I456" i="8"/>
  <c r="F446" i="8"/>
  <c r="H444" i="8"/>
  <c r="I444" i="8"/>
  <c r="M436" i="8"/>
  <c r="N432" i="8"/>
  <c r="L429" i="8"/>
  <c r="D397" i="8"/>
  <c r="F380" i="8"/>
  <c r="E375" i="8"/>
  <c r="E371" i="8"/>
  <c r="L359" i="8"/>
  <c r="M359" i="8"/>
  <c r="N359" i="8"/>
  <c r="N340" i="8"/>
  <c r="L325" i="8"/>
  <c r="I322" i="8"/>
  <c r="L315" i="8"/>
  <c r="L293" i="8"/>
  <c r="I189" i="8"/>
  <c r="D189" i="8"/>
  <c r="E97" i="8"/>
  <c r="F50" i="8"/>
  <c r="L50" i="8"/>
  <c r="N50" i="8"/>
  <c r="I45" i="8"/>
  <c r="H30" i="8"/>
  <c r="O30" i="8" s="1"/>
  <c r="D21" i="8"/>
  <c r="C21" i="8"/>
  <c r="F21" i="8"/>
  <c r="G21" i="8"/>
  <c r="H21" i="8"/>
  <c r="I21" i="8"/>
  <c r="H495" i="8"/>
  <c r="J495" i="8" s="1"/>
  <c r="I495" i="8"/>
  <c r="I61" i="8"/>
  <c r="D61" i="8"/>
  <c r="E61" i="8"/>
  <c r="F61" i="8"/>
  <c r="G61" i="8"/>
  <c r="H61" i="8"/>
  <c r="L61" i="8"/>
  <c r="E404" i="8"/>
  <c r="F404" i="8"/>
  <c r="G404" i="8"/>
  <c r="H404" i="8"/>
  <c r="O404" i="8" s="1"/>
  <c r="N404" i="8"/>
  <c r="N119" i="8"/>
  <c r="D119" i="8"/>
  <c r="E119" i="8"/>
  <c r="F119" i="8"/>
  <c r="G119" i="8"/>
  <c r="H119" i="8"/>
  <c r="K119" i="8" s="1"/>
  <c r="D475" i="8"/>
  <c r="F475" i="8"/>
  <c r="G475" i="8"/>
  <c r="G500" i="8"/>
  <c r="H500" i="8"/>
  <c r="I500" i="8"/>
  <c r="H454" i="8"/>
  <c r="J454" i="8" s="1"/>
  <c r="C454" i="8"/>
  <c r="D454" i="8"/>
  <c r="C336" i="8"/>
  <c r="G336" i="8"/>
  <c r="H336" i="8"/>
  <c r="I336" i="8"/>
  <c r="L336" i="8"/>
  <c r="N193" i="8"/>
  <c r="I193" i="8"/>
  <c r="E426" i="8"/>
  <c r="M426" i="8"/>
  <c r="N426" i="8"/>
  <c r="C267" i="8"/>
  <c r="E267" i="8"/>
  <c r="H451" i="8"/>
  <c r="J451" i="8" s="1"/>
  <c r="I451" i="8"/>
  <c r="O396" i="8"/>
  <c r="K396" i="8"/>
  <c r="F370" i="8"/>
  <c r="G370" i="8"/>
  <c r="H370" i="8"/>
  <c r="J370" i="8" s="1"/>
  <c r="I370" i="8"/>
  <c r="F262" i="8"/>
  <c r="H262" i="8"/>
  <c r="O262" i="8" s="1"/>
  <c r="D81" i="8"/>
  <c r="F81" i="8"/>
  <c r="D471" i="8"/>
  <c r="L471" i="8"/>
  <c r="G423" i="8"/>
  <c r="M423" i="8"/>
  <c r="C423" i="8"/>
  <c r="D385" i="8"/>
  <c r="L385" i="8"/>
  <c r="M385" i="8"/>
  <c r="N385" i="8"/>
  <c r="J483" i="8"/>
  <c r="O483" i="8"/>
  <c r="L443" i="8"/>
  <c r="I443" i="8"/>
  <c r="E443" i="8"/>
  <c r="F396" i="8"/>
  <c r="C396" i="8"/>
  <c r="E396" i="8"/>
  <c r="D396" i="8"/>
  <c r="G396" i="8"/>
  <c r="C372" i="8"/>
  <c r="M372" i="8"/>
  <c r="D372" i="8"/>
  <c r="N372" i="8"/>
  <c r="N332" i="8"/>
  <c r="L332" i="8"/>
  <c r="N328" i="8"/>
  <c r="M328" i="8"/>
  <c r="F409" i="8"/>
  <c r="G409" i="8"/>
  <c r="M409" i="8"/>
  <c r="N409" i="8"/>
  <c r="D226" i="8"/>
  <c r="L226" i="8"/>
  <c r="M226" i="8"/>
  <c r="C140" i="8"/>
  <c r="D140" i="8"/>
  <c r="E140" i="8"/>
  <c r="F140" i="8"/>
  <c r="H140" i="8"/>
  <c r="O140" i="8" s="1"/>
  <c r="I140" i="8"/>
  <c r="M140" i="8"/>
  <c r="N140" i="8"/>
  <c r="K467" i="8"/>
  <c r="L500" i="8"/>
  <c r="E495" i="8"/>
  <c r="L481" i="8"/>
  <c r="I463" i="8"/>
  <c r="G446" i="8"/>
  <c r="N436" i="8"/>
  <c r="M429" i="8"/>
  <c r="N423" i="8"/>
  <c r="F371" i="8"/>
  <c r="M325" i="8"/>
  <c r="C224" i="8"/>
  <c r="E224" i="8"/>
  <c r="F224" i="8"/>
  <c r="G224" i="8"/>
  <c r="M224" i="8"/>
  <c r="L454" i="8"/>
  <c r="F500" i="8"/>
  <c r="G498" i="8"/>
  <c r="C495" i="8"/>
  <c r="G490" i="8"/>
  <c r="H481" i="8"/>
  <c r="J481" i="8" s="1"/>
  <c r="L475" i="8"/>
  <c r="J471" i="8"/>
  <c r="H468" i="8"/>
  <c r="G463" i="8"/>
  <c r="F460" i="8"/>
  <c r="H456" i="8"/>
  <c r="J456" i="8" s="1"/>
  <c r="I454" i="8"/>
  <c r="C452" i="8"/>
  <c r="G452" i="8"/>
  <c r="H452" i="8"/>
  <c r="J452" i="8" s="1"/>
  <c r="M432" i="8"/>
  <c r="E429" i="8"/>
  <c r="H426" i="8"/>
  <c r="K423" i="8"/>
  <c r="G415" i="8"/>
  <c r="N415" i="8"/>
  <c r="D404" i="8"/>
  <c r="C401" i="8"/>
  <c r="L401" i="8"/>
  <c r="I401" i="8"/>
  <c r="M401" i="8"/>
  <c r="N401" i="8"/>
  <c r="C397" i="8"/>
  <c r="E380" i="8"/>
  <c r="D371" i="8"/>
  <c r="C364" i="8"/>
  <c r="D364" i="8"/>
  <c r="E364" i="8"/>
  <c r="M340" i="8"/>
  <c r="M336" i="8"/>
  <c r="J325" i="8"/>
  <c r="H322" i="8"/>
  <c r="J322" i="8" s="1"/>
  <c r="L302" i="8"/>
  <c r="H293" i="8"/>
  <c r="O293" i="8" s="1"/>
  <c r="E274" i="8"/>
  <c r="F274" i="8"/>
  <c r="D274" i="8"/>
  <c r="G193" i="8"/>
  <c r="D188" i="8"/>
  <c r="I119" i="8"/>
  <c r="D97" i="8"/>
  <c r="C61" i="8"/>
  <c r="H45" i="8"/>
  <c r="K45" i="8" s="1"/>
  <c r="G35" i="8"/>
  <c r="I35" i="8"/>
  <c r="L35" i="8"/>
  <c r="M35" i="8"/>
  <c r="N35" i="8"/>
  <c r="G30" i="8"/>
  <c r="G25" i="8"/>
  <c r="N375" i="8"/>
  <c r="C375" i="8"/>
  <c r="K305" i="8"/>
  <c r="O305" i="8"/>
  <c r="E273" i="8"/>
  <c r="F273" i="8"/>
  <c r="H273" i="8"/>
  <c r="I273" i="8"/>
  <c r="E10" i="8"/>
  <c r="G10" i="8"/>
  <c r="C479" i="8"/>
  <c r="H479" i="8"/>
  <c r="J479" i="8" s="1"/>
  <c r="L446" i="8"/>
  <c r="M446" i="8"/>
  <c r="O439" i="8"/>
  <c r="J439" i="8"/>
  <c r="K283" i="8"/>
  <c r="J283" i="8"/>
  <c r="F216" i="8"/>
  <c r="G216" i="8"/>
  <c r="D201" i="8"/>
  <c r="F201" i="8"/>
  <c r="H201" i="8"/>
  <c r="L201" i="8"/>
  <c r="M201" i="8"/>
  <c r="N201" i="8"/>
  <c r="C53" i="8"/>
  <c r="D53" i="8"/>
  <c r="G182" i="8"/>
  <c r="D182" i="8"/>
  <c r="I182" i="8"/>
  <c r="L182" i="8"/>
  <c r="N182" i="8"/>
  <c r="C154" i="8"/>
  <c r="D154" i="8"/>
  <c r="I479" i="8"/>
  <c r="M454" i="8"/>
  <c r="L404" i="8"/>
  <c r="L322" i="8"/>
  <c r="M315" i="8"/>
  <c r="F491" i="8"/>
  <c r="G491" i="8"/>
  <c r="E500" i="8"/>
  <c r="F498" i="8"/>
  <c r="G481" i="8"/>
  <c r="E479" i="8"/>
  <c r="E475" i="8"/>
  <c r="I471" i="8"/>
  <c r="F468" i="8"/>
  <c r="G456" i="8"/>
  <c r="G454" i="8"/>
  <c r="G451" i="8"/>
  <c r="C448" i="8"/>
  <c r="I448" i="8"/>
  <c r="L448" i="8"/>
  <c r="D446" i="8"/>
  <c r="N443" i="8"/>
  <c r="J436" i="8"/>
  <c r="L432" i="8"/>
  <c r="D429" i="8"/>
  <c r="G426" i="8"/>
  <c r="J423" i="8"/>
  <c r="C404" i="8"/>
  <c r="D380" i="8"/>
  <c r="F336" i="8"/>
  <c r="M332" i="8"/>
  <c r="L328" i="8"/>
  <c r="I325" i="8"/>
  <c r="G322" i="8"/>
  <c r="H315" i="8"/>
  <c r="J305" i="8"/>
  <c r="C273" i="8"/>
  <c r="L258" i="8"/>
  <c r="D222" i="8"/>
  <c r="D216" i="8"/>
  <c r="J207" i="8"/>
  <c r="K207" i="8"/>
  <c r="O207" i="8"/>
  <c r="I201" i="8"/>
  <c r="F193" i="8"/>
  <c r="M178" i="8"/>
  <c r="H136" i="8"/>
  <c r="K136" i="8" s="1"/>
  <c r="C119" i="8"/>
  <c r="G102" i="8"/>
  <c r="C97" i="8"/>
  <c r="I73" i="8"/>
  <c r="L73" i="8"/>
  <c r="F62" i="8"/>
  <c r="G62" i="8"/>
  <c r="H62" i="8"/>
  <c r="I62" i="8"/>
  <c r="L62" i="8"/>
  <c r="E33" i="8"/>
  <c r="G445" i="8"/>
  <c r="D445" i="8"/>
  <c r="C420" i="8"/>
  <c r="M420" i="8"/>
  <c r="F410" i="8"/>
  <c r="D386" i="8"/>
  <c r="L384" i="8"/>
  <c r="C384" i="8"/>
  <c r="E351" i="8"/>
  <c r="E347" i="8"/>
  <c r="F335" i="8"/>
  <c r="F279" i="8"/>
  <c r="E279" i="8"/>
  <c r="F253" i="8"/>
  <c r="G105" i="8"/>
  <c r="H105" i="8"/>
  <c r="O105" i="8" s="1"/>
  <c r="L105" i="8"/>
  <c r="G101" i="8"/>
  <c r="G87" i="8"/>
  <c r="I87" i="8"/>
  <c r="L87" i="8"/>
  <c r="M87" i="8"/>
  <c r="N87" i="8"/>
  <c r="G148" i="8"/>
  <c r="H148" i="8"/>
  <c r="K148" i="8" s="1"/>
  <c r="G288" i="8"/>
  <c r="E288" i="8"/>
  <c r="C210" i="8"/>
  <c r="D210" i="8"/>
  <c r="F210" i="8"/>
  <c r="G210" i="8"/>
  <c r="D207" i="8"/>
  <c r="N207" i="8"/>
  <c r="D130" i="8"/>
  <c r="E130" i="8"/>
  <c r="F130" i="8"/>
  <c r="I130" i="8"/>
  <c r="F166" i="8"/>
  <c r="I166" i="8"/>
  <c r="C43" i="8"/>
  <c r="F43" i="8"/>
  <c r="G43" i="8"/>
  <c r="I43" i="8"/>
  <c r="L43" i="8"/>
  <c r="M43" i="8"/>
  <c r="N43" i="8"/>
  <c r="L394" i="8"/>
  <c r="C394" i="8"/>
  <c r="E388" i="8"/>
  <c r="G388" i="8"/>
  <c r="D198" i="8"/>
  <c r="F198" i="8"/>
  <c r="I459" i="8"/>
  <c r="D459" i="8"/>
  <c r="H391" i="8"/>
  <c r="K391" i="8" s="1"/>
  <c r="F391" i="8"/>
  <c r="C252" i="8"/>
  <c r="D252" i="8"/>
  <c r="F252" i="8"/>
  <c r="N252" i="8"/>
  <c r="D93" i="8"/>
  <c r="C93" i="8"/>
  <c r="E93" i="8"/>
  <c r="I93" i="8"/>
  <c r="E66" i="8"/>
  <c r="D66" i="8"/>
  <c r="F66" i="8"/>
  <c r="I66" i="8"/>
  <c r="N66" i="8"/>
  <c r="H249" i="8"/>
  <c r="J249" i="8" s="1"/>
  <c r="K245" i="8"/>
  <c r="E142" i="8"/>
  <c r="I103" i="8"/>
  <c r="C80" i="8"/>
  <c r="C72" i="8"/>
  <c r="E60" i="8"/>
  <c r="D40" i="8"/>
  <c r="L31" i="8"/>
  <c r="E28" i="8"/>
  <c r="L24" i="8"/>
  <c r="I11" i="8"/>
  <c r="C142" i="8"/>
  <c r="F103" i="8"/>
  <c r="G31" i="8"/>
  <c r="I17" i="8"/>
  <c r="L494" i="8"/>
  <c r="F494" i="8"/>
  <c r="G494" i="8"/>
  <c r="H494" i="8"/>
  <c r="J494" i="8" s="1"/>
  <c r="I494" i="8"/>
  <c r="O321" i="8"/>
  <c r="K321" i="8"/>
  <c r="J321" i="8"/>
  <c r="C297" i="8"/>
  <c r="D297" i="8"/>
  <c r="E297" i="8"/>
  <c r="F297" i="8"/>
  <c r="G297" i="8"/>
  <c r="H297" i="8"/>
  <c r="O297" i="8" s="1"/>
  <c r="E99" i="8"/>
  <c r="N99" i="8"/>
  <c r="F99" i="8"/>
  <c r="G99" i="8"/>
  <c r="I99" i="8"/>
  <c r="C16" i="8"/>
  <c r="D16" i="8"/>
  <c r="E16" i="8"/>
  <c r="C15" i="8"/>
  <c r="E15" i="8"/>
  <c r="F15" i="8"/>
  <c r="G15" i="8"/>
  <c r="M15" i="8"/>
  <c r="N15" i="8"/>
  <c r="F461" i="8"/>
  <c r="M461" i="8"/>
  <c r="N461" i="8"/>
  <c r="H461" i="8"/>
  <c r="I461" i="8"/>
  <c r="L461" i="8"/>
  <c r="O388" i="8"/>
  <c r="J388" i="8"/>
  <c r="E346" i="8"/>
  <c r="D466" i="8"/>
  <c r="E466" i="8"/>
  <c r="C466" i="8"/>
  <c r="F466" i="8"/>
  <c r="G466" i="8"/>
  <c r="H466" i="8"/>
  <c r="K466" i="8" s="1"/>
  <c r="I466" i="8"/>
  <c r="H412" i="8"/>
  <c r="I412" i="8"/>
  <c r="L412" i="8"/>
  <c r="M412" i="8"/>
  <c r="N412" i="8"/>
  <c r="E412" i="8"/>
  <c r="F412" i="8"/>
  <c r="G412" i="8"/>
  <c r="C363" i="8"/>
  <c r="D363" i="8"/>
  <c r="E363" i="8"/>
  <c r="F363" i="8"/>
  <c r="G363" i="8"/>
  <c r="H363" i="8"/>
  <c r="L363" i="8"/>
  <c r="M363" i="8"/>
  <c r="N363" i="8"/>
  <c r="F149" i="8"/>
  <c r="E149" i="8"/>
  <c r="I149" i="8"/>
  <c r="L149" i="8"/>
  <c r="M149" i="8"/>
  <c r="N149" i="8"/>
  <c r="K481" i="8"/>
  <c r="O481" i="8"/>
  <c r="F457" i="8"/>
  <c r="N457" i="8"/>
  <c r="D457" i="8"/>
  <c r="E457" i="8"/>
  <c r="G457" i="8"/>
  <c r="H457" i="8"/>
  <c r="I457" i="8"/>
  <c r="L457" i="8"/>
  <c r="M457" i="8"/>
  <c r="L349" i="8"/>
  <c r="D349" i="8"/>
  <c r="E349" i="8"/>
  <c r="M349" i="8"/>
  <c r="N349" i="8"/>
  <c r="C330" i="8"/>
  <c r="E330" i="8"/>
  <c r="F330" i="8"/>
  <c r="M330" i="8"/>
  <c r="N330" i="8"/>
  <c r="F310" i="8"/>
  <c r="G310" i="8"/>
  <c r="H310" i="8"/>
  <c r="C310" i="8"/>
  <c r="E310" i="8"/>
  <c r="I310" i="8"/>
  <c r="K306" i="8"/>
  <c r="J306" i="8"/>
  <c r="O306" i="8"/>
  <c r="H300" i="8"/>
  <c r="O300" i="8" s="1"/>
  <c r="M300" i="8"/>
  <c r="J235" i="8"/>
  <c r="K235" i="8"/>
  <c r="O235" i="8"/>
  <c r="N492" i="8"/>
  <c r="C492" i="8"/>
  <c r="L492" i="8"/>
  <c r="M492" i="8"/>
  <c r="D492" i="8"/>
  <c r="E492" i="8"/>
  <c r="F492" i="8"/>
  <c r="G492" i="8"/>
  <c r="H492" i="8"/>
  <c r="I492" i="8"/>
  <c r="G484" i="8"/>
  <c r="N484" i="8"/>
  <c r="C484" i="8"/>
  <c r="M484" i="8"/>
  <c r="D484" i="8"/>
  <c r="E484" i="8"/>
  <c r="F484" i="8"/>
  <c r="H484" i="8"/>
  <c r="O484" i="8" s="1"/>
  <c r="I484" i="8"/>
  <c r="L484" i="8"/>
  <c r="D427" i="8"/>
  <c r="C417" i="8"/>
  <c r="D417" i="8"/>
  <c r="E417" i="8"/>
  <c r="G417" i="8"/>
  <c r="C346" i="8"/>
  <c r="F346" i="8"/>
  <c r="G346" i="8"/>
  <c r="H346" i="8"/>
  <c r="I346" i="8"/>
  <c r="K265" i="8"/>
  <c r="J265" i="8"/>
  <c r="O265" i="8"/>
  <c r="G239" i="8"/>
  <c r="H239" i="8"/>
  <c r="O239" i="8" s="1"/>
  <c r="C239" i="8"/>
  <c r="D239" i="8"/>
  <c r="E239" i="8"/>
  <c r="F239" i="8"/>
  <c r="L239" i="8"/>
  <c r="G354" i="8"/>
  <c r="H354" i="8"/>
  <c r="O354" i="8" s="1"/>
  <c r="I354" i="8"/>
  <c r="E354" i="8"/>
  <c r="F354" i="8"/>
  <c r="M476" i="8"/>
  <c r="N476" i="8"/>
  <c r="F476" i="8"/>
  <c r="G476" i="8"/>
  <c r="H476" i="8"/>
  <c r="I476" i="8"/>
  <c r="L476" i="8"/>
  <c r="E199" i="8"/>
  <c r="L199" i="8"/>
  <c r="O70" i="8"/>
  <c r="J70" i="8"/>
  <c r="K70" i="8"/>
  <c r="O38" i="8"/>
  <c r="J38" i="8"/>
  <c r="K38" i="8"/>
  <c r="N470" i="8"/>
  <c r="D470" i="8"/>
  <c r="E470" i="8"/>
  <c r="L470" i="8"/>
  <c r="H470" i="8"/>
  <c r="J470" i="8" s="1"/>
  <c r="I470" i="8"/>
  <c r="M470" i="8"/>
  <c r="E373" i="8"/>
  <c r="L373" i="8"/>
  <c r="M373" i="8"/>
  <c r="N373" i="8"/>
  <c r="H400" i="8"/>
  <c r="I400" i="8"/>
  <c r="L400" i="8"/>
  <c r="M400" i="8"/>
  <c r="N400" i="8"/>
  <c r="E400" i="8"/>
  <c r="F400" i="8"/>
  <c r="G400" i="8"/>
  <c r="C422" i="8"/>
  <c r="F422" i="8"/>
  <c r="G422" i="8"/>
  <c r="H422" i="8"/>
  <c r="I422" i="8"/>
  <c r="L422" i="8"/>
  <c r="M422" i="8"/>
  <c r="N422" i="8"/>
  <c r="D356" i="8"/>
  <c r="E356" i="8"/>
  <c r="F356" i="8"/>
  <c r="G356" i="8"/>
  <c r="H356" i="8"/>
  <c r="J356" i="8" s="1"/>
  <c r="I356" i="8"/>
  <c r="L356" i="8"/>
  <c r="K382" i="8"/>
  <c r="J382" i="8"/>
  <c r="O382" i="8"/>
  <c r="I435" i="8"/>
  <c r="N435" i="8"/>
  <c r="E435" i="8"/>
  <c r="F435" i="8"/>
  <c r="G435" i="8"/>
  <c r="H435" i="8"/>
  <c r="L435" i="8"/>
  <c r="M435" i="8"/>
  <c r="C338" i="8"/>
  <c r="F338" i="8"/>
  <c r="G338" i="8"/>
  <c r="H338" i="8"/>
  <c r="I338" i="8"/>
  <c r="H360" i="8"/>
  <c r="I360" i="8"/>
  <c r="L360" i="8"/>
  <c r="M360" i="8"/>
  <c r="N360" i="8"/>
  <c r="D360" i="8"/>
  <c r="E360" i="8"/>
  <c r="F360" i="8"/>
  <c r="G360" i="8"/>
  <c r="D440" i="8"/>
  <c r="N440" i="8"/>
  <c r="C440" i="8"/>
  <c r="E440" i="8"/>
  <c r="F440" i="8"/>
  <c r="G440" i="8"/>
  <c r="H440" i="8"/>
  <c r="I440" i="8"/>
  <c r="L440" i="8"/>
  <c r="M440" i="8"/>
  <c r="M316" i="8"/>
  <c r="D316" i="8"/>
  <c r="E316" i="8"/>
  <c r="L316" i="8"/>
  <c r="C287" i="8"/>
  <c r="M287" i="8"/>
  <c r="N287" i="8"/>
  <c r="F496" i="8"/>
  <c r="G496" i="8"/>
  <c r="H496" i="8"/>
  <c r="N496" i="8"/>
  <c r="I496" i="8"/>
  <c r="M496" i="8"/>
  <c r="L496" i="8"/>
  <c r="E476" i="8"/>
  <c r="D354" i="8"/>
  <c r="K181" i="8"/>
  <c r="F427" i="8"/>
  <c r="G427" i="8"/>
  <c r="H427" i="8"/>
  <c r="K427" i="8" s="1"/>
  <c r="I427" i="8"/>
  <c r="M427" i="8"/>
  <c r="N427" i="8"/>
  <c r="E427" i="8"/>
  <c r="L427" i="8"/>
  <c r="L357" i="8"/>
  <c r="C357" i="8"/>
  <c r="D357" i="8"/>
  <c r="E357" i="8"/>
  <c r="M357" i="8"/>
  <c r="N357" i="8"/>
  <c r="K489" i="8"/>
  <c r="O489" i="8"/>
  <c r="C333" i="8"/>
  <c r="L333" i="8"/>
  <c r="M333" i="8"/>
  <c r="N333" i="8"/>
  <c r="H333" i="8"/>
  <c r="D314" i="8"/>
  <c r="L314" i="8"/>
  <c r="M314" i="8"/>
  <c r="N314" i="8"/>
  <c r="C314" i="8"/>
  <c r="E314" i="8"/>
  <c r="F314" i="8"/>
  <c r="G314" i="8"/>
  <c r="H314" i="8"/>
  <c r="I314" i="8"/>
  <c r="I269" i="8"/>
  <c r="N269" i="8"/>
  <c r="L269" i="8"/>
  <c r="M269" i="8"/>
  <c r="G269" i="8"/>
  <c r="H269" i="8"/>
  <c r="J395" i="8"/>
  <c r="K395" i="8"/>
  <c r="K195" i="8"/>
  <c r="O195" i="8"/>
  <c r="O419" i="8"/>
  <c r="K419" i="8"/>
  <c r="L188" i="8"/>
  <c r="I188" i="8"/>
  <c r="G188" i="8"/>
  <c r="H188" i="8"/>
  <c r="M188" i="8"/>
  <c r="N188" i="8"/>
  <c r="F188" i="8"/>
  <c r="M34" i="8"/>
  <c r="N34" i="8"/>
  <c r="C313" i="8"/>
  <c r="D313" i="8"/>
  <c r="C77" i="8"/>
  <c r="D77" i="8"/>
  <c r="L65" i="8"/>
  <c r="H65" i="8"/>
  <c r="H214" i="8"/>
  <c r="E214" i="8"/>
  <c r="L214" i="8"/>
  <c r="M214" i="8"/>
  <c r="N214" i="8"/>
  <c r="C214" i="8"/>
  <c r="D214" i="8"/>
  <c r="F214" i="8"/>
  <c r="G214" i="8"/>
  <c r="I214" i="8"/>
  <c r="D472" i="8"/>
  <c r="F472" i="8"/>
  <c r="G472" i="8"/>
  <c r="H472" i="8"/>
  <c r="I472" i="8"/>
  <c r="L472" i="8"/>
  <c r="M472" i="8"/>
  <c r="N472" i="8"/>
  <c r="D341" i="8"/>
  <c r="M341" i="8"/>
  <c r="C341" i="8"/>
  <c r="E341" i="8"/>
  <c r="L341" i="8"/>
  <c r="N341" i="8"/>
  <c r="C478" i="8"/>
  <c r="L478" i="8"/>
  <c r="F478" i="8"/>
  <c r="G478" i="8"/>
  <c r="H478" i="8"/>
  <c r="I478" i="8"/>
  <c r="M478" i="8"/>
  <c r="N478" i="8"/>
  <c r="C378" i="8"/>
  <c r="D378" i="8"/>
  <c r="E378" i="8"/>
  <c r="F378" i="8"/>
  <c r="G378" i="8"/>
  <c r="D90" i="8"/>
  <c r="H90" i="8"/>
  <c r="J90" i="8" s="1"/>
  <c r="C81" i="8"/>
  <c r="G81" i="8"/>
  <c r="H81" i="8"/>
  <c r="L81" i="8"/>
  <c r="I81" i="8"/>
  <c r="D205" i="8"/>
  <c r="N205" i="8"/>
  <c r="E95" i="8"/>
  <c r="I95" i="8"/>
  <c r="L95" i="8"/>
  <c r="M95" i="8"/>
  <c r="N95" i="8"/>
  <c r="F95" i="8"/>
  <c r="O384" i="8"/>
  <c r="J384" i="8"/>
  <c r="K384" i="8"/>
  <c r="G488" i="8"/>
  <c r="E488" i="8"/>
  <c r="F488" i="8"/>
  <c r="H488" i="8"/>
  <c r="I488" i="8"/>
  <c r="L488" i="8"/>
  <c r="M488" i="8"/>
  <c r="N488" i="8"/>
  <c r="C89" i="8"/>
  <c r="G89" i="8"/>
  <c r="D89" i="8"/>
  <c r="E89" i="8"/>
  <c r="F89" i="8"/>
  <c r="H89" i="8"/>
  <c r="O89" i="8" s="1"/>
  <c r="I89" i="8"/>
  <c r="L89" i="8"/>
  <c r="D476" i="8"/>
  <c r="G470" i="8"/>
  <c r="C354" i="8"/>
  <c r="E269" i="8"/>
  <c r="E188" i="8"/>
  <c r="F421" i="8"/>
  <c r="C421" i="8"/>
  <c r="D421" i="8"/>
  <c r="E421" i="8"/>
  <c r="G421" i="8"/>
  <c r="H421" i="8"/>
  <c r="J421" i="8" s="1"/>
  <c r="I421" i="8"/>
  <c r="L386" i="8"/>
  <c r="G386" i="8"/>
  <c r="H386" i="8"/>
  <c r="I386" i="8"/>
  <c r="M386" i="8"/>
  <c r="N386" i="8"/>
  <c r="C64" i="8"/>
  <c r="D64" i="8"/>
  <c r="E64" i="8"/>
  <c r="F64" i="8"/>
  <c r="G64" i="8"/>
  <c r="L64" i="8"/>
  <c r="N64" i="8"/>
  <c r="D321" i="8"/>
  <c r="L321" i="8"/>
  <c r="M321" i="8"/>
  <c r="N321" i="8"/>
  <c r="D278" i="8"/>
  <c r="E278" i="8"/>
  <c r="M278" i="8"/>
  <c r="N278" i="8"/>
  <c r="J443" i="8"/>
  <c r="K443" i="8"/>
  <c r="H247" i="8"/>
  <c r="I247" i="8"/>
  <c r="L247" i="8"/>
  <c r="M247" i="8"/>
  <c r="C474" i="8"/>
  <c r="H474" i="8"/>
  <c r="L451" i="8"/>
  <c r="M451" i="8"/>
  <c r="N451" i="8"/>
  <c r="C348" i="8"/>
  <c r="D348" i="8"/>
  <c r="E348" i="8"/>
  <c r="F348" i="8"/>
  <c r="G348" i="8"/>
  <c r="H348" i="8"/>
  <c r="J348" i="8" s="1"/>
  <c r="I348" i="8"/>
  <c r="L184" i="8"/>
  <c r="D184" i="8"/>
  <c r="F184" i="8"/>
  <c r="G184" i="8"/>
  <c r="H184" i="8"/>
  <c r="I184" i="8"/>
  <c r="M184" i="8"/>
  <c r="D9" i="8"/>
  <c r="L9" i="8"/>
  <c r="C497" i="8"/>
  <c r="G497" i="8"/>
  <c r="H407" i="8"/>
  <c r="J407" i="8" s="1"/>
  <c r="I407" i="8"/>
  <c r="L407" i="8"/>
  <c r="M407" i="8"/>
  <c r="N407" i="8"/>
  <c r="L368" i="8"/>
  <c r="M368" i="8"/>
  <c r="N368" i="8"/>
  <c r="C359" i="8"/>
  <c r="D359" i="8"/>
  <c r="E359" i="8"/>
  <c r="F359" i="8"/>
  <c r="G359" i="8"/>
  <c r="H359" i="8"/>
  <c r="E303" i="8"/>
  <c r="N303" i="8"/>
  <c r="D260" i="8"/>
  <c r="F260" i="8"/>
  <c r="G260" i="8"/>
  <c r="L260" i="8"/>
  <c r="N260" i="8"/>
  <c r="E250" i="8"/>
  <c r="C250" i="8"/>
  <c r="D250" i="8"/>
  <c r="F250" i="8"/>
  <c r="H250" i="8"/>
  <c r="E168" i="8"/>
  <c r="F168" i="8"/>
  <c r="H168" i="8"/>
  <c r="J168" i="8" s="1"/>
  <c r="I168" i="8"/>
  <c r="L168" i="8"/>
  <c r="M168" i="8"/>
  <c r="N168" i="8"/>
  <c r="C168" i="8"/>
  <c r="D168" i="8"/>
  <c r="G168" i="8"/>
  <c r="F477" i="8"/>
  <c r="D477" i="8"/>
  <c r="L439" i="8"/>
  <c r="M439" i="8"/>
  <c r="N439" i="8"/>
  <c r="G431" i="8"/>
  <c r="H431" i="8"/>
  <c r="O431" i="8" s="1"/>
  <c r="I431" i="8"/>
  <c r="L431" i="8"/>
  <c r="N431" i="8"/>
  <c r="C399" i="8"/>
  <c r="D399" i="8"/>
  <c r="E399" i="8"/>
  <c r="F399" i="8"/>
  <c r="G399" i="8"/>
  <c r="H399" i="8"/>
  <c r="I399" i="8"/>
  <c r="F433" i="8"/>
  <c r="G433" i="8"/>
  <c r="H433" i="8"/>
  <c r="I433" i="8"/>
  <c r="M433" i="8"/>
  <c r="N433" i="8"/>
  <c r="G68" i="8"/>
  <c r="C68" i="8"/>
  <c r="N68" i="8"/>
  <c r="C36" i="8"/>
  <c r="D36" i="8"/>
  <c r="E36" i="8"/>
  <c r="G36" i="8"/>
  <c r="L36" i="8"/>
  <c r="F452" i="8"/>
  <c r="I450" i="8"/>
  <c r="J444" i="8"/>
  <c r="E410" i="8"/>
  <c r="J396" i="8"/>
  <c r="K336" i="8"/>
  <c r="C335" i="8"/>
  <c r="F331" i="8"/>
  <c r="D331" i="8"/>
  <c r="E331" i="8"/>
  <c r="G331" i="8"/>
  <c r="H331" i="8"/>
  <c r="L331" i="8"/>
  <c r="K325" i="8"/>
  <c r="D311" i="8"/>
  <c r="G311" i="8"/>
  <c r="H311" i="8"/>
  <c r="O311" i="8" s="1"/>
  <c r="H280" i="8"/>
  <c r="O280" i="8" s="1"/>
  <c r="E259" i="8"/>
  <c r="L237" i="8"/>
  <c r="C237" i="8"/>
  <c r="D237" i="8"/>
  <c r="E237" i="8"/>
  <c r="F237" i="8"/>
  <c r="M237" i="8"/>
  <c r="N170" i="8"/>
  <c r="K29" i="8"/>
  <c r="O29" i="8"/>
  <c r="N498" i="8"/>
  <c r="G495" i="8"/>
  <c r="N495" i="8"/>
  <c r="H450" i="8"/>
  <c r="F389" i="8"/>
  <c r="H389" i="8"/>
  <c r="I389" i="8"/>
  <c r="L389" i="8"/>
  <c r="M389" i="8"/>
  <c r="N389" i="8"/>
  <c r="G364" i="8"/>
  <c r="H364" i="8"/>
  <c r="I364" i="8"/>
  <c r="L364" i="8"/>
  <c r="M364" i="8"/>
  <c r="D285" i="8"/>
  <c r="L285" i="8"/>
  <c r="C285" i="8"/>
  <c r="E285" i="8"/>
  <c r="F285" i="8"/>
  <c r="G285" i="8"/>
  <c r="H285" i="8"/>
  <c r="C266" i="8"/>
  <c r="I266" i="8"/>
  <c r="M266" i="8"/>
  <c r="N266" i="8"/>
  <c r="F266" i="8"/>
  <c r="G266" i="8"/>
  <c r="H266" i="8"/>
  <c r="L266" i="8"/>
  <c r="N221" i="8"/>
  <c r="C221" i="8"/>
  <c r="D221" i="8"/>
  <c r="E221" i="8"/>
  <c r="F221" i="8"/>
  <c r="G221" i="8"/>
  <c r="H221" i="8"/>
  <c r="C197" i="8"/>
  <c r="G197" i="8"/>
  <c r="H197" i="8"/>
  <c r="J197" i="8" s="1"/>
  <c r="I197" i="8"/>
  <c r="L197" i="8"/>
  <c r="M197" i="8"/>
  <c r="N197" i="8"/>
  <c r="D197" i="8"/>
  <c r="E197" i="8"/>
  <c r="F197" i="8"/>
  <c r="H194" i="8"/>
  <c r="D194" i="8"/>
  <c r="I194" i="8"/>
  <c r="L194" i="8"/>
  <c r="M194" i="8"/>
  <c r="N194" i="8"/>
  <c r="L170" i="8"/>
  <c r="D167" i="8"/>
  <c r="M167" i="8"/>
  <c r="L133" i="8"/>
  <c r="G133" i="8"/>
  <c r="I133" i="8"/>
  <c r="M133" i="8"/>
  <c r="F105" i="8"/>
  <c r="I105" i="8"/>
  <c r="F83" i="8"/>
  <c r="E83" i="8"/>
  <c r="M83" i="8"/>
  <c r="C51" i="8"/>
  <c r="F51" i="8"/>
  <c r="I51" i="8"/>
  <c r="J26" i="8"/>
  <c r="K26" i="8"/>
  <c r="O26" i="8"/>
  <c r="C19" i="8"/>
  <c r="M19" i="8"/>
  <c r="N19" i="8"/>
  <c r="H491" i="8"/>
  <c r="M491" i="8"/>
  <c r="M498" i="8"/>
  <c r="D460" i="8"/>
  <c r="E460" i="8"/>
  <c r="F448" i="8"/>
  <c r="G448" i="8"/>
  <c r="H448" i="8"/>
  <c r="K448" i="8" s="1"/>
  <c r="N448" i="8"/>
  <c r="E418" i="8"/>
  <c r="F418" i="8"/>
  <c r="G418" i="8"/>
  <c r="H418" i="8"/>
  <c r="J418" i="8" s="1"/>
  <c r="I418" i="8"/>
  <c r="L418" i="8"/>
  <c r="H383" i="8"/>
  <c r="I383" i="8"/>
  <c r="L383" i="8"/>
  <c r="M383" i="8"/>
  <c r="N383" i="8"/>
  <c r="C374" i="8"/>
  <c r="D374" i="8"/>
  <c r="E374" i="8"/>
  <c r="F374" i="8"/>
  <c r="G374" i="8"/>
  <c r="H374" i="8"/>
  <c r="I374" i="8"/>
  <c r="C350" i="8"/>
  <c r="D350" i="8"/>
  <c r="E350" i="8"/>
  <c r="O307" i="8"/>
  <c r="K307" i="8"/>
  <c r="N302" i="8"/>
  <c r="E302" i="8"/>
  <c r="F302" i="8"/>
  <c r="C302" i="8"/>
  <c r="D302" i="8"/>
  <c r="G302" i="8"/>
  <c r="H302" i="8"/>
  <c r="I302" i="8"/>
  <c r="C277" i="8"/>
  <c r="D277" i="8"/>
  <c r="M277" i="8"/>
  <c r="L232" i="8"/>
  <c r="I232" i="8"/>
  <c r="M232" i="8"/>
  <c r="N232" i="8"/>
  <c r="D163" i="8"/>
  <c r="M163" i="8"/>
  <c r="N163" i="8"/>
  <c r="E163" i="8"/>
  <c r="F163" i="8"/>
  <c r="G163" i="8"/>
  <c r="H163" i="8"/>
  <c r="H153" i="8"/>
  <c r="G153" i="8"/>
  <c r="N153" i="8"/>
  <c r="C153" i="8"/>
  <c r="D153" i="8"/>
  <c r="E153" i="8"/>
  <c r="F153" i="8"/>
  <c r="I153" i="8"/>
  <c r="G137" i="8"/>
  <c r="D137" i="8"/>
  <c r="N137" i="8"/>
  <c r="M137" i="8"/>
  <c r="F137" i="8"/>
  <c r="I137" i="8"/>
  <c r="L137" i="8"/>
  <c r="F113" i="8"/>
  <c r="N113" i="8"/>
  <c r="C113" i="8"/>
  <c r="D113" i="8"/>
  <c r="E113" i="8"/>
  <c r="G113" i="8"/>
  <c r="H113" i="8"/>
  <c r="J113" i="8" s="1"/>
  <c r="I113" i="8"/>
  <c r="L113" i="8"/>
  <c r="C109" i="8"/>
  <c r="F109" i="8"/>
  <c r="G109" i="8"/>
  <c r="L109" i="8"/>
  <c r="M109" i="8"/>
  <c r="N109" i="8"/>
  <c r="G54" i="8"/>
  <c r="L54" i="8"/>
  <c r="C47" i="8"/>
  <c r="M47" i="8"/>
  <c r="E372" i="8"/>
  <c r="F372" i="8"/>
  <c r="G372" i="8"/>
  <c r="H372" i="8"/>
  <c r="I372" i="8"/>
  <c r="L372" i="8"/>
  <c r="L498" i="8"/>
  <c r="H475" i="8"/>
  <c r="I475" i="8"/>
  <c r="N475" i="8"/>
  <c r="M471" i="8"/>
  <c r="N471" i="8"/>
  <c r="N459" i="8"/>
  <c r="F424" i="8"/>
  <c r="G424" i="8"/>
  <c r="H424" i="8"/>
  <c r="I424" i="8"/>
  <c r="L424" i="8"/>
  <c r="C367" i="8"/>
  <c r="D367" i="8"/>
  <c r="E367" i="8"/>
  <c r="F367" i="8"/>
  <c r="G367" i="8"/>
  <c r="H367" i="8"/>
  <c r="J367" i="8" s="1"/>
  <c r="I241" i="8"/>
  <c r="N241" i="8"/>
  <c r="C241" i="8"/>
  <c r="D241" i="8"/>
  <c r="E241" i="8"/>
  <c r="F241" i="8"/>
  <c r="G241" i="8"/>
  <c r="H241" i="8"/>
  <c r="O241" i="8" s="1"/>
  <c r="H179" i="8"/>
  <c r="I179" i="8"/>
  <c r="L179" i="8"/>
  <c r="N179" i="8"/>
  <c r="D179" i="8"/>
  <c r="E179" i="8"/>
  <c r="F179" i="8"/>
  <c r="F425" i="8"/>
  <c r="N425" i="8"/>
  <c r="M459" i="8"/>
  <c r="I391" i="8"/>
  <c r="E344" i="8"/>
  <c r="F344" i="8"/>
  <c r="G344" i="8"/>
  <c r="H344" i="8"/>
  <c r="I344" i="8"/>
  <c r="M280" i="8"/>
  <c r="C280" i="8"/>
  <c r="E280" i="8"/>
  <c r="L280" i="8"/>
  <c r="G170" i="8"/>
  <c r="M170" i="8"/>
  <c r="D170" i="8"/>
  <c r="E170" i="8"/>
  <c r="F170" i="8"/>
  <c r="H170" i="8"/>
  <c r="I170" i="8"/>
  <c r="C128" i="8"/>
  <c r="G128" i="8"/>
  <c r="H128" i="8"/>
  <c r="I128" i="8"/>
  <c r="L128" i="8"/>
  <c r="M128" i="8"/>
  <c r="N128" i="8"/>
  <c r="C78" i="8"/>
  <c r="I78" i="8"/>
  <c r="L78" i="8"/>
  <c r="M78" i="8"/>
  <c r="N78" i="8"/>
  <c r="H78" i="8"/>
  <c r="L402" i="8"/>
  <c r="C402" i="8"/>
  <c r="D402" i="8"/>
  <c r="E402" i="8"/>
  <c r="F402" i="8"/>
  <c r="G402" i="8"/>
  <c r="H402" i="8"/>
  <c r="I402" i="8"/>
  <c r="E38" i="8"/>
  <c r="N38" i="8"/>
  <c r="L38" i="8"/>
  <c r="M38" i="8"/>
  <c r="F453" i="8"/>
  <c r="E453" i="8"/>
  <c r="G453" i="8"/>
  <c r="H453" i="8"/>
  <c r="K453" i="8" s="1"/>
  <c r="N453" i="8"/>
  <c r="G329" i="8"/>
  <c r="D329" i="8"/>
  <c r="E329" i="8"/>
  <c r="F329" i="8"/>
  <c r="H329" i="8"/>
  <c r="I329" i="8"/>
  <c r="L329" i="8"/>
  <c r="M384" i="8"/>
  <c r="N384" i="8"/>
  <c r="D256" i="8"/>
  <c r="F256" i="8"/>
  <c r="G256" i="8"/>
  <c r="H256" i="8"/>
  <c r="O256" i="8" s="1"/>
  <c r="F481" i="8"/>
  <c r="N481" i="8"/>
  <c r="C340" i="8"/>
  <c r="D340" i="8"/>
  <c r="E340" i="8"/>
  <c r="F340" i="8"/>
  <c r="G340" i="8"/>
  <c r="H340" i="8"/>
  <c r="J253" i="8"/>
  <c r="O253" i="8"/>
  <c r="F485" i="8"/>
  <c r="M485" i="8"/>
  <c r="F416" i="8"/>
  <c r="G416" i="8"/>
  <c r="H416" i="8"/>
  <c r="I416" i="8"/>
  <c r="L416" i="8"/>
  <c r="I299" i="8"/>
  <c r="C299" i="8"/>
  <c r="H299" i="8"/>
  <c r="D299" i="8"/>
  <c r="E299" i="8"/>
  <c r="F299" i="8"/>
  <c r="G299" i="8"/>
  <c r="L299" i="8"/>
  <c r="C238" i="8"/>
  <c r="D238" i="8"/>
  <c r="E238" i="8"/>
  <c r="F238" i="8"/>
  <c r="G238" i="8"/>
  <c r="H238" i="8"/>
  <c r="K238" i="8" s="1"/>
  <c r="H191" i="8"/>
  <c r="I191" i="8"/>
  <c r="N165" i="8"/>
  <c r="H165" i="8"/>
  <c r="F165" i="8"/>
  <c r="G165" i="8"/>
  <c r="I165" i="8"/>
  <c r="L165" i="8"/>
  <c r="E115" i="8"/>
  <c r="N115" i="8"/>
  <c r="C32" i="8"/>
  <c r="D32" i="8"/>
  <c r="E32" i="8"/>
  <c r="F489" i="8"/>
  <c r="I489" i="8"/>
  <c r="E456" i="8"/>
  <c r="F456" i="8"/>
  <c r="C411" i="8"/>
  <c r="D411" i="8"/>
  <c r="E411" i="8"/>
  <c r="F411" i="8"/>
  <c r="G411" i="8"/>
  <c r="H411" i="8"/>
  <c r="L395" i="8"/>
  <c r="M395" i="8"/>
  <c r="N395" i="8"/>
  <c r="G243" i="8"/>
  <c r="N243" i="8"/>
  <c r="D158" i="8"/>
  <c r="H158" i="8"/>
  <c r="F158" i="8"/>
  <c r="I158" i="8"/>
  <c r="L158" i="8"/>
  <c r="D125" i="8"/>
  <c r="G125" i="8"/>
  <c r="I125" i="8"/>
  <c r="L125" i="8"/>
  <c r="M125" i="8"/>
  <c r="N125" i="8"/>
  <c r="F125" i="8"/>
  <c r="O109" i="8"/>
  <c r="J109" i="8"/>
  <c r="D450" i="8"/>
  <c r="E450" i="8"/>
  <c r="F450" i="8"/>
  <c r="G450" i="8"/>
  <c r="L450" i="8"/>
  <c r="I498" i="8"/>
  <c r="C480" i="8"/>
  <c r="H480" i="8"/>
  <c r="K480" i="8" s="1"/>
  <c r="N474" i="8"/>
  <c r="L459" i="8"/>
  <c r="L449" i="8"/>
  <c r="M425" i="8"/>
  <c r="C405" i="8"/>
  <c r="D405" i="8"/>
  <c r="E405" i="8"/>
  <c r="H405" i="8"/>
  <c r="I405" i="8"/>
  <c r="L405" i="8"/>
  <c r="M405" i="8"/>
  <c r="G262" i="8"/>
  <c r="L262" i="8"/>
  <c r="M262" i="8"/>
  <c r="J211" i="8"/>
  <c r="K211" i="8"/>
  <c r="O211" i="8"/>
  <c r="C152" i="8"/>
  <c r="F152" i="8"/>
  <c r="G152" i="8"/>
  <c r="E152" i="8"/>
  <c r="H152" i="8"/>
  <c r="K152" i="8" s="1"/>
  <c r="I152" i="8"/>
  <c r="L152" i="8"/>
  <c r="M152" i="8"/>
  <c r="N152" i="8"/>
  <c r="L143" i="8"/>
  <c r="C143" i="8"/>
  <c r="D143" i="8"/>
  <c r="G143" i="8"/>
  <c r="H143" i="8"/>
  <c r="I143" i="8"/>
  <c r="M143" i="8"/>
  <c r="N143" i="8"/>
  <c r="F91" i="8"/>
  <c r="G91" i="8"/>
  <c r="I91" i="8"/>
  <c r="L91" i="8"/>
  <c r="L391" i="8"/>
  <c r="M391" i="8"/>
  <c r="N391" i="8"/>
  <c r="M272" i="8"/>
  <c r="G272" i="8"/>
  <c r="H272" i="8"/>
  <c r="N272" i="8"/>
  <c r="I272" i="8"/>
  <c r="L272" i="8"/>
  <c r="N306" i="8"/>
  <c r="F306" i="8"/>
  <c r="C306" i="8"/>
  <c r="I306" i="8"/>
  <c r="L306" i="8"/>
  <c r="M306" i="8"/>
  <c r="I283" i="8"/>
  <c r="F283" i="8"/>
  <c r="G283" i="8"/>
  <c r="M283" i="8"/>
  <c r="C264" i="8"/>
  <c r="E264" i="8"/>
  <c r="F264" i="8"/>
  <c r="G264" i="8"/>
  <c r="H264" i="8"/>
  <c r="O264" i="8" s="1"/>
  <c r="L155" i="8"/>
  <c r="I155" i="8"/>
  <c r="G155" i="8"/>
  <c r="H155" i="8"/>
  <c r="M155" i="8"/>
  <c r="N155" i="8"/>
  <c r="E155" i="8"/>
  <c r="F155" i="8"/>
  <c r="C106" i="8"/>
  <c r="H106" i="8"/>
  <c r="J106" i="8" s="1"/>
  <c r="I106" i="8"/>
  <c r="G106" i="8"/>
  <c r="L106" i="8"/>
  <c r="M106" i="8"/>
  <c r="N106" i="8"/>
  <c r="E106" i="8"/>
  <c r="C56" i="8"/>
  <c r="D56" i="8"/>
  <c r="E56" i="8"/>
  <c r="F56" i="8"/>
  <c r="G56" i="8"/>
  <c r="L56" i="8"/>
  <c r="N56" i="8"/>
  <c r="E217" i="8"/>
  <c r="F217" i="8"/>
  <c r="G217" i="8"/>
  <c r="H217" i="8"/>
  <c r="I217" i="8"/>
  <c r="L217" i="8"/>
  <c r="M217" i="8"/>
  <c r="D217" i="8"/>
  <c r="N217" i="8"/>
  <c r="C181" i="8"/>
  <c r="M181" i="8"/>
  <c r="L181" i="8"/>
  <c r="N181" i="8"/>
  <c r="K120" i="8"/>
  <c r="J120" i="8"/>
  <c r="L419" i="8"/>
  <c r="M419" i="8"/>
  <c r="N419" i="8"/>
  <c r="C281" i="8"/>
  <c r="N281" i="8"/>
  <c r="D281" i="8"/>
  <c r="E281" i="8"/>
  <c r="M281" i="8"/>
  <c r="M481" i="8"/>
  <c r="M474" i="8"/>
  <c r="I449" i="8"/>
  <c r="L425" i="8"/>
  <c r="L403" i="8"/>
  <c r="M403" i="8"/>
  <c r="N403" i="8"/>
  <c r="G391" i="8"/>
  <c r="I384" i="8"/>
  <c r="I321" i="8"/>
  <c r="I318" i="8"/>
  <c r="L283" i="8"/>
  <c r="L142" i="8"/>
  <c r="G442" i="8"/>
  <c r="E438" i="8"/>
  <c r="H429" i="8"/>
  <c r="H409" i="8"/>
  <c r="E394" i="8"/>
  <c r="C355" i="8"/>
  <c r="L309" i="8"/>
  <c r="F288" i="8"/>
  <c r="C279" i="8"/>
  <c r="E265" i="8"/>
  <c r="F265" i="8"/>
  <c r="G265" i="8"/>
  <c r="L265" i="8"/>
  <c r="C227" i="8"/>
  <c r="D227" i="8"/>
  <c r="E18" i="8"/>
  <c r="F18" i="8"/>
  <c r="G18" i="8"/>
  <c r="H18" i="8"/>
  <c r="L18" i="8"/>
  <c r="E212" i="8"/>
  <c r="G212" i="8"/>
  <c r="M212" i="8"/>
  <c r="H210" i="8"/>
  <c r="L210" i="8"/>
  <c r="M210" i="8"/>
  <c r="N210" i="8"/>
  <c r="L172" i="8"/>
  <c r="N172" i="8"/>
  <c r="G172" i="8"/>
  <c r="H172" i="8"/>
  <c r="K172" i="8" s="1"/>
  <c r="I172" i="8"/>
  <c r="M172" i="8"/>
  <c r="E131" i="8"/>
  <c r="G131" i="8"/>
  <c r="F131" i="8"/>
  <c r="H131" i="8"/>
  <c r="I131" i="8"/>
  <c r="N131" i="8"/>
  <c r="D127" i="8"/>
  <c r="C127" i="8"/>
  <c r="E127" i="8"/>
  <c r="D322" i="8"/>
  <c r="C322" i="8"/>
  <c r="I315" i="8"/>
  <c r="F315" i="8"/>
  <c r="G315" i="8"/>
  <c r="D235" i="8"/>
  <c r="I235" i="8"/>
  <c r="C62" i="8"/>
  <c r="E62" i="8"/>
  <c r="M62" i="8"/>
  <c r="N62" i="8"/>
  <c r="G192" i="8"/>
  <c r="N192" i="8"/>
  <c r="C100" i="8"/>
  <c r="G100" i="8"/>
  <c r="D100" i="8"/>
  <c r="E100" i="8"/>
  <c r="F100" i="8"/>
  <c r="E84" i="8"/>
  <c r="F84" i="8"/>
  <c r="C325" i="8"/>
  <c r="E325" i="8"/>
  <c r="H252" i="8"/>
  <c r="K252" i="8" s="1"/>
  <c r="G252" i="8"/>
  <c r="I252" i="8"/>
  <c r="D230" i="8"/>
  <c r="G230" i="8"/>
  <c r="H230" i="8"/>
  <c r="J230" i="8" s="1"/>
  <c r="M230" i="8"/>
  <c r="N230" i="8"/>
  <c r="J147" i="8"/>
  <c r="O147" i="8"/>
  <c r="E87" i="8"/>
  <c r="F87" i="8"/>
  <c r="D69" i="8"/>
  <c r="F69" i="8"/>
  <c r="G69" i="8"/>
  <c r="H69" i="8"/>
  <c r="J69" i="8" s="1"/>
  <c r="I69" i="8"/>
  <c r="F291" i="8"/>
  <c r="G291" i="8"/>
  <c r="D254" i="8"/>
  <c r="E254" i="8"/>
  <c r="F254" i="8"/>
  <c r="G254" i="8"/>
  <c r="L254" i="8"/>
  <c r="M244" i="8"/>
  <c r="C244" i="8"/>
  <c r="D244" i="8"/>
  <c r="E244" i="8"/>
  <c r="N244" i="8"/>
  <c r="G177" i="8"/>
  <c r="I177" i="8"/>
  <c r="D171" i="8"/>
  <c r="E171" i="8"/>
  <c r="G117" i="8"/>
  <c r="I117" i="8"/>
  <c r="L117" i="8"/>
  <c r="M117" i="8"/>
  <c r="N117" i="8"/>
  <c r="C111" i="8"/>
  <c r="N111" i="8"/>
  <c r="N295" i="8"/>
  <c r="E295" i="8"/>
  <c r="F295" i="8"/>
  <c r="C226" i="8"/>
  <c r="F226" i="8"/>
  <c r="E42" i="8"/>
  <c r="G42" i="8"/>
  <c r="H42" i="8"/>
  <c r="F42" i="8"/>
  <c r="I42" i="8"/>
  <c r="C35" i="8"/>
  <c r="E35" i="8"/>
  <c r="F35" i="8"/>
  <c r="N298" i="8"/>
  <c r="C298" i="8"/>
  <c r="F267" i="8"/>
  <c r="C253" i="8"/>
  <c r="M242" i="8"/>
  <c r="D211" i="8"/>
  <c r="C201" i="8"/>
  <c r="G201" i="8"/>
  <c r="H198" i="8"/>
  <c r="C198" i="8"/>
  <c r="C169" i="8"/>
  <c r="G169" i="8"/>
  <c r="M169" i="8"/>
  <c r="N169" i="8"/>
  <c r="D139" i="8"/>
  <c r="E122" i="8"/>
  <c r="E94" i="8"/>
  <c r="D94" i="8"/>
  <c r="F94" i="8"/>
  <c r="C27" i="8"/>
  <c r="M27" i="8"/>
  <c r="N27" i="8"/>
  <c r="C70" i="8"/>
  <c r="D70" i="8"/>
  <c r="L204" i="8"/>
  <c r="H204" i="8"/>
  <c r="G66" i="8"/>
  <c r="H66" i="8"/>
  <c r="J66" i="8" s="1"/>
  <c r="L228" i="8"/>
  <c r="H228" i="8"/>
  <c r="C213" i="8"/>
  <c r="D213" i="8"/>
  <c r="H182" i="8"/>
  <c r="F182" i="8"/>
  <c r="H178" i="8"/>
  <c r="C178" i="8"/>
  <c r="C39" i="8"/>
  <c r="E39" i="8"/>
  <c r="G39" i="8"/>
  <c r="I39" i="8"/>
  <c r="N39" i="8"/>
  <c r="D20" i="8"/>
  <c r="E20" i="8"/>
  <c r="G20" i="8"/>
  <c r="C11" i="8"/>
  <c r="E11" i="8"/>
  <c r="C308" i="8"/>
  <c r="E308" i="8"/>
  <c r="H304" i="8"/>
  <c r="K304" i="8" s="1"/>
  <c r="F304" i="8"/>
  <c r="D289" i="8"/>
  <c r="N289" i="8"/>
  <c r="F97" i="8"/>
  <c r="G97" i="8"/>
  <c r="E75" i="8"/>
  <c r="F75" i="8"/>
  <c r="C166" i="8"/>
  <c r="D166" i="8"/>
  <c r="E134" i="8"/>
  <c r="F134" i="8"/>
  <c r="I134" i="8"/>
  <c r="C86" i="8"/>
  <c r="I86" i="8"/>
  <c r="G48" i="8"/>
  <c r="L23" i="8"/>
  <c r="E21" i="8"/>
  <c r="L28" i="8"/>
  <c r="I26" i="8"/>
  <c r="I23" i="8"/>
  <c r="E7" i="8"/>
  <c r="E26" i="8"/>
  <c r="E23" i="8"/>
  <c r="F10" i="8"/>
  <c r="G4" i="8"/>
  <c r="N4" i="8" s="1"/>
  <c r="K150" i="8"/>
  <c r="O150" i="8"/>
  <c r="J150" i="8"/>
  <c r="K438" i="8"/>
  <c r="J438" i="8"/>
  <c r="O438" i="8"/>
  <c r="K425" i="8"/>
  <c r="O425" i="8"/>
  <c r="F473" i="8"/>
  <c r="L473" i="8"/>
  <c r="M473" i="8"/>
  <c r="N473" i="8"/>
  <c r="O453" i="8"/>
  <c r="N324" i="8"/>
  <c r="L324" i="8"/>
  <c r="M324" i="8"/>
  <c r="C324" i="8"/>
  <c r="D324" i="8"/>
  <c r="E324" i="8"/>
  <c r="F324" i="8"/>
  <c r="G324" i="8"/>
  <c r="H324" i="8"/>
  <c r="I324" i="8"/>
  <c r="D292" i="8"/>
  <c r="G292" i="8"/>
  <c r="H292" i="8"/>
  <c r="I292" i="8"/>
  <c r="L292" i="8"/>
  <c r="M292" i="8"/>
  <c r="N292" i="8"/>
  <c r="F493" i="8"/>
  <c r="D493" i="8"/>
  <c r="E493" i="8"/>
  <c r="G493" i="8"/>
  <c r="H493" i="8"/>
  <c r="I493" i="8"/>
  <c r="L493" i="8"/>
  <c r="M493" i="8"/>
  <c r="N493" i="8"/>
  <c r="K394" i="8"/>
  <c r="J394" i="8"/>
  <c r="O394" i="8"/>
  <c r="L342" i="8"/>
  <c r="M342" i="8"/>
  <c r="N342" i="8"/>
  <c r="H342" i="8"/>
  <c r="I342" i="8"/>
  <c r="K332" i="8"/>
  <c r="O332" i="8"/>
  <c r="D284" i="8"/>
  <c r="F284" i="8"/>
  <c r="G284" i="8"/>
  <c r="H284" i="8"/>
  <c r="I284" i="8"/>
  <c r="L284" i="8"/>
  <c r="M284" i="8"/>
  <c r="N284" i="8"/>
  <c r="L236" i="8"/>
  <c r="C236" i="8"/>
  <c r="D236" i="8"/>
  <c r="E236" i="8"/>
  <c r="F236" i="8"/>
  <c r="G236" i="8"/>
  <c r="H236" i="8"/>
  <c r="I236" i="8"/>
  <c r="M236" i="8"/>
  <c r="N236" i="8"/>
  <c r="F233" i="8"/>
  <c r="G233" i="8"/>
  <c r="H233" i="8"/>
  <c r="I233" i="8"/>
  <c r="L233" i="8"/>
  <c r="N233" i="8"/>
  <c r="C124" i="8"/>
  <c r="L124" i="8"/>
  <c r="M124" i="8"/>
  <c r="N124" i="8"/>
  <c r="E124" i="8"/>
  <c r="H124" i="8"/>
  <c r="I124" i="8"/>
  <c r="E486" i="8"/>
  <c r="F486" i="8"/>
  <c r="G486" i="8"/>
  <c r="N486" i="8"/>
  <c r="H486" i="8"/>
  <c r="I486" i="8"/>
  <c r="M486" i="8"/>
  <c r="L486" i="8"/>
  <c r="K477" i="8"/>
  <c r="O477" i="8"/>
  <c r="E469" i="8"/>
  <c r="G462" i="8"/>
  <c r="H462" i="8"/>
  <c r="I462" i="8"/>
  <c r="L462" i="8"/>
  <c r="M462" i="8"/>
  <c r="N462" i="8"/>
  <c r="G334" i="8"/>
  <c r="J286" i="8"/>
  <c r="K286" i="8"/>
  <c r="O286" i="8"/>
  <c r="C282" i="8"/>
  <c r="N282" i="8"/>
  <c r="M282" i="8"/>
  <c r="L282" i="8"/>
  <c r="G251" i="8"/>
  <c r="D251" i="8"/>
  <c r="F251" i="8"/>
  <c r="E251" i="8"/>
  <c r="L251" i="8"/>
  <c r="M251" i="8"/>
  <c r="N251" i="8"/>
  <c r="H251" i="8"/>
  <c r="I251" i="8"/>
  <c r="D469" i="8"/>
  <c r="K432" i="8"/>
  <c r="L390" i="8"/>
  <c r="E390" i="8"/>
  <c r="F390" i="8"/>
  <c r="G390" i="8"/>
  <c r="H390" i="8"/>
  <c r="I390" i="8"/>
  <c r="M390" i="8"/>
  <c r="N390" i="8"/>
  <c r="L366" i="8"/>
  <c r="M366" i="8"/>
  <c r="N366" i="8"/>
  <c r="C366" i="8"/>
  <c r="D366" i="8"/>
  <c r="E366" i="8"/>
  <c r="F366" i="8"/>
  <c r="G366" i="8"/>
  <c r="H366" i="8"/>
  <c r="I366" i="8"/>
  <c r="F334" i="8"/>
  <c r="M246" i="8"/>
  <c r="L246" i="8"/>
  <c r="N246" i="8"/>
  <c r="F246" i="8"/>
  <c r="E246" i="8"/>
  <c r="G246" i="8"/>
  <c r="H246" i="8"/>
  <c r="I246" i="8"/>
  <c r="O187" i="8"/>
  <c r="K187" i="8"/>
  <c r="D458" i="8"/>
  <c r="E458" i="8"/>
  <c r="F458" i="8"/>
  <c r="M458" i="8"/>
  <c r="N458" i="8"/>
  <c r="G458" i="8"/>
  <c r="H458" i="8"/>
  <c r="I458" i="8"/>
  <c r="L458" i="8"/>
  <c r="H445" i="8"/>
  <c r="K442" i="8"/>
  <c r="O442" i="8"/>
  <c r="J425" i="8"/>
  <c r="H397" i="8"/>
  <c r="K376" i="8"/>
  <c r="O362" i="8"/>
  <c r="F345" i="8"/>
  <c r="G345" i="8"/>
  <c r="H345" i="8"/>
  <c r="I345" i="8"/>
  <c r="L345" i="8"/>
  <c r="M345" i="8"/>
  <c r="N345" i="8"/>
  <c r="E334" i="8"/>
  <c r="I313" i="8"/>
  <c r="L313" i="8"/>
  <c r="N313" i="8"/>
  <c r="F313" i="8"/>
  <c r="G313" i="8"/>
  <c r="H313" i="8"/>
  <c r="M313" i="8"/>
  <c r="I304" i="8"/>
  <c r="C274" i="8"/>
  <c r="H274" i="8"/>
  <c r="M274" i="8"/>
  <c r="L274" i="8"/>
  <c r="I274" i="8"/>
  <c r="N274" i="8"/>
  <c r="D257" i="8"/>
  <c r="K498" i="8"/>
  <c r="O498" i="8"/>
  <c r="L466" i="8"/>
  <c r="M466" i="8"/>
  <c r="N466" i="8"/>
  <c r="K414" i="8"/>
  <c r="O414" i="8"/>
  <c r="J376" i="8"/>
  <c r="J362" i="8"/>
  <c r="D441" i="8"/>
  <c r="I438" i="8"/>
  <c r="L438" i="8"/>
  <c r="M438" i="8"/>
  <c r="N438" i="8"/>
  <c r="F417" i="8"/>
  <c r="H417" i="8"/>
  <c r="I417" i="8"/>
  <c r="L417" i="8"/>
  <c r="M417" i="8"/>
  <c r="N417" i="8"/>
  <c r="C337" i="8"/>
  <c r="D309" i="8"/>
  <c r="D301" i="8"/>
  <c r="J280" i="8"/>
  <c r="K280" i="8"/>
  <c r="G174" i="8"/>
  <c r="O171" i="8"/>
  <c r="K171" i="8"/>
  <c r="J171" i="8"/>
  <c r="C160" i="8"/>
  <c r="F160" i="8"/>
  <c r="L160" i="8"/>
  <c r="D160" i="8"/>
  <c r="E160" i="8"/>
  <c r="H160" i="8"/>
  <c r="I160" i="8"/>
  <c r="M160" i="8"/>
  <c r="N160" i="8"/>
  <c r="F469" i="8"/>
  <c r="G469" i="8"/>
  <c r="H469" i="8"/>
  <c r="I469" i="8"/>
  <c r="L469" i="8"/>
  <c r="M469" i="8"/>
  <c r="N469" i="8"/>
  <c r="J273" i="8"/>
  <c r="K273" i="8"/>
  <c r="O273" i="8"/>
  <c r="C482" i="8"/>
  <c r="D482" i="8"/>
  <c r="L482" i="8"/>
  <c r="M482" i="8"/>
  <c r="E482" i="8"/>
  <c r="F482" i="8"/>
  <c r="G482" i="8"/>
  <c r="H482" i="8"/>
  <c r="I482" i="8"/>
  <c r="F465" i="8"/>
  <c r="C465" i="8"/>
  <c r="D465" i="8"/>
  <c r="E465" i="8"/>
  <c r="M465" i="8"/>
  <c r="G465" i="8"/>
  <c r="H465" i="8"/>
  <c r="I465" i="8"/>
  <c r="N465" i="8"/>
  <c r="L465" i="8"/>
  <c r="C430" i="8"/>
  <c r="D430" i="8"/>
  <c r="E430" i="8"/>
  <c r="F430" i="8"/>
  <c r="L430" i="8"/>
  <c r="G430" i="8"/>
  <c r="H430" i="8"/>
  <c r="I430" i="8"/>
  <c r="M430" i="8"/>
  <c r="N430" i="8"/>
  <c r="D334" i="8"/>
  <c r="L334" i="8"/>
  <c r="M334" i="8"/>
  <c r="H334" i="8"/>
  <c r="I334" i="8"/>
  <c r="N334" i="8"/>
  <c r="N294" i="8"/>
  <c r="L294" i="8"/>
  <c r="M294" i="8"/>
  <c r="D294" i="8"/>
  <c r="E294" i="8"/>
  <c r="F294" i="8"/>
  <c r="G294" i="8"/>
  <c r="H294" i="8"/>
  <c r="I294" i="8"/>
  <c r="F257" i="8"/>
  <c r="M257" i="8"/>
  <c r="L257" i="8"/>
  <c r="N257" i="8"/>
  <c r="E257" i="8"/>
  <c r="G257" i="8"/>
  <c r="H257" i="8"/>
  <c r="I257" i="8"/>
  <c r="G150" i="8"/>
  <c r="M150" i="8"/>
  <c r="C150" i="8"/>
  <c r="I150" i="8"/>
  <c r="D150" i="8"/>
  <c r="E150" i="8"/>
  <c r="F150" i="8"/>
  <c r="L150" i="8"/>
  <c r="N150" i="8"/>
  <c r="L358" i="8"/>
  <c r="M358" i="8"/>
  <c r="N358" i="8"/>
  <c r="D358" i="8"/>
  <c r="E358" i="8"/>
  <c r="F358" i="8"/>
  <c r="G358" i="8"/>
  <c r="H358" i="8"/>
  <c r="I358" i="8"/>
  <c r="K318" i="8"/>
  <c r="O318" i="8"/>
  <c r="J254" i="8"/>
  <c r="O224" i="8"/>
  <c r="J224" i="8"/>
  <c r="K224" i="8"/>
  <c r="M49" i="8"/>
  <c r="N49" i="8"/>
  <c r="F49" i="8"/>
  <c r="G49" i="8"/>
  <c r="H49" i="8"/>
  <c r="I49" i="8"/>
  <c r="C49" i="8"/>
  <c r="D49" i="8"/>
  <c r="E49" i="8"/>
  <c r="L49" i="8"/>
  <c r="F434" i="8"/>
  <c r="G434" i="8"/>
  <c r="H434" i="8"/>
  <c r="N434" i="8"/>
  <c r="I434" i="8"/>
  <c r="L434" i="8"/>
  <c r="M434" i="8"/>
  <c r="F397" i="8"/>
  <c r="G397" i="8"/>
  <c r="I397" i="8"/>
  <c r="L397" i="8"/>
  <c r="M397" i="8"/>
  <c r="N397" i="8"/>
  <c r="F445" i="8"/>
  <c r="I445" i="8"/>
  <c r="L445" i="8"/>
  <c r="M445" i="8"/>
  <c r="N445" i="8"/>
  <c r="F393" i="8"/>
  <c r="G393" i="8"/>
  <c r="C393" i="8"/>
  <c r="D393" i="8"/>
  <c r="M393" i="8"/>
  <c r="E393" i="8"/>
  <c r="H393" i="8"/>
  <c r="I393" i="8"/>
  <c r="L393" i="8"/>
  <c r="N393" i="8"/>
  <c r="E337" i="8"/>
  <c r="K487" i="8"/>
  <c r="O487" i="8"/>
  <c r="H410" i="8"/>
  <c r="I410" i="8"/>
  <c r="L410" i="8"/>
  <c r="M410" i="8"/>
  <c r="N410" i="8"/>
  <c r="D304" i="8"/>
  <c r="L304" i="8"/>
  <c r="M304" i="8"/>
  <c r="N304" i="8"/>
  <c r="D288" i="8"/>
  <c r="L288" i="8"/>
  <c r="M288" i="8"/>
  <c r="N288" i="8"/>
  <c r="H288" i="8"/>
  <c r="I288" i="8"/>
  <c r="O146" i="8"/>
  <c r="K146" i="8"/>
  <c r="J146" i="8"/>
  <c r="I473" i="8"/>
  <c r="L378" i="8"/>
  <c r="M378" i="8"/>
  <c r="H378" i="8"/>
  <c r="I378" i="8"/>
  <c r="N378" i="8"/>
  <c r="L350" i="8"/>
  <c r="M350" i="8"/>
  <c r="N350" i="8"/>
  <c r="F350" i="8"/>
  <c r="G350" i="8"/>
  <c r="H350" i="8"/>
  <c r="I350" i="8"/>
  <c r="N290" i="8"/>
  <c r="I290" i="8"/>
  <c r="D290" i="8"/>
  <c r="E290" i="8"/>
  <c r="F290" i="8"/>
  <c r="G290" i="8"/>
  <c r="H290" i="8"/>
  <c r="L290" i="8"/>
  <c r="M290" i="8"/>
  <c r="C278" i="8"/>
  <c r="F278" i="8"/>
  <c r="G278" i="8"/>
  <c r="H278" i="8"/>
  <c r="I278" i="8"/>
  <c r="L278" i="8"/>
  <c r="M276" i="8"/>
  <c r="E276" i="8"/>
  <c r="L276" i="8"/>
  <c r="N276" i="8"/>
  <c r="M268" i="8"/>
  <c r="N268" i="8"/>
  <c r="H268" i="8"/>
  <c r="I268" i="8"/>
  <c r="L268" i="8"/>
  <c r="C268" i="8"/>
  <c r="D268" i="8"/>
  <c r="E268" i="8"/>
  <c r="F268" i="8"/>
  <c r="G268" i="8"/>
  <c r="G227" i="8"/>
  <c r="M227" i="8"/>
  <c r="N227" i="8"/>
  <c r="H227" i="8"/>
  <c r="E227" i="8"/>
  <c r="F227" i="8"/>
  <c r="I227" i="8"/>
  <c r="L227" i="8"/>
  <c r="J459" i="8"/>
  <c r="K459" i="8"/>
  <c r="O459" i="8"/>
  <c r="G473" i="8"/>
  <c r="F441" i="8"/>
  <c r="E441" i="8"/>
  <c r="G441" i="8"/>
  <c r="H441" i="8"/>
  <c r="I441" i="8"/>
  <c r="L441" i="8"/>
  <c r="M441" i="8"/>
  <c r="N441" i="8"/>
  <c r="I301" i="8"/>
  <c r="M301" i="8"/>
  <c r="E301" i="8"/>
  <c r="F301" i="8"/>
  <c r="G301" i="8"/>
  <c r="H301" i="8"/>
  <c r="L301" i="8"/>
  <c r="N301" i="8"/>
  <c r="G118" i="8"/>
  <c r="H118" i="8"/>
  <c r="M118" i="8"/>
  <c r="I118" i="8"/>
  <c r="L118" i="8"/>
  <c r="N118" i="8"/>
  <c r="E118" i="8"/>
  <c r="F118" i="8"/>
  <c r="C118" i="8"/>
  <c r="D118" i="8"/>
  <c r="E473" i="8"/>
  <c r="E406" i="8"/>
  <c r="F406" i="8"/>
  <c r="G406" i="8"/>
  <c r="N406" i="8"/>
  <c r="H406" i="8"/>
  <c r="I406" i="8"/>
  <c r="L406" i="8"/>
  <c r="M406" i="8"/>
  <c r="F381" i="8"/>
  <c r="G381" i="8"/>
  <c r="H381" i="8"/>
  <c r="I381" i="8"/>
  <c r="L381" i="8"/>
  <c r="M381" i="8"/>
  <c r="N381" i="8"/>
  <c r="F361" i="8"/>
  <c r="G361" i="8"/>
  <c r="H361" i="8"/>
  <c r="I361" i="8"/>
  <c r="C361" i="8"/>
  <c r="D361" i="8"/>
  <c r="E361" i="8"/>
  <c r="L361" i="8"/>
  <c r="M361" i="8"/>
  <c r="N361" i="8"/>
  <c r="F342" i="8"/>
  <c r="F292" i="8"/>
  <c r="H282" i="8"/>
  <c r="M264" i="8"/>
  <c r="L264" i="8"/>
  <c r="N264" i="8"/>
  <c r="D264" i="8"/>
  <c r="I264" i="8"/>
  <c r="H259" i="8"/>
  <c r="C259" i="8"/>
  <c r="G259" i="8"/>
  <c r="L259" i="8"/>
  <c r="M259" i="8"/>
  <c r="N259" i="8"/>
  <c r="D229" i="8"/>
  <c r="E229" i="8"/>
  <c r="F229" i="8"/>
  <c r="G229" i="8"/>
  <c r="C229" i="8"/>
  <c r="H229" i="8"/>
  <c r="I229" i="8"/>
  <c r="M229" i="8"/>
  <c r="N229" i="8"/>
  <c r="D183" i="8"/>
  <c r="C74" i="8"/>
  <c r="I74" i="8"/>
  <c r="M74" i="8"/>
  <c r="L74" i="8"/>
  <c r="N74" i="8"/>
  <c r="H74" i="8"/>
  <c r="E74" i="8"/>
  <c r="F74" i="8"/>
  <c r="G74" i="8"/>
  <c r="O276" i="8"/>
  <c r="J276" i="8"/>
  <c r="K276" i="8"/>
  <c r="H473" i="8"/>
  <c r="K401" i="8"/>
  <c r="O401" i="8"/>
  <c r="I309" i="8"/>
  <c r="E309" i="8"/>
  <c r="F309" i="8"/>
  <c r="G309" i="8"/>
  <c r="H309" i="8"/>
  <c r="N309" i="8"/>
  <c r="H490" i="8"/>
  <c r="I490" i="8"/>
  <c r="L490" i="8"/>
  <c r="M490" i="8"/>
  <c r="N490" i="8"/>
  <c r="D473" i="8"/>
  <c r="F462" i="8"/>
  <c r="E342" i="8"/>
  <c r="E292" i="8"/>
  <c r="G282" i="8"/>
  <c r="E233" i="8"/>
  <c r="K231" i="8"/>
  <c r="J181" i="8"/>
  <c r="G124" i="8"/>
  <c r="O368" i="8"/>
  <c r="F337" i="8"/>
  <c r="G337" i="8"/>
  <c r="H337" i="8"/>
  <c r="I337" i="8"/>
  <c r="N337" i="8"/>
  <c r="M233" i="8"/>
  <c r="K449" i="8"/>
  <c r="O449" i="8"/>
  <c r="F437" i="8"/>
  <c r="C437" i="8"/>
  <c r="D437" i="8"/>
  <c r="M437" i="8"/>
  <c r="E437" i="8"/>
  <c r="G437" i="8"/>
  <c r="H437" i="8"/>
  <c r="N437" i="8"/>
  <c r="I437" i="8"/>
  <c r="L437" i="8"/>
  <c r="F413" i="8"/>
  <c r="D413" i="8"/>
  <c r="E413" i="8"/>
  <c r="G413" i="8"/>
  <c r="H413" i="8"/>
  <c r="I413" i="8"/>
  <c r="L413" i="8"/>
  <c r="M413" i="8"/>
  <c r="N413" i="8"/>
  <c r="F497" i="8"/>
  <c r="H497" i="8"/>
  <c r="I497" i="8"/>
  <c r="L497" i="8"/>
  <c r="M497" i="8"/>
  <c r="N497" i="8"/>
  <c r="C473" i="8"/>
  <c r="O466" i="8"/>
  <c r="E462" i="8"/>
  <c r="O385" i="8"/>
  <c r="K368" i="8"/>
  <c r="K351" i="8"/>
  <c r="D342" i="8"/>
  <c r="N320" i="8"/>
  <c r="I320" i="8"/>
  <c r="L320" i="8"/>
  <c r="G320" i="8"/>
  <c r="H320" i="8"/>
  <c r="M320" i="8"/>
  <c r="K300" i="8"/>
  <c r="C292" i="8"/>
  <c r="E284" i="8"/>
  <c r="F282" i="8"/>
  <c r="D233" i="8"/>
  <c r="J231" i="8"/>
  <c r="F124" i="8"/>
  <c r="C121" i="8"/>
  <c r="H121" i="8"/>
  <c r="L121" i="8"/>
  <c r="M121" i="8"/>
  <c r="N121" i="8"/>
  <c r="D121" i="8"/>
  <c r="E121" i="8"/>
  <c r="G121" i="8"/>
  <c r="C59" i="8"/>
  <c r="D59" i="8"/>
  <c r="H59" i="8"/>
  <c r="F59" i="8"/>
  <c r="E59" i="8"/>
  <c r="G59" i="8"/>
  <c r="I59" i="8"/>
  <c r="L59" i="8"/>
  <c r="M59" i="8"/>
  <c r="G342" i="8"/>
  <c r="I282" i="8"/>
  <c r="H174" i="8"/>
  <c r="L174" i="8"/>
  <c r="M174" i="8"/>
  <c r="N174" i="8"/>
  <c r="C174" i="8"/>
  <c r="D174" i="8"/>
  <c r="E174" i="8"/>
  <c r="I174" i="8"/>
  <c r="C493" i="8"/>
  <c r="D486" i="8"/>
  <c r="J484" i="8"/>
  <c r="D462" i="8"/>
  <c r="K388" i="8"/>
  <c r="J375" i="8"/>
  <c r="F353" i="8"/>
  <c r="G353" i="8"/>
  <c r="H353" i="8"/>
  <c r="I353" i="8"/>
  <c r="E353" i="8"/>
  <c r="L353" i="8"/>
  <c r="M353" i="8"/>
  <c r="N353" i="8"/>
  <c r="J351" i="8"/>
  <c r="C342" i="8"/>
  <c r="J332" i="8"/>
  <c r="I327" i="8"/>
  <c r="L327" i="8"/>
  <c r="M327" i="8"/>
  <c r="H327" i="8"/>
  <c r="N327" i="8"/>
  <c r="I311" i="8"/>
  <c r="L311" i="8"/>
  <c r="M311" i="8"/>
  <c r="N311" i="8"/>
  <c r="C284" i="8"/>
  <c r="E282" i="8"/>
  <c r="G274" i="8"/>
  <c r="C270" i="8"/>
  <c r="E270" i="8"/>
  <c r="N270" i="8"/>
  <c r="D270" i="8"/>
  <c r="G270" i="8"/>
  <c r="H270" i="8"/>
  <c r="I270" i="8"/>
  <c r="L270" i="8"/>
  <c r="M270" i="8"/>
  <c r="C233" i="8"/>
  <c r="G183" i="8"/>
  <c r="M183" i="8"/>
  <c r="F183" i="8"/>
  <c r="H183" i="8"/>
  <c r="I183" i="8"/>
  <c r="N183" i="8"/>
  <c r="E183" i="8"/>
  <c r="L183" i="8"/>
  <c r="C173" i="8"/>
  <c r="E173" i="8"/>
  <c r="F173" i="8"/>
  <c r="G173" i="8"/>
  <c r="H173" i="8"/>
  <c r="L173" i="8"/>
  <c r="M173" i="8"/>
  <c r="I173" i="8"/>
  <c r="N173" i="8"/>
  <c r="D124" i="8"/>
  <c r="O120" i="8"/>
  <c r="N316" i="8"/>
  <c r="F316" i="8"/>
  <c r="G316" i="8"/>
  <c r="H316" i="8"/>
  <c r="I316" i="8"/>
  <c r="L261" i="8"/>
  <c r="I261" i="8"/>
  <c r="C261" i="8"/>
  <c r="H261" i="8"/>
  <c r="M261" i="8"/>
  <c r="N261" i="8"/>
  <c r="G223" i="8"/>
  <c r="L223" i="8"/>
  <c r="M223" i="8"/>
  <c r="N223" i="8"/>
  <c r="I223" i="8"/>
  <c r="C223" i="8"/>
  <c r="D223" i="8"/>
  <c r="E223" i="8"/>
  <c r="F223" i="8"/>
  <c r="H223" i="8"/>
  <c r="C71" i="8"/>
  <c r="D71" i="8"/>
  <c r="H71" i="8"/>
  <c r="G71" i="8"/>
  <c r="I71" i="8"/>
  <c r="L71" i="8"/>
  <c r="N71" i="8"/>
  <c r="M71" i="8"/>
  <c r="E71" i="8"/>
  <c r="F71" i="8"/>
  <c r="L370" i="8"/>
  <c r="M370" i="8"/>
  <c r="N370" i="8"/>
  <c r="I323" i="8"/>
  <c r="F323" i="8"/>
  <c r="G323" i="8"/>
  <c r="H323" i="8"/>
  <c r="L323" i="8"/>
  <c r="G307" i="8"/>
  <c r="M307" i="8"/>
  <c r="N307" i="8"/>
  <c r="L212" i="8"/>
  <c r="H212" i="8"/>
  <c r="I212" i="8"/>
  <c r="D212" i="8"/>
  <c r="N212" i="8"/>
  <c r="F401" i="8"/>
  <c r="G401" i="8"/>
  <c r="F365" i="8"/>
  <c r="G365" i="8"/>
  <c r="H365" i="8"/>
  <c r="I365" i="8"/>
  <c r="L248" i="8"/>
  <c r="H248" i="8"/>
  <c r="E248" i="8"/>
  <c r="M248" i="8"/>
  <c r="G248" i="8"/>
  <c r="I248" i="8"/>
  <c r="N248" i="8"/>
  <c r="D248" i="8"/>
  <c r="F248" i="8"/>
  <c r="O148" i="8"/>
  <c r="H141" i="8"/>
  <c r="F141" i="8"/>
  <c r="G141" i="8"/>
  <c r="I141" i="8"/>
  <c r="M141" i="8"/>
  <c r="L141" i="8"/>
  <c r="N141" i="8"/>
  <c r="E141" i="8"/>
  <c r="L123" i="8"/>
  <c r="M123" i="8"/>
  <c r="C123" i="8"/>
  <c r="D123" i="8"/>
  <c r="E123" i="8"/>
  <c r="F123" i="8"/>
  <c r="G123" i="8"/>
  <c r="I123" i="8"/>
  <c r="H123" i="8"/>
  <c r="F385" i="8"/>
  <c r="G385" i="8"/>
  <c r="L362" i="8"/>
  <c r="M362" i="8"/>
  <c r="N362" i="8"/>
  <c r="D300" i="8"/>
  <c r="G300" i="8"/>
  <c r="I300" i="8"/>
  <c r="L300" i="8"/>
  <c r="N300" i="8"/>
  <c r="G187" i="8"/>
  <c r="M187" i="8"/>
  <c r="L187" i="8"/>
  <c r="N187" i="8"/>
  <c r="D187" i="8"/>
  <c r="C156" i="8"/>
  <c r="G156" i="8"/>
  <c r="H156" i="8"/>
  <c r="I156" i="8"/>
  <c r="N156" i="8"/>
  <c r="D156" i="8"/>
  <c r="E156" i="8"/>
  <c r="F156" i="8"/>
  <c r="M156" i="8"/>
  <c r="L156" i="8"/>
  <c r="H88" i="8"/>
  <c r="I88" i="8"/>
  <c r="M88" i="8"/>
  <c r="L88" i="8"/>
  <c r="N88" i="8"/>
  <c r="C88" i="8"/>
  <c r="D88" i="8"/>
  <c r="E88" i="8"/>
  <c r="F88" i="8"/>
  <c r="G88" i="8"/>
  <c r="F357" i="8"/>
  <c r="G357" i="8"/>
  <c r="H357" i="8"/>
  <c r="I357" i="8"/>
  <c r="G273" i="8"/>
  <c r="D273" i="8"/>
  <c r="L273" i="8"/>
  <c r="M273" i="8"/>
  <c r="N273" i="8"/>
  <c r="L245" i="8"/>
  <c r="M245" i="8"/>
  <c r="N245" i="8"/>
  <c r="E245" i="8"/>
  <c r="C245" i="8"/>
  <c r="D245" i="8"/>
  <c r="F245" i="8"/>
  <c r="L208" i="8"/>
  <c r="C208" i="8"/>
  <c r="D208" i="8"/>
  <c r="E208" i="8"/>
  <c r="F208" i="8"/>
  <c r="I208" i="8"/>
  <c r="H208" i="8"/>
  <c r="N208" i="8"/>
  <c r="H206" i="8"/>
  <c r="L206" i="8"/>
  <c r="M206" i="8"/>
  <c r="N206" i="8"/>
  <c r="F206" i="8"/>
  <c r="I206" i="8"/>
  <c r="M37" i="8"/>
  <c r="N37" i="8"/>
  <c r="I37" i="8"/>
  <c r="L37" i="8"/>
  <c r="H37" i="8"/>
  <c r="F37" i="8"/>
  <c r="G37" i="8"/>
  <c r="D485" i="8"/>
  <c r="E478" i="8"/>
  <c r="C457" i="8"/>
  <c r="E433" i="8"/>
  <c r="D389" i="8"/>
  <c r="L382" i="8"/>
  <c r="M382" i="8"/>
  <c r="E377" i="8"/>
  <c r="L354" i="8"/>
  <c r="M354" i="8"/>
  <c r="N354" i="8"/>
  <c r="E338" i="8"/>
  <c r="D335" i="8"/>
  <c r="E328" i="8"/>
  <c r="N312" i="8"/>
  <c r="C312" i="8"/>
  <c r="D312" i="8"/>
  <c r="E312" i="8"/>
  <c r="F312" i="8"/>
  <c r="H312" i="8"/>
  <c r="L287" i="8"/>
  <c r="E287" i="8"/>
  <c r="F287" i="8"/>
  <c r="G287" i="8"/>
  <c r="H287" i="8"/>
  <c r="I287" i="8"/>
  <c r="O260" i="8"/>
  <c r="J260" i="8"/>
  <c r="J255" i="8"/>
  <c r="K255" i="8"/>
  <c r="O255" i="8"/>
  <c r="G162" i="8"/>
  <c r="C162" i="8"/>
  <c r="M162" i="8"/>
  <c r="N162" i="8"/>
  <c r="L162" i="8"/>
  <c r="E162" i="8"/>
  <c r="F162" i="8"/>
  <c r="H162" i="8"/>
  <c r="I162" i="8"/>
  <c r="D162" i="8"/>
  <c r="C148" i="8"/>
  <c r="L148" i="8"/>
  <c r="I148" i="8"/>
  <c r="M148" i="8"/>
  <c r="N148" i="8"/>
  <c r="D148" i="8"/>
  <c r="E148" i="8"/>
  <c r="F148" i="8"/>
  <c r="D478" i="8"/>
  <c r="D433" i="8"/>
  <c r="D377" i="8"/>
  <c r="F349" i="8"/>
  <c r="G349" i="8"/>
  <c r="H349" i="8"/>
  <c r="I349" i="8"/>
  <c r="K347" i="8"/>
  <c r="D338" i="8"/>
  <c r="D328" i="8"/>
  <c r="K322" i="8"/>
  <c r="I319" i="8"/>
  <c r="C319" i="8"/>
  <c r="D319" i="8"/>
  <c r="E319" i="8"/>
  <c r="F319" i="8"/>
  <c r="H319" i="8"/>
  <c r="L291" i="8"/>
  <c r="M291" i="8"/>
  <c r="N291" i="8"/>
  <c r="H275" i="8"/>
  <c r="N275" i="8"/>
  <c r="D275" i="8"/>
  <c r="E275" i="8"/>
  <c r="F275" i="8"/>
  <c r="G275" i="8"/>
  <c r="I275" i="8"/>
  <c r="C225" i="8"/>
  <c r="D225" i="8"/>
  <c r="E225" i="8"/>
  <c r="H225" i="8"/>
  <c r="M225" i="8"/>
  <c r="L225" i="8"/>
  <c r="N225" i="8"/>
  <c r="F225" i="8"/>
  <c r="G225" i="8"/>
  <c r="I225" i="8"/>
  <c r="H145" i="8"/>
  <c r="L145" i="8"/>
  <c r="M145" i="8"/>
  <c r="C145" i="8"/>
  <c r="D145" i="8"/>
  <c r="E145" i="8"/>
  <c r="F145" i="8"/>
  <c r="N145" i="8"/>
  <c r="G138" i="8"/>
  <c r="M138" i="8"/>
  <c r="H138" i="8"/>
  <c r="I138" i="8"/>
  <c r="C138" i="8"/>
  <c r="D138" i="8"/>
  <c r="E138" i="8"/>
  <c r="F138" i="8"/>
  <c r="N138" i="8"/>
  <c r="L138" i="8"/>
  <c r="L135" i="8"/>
  <c r="M135" i="8"/>
  <c r="G135" i="8"/>
  <c r="H135" i="8"/>
  <c r="I135" i="8"/>
  <c r="C135" i="8"/>
  <c r="D135" i="8"/>
  <c r="E135" i="8"/>
  <c r="C433" i="8"/>
  <c r="F405" i="8"/>
  <c r="G405" i="8"/>
  <c r="L346" i="8"/>
  <c r="M346" i="8"/>
  <c r="N346" i="8"/>
  <c r="D333" i="8"/>
  <c r="E333" i="8"/>
  <c r="F333" i="8"/>
  <c r="G333" i="8"/>
  <c r="I333" i="8"/>
  <c r="C328" i="8"/>
  <c r="D326" i="8"/>
  <c r="C326" i="8"/>
  <c r="E326" i="8"/>
  <c r="F326" i="8"/>
  <c r="G326" i="8"/>
  <c r="I326" i="8"/>
  <c r="I289" i="8"/>
  <c r="C289" i="8"/>
  <c r="H281" i="8"/>
  <c r="F281" i="8"/>
  <c r="G281" i="8"/>
  <c r="I281" i="8"/>
  <c r="L281" i="8"/>
  <c r="M53" i="8"/>
  <c r="N53" i="8"/>
  <c r="I53" i="8"/>
  <c r="L53" i="8"/>
  <c r="F53" i="8"/>
  <c r="G53" i="8"/>
  <c r="H53" i="8"/>
  <c r="E53" i="8"/>
  <c r="F341" i="8"/>
  <c r="G341" i="8"/>
  <c r="H341" i="8"/>
  <c r="I341" i="8"/>
  <c r="N318" i="8"/>
  <c r="D303" i="8"/>
  <c r="H303" i="8"/>
  <c r="I303" i="8"/>
  <c r="M303" i="8"/>
  <c r="I285" i="8"/>
  <c r="M285" i="8"/>
  <c r="N285" i="8"/>
  <c r="G235" i="8"/>
  <c r="F235" i="8"/>
  <c r="L235" i="8"/>
  <c r="H186" i="8"/>
  <c r="E186" i="8"/>
  <c r="F186" i="8"/>
  <c r="G186" i="8"/>
  <c r="I186" i="8"/>
  <c r="L186" i="8"/>
  <c r="M186" i="8"/>
  <c r="D186" i="8"/>
  <c r="N186" i="8"/>
  <c r="C67" i="8"/>
  <c r="D67" i="8"/>
  <c r="H67" i="8"/>
  <c r="M67" i="8"/>
  <c r="N67" i="8"/>
  <c r="E67" i="8"/>
  <c r="F67" i="8"/>
  <c r="G67" i="8"/>
  <c r="I67" i="8"/>
  <c r="L67" i="8"/>
  <c r="M318" i="8"/>
  <c r="D310" i="8"/>
  <c r="L310" i="8"/>
  <c r="M310" i="8"/>
  <c r="N310" i="8"/>
  <c r="C242" i="8"/>
  <c r="H242" i="8"/>
  <c r="L242" i="8"/>
  <c r="E242" i="8"/>
  <c r="F242" i="8"/>
  <c r="G242" i="8"/>
  <c r="I242" i="8"/>
  <c r="M25" i="8"/>
  <c r="N25" i="8"/>
  <c r="L25" i="8"/>
  <c r="C25" i="8"/>
  <c r="D25" i="8"/>
  <c r="E25" i="8"/>
  <c r="F25" i="8"/>
  <c r="H25" i="8"/>
  <c r="F373" i="8"/>
  <c r="G373" i="8"/>
  <c r="H373" i="8"/>
  <c r="I373" i="8"/>
  <c r="D330" i="8"/>
  <c r="G330" i="8"/>
  <c r="H330" i="8"/>
  <c r="I330" i="8"/>
  <c r="L330" i="8"/>
  <c r="I297" i="8"/>
  <c r="L297" i="8"/>
  <c r="M297" i="8"/>
  <c r="N297" i="8"/>
  <c r="G231" i="8"/>
  <c r="C231" i="8"/>
  <c r="D231" i="8"/>
  <c r="E231" i="8"/>
  <c r="C218" i="8"/>
  <c r="D218" i="8"/>
  <c r="E218" i="8"/>
  <c r="F218" i="8"/>
  <c r="M218" i="8"/>
  <c r="G218" i="8"/>
  <c r="H218" i="8"/>
  <c r="I218" i="8"/>
  <c r="C189" i="8"/>
  <c r="E189" i="8"/>
  <c r="F189" i="8"/>
  <c r="G189" i="8"/>
  <c r="H189" i="8"/>
  <c r="L189" i="8"/>
  <c r="M189" i="8"/>
  <c r="N189" i="8"/>
  <c r="H92" i="8"/>
  <c r="I92" i="8"/>
  <c r="M92" i="8"/>
  <c r="D92" i="8"/>
  <c r="L92" i="8"/>
  <c r="N92" i="8"/>
  <c r="C92" i="8"/>
  <c r="E92" i="8"/>
  <c r="M57" i="8"/>
  <c r="N57" i="8"/>
  <c r="E57" i="8"/>
  <c r="F57" i="8"/>
  <c r="G57" i="8"/>
  <c r="I57" i="8"/>
  <c r="C57" i="8"/>
  <c r="D57" i="8"/>
  <c r="H57" i="8"/>
  <c r="L57" i="8"/>
  <c r="I293" i="8"/>
  <c r="F293" i="8"/>
  <c r="C293" i="8"/>
  <c r="D293" i="8"/>
  <c r="E293" i="8"/>
  <c r="G293" i="8"/>
  <c r="H263" i="8"/>
  <c r="D263" i="8"/>
  <c r="C263" i="8"/>
  <c r="E263" i="8"/>
  <c r="I263" i="8"/>
  <c r="L263" i="8"/>
  <c r="M263" i="8"/>
  <c r="N263" i="8"/>
  <c r="L240" i="8"/>
  <c r="D240" i="8"/>
  <c r="E240" i="8"/>
  <c r="F240" i="8"/>
  <c r="G240" i="8"/>
  <c r="H240" i="8"/>
  <c r="N240" i="8"/>
  <c r="C240" i="8"/>
  <c r="I240" i="8"/>
  <c r="M240" i="8"/>
  <c r="L216" i="8"/>
  <c r="M216" i="8"/>
  <c r="N216" i="8"/>
  <c r="H216" i="8"/>
  <c r="I216" i="8"/>
  <c r="G126" i="8"/>
  <c r="H126" i="8"/>
  <c r="M126" i="8"/>
  <c r="C126" i="8"/>
  <c r="D126" i="8"/>
  <c r="E126" i="8"/>
  <c r="F126" i="8"/>
  <c r="I126" i="8"/>
  <c r="N494" i="8"/>
  <c r="N421" i="8"/>
  <c r="N414" i="8"/>
  <c r="N394" i="8"/>
  <c r="F377" i="8"/>
  <c r="G377" i="8"/>
  <c r="H377" i="8"/>
  <c r="L338" i="8"/>
  <c r="M338" i="8"/>
  <c r="N338" i="8"/>
  <c r="M494" i="8"/>
  <c r="N449" i="8"/>
  <c r="N442" i="8"/>
  <c r="M421" i="8"/>
  <c r="M414" i="8"/>
  <c r="M394" i="8"/>
  <c r="L374" i="8"/>
  <c r="M374" i="8"/>
  <c r="N374" i="8"/>
  <c r="L318" i="8"/>
  <c r="D296" i="8"/>
  <c r="C296" i="8"/>
  <c r="E296" i="8"/>
  <c r="F296" i="8"/>
  <c r="G296" i="8"/>
  <c r="I296" i="8"/>
  <c r="H279" i="8"/>
  <c r="D279" i="8"/>
  <c r="N279" i="8"/>
  <c r="H271" i="8"/>
  <c r="M271" i="8"/>
  <c r="H202" i="8"/>
  <c r="E202" i="8"/>
  <c r="F202" i="8"/>
  <c r="G202" i="8"/>
  <c r="I202" i="8"/>
  <c r="L202" i="8"/>
  <c r="M202" i="8"/>
  <c r="C202" i="8"/>
  <c r="D202" i="8"/>
  <c r="N202" i="8"/>
  <c r="L200" i="8"/>
  <c r="N200" i="8"/>
  <c r="M200" i="8"/>
  <c r="G200" i="8"/>
  <c r="H200" i="8"/>
  <c r="I200" i="8"/>
  <c r="G191" i="8"/>
  <c r="M191" i="8"/>
  <c r="C191" i="8"/>
  <c r="L191" i="8"/>
  <c r="N191" i="8"/>
  <c r="E191" i="8"/>
  <c r="H161" i="8"/>
  <c r="L161" i="8"/>
  <c r="D161" i="8"/>
  <c r="E161" i="8"/>
  <c r="F161" i="8"/>
  <c r="G161" i="8"/>
  <c r="M161" i="8"/>
  <c r="N161" i="8"/>
  <c r="I161" i="8"/>
  <c r="L196" i="8"/>
  <c r="H196" i="8"/>
  <c r="I196" i="8"/>
  <c r="D196" i="8"/>
  <c r="E196" i="8"/>
  <c r="F196" i="8"/>
  <c r="G196" i="8"/>
  <c r="M196" i="8"/>
  <c r="N196" i="8"/>
  <c r="N477" i="8"/>
  <c r="M449" i="8"/>
  <c r="L421" i="8"/>
  <c r="F369" i="8"/>
  <c r="G369" i="8"/>
  <c r="H369" i="8"/>
  <c r="I369" i="8"/>
  <c r="I331" i="8"/>
  <c r="M331" i="8"/>
  <c r="N331" i="8"/>
  <c r="L317" i="8"/>
  <c r="M317" i="8"/>
  <c r="N317" i="8"/>
  <c r="L307" i="8"/>
  <c r="L220" i="8"/>
  <c r="H220" i="8"/>
  <c r="N220" i="8"/>
  <c r="C220" i="8"/>
  <c r="D220" i="8"/>
  <c r="E220" i="8"/>
  <c r="F220" i="8"/>
  <c r="I164" i="8"/>
  <c r="F164" i="8"/>
  <c r="G164" i="8"/>
  <c r="H164" i="8"/>
  <c r="M164" i="8"/>
  <c r="N164" i="8"/>
  <c r="L164" i="8"/>
  <c r="E164" i="8"/>
  <c r="C114" i="8"/>
  <c r="F114" i="8"/>
  <c r="G114" i="8"/>
  <c r="L114" i="8"/>
  <c r="I114" i="8"/>
  <c r="M114" i="8"/>
  <c r="N114" i="8"/>
  <c r="E114" i="8"/>
  <c r="H114" i="8"/>
  <c r="C332" i="8"/>
  <c r="F322" i="8"/>
  <c r="E315" i="8"/>
  <c r="E305" i="8"/>
  <c r="D283" i="8"/>
  <c r="D280" i="8"/>
  <c r="D269" i="8"/>
  <c r="C269" i="8"/>
  <c r="F269" i="8"/>
  <c r="L256" i="8"/>
  <c r="M256" i="8"/>
  <c r="C256" i="8"/>
  <c r="I256" i="8"/>
  <c r="N256" i="8"/>
  <c r="N219" i="8"/>
  <c r="G215" i="8"/>
  <c r="F215" i="8"/>
  <c r="H215" i="8"/>
  <c r="I215" i="8"/>
  <c r="M215" i="8"/>
  <c r="N215" i="8"/>
  <c r="C215" i="8"/>
  <c r="O213" i="8"/>
  <c r="K213" i="8"/>
  <c r="L176" i="8"/>
  <c r="C176" i="8"/>
  <c r="D176" i="8"/>
  <c r="E176" i="8"/>
  <c r="F176" i="8"/>
  <c r="I176" i="8"/>
  <c r="M176" i="8"/>
  <c r="N176" i="8"/>
  <c r="F167" i="8"/>
  <c r="I116" i="8"/>
  <c r="H96" i="8"/>
  <c r="I96" i="8"/>
  <c r="M96" i="8"/>
  <c r="G96" i="8"/>
  <c r="N96" i="8"/>
  <c r="C96" i="8"/>
  <c r="D96" i="8"/>
  <c r="E96" i="8"/>
  <c r="F96" i="8"/>
  <c r="L96" i="8"/>
  <c r="C90" i="8"/>
  <c r="E90" i="8"/>
  <c r="F90" i="8"/>
  <c r="G90" i="8"/>
  <c r="I90" i="8"/>
  <c r="M90" i="8"/>
  <c r="N90" i="8"/>
  <c r="L90" i="8"/>
  <c r="C6" i="8"/>
  <c r="D6" i="8"/>
  <c r="F6" i="8"/>
  <c r="E6" i="8" s="1"/>
  <c r="G6" i="8"/>
  <c r="C262" i="8"/>
  <c r="E262" i="8"/>
  <c r="C258" i="8"/>
  <c r="E258" i="8"/>
  <c r="M258" i="8"/>
  <c r="F258" i="8"/>
  <c r="G258" i="8"/>
  <c r="H258" i="8"/>
  <c r="J252" i="8"/>
  <c r="M219" i="8"/>
  <c r="L180" i="8"/>
  <c r="H180" i="8"/>
  <c r="I180" i="8"/>
  <c r="C180" i="8"/>
  <c r="D180" i="8"/>
  <c r="E180" i="8"/>
  <c r="F180" i="8"/>
  <c r="O142" i="8"/>
  <c r="J142" i="8"/>
  <c r="K142" i="8"/>
  <c r="H116" i="8"/>
  <c r="D308" i="8"/>
  <c r="M308" i="8"/>
  <c r="N286" i="8"/>
  <c r="F286" i="8"/>
  <c r="E277" i="8"/>
  <c r="L277" i="8"/>
  <c r="H267" i="8"/>
  <c r="G267" i="8"/>
  <c r="M267" i="8"/>
  <c r="L267" i="8"/>
  <c r="N249" i="8"/>
  <c r="M249" i="8"/>
  <c r="I234" i="8"/>
  <c r="G226" i="8"/>
  <c r="H226" i="8"/>
  <c r="I226" i="8"/>
  <c r="N226" i="8"/>
  <c r="F219" i="8"/>
  <c r="G203" i="8"/>
  <c r="M203" i="8"/>
  <c r="L203" i="8"/>
  <c r="N203" i="8"/>
  <c r="C203" i="8"/>
  <c r="E203" i="8"/>
  <c r="F203" i="8"/>
  <c r="H203" i="8"/>
  <c r="I203" i="8"/>
  <c r="I175" i="8"/>
  <c r="G116" i="8"/>
  <c r="C55" i="8"/>
  <c r="D55" i="8"/>
  <c r="H55" i="8"/>
  <c r="L55" i="8"/>
  <c r="M55" i="8"/>
  <c r="N55" i="8"/>
  <c r="I55" i="8"/>
  <c r="D234" i="8"/>
  <c r="E219" i="8"/>
  <c r="F175" i="8"/>
  <c r="L159" i="8"/>
  <c r="E159" i="8"/>
  <c r="M159" i="8"/>
  <c r="N159" i="8"/>
  <c r="D159" i="8"/>
  <c r="F159" i="8"/>
  <c r="G159" i="8"/>
  <c r="H159" i="8"/>
  <c r="F116" i="8"/>
  <c r="F20" i="8"/>
  <c r="H20" i="8"/>
  <c r="I20" i="8"/>
  <c r="M20" i="8"/>
  <c r="N20" i="8"/>
  <c r="L20" i="8"/>
  <c r="L167" i="8"/>
  <c r="E167" i="8"/>
  <c r="G167" i="8"/>
  <c r="H167" i="8"/>
  <c r="I167" i="8"/>
  <c r="L244" i="8"/>
  <c r="F244" i="8"/>
  <c r="G244" i="8"/>
  <c r="H244" i="8"/>
  <c r="I244" i="8"/>
  <c r="I230" i="8"/>
  <c r="L230" i="8"/>
  <c r="F230" i="8"/>
  <c r="E230" i="8"/>
  <c r="C193" i="8"/>
  <c r="L193" i="8"/>
  <c r="M193" i="8"/>
  <c r="H193" i="8"/>
  <c r="J185" i="8"/>
  <c r="K185" i="8"/>
  <c r="G154" i="8"/>
  <c r="M154" i="8"/>
  <c r="H154" i="8"/>
  <c r="L154" i="8"/>
  <c r="N154" i="8"/>
  <c r="E154" i="8"/>
  <c r="F154" i="8"/>
  <c r="I154" i="8"/>
  <c r="C98" i="8"/>
  <c r="D98" i="8"/>
  <c r="E98" i="8"/>
  <c r="G98" i="8"/>
  <c r="I98" i="8"/>
  <c r="L98" i="8"/>
  <c r="M98" i="8"/>
  <c r="N98" i="8"/>
  <c r="F98" i="8"/>
  <c r="H98" i="8"/>
  <c r="L234" i="8"/>
  <c r="M234" i="8"/>
  <c r="N234" i="8"/>
  <c r="E234" i="8"/>
  <c r="F234" i="8"/>
  <c r="G234" i="8"/>
  <c r="H234" i="8"/>
  <c r="G219" i="8"/>
  <c r="I219" i="8"/>
  <c r="L219" i="8"/>
  <c r="C219" i="8"/>
  <c r="H219" i="8"/>
  <c r="G175" i="8"/>
  <c r="M175" i="8"/>
  <c r="C175" i="8"/>
  <c r="D175" i="8"/>
  <c r="H175" i="8"/>
  <c r="L175" i="8"/>
  <c r="N175" i="8"/>
  <c r="C116" i="8"/>
  <c r="L116" i="8"/>
  <c r="M116" i="8"/>
  <c r="N116" i="8"/>
  <c r="D116" i="8"/>
  <c r="L241" i="8"/>
  <c r="M241" i="8"/>
  <c r="G171" i="8"/>
  <c r="M171" i="8"/>
  <c r="L171" i="8"/>
  <c r="N171" i="8"/>
  <c r="F171" i="8"/>
  <c r="I171" i="8"/>
  <c r="C136" i="8"/>
  <c r="I136" i="8"/>
  <c r="L136" i="8"/>
  <c r="E136" i="8"/>
  <c r="F136" i="8"/>
  <c r="G136" i="8"/>
  <c r="M136" i="8"/>
  <c r="N136" i="8"/>
  <c r="C50" i="8"/>
  <c r="G50" i="8"/>
  <c r="H50" i="8"/>
  <c r="I50" i="8"/>
  <c r="M50" i="8"/>
  <c r="D50" i="8"/>
  <c r="E50" i="8"/>
  <c r="L252" i="8"/>
  <c r="M252" i="8"/>
  <c r="G247" i="8"/>
  <c r="D247" i="8"/>
  <c r="C247" i="8"/>
  <c r="J243" i="8"/>
  <c r="O243" i="8"/>
  <c r="E222" i="8"/>
  <c r="F222" i="8"/>
  <c r="G222" i="8"/>
  <c r="H222" i="8"/>
  <c r="I222" i="8"/>
  <c r="H190" i="8"/>
  <c r="L190" i="8"/>
  <c r="M190" i="8"/>
  <c r="N190" i="8"/>
  <c r="F190" i="8"/>
  <c r="G190" i="8"/>
  <c r="C177" i="8"/>
  <c r="L177" i="8"/>
  <c r="M177" i="8"/>
  <c r="H177" i="8"/>
  <c r="N177" i="8"/>
  <c r="E146" i="8"/>
  <c r="J119" i="8"/>
  <c r="M77" i="8"/>
  <c r="N77" i="8"/>
  <c r="L77" i="8"/>
  <c r="E77" i="8"/>
  <c r="F77" i="8"/>
  <c r="G77" i="8"/>
  <c r="H77" i="8"/>
  <c r="I77" i="8"/>
  <c r="F32" i="8"/>
  <c r="H32" i="8"/>
  <c r="I32" i="8"/>
  <c r="M32" i="8"/>
  <c r="N32" i="8"/>
  <c r="G32" i="8"/>
  <c r="L32" i="8"/>
  <c r="G255" i="8"/>
  <c r="F255" i="8"/>
  <c r="I255" i="8"/>
  <c r="M255" i="8"/>
  <c r="L224" i="8"/>
  <c r="D224" i="8"/>
  <c r="J209" i="8"/>
  <c r="K209" i="8"/>
  <c r="L192" i="8"/>
  <c r="C192" i="8"/>
  <c r="D192" i="8"/>
  <c r="E192" i="8"/>
  <c r="F192" i="8"/>
  <c r="I192" i="8"/>
  <c r="H192" i="8"/>
  <c r="C82" i="8"/>
  <c r="G82" i="8"/>
  <c r="H82" i="8"/>
  <c r="I82" i="8"/>
  <c r="M82" i="8"/>
  <c r="D82" i="8"/>
  <c r="E82" i="8"/>
  <c r="F82" i="8"/>
  <c r="M260" i="8"/>
  <c r="E260" i="8"/>
  <c r="M238" i="8"/>
  <c r="N238" i="8"/>
  <c r="L151" i="8"/>
  <c r="I151" i="8"/>
  <c r="M151" i="8"/>
  <c r="N151" i="8"/>
  <c r="C151" i="8"/>
  <c r="D151" i="8"/>
  <c r="E151" i="8"/>
  <c r="G151" i="8"/>
  <c r="H151" i="8"/>
  <c r="G130" i="8"/>
  <c r="H130" i="8"/>
  <c r="M130" i="8"/>
  <c r="N130" i="8"/>
  <c r="L130" i="8"/>
  <c r="C130" i="8"/>
  <c r="M85" i="8"/>
  <c r="N85" i="8"/>
  <c r="H85" i="8"/>
  <c r="I85" i="8"/>
  <c r="L85" i="8"/>
  <c r="C85" i="8"/>
  <c r="D85" i="8"/>
  <c r="E85" i="8"/>
  <c r="F85" i="8"/>
  <c r="G85" i="8"/>
  <c r="C205" i="8"/>
  <c r="E205" i="8"/>
  <c r="F205" i="8"/>
  <c r="G205" i="8"/>
  <c r="H205" i="8"/>
  <c r="L205" i="8"/>
  <c r="G199" i="8"/>
  <c r="M199" i="8"/>
  <c r="F199" i="8"/>
  <c r="H199" i="8"/>
  <c r="I199" i="8"/>
  <c r="N199" i="8"/>
  <c r="C199" i="8"/>
  <c r="D199" i="8"/>
  <c r="G146" i="8"/>
  <c r="M146" i="8"/>
  <c r="C146" i="8"/>
  <c r="N146" i="8"/>
  <c r="L146" i="8"/>
  <c r="O113" i="8"/>
  <c r="H100" i="8"/>
  <c r="I100" i="8"/>
  <c r="M100" i="8"/>
  <c r="L100" i="8"/>
  <c r="N100" i="8"/>
  <c r="C79" i="8"/>
  <c r="D79" i="8"/>
  <c r="H79" i="8"/>
  <c r="E79" i="8"/>
  <c r="F79" i="8"/>
  <c r="G79" i="8"/>
  <c r="L79" i="8"/>
  <c r="I79" i="8"/>
  <c r="M79" i="8"/>
  <c r="N79" i="8"/>
  <c r="C209" i="8"/>
  <c r="L209" i="8"/>
  <c r="M209" i="8"/>
  <c r="G207" i="8"/>
  <c r="M207" i="8"/>
  <c r="C207" i="8"/>
  <c r="G149" i="8"/>
  <c r="C120" i="8"/>
  <c r="D120" i="8"/>
  <c r="E120" i="8"/>
  <c r="F120" i="8"/>
  <c r="G120" i="8"/>
  <c r="I120" i="8"/>
  <c r="L120" i="8"/>
  <c r="M120" i="8"/>
  <c r="N120" i="8"/>
  <c r="D107" i="8"/>
  <c r="C132" i="8"/>
  <c r="G132" i="8"/>
  <c r="H132" i="8"/>
  <c r="I132" i="8"/>
  <c r="M132" i="8"/>
  <c r="N132" i="8"/>
  <c r="K109" i="8"/>
  <c r="C46" i="8"/>
  <c r="D46" i="8"/>
  <c r="E46" i="8"/>
  <c r="F46" i="8"/>
  <c r="G46" i="8"/>
  <c r="H46" i="8"/>
  <c r="I46" i="8"/>
  <c r="L46" i="8"/>
  <c r="M46" i="8"/>
  <c r="H115" i="8"/>
  <c r="L115" i="8"/>
  <c r="M115" i="8"/>
  <c r="F115" i="8"/>
  <c r="G115" i="8"/>
  <c r="I115" i="8"/>
  <c r="C115" i="8"/>
  <c r="D115" i="8"/>
  <c r="O112" i="8"/>
  <c r="K112" i="8"/>
  <c r="C5" i="8"/>
  <c r="D5" i="8"/>
  <c r="F5" i="8"/>
  <c r="E5" i="8" s="1"/>
  <c r="G5" i="8"/>
  <c r="I5" i="8" s="1"/>
  <c r="H5" i="8" s="1"/>
  <c r="H107" i="8"/>
  <c r="E107" i="8"/>
  <c r="F107" i="8"/>
  <c r="G107" i="8"/>
  <c r="L107" i="8"/>
  <c r="N107" i="8"/>
  <c r="M41" i="8"/>
  <c r="N41" i="8"/>
  <c r="C41" i="8"/>
  <c r="D41" i="8"/>
  <c r="E41" i="8"/>
  <c r="F41" i="8"/>
  <c r="H41" i="8"/>
  <c r="H149" i="8"/>
  <c r="C149" i="8"/>
  <c r="D149" i="8"/>
  <c r="M112" i="8"/>
  <c r="C112" i="8"/>
  <c r="D112" i="8"/>
  <c r="E112" i="8"/>
  <c r="F112" i="8"/>
  <c r="G112" i="8"/>
  <c r="I112" i="8"/>
  <c r="L112" i="8"/>
  <c r="N112" i="8"/>
  <c r="F16" i="8"/>
  <c r="H16" i="8"/>
  <c r="I16" i="8"/>
  <c r="M16" i="8"/>
  <c r="N16" i="8"/>
  <c r="L16" i="8"/>
  <c r="G16" i="8"/>
  <c r="H237" i="8"/>
  <c r="I237" i="8"/>
  <c r="K140" i="8"/>
  <c r="C63" i="8"/>
  <c r="D63" i="8"/>
  <c r="H63" i="8"/>
  <c r="L63" i="8"/>
  <c r="N63" i="8"/>
  <c r="H157" i="8"/>
  <c r="F157" i="8"/>
  <c r="M157" i="8"/>
  <c r="H76" i="8"/>
  <c r="I76" i="8"/>
  <c r="M76" i="8"/>
  <c r="C76" i="8"/>
  <c r="D76" i="8"/>
  <c r="F76" i="8"/>
  <c r="M65" i="8"/>
  <c r="N65" i="8"/>
  <c r="C65" i="8"/>
  <c r="D65" i="8"/>
  <c r="E65" i="8"/>
  <c r="G65" i="8"/>
  <c r="I65" i="8"/>
  <c r="C144" i="8"/>
  <c r="F144" i="8"/>
  <c r="G144" i="8"/>
  <c r="L144" i="8"/>
  <c r="K127" i="8"/>
  <c r="O127" i="8"/>
  <c r="H111" i="8"/>
  <c r="I111" i="8"/>
  <c r="M111" i="8"/>
  <c r="C102" i="8"/>
  <c r="L102" i="8"/>
  <c r="M102" i="8"/>
  <c r="N102" i="8"/>
  <c r="C83" i="8"/>
  <c r="D83" i="8"/>
  <c r="H83" i="8"/>
  <c r="G83" i="8"/>
  <c r="I83" i="8"/>
  <c r="L83" i="8"/>
  <c r="N83" i="8"/>
  <c r="C34" i="8"/>
  <c r="D34" i="8"/>
  <c r="F34" i="8"/>
  <c r="G34" i="8"/>
  <c r="H34" i="8"/>
  <c r="I34" i="8"/>
  <c r="L34" i="8"/>
  <c r="C22" i="8"/>
  <c r="D22" i="8"/>
  <c r="G22" i="8"/>
  <c r="H22" i="8"/>
  <c r="I22" i="8"/>
  <c r="M22" i="8"/>
  <c r="C18" i="8"/>
  <c r="D18" i="8"/>
  <c r="N18" i="8"/>
  <c r="M18" i="8"/>
  <c r="F8" i="8"/>
  <c r="H8" i="8"/>
  <c r="I8" i="8"/>
  <c r="M8" i="8"/>
  <c r="N8" i="8"/>
  <c r="L8" i="8"/>
  <c r="D8" i="8"/>
  <c r="E8" i="8"/>
  <c r="G8" i="8"/>
  <c r="H104" i="8"/>
  <c r="I104" i="8"/>
  <c r="M104" i="8"/>
  <c r="E104" i="8"/>
  <c r="F104" i="8"/>
  <c r="G104" i="8"/>
  <c r="N104" i="8"/>
  <c r="O94" i="8"/>
  <c r="K94" i="8"/>
  <c r="C182" i="8"/>
  <c r="L163" i="8"/>
  <c r="C163" i="8"/>
  <c r="I163" i="8"/>
  <c r="G142" i="8"/>
  <c r="M142" i="8"/>
  <c r="N142" i="8"/>
  <c r="C129" i="8"/>
  <c r="H129" i="8"/>
  <c r="E129" i="8"/>
  <c r="F129" i="8"/>
  <c r="G129" i="8"/>
  <c r="I129" i="8"/>
  <c r="L129" i="8"/>
  <c r="M61" i="8"/>
  <c r="N61" i="8"/>
  <c r="D33" i="8"/>
  <c r="D28" i="8"/>
  <c r="G166" i="8"/>
  <c r="E166" i="8"/>
  <c r="L147" i="8"/>
  <c r="D147" i="8"/>
  <c r="E147" i="8"/>
  <c r="C133" i="8"/>
  <c r="H133" i="8"/>
  <c r="N133" i="8"/>
  <c r="C110" i="8"/>
  <c r="D110" i="8"/>
  <c r="E110" i="8"/>
  <c r="G110" i="8"/>
  <c r="I110" i="8"/>
  <c r="F110" i="8"/>
  <c r="H110" i="8"/>
  <c r="M110" i="8"/>
  <c r="M108" i="8"/>
  <c r="L108" i="8"/>
  <c r="N108" i="8"/>
  <c r="G108" i="8"/>
  <c r="H108" i="8"/>
  <c r="I108" i="8"/>
  <c r="C75" i="8"/>
  <c r="D75" i="8"/>
  <c r="H75" i="8"/>
  <c r="G75" i="8"/>
  <c r="I75" i="8"/>
  <c r="L75" i="8"/>
  <c r="N75" i="8"/>
  <c r="C125" i="8"/>
  <c r="H125" i="8"/>
  <c r="C10" i="8"/>
  <c r="D10" i="8"/>
  <c r="H10" i="8"/>
  <c r="I10" i="8"/>
  <c r="L10" i="8"/>
  <c r="N10" i="8"/>
  <c r="M10" i="8"/>
  <c r="F4" i="8"/>
  <c r="E4" i="8" s="1"/>
  <c r="C4" i="8"/>
  <c r="G211" i="8"/>
  <c r="M211" i="8"/>
  <c r="G195" i="8"/>
  <c r="M195" i="8"/>
  <c r="N184" i="8"/>
  <c r="G179" i="8"/>
  <c r="M179" i="8"/>
  <c r="M165" i="8"/>
  <c r="G158" i="8"/>
  <c r="M158" i="8"/>
  <c r="N158" i="8"/>
  <c r="L127" i="8"/>
  <c r="M127" i="8"/>
  <c r="N127" i="8"/>
  <c r="C94" i="8"/>
  <c r="N94" i="8"/>
  <c r="L94" i="8"/>
  <c r="M94" i="8"/>
  <c r="M69" i="8"/>
  <c r="N69" i="8"/>
  <c r="L69" i="8"/>
  <c r="C58" i="8"/>
  <c r="M58" i="8"/>
  <c r="N58" i="8"/>
  <c r="D58" i="8"/>
  <c r="E58" i="8"/>
  <c r="F58" i="8"/>
  <c r="G58" i="8"/>
  <c r="H58" i="8"/>
  <c r="M33" i="8"/>
  <c r="N33" i="8"/>
  <c r="H33" i="8"/>
  <c r="I33" i="8"/>
  <c r="L33" i="8"/>
  <c r="F28" i="8"/>
  <c r="H28" i="8"/>
  <c r="I28" i="8"/>
  <c r="M28" i="8"/>
  <c r="N28" i="8"/>
  <c r="E143" i="8"/>
  <c r="G140" i="8"/>
  <c r="E128" i="8"/>
  <c r="G122" i="8"/>
  <c r="H122" i="8"/>
  <c r="M122" i="8"/>
  <c r="L119" i="8"/>
  <c r="M119" i="8"/>
  <c r="H80" i="8"/>
  <c r="I80" i="8"/>
  <c r="M80" i="8"/>
  <c r="N80" i="8"/>
  <c r="C30" i="8"/>
  <c r="D30" i="8"/>
  <c r="M30" i="8"/>
  <c r="N30" i="8"/>
  <c r="M101" i="8"/>
  <c r="N101" i="8"/>
  <c r="D101" i="8"/>
  <c r="E101" i="8"/>
  <c r="F101" i="8"/>
  <c r="H101" i="8"/>
  <c r="C99" i="8"/>
  <c r="D99" i="8"/>
  <c r="H99" i="8"/>
  <c r="L99" i="8"/>
  <c r="M99" i="8"/>
  <c r="F40" i="8"/>
  <c r="H40" i="8"/>
  <c r="I40" i="8"/>
  <c r="M40" i="8"/>
  <c r="N40" i="8"/>
  <c r="M17" i="8"/>
  <c r="N17" i="8"/>
  <c r="D17" i="8"/>
  <c r="E17" i="8"/>
  <c r="F17" i="8"/>
  <c r="G17" i="8"/>
  <c r="H17" i="8"/>
  <c r="M93" i="8"/>
  <c r="N93" i="8"/>
  <c r="F93" i="8"/>
  <c r="G93" i="8"/>
  <c r="H93" i="8"/>
  <c r="L93" i="8"/>
  <c r="C91" i="8"/>
  <c r="D91" i="8"/>
  <c r="H91" i="8"/>
  <c r="M91" i="8"/>
  <c r="N91" i="8"/>
  <c r="H68" i="8"/>
  <c r="I68" i="8"/>
  <c r="M68" i="8"/>
  <c r="D68" i="8"/>
  <c r="E68" i="8"/>
  <c r="F68" i="8"/>
  <c r="L68" i="8"/>
  <c r="J29" i="8"/>
  <c r="G134" i="8"/>
  <c r="H134" i="8"/>
  <c r="M134" i="8"/>
  <c r="L131" i="8"/>
  <c r="M131" i="8"/>
  <c r="H72" i="8"/>
  <c r="I72" i="8"/>
  <c r="M72" i="8"/>
  <c r="F44" i="8"/>
  <c r="H44" i="8"/>
  <c r="I44" i="8"/>
  <c r="M44" i="8"/>
  <c r="N44" i="8"/>
  <c r="E44" i="8"/>
  <c r="G44" i="8"/>
  <c r="L44" i="8"/>
  <c r="M13" i="8"/>
  <c r="N13" i="8"/>
  <c r="L13" i="8"/>
  <c r="C137" i="8"/>
  <c r="H137" i="8"/>
  <c r="C117" i="8"/>
  <c r="H117" i="8"/>
  <c r="N105" i="8"/>
  <c r="M105" i="8"/>
  <c r="C66" i="8"/>
  <c r="L66" i="8"/>
  <c r="M66" i="8"/>
  <c r="C54" i="8"/>
  <c r="D54" i="8"/>
  <c r="E54" i="8"/>
  <c r="F54" i="8"/>
  <c r="H54" i="8"/>
  <c r="C42" i="8"/>
  <c r="D42" i="8"/>
  <c r="L42" i="8"/>
  <c r="M42" i="8"/>
  <c r="N42" i="8"/>
  <c r="H60" i="8"/>
  <c r="I60" i="8"/>
  <c r="M60" i="8"/>
  <c r="F60" i="8"/>
  <c r="G60" i="8"/>
  <c r="L60" i="8"/>
  <c r="H52" i="8"/>
  <c r="I52" i="8"/>
  <c r="M52" i="8"/>
  <c r="L52" i="8"/>
  <c r="M29" i="8"/>
  <c r="N29" i="8"/>
  <c r="C29" i="8"/>
  <c r="D29" i="8"/>
  <c r="E29" i="8"/>
  <c r="F29" i="8"/>
  <c r="G29" i="8"/>
  <c r="I29" i="8"/>
  <c r="F106" i="8"/>
  <c r="M97" i="8"/>
  <c r="N97" i="8"/>
  <c r="G95" i="8"/>
  <c r="E81" i="8"/>
  <c r="D78" i="8"/>
  <c r="H64" i="8"/>
  <c r="I64" i="8"/>
  <c r="M64" i="8"/>
  <c r="M45" i="8"/>
  <c r="N45" i="8"/>
  <c r="G7" i="8"/>
  <c r="D106" i="8"/>
  <c r="C103" i="8"/>
  <c r="D103" i="8"/>
  <c r="H103" i="8"/>
  <c r="M89" i="8"/>
  <c r="N89" i="8"/>
  <c r="H56" i="8"/>
  <c r="I56" i="8"/>
  <c r="M56" i="8"/>
  <c r="F48" i="8"/>
  <c r="H48" i="8"/>
  <c r="I48" i="8"/>
  <c r="M48" i="8"/>
  <c r="C38" i="8"/>
  <c r="D38" i="8"/>
  <c r="M21" i="8"/>
  <c r="N21" i="8"/>
  <c r="C26" i="8"/>
  <c r="D26" i="8"/>
  <c r="M9" i="8"/>
  <c r="N9" i="8"/>
  <c r="C7" i="8"/>
  <c r="D7" i="8"/>
  <c r="C95" i="8"/>
  <c r="D95" i="8"/>
  <c r="H95" i="8"/>
  <c r="M81" i="8"/>
  <c r="N81" i="8"/>
  <c r="D62" i="8"/>
  <c r="F36" i="8"/>
  <c r="H36" i="8"/>
  <c r="I36" i="8"/>
  <c r="M36" i="8"/>
  <c r="N36" i="8"/>
  <c r="C14" i="8"/>
  <c r="D14" i="8"/>
  <c r="F3" i="8"/>
  <c r="E3" i="8" s="1"/>
  <c r="H84" i="8"/>
  <c r="I84" i="8"/>
  <c r="M84" i="8"/>
  <c r="F24" i="8"/>
  <c r="H24" i="8"/>
  <c r="I24" i="8"/>
  <c r="M24" i="8"/>
  <c r="N24" i="8"/>
  <c r="C87" i="8"/>
  <c r="D87" i="8"/>
  <c r="H87" i="8"/>
  <c r="M73" i="8"/>
  <c r="N73" i="8"/>
  <c r="F12" i="8"/>
  <c r="H12" i="8"/>
  <c r="I12" i="8"/>
  <c r="M12" i="8"/>
  <c r="N12" i="8"/>
  <c r="C3" i="8"/>
  <c r="D3" i="8"/>
  <c r="G3" i="8"/>
  <c r="H51" i="8"/>
  <c r="H47" i="8"/>
  <c r="H43" i="8"/>
  <c r="H39" i="8"/>
  <c r="H35" i="8"/>
  <c r="H31" i="8"/>
  <c r="H27" i="8"/>
  <c r="H23" i="8"/>
  <c r="H19" i="8"/>
  <c r="H15" i="8"/>
  <c r="H11" i="8"/>
  <c r="D51" i="8"/>
  <c r="D47" i="8"/>
  <c r="D43" i="8"/>
  <c r="D39" i="8"/>
  <c r="D35" i="8"/>
  <c r="D31" i="8"/>
  <c r="D27" i="8"/>
  <c r="D23" i="8"/>
  <c r="D19" i="8"/>
  <c r="D15" i="8"/>
  <c r="D11" i="8"/>
  <c r="B69" i="3"/>
  <c r="C69" i="3"/>
  <c r="G69" i="3"/>
  <c r="D69" i="3"/>
  <c r="E69" i="3"/>
  <c r="F69" i="3"/>
  <c r="F40" i="3"/>
  <c r="G40" i="3"/>
  <c r="B53" i="3"/>
  <c r="C53" i="3"/>
  <c r="D53" i="3"/>
  <c r="G53" i="3"/>
  <c r="E53" i="3"/>
  <c r="F53" i="3"/>
  <c r="B68" i="3"/>
  <c r="C68" i="3"/>
  <c r="D68" i="3"/>
  <c r="G68" i="3"/>
  <c r="C6" i="3"/>
  <c r="D6" i="3"/>
  <c r="F6" i="3"/>
  <c r="G6" i="3"/>
  <c r="E152" i="3"/>
  <c r="F152" i="3"/>
  <c r="G152" i="3"/>
  <c r="F140" i="3"/>
  <c r="G140" i="3"/>
  <c r="C140" i="3"/>
  <c r="D140" i="3"/>
  <c r="E140" i="3"/>
  <c r="C131" i="3"/>
  <c r="D131" i="3"/>
  <c r="E131" i="3"/>
  <c r="F131" i="3"/>
  <c r="G131" i="3"/>
  <c r="C106" i="3"/>
  <c r="D106" i="3"/>
  <c r="F106" i="3"/>
  <c r="G106" i="3"/>
  <c r="E190" i="3"/>
  <c r="C176" i="3"/>
  <c r="B176" i="3"/>
  <c r="D176" i="3"/>
  <c r="G176" i="3"/>
  <c r="E176" i="3"/>
  <c r="F176" i="3"/>
  <c r="G121" i="3"/>
  <c r="B97" i="3"/>
  <c r="C97" i="3"/>
  <c r="D97" i="3"/>
  <c r="F97" i="3"/>
  <c r="E97" i="3"/>
  <c r="C22" i="3"/>
  <c r="B22" i="3" s="1"/>
  <c r="G22" i="3"/>
  <c r="D22" i="3"/>
  <c r="E9" i="3"/>
  <c r="D5" i="3"/>
  <c r="D190" i="3"/>
  <c r="C155" i="3"/>
  <c r="E130" i="3"/>
  <c r="F121" i="3"/>
  <c r="E109" i="3"/>
  <c r="C81" i="3"/>
  <c r="D81" i="3"/>
  <c r="F81" i="3"/>
  <c r="G81" i="3"/>
  <c r="B47" i="3"/>
  <c r="C47" i="3"/>
  <c r="F47" i="3"/>
  <c r="G47" i="3"/>
  <c r="D47" i="3"/>
  <c r="E47" i="3"/>
  <c r="C31" i="3"/>
  <c r="D31" i="3"/>
  <c r="F31" i="3"/>
  <c r="G31" i="3"/>
  <c r="D9" i="3"/>
  <c r="C5" i="3"/>
  <c r="B163" i="3"/>
  <c r="C163" i="3"/>
  <c r="G163" i="3"/>
  <c r="C126" i="3"/>
  <c r="D126" i="3"/>
  <c r="B126" i="3"/>
  <c r="E126" i="3"/>
  <c r="G126" i="3"/>
  <c r="B72" i="3"/>
  <c r="C72" i="3"/>
  <c r="F72" i="3"/>
  <c r="D72" i="3"/>
  <c r="E72" i="3"/>
  <c r="C56" i="3"/>
  <c r="D56" i="3"/>
  <c r="F56" i="3"/>
  <c r="G56" i="3"/>
  <c r="F199" i="3"/>
  <c r="G199" i="3"/>
  <c r="B94" i="3"/>
  <c r="C94" i="3"/>
  <c r="F94" i="3"/>
  <c r="D94" i="3"/>
  <c r="E94" i="3"/>
  <c r="B43" i="3"/>
  <c r="C43" i="3"/>
  <c r="D43" i="3"/>
  <c r="G43" i="3"/>
  <c r="F135" i="3"/>
  <c r="G135" i="3"/>
  <c r="B135" i="3"/>
  <c r="C135" i="3"/>
  <c r="E135" i="3"/>
  <c r="E5" i="3"/>
  <c r="F5" i="3"/>
  <c r="G5" i="3"/>
  <c r="C101" i="3"/>
  <c r="D101" i="3"/>
  <c r="B101" i="3"/>
  <c r="E101" i="3"/>
  <c r="G101" i="3"/>
  <c r="C96" i="3"/>
  <c r="D96" i="3"/>
  <c r="C76" i="3"/>
  <c r="D76" i="3"/>
  <c r="B76" i="3"/>
  <c r="E76" i="3"/>
  <c r="G76" i="3"/>
  <c r="C21" i="3"/>
  <c r="D21" i="3"/>
  <c r="B103" i="3"/>
  <c r="C103" i="3"/>
  <c r="D103" i="3"/>
  <c r="G103" i="3"/>
  <c r="E103" i="3"/>
  <c r="F103" i="3"/>
  <c r="B18" i="3"/>
  <c r="C18" i="3"/>
  <c r="D18" i="3"/>
  <c r="G18" i="3"/>
  <c r="B122" i="3"/>
  <c r="C122" i="3"/>
  <c r="D122" i="3"/>
  <c r="E122" i="3"/>
  <c r="F122" i="3"/>
  <c r="F155" i="3"/>
  <c r="G155" i="3"/>
  <c r="D155" i="3"/>
  <c r="E155" i="3"/>
  <c r="F130" i="3"/>
  <c r="G130" i="3"/>
  <c r="D134" i="3"/>
  <c r="E134" i="3"/>
  <c r="F134" i="3"/>
  <c r="G134" i="3"/>
  <c r="F84" i="3"/>
  <c r="G84" i="3"/>
  <c r="C46" i="3"/>
  <c r="D46" i="3"/>
  <c r="F34" i="3"/>
  <c r="G34" i="3"/>
  <c r="G25" i="3"/>
  <c r="C25" i="3"/>
  <c r="F25" i="3" s="1"/>
  <c r="D25" i="3"/>
  <c r="E25" i="3"/>
  <c r="F12" i="3"/>
  <c r="G12" i="3"/>
  <c r="B133" i="3"/>
  <c r="C133" i="3"/>
  <c r="G133" i="3"/>
  <c r="D137" i="3"/>
  <c r="G137" i="3"/>
  <c r="E137" i="3"/>
  <c r="F137" i="3"/>
  <c r="B78" i="3"/>
  <c r="C78" i="3"/>
  <c r="D78" i="3"/>
  <c r="G78" i="3"/>
  <c r="E78" i="3"/>
  <c r="F78" i="3"/>
  <c r="F175" i="3"/>
  <c r="G175" i="3"/>
  <c r="E115" i="3"/>
  <c r="F112" i="3"/>
  <c r="G112" i="3"/>
  <c r="F75" i="3"/>
  <c r="G75" i="3"/>
  <c r="B75" i="3"/>
  <c r="C75" i="3"/>
  <c r="D75" i="3"/>
  <c r="E75" i="3"/>
  <c r="C71" i="3"/>
  <c r="D71" i="3"/>
  <c r="F59" i="3"/>
  <c r="G59" i="3"/>
  <c r="F50" i="3"/>
  <c r="G50" i="3"/>
  <c r="B50" i="3"/>
  <c r="C50" i="3"/>
  <c r="D50" i="3"/>
  <c r="E50" i="3"/>
  <c r="C37" i="3"/>
  <c r="B20" i="3"/>
  <c r="E20" i="3"/>
  <c r="B28" i="3"/>
  <c r="C28" i="3"/>
  <c r="D28" i="3"/>
  <c r="G28" i="3"/>
  <c r="E28" i="3"/>
  <c r="F28" i="3"/>
  <c r="F190" i="3"/>
  <c r="G190" i="3"/>
  <c r="C121" i="3"/>
  <c r="D121" i="3"/>
  <c r="B179" i="3"/>
  <c r="C179" i="3"/>
  <c r="D179" i="3"/>
  <c r="E179" i="3"/>
  <c r="F179" i="3"/>
  <c r="E199" i="3"/>
  <c r="B174" i="3"/>
  <c r="C174" i="3"/>
  <c r="E174" i="3"/>
  <c r="F174" i="3"/>
  <c r="G174" i="3"/>
  <c r="C146" i="3"/>
  <c r="D146" i="3"/>
  <c r="F146" i="3"/>
  <c r="G146" i="3"/>
  <c r="F133" i="3"/>
  <c r="F115" i="3"/>
  <c r="G115" i="3"/>
  <c r="F165" i="3"/>
  <c r="G165" i="3"/>
  <c r="B165" i="3"/>
  <c r="C165" i="3"/>
  <c r="E165" i="3"/>
  <c r="B44" i="3"/>
  <c r="C44" i="3"/>
  <c r="G44" i="3"/>
  <c r="D44" i="3"/>
  <c r="F44" i="3"/>
  <c r="E44" i="3"/>
  <c r="E149" i="3"/>
  <c r="F149" i="3"/>
  <c r="G149" i="3"/>
  <c r="F90" i="3"/>
  <c r="G90" i="3"/>
  <c r="B24" i="3"/>
  <c r="B118" i="3"/>
  <c r="C118" i="3"/>
  <c r="D118" i="3"/>
  <c r="G118" i="3"/>
  <c r="D164" i="3"/>
  <c r="E164" i="3"/>
  <c r="G164" i="3"/>
  <c r="F164" i="3"/>
  <c r="C167" i="3"/>
  <c r="F167" i="3"/>
  <c r="D167" i="3"/>
  <c r="E167" i="3"/>
  <c r="G167" i="3"/>
  <c r="F9" i="3"/>
  <c r="G9" i="3"/>
  <c r="C171" i="3"/>
  <c r="B171" i="3"/>
  <c r="D171" i="3"/>
  <c r="F171" i="3"/>
  <c r="G171" i="3"/>
  <c r="F170" i="3"/>
  <c r="G170" i="3"/>
  <c r="B170" i="3"/>
  <c r="C170" i="3"/>
  <c r="E170" i="3"/>
  <c r="D170" i="3"/>
  <c r="D199" i="3"/>
  <c r="C199" i="3"/>
  <c r="C196" i="3"/>
  <c r="G196" i="3"/>
  <c r="C161" i="3"/>
  <c r="E161" i="3"/>
  <c r="F161" i="3"/>
  <c r="G161" i="3"/>
  <c r="B138" i="3"/>
  <c r="C138" i="3"/>
  <c r="G138" i="3"/>
  <c r="D138" i="3"/>
  <c r="E138" i="3"/>
  <c r="E133" i="3"/>
  <c r="C115" i="3"/>
  <c r="E90" i="3"/>
  <c r="F87" i="3"/>
  <c r="G87" i="3"/>
  <c r="F37" i="3"/>
  <c r="G37" i="3"/>
  <c r="F24" i="3"/>
  <c r="B19" i="3"/>
  <c r="G19" i="3"/>
  <c r="C19" i="3"/>
  <c r="F19" i="3"/>
  <c r="D19" i="3"/>
  <c r="E19" i="3"/>
  <c r="B192" i="3"/>
  <c r="C192" i="3"/>
  <c r="F65" i="3"/>
  <c r="G65" i="3"/>
  <c r="B93" i="3"/>
  <c r="C93" i="3"/>
  <c r="D93" i="3"/>
  <c r="G93" i="3"/>
  <c r="B183" i="3"/>
  <c r="C183" i="3"/>
  <c r="G183" i="3"/>
  <c r="D183" i="3"/>
  <c r="E183" i="3"/>
  <c r="B143" i="3"/>
  <c r="C143" i="3"/>
  <c r="G143" i="3"/>
  <c r="E143" i="3"/>
  <c r="F143" i="3"/>
  <c r="F125" i="3"/>
  <c r="G125" i="3"/>
  <c r="B125" i="3"/>
  <c r="C125" i="3"/>
  <c r="D125" i="3"/>
  <c r="E125" i="3"/>
  <c r="B158" i="3"/>
  <c r="C158" i="3"/>
  <c r="G158" i="3"/>
  <c r="E158" i="3"/>
  <c r="F158" i="3"/>
  <c r="F109" i="3"/>
  <c r="G109" i="3"/>
  <c r="F100" i="3"/>
  <c r="G100" i="3"/>
  <c r="B100" i="3"/>
  <c r="C100" i="3"/>
  <c r="D100" i="3"/>
  <c r="E100" i="3"/>
  <c r="B193" i="3"/>
  <c r="C193" i="3"/>
  <c r="G193" i="3"/>
  <c r="G192" i="3"/>
  <c r="F192" i="3"/>
  <c r="B178" i="3"/>
  <c r="C178" i="3"/>
  <c r="G178" i="3"/>
  <c r="E40" i="3"/>
  <c r="B199" i="3"/>
  <c r="E192" i="3"/>
  <c r="D149" i="3"/>
  <c r="D133" i="3"/>
  <c r="B128" i="3"/>
  <c r="C128" i="3"/>
  <c r="G128" i="3"/>
  <c r="D128" i="3"/>
  <c r="E128" i="3"/>
  <c r="F128" i="3"/>
  <c r="B119" i="3"/>
  <c r="C119" i="3"/>
  <c r="D119" i="3"/>
  <c r="E119" i="3"/>
  <c r="F119" i="3"/>
  <c r="B115" i="3"/>
  <c r="D90" i="3"/>
  <c r="E65" i="3"/>
  <c r="F62" i="3"/>
  <c r="G62" i="3"/>
  <c r="D40" i="3"/>
  <c r="F15" i="3"/>
  <c r="G15" i="3"/>
  <c r="F160" i="3"/>
  <c r="G160" i="3"/>
  <c r="B148" i="3"/>
  <c r="C148" i="3"/>
  <c r="G148" i="3"/>
  <c r="F145" i="3"/>
  <c r="G145" i="3"/>
  <c r="C136" i="3"/>
  <c r="D136" i="3"/>
  <c r="B108" i="3"/>
  <c r="C108" i="3"/>
  <c r="D108" i="3"/>
  <c r="G108" i="3"/>
  <c r="F105" i="3"/>
  <c r="G105" i="3"/>
  <c r="B83" i="3"/>
  <c r="C83" i="3"/>
  <c r="D83" i="3"/>
  <c r="G83" i="3"/>
  <c r="F80" i="3"/>
  <c r="G80" i="3"/>
  <c r="B58" i="3"/>
  <c r="C58" i="3"/>
  <c r="D58" i="3"/>
  <c r="G58" i="3"/>
  <c r="F55" i="3"/>
  <c r="G55" i="3"/>
  <c r="B33" i="3"/>
  <c r="C33" i="3"/>
  <c r="D33" i="3"/>
  <c r="G33" i="3"/>
  <c r="F30" i="3"/>
  <c r="G30" i="3"/>
  <c r="B198" i="3"/>
  <c r="C198" i="3"/>
  <c r="G198" i="3"/>
  <c r="D189" i="3"/>
  <c r="E186" i="3"/>
  <c r="D180" i="3"/>
  <c r="G162" i="3"/>
  <c r="C151" i="3"/>
  <c r="D151" i="3"/>
  <c r="G132" i="3"/>
  <c r="G129" i="3"/>
  <c r="D120" i="3"/>
  <c r="D117" i="3"/>
  <c r="D114" i="3"/>
  <c r="D95" i="3"/>
  <c r="D92" i="3"/>
  <c r="D89" i="3"/>
  <c r="D70" i="3"/>
  <c r="D67" i="3"/>
  <c r="D64" i="3"/>
  <c r="D45" i="3"/>
  <c r="D42" i="3"/>
  <c r="D39" i="3"/>
  <c r="D20" i="3"/>
  <c r="D17" i="3"/>
  <c r="D14" i="3"/>
  <c r="G4" i="3"/>
  <c r="F195" i="3"/>
  <c r="G195" i="3"/>
  <c r="D186" i="3"/>
  <c r="F162" i="3"/>
  <c r="G159" i="3"/>
  <c r="G147" i="3"/>
  <c r="G144" i="3"/>
  <c r="F132" i="3"/>
  <c r="F129" i="3"/>
  <c r="C111" i="3"/>
  <c r="D111" i="3"/>
  <c r="G107" i="3"/>
  <c r="G104" i="3"/>
  <c r="C86" i="3"/>
  <c r="D86" i="3"/>
  <c r="G82" i="3"/>
  <c r="G79" i="3"/>
  <c r="C61" i="3"/>
  <c r="D61" i="3"/>
  <c r="G57" i="3"/>
  <c r="G54" i="3"/>
  <c r="G51" i="3"/>
  <c r="C36" i="3"/>
  <c r="D36" i="3"/>
  <c r="G32" i="3"/>
  <c r="G29" i="3"/>
  <c r="G26" i="3"/>
  <c r="C11" i="3"/>
  <c r="D11" i="3"/>
  <c r="G7" i="3"/>
  <c r="F4" i="3"/>
  <c r="F51" i="3"/>
  <c r="F180" i="3"/>
  <c r="G180" i="3"/>
  <c r="D162" i="3"/>
  <c r="F153" i="3"/>
  <c r="D150" i="3"/>
  <c r="F141" i="3"/>
  <c r="D132" i="3"/>
  <c r="D129" i="3"/>
  <c r="B123" i="3"/>
  <c r="C123" i="3"/>
  <c r="D123" i="3"/>
  <c r="G123" i="3"/>
  <c r="F120" i="3"/>
  <c r="G120" i="3"/>
  <c r="B98" i="3"/>
  <c r="C98" i="3"/>
  <c r="D98" i="3"/>
  <c r="G98" i="3"/>
  <c r="F95" i="3"/>
  <c r="G95" i="3"/>
  <c r="B73" i="3"/>
  <c r="C73" i="3"/>
  <c r="D73" i="3"/>
  <c r="G73" i="3"/>
  <c r="F70" i="3"/>
  <c r="G70" i="3"/>
  <c r="E51" i="3"/>
  <c r="B48" i="3"/>
  <c r="C48" i="3"/>
  <c r="D48" i="3"/>
  <c r="G48" i="3"/>
  <c r="F45" i="3"/>
  <c r="G45" i="3"/>
  <c r="B23" i="3"/>
  <c r="C23" i="3"/>
  <c r="D23" i="3"/>
  <c r="G23" i="3"/>
  <c r="F20" i="3"/>
  <c r="G20" i="3"/>
  <c r="D4" i="3"/>
  <c r="F194" i="3"/>
  <c r="G191" i="3"/>
  <c r="B168" i="3"/>
  <c r="C168" i="3"/>
  <c r="G168" i="3"/>
  <c r="E156" i="3"/>
  <c r="C51" i="3"/>
  <c r="D51" i="3"/>
  <c r="F150" i="3"/>
  <c r="G150" i="3"/>
  <c r="F200" i="3"/>
  <c r="G200" i="3"/>
  <c r="B113" i="3"/>
  <c r="C113" i="3"/>
  <c r="D113" i="3"/>
  <c r="G113" i="3"/>
  <c r="B88" i="3"/>
  <c r="C88" i="3"/>
  <c r="D88" i="3"/>
  <c r="G88" i="3"/>
  <c r="B63" i="3"/>
  <c r="C63" i="3"/>
  <c r="D63" i="3"/>
  <c r="G63" i="3"/>
  <c r="F60" i="3"/>
  <c r="G60" i="3"/>
  <c r="B38" i="3"/>
  <c r="C38" i="3"/>
  <c r="D38" i="3"/>
  <c r="G38" i="3"/>
  <c r="F35" i="3"/>
  <c r="G35" i="3"/>
  <c r="B13" i="3"/>
  <c r="C13" i="3"/>
  <c r="D13" i="3"/>
  <c r="G13" i="3"/>
  <c r="F10" i="3"/>
  <c r="G10" i="3"/>
  <c r="C26" i="3"/>
  <c r="E26" i="3" s="1"/>
  <c r="D26" i="3"/>
  <c r="B153" i="3"/>
  <c r="C153" i="3"/>
  <c r="G153" i="3"/>
  <c r="B191" i="3"/>
  <c r="B188" i="3"/>
  <c r="C188" i="3"/>
  <c r="G188" i="3"/>
  <c r="F110" i="3"/>
  <c r="G110" i="3"/>
  <c r="F85" i="3"/>
  <c r="G85" i="3"/>
  <c r="F185" i="3"/>
  <c r="G185" i="3"/>
  <c r="C116" i="3"/>
  <c r="D116" i="3"/>
  <c r="C91" i="3"/>
  <c r="D91" i="3"/>
  <c r="C66" i="3"/>
  <c r="D66" i="3"/>
  <c r="C41" i="3"/>
  <c r="D41" i="3"/>
  <c r="C16" i="3"/>
  <c r="D16" i="3"/>
  <c r="C141" i="3"/>
  <c r="D141" i="3"/>
  <c r="B173" i="3"/>
  <c r="C173" i="3"/>
  <c r="G173" i="3"/>
  <c r="G8" i="3"/>
  <c r="G3" i="3"/>
  <c r="D8" i="3"/>
  <c r="D3" i="3"/>
  <c r="C8" i="3"/>
  <c r="C3" i="3"/>
  <c r="P8" i="3"/>
  <c r="O4" i="10"/>
  <c r="N4" i="10"/>
  <c r="M4" i="10"/>
  <c r="D111" i="11" l="1"/>
  <c r="F111" i="11"/>
  <c r="G111" i="11"/>
  <c r="D19" i="11"/>
  <c r="F19" i="11"/>
  <c r="G19" i="11"/>
  <c r="D119" i="11"/>
  <c r="F119" i="11"/>
  <c r="G119" i="11"/>
  <c r="D16" i="11"/>
  <c r="F16" i="11"/>
  <c r="G16" i="11"/>
  <c r="D24" i="11"/>
  <c r="F24" i="11"/>
  <c r="G24" i="11"/>
  <c r="D21" i="11"/>
  <c r="F21" i="11"/>
  <c r="G21" i="11"/>
  <c r="D29" i="11"/>
  <c r="F29" i="11"/>
  <c r="G29" i="11"/>
  <c r="D126" i="11"/>
  <c r="F126" i="11"/>
  <c r="G126" i="11"/>
  <c r="D34" i="11"/>
  <c r="F34" i="11"/>
  <c r="G34" i="11"/>
  <c r="D31" i="11"/>
  <c r="F31" i="11"/>
  <c r="G31" i="11"/>
  <c r="F30" i="11"/>
  <c r="G30" i="11"/>
  <c r="D30" i="11"/>
  <c r="D41" i="11"/>
  <c r="F41" i="11"/>
  <c r="G41" i="11"/>
  <c r="D141" i="11"/>
  <c r="F141" i="11"/>
  <c r="G141" i="11"/>
  <c r="D49" i="11"/>
  <c r="F49" i="11"/>
  <c r="G49" i="11"/>
  <c r="D149" i="11"/>
  <c r="F149" i="11"/>
  <c r="G149" i="11"/>
  <c r="D46" i="11"/>
  <c r="F46" i="11"/>
  <c r="G46" i="11"/>
  <c r="D146" i="11"/>
  <c r="F146" i="11"/>
  <c r="G146" i="11"/>
  <c r="D54" i="11"/>
  <c r="F54" i="11"/>
  <c r="G54" i="11"/>
  <c r="D154" i="11"/>
  <c r="F154" i="11"/>
  <c r="G154" i="11"/>
  <c r="F65" i="11"/>
  <c r="G65" i="11"/>
  <c r="D65" i="11"/>
  <c r="D51" i="11"/>
  <c r="F51" i="11"/>
  <c r="G51" i="11"/>
  <c r="D151" i="11"/>
  <c r="F151" i="11"/>
  <c r="G151" i="11"/>
  <c r="D59" i="11"/>
  <c r="F59" i="11"/>
  <c r="G59" i="11"/>
  <c r="D159" i="11"/>
  <c r="F159" i="11"/>
  <c r="G159" i="11"/>
  <c r="D6" i="11"/>
  <c r="F6" i="11"/>
  <c r="G6" i="11"/>
  <c r="D56" i="11"/>
  <c r="F56" i="11"/>
  <c r="G56" i="11"/>
  <c r="D156" i="11"/>
  <c r="F156" i="11"/>
  <c r="G156" i="11"/>
  <c r="D64" i="11"/>
  <c r="F64" i="11"/>
  <c r="G64" i="11"/>
  <c r="D164" i="11"/>
  <c r="F164" i="11"/>
  <c r="G164" i="11"/>
  <c r="D44" i="11"/>
  <c r="F44" i="11"/>
  <c r="G44" i="11"/>
  <c r="D61" i="11"/>
  <c r="F61" i="11"/>
  <c r="G61" i="11"/>
  <c r="D161" i="11"/>
  <c r="F161" i="11"/>
  <c r="G161" i="11"/>
  <c r="D69" i="11"/>
  <c r="F69" i="11"/>
  <c r="G69" i="11"/>
  <c r="D169" i="11"/>
  <c r="F169" i="11"/>
  <c r="G169" i="11"/>
  <c r="F115" i="11"/>
  <c r="G115" i="11"/>
  <c r="D115" i="11"/>
  <c r="D106" i="11"/>
  <c r="F106" i="11"/>
  <c r="G106" i="11"/>
  <c r="D136" i="11"/>
  <c r="F136" i="11"/>
  <c r="G136" i="11"/>
  <c r="D66" i="11"/>
  <c r="F66" i="11"/>
  <c r="G66" i="11"/>
  <c r="D166" i="11"/>
  <c r="F166" i="11"/>
  <c r="G166" i="11"/>
  <c r="D74" i="11"/>
  <c r="F74" i="11"/>
  <c r="G74" i="11"/>
  <c r="D174" i="11"/>
  <c r="F174" i="11"/>
  <c r="G174" i="11"/>
  <c r="D71" i="11"/>
  <c r="F71" i="11"/>
  <c r="G71" i="11"/>
  <c r="D171" i="11"/>
  <c r="F171" i="11"/>
  <c r="G171" i="11"/>
  <c r="D79" i="11"/>
  <c r="F79" i="11"/>
  <c r="G79" i="11"/>
  <c r="D179" i="11"/>
  <c r="F179" i="11"/>
  <c r="G179" i="11"/>
  <c r="F20" i="11"/>
  <c r="G20" i="11"/>
  <c r="D20" i="11"/>
  <c r="D121" i="11"/>
  <c r="F121" i="11"/>
  <c r="G121" i="11"/>
  <c r="D36" i="11"/>
  <c r="F36" i="11"/>
  <c r="G36" i="11"/>
  <c r="D76" i="11"/>
  <c r="F76" i="11"/>
  <c r="G76" i="11"/>
  <c r="D176" i="11"/>
  <c r="F176" i="11"/>
  <c r="G176" i="11"/>
  <c r="D84" i="11"/>
  <c r="F84" i="11"/>
  <c r="G84" i="11"/>
  <c r="D184" i="11"/>
  <c r="F184" i="11"/>
  <c r="G184" i="11"/>
  <c r="F165" i="11"/>
  <c r="G165" i="11"/>
  <c r="D165" i="11"/>
  <c r="F40" i="11"/>
  <c r="G40" i="11"/>
  <c r="D40" i="11"/>
  <c r="F140" i="11"/>
  <c r="G140" i="11"/>
  <c r="D140" i="11"/>
  <c r="D129" i="11"/>
  <c r="F129" i="11"/>
  <c r="G129" i="11"/>
  <c r="D26" i="11"/>
  <c r="F26" i="11"/>
  <c r="G26" i="11"/>
  <c r="D139" i="11"/>
  <c r="F139" i="11"/>
  <c r="G139" i="11"/>
  <c r="D144" i="11"/>
  <c r="G144" i="11"/>
  <c r="F144" i="11"/>
  <c r="D81" i="11"/>
  <c r="F81" i="11"/>
  <c r="G81" i="11"/>
  <c r="D181" i="11"/>
  <c r="F181" i="11"/>
  <c r="G181" i="11"/>
  <c r="D89" i="11"/>
  <c r="F89" i="11"/>
  <c r="G89" i="11"/>
  <c r="D189" i="11"/>
  <c r="F189" i="11"/>
  <c r="G189" i="11"/>
  <c r="F155" i="11"/>
  <c r="G155" i="11"/>
  <c r="D155" i="11"/>
  <c r="D86" i="11"/>
  <c r="F86" i="11"/>
  <c r="G86" i="11"/>
  <c r="D186" i="11"/>
  <c r="F186" i="11"/>
  <c r="G186" i="11"/>
  <c r="D94" i="11"/>
  <c r="G94" i="11"/>
  <c r="F94" i="11"/>
  <c r="D194" i="11"/>
  <c r="F194" i="11"/>
  <c r="G194" i="11"/>
  <c r="D91" i="11"/>
  <c r="F91" i="11"/>
  <c r="G91" i="11"/>
  <c r="D191" i="11"/>
  <c r="F191" i="11"/>
  <c r="G191" i="11"/>
  <c r="D99" i="11"/>
  <c r="F99" i="11"/>
  <c r="G99" i="11"/>
  <c r="D199" i="11"/>
  <c r="F199" i="11"/>
  <c r="G199" i="11"/>
  <c r="F10" i="11"/>
  <c r="G10" i="11"/>
  <c r="D10" i="11"/>
  <c r="D96" i="11"/>
  <c r="F96" i="11"/>
  <c r="G96" i="11"/>
  <c r="D196" i="11"/>
  <c r="F196" i="11"/>
  <c r="G196" i="11"/>
  <c r="D4" i="11"/>
  <c r="F4" i="11"/>
  <c r="G4" i="11"/>
  <c r="D104" i="11"/>
  <c r="F104" i="11"/>
  <c r="G104" i="11"/>
  <c r="F90" i="11"/>
  <c r="G90" i="11"/>
  <c r="D90" i="11"/>
  <c r="D14" i="11"/>
  <c r="F14" i="11"/>
  <c r="G14" i="11"/>
  <c r="D114" i="11"/>
  <c r="F114" i="11"/>
  <c r="G114" i="11"/>
  <c r="D11" i="11"/>
  <c r="F11" i="11"/>
  <c r="G11" i="11"/>
  <c r="D116" i="11"/>
  <c r="F116" i="11"/>
  <c r="G116" i="11"/>
  <c r="D124" i="11"/>
  <c r="F124" i="11"/>
  <c r="G124" i="11"/>
  <c r="D134" i="11"/>
  <c r="F134" i="11"/>
  <c r="G134" i="11"/>
  <c r="D131" i="11"/>
  <c r="F131" i="11"/>
  <c r="G131" i="11"/>
  <c r="D39" i="11"/>
  <c r="F39" i="11"/>
  <c r="G39" i="11"/>
  <c r="F190" i="11"/>
  <c r="G190" i="11"/>
  <c r="D190" i="11"/>
  <c r="D101" i="11"/>
  <c r="F101" i="11"/>
  <c r="G101" i="11"/>
  <c r="D9" i="11"/>
  <c r="F9" i="11"/>
  <c r="G9" i="11"/>
  <c r="D109" i="11"/>
  <c r="F109" i="11"/>
  <c r="G109" i="11"/>
  <c r="Q6" i="10"/>
  <c r="Q7" i="10"/>
  <c r="M126" i="9"/>
  <c r="M104" i="9"/>
  <c r="H81" i="9"/>
  <c r="I9" i="9"/>
  <c r="M9" i="9" s="1"/>
  <c r="I97" i="9"/>
  <c r="M97" i="9" s="1"/>
  <c r="M107" i="9"/>
  <c r="H122" i="9"/>
  <c r="M128" i="9"/>
  <c r="M95" i="9"/>
  <c r="I91" i="9"/>
  <c r="M91" i="9" s="1"/>
  <c r="I89" i="9"/>
  <c r="M89" i="9" s="1"/>
  <c r="I84" i="9"/>
  <c r="M84" i="9" s="1"/>
  <c r="H128" i="9"/>
  <c r="M87" i="9"/>
  <c r="I33" i="9"/>
  <c r="M33" i="9" s="1"/>
  <c r="H112" i="9"/>
  <c r="I112" i="9"/>
  <c r="M112" i="9" s="1"/>
  <c r="M93" i="9"/>
  <c r="M86" i="9"/>
  <c r="M81" i="9"/>
  <c r="I98" i="9"/>
  <c r="M98" i="9" s="1"/>
  <c r="H98" i="9"/>
  <c r="M122" i="9"/>
  <c r="M12" i="9"/>
  <c r="K114" i="9"/>
  <c r="M114" i="9" s="1"/>
  <c r="K102" i="9"/>
  <c r="M102" i="9" s="1"/>
  <c r="I127" i="9"/>
  <c r="M127" i="9" s="1"/>
  <c r="I87" i="9"/>
  <c r="K132" i="9"/>
  <c r="M132" i="9"/>
  <c r="I99" i="9"/>
  <c r="M99" i="9" s="1"/>
  <c r="J86" i="8"/>
  <c r="K105" i="8"/>
  <c r="O495" i="8"/>
  <c r="O403" i="8"/>
  <c r="J105" i="8"/>
  <c r="O176" i="8"/>
  <c r="K403" i="8"/>
  <c r="O485" i="8"/>
  <c r="O467" i="8"/>
  <c r="K176" i="8"/>
  <c r="K485" i="8"/>
  <c r="J391" i="8"/>
  <c r="O391" i="8"/>
  <c r="K339" i="8"/>
  <c r="O447" i="8"/>
  <c r="J447" i="8"/>
  <c r="K447" i="8"/>
  <c r="O408" i="8"/>
  <c r="J408" i="8"/>
  <c r="O339" i="8"/>
  <c r="K495" i="8"/>
  <c r="O428" i="8"/>
  <c r="K197" i="8"/>
  <c r="K428" i="8"/>
  <c r="O291" i="8"/>
  <c r="K408" i="8"/>
  <c r="K291" i="8"/>
  <c r="O14" i="8"/>
  <c r="K14" i="8"/>
  <c r="K86" i="8"/>
  <c r="O197" i="8"/>
  <c r="K139" i="8"/>
  <c r="O254" i="8"/>
  <c r="K436" i="8"/>
  <c r="J245" i="8"/>
  <c r="O245" i="8"/>
  <c r="O139" i="8"/>
  <c r="J460" i="8"/>
  <c r="J392" i="8"/>
  <c r="K392" i="8"/>
  <c r="O392" i="8"/>
  <c r="J45" i="8"/>
  <c r="O9" i="8"/>
  <c r="K232" i="8"/>
  <c r="O460" i="8"/>
  <c r="O343" i="8"/>
  <c r="J343" i="8"/>
  <c r="K343" i="8"/>
  <c r="O296" i="8"/>
  <c r="J296" i="8"/>
  <c r="K296" i="8"/>
  <c r="O387" i="8"/>
  <c r="K387" i="8"/>
  <c r="J387" i="8"/>
  <c r="O45" i="8"/>
  <c r="K9" i="8"/>
  <c r="J232" i="8"/>
  <c r="O451" i="8"/>
  <c r="K256" i="8"/>
  <c r="O119" i="8"/>
  <c r="K451" i="8"/>
  <c r="K471" i="8"/>
  <c r="J335" i="8"/>
  <c r="K335" i="8"/>
  <c r="O335" i="8"/>
  <c r="J480" i="8"/>
  <c r="K420" i="8"/>
  <c r="J420" i="8"/>
  <c r="O420" i="8"/>
  <c r="J256" i="8"/>
  <c r="K426" i="8"/>
  <c r="O426" i="8"/>
  <c r="J426" i="8"/>
  <c r="J336" i="8"/>
  <c r="O336" i="8"/>
  <c r="O169" i="8"/>
  <c r="K169" i="8"/>
  <c r="J169" i="8"/>
  <c r="J148" i="8"/>
  <c r="O375" i="8"/>
  <c r="K326" i="8"/>
  <c r="J432" i="8"/>
  <c r="O308" i="8"/>
  <c r="J241" i="8"/>
  <c r="K89" i="8"/>
  <c r="K484" i="8"/>
  <c r="K404" i="8"/>
  <c r="J326" i="8"/>
  <c r="K308" i="8"/>
  <c r="O444" i="8"/>
  <c r="K444" i="8"/>
  <c r="J371" i="8"/>
  <c r="O371" i="8"/>
  <c r="K371" i="8"/>
  <c r="J380" i="8"/>
  <c r="K380" i="8"/>
  <c r="O380" i="8"/>
  <c r="J201" i="8"/>
  <c r="K201" i="8"/>
  <c r="O201" i="8"/>
  <c r="O144" i="8"/>
  <c r="J144" i="8"/>
  <c r="K144" i="8"/>
  <c r="K367" i="8"/>
  <c r="K311" i="8"/>
  <c r="K249" i="8"/>
  <c r="K452" i="8"/>
  <c r="K500" i="8"/>
  <c r="O500" i="8"/>
  <c r="J500" i="8"/>
  <c r="K398" i="8"/>
  <c r="J398" i="8"/>
  <c r="O398" i="8"/>
  <c r="K61" i="8"/>
  <c r="O61" i="8"/>
  <c r="O249" i="8"/>
  <c r="J311" i="8"/>
  <c r="J404" i="8"/>
  <c r="J61" i="8"/>
  <c r="J140" i="8"/>
  <c r="O230" i="8"/>
  <c r="K456" i="8"/>
  <c r="O479" i="8"/>
  <c r="K446" i="8"/>
  <c r="O446" i="8"/>
  <c r="J446" i="8"/>
  <c r="O102" i="8"/>
  <c r="K230" i="8"/>
  <c r="O494" i="8"/>
  <c r="O456" i="8"/>
  <c r="K479" i="8"/>
  <c r="K494" i="8"/>
  <c r="K168" i="8"/>
  <c r="J102" i="8"/>
  <c r="O322" i="8"/>
  <c r="J136" i="8"/>
  <c r="K293" i="8"/>
  <c r="O62" i="8"/>
  <c r="J62" i="8"/>
  <c r="K62" i="8"/>
  <c r="K315" i="8"/>
  <c r="J315" i="8"/>
  <c r="O315" i="8"/>
  <c r="I3" i="8"/>
  <c r="H3" i="8" s="1"/>
  <c r="J13" i="8"/>
  <c r="O136" i="8"/>
  <c r="K295" i="8"/>
  <c r="J262" i="8"/>
  <c r="O454" i="8"/>
  <c r="J293" i="8"/>
  <c r="K21" i="8"/>
  <c r="J21" i="8"/>
  <c r="O21" i="8"/>
  <c r="K277" i="8"/>
  <c r="O277" i="8"/>
  <c r="J277" i="8"/>
  <c r="K30" i="8"/>
  <c r="O13" i="8"/>
  <c r="O370" i="8"/>
  <c r="O295" i="8"/>
  <c r="K262" i="8"/>
  <c r="K454" i="8"/>
  <c r="J352" i="8"/>
  <c r="K352" i="8"/>
  <c r="O352" i="8"/>
  <c r="O90" i="8"/>
  <c r="K370" i="8"/>
  <c r="O97" i="8"/>
  <c r="J97" i="8"/>
  <c r="K97" i="8"/>
  <c r="J466" i="8"/>
  <c r="J30" i="8"/>
  <c r="J89" i="8"/>
  <c r="J300" i="8"/>
  <c r="O367" i="8"/>
  <c r="O452" i="8"/>
  <c r="O463" i="8"/>
  <c r="J463" i="8"/>
  <c r="K463" i="8"/>
  <c r="J298" i="8"/>
  <c r="O298" i="8"/>
  <c r="O168" i="8"/>
  <c r="J468" i="8"/>
  <c r="K468" i="8"/>
  <c r="O468" i="8"/>
  <c r="K90" i="8"/>
  <c r="K298" i="8"/>
  <c r="O379" i="8"/>
  <c r="J379" i="8"/>
  <c r="K379" i="8"/>
  <c r="O317" i="8"/>
  <c r="J317" i="8"/>
  <c r="K317" i="8"/>
  <c r="J297" i="8"/>
  <c r="O165" i="8"/>
  <c r="K165" i="8"/>
  <c r="K81" i="8"/>
  <c r="O81" i="8"/>
  <c r="J81" i="8"/>
  <c r="O221" i="8"/>
  <c r="J221" i="8"/>
  <c r="K221" i="8"/>
  <c r="K457" i="8"/>
  <c r="O457" i="8"/>
  <c r="J457" i="8"/>
  <c r="K217" i="8"/>
  <c r="J217" i="8"/>
  <c r="O217" i="8"/>
  <c r="O491" i="8"/>
  <c r="K491" i="8"/>
  <c r="J491" i="8"/>
  <c r="J204" i="8"/>
  <c r="O204" i="8"/>
  <c r="K204" i="8"/>
  <c r="K210" i="8"/>
  <c r="O210" i="8"/>
  <c r="J210" i="8"/>
  <c r="O155" i="8"/>
  <c r="K155" i="8"/>
  <c r="O302" i="8"/>
  <c r="J302" i="8"/>
  <c r="K302" i="8"/>
  <c r="K433" i="8"/>
  <c r="J433" i="8"/>
  <c r="O433" i="8"/>
  <c r="K492" i="8"/>
  <c r="O492" i="8"/>
  <c r="J492" i="8"/>
  <c r="K409" i="8"/>
  <c r="O409" i="8"/>
  <c r="J409" i="8"/>
  <c r="J272" i="8"/>
  <c r="K272" i="8"/>
  <c r="O272" i="8"/>
  <c r="K461" i="8"/>
  <c r="J461" i="8"/>
  <c r="O461" i="8"/>
  <c r="J238" i="8"/>
  <c r="O421" i="8"/>
  <c r="K474" i="8"/>
  <c r="O474" i="8"/>
  <c r="J474" i="8"/>
  <c r="O435" i="8"/>
  <c r="J435" i="8"/>
  <c r="K435" i="8"/>
  <c r="K422" i="8"/>
  <c r="J422" i="8"/>
  <c r="O422" i="8"/>
  <c r="O66" i="8"/>
  <c r="K66" i="8"/>
  <c r="O106" i="8"/>
  <c r="O496" i="8"/>
  <c r="J496" i="8"/>
  <c r="K496" i="8"/>
  <c r="J165" i="8"/>
  <c r="K431" i="8"/>
  <c r="K264" i="8"/>
  <c r="K407" i="8"/>
  <c r="O304" i="8"/>
  <c r="O131" i="8"/>
  <c r="J131" i="8"/>
  <c r="K131" i="8"/>
  <c r="O18" i="8"/>
  <c r="K18" i="8"/>
  <c r="J18" i="8"/>
  <c r="J158" i="8"/>
  <c r="K158" i="8"/>
  <c r="O158" i="8"/>
  <c r="O266" i="8"/>
  <c r="J266" i="8"/>
  <c r="K266" i="8"/>
  <c r="J399" i="8"/>
  <c r="K399" i="8"/>
  <c r="O399" i="8"/>
  <c r="O359" i="8"/>
  <c r="J359" i="8"/>
  <c r="K359" i="8"/>
  <c r="O184" i="8"/>
  <c r="J184" i="8"/>
  <c r="K184" i="8"/>
  <c r="O314" i="8"/>
  <c r="K314" i="8"/>
  <c r="J314" i="8"/>
  <c r="O418" i="8"/>
  <c r="J431" i="8"/>
  <c r="J264" i="8"/>
  <c r="J304" i="8"/>
  <c r="K372" i="8"/>
  <c r="J372" i="8"/>
  <c r="O372" i="8"/>
  <c r="J78" i="8"/>
  <c r="K78" i="8"/>
  <c r="O78" i="8"/>
  <c r="K113" i="8"/>
  <c r="K239" i="8"/>
  <c r="K418" i="8"/>
  <c r="J453" i="8"/>
  <c r="O247" i="8"/>
  <c r="K247" i="8"/>
  <c r="J247" i="8"/>
  <c r="K478" i="8"/>
  <c r="J478" i="8"/>
  <c r="O478" i="8"/>
  <c r="J188" i="8"/>
  <c r="K188" i="8"/>
  <c r="O188" i="8"/>
  <c r="J239" i="8"/>
  <c r="O470" i="8"/>
  <c r="J299" i="8"/>
  <c r="K299" i="8"/>
  <c r="O299" i="8"/>
  <c r="O128" i="8"/>
  <c r="J128" i="8"/>
  <c r="K128" i="8"/>
  <c r="K389" i="8"/>
  <c r="J389" i="8"/>
  <c r="O389" i="8"/>
  <c r="J214" i="8"/>
  <c r="K214" i="8"/>
  <c r="O214" i="8"/>
  <c r="J155" i="8"/>
  <c r="K470" i="8"/>
  <c r="J178" i="8"/>
  <c r="O178" i="8"/>
  <c r="K178" i="8"/>
  <c r="O42" i="8"/>
  <c r="K42" i="8"/>
  <c r="J42" i="8"/>
  <c r="J152" i="8"/>
  <c r="O356" i="8"/>
  <c r="J448" i="8"/>
  <c r="O448" i="8"/>
  <c r="K450" i="8"/>
  <c r="J450" i="8"/>
  <c r="O450" i="8"/>
  <c r="K386" i="8"/>
  <c r="J386" i="8"/>
  <c r="O386" i="8"/>
  <c r="K228" i="8"/>
  <c r="O228" i="8"/>
  <c r="J228" i="8"/>
  <c r="K424" i="8"/>
  <c r="J424" i="8"/>
  <c r="O424" i="8"/>
  <c r="O191" i="8"/>
  <c r="J191" i="8"/>
  <c r="K191" i="8"/>
  <c r="K329" i="8"/>
  <c r="J329" i="8"/>
  <c r="O329" i="8"/>
  <c r="K338" i="8"/>
  <c r="J338" i="8"/>
  <c r="O338" i="8"/>
  <c r="J179" i="8"/>
  <c r="K179" i="8"/>
  <c r="O179" i="8"/>
  <c r="N5" i="8"/>
  <c r="O348" i="8"/>
  <c r="O310" i="8"/>
  <c r="J310" i="8"/>
  <c r="K310" i="8"/>
  <c r="K348" i="8"/>
  <c r="O340" i="8"/>
  <c r="J340" i="8"/>
  <c r="K340" i="8"/>
  <c r="K429" i="8"/>
  <c r="O429" i="8"/>
  <c r="J383" i="8"/>
  <c r="K383" i="8"/>
  <c r="O383" i="8"/>
  <c r="J364" i="8"/>
  <c r="K364" i="8"/>
  <c r="O364" i="8"/>
  <c r="J472" i="8"/>
  <c r="O472" i="8"/>
  <c r="K472" i="8"/>
  <c r="O238" i="8"/>
  <c r="K421" i="8"/>
  <c r="O153" i="8"/>
  <c r="J153" i="8"/>
  <c r="K153" i="8"/>
  <c r="K106" i="8"/>
  <c r="K69" i="8"/>
  <c r="O152" i="8"/>
  <c r="O480" i="8"/>
  <c r="K356" i="8"/>
  <c r="J182" i="8"/>
  <c r="K182" i="8"/>
  <c r="O182" i="8"/>
  <c r="O172" i="8"/>
  <c r="J172" i="8"/>
  <c r="K402" i="8"/>
  <c r="J402" i="8"/>
  <c r="O402" i="8"/>
  <c r="O331" i="8"/>
  <c r="J331" i="8"/>
  <c r="K331" i="8"/>
  <c r="K250" i="8"/>
  <c r="J250" i="8"/>
  <c r="O250" i="8"/>
  <c r="J416" i="8"/>
  <c r="K416" i="8"/>
  <c r="O416" i="8"/>
  <c r="J400" i="8"/>
  <c r="K400" i="8"/>
  <c r="O400" i="8"/>
  <c r="K143" i="8"/>
  <c r="J143" i="8"/>
  <c r="O143" i="8"/>
  <c r="K333" i="8"/>
  <c r="J333" i="8"/>
  <c r="O333" i="8"/>
  <c r="J360" i="8"/>
  <c r="K360" i="8"/>
  <c r="O360" i="8"/>
  <c r="J198" i="8"/>
  <c r="K198" i="8"/>
  <c r="O198" i="8"/>
  <c r="J476" i="8"/>
  <c r="K476" i="8"/>
  <c r="O476" i="8"/>
  <c r="O65" i="8"/>
  <c r="J65" i="8"/>
  <c r="K65" i="8"/>
  <c r="K405" i="8"/>
  <c r="J405" i="8"/>
  <c r="O405" i="8"/>
  <c r="J488" i="8"/>
  <c r="K488" i="8"/>
  <c r="O488" i="8"/>
  <c r="J440" i="8"/>
  <c r="K440" i="8"/>
  <c r="O440" i="8"/>
  <c r="O269" i="8"/>
  <c r="K269" i="8"/>
  <c r="J269" i="8"/>
  <c r="K346" i="8"/>
  <c r="J346" i="8"/>
  <c r="O346" i="8"/>
  <c r="J475" i="8"/>
  <c r="K475" i="8"/>
  <c r="O475" i="8"/>
  <c r="J344" i="8"/>
  <c r="K344" i="8"/>
  <c r="O344" i="8"/>
  <c r="K354" i="8"/>
  <c r="J354" i="8"/>
  <c r="O407" i="8"/>
  <c r="J163" i="8"/>
  <c r="K163" i="8"/>
  <c r="O163" i="8"/>
  <c r="K194" i="8"/>
  <c r="O194" i="8"/>
  <c r="J194" i="8"/>
  <c r="J412" i="8"/>
  <c r="K412" i="8"/>
  <c r="O412" i="8"/>
  <c r="O69" i="8"/>
  <c r="K241" i="8"/>
  <c r="O252" i="8"/>
  <c r="K297" i="8"/>
  <c r="J429" i="8"/>
  <c r="O411" i="8"/>
  <c r="J411" i="8"/>
  <c r="K411" i="8"/>
  <c r="J170" i="8"/>
  <c r="K170" i="8"/>
  <c r="O170" i="8"/>
  <c r="K374" i="8"/>
  <c r="J374" i="8"/>
  <c r="O374" i="8"/>
  <c r="O285" i="8"/>
  <c r="J285" i="8"/>
  <c r="K285" i="8"/>
  <c r="J427" i="8"/>
  <c r="O427" i="8"/>
  <c r="K363" i="8"/>
  <c r="O363" i="8"/>
  <c r="J363" i="8"/>
  <c r="K5" i="8"/>
  <c r="J5" i="8"/>
  <c r="O5" i="8"/>
  <c r="I4" i="8"/>
  <c r="H4" i="8" s="1"/>
  <c r="L4" i="8"/>
  <c r="M4" i="8"/>
  <c r="M5" i="8"/>
  <c r="J3" i="8"/>
  <c r="K3" i="8"/>
  <c r="O3" i="8"/>
  <c r="J52" i="8"/>
  <c r="K52" i="8"/>
  <c r="O52" i="8"/>
  <c r="O151" i="8"/>
  <c r="J151" i="8"/>
  <c r="K151" i="8"/>
  <c r="O116" i="8"/>
  <c r="K116" i="8"/>
  <c r="J116" i="8"/>
  <c r="K345" i="8"/>
  <c r="O345" i="8"/>
  <c r="J345" i="8"/>
  <c r="O40" i="8"/>
  <c r="J40" i="8"/>
  <c r="K40" i="8"/>
  <c r="O80" i="8"/>
  <c r="J80" i="8"/>
  <c r="K80" i="8"/>
  <c r="J149" i="8"/>
  <c r="K149" i="8"/>
  <c r="O149" i="8"/>
  <c r="J199" i="8"/>
  <c r="O199" i="8"/>
  <c r="K199" i="8"/>
  <c r="O203" i="8"/>
  <c r="J203" i="8"/>
  <c r="K203" i="8"/>
  <c r="J258" i="8"/>
  <c r="K258" i="8"/>
  <c r="O258" i="8"/>
  <c r="J196" i="8"/>
  <c r="K196" i="8"/>
  <c r="O196" i="8"/>
  <c r="J138" i="8"/>
  <c r="O138" i="8"/>
  <c r="K138" i="8"/>
  <c r="O162" i="8"/>
  <c r="J162" i="8"/>
  <c r="K162" i="8"/>
  <c r="K417" i="8"/>
  <c r="J417" i="8"/>
  <c r="O417" i="8"/>
  <c r="K458" i="8"/>
  <c r="O458" i="8"/>
  <c r="J458" i="8"/>
  <c r="J44" i="8"/>
  <c r="K44" i="8"/>
  <c r="O44" i="8"/>
  <c r="O91" i="8"/>
  <c r="J91" i="8"/>
  <c r="K91" i="8"/>
  <c r="O58" i="8"/>
  <c r="J58" i="8"/>
  <c r="K58" i="8"/>
  <c r="J10" i="8"/>
  <c r="K10" i="8"/>
  <c r="O10" i="8"/>
  <c r="J237" i="8"/>
  <c r="K237" i="8"/>
  <c r="O237" i="8"/>
  <c r="J240" i="8"/>
  <c r="K240" i="8"/>
  <c r="O240" i="8"/>
  <c r="K37" i="8"/>
  <c r="J37" i="8"/>
  <c r="O37" i="8"/>
  <c r="J248" i="8"/>
  <c r="K248" i="8"/>
  <c r="O248" i="8"/>
  <c r="J320" i="8"/>
  <c r="K320" i="8"/>
  <c r="O320" i="8"/>
  <c r="K393" i="8"/>
  <c r="J393" i="8"/>
  <c r="O393" i="8"/>
  <c r="M3" i="8"/>
  <c r="L3" i="8"/>
  <c r="N3" i="8"/>
  <c r="K84" i="8"/>
  <c r="O84" i="8"/>
  <c r="J84" i="8"/>
  <c r="L7" i="8"/>
  <c r="N7" i="8"/>
  <c r="J22" i="8"/>
  <c r="K22" i="8"/>
  <c r="O22" i="8"/>
  <c r="K57" i="8"/>
  <c r="J57" i="8"/>
  <c r="O57" i="8"/>
  <c r="K189" i="8"/>
  <c r="O189" i="8"/>
  <c r="J189" i="8"/>
  <c r="K349" i="8"/>
  <c r="J349" i="8"/>
  <c r="O349" i="8"/>
  <c r="K437" i="8"/>
  <c r="J437" i="8"/>
  <c r="O437" i="8"/>
  <c r="O282" i="8"/>
  <c r="J282" i="8"/>
  <c r="K282" i="8"/>
  <c r="K493" i="8"/>
  <c r="O493" i="8"/>
  <c r="J493" i="8"/>
  <c r="J110" i="8"/>
  <c r="K110" i="8"/>
  <c r="O110" i="8"/>
  <c r="K41" i="8"/>
  <c r="O41" i="8"/>
  <c r="J41" i="8"/>
  <c r="K100" i="8"/>
  <c r="O100" i="8"/>
  <c r="J100" i="8"/>
  <c r="O154" i="8"/>
  <c r="K154" i="8"/>
  <c r="J154" i="8"/>
  <c r="K173" i="8"/>
  <c r="O173" i="8"/>
  <c r="J173" i="8"/>
  <c r="J270" i="8"/>
  <c r="K270" i="8"/>
  <c r="O270" i="8"/>
  <c r="O301" i="8"/>
  <c r="J301" i="8"/>
  <c r="K301" i="8"/>
  <c r="K434" i="8"/>
  <c r="J434" i="8"/>
  <c r="O434" i="8"/>
  <c r="K99" i="8"/>
  <c r="O99" i="8"/>
  <c r="J99" i="8"/>
  <c r="J122" i="8"/>
  <c r="K122" i="8"/>
  <c r="O122" i="8"/>
  <c r="O130" i="8"/>
  <c r="J130" i="8"/>
  <c r="K130" i="8"/>
  <c r="K167" i="8"/>
  <c r="J167" i="8"/>
  <c r="O167" i="8"/>
  <c r="J303" i="8"/>
  <c r="K303" i="8"/>
  <c r="O303" i="8"/>
  <c r="J281" i="8"/>
  <c r="K281" i="8"/>
  <c r="O281" i="8"/>
  <c r="K366" i="8"/>
  <c r="J366" i="8"/>
  <c r="O366" i="8"/>
  <c r="O251" i="8"/>
  <c r="J251" i="8"/>
  <c r="K251" i="8"/>
  <c r="K462" i="8"/>
  <c r="O462" i="8"/>
  <c r="J462" i="8"/>
  <c r="O284" i="8"/>
  <c r="J284" i="8"/>
  <c r="K284" i="8"/>
  <c r="O72" i="8"/>
  <c r="J72" i="8"/>
  <c r="K72" i="8"/>
  <c r="J93" i="8"/>
  <c r="O93" i="8"/>
  <c r="K93" i="8"/>
  <c r="K205" i="8"/>
  <c r="J205" i="8"/>
  <c r="O205" i="8"/>
  <c r="J330" i="8"/>
  <c r="O330" i="8"/>
  <c r="K330" i="8"/>
  <c r="O242" i="8"/>
  <c r="J242" i="8"/>
  <c r="K242" i="8"/>
  <c r="K88" i="8"/>
  <c r="J88" i="8"/>
  <c r="O88" i="8"/>
  <c r="K365" i="8"/>
  <c r="J365" i="8"/>
  <c r="O365" i="8"/>
  <c r="O229" i="8"/>
  <c r="J229" i="8"/>
  <c r="K229" i="8"/>
  <c r="K406" i="8"/>
  <c r="O406" i="8"/>
  <c r="J406" i="8"/>
  <c r="O227" i="8"/>
  <c r="J227" i="8"/>
  <c r="K227" i="8"/>
  <c r="K278" i="8"/>
  <c r="J278" i="8"/>
  <c r="O278" i="8"/>
  <c r="K465" i="8"/>
  <c r="J465" i="8"/>
  <c r="O465" i="8"/>
  <c r="J125" i="8"/>
  <c r="K125" i="8"/>
  <c r="O125" i="8"/>
  <c r="O98" i="8"/>
  <c r="J98" i="8"/>
  <c r="K98" i="8"/>
  <c r="J101" i="8"/>
  <c r="O101" i="8"/>
  <c r="K101" i="8"/>
  <c r="K378" i="8"/>
  <c r="J378" i="8"/>
  <c r="O378" i="8"/>
  <c r="J12" i="8"/>
  <c r="O12" i="8"/>
  <c r="K12" i="8"/>
  <c r="J177" i="8"/>
  <c r="K177" i="8"/>
  <c r="O177" i="8"/>
  <c r="J193" i="8"/>
  <c r="K193" i="8"/>
  <c r="O193" i="8"/>
  <c r="J218" i="8"/>
  <c r="K218" i="8"/>
  <c r="O218" i="8"/>
  <c r="K341" i="8"/>
  <c r="J341" i="8"/>
  <c r="O341" i="8"/>
  <c r="J261" i="8"/>
  <c r="K261" i="8"/>
  <c r="O261" i="8"/>
  <c r="K497" i="8"/>
  <c r="J497" i="8"/>
  <c r="O497" i="8"/>
  <c r="J36" i="8"/>
  <c r="K36" i="8"/>
  <c r="O36" i="8"/>
  <c r="J145" i="8"/>
  <c r="K145" i="8"/>
  <c r="O145" i="8"/>
  <c r="K257" i="8"/>
  <c r="J257" i="8"/>
  <c r="O257" i="8"/>
  <c r="O246" i="8"/>
  <c r="J246" i="8"/>
  <c r="K246" i="8"/>
  <c r="J48" i="8"/>
  <c r="K48" i="8"/>
  <c r="O48" i="8"/>
  <c r="J219" i="8"/>
  <c r="K219" i="8"/>
  <c r="O219" i="8"/>
  <c r="J319" i="8"/>
  <c r="K319" i="8"/>
  <c r="O319" i="8"/>
  <c r="K206" i="8"/>
  <c r="J206" i="8"/>
  <c r="O206" i="8"/>
  <c r="J290" i="8"/>
  <c r="K290" i="8"/>
  <c r="O290" i="8"/>
  <c r="K49" i="8"/>
  <c r="J49" i="8"/>
  <c r="O49" i="8"/>
  <c r="J274" i="8"/>
  <c r="K274" i="8"/>
  <c r="O274" i="8"/>
  <c r="K342" i="8"/>
  <c r="J342" i="8"/>
  <c r="O342" i="8"/>
  <c r="O292" i="8"/>
  <c r="J292" i="8"/>
  <c r="K292" i="8"/>
  <c r="O23" i="8"/>
  <c r="J23" i="8"/>
  <c r="K23" i="8"/>
  <c r="J87" i="8"/>
  <c r="K87" i="8"/>
  <c r="O87" i="8"/>
  <c r="J60" i="8"/>
  <c r="O60" i="8"/>
  <c r="K60" i="8"/>
  <c r="J157" i="8"/>
  <c r="K157" i="8"/>
  <c r="O157" i="8"/>
  <c r="J192" i="8"/>
  <c r="K192" i="8"/>
  <c r="O192" i="8"/>
  <c r="N6" i="8"/>
  <c r="J215" i="8"/>
  <c r="O215" i="8"/>
  <c r="K215" i="8"/>
  <c r="K202" i="8"/>
  <c r="J202" i="8"/>
  <c r="O202" i="8"/>
  <c r="K25" i="8"/>
  <c r="J25" i="8"/>
  <c r="O25" i="8"/>
  <c r="O53" i="8"/>
  <c r="J53" i="8"/>
  <c r="K53" i="8"/>
  <c r="J183" i="8"/>
  <c r="O183" i="8"/>
  <c r="K183" i="8"/>
  <c r="K361" i="8"/>
  <c r="J361" i="8"/>
  <c r="O361" i="8"/>
  <c r="K358" i="8"/>
  <c r="J358" i="8"/>
  <c r="O358" i="8"/>
  <c r="K486" i="8"/>
  <c r="O486" i="8"/>
  <c r="J486" i="8"/>
  <c r="K104" i="8"/>
  <c r="O104" i="8"/>
  <c r="J104" i="8"/>
  <c r="K82" i="8"/>
  <c r="J82" i="8"/>
  <c r="O82" i="8"/>
  <c r="J64" i="8"/>
  <c r="O64" i="8"/>
  <c r="K64" i="8"/>
  <c r="J16" i="8"/>
  <c r="K16" i="8"/>
  <c r="O16" i="8"/>
  <c r="J34" i="8"/>
  <c r="K34" i="8"/>
  <c r="O34" i="8"/>
  <c r="K473" i="8"/>
  <c r="J473" i="8"/>
  <c r="O473" i="8"/>
  <c r="J334" i="8"/>
  <c r="K334" i="8"/>
  <c r="O334" i="8"/>
  <c r="K134" i="8"/>
  <c r="O134" i="8"/>
  <c r="J134" i="8"/>
  <c r="K410" i="8"/>
  <c r="J410" i="8"/>
  <c r="O410" i="8"/>
  <c r="J15" i="8"/>
  <c r="K15" i="8"/>
  <c r="O15" i="8"/>
  <c r="J137" i="8"/>
  <c r="K137" i="8"/>
  <c r="O137" i="8"/>
  <c r="K17" i="8"/>
  <c r="J17" i="8"/>
  <c r="O17" i="8"/>
  <c r="J111" i="8"/>
  <c r="K111" i="8"/>
  <c r="O111" i="8"/>
  <c r="K161" i="8"/>
  <c r="J161" i="8"/>
  <c r="O161" i="8"/>
  <c r="K126" i="8"/>
  <c r="O126" i="8"/>
  <c r="J126" i="8"/>
  <c r="O141" i="8"/>
  <c r="J141" i="8"/>
  <c r="K141" i="8"/>
  <c r="K174" i="8"/>
  <c r="J174" i="8"/>
  <c r="O174" i="8"/>
  <c r="J121" i="8"/>
  <c r="K121" i="8"/>
  <c r="O121" i="8"/>
  <c r="K469" i="8"/>
  <c r="J469" i="8"/>
  <c r="O469" i="8"/>
  <c r="J19" i="8"/>
  <c r="O19" i="8"/>
  <c r="K19" i="8"/>
  <c r="O133" i="8"/>
  <c r="J133" i="8"/>
  <c r="K133" i="8"/>
  <c r="J226" i="8"/>
  <c r="K226" i="8"/>
  <c r="O226" i="8"/>
  <c r="K397" i="8"/>
  <c r="J397" i="8"/>
  <c r="O397" i="8"/>
  <c r="J27" i="8"/>
  <c r="K27" i="8"/>
  <c r="O27" i="8"/>
  <c r="J75" i="8"/>
  <c r="K75" i="8"/>
  <c r="O75" i="8"/>
  <c r="J115" i="8"/>
  <c r="K115" i="8"/>
  <c r="O115" i="8"/>
  <c r="J32" i="8"/>
  <c r="K32" i="8"/>
  <c r="O32" i="8"/>
  <c r="J96" i="8"/>
  <c r="K96" i="8"/>
  <c r="O96" i="8"/>
  <c r="O216" i="8"/>
  <c r="J216" i="8"/>
  <c r="K216" i="8"/>
  <c r="K186" i="8"/>
  <c r="J186" i="8"/>
  <c r="O186" i="8"/>
  <c r="J208" i="8"/>
  <c r="K208" i="8"/>
  <c r="O208" i="8"/>
  <c r="K357" i="8"/>
  <c r="J357" i="8"/>
  <c r="O357" i="8"/>
  <c r="J156" i="8"/>
  <c r="K156" i="8"/>
  <c r="O156" i="8"/>
  <c r="J212" i="8"/>
  <c r="K212" i="8"/>
  <c r="O212" i="8"/>
  <c r="J71" i="8"/>
  <c r="O71" i="8"/>
  <c r="K71" i="8"/>
  <c r="K316" i="8"/>
  <c r="J316" i="8"/>
  <c r="O316" i="8"/>
  <c r="K441" i="8"/>
  <c r="O441" i="8"/>
  <c r="J441" i="8"/>
  <c r="K482" i="8"/>
  <c r="J482" i="8"/>
  <c r="O482" i="8"/>
  <c r="J236" i="8"/>
  <c r="K236" i="8"/>
  <c r="O236" i="8"/>
  <c r="J175" i="8"/>
  <c r="K175" i="8"/>
  <c r="O175" i="8"/>
  <c r="O233" i="8"/>
  <c r="K233" i="8"/>
  <c r="J233" i="8"/>
  <c r="O164" i="8"/>
  <c r="J164" i="8"/>
  <c r="K164" i="8"/>
  <c r="J129" i="8"/>
  <c r="K129" i="8"/>
  <c r="O129" i="8"/>
  <c r="L6" i="8"/>
  <c r="I6" i="8"/>
  <c r="H6" i="8" s="1"/>
  <c r="K373" i="8"/>
  <c r="O373" i="8"/>
  <c r="J373" i="8"/>
  <c r="J95" i="8"/>
  <c r="K95" i="8"/>
  <c r="O95" i="8"/>
  <c r="K55" i="8"/>
  <c r="O55" i="8"/>
  <c r="J55" i="8"/>
  <c r="K337" i="8"/>
  <c r="O337" i="8"/>
  <c r="J337" i="8"/>
  <c r="J180" i="8"/>
  <c r="K180" i="8"/>
  <c r="O180" i="8"/>
  <c r="O288" i="8"/>
  <c r="J288" i="8"/>
  <c r="K288" i="8"/>
  <c r="J313" i="8"/>
  <c r="K313" i="8"/>
  <c r="O313" i="8"/>
  <c r="J39" i="8"/>
  <c r="K39" i="8"/>
  <c r="O39" i="8"/>
  <c r="J79" i="8"/>
  <c r="K79" i="8"/>
  <c r="O79" i="8"/>
  <c r="J77" i="8"/>
  <c r="K77" i="8"/>
  <c r="O77" i="8"/>
  <c r="K234" i="8"/>
  <c r="J234" i="8"/>
  <c r="O234" i="8"/>
  <c r="K223" i="8"/>
  <c r="J223" i="8"/>
  <c r="O223" i="8"/>
  <c r="J259" i="8"/>
  <c r="O259" i="8"/>
  <c r="K259" i="8"/>
  <c r="J268" i="8"/>
  <c r="K268" i="8"/>
  <c r="O268" i="8"/>
  <c r="J160" i="8"/>
  <c r="O160" i="8"/>
  <c r="K160" i="8"/>
  <c r="K445" i="8"/>
  <c r="J445" i="8"/>
  <c r="O445" i="8"/>
  <c r="K390" i="8"/>
  <c r="O390" i="8"/>
  <c r="J390" i="8"/>
  <c r="K369" i="8"/>
  <c r="J369" i="8"/>
  <c r="O369" i="8"/>
  <c r="J275" i="8"/>
  <c r="K275" i="8"/>
  <c r="O275" i="8"/>
  <c r="J117" i="8"/>
  <c r="O117" i="8"/>
  <c r="K117" i="8"/>
  <c r="O135" i="8"/>
  <c r="J135" i="8"/>
  <c r="K135" i="8"/>
  <c r="K353" i="8"/>
  <c r="J353" i="8"/>
  <c r="O353" i="8"/>
  <c r="J28" i="8"/>
  <c r="K28" i="8"/>
  <c r="O28" i="8"/>
  <c r="K271" i="8"/>
  <c r="J271" i="8"/>
  <c r="O271" i="8"/>
  <c r="J123" i="8"/>
  <c r="K123" i="8"/>
  <c r="O123" i="8"/>
  <c r="K413" i="8"/>
  <c r="O413" i="8"/>
  <c r="J413" i="8"/>
  <c r="J63" i="8"/>
  <c r="K63" i="8"/>
  <c r="O63" i="8"/>
  <c r="J114" i="8"/>
  <c r="K114" i="8"/>
  <c r="O114" i="8"/>
  <c r="J74" i="8"/>
  <c r="K74" i="8"/>
  <c r="O74" i="8"/>
  <c r="O324" i="8"/>
  <c r="K324" i="8"/>
  <c r="J324" i="8"/>
  <c r="O43" i="8"/>
  <c r="J43" i="8"/>
  <c r="K43" i="8"/>
  <c r="I7" i="8"/>
  <c r="M7" i="8" s="1"/>
  <c r="K108" i="8"/>
  <c r="J108" i="8"/>
  <c r="O108" i="8"/>
  <c r="L5" i="8"/>
  <c r="J46" i="8"/>
  <c r="K46" i="8"/>
  <c r="O46" i="8"/>
  <c r="J85" i="8"/>
  <c r="K85" i="8"/>
  <c r="O85" i="8"/>
  <c r="K190" i="8"/>
  <c r="J190" i="8"/>
  <c r="O190" i="8"/>
  <c r="O50" i="8"/>
  <c r="J50" i="8"/>
  <c r="K50" i="8"/>
  <c r="J244" i="8"/>
  <c r="K244" i="8"/>
  <c r="O244" i="8"/>
  <c r="J159" i="8"/>
  <c r="K159" i="8"/>
  <c r="O159" i="8"/>
  <c r="O220" i="8"/>
  <c r="J220" i="8"/>
  <c r="K220" i="8"/>
  <c r="O279" i="8"/>
  <c r="J279" i="8"/>
  <c r="K279" i="8"/>
  <c r="K377" i="8"/>
  <c r="J377" i="8"/>
  <c r="O377" i="8"/>
  <c r="J225" i="8"/>
  <c r="K225" i="8"/>
  <c r="O225" i="8"/>
  <c r="J327" i="8"/>
  <c r="K327" i="8"/>
  <c r="O327" i="8"/>
  <c r="K490" i="8"/>
  <c r="J490" i="8"/>
  <c r="O490" i="8"/>
  <c r="J132" i="8"/>
  <c r="O132" i="8"/>
  <c r="K132" i="8"/>
  <c r="J11" i="8"/>
  <c r="K11" i="8"/>
  <c r="O11" i="8"/>
  <c r="J76" i="8"/>
  <c r="O76" i="8"/>
  <c r="K76" i="8"/>
  <c r="J31" i="8"/>
  <c r="K31" i="8"/>
  <c r="O31" i="8"/>
  <c r="J107" i="8"/>
  <c r="O107" i="8"/>
  <c r="K107" i="8"/>
  <c r="O47" i="8"/>
  <c r="J47" i="8"/>
  <c r="K47" i="8"/>
  <c r="J24" i="8"/>
  <c r="K24" i="8"/>
  <c r="O24" i="8"/>
  <c r="J103" i="8"/>
  <c r="K103" i="8"/>
  <c r="O103" i="8"/>
  <c r="J54" i="8"/>
  <c r="K54" i="8"/>
  <c r="O54" i="8"/>
  <c r="J68" i="8"/>
  <c r="K68" i="8"/>
  <c r="O68" i="8"/>
  <c r="K33" i="8"/>
  <c r="J33" i="8"/>
  <c r="O33" i="8"/>
  <c r="O200" i="8"/>
  <c r="J200" i="8"/>
  <c r="K200" i="8"/>
  <c r="O92" i="8"/>
  <c r="J92" i="8"/>
  <c r="K92" i="8"/>
  <c r="J294" i="8"/>
  <c r="K294" i="8"/>
  <c r="O294" i="8"/>
  <c r="K124" i="8"/>
  <c r="O124" i="8"/>
  <c r="J124" i="8"/>
  <c r="K8" i="8"/>
  <c r="O8" i="8"/>
  <c r="J8" i="8"/>
  <c r="J20" i="8"/>
  <c r="K20" i="8"/>
  <c r="O20" i="8"/>
  <c r="J263" i="8"/>
  <c r="K263" i="8"/>
  <c r="O263" i="8"/>
  <c r="J287" i="8"/>
  <c r="K287" i="8"/>
  <c r="O287" i="8"/>
  <c r="O35" i="8"/>
  <c r="J35" i="8"/>
  <c r="K35" i="8"/>
  <c r="K56" i="8"/>
  <c r="J56" i="8"/>
  <c r="O56" i="8"/>
  <c r="K430" i="8"/>
  <c r="O430" i="8"/>
  <c r="J430" i="8"/>
  <c r="O51" i="8"/>
  <c r="J51" i="8"/>
  <c r="K51" i="8"/>
  <c r="O83" i="8"/>
  <c r="J83" i="8"/>
  <c r="K83" i="8"/>
  <c r="O222" i="8"/>
  <c r="J222" i="8"/>
  <c r="K222" i="8"/>
  <c r="J267" i="8"/>
  <c r="O267" i="8"/>
  <c r="K267" i="8"/>
  <c r="O67" i="8"/>
  <c r="J67" i="8"/>
  <c r="K67" i="8"/>
  <c r="J312" i="8"/>
  <c r="K312" i="8"/>
  <c r="O312" i="8"/>
  <c r="J323" i="8"/>
  <c r="K323" i="8"/>
  <c r="O323" i="8"/>
  <c r="J59" i="8"/>
  <c r="K59" i="8"/>
  <c r="O59" i="8"/>
  <c r="K309" i="8"/>
  <c r="O309" i="8"/>
  <c r="J309" i="8"/>
  <c r="K381" i="8"/>
  <c r="J381" i="8"/>
  <c r="O381" i="8"/>
  <c r="J118" i="8"/>
  <c r="K118" i="8"/>
  <c r="O118" i="8"/>
  <c r="K350" i="8"/>
  <c r="J350" i="8"/>
  <c r="O350" i="8"/>
  <c r="E22" i="3"/>
  <c r="F22" i="3"/>
  <c r="B21" i="3"/>
  <c r="E21" i="3"/>
  <c r="F21" i="3"/>
  <c r="B25" i="3"/>
  <c r="B26" i="3"/>
  <c r="F26" i="3"/>
  <c r="P4" i="10"/>
  <c r="Q4" i="10" l="1"/>
  <c r="Q5" i="10"/>
  <c r="H7" i="8"/>
  <c r="M6" i="8"/>
  <c r="J7" i="8"/>
  <c r="K7" i="8"/>
  <c r="O7" i="8"/>
  <c r="K4" i="8"/>
  <c r="O4" i="8" s="1"/>
  <c r="J4" i="8"/>
  <c r="J6" i="8"/>
  <c r="K6" i="8"/>
  <c r="O6" i="8" s="1"/>
  <c r="A2" i="11"/>
  <c r="A2" i="9"/>
  <c r="H2" i="11" l="1"/>
  <c r="K300" i="5" s="1"/>
  <c r="C2" i="11"/>
  <c r="G2" i="11" s="1"/>
  <c r="H300" i="5" s="1"/>
  <c r="E2" i="11"/>
  <c r="C300" i="5" s="1"/>
  <c r="B2" i="11"/>
  <c r="A300" i="5" s="1"/>
  <c r="B300" i="5"/>
  <c r="D2" i="11"/>
  <c r="D300" i="5" s="1"/>
  <c r="F2" i="9"/>
  <c r="G2" i="9"/>
  <c r="I2" i="9" s="1"/>
  <c r="L2" i="9"/>
  <c r="B2" i="9"/>
  <c r="J2" i="9"/>
  <c r="K2" i="9" s="1"/>
  <c r="D2" i="9"/>
  <c r="C2" i="9"/>
  <c r="M2" i="9" l="1"/>
  <c r="H2" i="9"/>
  <c r="F2" i="11"/>
  <c r="E300" i="5" s="1"/>
  <c r="B2" i="8"/>
  <c r="A2" i="8" s="1"/>
  <c r="D2" i="8" l="1"/>
  <c r="C2" i="8"/>
  <c r="F2" i="8"/>
  <c r="E2" i="8" s="1"/>
  <c r="G2" i="8"/>
  <c r="H2" i="3"/>
  <c r="A2" i="3"/>
  <c r="A2" i="5" s="1"/>
  <c r="P28" i="3"/>
  <c r="P27" i="3"/>
  <c r="P26" i="3"/>
  <c r="P25" i="3"/>
  <c r="P24" i="3"/>
  <c r="P1" i="3"/>
  <c r="E2" i="9" l="1"/>
  <c r="E88" i="9"/>
  <c r="E83" i="9"/>
  <c r="E133" i="9"/>
  <c r="E100" i="9"/>
  <c r="E82" i="9"/>
  <c r="E103" i="9"/>
  <c r="E11" i="9"/>
  <c r="E101" i="9"/>
  <c r="E96" i="9"/>
  <c r="E113" i="9"/>
  <c r="E134" i="9"/>
  <c r="E91" i="9"/>
  <c r="E126" i="9"/>
  <c r="E125" i="9"/>
  <c r="E85" i="9"/>
  <c r="E122" i="9"/>
  <c r="E114" i="9"/>
  <c r="E12" i="9"/>
  <c r="E92" i="9"/>
  <c r="E90" i="9"/>
  <c r="E123" i="9"/>
  <c r="E104" i="9"/>
  <c r="E81" i="9"/>
  <c r="E94" i="9"/>
  <c r="E98" i="9"/>
  <c r="E9" i="9"/>
  <c r="E128" i="9"/>
  <c r="E89" i="9"/>
  <c r="E129" i="9"/>
  <c r="E112" i="9"/>
  <c r="E32" i="9"/>
  <c r="E80" i="9"/>
  <c r="E97" i="9"/>
  <c r="E99" i="9"/>
  <c r="E132" i="9"/>
  <c r="E87" i="9"/>
  <c r="E93" i="9"/>
  <c r="E95" i="9"/>
  <c r="E84" i="9"/>
  <c r="E33" i="9"/>
  <c r="E127" i="9"/>
  <c r="E131" i="9"/>
  <c r="E124" i="9"/>
  <c r="E39" i="9"/>
  <c r="E107" i="9"/>
  <c r="E86" i="9"/>
  <c r="E10" i="9"/>
  <c r="E102" i="9"/>
  <c r="N2" i="8"/>
  <c r="I2" i="8"/>
  <c r="H2" i="8" s="1"/>
  <c r="L2" i="8"/>
  <c r="B2" i="3"/>
  <c r="B2" i="5" s="1"/>
  <c r="E2" i="3"/>
  <c r="E2" i="5" s="1"/>
  <c r="G2" i="3"/>
  <c r="K2" i="5" s="1"/>
  <c r="F2" i="3"/>
  <c r="H2" i="5" s="1"/>
  <c r="D2" i="3"/>
  <c r="D2" i="5" s="1"/>
  <c r="C2" i="3"/>
  <c r="C2" i="5" s="1"/>
  <c r="M2" i="8" l="1"/>
  <c r="J2" i="8" l="1"/>
  <c r="K2" i="8"/>
  <c r="O2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4A3126-B5D7-48F1-B58C-8E531C558150}" name="CloseCheckSummaryReport_20210902" type="6" refreshedVersion="6" background="1" saveData="1">
    <textPr codePage="65001" sourceFile="C:\Users\user\Desktop\Settlement\20220927\CloseCheckSummaryReport_20220927.csv" tab="0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FBE7B5F6-DB0E-460B-B60E-3571FF9E8EC7}" name="transaction_ATP" type="6" refreshedVersion="7" background="1" saveData="1">
    <textPr codePage="936" sourceFile="C:\Users\Dealing\Desktop\Settlement\transaction_ATP.csv" tab="0" comma="1">
      <textFields count="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<sst xmlns="http://schemas.openxmlformats.org/spreadsheetml/2006/main" count="5412" uniqueCount="1596">
  <si>
    <t>Com_Type</t>
  </si>
  <si>
    <t>F</t>
  </si>
  <si>
    <t>KLCE</t>
  </si>
  <si>
    <t>PO</t>
  </si>
  <si>
    <t>SIMEX</t>
  </si>
  <si>
    <t>CN</t>
  </si>
  <si>
    <t>UC</t>
  </si>
  <si>
    <t>LEAD</t>
  </si>
  <si>
    <t>client_no</t>
    <phoneticPr fontId="3" type="noConversion"/>
  </si>
  <si>
    <t>Com_Type</t>
    <phoneticPr fontId="3" type="noConversion"/>
  </si>
  <si>
    <t>Exch_cd</t>
    <phoneticPr fontId="3" type="noConversion"/>
  </si>
  <si>
    <t>Com_cd</t>
    <phoneticPr fontId="3" type="noConversion"/>
  </si>
  <si>
    <t>Contract_Month</t>
    <phoneticPr fontId="3" type="noConversion"/>
  </si>
  <si>
    <t>Strike_Price</t>
    <phoneticPr fontId="3" type="noConversion"/>
  </si>
  <si>
    <t>Call_Put</t>
    <phoneticPr fontId="3" type="noConversion"/>
  </si>
  <si>
    <t>Val_Date</t>
    <phoneticPr fontId="3" type="noConversion"/>
  </si>
  <si>
    <t>Trade_Date_Buy</t>
    <phoneticPr fontId="3" type="noConversion"/>
  </si>
  <si>
    <t>Trade_Date_Sell</t>
    <phoneticPr fontId="3" type="noConversion"/>
  </si>
  <si>
    <t>Traded_Qty</t>
    <phoneticPr fontId="3" type="noConversion"/>
  </si>
  <si>
    <t>Traded_Price_Buy</t>
    <phoneticPr fontId="3" type="noConversion"/>
  </si>
  <si>
    <t>Traded_Price_Sell</t>
    <phoneticPr fontId="3" type="noConversion"/>
  </si>
  <si>
    <t>Traded_Premium_Buy</t>
    <phoneticPr fontId="3" type="noConversion"/>
  </si>
  <si>
    <t>Traded_Premium_Sell</t>
    <phoneticPr fontId="3" type="noConversion"/>
  </si>
  <si>
    <t>CBOT</t>
  </si>
  <si>
    <t>S</t>
  </si>
  <si>
    <t>CME</t>
  </si>
  <si>
    <t>CD</t>
  </si>
  <si>
    <t>COMEX</t>
  </si>
  <si>
    <t>QI</t>
  </si>
  <si>
    <t>NYMEX</t>
  </si>
  <si>
    <t>CL</t>
  </si>
  <si>
    <t>NG</t>
  </si>
  <si>
    <t>KC</t>
  </si>
  <si>
    <t>CUS</t>
  </si>
  <si>
    <t>MHI</t>
  </si>
  <si>
    <t>CPO</t>
  </si>
  <si>
    <t>LME</t>
  </si>
  <si>
    <t>PB</t>
  </si>
  <si>
    <t>Description</t>
  </si>
  <si>
    <t>IFSG</t>
  </si>
  <si>
    <t>AU</t>
  </si>
  <si>
    <t>BM</t>
  </si>
  <si>
    <t>MINI BRENT CRUDE FUTURES</t>
  </si>
  <si>
    <t>CHM</t>
  </si>
  <si>
    <t>MINI OFFSHORE RENMINBI FUTURES</t>
  </si>
  <si>
    <t>CNM</t>
  </si>
  <si>
    <t>MINI ONSHORE RENMINBI FUTURES</t>
  </si>
  <si>
    <t>GM</t>
  </si>
  <si>
    <t>MINI LOW SULPHUR GASOIL FUTURES</t>
  </si>
  <si>
    <t>SDS</t>
  </si>
  <si>
    <t>US Dollar/ Singapore Dollar Futures</t>
  </si>
  <si>
    <t>SDX</t>
  </si>
  <si>
    <t>Mini U.S. Dollar Index Futures</t>
  </si>
  <si>
    <t>SID</t>
  </si>
  <si>
    <t>Indonesian Rupiah/ US Dollar Futures</t>
  </si>
  <si>
    <t>SMD</t>
  </si>
  <si>
    <t>Malaysian Ringgit/ US Dollar Futures</t>
  </si>
  <si>
    <t>TM</t>
  </si>
  <si>
    <t>Mini WTI Crude Futures (100BBL)</t>
  </si>
  <si>
    <t>1M</t>
  </si>
  <si>
    <t>MINI FUEL OIL 180</t>
  </si>
  <si>
    <t>1MF</t>
  </si>
  <si>
    <t>SGX Platts Singapore FO 180cst Index Futures</t>
  </si>
  <si>
    <t>2A</t>
  </si>
  <si>
    <t>PANAMAX ROUTE P2A</t>
  </si>
  <si>
    <t>2AF</t>
  </si>
  <si>
    <t>SGX PANAMAX ROUTE P2A FUTURES</t>
  </si>
  <si>
    <t>3A</t>
  </si>
  <si>
    <t>PANAMAX ROUTE P3A</t>
  </si>
  <si>
    <t>3AF</t>
  </si>
  <si>
    <t>SGX PANAMAX ROUTE P3A FUTURES</t>
  </si>
  <si>
    <t>3M</t>
  </si>
  <si>
    <t>MINI FUEL OIL 380</t>
  </si>
  <si>
    <t>3MF</t>
  </si>
  <si>
    <t>SGX Platts Singapore FO 380cst Index Futures</t>
  </si>
  <si>
    <t>5C</t>
  </si>
  <si>
    <t>SGX API 5 FOB NEWCASTLE COAL SWAP</t>
  </si>
  <si>
    <t>5CF</t>
  </si>
  <si>
    <t>SGX API 5 FOB NEWCASTLE COAL FUTURES</t>
  </si>
  <si>
    <t>AC</t>
  </si>
  <si>
    <t>ACF</t>
  </si>
  <si>
    <t>SGX TSI AUSTRALIAN PREMIUM COKING COAL FUTURES</t>
  </si>
  <si>
    <t>AJ</t>
  </si>
  <si>
    <t>SGX AUD/JPY</t>
  </si>
  <si>
    <t>BZ</t>
  </si>
  <si>
    <t>BZF</t>
  </si>
  <si>
    <t>PLATTS BZ FOB KOREA FUTURES</t>
  </si>
  <si>
    <t>C5</t>
  </si>
  <si>
    <t>SGX CAPESIZE ROUTE C5</t>
  </si>
  <si>
    <t>C5F</t>
  </si>
  <si>
    <t>SGX CAPESIZE ROUTE C5 FUTURES</t>
  </si>
  <si>
    <t>CC</t>
  </si>
  <si>
    <t>CCF</t>
  </si>
  <si>
    <t>SGX TSI CHINA JM25 PREMIUM COKING COAL FUTURES</t>
  </si>
  <si>
    <t>CH</t>
  </si>
  <si>
    <t>MSCI CHINA FREE INDEX</t>
  </si>
  <si>
    <t>CV</t>
  </si>
  <si>
    <t>CTC CAPESIZE TC BASKET AVG 4 ROUTES</t>
  </si>
  <si>
    <t>CVF</t>
  </si>
  <si>
    <t>CTC CAPESIZE TC BASKET AVG 4 ROUTES FUTURES</t>
  </si>
  <si>
    <t>CY</t>
  </si>
  <si>
    <t>SGX CNY/USD</t>
  </si>
  <si>
    <t>EC</t>
  </si>
  <si>
    <t>SGX EUR/CNH</t>
  </si>
  <si>
    <t>ED</t>
  </si>
  <si>
    <t>EURODOLLARS</t>
  </si>
  <si>
    <t>EF</t>
  </si>
  <si>
    <t>SGX ELECTRICITY</t>
  </si>
  <si>
    <t>EY</t>
  </si>
  <si>
    <t>EUROYEN 3-MTH</t>
  </si>
  <si>
    <t>F1</t>
  </si>
  <si>
    <t>FUEL OIL 180</t>
  </si>
  <si>
    <t>F3</t>
  </si>
  <si>
    <t>FUEL OIL 380</t>
  </si>
  <si>
    <t>FE</t>
  </si>
  <si>
    <t>IRON ORE SWAP</t>
  </si>
  <si>
    <t>FEF</t>
  </si>
  <si>
    <t>TSI IRON ORE CFR CHINA</t>
  </si>
  <si>
    <t>GO</t>
  </si>
  <si>
    <t>HR</t>
  </si>
  <si>
    <t>SGX HOT-ROLLED COIL STEEL CFR ASEAN SWAP</t>
  </si>
  <si>
    <t>HRF</t>
  </si>
  <si>
    <t>SGX HOT-ROLLED COIL STEEL CFR ASEAN INDEX FUTURES</t>
  </si>
  <si>
    <t>HV</t>
  </si>
  <si>
    <t>HANDYSIZE TC BASKET AVG 6 ROUTES</t>
  </si>
  <si>
    <t>HVF</t>
  </si>
  <si>
    <t>HANDYSIZE TC BASKET AVG 6 ROUTES FUTURES</t>
  </si>
  <si>
    <t>ID</t>
  </si>
  <si>
    <t>SIMEX MSCI INDONESIA STOCK INDEX</t>
  </si>
  <si>
    <t>IN</t>
  </si>
  <si>
    <t>INB</t>
  </si>
  <si>
    <t>SGX NIFTY BANK INDEX FUTURES</t>
  </si>
  <si>
    <t>IR</t>
  </si>
  <si>
    <t>IU</t>
  </si>
  <si>
    <t>SGX INR/USD</t>
  </si>
  <si>
    <t>JB</t>
  </si>
  <si>
    <t>MINI SIZE JAPANESE GOVT BOND</t>
  </si>
  <si>
    <t>JG</t>
  </si>
  <si>
    <t>FULL SIZE JAPANESE GOVT BOND</t>
  </si>
  <si>
    <t>KJ</t>
  </si>
  <si>
    <t>SGX KRW/JPY</t>
  </si>
  <si>
    <t>KU</t>
  </si>
  <si>
    <t>SGX KRW/USD</t>
  </si>
  <si>
    <t>MD</t>
  </si>
  <si>
    <t>MR</t>
  </si>
  <si>
    <t>STANDARD MALAYSIA RUBBER 20</t>
  </si>
  <si>
    <t>MY</t>
  </si>
  <si>
    <t>SGX MSCI MALAYSIA INDEX</t>
  </si>
  <si>
    <t>ND</t>
  </si>
  <si>
    <t>NJ</t>
  </si>
  <si>
    <t>SGX NAPHTHA CFR JAPAN SWAP</t>
  </si>
  <si>
    <t>NK</t>
  </si>
  <si>
    <t>NIKKEI 225 STOCK INDEX</t>
  </si>
  <si>
    <t>NS</t>
  </si>
  <si>
    <t>MINI NIKKEI 225 INDEX FUTURES</t>
  </si>
  <si>
    <t>NU</t>
  </si>
  <si>
    <t>USD NIKKEI 225 INDEX FUTURES</t>
  </si>
  <si>
    <t>PH</t>
  </si>
  <si>
    <t>MSCI PHILIPPINES INDEX</t>
  </si>
  <si>
    <t>PPC</t>
  </si>
  <si>
    <t>SGX ICIS PP Flat Yarn (Raffia) CFR China Swap</t>
  </si>
  <si>
    <t>PPCF</t>
  </si>
  <si>
    <t>SGX ICIS PP Flat Yarn (Raffia) CFR China Futures</t>
  </si>
  <si>
    <t>PV</t>
  </si>
  <si>
    <t>PTC PANAMAX TC BASKET AVG 4 ROUTES</t>
  </si>
  <si>
    <t>PVF</t>
  </si>
  <si>
    <t>PTC PANAMAX TC BASKET AVG 4 ROUTES FUTURES</t>
  </si>
  <si>
    <t>PX</t>
  </si>
  <si>
    <t>SGX PLATTS PX CFR CHINA SWAP</t>
  </si>
  <si>
    <t>PXF</t>
  </si>
  <si>
    <t>SGX PLATTS PX CFR CHINA INDEX FUTURES</t>
  </si>
  <si>
    <t>RT</t>
  </si>
  <si>
    <t>SGP</t>
  </si>
  <si>
    <t>MSCI SINGAPORE FREE INDEX</t>
  </si>
  <si>
    <t>ST</t>
  </si>
  <si>
    <t>STRAITS TIMES INDEX</t>
  </si>
  <si>
    <t>SV</t>
  </si>
  <si>
    <t>SVF</t>
  </si>
  <si>
    <t>SUPRAMAX TC BASKET AVG 6 ROUTES FUTURES</t>
  </si>
  <si>
    <t>SY</t>
  </si>
  <si>
    <t>SGX SGD/CNH</t>
  </si>
  <si>
    <t>TD</t>
  </si>
  <si>
    <t>SGX TWD/USD</t>
  </si>
  <si>
    <t>TF</t>
  </si>
  <si>
    <t>TH</t>
  </si>
  <si>
    <t>MSCI THAILAND INDEX</t>
  </si>
  <si>
    <t>TR</t>
  </si>
  <si>
    <t>STANDARD THAILAND RUBBER 20</t>
  </si>
  <si>
    <t>TU</t>
  </si>
  <si>
    <t>TW</t>
  </si>
  <si>
    <t>SIMEX MSCI TAIWAN STOCK INDEX</t>
  </si>
  <si>
    <t>SGX USD/CNH</t>
  </si>
  <si>
    <t>UJ</t>
  </si>
  <si>
    <t>SGX USD/JPY (TITAN)</t>
  </si>
  <si>
    <t>US</t>
  </si>
  <si>
    <t>UY</t>
  </si>
  <si>
    <t>SGX USD/JPY (STANDARD)</t>
  </si>
  <si>
    <t>YS</t>
  </si>
  <si>
    <t>SGX CNY/SGD</t>
  </si>
  <si>
    <t>ALUMINIUM</t>
  </si>
  <si>
    <t>COPPER</t>
  </si>
  <si>
    <t>NICKEL</t>
  </si>
  <si>
    <t>TIN</t>
  </si>
  <si>
    <t>ZINC</t>
  </si>
  <si>
    <t>Exch_Cd</t>
  </si>
  <si>
    <t>Com_Cd</t>
  </si>
  <si>
    <t>Contract nature</t>
  </si>
  <si>
    <t>APEX</t>
  </si>
  <si>
    <t>CPF</t>
  </si>
  <si>
    <t>COMMODITIES</t>
  </si>
  <si>
    <t>APEX Crude Palm Oil Futures</t>
  </si>
  <si>
    <t>PF</t>
  </si>
  <si>
    <t>RBD Palm Olein</t>
  </si>
  <si>
    <t>CURRENCY</t>
  </si>
  <si>
    <t>APEX USD/CNH FUTURES</t>
  </si>
  <si>
    <t>FGLD</t>
  </si>
  <si>
    <t>GOLD</t>
  </si>
  <si>
    <t>FKB3</t>
  </si>
  <si>
    <t>DEBT - int rate</t>
  </si>
  <si>
    <t>3 MONTH KL INTERBANK OFFERED RATE</t>
  </si>
  <si>
    <t>FM70</t>
  </si>
  <si>
    <t>EQUITY</t>
  </si>
  <si>
    <t>MINI FTSE BURSA MALAYSIA MID 70 INDEX FUTURES CONTRACT</t>
  </si>
  <si>
    <t>FMG5</t>
  </si>
  <si>
    <t>5 YEAR MALAYSIAN GOVERNMENT SECURITIES</t>
  </si>
  <si>
    <t>FPKO</t>
  </si>
  <si>
    <t>CRUDE PALM KERNEL OIL</t>
  </si>
  <si>
    <t>FPOL</t>
  </si>
  <si>
    <t>USD CRUDE PALM OIL</t>
  </si>
  <si>
    <t>CBOE</t>
  </si>
  <si>
    <t>VIX</t>
  </si>
  <si>
    <t>Volatility Index Futures</t>
  </si>
  <si>
    <t>VXM</t>
  </si>
  <si>
    <t>CBOE Mini Volatility Index</t>
  </si>
  <si>
    <t>BO</t>
  </si>
  <si>
    <t>SOYBEAN OIL</t>
  </si>
  <si>
    <t>O</t>
  </si>
  <si>
    <t>C</t>
  </si>
  <si>
    <t>CORN (BU)</t>
  </si>
  <si>
    <t>EH</t>
  </si>
  <si>
    <t>ETHANOL</t>
  </si>
  <si>
    <t>FV</t>
  </si>
  <si>
    <t>US T NOTES - 5 YR</t>
  </si>
  <si>
    <t>JR</t>
  </si>
  <si>
    <t>DOW JONES US REAL ESTATE INDEX</t>
  </si>
  <si>
    <t>MYM</t>
  </si>
  <si>
    <t>EQUITY - Micro</t>
  </si>
  <si>
    <t>Micro E-mini Dow Jones Industrial Average Index Futures Contracts</t>
  </si>
  <si>
    <t>OATS</t>
  </si>
  <si>
    <t>RR</t>
  </si>
  <si>
    <t>ROUGH RICE</t>
  </si>
  <si>
    <t>SOYBEANS</t>
  </si>
  <si>
    <t>SM</t>
  </si>
  <si>
    <t>SOYBEAN MEAL</t>
  </si>
  <si>
    <t>TN</t>
  </si>
  <si>
    <t>ULTRA 10-YEAR U.S. TREASURY NOTE FUTURES</t>
  </si>
  <si>
    <t>2 YEAR T-NOTE</t>
  </si>
  <si>
    <t>TY</t>
  </si>
  <si>
    <t>US T-NOTES 10 YR</t>
  </si>
  <si>
    <t>UBE</t>
  </si>
  <si>
    <t>ULTRA U.S. TREASURY BOND FUTURES</t>
  </si>
  <si>
    <t>UFV</t>
  </si>
  <si>
    <t>OTC</t>
  </si>
  <si>
    <t>UREA (GRANULAR) FOB US GULF FUTURES</t>
  </si>
  <si>
    <t>UME</t>
  </si>
  <si>
    <t>UREA (GRANULAR) FOB MIDDLE EAST FUTURES</t>
  </si>
  <si>
    <t>TREASURY BONDS</t>
  </si>
  <si>
    <t>W</t>
  </si>
  <si>
    <t>WHEAT (BU)</t>
  </si>
  <si>
    <t>XB</t>
  </si>
  <si>
    <t>MINI-SIZED SOYBEAN</t>
  </si>
  <si>
    <t>YC</t>
  </si>
  <si>
    <t>MINI-SIZED CORN</t>
  </si>
  <si>
    <t>YM</t>
  </si>
  <si>
    <t>MINI DJIA (US$5)</t>
  </si>
  <si>
    <t>YM1</t>
  </si>
  <si>
    <t>E-MINI DOW (US$5) WEEK 1</t>
  </si>
  <si>
    <t>YM2</t>
  </si>
  <si>
    <t>E-MINI DOW (US$5) WEEK 2</t>
  </si>
  <si>
    <t>YM3</t>
  </si>
  <si>
    <t>E-MINI DOW (US$5) WEEK 3</t>
  </si>
  <si>
    <t>YM4</t>
  </si>
  <si>
    <t>E-MINI DOW (US$5) WEEK 4</t>
  </si>
  <si>
    <t>YW</t>
  </si>
  <si>
    <t>MINI-SIZED WHEAT</t>
  </si>
  <si>
    <t>ZQ</t>
  </si>
  <si>
    <t>30 DAY FED FUND</t>
  </si>
  <si>
    <t>1AD</t>
  </si>
  <si>
    <t>AUSTRALIAN DOLLARS PREM QUOTED EURO WEEK 1</t>
  </si>
  <si>
    <t>1BP</t>
  </si>
  <si>
    <t>BRITISH POUNDS PREM QUOTED EURO WEEK 1</t>
  </si>
  <si>
    <t>1CD</t>
  </si>
  <si>
    <t>CANADIAN DOLLARS PREM QUOTED EURO WEEK 1</t>
  </si>
  <si>
    <t>1EU</t>
  </si>
  <si>
    <t>EURO PREM QUOTED EURO WEEK 1</t>
  </si>
  <si>
    <t>1JY</t>
  </si>
  <si>
    <t>JAPANESE YEN PREM QUOTED EURO WEEK 1</t>
  </si>
  <si>
    <t>1SW</t>
  </si>
  <si>
    <t>SWISS FRANCS PREM QUOTED EURO WEEK 1</t>
  </si>
  <si>
    <t>2AD</t>
  </si>
  <si>
    <t>AUSTRALIAN DOLLARS PREM QUOTED EURO WEEK 2</t>
  </si>
  <si>
    <t>2BP</t>
  </si>
  <si>
    <t>BRITISH POUNDS PREM QUOTED EURO WEEK 2</t>
  </si>
  <si>
    <t>2CD</t>
  </si>
  <si>
    <t>CANADIAN DOLLARS PREM QUOTED EURO WEEK 2</t>
  </si>
  <si>
    <t>2EU</t>
  </si>
  <si>
    <t>EURO PREM QUOTED EURO WEEK 2</t>
  </si>
  <si>
    <t>2JY</t>
  </si>
  <si>
    <t>JAPANESE YEN PREM QUOTED EURO WEEK 2</t>
  </si>
  <si>
    <t>2SW</t>
  </si>
  <si>
    <t>SWISS FRANCS PREM QUOTED EURO WEEK 2</t>
  </si>
  <si>
    <t>3AD</t>
  </si>
  <si>
    <t>AUSTRALIAN DOLLARS PREM QUOTED EURO WEEK 3</t>
  </si>
  <si>
    <t>3BP</t>
  </si>
  <si>
    <t>BRITISH POUNDS PREM QUOTED EURO WEEK 3</t>
  </si>
  <si>
    <t>3CD</t>
  </si>
  <si>
    <t>CANADIAN DOLLARS PREM QUOTED EURO WEEK 3</t>
  </si>
  <si>
    <t>3EU</t>
  </si>
  <si>
    <t>EURO PREM QUOTED EURO WEEK 3</t>
  </si>
  <si>
    <t>3JY</t>
  </si>
  <si>
    <t>JAPANESE YEN PREM QUOTED EURO WEEK 3</t>
  </si>
  <si>
    <t>3SW</t>
  </si>
  <si>
    <t>SWISS FRANCS PREM QUOTED EURO WEEK 3</t>
  </si>
  <si>
    <t>4AD</t>
  </si>
  <si>
    <t>AUSTRALIAN DOLLARS PREM QUOTED EURO WEEK 4</t>
  </si>
  <si>
    <t>4BP</t>
  </si>
  <si>
    <t>BRITISH POUNDS PREM QUOTED EURO WEEK 4</t>
  </si>
  <si>
    <t>4CD</t>
  </si>
  <si>
    <t>CANADIAN DOLLARS PREM QUOTED EURO WEEK 4</t>
  </si>
  <si>
    <t>4EU</t>
  </si>
  <si>
    <t>EURO PREM QUOTED EURO WEEK 4</t>
  </si>
  <si>
    <t>4JY</t>
  </si>
  <si>
    <t>JAPANESE YEN PREM QUOTED EURO WEEK 4</t>
  </si>
  <si>
    <t>4SW</t>
  </si>
  <si>
    <t>SWISS FRANCS PREM QUOTED EURO WEEK 4</t>
  </si>
  <si>
    <t>5AD</t>
  </si>
  <si>
    <t>AUSTRALIAN DOLLARS PREM QUOTED EURO WEEK 5</t>
  </si>
  <si>
    <t>5BP</t>
  </si>
  <si>
    <t>BRITISH POUNDS PREM QUOTED EURO WEEK 5</t>
  </si>
  <si>
    <t>5CD</t>
  </si>
  <si>
    <t>CANADIAN DOLLARS PREM QUOTED EURO WEEK 5</t>
  </si>
  <si>
    <t>5EU</t>
  </si>
  <si>
    <t>EURO PREM QUOTED EURO WEEK 5</t>
  </si>
  <si>
    <t>5JY</t>
  </si>
  <si>
    <t>JAPANESE YEN PREM QUOTED EURO WEEK 5</t>
  </si>
  <si>
    <t>5SW</t>
  </si>
  <si>
    <t>SWISS FRANCS PREM QUOTED EURO WEEK 5</t>
  </si>
  <si>
    <t>AD</t>
  </si>
  <si>
    <t>AUSTRALIAN DOLLARS</t>
  </si>
  <si>
    <t>ADU</t>
  </si>
  <si>
    <t>AUSTRALIAN DOLLARS PREM QUOTED EUROPEAN</t>
  </si>
  <si>
    <t>BP</t>
  </si>
  <si>
    <t>BRITISH POUNDS</t>
  </si>
  <si>
    <t>BR</t>
  </si>
  <si>
    <t>BRAZILIAN REALS</t>
  </si>
  <si>
    <t>BTC</t>
  </si>
  <si>
    <t>CME BITCOIN FUTURES</t>
  </si>
  <si>
    <t>BY</t>
  </si>
  <si>
    <t>British Pound/Japanese Yen Futures</t>
  </si>
  <si>
    <t>CA</t>
  </si>
  <si>
    <t>EURO / AUSTRALIAN DOLLAR</t>
  </si>
  <si>
    <t>CAU</t>
  </si>
  <si>
    <t>CANADIAN DOLLARS PREM QUOTED EUROPEAN</t>
  </si>
  <si>
    <t>CANADIAN DOLLARS</t>
  </si>
  <si>
    <t>CHU</t>
  </si>
  <si>
    <t>SWISS FRANC/ US DOLLARS PREM QUOTED EUROPEAN</t>
  </si>
  <si>
    <t>CNH</t>
  </si>
  <si>
    <t>USD/CNH FUTURES</t>
  </si>
  <si>
    <t>CRUDE PALM OIL FUTURES</t>
  </si>
  <si>
    <t>DA</t>
  </si>
  <si>
    <t>CLASS III MILK</t>
  </si>
  <si>
    <t>DK</t>
  </si>
  <si>
    <t>CLASS IV MILK</t>
  </si>
  <si>
    <t>DY</t>
  </si>
  <si>
    <t>DRY WHEY</t>
  </si>
  <si>
    <t>E1A</t>
  </si>
  <si>
    <t>E-MINI S&amp;P 500 MONDAY WEEKLY OPTIONS WK1</t>
  </si>
  <si>
    <t>E1C</t>
  </si>
  <si>
    <t>E-MINI S&amp;P 500 WEDNESDAY WEEKLY OPTIONS WK1</t>
  </si>
  <si>
    <t>E2A</t>
  </si>
  <si>
    <t>E-MINI S&amp;P 500 MONDAY WEEKLY OPTIONS WK2</t>
  </si>
  <si>
    <t>E2C</t>
  </si>
  <si>
    <t>E-MINI S&amp;P 500 WEDNESDAY WEEKLY OPTIONS WK2</t>
  </si>
  <si>
    <t>E3A</t>
  </si>
  <si>
    <t>E-MINI S&amp;P 500 MONDAY WEEKLY OPTIONS WK3</t>
  </si>
  <si>
    <t>E3C</t>
  </si>
  <si>
    <t>E-MINI S&amp;P 500 WEDNESDAY WEEKLY OPTIONS WK3</t>
  </si>
  <si>
    <t>E4A</t>
  </si>
  <si>
    <t>E-MINI S&amp;P 500 MONDAY WEEKLY OPTIONS WK4</t>
  </si>
  <si>
    <t>E4C</t>
  </si>
  <si>
    <t>E-MINI S&amp;P 500 WEDNESDAY WEEKLY OPTIONS WK4</t>
  </si>
  <si>
    <t>E5A</t>
  </si>
  <si>
    <t>E-MINI S&amp;P 500 MONDAY WEEKLY OPTIONS WK5</t>
  </si>
  <si>
    <t>E5C</t>
  </si>
  <si>
    <t>E-MINI S&amp;P 500 WEDNESDAY WEEKLY OPTIONS WK5</t>
  </si>
  <si>
    <t>E7</t>
  </si>
  <si>
    <t>CME E-MINI EURO FX FUTURES</t>
  </si>
  <si>
    <t>E-MINI S&amp;P</t>
  </si>
  <si>
    <t>E-MINI S&amp;P 500 STOCK INDEX</t>
  </si>
  <si>
    <t>ENY</t>
  </si>
  <si>
    <t>E-MINI NIKKEI 225</t>
  </si>
  <si>
    <t>ETH</t>
  </si>
  <si>
    <t>ETHER FUTURES</t>
  </si>
  <si>
    <t>EU</t>
  </si>
  <si>
    <t>EURO</t>
  </si>
  <si>
    <t>EUROJY</t>
  </si>
  <si>
    <t>EURO/JAPANESE YEN FUTURES</t>
  </si>
  <si>
    <t>EUU</t>
  </si>
  <si>
    <t>EURO PREM QUOTED EUROPEAN</t>
  </si>
  <si>
    <t>EW</t>
  </si>
  <si>
    <t>E-mini S&amp;P 500 EOM Options</t>
  </si>
  <si>
    <t>EW1</t>
  </si>
  <si>
    <t>E-MINI S&amp;P 500 WEEK 1</t>
  </si>
  <si>
    <t>EW2</t>
  </si>
  <si>
    <t>E-MINI S&amp;P 500 WEEK 2</t>
  </si>
  <si>
    <t>EW3</t>
  </si>
  <si>
    <t>E-MINI S&amp;P 500 WEEK 3</t>
  </si>
  <si>
    <t>EW4</t>
  </si>
  <si>
    <t>E-MINI S&amp;P 500 WEEK 4</t>
  </si>
  <si>
    <t>EX</t>
  </si>
  <si>
    <t>EURO STOXX 50/ Micro E-Mini S&amp;P EOM</t>
  </si>
  <si>
    <t>FC</t>
  </si>
  <si>
    <t>FEEDER CATTLE</t>
  </si>
  <si>
    <t>FT5</t>
  </si>
  <si>
    <t>E-MINI FTSE CHINA 50 INDEX FUTURES</t>
  </si>
  <si>
    <t>GBU</t>
  </si>
  <si>
    <t>BRITISH POUNDS PREM QUOTED EUROPEAN</t>
  </si>
  <si>
    <t>J7</t>
  </si>
  <si>
    <t>CME E-MINI JAPANESE YEN FUTURES</t>
  </si>
  <si>
    <t>JPU</t>
  </si>
  <si>
    <t>JAPANESE YEN PREM QUOTED EUROPEAN</t>
  </si>
  <si>
    <t>JY</t>
  </si>
  <si>
    <t>JAPANESE YEN</t>
  </si>
  <si>
    <t>LC</t>
  </si>
  <si>
    <t>LIVE CATTLE (LBS)</t>
  </si>
  <si>
    <t>LH</t>
  </si>
  <si>
    <t>LEAN HOGS (LBS)</t>
  </si>
  <si>
    <t>M2K</t>
  </si>
  <si>
    <t>Micro E-mini Russell 2000 Index Futures</t>
  </si>
  <si>
    <t>MAD</t>
  </si>
  <si>
    <t>E-MICRO AD</t>
  </si>
  <si>
    <t>MBP</t>
  </si>
  <si>
    <t>E-MICRO BP</t>
  </si>
  <si>
    <t>ME</t>
  </si>
  <si>
    <t>E-MINI S&amp;P MIDCAP 400</t>
  </si>
  <si>
    <t>MES</t>
  </si>
  <si>
    <t>Micro E-mini S&amp;P 500 Index Futures</t>
  </si>
  <si>
    <t>MEU</t>
  </si>
  <si>
    <t>E-MICRO EUR/USD</t>
  </si>
  <si>
    <t>MICRO CD</t>
  </si>
  <si>
    <t>E-MICRO CAD/USD</t>
  </si>
  <si>
    <t>MICRO JY</t>
  </si>
  <si>
    <t>E-MICRO JPY/USD</t>
  </si>
  <si>
    <t>MIR</t>
  </si>
  <si>
    <t>E-MICRO INR/USD</t>
  </si>
  <si>
    <t>MNH</t>
  </si>
  <si>
    <t>E-MICRO USD/CNH FUTURES</t>
  </si>
  <si>
    <t>MNQ</t>
  </si>
  <si>
    <t>Micro E-mini Nasdaq-100 Index Futures</t>
  </si>
  <si>
    <t>MQE</t>
  </si>
  <si>
    <t>Micro E-Mini Nasdaq EOM</t>
  </si>
  <si>
    <t>MSF</t>
  </si>
  <si>
    <t>E-Micro Swiss Franc/Amercian Dollar</t>
  </si>
  <si>
    <t>MXP</t>
  </si>
  <si>
    <t>MEXICAN PESO</t>
  </si>
  <si>
    <t>NL</t>
  </si>
  <si>
    <t>LUMBER (BOARD FT)</t>
  </si>
  <si>
    <t>NOK</t>
  </si>
  <si>
    <t>Norwegian Krone Futures</t>
  </si>
  <si>
    <t>NQ</t>
  </si>
  <si>
    <t>MINI-NASDAQ</t>
  </si>
  <si>
    <t>NZD</t>
  </si>
  <si>
    <t>NEW ZEALAND DOLLARS</t>
  </si>
  <si>
    <t>QN1</t>
  </si>
  <si>
    <t>E-mini Nasdaq-100 Weekly Options - Week 1</t>
  </si>
  <si>
    <t>QN2</t>
  </si>
  <si>
    <t>E-mini Nasdaq-100 Weekly Options - Week 2</t>
  </si>
  <si>
    <t>QN3</t>
  </si>
  <si>
    <t>E-mini Nasdaq-100 Weekly Options - Week 3</t>
  </si>
  <si>
    <t>QN4</t>
  </si>
  <si>
    <t>E-mini Nasdaq-100 Weekly Options - Week 4</t>
  </si>
  <si>
    <t>QNE</t>
  </si>
  <si>
    <t>E-mini Nasdaq-100 End-of-Month</t>
  </si>
  <si>
    <t>RA</t>
  </si>
  <si>
    <t>SOUTH AFRICAN RAND FUTURES</t>
  </si>
  <si>
    <t>RF</t>
  </si>
  <si>
    <t>EUR/CHF FUTURES</t>
  </si>
  <si>
    <t>RP</t>
  </si>
  <si>
    <t>EURO FX/BP</t>
  </si>
  <si>
    <t>RTY</t>
  </si>
  <si>
    <t>E-MINI RUSSELL 2000 INDEX FUTURES</t>
  </si>
  <si>
    <t>RU</t>
  </si>
  <si>
    <t>RUSSIAN RUBLE FUTURES</t>
  </si>
  <si>
    <t>SE</t>
  </si>
  <si>
    <t>SWEDISH KRONA FUTURES</t>
  </si>
  <si>
    <t>SIR</t>
  </si>
  <si>
    <t>STANDARD INR/USD</t>
  </si>
  <si>
    <t>SP</t>
  </si>
  <si>
    <t>SW</t>
  </si>
  <si>
    <t>SWISS FRANCS</t>
  </si>
  <si>
    <t>TPY</t>
  </si>
  <si>
    <t>CME TOPIX FUTURES - YEN DENOMINATED</t>
  </si>
  <si>
    <t>XAF</t>
  </si>
  <si>
    <t>E-mini Financial Select Sector</t>
  </si>
  <si>
    <t>XAV</t>
  </si>
  <si>
    <t>E-mini Health Care Select Sector Futures</t>
  </si>
  <si>
    <t>ALI</t>
  </si>
  <si>
    <t>METALS</t>
  </si>
  <si>
    <t>ALUMINUM</t>
  </si>
  <si>
    <t>GD</t>
  </si>
  <si>
    <t>GOLD (TROY OZ)</t>
  </si>
  <si>
    <t>HGCP</t>
  </si>
  <si>
    <t>HIGH GRADE COPPER</t>
  </si>
  <si>
    <t>MGC</t>
  </si>
  <si>
    <t>E-micro Gold Futures</t>
  </si>
  <si>
    <t>OG1</t>
  </si>
  <si>
    <t>Gold Weekly Options - Week 1</t>
  </si>
  <si>
    <t>OG2</t>
  </si>
  <si>
    <t>Gold Weekly Options - Week 2</t>
  </si>
  <si>
    <t>OG3</t>
  </si>
  <si>
    <t>Gold Weekly Options - Week 3</t>
  </si>
  <si>
    <t>OG4</t>
  </si>
  <si>
    <t>Gold Weekly Options - Week 4</t>
  </si>
  <si>
    <t>OG5</t>
  </si>
  <si>
    <t>Gold Weekly Options - Week 5</t>
  </si>
  <si>
    <t>QC</t>
  </si>
  <si>
    <t>E-Mini Copper Futures</t>
  </si>
  <si>
    <t>COMEX Miny Silver Futures</t>
  </si>
  <si>
    <t>QO</t>
  </si>
  <si>
    <t>COMEX Miny Gold Futures</t>
  </si>
  <si>
    <t>SGC</t>
  </si>
  <si>
    <t>Shanghai Gold (CNH) Futures</t>
  </si>
  <si>
    <t>SGU</t>
  </si>
  <si>
    <t>Shanghai Gold (USD) Futures</t>
  </si>
  <si>
    <t>SIL</t>
  </si>
  <si>
    <t>1000-oz SILVER</t>
  </si>
  <si>
    <t>SILVER (TROY OZ)</t>
  </si>
  <si>
    <t>DCE</t>
  </si>
  <si>
    <t>I</t>
  </si>
  <si>
    <t>IRON ORE</t>
  </si>
  <si>
    <t>P</t>
  </si>
  <si>
    <t>DGCX</t>
  </si>
  <si>
    <t>DAUD</t>
  </si>
  <si>
    <t>AUSTRALIAN DOLLAR - US DOLLAR FX FUTURES</t>
  </si>
  <si>
    <t>DCAD</t>
  </si>
  <si>
    <t>CANADIAN DOLLAR - US DOLLAR FX FUTURES</t>
  </si>
  <si>
    <t>DCHF</t>
  </si>
  <si>
    <t>SWISS FRANC - US DOLLAR FX FUTURES</t>
  </si>
  <si>
    <t>DEUR</t>
  </si>
  <si>
    <t>EURO - DOLLAR FX FUTURES</t>
  </si>
  <si>
    <t>DG</t>
  </si>
  <si>
    <t>DGCX GOLD</t>
  </si>
  <si>
    <t>DGBP</t>
  </si>
  <si>
    <t>DIG</t>
  </si>
  <si>
    <t>INDIA GOLD QUANTO</t>
  </si>
  <si>
    <t>DINR</t>
  </si>
  <si>
    <t>INDIAN RUPEE</t>
  </si>
  <si>
    <t>DINRI</t>
  </si>
  <si>
    <t>INDIAN RUPEE QUANTO</t>
  </si>
  <si>
    <t>DINRM</t>
  </si>
  <si>
    <t>MINI INDIAN RUPEE</t>
  </si>
  <si>
    <t>DJPY</t>
  </si>
  <si>
    <t>JAPANESE YEN - DOLLAR FX FUTURES</t>
  </si>
  <si>
    <t>DS</t>
  </si>
  <si>
    <t>SILVER FUTURES</t>
  </si>
  <si>
    <t>DME</t>
  </si>
  <si>
    <t>DCD</t>
  </si>
  <si>
    <t>ENERGY</t>
  </si>
  <si>
    <t>DUBAI CRUDE OIL (PLATTS) FUTURES</t>
  </si>
  <si>
    <t>OQD</t>
  </si>
  <si>
    <t>OMAN CRUDE OIL</t>
  </si>
  <si>
    <t>ENPAR</t>
  </si>
  <si>
    <t>CAC40</t>
  </si>
  <si>
    <t>EBM</t>
  </si>
  <si>
    <t>MILLING WHEAT</t>
  </si>
  <si>
    <t>ECO</t>
  </si>
  <si>
    <t>RAPESEED</t>
  </si>
  <si>
    <t>EUREX</t>
  </si>
  <si>
    <t>EB</t>
  </si>
  <si>
    <t>EURO BUND</t>
  </si>
  <si>
    <t>F2MX</t>
  </si>
  <si>
    <t>MDAX</t>
  </si>
  <si>
    <t>FBON</t>
  </si>
  <si>
    <t>EURO-BONO FUTURES</t>
  </si>
  <si>
    <t>FBTP</t>
  </si>
  <si>
    <t>LONG TERM EURO BTP</t>
  </si>
  <si>
    <t>FBTS</t>
  </si>
  <si>
    <t>SHORT-TERM EURO-BTP FUTURES</t>
  </si>
  <si>
    <t>FDAX</t>
  </si>
  <si>
    <t>FDXM</t>
  </si>
  <si>
    <t>MINI-DAX</t>
  </si>
  <si>
    <t>FESX</t>
  </si>
  <si>
    <t>DJ Euro STOXX 50</t>
  </si>
  <si>
    <t>FEXD</t>
  </si>
  <si>
    <t>EURO STOXX 50 INDEX DIVIDEND FUTURES</t>
  </si>
  <si>
    <t>FFOX</t>
  </si>
  <si>
    <t>OMXH25 FINNISH EQUITY INDEX</t>
  </si>
  <si>
    <t>FGBM</t>
  </si>
  <si>
    <t>EURO BOBL</t>
  </si>
  <si>
    <t>FGBS</t>
  </si>
  <si>
    <t>EURO SCHATZ</t>
  </si>
  <si>
    <t>FGBX</t>
  </si>
  <si>
    <t>Euro-Buxl Futures</t>
  </si>
  <si>
    <t>FMCN</t>
  </si>
  <si>
    <t>MSCI China Free Index Futures</t>
  </si>
  <si>
    <t>FOAT</t>
  </si>
  <si>
    <t>EURO OAT</t>
  </si>
  <si>
    <t>FSTB</t>
  </si>
  <si>
    <t>Euro STOXX 600 Bank Futures</t>
  </si>
  <si>
    <t>FSTX</t>
  </si>
  <si>
    <t>DJ STOXX 50</t>
  </si>
  <si>
    <t>FTDX</t>
  </si>
  <si>
    <t>TecDAX</t>
  </si>
  <si>
    <t>FVS</t>
  </si>
  <si>
    <t>VSTOXX MINI FUTURES</t>
  </si>
  <si>
    <t>SMI</t>
  </si>
  <si>
    <t>FX</t>
  </si>
  <si>
    <t>OPT AUD/JPY</t>
  </si>
  <si>
    <t>FX OPTIONS AUD/JPY</t>
  </si>
  <si>
    <t>OPT AUD/SGD</t>
  </si>
  <si>
    <t>FX OPTIONS AUD/SGD</t>
  </si>
  <si>
    <t>OPT AUD/USD</t>
  </si>
  <si>
    <t>FX OPTIONS AUD/USD</t>
  </si>
  <si>
    <t>OPT EUR/USD</t>
  </si>
  <si>
    <t>FX OPTIONS EUR/USD</t>
  </si>
  <si>
    <t>OPT GBP/USD</t>
  </si>
  <si>
    <t>FX OPTIONS GBP/USD</t>
  </si>
  <si>
    <t>OPT GOLD</t>
  </si>
  <si>
    <t>FX OPTIONS GOLD</t>
  </si>
  <si>
    <t>OPT SILVER</t>
  </si>
  <si>
    <t>FX OPTIONS SILVER</t>
  </si>
  <si>
    <t>OPT USD/JPY</t>
  </si>
  <si>
    <t>FX OPTIONS USD/JPY</t>
  </si>
  <si>
    <t>OPT USD/SGD</t>
  </si>
  <si>
    <t>FX OPTIONS USD/SGD</t>
  </si>
  <si>
    <t>HKFE</t>
  </si>
  <si>
    <t>AUD/CNH FUTURES</t>
  </si>
  <si>
    <t>CEU</t>
  </si>
  <si>
    <t>EUR/CNH FUTURES</t>
  </si>
  <si>
    <t>CHH</t>
  </si>
  <si>
    <t>CES CHINA 120 INDEX</t>
  </si>
  <si>
    <t>CIN</t>
  </si>
  <si>
    <t>INR/CNH Futures</t>
  </si>
  <si>
    <t>CJP</t>
  </si>
  <si>
    <t>JPY/CNH FUTURES</t>
  </si>
  <si>
    <t>DHH</t>
  </si>
  <si>
    <t>HSCEI DIVIDEND POINT INDEX</t>
  </si>
  <si>
    <t>DHS</t>
  </si>
  <si>
    <t>HSI DIVIDEND POINT INDEX</t>
  </si>
  <si>
    <t>FEM</t>
  </si>
  <si>
    <t>TSI IRON ORE FINES 62% FE CFR CHINA INDEX - MONTHLY</t>
  </si>
  <si>
    <t>FEQ</t>
  </si>
  <si>
    <t>TSI IRON ORE FINES 62% FE CFR CHINA INDEX - QUARTERLY</t>
  </si>
  <si>
    <t>GDR</t>
  </si>
  <si>
    <t>CNH GOLD FUTURES</t>
  </si>
  <si>
    <t>GDU</t>
  </si>
  <si>
    <t>USD GOLD FUTURES</t>
  </si>
  <si>
    <t>HCEI</t>
  </si>
  <si>
    <t>H-SHARES INDEX FUTURES</t>
  </si>
  <si>
    <t>HS</t>
  </si>
  <si>
    <t>HANG SENG INDEX</t>
  </si>
  <si>
    <t>HTI</t>
  </si>
  <si>
    <t>Hang Seng TECH Index</t>
  </si>
  <si>
    <t>LRA</t>
  </si>
  <si>
    <t>LONDON ALUMINIUM MINI FUTURES</t>
  </si>
  <si>
    <t>LRC</t>
  </si>
  <si>
    <t>LONDON COPPER MINI FUTURES</t>
  </si>
  <si>
    <t>LRN</t>
  </si>
  <si>
    <t>LONDON NICKEL MINI FUTURES</t>
  </si>
  <si>
    <t>LRP</t>
  </si>
  <si>
    <t>LONDON LEAD MINI FUTURES</t>
  </si>
  <si>
    <t>LRS</t>
  </si>
  <si>
    <t>LONDON TIN MINI FUTURES</t>
  </si>
  <si>
    <t>LRZ</t>
  </si>
  <si>
    <t>LONDON ZINC MINI FUTURES</t>
  </si>
  <si>
    <t>LUA</t>
  </si>
  <si>
    <t>USD London Aluminium Mini</t>
  </si>
  <si>
    <t>LUC</t>
  </si>
  <si>
    <t>USD London Copper Mini</t>
  </si>
  <si>
    <t>LUN</t>
  </si>
  <si>
    <t>USD London Nickel Mini</t>
  </si>
  <si>
    <t>LUP</t>
  </si>
  <si>
    <t>USD London Lead Mini</t>
  </si>
  <si>
    <t>LUS</t>
  </si>
  <si>
    <t>USD London Tin Mini</t>
  </si>
  <si>
    <t>LUZ</t>
  </si>
  <si>
    <t>USD London Zinc Mini</t>
  </si>
  <si>
    <t>MCF</t>
  </si>
  <si>
    <t>MSCI CHINA FREE (USD) INDEX FUTURES</t>
  </si>
  <si>
    <t>MCH</t>
  </si>
  <si>
    <t>MINI H-SHARE INDEX</t>
  </si>
  <si>
    <t>MINI HANG SENG</t>
  </si>
  <si>
    <t>MID</t>
  </si>
  <si>
    <t>MSCI Indonesia Index</t>
  </si>
  <si>
    <t>MSG</t>
  </si>
  <si>
    <t>MSCI Singapore Free Index Futures</t>
  </si>
  <si>
    <t>MTW</t>
  </si>
  <si>
    <t>MSCI Taiwan Index Futures</t>
  </si>
  <si>
    <t>TWP</t>
  </si>
  <si>
    <t>UCN</t>
  </si>
  <si>
    <t>CNH/USD FUTURES</t>
  </si>
  <si>
    <t>UIN</t>
  </si>
  <si>
    <t>INR/USD Futures</t>
  </si>
  <si>
    <t>VHS</t>
  </si>
  <si>
    <t>HSI Volatility Index</t>
  </si>
  <si>
    <t>HNX</t>
  </si>
  <si>
    <t>VN30</t>
  </si>
  <si>
    <t>VN30 index future</t>
  </si>
  <si>
    <t>ICE US</t>
  </si>
  <si>
    <t>MFS</t>
  </si>
  <si>
    <t>MSCI EAFE INDEX</t>
  </si>
  <si>
    <t>MME</t>
  </si>
  <si>
    <t>MSCI EMERGING MARKETS INDEX</t>
  </si>
  <si>
    <t>YG</t>
  </si>
  <si>
    <t>MINI-SIZED GOLD</t>
  </si>
  <si>
    <t>YI</t>
  </si>
  <si>
    <t>MINI-SIZED SILVER</t>
  </si>
  <si>
    <t>ZG</t>
  </si>
  <si>
    <t>100 OZ. GOLD</t>
  </si>
  <si>
    <t>ZI</t>
  </si>
  <si>
    <t>5000 OZ. SILVER</t>
  </si>
  <si>
    <t>BMC</t>
  </si>
  <si>
    <t>Bakkt ™ Bitcoin (USD) Cash Settled Monthly Futures</t>
  </si>
  <si>
    <t>SGD</t>
  </si>
  <si>
    <t>Mini US Dollar/Singapore Dollar Futures</t>
  </si>
  <si>
    <t>INE</t>
  </si>
  <si>
    <t>BC</t>
  </si>
  <si>
    <t>Copper Cathode Futures INE</t>
  </si>
  <si>
    <t>LU</t>
  </si>
  <si>
    <t>Low Sulfur Fuel Oil</t>
  </si>
  <si>
    <t>NR</t>
  </si>
  <si>
    <t>Standard TSR 20 Futures Contract</t>
  </si>
  <si>
    <t>SC</t>
  </si>
  <si>
    <t>Medium Sour Crude Oil</t>
  </si>
  <si>
    <t>IPE</t>
  </si>
  <si>
    <t>AFE</t>
  </si>
  <si>
    <t>Propane, Argus Far East Index (AFEI) Future</t>
  </si>
  <si>
    <t>AFK</t>
  </si>
  <si>
    <t>PROPANE ARGUS SAUDI MINI FUTURES</t>
  </si>
  <si>
    <t>AFR</t>
  </si>
  <si>
    <t>RICHARDS BAY COAL</t>
  </si>
  <si>
    <t>ATW</t>
  </si>
  <si>
    <t>ROTTERDAM COAL</t>
  </si>
  <si>
    <t>BRENT CRUDE</t>
  </si>
  <si>
    <t>BOD</t>
  </si>
  <si>
    <t>BRENT 1ST LINE VS DUBAI 1ST LINE FUTURE</t>
  </si>
  <si>
    <t>DBI</t>
  </si>
  <si>
    <t>DUBAI 1ST LINE FUTURE</t>
  </si>
  <si>
    <t>EUA</t>
  </si>
  <si>
    <t>EUA Futures</t>
  </si>
  <si>
    <t>GASOIL</t>
  </si>
  <si>
    <t>GST</t>
  </si>
  <si>
    <t>GASOIL OUTRIGHT - SINGAPORE GASOIL 10PPM (PLATTS) FUTURE</t>
  </si>
  <si>
    <t>GWM</t>
  </si>
  <si>
    <t>ELECTRICITY</t>
  </si>
  <si>
    <t>UK NATURAL GAS FUTURES</t>
  </si>
  <si>
    <t>BRENT 1ST LINE FUTURE</t>
  </si>
  <si>
    <t>MF4</t>
  </si>
  <si>
    <t>Fuel Oil Outright - Marine Fuel 0.5% FOB Singapore (Platts) Future</t>
  </si>
  <si>
    <t>N</t>
  </si>
  <si>
    <t>ICE NYH (RBOB) GASOLINE FUTURES</t>
  </si>
  <si>
    <t>NCF</t>
  </si>
  <si>
    <t>Newcastle Coal</t>
  </si>
  <si>
    <t>NJC</t>
  </si>
  <si>
    <t>NAPHTHA C+F JAPAN</t>
  </si>
  <si>
    <t>NJM</t>
  </si>
  <si>
    <t>NAPHTHA C+F JAPAN MINI</t>
  </si>
  <si>
    <t>NPT</t>
  </si>
  <si>
    <t>SINGAPORE NAPHTHA</t>
  </si>
  <si>
    <t>IPE Heating Oil Futures</t>
  </si>
  <si>
    <t>PDB</t>
  </si>
  <si>
    <t>DATED BRENT FUTURE</t>
  </si>
  <si>
    <t>SCP</t>
  </si>
  <si>
    <t>PROPANE, ARGUS SAUDI CP, FIXED PRICE FUTURE</t>
  </si>
  <si>
    <t>SMF</t>
  </si>
  <si>
    <t>Singapore Mogas 95 Unleaded (Platts) swap</t>
  </si>
  <si>
    <t>SMT</t>
  </si>
  <si>
    <t>Gasoline - Singapore Mogas 92 Unleaded (Platts) Future</t>
  </si>
  <si>
    <t>SRS</t>
  </si>
  <si>
    <t>ICE SINGAPORE JET KEROSENE FUTURE</t>
  </si>
  <si>
    <t>SVW</t>
  </si>
  <si>
    <t>JET FUEL DIFF SINGAPORE JET KERO VS SINGAPORE GASOIL</t>
  </si>
  <si>
    <t>SWS</t>
  </si>
  <si>
    <t>Singapore Gasoil swap</t>
  </si>
  <si>
    <t>SWW</t>
  </si>
  <si>
    <t>ICE GASOIL ARB SINGAPORE GASOIL vs LOW SULPHUR GASOIL 1st LINE FUTURE</t>
  </si>
  <si>
    <t>SYS</t>
  </si>
  <si>
    <t>FUEL OIL 380 SINGAPORE SWAP</t>
  </si>
  <si>
    <t>SYY</t>
  </si>
  <si>
    <t>FUEL OIL MINI 380 CST SINGAPORE FUTURES</t>
  </si>
  <si>
    <t>SZS</t>
  </si>
  <si>
    <t>FUEL OIL 180 SINGAPORE SWAP</t>
  </si>
  <si>
    <t>SZZ</t>
  </si>
  <si>
    <t>FUEL OIL MINI 180 CST SINGAPORE FUTURES</t>
  </si>
  <si>
    <t>TDL</t>
  </si>
  <si>
    <t>TD3C FFA MIDDLE EAST GULF TO CHINA (BALTIC) FUTURE</t>
  </si>
  <si>
    <t>UCB</t>
  </si>
  <si>
    <t>Premium Unleaded Gasoline 10ppm FOB Med Cargoes swap</t>
  </si>
  <si>
    <t>WAT</t>
  </si>
  <si>
    <t>LPG (BLGP) FFA Middle East Gulf to East 44,000Mts (Baltic) Future</t>
  </si>
  <si>
    <t>WTI</t>
  </si>
  <si>
    <t>WTI LIGHT SWEET CRUDE</t>
  </si>
  <si>
    <t>KCBT</t>
  </si>
  <si>
    <t>KW</t>
  </si>
  <si>
    <t>HARD RED WINTER WHEAT</t>
  </si>
  <si>
    <t>CRUDE PALM OIL</t>
  </si>
  <si>
    <t>KLOFFE</t>
  </si>
  <si>
    <t>KLI</t>
  </si>
  <si>
    <t>K.L. COMPOSITE INDEX FUTURES</t>
  </si>
  <si>
    <t>KSE</t>
  </si>
  <si>
    <t>KQ</t>
  </si>
  <si>
    <t>KOSDAQ150 INDEX</t>
  </si>
  <si>
    <t>KRWUSD</t>
  </si>
  <si>
    <t>KRX US DOLLAR</t>
  </si>
  <si>
    <t>KS</t>
  </si>
  <si>
    <t>KOSPI 200</t>
  </si>
  <si>
    <t>KTB10</t>
  </si>
  <si>
    <t>10-YEAR KOREA TREASURY BOND</t>
  </si>
  <si>
    <t>KTB3</t>
  </si>
  <si>
    <t>3 YEAR KOREA TREASURY BOND</t>
  </si>
  <si>
    <t>MKS</t>
  </si>
  <si>
    <t>MINI KOSPI 200</t>
  </si>
  <si>
    <t>LIFFE</t>
  </si>
  <si>
    <t>CO</t>
  </si>
  <si>
    <t>LONDON COCOA (METRIC TON)</t>
  </si>
  <si>
    <t>ES</t>
  </si>
  <si>
    <t>LIFFE THREE MONTH EUROSWISS</t>
  </si>
  <si>
    <t>FEI</t>
  </si>
  <si>
    <t>LIFFE 3 MTH EURIBOR</t>
  </si>
  <si>
    <t>FT</t>
  </si>
  <si>
    <t>FTSE 100 STOCK INDEX</t>
  </si>
  <si>
    <t>GL</t>
  </si>
  <si>
    <t>20 YR GILT INTEREST RATE</t>
  </si>
  <si>
    <t>LW</t>
  </si>
  <si>
    <t>FEED WHEAT FUTURES</t>
  </si>
  <si>
    <t>RC</t>
  </si>
  <si>
    <t>ROBUSTA COFFEE FUTURES</t>
  </si>
  <si>
    <t>SS</t>
  </si>
  <si>
    <t>3 MTH SHORT STERLING INT RATE</t>
  </si>
  <si>
    <t>SU</t>
  </si>
  <si>
    <t>LONDON NO 6 SUGAR</t>
  </si>
  <si>
    <t>XZ</t>
  </si>
  <si>
    <t>FTSE 100 DIVIDEND INDEX FUTURE</t>
  </si>
  <si>
    <t>HC</t>
  </si>
  <si>
    <t>LME STEEL HRC FOB CHINA</t>
  </si>
  <si>
    <t>LME STEEL SCRAP</t>
  </si>
  <si>
    <t>SR</t>
  </si>
  <si>
    <t>LME STEEL REBAR</t>
  </si>
  <si>
    <t>LME RELATED</t>
  </si>
  <si>
    <t>AL ALLOY</t>
  </si>
  <si>
    <t>ALUMINIUM ALLOY</t>
  </si>
  <si>
    <t>MGEX</t>
  </si>
  <si>
    <t>MWE</t>
  </si>
  <si>
    <t>HARD RED SPRING WHEAT FUTURES</t>
  </si>
  <si>
    <t>NYBOT</t>
  </si>
  <si>
    <t>BTM</t>
  </si>
  <si>
    <t>Bakkt ™ Bitcoin (USD) Physically Settled Monthly Futures</t>
  </si>
  <si>
    <t>COCOA</t>
  </si>
  <si>
    <t>CT</t>
  </si>
  <si>
    <t>COTTON NO 2 (LBS)</t>
  </si>
  <si>
    <t>DX</t>
  </si>
  <si>
    <t>U.S. DOLLAR INDEX FUTURES</t>
  </si>
  <si>
    <t>FNG</t>
  </si>
  <si>
    <t>Micro FANG+ Index Futures</t>
  </si>
  <si>
    <t>COFFEE</t>
  </si>
  <si>
    <t>OJ</t>
  </si>
  <si>
    <t>ORANGE JUICE (LBS)</t>
  </si>
  <si>
    <t>RS</t>
  </si>
  <si>
    <t>CANOLA</t>
  </si>
  <si>
    <t>SB</t>
  </si>
  <si>
    <t>SUGAR</t>
  </si>
  <si>
    <t>0F</t>
  </si>
  <si>
    <t>MINI SINGAPORE FUEL OIL 180cst (Platts) FUTURES</t>
  </si>
  <si>
    <t>3G</t>
  </si>
  <si>
    <t>Premium Unleaded Gasoline 10ppm FOB Med (Platts)</t>
  </si>
  <si>
    <t>9N</t>
  </si>
  <si>
    <t>ARGUS PROPANE (SAUDI ARAMCO) FUTURES</t>
  </si>
  <si>
    <t>ACM</t>
  </si>
  <si>
    <t>COAL (API 5) FOB NEWCASTLE (ARGUS/McCLOSKEY)</t>
  </si>
  <si>
    <t>ALW</t>
  </si>
  <si>
    <t>AUSTRALIAN COKING COAL (PLATTS) LOW VOL</t>
  </si>
  <si>
    <t>BRENT CRUDE OIL FINANCIAL FUTURES</t>
  </si>
  <si>
    <t>LIGHT SWEET CRUDE OIL (1000 BL)</t>
  </si>
  <si>
    <t>EVC</t>
  </si>
  <si>
    <t>SINGAPORE FUEL OIL 380 cst (Platts) vs. EUROPEAN 3.5% FUEL OIL BARGES FOB RDAM (Platts) FUTURES</t>
  </si>
  <si>
    <t>FO</t>
  </si>
  <si>
    <t>3.5% FUEL OIL BARGES FOB RDAM (Platts) CRACK SPREAD Futures</t>
  </si>
  <si>
    <t>HO</t>
  </si>
  <si>
    <t>HEATING OIL (1000 BARREL)</t>
  </si>
  <si>
    <t>JA</t>
  </si>
  <si>
    <t>JAPAN C&amp;F NAPHTHA (PLATTS) SWAP</t>
  </si>
  <si>
    <t>LN</t>
  </si>
  <si>
    <t>NATURAL GAS OPTIONS (EUROPEAN)</t>
  </si>
  <si>
    <t>MFF</t>
  </si>
  <si>
    <t>COAL (API4) FOB RICHARDS BAY (ARGUS-McCLOSKEY) FUTURES</t>
  </si>
  <si>
    <t>MINICRUDE</t>
  </si>
  <si>
    <t>MINI CRUDE OIL</t>
  </si>
  <si>
    <t>MINIHO</t>
  </si>
  <si>
    <t>MINI HEATING OIL</t>
  </si>
  <si>
    <t>MININATGS</t>
  </si>
  <si>
    <t>MINI NATURAL GAS</t>
  </si>
  <si>
    <t>MJN</t>
  </si>
  <si>
    <t>MINI JAPAN C&amp;F NAPHTHA (PLATTS) FUTURES</t>
  </si>
  <si>
    <t>MTF</t>
  </si>
  <si>
    <t>COAL (API2) CIF ARA (ARGUS-McCLOSKEY)</t>
  </si>
  <si>
    <t>MTS</t>
  </si>
  <si>
    <t>MINI SINGAPORE FUEL OIL 380 CST (PLATTS) FUTURES</t>
  </si>
  <si>
    <t>NATURAL GAS</t>
  </si>
  <si>
    <t>OD</t>
  </si>
  <si>
    <t>MINI EUROPEAN 3.5% FUEL OIL BARGES FOB RDAM (Platts) FUTURES</t>
  </si>
  <si>
    <t>PA</t>
  </si>
  <si>
    <t>PALLADIUM</t>
  </si>
  <si>
    <t>PL</t>
  </si>
  <si>
    <t>PLATINUM</t>
  </si>
  <si>
    <t>RB</t>
  </si>
  <si>
    <t>RBOB GASOLINE</t>
  </si>
  <si>
    <t>RK</t>
  </si>
  <si>
    <t>SINGAPORE JET KEROSENE (PLATTS) VS. GASOIL (PLATTS) FUTURES</t>
  </si>
  <si>
    <t>SINGAPORE 380cst FUEL OIL (PLATTS) SWAP FUTURES</t>
  </si>
  <si>
    <t>SGO</t>
  </si>
  <si>
    <t>Singapore Gasoil (Platts)</t>
  </si>
  <si>
    <t>SINGAPORE NAPHTHA (PLATTS) SWAP</t>
  </si>
  <si>
    <t>SSI</t>
  </si>
  <si>
    <t>COAL (API 8) CFR SOUTH CHINA (ARGUS/McCLOSKEY) FUTURES</t>
  </si>
  <si>
    <t>TIO</t>
  </si>
  <si>
    <t>IRON ORE 62% FE, CFR CHINA (TSI)</t>
  </si>
  <si>
    <t>UA</t>
  </si>
  <si>
    <t>SINGAPORE 180cst FUEL OIL SWAP FUTURES</t>
  </si>
  <si>
    <t>UV</t>
  </si>
  <si>
    <t>EUROPEAN 3.5% FUEL OIL BARGES FOB RDAM (Platts) FUTURES</t>
  </si>
  <si>
    <t>V0</t>
  </si>
  <si>
    <t>Singapore Mogas 95 Unleaded (Platts)</t>
  </si>
  <si>
    <t>OSE</t>
  </si>
  <si>
    <t>JAS</t>
  </si>
  <si>
    <t>TOKYO SOYBEAN</t>
  </si>
  <si>
    <t>JAU</t>
  </si>
  <si>
    <t>TOCOM GOLD</t>
  </si>
  <si>
    <t>JAUCFD</t>
  </si>
  <si>
    <t>TOCOM GOLD DAILY</t>
  </si>
  <si>
    <t>JCR</t>
  </si>
  <si>
    <t>TOKYO CORN</t>
  </si>
  <si>
    <t>JP400</t>
  </si>
  <si>
    <t>JPX-NIKKEI INDEX 400</t>
  </si>
  <si>
    <t>JPA</t>
  </si>
  <si>
    <t>TOCOM PALLADIUM</t>
  </si>
  <si>
    <t>JPL</t>
  </si>
  <si>
    <t>TOCOM PLATINIUM</t>
  </si>
  <si>
    <t>JPLCFD</t>
  </si>
  <si>
    <t>JRB</t>
  </si>
  <si>
    <t>TOKYO REDBEAN</t>
  </si>
  <si>
    <t>JRU</t>
  </si>
  <si>
    <t>TOCOM RUBBER</t>
  </si>
  <si>
    <t>JRV</t>
  </si>
  <si>
    <t>TOCOM TSR20 Rubber</t>
  </si>
  <si>
    <t>JSV</t>
  </si>
  <si>
    <t>TOCOM SILVER</t>
  </si>
  <si>
    <t>MINIJAU</t>
  </si>
  <si>
    <t>TOCOM MINI GOLD</t>
  </si>
  <si>
    <t>MINIJPL</t>
  </si>
  <si>
    <t>TOCOM MINI PLATINUM</t>
  </si>
  <si>
    <t>MININK</t>
  </si>
  <si>
    <t>NIKKEI 225 MINI</t>
  </si>
  <si>
    <t>NKVI</t>
  </si>
  <si>
    <t>Nikkei 225 VI Futures</t>
  </si>
  <si>
    <t>NKW1</t>
  </si>
  <si>
    <t>Nikkei225 Weekly Option - W1</t>
  </si>
  <si>
    <t>NKW3</t>
  </si>
  <si>
    <t>Nikkei225 Weekly Option - W3</t>
  </si>
  <si>
    <t>NKW4</t>
  </si>
  <si>
    <t>Nikkei225 Weekly Option - W4</t>
  </si>
  <si>
    <t>NKW5</t>
  </si>
  <si>
    <t>Nikkei225 Weekly Option - W5</t>
  </si>
  <si>
    <t>SFE</t>
  </si>
  <si>
    <t>AA</t>
  </si>
  <si>
    <t>S&amp;P/ASX 200 A-REIT Index Future</t>
  </si>
  <si>
    <t>AP</t>
  </si>
  <si>
    <t>SFE SPI 200 INDEX FUTURES</t>
  </si>
  <si>
    <t>IB</t>
  </si>
  <si>
    <t>ASX 30 DAY INTERBANK CASH RATE</t>
  </si>
  <si>
    <t>90 DAY BANK ACCEPTED BILLS FUTURES</t>
  </si>
  <si>
    <t>XT</t>
  </si>
  <si>
    <t>10 YEAR COMMONWEALTH TREASURY BOND FUTURES</t>
  </si>
  <si>
    <t>YT</t>
  </si>
  <si>
    <t>3 YEAR COMMONWEALTH TREASURY BOND FUTURES</t>
  </si>
  <si>
    <t>SGX TSI AUSTRALIAN PREMIUM COKING COAL SWAPS</t>
  </si>
  <si>
    <t>AJRT</t>
  </si>
  <si>
    <t>FTSE EPRA Nareit Asia ex Japan Index Futures</t>
  </si>
  <si>
    <t>SGX AUD/USD</t>
  </si>
  <si>
    <t>BENZENE SWAP</t>
  </si>
  <si>
    <t>BZN</t>
  </si>
  <si>
    <t>SGX BZ-Naphtha Spread Swap</t>
  </si>
  <si>
    <t>BZNF</t>
  </si>
  <si>
    <t>SGX BZ-Naphtha Spread Futures</t>
  </si>
  <si>
    <t>C7</t>
  </si>
  <si>
    <t>SGX BALTIC CAPESIZE ROUTE</t>
  </si>
  <si>
    <t>C7F</t>
  </si>
  <si>
    <t>SGX BALTIC CAPESIZE ROUTE FUTURES</t>
  </si>
  <si>
    <t>SGX TSI CHINA JM25 PREMIUM COKING COAL SWAPS</t>
  </si>
  <si>
    <t>XINHUA CHINA A50 INDEX FUTURES</t>
  </si>
  <si>
    <t>CW</t>
  </si>
  <si>
    <t>SGX Baltic Capesize Time Charter Average (5 Routes) FFA</t>
  </si>
  <si>
    <t>CWF</t>
  </si>
  <si>
    <t>SGX Baltic Capesize Time Charter Average (5 Routes) Futures</t>
  </si>
  <si>
    <t>EE</t>
  </si>
  <si>
    <t>SGX MONTHLY BASED LOAD ELECTRICITY</t>
  </si>
  <si>
    <t>EJP</t>
  </si>
  <si>
    <t>SGX FTSE Blossom Japan Index Futures</t>
  </si>
  <si>
    <t>EM</t>
  </si>
  <si>
    <t>SGX MSCI Emerging Markets (USD) Index Futures</t>
  </si>
  <si>
    <t>FCH</t>
  </si>
  <si>
    <t>SGX FTSE China H50 Index Futures</t>
  </si>
  <si>
    <t>FID</t>
  </si>
  <si>
    <t>SGX FTSE Indonesia Index Futures</t>
  </si>
  <si>
    <t>FMY</t>
  </si>
  <si>
    <t>SGX FTSE Malaysia Index Futures</t>
  </si>
  <si>
    <t>GASOIL SWAP</t>
  </si>
  <si>
    <t>IDR</t>
  </si>
  <si>
    <t>SGX IDR/USD FUTURES</t>
  </si>
  <si>
    <t>E-MICRO S&amp;P CNX NIFTY INDEX</t>
  </si>
  <si>
    <t>INR</t>
  </si>
  <si>
    <t>SGX USD/INR (USD) Futures</t>
  </si>
  <si>
    <t>STANDARD INDONESIA RUBBER 20</t>
  </si>
  <si>
    <t>KRW</t>
  </si>
  <si>
    <t>SGX KRW/USD (Full Sized) Futures</t>
  </si>
  <si>
    <t>LP</t>
  </si>
  <si>
    <t>SGX PLATTS IRON ORE CFR CHINA (LUMP PREMIUM) SWAP</t>
  </si>
  <si>
    <t>LPF</t>
  </si>
  <si>
    <t>SGX PLATTS IRON ORE CFR CHINA (LUMP PREMIUM) INDEX FUTURES</t>
  </si>
  <si>
    <t>LSF</t>
  </si>
  <si>
    <t>SGX Argus 0.5% Low Sulphur Fuel Oil Swap</t>
  </si>
  <si>
    <t>LSFF</t>
  </si>
  <si>
    <t>SGX Argus 0.5% Low Sulphur Fuel Oil Index Futures</t>
  </si>
  <si>
    <t>M42</t>
  </si>
  <si>
    <t>SGX IHS McCloskey M42 - Indonesian 4200kc GAR FOB Coal Swap</t>
  </si>
  <si>
    <t>M42F</t>
  </si>
  <si>
    <t>SGX IHS McCloskey M42 - Indonesian 4200kc GAR FOB Thermal Coal Futures</t>
  </si>
  <si>
    <t>M58</t>
  </si>
  <si>
    <t>SGX MB Iron Ore CFR China (58% Fe Fines) Swap</t>
  </si>
  <si>
    <t>M58F</t>
  </si>
  <si>
    <t>SGX MB Iron Ore CFR China (58% Fe Fines) Index Futures</t>
  </si>
  <si>
    <t>M65</t>
  </si>
  <si>
    <t>SGX MB Iron Ore CFR China (65% Fe Fines) Swap</t>
  </si>
  <si>
    <t>M65F</t>
  </si>
  <si>
    <t>SGX MB Iron Ore CFR China (65% Fe Fines) Index Futures</t>
  </si>
  <si>
    <t>MSCI INDIA INDEX</t>
  </si>
  <si>
    <t>MEG</t>
  </si>
  <si>
    <t>SGX ICIS MEG CFR CHINA SWAP</t>
  </si>
  <si>
    <t>MEGF</t>
  </si>
  <si>
    <t>SGX ICIS MEG CFR CHINA FUTURES</t>
  </si>
  <si>
    <t>MF5</t>
  </si>
  <si>
    <t>SGX Platts Marine Fuel 0.5% FOB Singapore Swap</t>
  </si>
  <si>
    <t>MF5F</t>
  </si>
  <si>
    <t>SGX Platts Marine Fuel 0.5% FOB Singapore Index Futures</t>
  </si>
  <si>
    <t>MYR</t>
  </si>
  <si>
    <t>SGX MYR/USD FUTURES</t>
  </si>
  <si>
    <t>MYS</t>
  </si>
  <si>
    <t>SGX MYR/SGD FUTURES</t>
  </si>
  <si>
    <t>NCH</t>
  </si>
  <si>
    <t>SGX MSCI CHINA FREE NET TOTAL RETURN USD INDEX FUTURES</t>
  </si>
  <si>
    <t>NIKKEI STOCK AVERAGE POINT INDEX</t>
  </si>
  <si>
    <t>NJF</t>
  </si>
  <si>
    <t>SGX Platts Naphtha CFR Japan Index Futures</t>
  </si>
  <si>
    <t>NMD</t>
  </si>
  <si>
    <t>SGX MSCI INDIA NET TOTAL RETURN USD INDEX FUTURES</t>
  </si>
  <si>
    <t>NSG</t>
  </si>
  <si>
    <t>SGX MSCI Singapore Free NTR (USD) Index Futures</t>
  </si>
  <si>
    <t>NTW</t>
  </si>
  <si>
    <t>SGX MSCI TAIWAN NET TOTAL RETURN USD INDEX FUTURES</t>
  </si>
  <si>
    <t>NVN</t>
  </si>
  <si>
    <t>SGX MSCI Vietnam Net Total Return (USD) Index Futures</t>
  </si>
  <si>
    <t>PHP</t>
  </si>
  <si>
    <t>SGX PHP/USD FUTURES</t>
  </si>
  <si>
    <t>PW</t>
  </si>
  <si>
    <t>SGX Baltic Panamax Time Charter Average (5 Routes) Swaps</t>
  </si>
  <si>
    <t>PWF</t>
  </si>
  <si>
    <t>SGX Baltic Panamax Time Charter Average (5 Routes) Futures</t>
  </si>
  <si>
    <t>PXN</t>
  </si>
  <si>
    <t>SGX PX-Naphtha Spread Swaps</t>
  </si>
  <si>
    <t>PXNF</t>
  </si>
  <si>
    <t>SGX PX-Naphtha Spread Futures</t>
  </si>
  <si>
    <t>SGX RSS3</t>
  </si>
  <si>
    <t>SMC</t>
  </si>
  <si>
    <t>SGX ICIS SM CFR CHINA SWAP</t>
  </si>
  <si>
    <t>SMCF</t>
  </si>
  <si>
    <t>SGX ICIS SM CFR CHINA FUTURES</t>
  </si>
  <si>
    <t>SND</t>
  </si>
  <si>
    <t>SGX USD/SGD (Full-Sized) Futures</t>
  </si>
  <si>
    <t>SRT</t>
  </si>
  <si>
    <t>iEdge S-Reit Leaders Index Futures</t>
  </si>
  <si>
    <t>SWISS FRANCS/ BALTIC SUPRAMAX TC BASKET 10 ROUTES</t>
  </si>
  <si>
    <t>SWF</t>
  </si>
  <si>
    <t>BALTIC SUPRAMAX TC AVG 10 ROUTES FUTURES</t>
  </si>
  <si>
    <t>T58</t>
  </si>
  <si>
    <t>SGX TSI Iron Ore CFR China (58% FE Fines) Swaps</t>
  </si>
  <si>
    <t>T58F</t>
  </si>
  <si>
    <t>SGX TSI Iron Ore CFR China (58% Fe Fines) Index Futures</t>
  </si>
  <si>
    <t>TSR20 FOB</t>
  </si>
  <si>
    <t>SGX THB/USD</t>
  </si>
  <si>
    <t>TWD</t>
  </si>
  <si>
    <t>SGX TWD/USD Futures (Full-Sized)</t>
  </si>
  <si>
    <t>TWN</t>
  </si>
  <si>
    <t>SGX FTSE Taiwan Index</t>
  </si>
  <si>
    <t>UCTM</t>
  </si>
  <si>
    <t>SGX FlexC USDCNH Futures</t>
  </si>
  <si>
    <t>SGX USD/SGD</t>
  </si>
  <si>
    <t>VN</t>
  </si>
  <si>
    <t>SGX MSCI Vietnam Index</t>
  </si>
  <si>
    <t>YARE</t>
  </si>
  <si>
    <t>Single Stock Futures</t>
  </si>
  <si>
    <t>AREIT Futures</t>
  </si>
  <si>
    <t>YCAP</t>
  </si>
  <si>
    <t>Capitaland Futures</t>
  </si>
  <si>
    <t>YCDD</t>
  </si>
  <si>
    <t>Comfortdelgro Futures</t>
  </si>
  <si>
    <t>YDBS</t>
  </si>
  <si>
    <t>DBS Futures</t>
  </si>
  <si>
    <t>YGEN</t>
  </si>
  <si>
    <t>Genting Futures</t>
  </si>
  <si>
    <t>YKEP</t>
  </si>
  <si>
    <t>Keppel Futures</t>
  </si>
  <si>
    <t>YOCB</t>
  </si>
  <si>
    <t>OCBC Futures</t>
  </si>
  <si>
    <t>YSTT</t>
  </si>
  <si>
    <t>Singtel Futures</t>
  </si>
  <si>
    <t>YTBE</t>
  </si>
  <si>
    <t>Thai Beverage Futures</t>
  </si>
  <si>
    <t>YTGL</t>
  </si>
  <si>
    <t>Top Glove Futures</t>
  </si>
  <si>
    <t>YUOB</t>
  </si>
  <si>
    <t>UOB Futures</t>
  </si>
  <si>
    <t>YWIL</t>
  </si>
  <si>
    <t>Wilmar Futures</t>
  </si>
  <si>
    <t>YYZJ</t>
  </si>
  <si>
    <t>Yangzijiang Shipbldg Futures</t>
  </si>
  <si>
    <t>ZACE</t>
  </si>
  <si>
    <t>AMBUJA CEMENTS FUTURES</t>
  </si>
  <si>
    <t>ZADS</t>
  </si>
  <si>
    <t>ADANI P &amp; S ECO ZONE FUTURES</t>
  </si>
  <si>
    <t>ZAPN</t>
  </si>
  <si>
    <t>ASIAN PAINTS FUTURES</t>
  </si>
  <si>
    <t>ZARB</t>
  </si>
  <si>
    <t>AUROBINDO PHARMA FUTURES</t>
  </si>
  <si>
    <t>ZAXS</t>
  </si>
  <si>
    <t>AXIS BANK FUTURES</t>
  </si>
  <si>
    <t>ZBAF</t>
  </si>
  <si>
    <t>BAJAJ FINANCE FUTURES</t>
  </si>
  <si>
    <t>ZBHA</t>
  </si>
  <si>
    <t>BHARTI AIRTEL FUTURES</t>
  </si>
  <si>
    <t>ZBHI</t>
  </si>
  <si>
    <t>BHARTI INFRATEL FUTURES</t>
  </si>
  <si>
    <t>ZBJA</t>
  </si>
  <si>
    <t>BAJAJ AUTO FUTURES</t>
  </si>
  <si>
    <t>ZBOS</t>
  </si>
  <si>
    <t>BOSCH FUTURES</t>
  </si>
  <si>
    <t>ZBPC</t>
  </si>
  <si>
    <t>BHARAT PETROLEUM CORP FUTURES</t>
  </si>
  <si>
    <t>ZCIP</t>
  </si>
  <si>
    <t>CIPLA LTD INDIA FUTURES</t>
  </si>
  <si>
    <t>ZCOA</t>
  </si>
  <si>
    <t>COAL INDIA FUTURES</t>
  </si>
  <si>
    <t>ZDRR</t>
  </si>
  <si>
    <t>DR REDDY'S LABORATORIES FUTURES</t>
  </si>
  <si>
    <t>ZEIM</t>
  </si>
  <si>
    <t>EICHER MOTORS FUTURES</t>
  </si>
  <si>
    <t>ZGAI</t>
  </si>
  <si>
    <t>GAIL INDIA FUTURES</t>
  </si>
  <si>
    <t>ZHCL</t>
  </si>
  <si>
    <t>HCL TECHNOLOGIES FUTURES</t>
  </si>
  <si>
    <t>ZHDB</t>
  </si>
  <si>
    <t>HDFC BANK FUTURES</t>
  </si>
  <si>
    <t>ZHDF</t>
  </si>
  <si>
    <t>HOUSING DEC FIN CORP FUTURES</t>
  </si>
  <si>
    <t>ZHMC</t>
  </si>
  <si>
    <t>HERO MOTOCORP FUTURES</t>
  </si>
  <si>
    <t>ZHND</t>
  </si>
  <si>
    <t>HINDALCO INDUSTRIES FUTURES</t>
  </si>
  <si>
    <t>ZHPC</t>
  </si>
  <si>
    <t>HINDUSTAN PETROLEUM CORP FUTURES</t>
  </si>
  <si>
    <t>ZHUV</t>
  </si>
  <si>
    <t>HINDUSTAN UNILEVER FUTURES</t>
  </si>
  <si>
    <t>ZICI</t>
  </si>
  <si>
    <t>ICICI BANK FUTURES</t>
  </si>
  <si>
    <t>ZIHF</t>
  </si>
  <si>
    <t>INDIABULLS HOUSING FIN FUTURES</t>
  </si>
  <si>
    <t>ZIIB</t>
  </si>
  <si>
    <t>INDUSLND BANK FUTURES</t>
  </si>
  <si>
    <t>ZINF</t>
  </si>
  <si>
    <t>INFOSYS FUTURES</t>
  </si>
  <si>
    <t>ZIOC</t>
  </si>
  <si>
    <t>INDIA OIL CORP FUTURES</t>
  </si>
  <si>
    <t>ZITC</t>
  </si>
  <si>
    <t>ITC FUTURES</t>
  </si>
  <si>
    <t>ZKMB</t>
  </si>
  <si>
    <t>KOTAK MAHINDRA BANK FUTURES</t>
  </si>
  <si>
    <t>ZLPC</t>
  </si>
  <si>
    <t>LUPIN FUTURES</t>
  </si>
  <si>
    <t>ZLT</t>
  </si>
  <si>
    <t>LARSEN &amp; TOUBRO FUTURES</t>
  </si>
  <si>
    <t>ZMM</t>
  </si>
  <si>
    <t>MAHINDRA &amp; MAHINDRA FUTURES</t>
  </si>
  <si>
    <t>ZMSI</t>
  </si>
  <si>
    <t>MARUTI SUZUKI INDIA FUTURES</t>
  </si>
  <si>
    <t>ZNTP</t>
  </si>
  <si>
    <t>NTPC FUTURES</t>
  </si>
  <si>
    <t>ZONG</t>
  </si>
  <si>
    <t>OIL &amp; NATURAL GAS CORP FUTURES</t>
  </si>
  <si>
    <t>ZPWG</t>
  </si>
  <si>
    <t>POWER GRID CORP OF INDIA FUTURES</t>
  </si>
  <si>
    <t>ZRIL</t>
  </si>
  <si>
    <t>RELIANCE INDUSTRIES FUTURES</t>
  </si>
  <si>
    <t>ZSBI</t>
  </si>
  <si>
    <t>STATE BANK OF INDIA FUTURES</t>
  </si>
  <si>
    <t>ZSUN</t>
  </si>
  <si>
    <t>SUN PHARMA IND FUTURES</t>
  </si>
  <si>
    <t>ZTAT</t>
  </si>
  <si>
    <t>TATA STEEL FUTURES</t>
  </si>
  <si>
    <t>ZTCS</t>
  </si>
  <si>
    <t>TATA CONSULT SVC FUTURES</t>
  </si>
  <si>
    <t>ZTEC</t>
  </si>
  <si>
    <t>TECH MAHINDRA FUTURES</t>
  </si>
  <si>
    <t>ZTTM</t>
  </si>
  <si>
    <t>TATA MOTORS FUTURES</t>
  </si>
  <si>
    <t>ZUPL</t>
  </si>
  <si>
    <t>UPL FUTURES</t>
  </si>
  <si>
    <t>ZUTC</t>
  </si>
  <si>
    <t>ULTRATECH CEMENT FUTURES</t>
  </si>
  <si>
    <t>ZVED</t>
  </si>
  <si>
    <t>VEDANTA FUTURES</t>
  </si>
  <si>
    <t>ZWPR</t>
  </si>
  <si>
    <t>WIPRO FUTURES</t>
  </si>
  <si>
    <t>ZYES</t>
  </si>
  <si>
    <t>YES BANK FUTURES</t>
  </si>
  <si>
    <t>ZZEE</t>
  </si>
  <si>
    <t>ZEE ENTERTAINMENT ENT FUTURES</t>
  </si>
  <si>
    <t>TAIFEX</t>
  </si>
  <si>
    <t>GDF</t>
  </si>
  <si>
    <t>TAIFEX GOLD FUTURES</t>
  </si>
  <si>
    <t>MTX</t>
  </si>
  <si>
    <t>Mini-TAIEX Futures</t>
  </si>
  <si>
    <t>RHF</t>
  </si>
  <si>
    <t>USD/CNH FX FUTURES</t>
  </si>
  <si>
    <t>RTF</t>
  </si>
  <si>
    <t>USD/CNT FX FUTURES</t>
  </si>
  <si>
    <t>TE</t>
  </si>
  <si>
    <t>TAIWAN STOCK EXCHANGE ELECTRONIC SECTOR INDEX</t>
  </si>
  <si>
    <t>TAIWAN STOCK EXCHANGE FINANCE SECTOR INDEX</t>
  </si>
  <si>
    <t>TGF</t>
  </si>
  <si>
    <t>TAIFEX NT DOLLAR GOLD FUTURES</t>
  </si>
  <si>
    <t>TJF</t>
  </si>
  <si>
    <t>Tokyo Stock Price Index (TOPIX)</t>
  </si>
  <si>
    <t>TX</t>
  </si>
  <si>
    <t>TAIWAN STOCK EXCHANGE CAPITALIZATION WEIGHTED STOCK INDEX</t>
  </si>
  <si>
    <t>TFEX</t>
  </si>
  <si>
    <t>GF</t>
  </si>
  <si>
    <t>50 BAHT GOLD FUTURES</t>
  </si>
  <si>
    <t>GF10</t>
  </si>
  <si>
    <t>10 BAHT GOLD FUTURES</t>
  </si>
  <si>
    <t>TFEX Gold Online Futures</t>
  </si>
  <si>
    <t>JRF</t>
  </si>
  <si>
    <t>Japanese Rubber</t>
  </si>
  <si>
    <t>S50</t>
  </si>
  <si>
    <t>SET S50</t>
  </si>
  <si>
    <t>Silver Online Futures</t>
  </si>
  <si>
    <t>TIFFE</t>
  </si>
  <si>
    <t>TOCOM</t>
  </si>
  <si>
    <t>JCO</t>
  </si>
  <si>
    <t>TOCOM CRUDE OIL</t>
  </si>
  <si>
    <t>JGL</t>
  </si>
  <si>
    <t>TOCOM GASOLINE</t>
  </si>
  <si>
    <t>JGO</t>
  </si>
  <si>
    <t>TOCOM GAS OIL</t>
  </si>
  <si>
    <t>JKE</t>
  </si>
  <si>
    <t>TOCOM KEROSENE</t>
  </si>
  <si>
    <t>TEBL</t>
  </si>
  <si>
    <t>East Area Base Load - Electricity</t>
  </si>
  <si>
    <t>TEPL</t>
  </si>
  <si>
    <t>TWBL</t>
  </si>
  <si>
    <t>TWPL</t>
  </si>
  <si>
    <t>TSE</t>
  </si>
  <si>
    <t>JGB</t>
  </si>
  <si>
    <t>JAPANESE GOVERNMENT BOND</t>
  </si>
  <si>
    <t>JGBM</t>
  </si>
  <si>
    <t>MINI JGB FUTURES</t>
  </si>
  <si>
    <t>TOPIX</t>
  </si>
  <si>
    <t>TOKYO PRICE WEIGHTED INDEX</t>
  </si>
  <si>
    <t>TOPIXM</t>
  </si>
  <si>
    <t>MINI TOKYO PRICE WEIGHTED INDEX</t>
  </si>
  <si>
    <t>TURKDEX</t>
  </si>
  <si>
    <t>BIST30</t>
  </si>
  <si>
    <t>TurkDEX-BIST 30</t>
  </si>
  <si>
    <t>CMGLD</t>
  </si>
  <si>
    <t>TurkDEX-Gold</t>
  </si>
  <si>
    <t>CMGOZ</t>
  </si>
  <si>
    <t>TurkDEX - USDollar / Ounce Gold</t>
  </si>
  <si>
    <t>FXEUR</t>
  </si>
  <si>
    <t>TurkDEX - TRYEuro</t>
  </si>
  <si>
    <t>FXUSD</t>
  </si>
  <si>
    <t>TurkDEX - TRYUSDollar</t>
  </si>
  <si>
    <t>ZCE</t>
  </si>
  <si>
    <t>PTA</t>
  </si>
  <si>
    <t>Purified Terephthalic Acid</t>
  </si>
  <si>
    <t xml:space="preserve">S&amp;P500 STOCK INDEX </t>
  </si>
  <si>
    <t>STERLING -  DOLLAR FUTURES</t>
  </si>
  <si>
    <t>East Area Peak Load  - Electricity</t>
  </si>
  <si>
    <t>West Area Base Load  - Electricity</t>
  </si>
  <si>
    <t>West Areas Peak Load  - Electricity</t>
  </si>
  <si>
    <t>PO</t>
    <phoneticPr fontId="1" type="noConversion"/>
  </si>
  <si>
    <t>KLCE</t>
    <phoneticPr fontId="1" type="noConversion"/>
  </si>
  <si>
    <t>Trade day</t>
    <phoneticPr fontId="1" type="noConversion"/>
  </si>
  <si>
    <t>PHILLIPSG</t>
    <phoneticPr fontId="1" type="noConversion"/>
  </si>
  <si>
    <t>HTA8000</t>
    <phoneticPr fontId="1" type="noConversion"/>
  </si>
  <si>
    <t>PHSGSGXDMA</t>
    <phoneticPr fontId="1" type="noConversion"/>
  </si>
  <si>
    <t>HTA8004</t>
    <phoneticPr fontId="1" type="noConversion"/>
  </si>
  <si>
    <t>HTA8003</t>
    <phoneticPr fontId="1" type="noConversion"/>
  </si>
  <si>
    <t>PHSGCQG</t>
    <phoneticPr fontId="1" type="noConversion"/>
  </si>
  <si>
    <t>HTA8001</t>
  </si>
  <si>
    <t>HTA8005</t>
  </si>
  <si>
    <t>上手號</t>
    <phoneticPr fontId="1" type="noConversion"/>
  </si>
  <si>
    <t>賬戶</t>
    <phoneticPr fontId="1" type="noConversion"/>
  </si>
  <si>
    <t>Product table</t>
    <phoneticPr fontId="1" type="noConversion"/>
  </si>
  <si>
    <t>Esunny</t>
    <phoneticPr fontId="1" type="noConversion"/>
  </si>
  <si>
    <t>PO</t>
    <phoneticPr fontId="1" type="noConversion"/>
  </si>
  <si>
    <t>PHL exchange</t>
    <phoneticPr fontId="1" type="noConversion"/>
  </si>
  <si>
    <t>PHL code</t>
    <phoneticPr fontId="1" type="noConversion"/>
  </si>
  <si>
    <t>KLCE</t>
    <phoneticPr fontId="1" type="noConversion"/>
  </si>
  <si>
    <t>SIMEX</t>
    <phoneticPr fontId="1" type="noConversion"/>
  </si>
  <si>
    <t>CN</t>
    <phoneticPr fontId="1" type="noConversion"/>
  </si>
  <si>
    <t>UC</t>
    <phoneticPr fontId="1" type="noConversion"/>
  </si>
  <si>
    <t>Lead</t>
    <phoneticPr fontId="1" type="noConversion"/>
  </si>
  <si>
    <t>Aluminium</t>
    <phoneticPr fontId="1" type="noConversion"/>
  </si>
  <si>
    <t>NI</t>
    <phoneticPr fontId="1" type="noConversion"/>
  </si>
  <si>
    <t>ZS</t>
    <phoneticPr fontId="1" type="noConversion"/>
  </si>
  <si>
    <t>CA</t>
    <phoneticPr fontId="1" type="noConversion"/>
  </si>
  <si>
    <t>Nickel</t>
    <phoneticPr fontId="1" type="noConversion"/>
  </si>
  <si>
    <t>Zinc</t>
    <phoneticPr fontId="1" type="noConversion"/>
  </si>
  <si>
    <t>Copper</t>
    <phoneticPr fontId="1" type="noConversion"/>
  </si>
  <si>
    <t>ACC</t>
    <phoneticPr fontId="1" type="noConversion"/>
  </si>
  <si>
    <t>Exchange</t>
    <phoneticPr fontId="1" type="noConversion"/>
  </si>
  <si>
    <t>Code</t>
    <phoneticPr fontId="1" type="noConversion"/>
  </si>
  <si>
    <t>Contract</t>
    <phoneticPr fontId="1" type="noConversion"/>
  </si>
  <si>
    <t>Month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</si>
  <si>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</si>
  <si>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</si>
  <si>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</si>
  <si>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J</t>
    <phoneticPr fontId="1" type="noConversion"/>
  </si>
  <si>
    <t>K</t>
    <phoneticPr fontId="1" type="noConversion"/>
  </si>
  <si>
    <t>M</t>
    <phoneticPr fontId="1" type="noConversion"/>
  </si>
  <si>
    <t>N</t>
    <phoneticPr fontId="1" type="noConversion"/>
  </si>
  <si>
    <t>Q</t>
    <phoneticPr fontId="1" type="noConversion"/>
  </si>
  <si>
    <t>U</t>
    <phoneticPr fontId="1" type="noConversion"/>
  </si>
  <si>
    <t>V</t>
    <phoneticPr fontId="1" type="noConversion"/>
  </si>
  <si>
    <t>X</t>
    <phoneticPr fontId="1" type="noConversion"/>
  </si>
  <si>
    <t>Z</t>
    <phoneticPr fontId="1" type="noConversion"/>
  </si>
  <si>
    <t>01</t>
    <phoneticPr fontId="1" type="noConversion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</si>
  <si>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</si>
  <si>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</si>
  <si>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</si>
  <si>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</si>
  <si>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</si>
  <si>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</si>
  <si>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</si>
  <si>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</si>
  <si>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</si>
  <si>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</si>
  <si>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LME</t>
    <phoneticPr fontId="1" type="noConversion"/>
  </si>
  <si>
    <t>Lots</t>
    <phoneticPr fontId="1" type="noConversion"/>
  </si>
  <si>
    <t>F/O/X</t>
    <phoneticPr fontId="1" type="noConversion"/>
  </si>
  <si>
    <t>client_no</t>
  </si>
  <si>
    <t>Exch_cd</t>
  </si>
  <si>
    <t>Com_cd</t>
  </si>
  <si>
    <t>Contract_Month</t>
  </si>
  <si>
    <t>Strike_Price</t>
  </si>
  <si>
    <t>Call_Put</t>
  </si>
  <si>
    <t>Val_Date</t>
  </si>
  <si>
    <t>Trade_Date_Buy</t>
  </si>
  <si>
    <t>Trade_Date_Sell</t>
  </si>
  <si>
    <t>Traded_Qty</t>
  </si>
  <si>
    <t>Traded_Price_Buy</t>
  </si>
  <si>
    <t>Traded_Price_Sell</t>
  </si>
  <si>
    <t>Traded_Premium_Buy</t>
  </si>
  <si>
    <t>Traded_Premium_Sell</t>
  </si>
  <si>
    <t>郑州易盛信息技术有限公司</t>
  </si>
  <si>
    <t>制表人：</t>
  </si>
  <si>
    <t>开始日期：</t>
  </si>
  <si>
    <t>制表时间：</t>
  </si>
  <si>
    <t>结束日期：</t>
  </si>
  <si>
    <t>页数：</t>
  </si>
  <si>
    <t>Page 1 of 1</t>
  </si>
  <si>
    <t>上手</t>
  </si>
  <si>
    <t>市场</t>
  </si>
  <si>
    <t>商品</t>
  </si>
  <si>
    <t>合约</t>
  </si>
  <si>
    <t>平仓量</t>
  </si>
  <si>
    <t>GHFCMEDMA</t>
  </si>
  <si>
    <t>PHSGSGXDMA</t>
  </si>
  <si>
    <t>SGX</t>
  </si>
  <si>
    <t>backup</t>
    <phoneticPr fontId="1" type="noConversion"/>
  </si>
  <si>
    <t>H600011</t>
    <phoneticPr fontId="1" type="noConversion"/>
  </si>
  <si>
    <t>ATP CQG</t>
    <phoneticPr fontId="1" type="noConversion"/>
  </si>
  <si>
    <t>LME carry  only in Esunny</t>
    <phoneticPr fontId="1" type="noConversion"/>
  </si>
  <si>
    <t>AH</t>
    <phoneticPr fontId="1" type="noConversion"/>
  </si>
  <si>
    <t>PHILLIPSG</t>
  </si>
  <si>
    <t>8001/8005</t>
    <phoneticPr fontId="1" type="noConversion"/>
  </si>
  <si>
    <t>Account</t>
    <phoneticPr fontId="7" type="noConversion"/>
  </si>
  <si>
    <t>Contract</t>
    <phoneticPr fontId="7" type="noConversion"/>
  </si>
  <si>
    <t>Settle Pos</t>
    <phoneticPr fontId="7" type="noConversion"/>
  </si>
  <si>
    <t>Net Pos</t>
    <phoneticPr fontId="7" type="noConversion"/>
  </si>
  <si>
    <t>Settle Avg Price</t>
    <phoneticPr fontId="7" type="noConversion"/>
  </si>
  <si>
    <t>Net Avg Price</t>
    <phoneticPr fontId="7" type="noConversion"/>
  </si>
  <si>
    <t>Buy</t>
    <phoneticPr fontId="7" type="noConversion"/>
  </si>
  <si>
    <t>Sell</t>
    <phoneticPr fontId="7" type="noConversion"/>
  </si>
  <si>
    <t>Buy Price</t>
    <phoneticPr fontId="7" type="noConversion"/>
  </si>
  <si>
    <t>SellPrice</t>
    <phoneticPr fontId="7" type="noConversion"/>
  </si>
  <si>
    <t>_</t>
    <phoneticPr fontId="7" type="noConversion"/>
  </si>
  <si>
    <t>-</t>
    <phoneticPr fontId="7" type="noConversion"/>
  </si>
  <si>
    <t>Exchange</t>
    <phoneticPr fontId="7" type="noConversion"/>
  </si>
  <si>
    <t>Product</t>
    <phoneticPr fontId="7" type="noConversion"/>
  </si>
  <si>
    <t>02</t>
    <phoneticPr fontId="1" type="noConversion"/>
  </si>
  <si>
    <t>LME</t>
    <phoneticPr fontId="7" type="noConversion"/>
  </si>
  <si>
    <t>Month</t>
    <phoneticPr fontId="7" type="noConversion"/>
  </si>
  <si>
    <t>Year</t>
    <phoneticPr fontId="7" type="noConversion"/>
  </si>
  <si>
    <t>Contract2</t>
    <phoneticPr fontId="7" type="noConversion"/>
  </si>
  <si>
    <t>B/S</t>
    <phoneticPr fontId="7" type="noConversion"/>
  </si>
  <si>
    <t>Lots</t>
    <phoneticPr fontId="7" type="noConversion"/>
  </si>
  <si>
    <t>chenguoxiong</t>
  </si>
  <si>
    <t>h000686</t>
  </si>
  <si>
    <t>m487212</t>
  </si>
  <si>
    <t>h0000592</t>
  </si>
  <si>
    <t>a000621</t>
  </si>
  <si>
    <t>Trade ID</t>
  </si>
  <si>
    <t>Trade Date</t>
  </si>
  <si>
    <t>Execution Date</t>
  </si>
  <si>
    <t>Execution Time</t>
  </si>
  <si>
    <t>Trader</t>
  </si>
  <si>
    <t>Account Number</t>
  </si>
  <si>
    <t>Exchange</t>
  </si>
  <si>
    <t>Product</t>
  </si>
  <si>
    <t>Contract Month</t>
  </si>
  <si>
    <t>Put/Call</t>
  </si>
  <si>
    <t>Strike Price</t>
  </si>
  <si>
    <t>Buy/Sell</t>
  </si>
  <si>
    <t>Quantity</t>
  </si>
  <si>
    <t>Price</t>
  </si>
  <si>
    <t>Broker</t>
  </si>
  <si>
    <t>Broker Order ID</t>
  </si>
  <si>
    <t>Broker Short Name</t>
  </si>
  <si>
    <t>Broker Trading Account</t>
  </si>
  <si>
    <t>Reference1</t>
  </si>
  <si>
    <t>Reference2</t>
  </si>
  <si>
    <t>Order Source</t>
  </si>
  <si>
    <t>H0000592</t>
  </si>
  <si>
    <t>NYM</t>
  </si>
  <si>
    <t>Buy</t>
  </si>
  <si>
    <t>TTFIX44_HTHK_GHF</t>
  </si>
  <si>
    <t>GHFNewTT</t>
  </si>
  <si>
    <t>HUH0000592</t>
  </si>
  <si>
    <t>Customer</t>
  </si>
  <si>
    <t>Sell</t>
  </si>
  <si>
    <t>A000621</t>
  </si>
  <si>
    <t>CQGFIX_HTHK_PF</t>
  </si>
  <si>
    <t>NI</t>
  </si>
  <si>
    <t>A000555</t>
  </si>
  <si>
    <t>AL</t>
  </si>
  <si>
    <t>H000686</t>
  </si>
  <si>
    <t>ICE</t>
  </si>
  <si>
    <t>BRN</t>
  </si>
  <si>
    <t>HUH000686</t>
  </si>
  <si>
    <t>B/S</t>
    <phoneticPr fontId="7" type="noConversion"/>
  </si>
  <si>
    <t>Lots</t>
    <phoneticPr fontId="7" type="noConversion"/>
  </si>
  <si>
    <t>PHL exchange</t>
  </si>
  <si>
    <t>Trade Day</t>
    <phoneticPr fontId="7" type="noConversion"/>
  </si>
  <si>
    <t>Trade Day2</t>
    <phoneticPr fontId="7" type="noConversion"/>
  </si>
  <si>
    <t>Month</t>
  </si>
  <si>
    <t>Year</t>
  </si>
  <si>
    <t>Exchange</t>
    <phoneticPr fontId="7" type="noConversion"/>
  </si>
  <si>
    <t>Al</t>
  </si>
  <si>
    <t>PHL Code</t>
  </si>
  <si>
    <t>PHL Code</t>
    <phoneticPr fontId="7" type="noConversion"/>
  </si>
  <si>
    <t>Copper</t>
  </si>
  <si>
    <t/>
  </si>
  <si>
    <t>Zinc</t>
  </si>
  <si>
    <t>ZS</t>
  </si>
  <si>
    <t>Nickel</t>
  </si>
  <si>
    <t>Lead</t>
  </si>
  <si>
    <t>Aluminium</t>
  </si>
  <si>
    <t>PHL exchange</t>
    <phoneticPr fontId="7" type="noConversion"/>
  </si>
  <si>
    <t>FEF</t>
    <phoneticPr fontId="7" type="noConversion"/>
  </si>
  <si>
    <t>TF</t>
    <phoneticPr fontId="7" type="noConversion"/>
  </si>
  <si>
    <t>ATP</t>
    <phoneticPr fontId="1" type="noConversion"/>
  </si>
  <si>
    <t>To PHL</t>
    <phoneticPr fontId="7" type="noConversion"/>
  </si>
  <si>
    <t>UC</t>
    <phoneticPr fontId="7" type="noConversion"/>
  </si>
  <si>
    <t>Account</t>
  </si>
  <si>
    <t>B/S</t>
  </si>
  <si>
    <t>Lots</t>
  </si>
  <si>
    <t>Contract2</t>
  </si>
  <si>
    <t>(空白)</t>
  </si>
  <si>
    <t>求和项:Lots</t>
  </si>
  <si>
    <t>HTA8004</t>
  </si>
  <si>
    <t>ACC</t>
  </si>
  <si>
    <t>F/O/X</t>
  </si>
  <si>
    <t>Contract</t>
  </si>
  <si>
    <t>Close</t>
    <phoneticPr fontId="7" type="noConversion"/>
  </si>
  <si>
    <t>PHL exchange2</t>
    <phoneticPr fontId="7" type="noConversion"/>
  </si>
  <si>
    <t>FE</t>
    <phoneticPr fontId="1" type="noConversion"/>
  </si>
  <si>
    <t>FEF</t>
    <phoneticPr fontId="1" type="noConversion"/>
  </si>
  <si>
    <t>4491e8d6-0a1f-4c4d-884d-f991369e1b18</t>
  </si>
  <si>
    <t>d6742647-c165-44d6-a347-512b1bb33f41</t>
  </si>
  <si>
    <t>4f83f6bf-5602-4214-bbf5-09244c1f9c67</t>
  </si>
  <si>
    <t>7ee85a47-0e97-4ade-8586-8de5ebbfcc13</t>
  </si>
  <si>
    <t>637d75c5-846b-46e8-8f56-b2885b8264bc</t>
  </si>
  <si>
    <t>f08ea7a8-84a5-4f9f-a223-0a068d24cc5c</t>
  </si>
  <si>
    <t>de3a6a91-1448-40f4-a998-e1d0c44e9e30</t>
  </si>
  <si>
    <t>c954caf9-fd0c-4458-bc99-b5e3e2adff5e</t>
  </si>
  <si>
    <t>738ce36a-ba7f-48ad-8920-3678df2bb410</t>
  </si>
  <si>
    <t>edb5e576-8d9e-4cd5-bc2e-d9145582d577</t>
  </si>
  <si>
    <t>c16e42fd-c991-4901-8fbf-12413808146d</t>
  </si>
  <si>
    <t>c3b861df-52b0-49bf-bba4-7eb35c68ac4e</t>
  </si>
  <si>
    <t>4f06fdc5-f92b-4c7b-8fcb-e894aa35c27a</t>
  </si>
  <si>
    <t>82821d6d-9e3d-4053-b816-3dc9bd62da51</t>
  </si>
  <si>
    <t>184cf5c4-4e63-41cb-9ba4-eef5032758a2</t>
  </si>
  <si>
    <t>07792a82-8dae-4e13-9bfa-9d89230c187b</t>
  </si>
  <si>
    <t>4ebdc077-96e0-49e1-952e-0b28dbaee4cd</t>
  </si>
  <si>
    <t>b8fdb817-9f58-4fce-ba96-07edb5832de6</t>
  </si>
  <si>
    <t>10506979-ac24-44ed-a393-6ac240c91757</t>
  </si>
  <si>
    <t>e2026eea-2a62-4db3-a9f3-4a627a6552df</t>
  </si>
  <si>
    <t>ccf406e9-9935-42eb-bd18-357a9ab67ede</t>
  </si>
  <si>
    <t>9245fbf3-d88e-47e7-a08d-95cabe34f191</t>
  </si>
  <si>
    <t>1ed59587-db8b-4bc7-a52e-2771e6a92cd1</t>
  </si>
  <si>
    <t>53c1dbaa-55ce-4465-be22-c6b0375a3234</t>
  </si>
  <si>
    <t>43a71bd4-d125-4690-b38f-2e87928e72bf</t>
  </si>
  <si>
    <t>072cd97f-ee38-4ecf-a676-e31782afa922</t>
  </si>
  <si>
    <t>b6fa3261-3d44-41c9-8656-fc4b0f4ca6af</t>
  </si>
  <si>
    <t>24f652c1-4bed-42aa-b79a-7edddf6f0d88</t>
  </si>
  <si>
    <t>1085bdb5-698c-431b-b0ef-6669a8973d2a</t>
  </si>
  <si>
    <t>3edbaa5b-312d-4bf8-be64-18a2f55d5844</t>
  </si>
  <si>
    <t>d7e293bb-64a3-4430-ac35-5ec67f4b04ed</t>
  </si>
  <si>
    <t>dd512af7-7250-439f-ac21-f8970b676fc3</t>
  </si>
  <si>
    <t>59e64e1c-1f5c-4d01-8c97-a19403b1167c</t>
  </si>
  <si>
    <t>ac034d75-1745-4e0f-a735-71a5838de4ed</t>
  </si>
  <si>
    <t>a0000502</t>
  </si>
  <si>
    <t>A0000502</t>
  </si>
  <si>
    <t>d38b4c05-37fb-489d-b783-22758718c2e7</t>
  </si>
  <si>
    <t>HUA0000502</t>
  </si>
  <si>
    <t>cb4d1585-8e88-4607-9d1a-d77b6324935f</t>
  </si>
  <si>
    <t>3283d95d-706e-44ff-8489-8f2e51b94973</t>
  </si>
  <si>
    <t>d1467986-c35c-4b8d-b5fd-4700368343a7</t>
  </si>
  <si>
    <t>4adc3b7e-e8bc-4608-ae72-99382c84deeb</t>
  </si>
  <si>
    <t>9b61f3ec-23e1-4f0a-bc35-4d395037de12</t>
  </si>
  <si>
    <t>6fbf4200-ed5b-44c8-b67c-44a51d917d38</t>
  </si>
  <si>
    <t>6f11d90a-22f9-4754-b524-2d0125476644</t>
  </si>
  <si>
    <t>15a23e67-3d74-4106-ab20-571df4618d80</t>
  </si>
  <si>
    <t>576fabd4-a430-48b8-b059-568385ad49e7</t>
  </si>
  <si>
    <t>4936afb7-59f2-4d60-af01-119d3742c9d8</t>
  </si>
  <si>
    <t>3fed5d48-fd08-4fb6-a077-a4d405a8076f</t>
  </si>
  <si>
    <t>ba99668c-60a1-47f1-b67b-0ebaef8cb45c</t>
  </si>
  <si>
    <t>b90ea66e-569b-4c21-b837-ceaac71a84ab</t>
  </si>
  <si>
    <t>150c355b-f864-424b-95f9-205cef151819</t>
  </si>
  <si>
    <t>ba778b95-2569-4105-9a5b-73215a9ee2c9</t>
  </si>
  <si>
    <t>23ca880b-c941-4539-b9ae-7608a79ce3da</t>
  </si>
  <si>
    <t>4546b719-a238-499d-ad9c-4a2a33f35384</t>
  </si>
  <si>
    <t>e7bdb7ed-2f0e-4bed-99a7-baedfd5da62e</t>
  </si>
  <si>
    <t>-</t>
  </si>
  <si>
    <t>H0000592_GRAND TRUST PETROCHEMICAL PTE. LTD</t>
  </si>
  <si>
    <t>CU</t>
    <phoneticPr fontId="7" type="noConversion"/>
  </si>
  <si>
    <t>A0000487_王鹏</t>
  </si>
  <si>
    <t>A0000255_彭韪</t>
  </si>
  <si>
    <t>VX2204-CFE</t>
  </si>
  <si>
    <t>FGBS</t>
    <phoneticPr fontId="7" type="noConversion"/>
  </si>
  <si>
    <t>EUREX</t>
    <phoneticPr fontId="7" type="noConversion"/>
  </si>
  <si>
    <t>VX</t>
    <phoneticPr fontId="7" type="noConversion"/>
  </si>
  <si>
    <t>VIX</t>
    <phoneticPr fontId="7" type="noConversion"/>
  </si>
  <si>
    <t>CBOE</t>
    <phoneticPr fontId="7" type="noConversion"/>
  </si>
  <si>
    <t>GLS2204-ICE</t>
    <phoneticPr fontId="7" type="noConversion"/>
  </si>
  <si>
    <t>FGBS2204-EUX</t>
    <phoneticPr fontId="7" type="noConversion"/>
  </si>
  <si>
    <t>FCPO</t>
    <phoneticPr fontId="1" type="noConversion"/>
  </si>
  <si>
    <t>Z</t>
  </si>
  <si>
    <t>VX</t>
  </si>
  <si>
    <t>NK</t>
    <phoneticPr fontId="1" type="noConversion"/>
  </si>
  <si>
    <t>KENLEUNG</t>
  </si>
  <si>
    <t>平仓检核表(上手-合约-仅平仓)</t>
  </si>
  <si>
    <t>CBT</t>
  </si>
  <si>
    <t>MCL</t>
  </si>
  <si>
    <t>BMD</t>
  </si>
  <si>
    <t>FCPO</t>
  </si>
  <si>
    <t>SG</t>
  </si>
  <si>
    <t>列標籤</t>
  </si>
  <si>
    <t>總計</t>
  </si>
  <si>
    <t>A0000255</t>
  </si>
  <si>
    <t>A0000487</t>
  </si>
  <si>
    <t>J-2022-FGBS</t>
  </si>
  <si>
    <t>#VALUE!</t>
  </si>
  <si>
    <t>FALSE</t>
  </si>
  <si>
    <t>#N/A</t>
  </si>
  <si>
    <t>HTA8000</t>
  </si>
  <si>
    <t>V2022</t>
  </si>
  <si>
    <t>Z2022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</si>
</sst>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Arial"/>
      <family val="2"/>
    </font>
    <font>
      <sz val="9"/>
      <name val="新細明體"/>
      <family val="1"/>
      <charset val="136"/>
    </font>
    <font>
      <sz val="11"/>
      <color theme="1"/>
      <name val="Microsoft YaHei"/>
      <family val="2"/>
      <charset val="134"/>
    </font>
    <font>
      <sz val="11"/>
      <color theme="1"/>
      <name val="Microsoft JhengHei"/>
      <family val="2"/>
      <charset val="134"/>
    </font>
    <font>
      <sz val="11"/>
      <color theme="1"/>
      <name val="微软雅黑"/>
      <family val="2"/>
      <charset val="134"/>
    </font>
    <font>
      <sz val="9"/>
      <name val="新細明體"/>
      <family val="3"/>
      <charset val="134"/>
      <scheme val="minor"/>
    </font>
    <font>
      <sz val="11"/>
      <color theme="1"/>
      <name val="Microsoft JhengHei"/>
      <family val="2"/>
      <charset val="136"/>
    </font>
    <font>
      <sz val="11"/>
      <color rgb="FF000000"/>
      <name val="新細明體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 applyBorder="1" applyAlignment="1">
      <alignment horizontal="center"/>
    </xf>
    <xf numFmtId="0" fontId="4" fillId="0" borderId="0" xfId="0" applyFont="1"/>
    <xf numFmtId="14" fontId="0" fillId="0" borderId="0" xfId="0" applyNumberFormat="1"/>
    <xf numFmtId="14" fontId="4" fillId="0" borderId="0" xfId="0" applyNumberFormat="1" applyFont="1"/>
    <xf numFmtId="0" fontId="5" fillId="0" borderId="0" xfId="0" applyFont="1"/>
    <xf numFmtId="0" fontId="0" fillId="0" borderId="0" xfId="0" quotePrefix="1"/>
    <xf numFmtId="14" fontId="0" fillId="2" borderId="0" xfId="0" applyNumberFormat="1" applyFill="1"/>
    <xf numFmtId="22" fontId="0" fillId="0" borderId="0" xfId="0" applyNumberFormat="1"/>
    <xf numFmtId="0" fontId="6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3" borderId="0" xfId="0" applyFill="1"/>
    <xf numFmtId="0" fontId="8" fillId="0" borderId="0" xfId="0" applyFont="1"/>
  </cellXfs>
  <cellStyles count="1">
    <cellStyle name="一般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charset val="13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"/>
        <family val="2"/>
        <charset val="134"/>
        <scheme val="none"/>
      </font>
    </dxf>
    <dxf>
      <numFmt numFmtId="19" formatCode="yyyy/m/d"/>
    </dxf>
    <dxf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YaHei"/>
        <family val="2"/>
        <charset val="134"/>
        <scheme val="none"/>
      </font>
      <numFmt numFmtId="19" formatCode="yyyy/m/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428625</xdr:colOff>
          <xdr:row>2</xdr:row>
          <xdr:rowOff>57150</xdr:rowOff>
        </xdr:from>
        <xdr:to>
          <xdr:col>12</xdr:col>
          <xdr:colOff>200025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832.251870486114" createdVersion="7" refreshedVersion="6" minRefreshableVersion="3" recordCount="215" xr:uid="{08642322-1C5C-4B3D-9E73-E2289826E6A4}">
  <cacheSource type="worksheet">
    <worksheetSource ref="A1:D1048576" sheet="ATP Sort"/>
  </cacheSource>
  <cacheFields count="4">
    <cacheField name="Account" numFmtId="0">
      <sharedItems containsBlank="1" count="7">
        <s v="A0000255"/>
        <s v="A0000487"/>
        <s v="H0000592"/>
        <m/>
        <s v="Account"/>
        <s v="A000555" u="1"/>
        <s v="A000621" u="1"/>
      </sharedItems>
    </cacheField>
    <cacheField name="B/S" numFmtId="0">
      <sharedItems containsBlank="1" count="6">
        <b v="0"/>
        <m/>
        <s v="B/S"/>
        <s v="" u="1"/>
        <s v="Buy" u="1"/>
        <s v="Sell" u="1"/>
      </sharedItems>
    </cacheField>
    <cacheField name="Lots" numFmtId="0">
      <sharedItems containsBlank="1"/>
    </cacheField>
    <cacheField name="Contract2" numFmtId="0">
      <sharedItems containsBlank="1" count="21">
        <e v="#VALUE!"/>
        <e v="#N/A"/>
        <s v="J-2022-FGBS"/>
        <m/>
        <s v="Contract2"/>
        <s v="X-2021-FEF" u="1"/>
        <s v="V-2021-CN" u="1"/>
        <s v="LME-AL-20211208" u="1"/>
        <s v="LME-Aluminium-3M" u="1"/>
        <s v="V-2021-TF" u="1"/>
        <s v="LME-Nickel-3M" u="1"/>
        <s v="LME-PB-20211208" u="1"/>
        <s v="LME-Nickel-20211208" u="1"/>
        <s v="LME-NI-3M" u="1"/>
        <s v="LME-Aluminium-20211208" u="1"/>
        <s v="Z-2021-UC" u="1"/>
        <s v="LME-AL-3M" u="1"/>
        <s v="LME-Lead-20211215" u="1"/>
        <s v="LME-PB-20211215" u="1"/>
        <s v="LME-PB-3M" u="1"/>
        <s v="LME-NI-20211208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">
  <r>
    <x v="0"/>
    <x v="0"/>
    <b v="0"/>
    <x v="0"/>
  </r>
  <r>
    <x v="0"/>
    <x v="0"/>
    <b v="0"/>
    <x v="1"/>
  </r>
  <r>
    <x v="1"/>
    <x v="0"/>
    <b v="0"/>
    <x v="0"/>
  </r>
  <r>
    <x v="2"/>
    <x v="0"/>
    <b v="0"/>
    <x v="2"/>
  </r>
  <r>
    <x v="2"/>
    <x v="0"/>
    <b v="0"/>
    <x v="0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4"/>
    <x v="2"/>
    <s v="Lots"/>
    <x v="4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  <r>
    <x v="3"/>
    <x v="1"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3B198B-8002-4CED-A284-861940857FC1}" name="数据透视表1" cacheId="10" applyNumberFormats="0" applyBorderFormats="0" applyFontFormats="0" applyPatternFormats="0" applyAlignmentFormats="0" applyWidthHeightFormats="1" dataCaption="值" updatedVersion="6" minRefreshableVersion="3" useAutoFormatting="1" itemPrintTitles="1" createdVersion="7" indent="0" outline="1" outlineData="1" multipleFieldFilters="0">
  <location ref="H3:K16" firstHeaderRow="1" firstDataRow="1" firstDataCol="3"/>
  <pivotFields count="4">
    <pivotField axis="axisRow" outline="0" showAll="0" defaultSubtotal="0">
      <items count="7">
        <item m="1" x="5"/>
        <item m="1" x="6"/>
        <item x="4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>
      <items count="7">
        <item m="1" x="3"/>
        <item x="2"/>
        <item m="1" x="4"/>
        <item m="1" x="5"/>
        <item x="1"/>
        <item x="0"/>
        <item t="default"/>
      </items>
    </pivotField>
    <pivotField dataField="1" showAll="0"/>
    <pivotField axis="axisRow" outline="0" showAll="0" insertBlankRow="1" defaultSubtotal="0">
      <items count="21">
        <item x="4"/>
        <item m="1" x="7"/>
        <item m="1" x="16"/>
        <item m="1" x="20"/>
        <item m="1" x="13"/>
        <item m="1" x="11"/>
        <item m="1" x="18"/>
        <item m="1" x="19"/>
        <item m="1" x="6"/>
        <item m="1" x="9"/>
        <item m="1" x="5"/>
        <item m="1" x="15"/>
        <item x="3"/>
        <item m="1" x="14"/>
        <item m="1" x="17"/>
        <item m="1" x="12"/>
        <item m="1" x="10"/>
        <item m="1" x="8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3"/>
    <field x="0"/>
    <field x="1"/>
  </rowFields>
  <rowItems count="13">
    <i>
      <x/>
      <x v="2"/>
      <x v="1"/>
    </i>
    <i t="blank">
      <x/>
    </i>
    <i>
      <x v="12"/>
      <x v="4"/>
      <x v="4"/>
    </i>
    <i t="blank">
      <x v="12"/>
    </i>
    <i>
      <x v="18"/>
      <x v="3"/>
      <x v="5"/>
    </i>
    <i r="1">
      <x v="5"/>
      <x v="5"/>
    </i>
    <i r="1">
      <x v="6"/>
      <x v="5"/>
    </i>
    <i t="blank">
      <x v="18"/>
    </i>
    <i>
      <x v="19"/>
      <x v="5"/>
      <x v="5"/>
    </i>
    <i t="blank">
      <x v="19"/>
    </i>
    <i>
      <x v="20"/>
      <x v="3"/>
      <x v="5"/>
    </i>
    <i t="blank">
      <x v="20"/>
    </i>
    <i t="grand">
      <x/>
    </i>
  </rowItems>
  <colItems count="1">
    <i/>
  </colItems>
  <dataFields count="1">
    <dataField name="求和项:Lots" fld="2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loseCheckSummaryReport_20210902" connectionId="1" xr16:uid="{63C3CC7F-F150-4EC3-8577-11FDC0864792}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ransaction_ATP" connectionId="2" xr16:uid="{959B34E8-11B4-495D-85B1-5A7ECC40BDDD}" autoFormatId="16" applyNumberFormats="0" applyBorderFormats="0" applyFontFormats="0" applyPatternFormats="0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949360-771E-403B-94DB-1354CFF4FEB4}" name="表1" displayName="表1" ref="O5:P8" totalsRowShown="0" headerRowDxfId="4">
  <tableColumns count="2">
    <tableColumn id="1" xr3:uid="{FBCAB82B-4D03-4E1F-B1C6-5C1846787FF6}" name="上手號" dataDxfId="3"/>
    <tableColumn id="2" xr3:uid="{B24AF069-C556-4B64-ABA6-BFDD47FF304C}" name="賬戶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2031FA-C15E-4BAB-AEC8-5AE0077686AC}" name="表3" displayName="表3" ref="O14:Q33" totalsRowShown="0" headerRowDxfId="1">
  <tableColumns count="3">
    <tableColumn id="1" xr3:uid="{C7EA1FC6-139F-4B6B-8F95-853C64CF20EE}" name="Esunny"/>
    <tableColumn id="2" xr3:uid="{2BBEEF27-A455-4C65-B633-D370718F967D}" name="PHL exchange"/>
    <tableColumn id="3" xr3:uid="{844E8AB2-D7C4-478B-8BD8-ED23F3C0AFF1}" name="PHL cod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4BD6BD-DC8C-4863-A761-AF801F46C45A}" name="表3_3" displayName="表3_3" ref="X4:AA23" totalsRowShown="0" headerRowDxfId="0">
  <tableColumns count="4">
    <tableColumn id="1" xr3:uid="{1D996AC2-0EFD-4D08-9E1E-24C611A563A2}" name="ATP"/>
    <tableColumn id="2" xr3:uid="{19BCE71B-F45B-4A46-9CB5-9316F20BF877}" name="PHL exchange"/>
    <tableColumn id="3" xr3:uid="{7696ED41-908A-42C1-94F1-0CD805CDDA86}" name="PHL code"/>
    <tableColumn id="4" xr3:uid="{DA1E269D-9936-40D5-8D4D-814226A77021}" name="PHL exchange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"/>
  <sheetViews>
    <sheetView workbookViewId="0">
      <selection activeCell="A2" sqref="A2:XFD8"/>
    </sheetView>
  </sheetViews>
  <sheetFormatPr defaultColWidth="9.140625" defaultRowHeight="14.25"/>
  <cols>
    <col min="1" max="1" width="10.28515625" style="1" bestFit="1" customWidth="1"/>
    <col min="2" max="2" width="12.28515625" style="1" bestFit="1" customWidth="1"/>
    <col min="3" max="3" width="9.85546875" style="1" bestFit="1" customWidth="1"/>
    <col min="4" max="4" width="11.5703125" style="1" bestFit="1" customWidth="1"/>
    <col min="5" max="5" width="17.140625" style="1" bestFit="1" customWidth="1"/>
    <col min="6" max="6" width="13.28515625" style="1" bestFit="1" customWidth="1"/>
    <col min="7" max="7" width="9.5703125" style="1" bestFit="1" customWidth="1"/>
    <col min="8" max="8" width="11" style="1" bestFit="1" customWidth="1"/>
    <col min="9" max="9" width="18.28515625" style="1" bestFit="1" customWidth="1"/>
    <col min="10" max="10" width="18.140625" style="1" bestFit="1" customWidth="1"/>
    <col min="11" max="11" width="13" style="1" bestFit="1" customWidth="1"/>
    <col min="12" max="12" width="20.140625" style="1" bestFit="1" customWidth="1"/>
    <col min="13" max="13" width="20" style="1" bestFit="1" customWidth="1"/>
    <col min="14" max="14" width="24.28515625" style="1" bestFit="1" customWidth="1"/>
    <col min="15" max="15" width="24.140625" style="1" bestFit="1" customWidth="1"/>
    <col min="16" max="16384" width="9.140625" style="1"/>
  </cols>
  <sheetData>
    <row r="1" spans="1:15">
      <c r="A1" s="1" t="s">
        <v>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  <c r="H1" s="1" t="s">
        <v>15</v>
      </c>
      <c r="I1" s="1" t="s">
        <v>16</v>
      </c>
      <c r="J1" s="1" t="s">
        <v>17</v>
      </c>
      <c r="K1" s="1" t="s">
        <v>18</v>
      </c>
      <c r="L1" s="1" t="s">
        <v>19</v>
      </c>
      <c r="M1" s="1" t="s">
        <v>20</v>
      </c>
      <c r="N1" s="1" t="s">
        <v>21</v>
      </c>
      <c r="O1" s="1" t="s">
        <v>22</v>
      </c>
    </row>
    <row r="2" spans="1:15">
      <c r="A2" s="1" t="s">
        <v>1593</v>
      </c>
      <c r="B2" s="1" t="s">
        <v>1</v>
      </c>
      <c r="C2" s="1" t="s">
        <v>2</v>
      </c>
      <c r="D2" s="1" t="s">
        <v>3</v>
      </c>
      <c r="E2" s="1" t="s">
        <v>1594</v>
      </c>
      <c r="H2" s="1" t="s">
        <v>1479</v>
      </c>
      <c r="K2" s="1">
        <v>20</v>
      </c>
    </row>
    <row r="3" spans="1:15">
      <c r="A3" s="1" t="s">
        <v>1593</v>
      </c>
      <c r="B3" s="1" t="s">
        <v>1</v>
      </c>
      <c r="C3" s="1" t="s">
        <v>2</v>
      </c>
      <c r="D3" s="1" t="s">
        <v>3</v>
      </c>
      <c r="E3" s="1" t="s">
        <v>1595</v>
      </c>
      <c r="H3" s="1" t="s">
        <v>1479</v>
      </c>
      <c r="K3" s="1">
        <v>3</v>
      </c>
    </row>
    <row r="4" spans="1:15">
      <c r="A4" s="1" t="s">
        <v>1593</v>
      </c>
      <c r="B4" s="1" t="s">
        <v>1</v>
      </c>
      <c r="C4" s="1" t="s">
        <v>822</v>
      </c>
      <c r="D4" s="1" t="s">
        <v>829</v>
      </c>
      <c r="E4" s="1" t="s">
        <v>1595</v>
      </c>
      <c r="H4" s="1" t="s">
        <v>1479</v>
      </c>
      <c r="K4" s="1">
        <v>2</v>
      </c>
    </row>
    <row r="5" spans="1:15">
      <c r="A5" s="1" t="s">
        <v>1497</v>
      </c>
      <c r="B5" s="1" t="s">
        <v>1</v>
      </c>
      <c r="C5" s="1" t="s">
        <v>4</v>
      </c>
      <c r="D5" s="1" t="s">
        <v>5</v>
      </c>
      <c r="E5" s="1" t="s">
        <v>1594</v>
      </c>
      <c r="H5" s="1" t="s">
        <v>1479</v>
      </c>
      <c r="K5" s="1">
        <v>4</v>
      </c>
    </row>
    <row r="6" spans="1:15">
      <c r="A6" s="1" t="s">
        <v>1497</v>
      </c>
      <c r="B6" s="1" t="s">
        <v>1</v>
      </c>
      <c r="C6" s="1" t="s">
        <v>4</v>
      </c>
      <c r="D6" s="1" t="s">
        <v>151</v>
      </c>
      <c r="E6" s="1" t="s">
        <v>1595</v>
      </c>
      <c r="H6" s="1" t="s">
        <v>1479</v>
      </c>
      <c r="K6" s="1">
        <v>1</v>
      </c>
    </row>
    <row r="7" spans="1:15">
      <c r="A7" s="1" t="s">
        <v>1497</v>
      </c>
      <c r="B7" s="1" t="s">
        <v>1</v>
      </c>
      <c r="C7" s="1" t="s">
        <v>4</v>
      </c>
      <c r="D7" s="1" t="s">
        <v>6</v>
      </c>
      <c r="E7" s="1" t="s">
        <v>1595</v>
      </c>
      <c r="H7" s="1" t="s">
        <v>1479</v>
      </c>
      <c r="K7" s="1">
        <v>297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995C5-B8B5-4C84-B518-CA991F7EF57F}">
  <sheetPr codeName="Sheet2"/>
  <dimension ref="A1:K26"/>
  <sheetViews>
    <sheetView workbookViewId="0"/>
  </sheetViews>
  <sheetFormatPr defaultRowHeight="15.75"/>
  <cols>
    <col min="1" max="2" width="16.28515625" bestFit="1" customWidth="1"/>
    <col min="3" max="3" width="9.85546875" bestFit="1" customWidth="1"/>
    <col min="4" max="4" width="3.28515625" bestFit="1" customWidth="1"/>
    <col min="5" max="5" width="8.42578125" bestFit="1" customWidth="1"/>
    <col min="6" max="6" width="32.85546875" bestFit="1" customWidth="1"/>
    <col min="7" max="7" width="7.5703125" bestFit="1" customWidth="1"/>
    <col min="8" max="8" width="6" bestFit="1" customWidth="1"/>
    <col min="9" max="9" width="12.7109375" bestFit="1" customWidth="1"/>
    <col min="10" max="10" width="14.42578125" bestFit="1" customWidth="1"/>
    <col min="11" max="11" width="8.140625" bestFit="1" customWidth="1"/>
  </cols>
  <sheetData>
    <row r="1" spans="1:11">
      <c r="F1" t="s">
        <v>1381</v>
      </c>
    </row>
    <row r="2" spans="1:11">
      <c r="I2" t="s">
        <v>1382</v>
      </c>
      <c r="J2" t="s">
        <v>1578</v>
      </c>
    </row>
    <row r="3" spans="1:11">
      <c r="A3" t="s">
        <v>1383</v>
      </c>
      <c r="C3" s="3">
        <v>44831</v>
      </c>
      <c r="F3" t="s">
        <v>1579</v>
      </c>
      <c r="I3" t="s">
        <v>1384</v>
      </c>
      <c r="J3" s="8">
        <v>44832.245613425926</v>
      </c>
    </row>
    <row r="4" spans="1:11">
      <c r="A4" t="s">
        <v>1385</v>
      </c>
      <c r="C4" s="3">
        <v>44831</v>
      </c>
      <c r="I4" t="s">
        <v>1386</v>
      </c>
      <c r="J4" t="s">
        <v>1387</v>
      </c>
    </row>
    <row r="6" spans="1:11">
      <c r="A6" t="s">
        <v>1388</v>
      </c>
      <c r="E6" t="s">
        <v>1389</v>
      </c>
      <c r="G6" t="s">
        <v>1390</v>
      </c>
      <c r="H6" t="s">
        <v>1391</v>
      </c>
      <c r="K6" t="s">
        <v>1392</v>
      </c>
    </row>
    <row r="7" spans="1:11">
      <c r="A7" t="s">
        <v>1388</v>
      </c>
      <c r="B7" t="s">
        <v>1393</v>
      </c>
    </row>
    <row r="8" spans="1:11">
      <c r="A8" t="s">
        <v>1393</v>
      </c>
      <c r="E8" t="s">
        <v>1580</v>
      </c>
      <c r="G8" t="s">
        <v>24</v>
      </c>
      <c r="H8">
        <v>2211</v>
      </c>
      <c r="K8">
        <v>10</v>
      </c>
    </row>
    <row r="9" spans="1:11">
      <c r="A9" t="s">
        <v>1393</v>
      </c>
      <c r="E9" t="s">
        <v>1580</v>
      </c>
      <c r="G9" t="s">
        <v>273</v>
      </c>
      <c r="H9">
        <v>2212</v>
      </c>
      <c r="K9">
        <v>2</v>
      </c>
    </row>
    <row r="10" spans="1:11">
      <c r="A10" t="s">
        <v>1393</v>
      </c>
      <c r="E10" t="s">
        <v>25</v>
      </c>
      <c r="G10" t="s">
        <v>351</v>
      </c>
      <c r="H10">
        <v>2212</v>
      </c>
      <c r="K10">
        <v>1</v>
      </c>
    </row>
    <row r="11" spans="1:11">
      <c r="A11" t="s">
        <v>1393</v>
      </c>
      <c r="E11" t="s">
        <v>25</v>
      </c>
      <c r="G11" t="s">
        <v>825</v>
      </c>
      <c r="H11">
        <v>2212</v>
      </c>
      <c r="K11">
        <v>2</v>
      </c>
    </row>
    <row r="12" spans="1:11">
      <c r="A12" t="s">
        <v>1393</v>
      </c>
      <c r="E12" t="s">
        <v>25</v>
      </c>
      <c r="G12" t="s">
        <v>445</v>
      </c>
      <c r="H12">
        <v>2212</v>
      </c>
      <c r="K12">
        <v>9</v>
      </c>
    </row>
    <row r="13" spans="1:11">
      <c r="A13" t="s">
        <v>1393</v>
      </c>
      <c r="E13" t="s">
        <v>25</v>
      </c>
      <c r="G13" t="s">
        <v>469</v>
      </c>
      <c r="H13">
        <v>2212</v>
      </c>
      <c r="K13">
        <v>6</v>
      </c>
    </row>
    <row r="14" spans="1:11">
      <c r="A14" t="s">
        <v>1393</v>
      </c>
      <c r="E14" t="s">
        <v>1451</v>
      </c>
      <c r="G14" t="s">
        <v>30</v>
      </c>
      <c r="H14">
        <v>2211</v>
      </c>
      <c r="K14">
        <v>4</v>
      </c>
    </row>
    <row r="15" spans="1:11">
      <c r="A15" t="s">
        <v>1393</v>
      </c>
      <c r="E15" t="s">
        <v>1451</v>
      </c>
      <c r="G15" t="s">
        <v>1581</v>
      </c>
      <c r="H15">
        <v>2211</v>
      </c>
      <c r="K15">
        <v>4</v>
      </c>
    </row>
    <row r="16" spans="1:11">
      <c r="A16" t="s">
        <v>1388</v>
      </c>
      <c r="B16" t="s">
        <v>1454</v>
      </c>
    </row>
    <row r="17" spans="1:11">
      <c r="A17" t="s">
        <v>1454</v>
      </c>
      <c r="E17" t="s">
        <v>577</v>
      </c>
      <c r="G17" t="s">
        <v>589</v>
      </c>
      <c r="H17">
        <v>2212</v>
      </c>
      <c r="K17">
        <v>1</v>
      </c>
    </row>
    <row r="18" spans="1:11">
      <c r="A18" t="s">
        <v>1454</v>
      </c>
      <c r="E18" t="s">
        <v>577</v>
      </c>
      <c r="G18" t="s">
        <v>591</v>
      </c>
      <c r="H18">
        <v>2212</v>
      </c>
      <c r="K18">
        <v>2</v>
      </c>
    </row>
    <row r="19" spans="1:11">
      <c r="A19" t="s">
        <v>1388</v>
      </c>
      <c r="B19" t="s">
        <v>1401</v>
      </c>
    </row>
    <row r="20" spans="1:11">
      <c r="A20" t="s">
        <v>1401</v>
      </c>
      <c r="E20" t="s">
        <v>1582</v>
      </c>
      <c r="G20" t="s">
        <v>1583</v>
      </c>
      <c r="H20">
        <v>2210</v>
      </c>
      <c r="K20">
        <v>20</v>
      </c>
    </row>
    <row r="21" spans="1:11">
      <c r="A21" t="s">
        <v>1401</v>
      </c>
      <c r="E21" t="s">
        <v>1582</v>
      </c>
      <c r="G21" t="s">
        <v>1583</v>
      </c>
      <c r="H21">
        <v>2212</v>
      </c>
      <c r="K21">
        <v>3</v>
      </c>
    </row>
    <row r="22" spans="1:11">
      <c r="A22" t="s">
        <v>1401</v>
      </c>
      <c r="E22" t="s">
        <v>822</v>
      </c>
      <c r="G22" t="s">
        <v>1575</v>
      </c>
      <c r="H22">
        <v>2212</v>
      </c>
      <c r="K22">
        <v>2</v>
      </c>
    </row>
    <row r="23" spans="1:11">
      <c r="A23" t="s">
        <v>1388</v>
      </c>
      <c r="B23" t="s">
        <v>1394</v>
      </c>
    </row>
    <row r="24" spans="1:11">
      <c r="A24" t="s">
        <v>1394</v>
      </c>
      <c r="E24" t="s">
        <v>1584</v>
      </c>
      <c r="G24" t="s">
        <v>5</v>
      </c>
      <c r="H24">
        <v>2210</v>
      </c>
      <c r="K24">
        <v>4</v>
      </c>
    </row>
    <row r="25" spans="1:11">
      <c r="A25" t="s">
        <v>1394</v>
      </c>
      <c r="E25" t="s">
        <v>1584</v>
      </c>
      <c r="G25" t="s">
        <v>151</v>
      </c>
      <c r="H25">
        <v>2212</v>
      </c>
      <c r="K25">
        <v>1</v>
      </c>
    </row>
    <row r="26" spans="1:11">
      <c r="A26" t="s">
        <v>1394</v>
      </c>
      <c r="E26" t="s">
        <v>1584</v>
      </c>
      <c r="G26" t="s">
        <v>6</v>
      </c>
      <c r="H26">
        <v>2212</v>
      </c>
      <c r="K26">
        <v>297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F1BAE-0B6A-4945-98EE-F3AB0BF68C32}">
  <sheetPr codeName="Sheet3">
    <tabColor rgb="FFFFC000"/>
  </sheetPr>
  <dimension ref="A1:S200"/>
  <sheetViews>
    <sheetView tabSelected="1" workbookViewId="0">
      <selection activeCell="H4" sqref="H4"/>
    </sheetView>
  </sheetViews>
  <sheetFormatPr defaultRowHeight="15.75"/>
  <cols>
    <col min="1" max="1" width="12.5703125" bestFit="1" customWidth="1"/>
    <col min="2" max="2" width="12.5703125" customWidth="1"/>
    <col min="3" max="3" width="11.5703125" bestFit="1" customWidth="1"/>
    <col min="5" max="5" width="10.42578125" bestFit="1" customWidth="1"/>
    <col min="6" max="6" width="9.7109375" bestFit="1" customWidth="1"/>
    <col min="8" max="8" width="11.5703125" bestFit="1" customWidth="1"/>
    <col min="15" max="15" width="16.28515625" bestFit="1" customWidth="1"/>
    <col min="16" max="16" width="17.85546875" customWidth="1"/>
    <col min="17" max="17" width="13.140625" customWidth="1"/>
  </cols>
  <sheetData>
    <row r="1" spans="1:19" ht="16.5">
      <c r="A1" s="2" t="s">
        <v>1336</v>
      </c>
      <c r="B1" s="2" t="s">
        <v>1366</v>
      </c>
      <c r="C1" s="5" t="s">
        <v>1337</v>
      </c>
      <c r="D1" s="5" t="s">
        <v>1338</v>
      </c>
      <c r="E1" s="5" t="s">
        <v>1339</v>
      </c>
      <c r="F1" s="5" t="s">
        <v>1364</v>
      </c>
      <c r="G1" s="2" t="s">
        <v>1365</v>
      </c>
      <c r="H1" s="5" t="s">
        <v>1402</v>
      </c>
      <c r="O1" s="3" t="s">
        <v>1308</v>
      </c>
      <c r="P1" s="7">
        <f ca="1">TODAY()-1</f>
        <v>44831</v>
      </c>
    </row>
    <row r="2" spans="1:19">
      <c r="A2" t="str">
        <f>_xlfn.IFNA(IF(AND(VLOOKUP(Data!A2,表1[],2,0)="HTA8000",Data!E2="LME"),"HTA8003",VLOOKUP(Data!A2,表1[],2,0)),"")</f>
        <v/>
      </c>
      <c r="B2" t="str">
        <f>IF(A2="","",IF(C2="","X","F"))</f>
        <v/>
      </c>
      <c r="C2" t="str">
        <f>IF(A2="","",VLOOKUP(Data!G2,表3[],2,0))</f>
        <v/>
      </c>
      <c r="D2" t="str">
        <f>IF(A2="","",VLOOKUP(Data!G2,表3[],3,0))</f>
        <v/>
      </c>
      <c r="E2" t="str">
        <f>IF(A2="","",IF(C2="","",VLOOKUP(RIGHT(Data!H2,2),$O$37:$P$48,2,0)&amp;20&amp;LEFT(Data!H2,2)))</f>
        <v/>
      </c>
      <c r="F2" t="str">
        <f>IF(A2="","",IF(C2="",Data!H2+20000000,""))</f>
        <v/>
      </c>
      <c r="G2" t="str">
        <f>IF(A2="","",Data!K2)</f>
        <v/>
      </c>
      <c r="H2" t="str">
        <f>IF(Data!A2="PHSGCQG","8001/8005","")</f>
        <v/>
      </c>
      <c r="O2" s="3"/>
      <c r="P2" s="3"/>
    </row>
    <row r="3" spans="1:19">
      <c r="A3" t="str">
        <f>_xlfn.IFNA(IF(AND(VLOOKUP(Data!A3,表1[],2,0)="HTA8000",Data!E3="LME"),"HTA8003",VLOOKUP(Data!A3,表1[],2,0)),"")</f>
        <v/>
      </c>
      <c r="B3" t="str">
        <f t="shared" ref="B3:B66" si="0">IF(A3="","",IF(C3="","X","F"))</f>
        <v/>
      </c>
      <c r="C3" t="str">
        <f>IF(A3="","",VLOOKUP(Data!G3,表3[],2,0))</f>
        <v/>
      </c>
      <c r="D3" t="str">
        <f>IF(A3="","",VLOOKUP(Data!G3,表3[],3,0))</f>
        <v/>
      </c>
      <c r="E3" t="str">
        <f>IF(A3="","",IF(C3="","",VLOOKUP(RIGHT(Data!H3,2),$O$37:$P$48,2,0)&amp;20&amp;LEFT(Data!H3,2)))</f>
        <v/>
      </c>
      <c r="F3" t="str">
        <f>IF(A3="","",IF(C3="",Data!H3+20000000,""))</f>
        <v/>
      </c>
      <c r="G3" t="str">
        <f>IF(A3="","",Data!K3)</f>
        <v/>
      </c>
      <c r="H3" t="str">
        <f>IF(Data!A3="PHSGCQG","8001/8005","")</f>
        <v/>
      </c>
      <c r="O3" s="3"/>
      <c r="P3" s="3"/>
    </row>
    <row r="4" spans="1:19">
      <c r="A4" t="str">
        <f>_xlfn.IFNA(IF(AND(VLOOKUP(Data!A4,表1[],2,0)="HTA8000",Data!E4="LME"),"HTA8003",VLOOKUP(Data!A4,表1[],2,0)),"")</f>
        <v/>
      </c>
      <c r="B4" t="str">
        <f t="shared" si="0"/>
        <v/>
      </c>
      <c r="C4" t="str">
        <f>IF(A4="","",VLOOKUP(Data!G4,表3[],2,0))</f>
        <v/>
      </c>
      <c r="D4" t="str">
        <f>IF(A4="","",VLOOKUP(Data!G4,表3[],3,0))</f>
        <v/>
      </c>
      <c r="E4" t="str">
        <f>IF(A4="","",IF(C4="","",VLOOKUP(RIGHT(Data!H4,2),$O$37:$P$48,2,0)&amp;20&amp;LEFT(Data!H4,2)))</f>
        <v/>
      </c>
      <c r="F4" t="str">
        <f>IF(A4="","",IF(C4="",Data!H4+20000000,""))</f>
        <v/>
      </c>
      <c r="G4" t="str">
        <f>IF(A4="","",Data!K4)</f>
        <v/>
      </c>
      <c r="H4" t="str">
        <f>IF(Data!A4="PHSGCQG","8001/8005","")</f>
        <v/>
      </c>
      <c r="O4" s="3"/>
      <c r="P4" s="3"/>
    </row>
    <row r="5" spans="1:19" ht="16.5">
      <c r="A5" t="str">
        <f>_xlfn.IFNA(IF(AND(VLOOKUP(Data!A5,表1[],2,0)="HTA8000",Data!E5="LME"),"HTA8003",VLOOKUP(Data!A5,表1[],2,0)),"")</f>
        <v/>
      </c>
      <c r="B5" t="str">
        <f t="shared" si="0"/>
        <v/>
      </c>
      <c r="C5" t="str">
        <f>IF(A5="","",VLOOKUP(Data!G5,表3[],2,0))</f>
        <v/>
      </c>
      <c r="D5" t="str">
        <f>IF(A5="","",VLOOKUP(Data!G5,表3[],3,0))</f>
        <v/>
      </c>
      <c r="E5" t="str">
        <f>IF(A5="","",IF(C5="","",VLOOKUP(RIGHT(Data!H5,2),$O$37:$P$48,2,0)&amp;20&amp;LEFT(Data!H5,2)))</f>
        <v/>
      </c>
      <c r="F5" t="str">
        <f>IF(A5="","",IF(C5="",Data!H5+20000000,""))</f>
        <v/>
      </c>
      <c r="G5" t="str">
        <f>IF(A5="","",Data!K5)</f>
        <v/>
      </c>
      <c r="H5" t="str">
        <f>IF(Data!A5="PHSGCQG","8001/8005","")</f>
        <v/>
      </c>
      <c r="O5" s="4" t="s">
        <v>1317</v>
      </c>
      <c r="P5" s="4" t="s">
        <v>1318</v>
      </c>
    </row>
    <row r="6" spans="1:19">
      <c r="A6" t="str">
        <f>_xlfn.IFNA(IF(AND(VLOOKUP(Data!A6,表1[],2,0)="HTA8000",Data!E6="LME"),"HTA8003",VLOOKUP(Data!A6,表1[],2,0)),"")</f>
        <v/>
      </c>
      <c r="B6" t="str">
        <f t="shared" si="0"/>
        <v/>
      </c>
      <c r="C6" t="str">
        <f>IF(A6="","",VLOOKUP(Data!G6,表3[],2,0))</f>
        <v/>
      </c>
      <c r="D6" t="str">
        <f>IF(A6="","",VLOOKUP(Data!G6,表3[],3,0))</f>
        <v/>
      </c>
      <c r="E6" t="str">
        <f>IF(A6="","",IF(C6="","",VLOOKUP(RIGHT(Data!H6,2),$O$37:$P$48,2,0)&amp;20&amp;LEFT(Data!H6,2)))</f>
        <v/>
      </c>
      <c r="F6" t="str">
        <f>IF(A6="","",IF(C6="",Data!H6+20000000,""))</f>
        <v/>
      </c>
      <c r="G6" t="str">
        <f>IF(A6="","",Data!K6)</f>
        <v/>
      </c>
      <c r="H6" t="str">
        <f>IF(Data!A6="PHSGCQG","8001/8005","")</f>
        <v/>
      </c>
      <c r="O6" s="3" t="s">
        <v>1309</v>
      </c>
      <c r="P6" s="3" t="s">
        <v>1310</v>
      </c>
      <c r="Q6" s="3" t="s">
        <v>1313</v>
      </c>
      <c r="R6" s="3" t="s">
        <v>1398</v>
      </c>
      <c r="S6" s="3" t="s">
        <v>1399</v>
      </c>
    </row>
    <row r="7" spans="1:19">
      <c r="A7" t="str">
        <f>_xlfn.IFNA(IF(AND(VLOOKUP(Data!A7,表1[],2,0)="HTA8000",Data!E7="LME"),"HTA8003",VLOOKUP(Data!A7,表1[],2,0)),"")</f>
        <v/>
      </c>
      <c r="B7" t="str">
        <f t="shared" si="0"/>
        <v/>
      </c>
      <c r="C7" t="str">
        <f>IF(A7="","",VLOOKUP(Data!G7,表3[],2,0))</f>
        <v/>
      </c>
      <c r="D7" t="str">
        <f>IF(A7="","",VLOOKUP(Data!G7,表3[],3,0))</f>
        <v/>
      </c>
      <c r="E7" t="str">
        <f>IF(A7="","",IF(C7="","",VLOOKUP(RIGHT(Data!H7,2),$O$37:$P$48,2,0)&amp;20&amp;LEFT(Data!H7,2)))</f>
        <v/>
      </c>
      <c r="F7" t="str">
        <f>IF(A7="","",IF(C7="",Data!H7+20000000,""))</f>
        <v/>
      </c>
      <c r="G7" t="str">
        <f>IF(A7="","",Data!K7)</f>
        <v/>
      </c>
      <c r="H7" t="str">
        <f>IF(Data!A7="PHSGCQG","8001/8005","")</f>
        <v/>
      </c>
      <c r="O7" s="3" t="s">
        <v>1311</v>
      </c>
      <c r="P7" s="3" t="s">
        <v>1312</v>
      </c>
      <c r="Q7" s="3"/>
      <c r="R7" s="3"/>
      <c r="S7" s="3"/>
    </row>
    <row r="8" spans="1:19">
      <c r="A8" t="str">
        <f>_xlfn.IFNA(IF(AND(VLOOKUP(Data!A8,表1[],2,0)="HTA8000",Data!E8="LME"),"HTA8003",VLOOKUP(Data!A8,表1[],2,0)),"")</f>
        <v/>
      </c>
      <c r="B8" t="str">
        <f t="shared" si="0"/>
        <v/>
      </c>
      <c r="C8" t="str">
        <f>IF(A8="","",VLOOKUP(Data!G8,表3[],2,0))</f>
        <v/>
      </c>
      <c r="D8" t="str">
        <f>IF(A8="","",VLOOKUP(Data!G8,表3[],3,0))</f>
        <v/>
      </c>
      <c r="E8" t="str">
        <f>IF(A8="","",IF(C8="","",VLOOKUP(RIGHT(Data!H8,2),$O$37:$P$48,2,0)&amp;20&amp;LEFT(Data!H8,2)))</f>
        <v/>
      </c>
      <c r="F8" t="str">
        <f>IF(A8="","",IF(C8="",Data!H8+20000000,""))</f>
        <v/>
      </c>
      <c r="G8" t="str">
        <f>IF(A8="","",Data!K8)</f>
        <v/>
      </c>
      <c r="H8" t="str">
        <f>IF(Data!A8="PHSGCQG","8001/8005","")</f>
        <v/>
      </c>
      <c r="O8" s="3" t="s">
        <v>1314</v>
      </c>
      <c r="P8" s="3" t="str">
        <f>""</f>
        <v/>
      </c>
      <c r="Q8" s="3" t="s">
        <v>1316</v>
      </c>
      <c r="R8" s="3" t="s">
        <v>1315</v>
      </c>
      <c r="S8" s="3"/>
    </row>
    <row r="9" spans="1:19">
      <c r="A9" t="str">
        <f>_xlfn.IFNA(IF(AND(VLOOKUP(Data!A9,表1[],2,0)="HTA8000",Data!E9="LME"),"HTA8003",VLOOKUP(Data!A9,表1[],2,0)),"")</f>
        <v/>
      </c>
      <c r="B9" t="str">
        <f t="shared" si="0"/>
        <v/>
      </c>
      <c r="C9" t="str">
        <f>IF(A9="","",VLOOKUP(Data!G9,表3[],2,0))</f>
        <v/>
      </c>
      <c r="D9" t="str">
        <f>IF(A9="","",VLOOKUP(Data!G9,表3[],3,0))</f>
        <v/>
      </c>
      <c r="E9" t="str">
        <f>IF(A9="","",IF(C9="","",VLOOKUP(RIGHT(Data!H9,2),$O$37:$P$48,2,0)&amp;20&amp;LEFT(Data!H9,2)))</f>
        <v/>
      </c>
      <c r="F9" t="str">
        <f>IF(A9="","",IF(C9="",Data!H9+20000000,""))</f>
        <v/>
      </c>
      <c r="G9" t="str">
        <f>IF(A9="","",Data!K9)</f>
        <v/>
      </c>
      <c r="H9" t="str">
        <f>IF(Data!A9="PHSGCQG","8001/8005","")</f>
        <v/>
      </c>
      <c r="O9" s="3"/>
      <c r="P9" s="3"/>
      <c r="Q9" t="s">
        <v>1397</v>
      </c>
      <c r="R9" t="s">
        <v>1396</v>
      </c>
    </row>
    <row r="10" spans="1:19">
      <c r="A10" t="str">
        <f>_xlfn.IFNA(IF(AND(VLOOKUP(Data!A10,表1[],2,0)="HTA8000",Data!E10="LME"),"HTA8003",VLOOKUP(Data!A10,表1[],2,0)),"")</f>
        <v/>
      </c>
      <c r="B10" t="str">
        <f t="shared" si="0"/>
        <v/>
      </c>
      <c r="C10" t="str">
        <f>IF(A10="","",VLOOKUP(Data!G10,表3[],2,0))</f>
        <v/>
      </c>
      <c r="D10" t="str">
        <f>IF(A10="","",VLOOKUP(Data!G10,表3[],3,0))</f>
        <v/>
      </c>
      <c r="E10" t="str">
        <f>IF(A10="","",IF(C10="","",VLOOKUP(RIGHT(Data!H10,2),$O$37:$P$48,2,0)&amp;20&amp;LEFT(Data!H10,2)))</f>
        <v/>
      </c>
      <c r="F10" t="str">
        <f>IF(A10="","",IF(C10="",Data!H10+20000000,""))</f>
        <v/>
      </c>
      <c r="G10" t="str">
        <f>IF(A10="","",Data!K10)</f>
        <v/>
      </c>
      <c r="H10" t="str">
        <f>IF(Data!A10="PHSGCQG","8001/8005","")</f>
        <v/>
      </c>
    </row>
    <row r="11" spans="1:19">
      <c r="A11" t="str">
        <f>_xlfn.IFNA(IF(AND(VLOOKUP(Data!A11,表1[],2,0)="HTA8000",Data!E11="LME"),"HTA8003",VLOOKUP(Data!A11,表1[],2,0)),"")</f>
        <v/>
      </c>
      <c r="B11" t="str">
        <f t="shared" si="0"/>
        <v/>
      </c>
      <c r="C11" t="str">
        <f>IF(A11="","",VLOOKUP(Data!G11,表3[],2,0))</f>
        <v/>
      </c>
      <c r="D11" t="str">
        <f>IF(A11="","",VLOOKUP(Data!G11,表3[],3,0))</f>
        <v/>
      </c>
      <c r="E11" t="str">
        <f>IF(A11="","",IF(C11="","",VLOOKUP(RIGHT(Data!H11,2),$O$37:$P$48,2,0)&amp;20&amp;LEFT(Data!H11,2)))</f>
        <v/>
      </c>
      <c r="F11" t="str">
        <f>IF(A11="","",IF(C11="",Data!H11+20000000,""))</f>
        <v/>
      </c>
      <c r="G11" t="str">
        <f>IF(A11="","",Data!K11)</f>
        <v/>
      </c>
      <c r="H11" t="str">
        <f>IF(Data!A11="PHSGCQG","8001/8005","")</f>
        <v/>
      </c>
    </row>
    <row r="12" spans="1:19">
      <c r="A12" t="str">
        <f>_xlfn.IFNA(IF(AND(VLOOKUP(Data!A12,表1[],2,0)="HTA8000",Data!E12="LME"),"HTA8003",VLOOKUP(Data!A12,表1[],2,0)),"")</f>
        <v/>
      </c>
      <c r="B12" t="str">
        <f t="shared" si="0"/>
        <v/>
      </c>
      <c r="C12" t="str">
        <f>IF(A12="","",VLOOKUP(Data!G12,表3[],2,0))</f>
        <v/>
      </c>
      <c r="D12" t="str">
        <f>IF(A12="","",VLOOKUP(Data!G12,表3[],3,0))</f>
        <v/>
      </c>
      <c r="E12" t="str">
        <f>IF(A12="","",IF(C12="","",VLOOKUP(RIGHT(Data!H12,2),$O$37:$P$48,2,0)&amp;20&amp;LEFT(Data!H12,2)))</f>
        <v/>
      </c>
      <c r="F12" t="str">
        <f>IF(A12="","",IF(C12="",Data!H12+20000000,""))</f>
        <v/>
      </c>
      <c r="G12" t="str">
        <f>IF(A12="","",Data!K12)</f>
        <v/>
      </c>
      <c r="H12" t="str">
        <f>IF(Data!A12="PHSGCQG","8001/8005","")</f>
        <v/>
      </c>
    </row>
    <row r="13" spans="1:19">
      <c r="A13" t="str">
        <f>_xlfn.IFNA(IF(AND(VLOOKUP(Data!A13,表1[],2,0)="HTA8000",Data!E13="LME"),"HTA8003",VLOOKUP(Data!A13,表1[],2,0)),"")</f>
        <v/>
      </c>
      <c r="B13" t="str">
        <f t="shared" si="0"/>
        <v/>
      </c>
      <c r="C13" t="str">
        <f>IF(A13="","",VLOOKUP(Data!G13,表3[],2,0))</f>
        <v/>
      </c>
      <c r="D13" t="str">
        <f>IF(A13="","",VLOOKUP(Data!G13,表3[],3,0))</f>
        <v/>
      </c>
      <c r="E13" t="str">
        <f>IF(A13="","",IF(C13="","",VLOOKUP(RIGHT(Data!H13,2),$O$37:$P$48,2,0)&amp;20&amp;LEFT(Data!H13,2)))</f>
        <v/>
      </c>
      <c r="F13" t="str">
        <f>IF(A13="","",IF(C13="",Data!H13+20000000,""))</f>
        <v/>
      </c>
      <c r="G13" t="str">
        <f>IF(A13="","",Data!K13)</f>
        <v/>
      </c>
      <c r="H13" t="str">
        <f>IF(Data!A13="PHSGCQG","8001/8005","")</f>
        <v/>
      </c>
      <c r="O13" s="5" t="s">
        <v>1319</v>
      </c>
    </row>
    <row r="14" spans="1:19">
      <c r="A14" t="str">
        <f>_xlfn.IFNA(IF(AND(VLOOKUP(Data!A14,表1[],2,0)="HTA8000",Data!E14="LME"),"HTA8003",VLOOKUP(Data!A14,表1[],2,0)),"")</f>
        <v/>
      </c>
      <c r="B14" t="str">
        <f t="shared" si="0"/>
        <v/>
      </c>
      <c r="C14" t="str">
        <f>IF(A14="","",VLOOKUP(Data!G14,表3[],2,0))</f>
        <v/>
      </c>
      <c r="D14" t="str">
        <f>IF(A14="","",VLOOKUP(Data!G14,表3[],3,0))</f>
        <v/>
      </c>
      <c r="E14" t="str">
        <f>IF(A14="","",IF(C14="","",VLOOKUP(RIGHT(Data!H14,2),$O$37:$P$48,2,0)&amp;20&amp;LEFT(Data!H14,2)))</f>
        <v/>
      </c>
      <c r="F14" t="str">
        <f>IF(A14="","",IF(C14="",Data!H14+20000000,""))</f>
        <v/>
      </c>
      <c r="G14" t="str">
        <f>IF(A14="","",Data!K14)</f>
        <v/>
      </c>
      <c r="H14" t="str">
        <f>IF(Data!A14="PHSGCQG","8001/8005","")</f>
        <v/>
      </c>
      <c r="O14" s="5" t="s">
        <v>1320</v>
      </c>
      <c r="P14" s="5" t="s">
        <v>1322</v>
      </c>
      <c r="Q14" s="5" t="s">
        <v>1323</v>
      </c>
    </row>
    <row r="15" spans="1:19">
      <c r="A15" t="str">
        <f>_xlfn.IFNA(IF(AND(VLOOKUP(Data!A15,表1[],2,0)="HTA8000",Data!E15="LME"),"HTA8003",VLOOKUP(Data!A15,表1[],2,0)),"")</f>
        <v/>
      </c>
      <c r="B15" t="str">
        <f t="shared" si="0"/>
        <v/>
      </c>
      <c r="C15" t="str">
        <f>IF(A15="","",VLOOKUP(Data!G15,表3[],2,0))</f>
        <v/>
      </c>
      <c r="D15" t="str">
        <f>IF(A15="","",VLOOKUP(Data!G15,表3[],3,0))</f>
        <v/>
      </c>
      <c r="E15" t="str">
        <f>IF(A15="","",IF(C15="","",VLOOKUP(RIGHT(Data!H15,2),$O$37:$P$48,2,0)&amp;20&amp;LEFT(Data!H15,2)))</f>
        <v/>
      </c>
      <c r="F15" t="str">
        <f>IF(A15="","",IF(C15="",Data!H15+20000000,""))</f>
        <v/>
      </c>
      <c r="G15" t="str">
        <f>IF(A15="","",Data!K15)</f>
        <v/>
      </c>
      <c r="H15" t="str">
        <f>IF(Data!A15="PHSGCQG","8001/8005","")</f>
        <v/>
      </c>
      <c r="O15" t="s">
        <v>1574</v>
      </c>
      <c r="P15" s="5" t="s">
        <v>1324</v>
      </c>
      <c r="Q15" s="5" t="s">
        <v>1321</v>
      </c>
    </row>
    <row r="16" spans="1:19">
      <c r="A16" t="str">
        <f>_xlfn.IFNA(IF(AND(VLOOKUP(Data!A16,表1[],2,0)="HTA8000",Data!E16="LME"),"HTA8003",VLOOKUP(Data!A16,表1[],2,0)),"")</f>
        <v/>
      </c>
      <c r="B16" t="str">
        <f t="shared" si="0"/>
        <v/>
      </c>
      <c r="C16" t="str">
        <f>IF(A16="","",VLOOKUP(Data!G16,表3[],2,0))</f>
        <v/>
      </c>
      <c r="D16" t="str">
        <f>IF(A16="","",VLOOKUP(Data!G16,表3[],3,0))</f>
        <v/>
      </c>
      <c r="E16" t="str">
        <f>IF(A16="","",IF(C16="","",VLOOKUP(RIGHT(Data!H16,2),$O$37:$P$48,2,0)&amp;20&amp;LEFT(Data!H16,2)))</f>
        <v/>
      </c>
      <c r="F16" t="str">
        <f>IF(A16="","",IF(C16="",Data!H16+20000000,""))</f>
        <v/>
      </c>
      <c r="G16" t="str">
        <f>IF(A16="","",Data!K16)</f>
        <v/>
      </c>
      <c r="H16" t="str">
        <f>IF(Data!A16="PHSGCQG","8001/8005","")</f>
        <v/>
      </c>
      <c r="O16" t="s">
        <v>5</v>
      </c>
      <c r="P16" t="s">
        <v>1325</v>
      </c>
      <c r="Q16" s="5" t="s">
        <v>1326</v>
      </c>
    </row>
    <row r="17" spans="1:17">
      <c r="A17" t="str">
        <f>_xlfn.IFNA(IF(AND(VLOOKUP(Data!A17,表1[],2,0)="HTA8000",Data!E17="LME"),"HTA8003",VLOOKUP(Data!A17,表1[],2,0)),"")</f>
        <v/>
      </c>
      <c r="B17" t="str">
        <f t="shared" si="0"/>
        <v/>
      </c>
      <c r="C17" t="str">
        <f>IF(A17="","",VLOOKUP(Data!G17,表3[],2,0))</f>
        <v/>
      </c>
      <c r="D17" t="str">
        <f>IF(A17="","",VLOOKUP(Data!G17,表3[],3,0))</f>
        <v/>
      </c>
      <c r="E17" t="str">
        <f>IF(A17="","",IF(C17="","",VLOOKUP(RIGHT(Data!H17,2),$O$37:$P$48,2,0)&amp;20&amp;LEFT(Data!H17,2)))</f>
        <v/>
      </c>
      <c r="F17" t="str">
        <f>IF(A17="","",IF(C17="",Data!H17+20000000,""))</f>
        <v/>
      </c>
      <c r="G17" t="str">
        <f>IF(A17="","",Data!K17)</f>
        <v/>
      </c>
      <c r="H17" t="str">
        <f>IF(Data!A17="PHSGCQG","8001/8005","")</f>
        <v/>
      </c>
      <c r="O17" t="s">
        <v>6</v>
      </c>
      <c r="P17" t="s">
        <v>1325</v>
      </c>
      <c r="Q17" s="5" t="s">
        <v>1327</v>
      </c>
    </row>
    <row r="18" spans="1:17">
      <c r="A18" t="str">
        <f>_xlfn.IFNA(IF(AND(VLOOKUP(Data!A18,表1[],2,0)="HTA8000",Data!E18="LME"),"HTA8003",VLOOKUP(Data!A18,表1[],2,0)),"")</f>
        <v/>
      </c>
      <c r="B18" t="str">
        <f t="shared" si="0"/>
        <v/>
      </c>
      <c r="C18" t="str">
        <f>IF(A18="","",VLOOKUP(Data!G18,表3[],2,0))</f>
        <v/>
      </c>
      <c r="D18" t="str">
        <f>IF(A18="","",VLOOKUP(Data!G18,表3[],3,0))</f>
        <v/>
      </c>
      <c r="E18" t="str">
        <f>IF(A18="","",IF(C18="","",VLOOKUP(RIGHT(Data!H18,2),$O$37:$P$48,2,0)&amp;20&amp;LEFT(Data!H18,2)))</f>
        <v/>
      </c>
      <c r="F18" t="str">
        <f>IF(A18="","",IF(C18="",Data!H18+20000000,""))</f>
        <v/>
      </c>
      <c r="G18" t="str">
        <f>IF(A18="","",Data!K18)</f>
        <v/>
      </c>
      <c r="H18" t="str">
        <f>IF(Data!A18="PHSGCQG","8001/8005","")</f>
        <v/>
      </c>
      <c r="O18" t="s">
        <v>1503</v>
      </c>
      <c r="P18" t="s">
        <v>1325</v>
      </c>
      <c r="Q18" t="s">
        <v>1504</v>
      </c>
    </row>
    <row r="19" spans="1:17">
      <c r="A19" t="str">
        <f>_xlfn.IFNA(IF(AND(VLOOKUP(Data!A19,表1[],2,0)="HTA8000",Data!E19="LME"),"HTA8003",VLOOKUP(Data!A19,表1[],2,0)),"")</f>
        <v/>
      </c>
      <c r="B19" t="str">
        <f t="shared" si="0"/>
        <v/>
      </c>
      <c r="C19" t="str">
        <f>IF(A19="","",VLOOKUP(Data!G19,表3[],2,0))</f>
        <v/>
      </c>
      <c r="D19" t="str">
        <f>IF(A19="","",VLOOKUP(Data!G19,表3[],3,0))</f>
        <v/>
      </c>
      <c r="E19" t="str">
        <f>IF(A19="","",IF(C19="","",VLOOKUP(RIGHT(Data!H19,2),$O$37:$P$48,2,0)&amp;20&amp;LEFT(Data!H19,2)))</f>
        <v/>
      </c>
      <c r="F19" t="str">
        <f>IF(A19="","",IF(C19="",Data!H19+20000000,""))</f>
        <v/>
      </c>
      <c r="G19" t="str">
        <f>IF(A19="","",Data!K19)</f>
        <v/>
      </c>
      <c r="H19" t="str">
        <f>IF(Data!A19="PHSGCQG","8001/8005","")</f>
        <v/>
      </c>
      <c r="O19" t="s">
        <v>1577</v>
      </c>
      <c r="P19" t="s">
        <v>4</v>
      </c>
      <c r="Q19" s="5" t="s">
        <v>151</v>
      </c>
    </row>
    <row r="20" spans="1:17">
      <c r="A20" t="str">
        <f>_xlfn.IFNA(IF(AND(VLOOKUP(Data!A20,表1[],2,0)="HTA8000",Data!E20="LME"),"HTA8003",VLOOKUP(Data!A20,表1[],2,0)),"")</f>
        <v>HTA8000</v>
      </c>
      <c r="B20" t="str">
        <f t="shared" si="0"/>
        <v>F</v>
      </c>
      <c r="C20" t="str">
        <f>IF(A20="","",VLOOKUP(Data!G20,表3[],2,0))</f>
        <v>KLCE</v>
      </c>
      <c r="D20" t="str">
        <f>IF(A20="","",VLOOKUP(Data!G20,表3[],3,0))</f>
        <v>PO</v>
      </c>
      <c r="E20" t="str">
        <f>IF(A20="","",IF(C20="","",VLOOKUP(RIGHT(Data!H20,2),$O$37:$P$48,2,0)&amp;20&amp;LEFT(Data!H20,2)))</f>
        <v>V2022</v>
      </c>
      <c r="F20" t="str">
        <f>IF(A20="","",IF(C20="",Data!H20+20000000,""))</f>
        <v/>
      </c>
      <c r="G20">
        <f>IF(A20="","",Data!K20)</f>
        <v>20</v>
      </c>
      <c r="H20" t="str">
        <f>IF(Data!A20="PHSGCQG","8001/8005","")</f>
        <v/>
      </c>
      <c r="O20" s="15" t="s">
        <v>950</v>
      </c>
      <c r="P20" s="15" t="s">
        <v>932</v>
      </c>
      <c r="Q20" t="s">
        <v>950</v>
      </c>
    </row>
    <row r="21" spans="1:17">
      <c r="A21" t="str">
        <f>_xlfn.IFNA(IF(AND(VLOOKUP(Data!A21,表1[],2,0)="HTA8000",Data!E21="LME"),"HTA8003",VLOOKUP(Data!A21,表1[],2,0)),"")</f>
        <v>HTA8000</v>
      </c>
      <c r="B21" t="str">
        <f t="shared" si="0"/>
        <v>F</v>
      </c>
      <c r="C21" t="str">
        <f>IF(A21="","",VLOOKUP(Data!G21,表3[],2,0))</f>
        <v>KLCE</v>
      </c>
      <c r="D21" t="str">
        <f>IF(A21="","",VLOOKUP(Data!G21,表3[],3,0))</f>
        <v>PO</v>
      </c>
      <c r="E21" t="str">
        <f>IF(A21="","",IF(C21="","",VLOOKUP(RIGHT(Data!H21,2),$O$37:$P$48,2,0)&amp;20&amp;LEFT(Data!H21,2)))</f>
        <v>Z2022</v>
      </c>
      <c r="F21" t="str">
        <f>IF(A21="","",IF(C21="",Data!H21+20000000,""))</f>
        <v/>
      </c>
      <c r="G21">
        <f>IF(A21="","",Data!K21)</f>
        <v>3</v>
      </c>
      <c r="H21" t="str">
        <f>IF(Data!A21="PHSGCQG","8001/8005","")</f>
        <v/>
      </c>
      <c r="O21" t="s">
        <v>1576</v>
      </c>
      <c r="P21" t="s">
        <v>229</v>
      </c>
      <c r="Q21" t="s">
        <v>230</v>
      </c>
    </row>
    <row r="22" spans="1:17">
      <c r="A22" t="str">
        <f>_xlfn.IFNA(IF(AND(VLOOKUP(Data!A22,表1[],2,0)="HTA8000",Data!E22="LME"),"HTA8003",VLOOKUP(Data!A22,表1[],2,0)),"")</f>
        <v>HTA8000</v>
      </c>
      <c r="B22" t="str">
        <f t="shared" si="0"/>
        <v>F</v>
      </c>
      <c r="C22" t="str">
        <f>IF(A22="","",VLOOKUP(Data!G22,表3[],2,0))</f>
        <v>LIFFE</v>
      </c>
      <c r="D22" t="str">
        <f>IF(A22="","",VLOOKUP(Data!G22,表3[],3,0))</f>
        <v>FT</v>
      </c>
      <c r="E22" t="str">
        <f>IF(A22="","",IF(C22="","",VLOOKUP(RIGHT(Data!H22,2),$O$37:$P$48,2,0)&amp;20&amp;LEFT(Data!H22,2)))</f>
        <v>Z2022</v>
      </c>
      <c r="F22" t="str">
        <f>IF(A22="","",IF(C22="",Data!H22+20000000,""))</f>
        <v/>
      </c>
      <c r="G22">
        <f>IF(A22="","",Data!K22)</f>
        <v>2</v>
      </c>
      <c r="H22" t="str">
        <f>IF(Data!A22="PHSGCQG","8001/8005","")</f>
        <v/>
      </c>
      <c r="O22" t="s">
        <v>1575</v>
      </c>
      <c r="P22" t="s">
        <v>822</v>
      </c>
      <c r="Q22" t="s">
        <v>829</v>
      </c>
    </row>
    <row r="23" spans="1:17">
      <c r="A23" t="str">
        <f>_xlfn.IFNA(IF(AND(VLOOKUP(Data!A23,表1[],2,0)="HTA8000",Data!E23="LME"),"HTA8003",VLOOKUP(Data!A23,表1[],2,0)),"")</f>
        <v/>
      </c>
      <c r="B23" t="str">
        <f t="shared" si="0"/>
        <v/>
      </c>
      <c r="C23" t="str">
        <f>IF(A23="","",VLOOKUP(Data!G23,表3[],2,0))</f>
        <v/>
      </c>
      <c r="D23" t="str">
        <f>IF(A23="","",VLOOKUP(Data!G23,表3[],3,0))</f>
        <v/>
      </c>
      <c r="E23" t="str">
        <f>IF(A23="","",IF(C23="","",VLOOKUP(RIGHT(Data!H23,2),$O$37:$P$48,2,0)&amp;20&amp;LEFT(Data!H23,2)))</f>
        <v/>
      </c>
      <c r="F23" t="str">
        <f>IF(A23="","",IF(C23="",Data!H23+20000000,""))</f>
        <v/>
      </c>
      <c r="G23" t="str">
        <f>IF(A23="","",Data!K23)</f>
        <v/>
      </c>
      <c r="H23" t="str">
        <f>IF(Data!A23="PHSGCQG","8001/8005","")</f>
        <v/>
      </c>
      <c r="P23" s="5"/>
      <c r="Q23" s="5"/>
    </row>
    <row r="24" spans="1:17" ht="16.5">
      <c r="A24" t="str">
        <f>_xlfn.IFNA(IF(AND(VLOOKUP(Data!A24,表1[],2,0)="HTA8000",Data!E24="LME"),"HTA8003",VLOOKUP(Data!A24,表1[],2,0)),"")</f>
        <v>HTA8004</v>
      </c>
      <c r="B24" t="str">
        <f t="shared" si="0"/>
        <v>F</v>
      </c>
      <c r="C24" t="str">
        <f>IF(A24="","",VLOOKUP(Data!G24,表3[],2,0))</f>
        <v>SIMEX</v>
      </c>
      <c r="D24" t="str">
        <f>IF(A24="","",VLOOKUP(Data!G24,表3[],3,0))</f>
        <v>CN</v>
      </c>
      <c r="E24" t="str">
        <f>IF(A24="","",IF(C24="","",VLOOKUP(RIGHT(Data!H24,2),$O$37:$P$48,2,0)&amp;20&amp;LEFT(Data!H24,2)))</f>
        <v>V2022</v>
      </c>
      <c r="F24" t="str">
        <f>IF(A24="","",IF(C24="",Data!H24+20000000,""))</f>
        <v/>
      </c>
      <c r="G24">
        <f>IF(A24="","",Data!K24)</f>
        <v>4</v>
      </c>
      <c r="H24" t="str">
        <f>IF(Data!A24="PHSGCQG","8001/8005","")</f>
        <v/>
      </c>
      <c r="O24" s="9" t="s">
        <v>1400</v>
      </c>
      <c r="P24" t="str">
        <f>""</f>
        <v/>
      </c>
      <c r="Q24" s="5" t="s">
        <v>1329</v>
      </c>
    </row>
    <row r="25" spans="1:17">
      <c r="A25" t="str">
        <f>_xlfn.IFNA(IF(AND(VLOOKUP(Data!A25,表1[],2,0)="HTA8000",Data!E25="LME"),"HTA8003",VLOOKUP(Data!A25,表1[],2,0)),"")</f>
        <v>HTA8004</v>
      </c>
      <c r="B25" t="str">
        <f t="shared" si="0"/>
        <v>F</v>
      </c>
      <c r="C25" t="str">
        <f>IF(A25="","",VLOOKUP(Data!G25,表3[],2,0))</f>
        <v>SIMEX</v>
      </c>
      <c r="D25" t="str">
        <f>IF(A25="","",VLOOKUP(Data!G25,表3[],3,0))</f>
        <v>NK</v>
      </c>
      <c r="E25" t="str">
        <f>IF(A25="","",IF(C25="","",VLOOKUP(RIGHT(Data!H25,2),$O$37:$P$48,2,0)&amp;20&amp;LEFT(Data!H25,2)))</f>
        <v>Z2022</v>
      </c>
      <c r="F25" t="str">
        <f>IF(A25="","",IF(C25="",Data!H25+20000000,""))</f>
        <v/>
      </c>
      <c r="G25">
        <f>IF(A25="","",Data!K25)</f>
        <v>1</v>
      </c>
      <c r="H25" t="str">
        <f>IF(Data!A25="PHSGCQG","8001/8005","")</f>
        <v/>
      </c>
      <c r="O25" t="s">
        <v>37</v>
      </c>
      <c r="P25" t="str">
        <f>""</f>
        <v/>
      </c>
      <c r="Q25" s="5" t="s">
        <v>1328</v>
      </c>
    </row>
    <row r="26" spans="1:17">
      <c r="A26" t="str">
        <f>_xlfn.IFNA(IF(AND(VLOOKUP(Data!A26,表1[],2,0)="HTA8000",Data!E26="LME"),"HTA8003",VLOOKUP(Data!A26,表1[],2,0)),"")</f>
        <v>HTA8004</v>
      </c>
      <c r="B26" t="str">
        <f t="shared" si="0"/>
        <v>F</v>
      </c>
      <c r="C26" t="str">
        <f>IF(A26="","",VLOOKUP(Data!G26,表3[],2,0))</f>
        <v>SIMEX</v>
      </c>
      <c r="D26" t="str">
        <f>IF(A26="","",VLOOKUP(Data!G26,表3[],3,0))</f>
        <v>UC</v>
      </c>
      <c r="E26" t="str">
        <f>IF(A26="","",IF(C26="","",VLOOKUP(RIGHT(Data!H26,2),$O$37:$P$48,2,0)&amp;20&amp;LEFT(Data!H26,2)))</f>
        <v>Z2022</v>
      </c>
      <c r="F26" t="str">
        <f>IF(A26="","",IF(C26="",Data!H26+20000000,""))</f>
        <v/>
      </c>
      <c r="G26">
        <f>IF(A26="","",Data!K26)</f>
        <v>297</v>
      </c>
      <c r="H26" t="str">
        <f>IF(Data!A26="PHSGCQG","8001/8005","")</f>
        <v/>
      </c>
      <c r="O26" s="5" t="s">
        <v>1330</v>
      </c>
      <c r="P26" t="str">
        <f>""</f>
        <v/>
      </c>
      <c r="Q26" s="5" t="s">
        <v>1333</v>
      </c>
    </row>
    <row r="27" spans="1:17">
      <c r="A27" t="str">
        <f>_xlfn.IFNA(IF(AND(VLOOKUP(Data!A27,表1[],2,0)="HTA8000",Data!E27="LME"),"HTA8003",VLOOKUP(Data!A27,表1[],2,0)),"")</f>
        <v/>
      </c>
      <c r="B27" t="str">
        <f t="shared" si="0"/>
        <v/>
      </c>
      <c r="C27" t="str">
        <f>IF(A27="","",VLOOKUP(Data!G27,表3[],2,0))</f>
        <v/>
      </c>
      <c r="D27" t="str">
        <f>IF(A27="","",VLOOKUP(Data!G27,表3[],3,0))</f>
        <v/>
      </c>
      <c r="E27" t="str">
        <f>IF(A27="","",IF(C27="","",VLOOKUP(RIGHT(Data!H27,2),$O$37:$P$48,2,0)&amp;20&amp;LEFT(Data!H27,2)))</f>
        <v/>
      </c>
      <c r="F27" t="str">
        <f>IF(A27="","",IF(C27="",Data!H27+20000000,""))</f>
        <v/>
      </c>
      <c r="G27" t="str">
        <f>IF(A27="","",Data!K27)</f>
        <v/>
      </c>
      <c r="H27" t="str">
        <f>IF(Data!A27="PHSGCQG","8001/8005","")</f>
        <v/>
      </c>
      <c r="O27" s="5" t="s">
        <v>1331</v>
      </c>
      <c r="P27" t="str">
        <f>""</f>
        <v/>
      </c>
      <c r="Q27" s="5" t="s">
        <v>1334</v>
      </c>
    </row>
    <row r="28" spans="1:17">
      <c r="A28" t="str">
        <f>_xlfn.IFNA(IF(AND(VLOOKUP(Data!A28,表1[],2,0)="HTA8000",Data!E28="LME"),"HTA8003",VLOOKUP(Data!A28,表1[],2,0)),"")</f>
        <v/>
      </c>
      <c r="B28" t="str">
        <f t="shared" si="0"/>
        <v/>
      </c>
      <c r="C28" t="str">
        <f>IF(A28="","",VLOOKUP(Data!G28,表3[],2,0))</f>
        <v/>
      </c>
      <c r="D28" t="str">
        <f>IF(A28="","",VLOOKUP(Data!G28,表3[],3,0))</f>
        <v/>
      </c>
      <c r="E28" t="str">
        <f>IF(A28="","",IF(C28="","",VLOOKUP(RIGHT(Data!H28,2),$O$37:$P$48,2,0)&amp;20&amp;LEFT(Data!H28,2)))</f>
        <v/>
      </c>
      <c r="F28" t="str">
        <f>IF(A28="","",IF(C28="",Data!H28+20000000,""))</f>
        <v/>
      </c>
      <c r="G28" t="str">
        <f>IF(A28="","",Data!K28)</f>
        <v/>
      </c>
      <c r="H28" t="str">
        <f>IF(Data!A28="PHSGCQG","8001/8005","")</f>
        <v/>
      </c>
      <c r="O28" s="5" t="s">
        <v>1332</v>
      </c>
      <c r="P28" t="str">
        <f>""</f>
        <v/>
      </c>
      <c r="Q28" s="5" t="s">
        <v>1335</v>
      </c>
    </row>
    <row r="29" spans="1:17">
      <c r="A29" t="str">
        <f>_xlfn.IFNA(IF(AND(VLOOKUP(Data!A29,表1[],2,0)="HTA8000",Data!E29="LME"),"HTA8003",VLOOKUP(Data!A29,表1[],2,0)),"")</f>
        <v/>
      </c>
      <c r="B29" t="str">
        <f t="shared" si="0"/>
        <v/>
      </c>
      <c r="C29" t="str">
        <f>IF(A29="","",VLOOKUP(Data!G29,表3[],2,0))</f>
        <v/>
      </c>
      <c r="D29" t="str">
        <f>IF(A29="","",VLOOKUP(Data!G29,表3[],3,0))</f>
        <v/>
      </c>
      <c r="E29" t="str">
        <f>IF(A29="","",IF(C29="","",VLOOKUP(RIGHT(Data!H29,2),$O$37:$P$48,2,0)&amp;20&amp;LEFT(Data!H29,2)))</f>
        <v/>
      </c>
      <c r="F29" t="str">
        <f>IF(A29="","",IF(C29="",Data!H29+20000000,""))</f>
        <v/>
      </c>
      <c r="G29" t="str">
        <f>IF(A29="","",Data!K29)</f>
        <v/>
      </c>
      <c r="H29" t="str">
        <f>IF(Data!A29="PHSGCQG","8001/8005","")</f>
        <v/>
      </c>
    </row>
    <row r="30" spans="1:17">
      <c r="A30" t="str">
        <f>_xlfn.IFNA(IF(AND(VLOOKUP(Data!A30,表1[],2,0)="HTA8000",Data!E30="LME"),"HTA8003",VLOOKUP(Data!A30,表1[],2,0)),"")</f>
        <v/>
      </c>
      <c r="B30" t="str">
        <f t="shared" si="0"/>
        <v/>
      </c>
      <c r="C30" t="str">
        <f>IF(A30="","",VLOOKUP(Data!G30,表3[],2,0))</f>
        <v/>
      </c>
      <c r="D30" t="str">
        <f>IF(A30="","",VLOOKUP(Data!G30,表3[],3,0))</f>
        <v/>
      </c>
      <c r="E30" t="str">
        <f>IF(A30="","",IF(C30="","",VLOOKUP(RIGHT(Data!H30,2),$O$37:$P$48,2,0)&amp;20&amp;LEFT(Data!H30,2)))</f>
        <v/>
      </c>
      <c r="F30" t="str">
        <f>IF(A30="","",IF(C30="",Data!H30+20000000,""))</f>
        <v/>
      </c>
      <c r="G30" t="str">
        <f>IF(A30="","",Data!K30)</f>
        <v/>
      </c>
      <c r="H30" t="str">
        <f>IF(Data!A30="PHSGCQG","8001/8005","")</f>
        <v/>
      </c>
    </row>
    <row r="31" spans="1:17">
      <c r="A31" t="str">
        <f>_xlfn.IFNA(IF(AND(VLOOKUP(Data!A31,表1[],2,0)="HTA8000",Data!E31="LME"),"HTA8003",VLOOKUP(Data!A31,表1[],2,0)),"")</f>
        <v/>
      </c>
      <c r="B31" t="str">
        <f t="shared" si="0"/>
        <v/>
      </c>
      <c r="C31" t="str">
        <f>IF(A31="","",VLOOKUP(Data!G31,表3[],2,0))</f>
        <v/>
      </c>
      <c r="D31" t="str">
        <f>IF(A31="","",VLOOKUP(Data!G31,表3[],3,0))</f>
        <v/>
      </c>
      <c r="E31" t="str">
        <f>IF(A31="","",IF(C31="","",VLOOKUP(RIGHT(Data!H31,2),$O$37:$P$48,2,0)&amp;20&amp;LEFT(Data!H31,2)))</f>
        <v/>
      </c>
      <c r="F31" t="str">
        <f>IF(A31="","",IF(C31="",Data!H31+20000000,""))</f>
        <v/>
      </c>
      <c r="G31" t="str">
        <f>IF(A31="","",Data!K31)</f>
        <v/>
      </c>
      <c r="H31" t="str">
        <f>IF(Data!A31="PHSGCQG","8001/8005","")</f>
        <v/>
      </c>
    </row>
    <row r="32" spans="1:17">
      <c r="A32" t="str">
        <f>_xlfn.IFNA(IF(AND(VLOOKUP(Data!A32,表1[],2,0)="HTA8000",Data!E32="LME"),"HTA8003",VLOOKUP(Data!A32,表1[],2,0)),"")</f>
        <v/>
      </c>
      <c r="B32" t="str">
        <f t="shared" si="0"/>
        <v/>
      </c>
      <c r="C32" t="str">
        <f>IF(A32="","",VLOOKUP(Data!G32,表3[],2,0))</f>
        <v/>
      </c>
      <c r="D32" t="str">
        <f>IF(A32="","",VLOOKUP(Data!G32,表3[],3,0))</f>
        <v/>
      </c>
      <c r="E32" t="str">
        <f>IF(A32="","",IF(C32="","",VLOOKUP(RIGHT(Data!H32,2),$O$37:$P$48,2,0)&amp;20&amp;LEFT(Data!H32,2)))</f>
        <v/>
      </c>
      <c r="F32" t="str">
        <f>IF(A32="","",IF(C32="",Data!H32+20000000,""))</f>
        <v/>
      </c>
      <c r="G32" t="str">
        <f>IF(A32="","",Data!K32)</f>
        <v/>
      </c>
      <c r="H32" t="str">
        <f>IF(Data!A32="PHSGCQG","8001/8005","")</f>
        <v/>
      </c>
    </row>
    <row r="33" spans="1:16">
      <c r="A33" t="str">
        <f>_xlfn.IFNA(IF(AND(VLOOKUP(Data!A33,表1[],2,0)="HTA8000",Data!E33="LME"),"HTA8003",VLOOKUP(Data!A33,表1[],2,0)),"")</f>
        <v/>
      </c>
      <c r="B33" t="str">
        <f t="shared" si="0"/>
        <v/>
      </c>
      <c r="C33" t="str">
        <f>IF(A33="","",VLOOKUP(Data!G33,表3[],2,0))</f>
        <v/>
      </c>
      <c r="D33" t="str">
        <f>IF(A33="","",VLOOKUP(Data!G33,表3[],3,0))</f>
        <v/>
      </c>
      <c r="E33" t="str">
        <f>IF(A33="","",IF(C33="","",VLOOKUP(RIGHT(Data!H33,2),$O$37:$P$48,2,0)&amp;20&amp;LEFT(Data!H33,2)))</f>
        <v/>
      </c>
      <c r="F33" t="str">
        <f>IF(A33="","",IF(C33="",Data!H33+20000000,""))</f>
        <v/>
      </c>
      <c r="G33" t="str">
        <f>IF(A33="","",Data!K33)</f>
        <v/>
      </c>
      <c r="H33" t="str">
        <f>IF(Data!A33="PHSGCQG","8001/8005","")</f>
        <v/>
      </c>
    </row>
    <row r="34" spans="1:16">
      <c r="A34" t="str">
        <f>_xlfn.IFNA(IF(AND(VLOOKUP(Data!A34,表1[],2,0)="HTA8000",Data!E34="LME"),"HTA8003",VLOOKUP(Data!A34,表1[],2,0)),"")</f>
        <v/>
      </c>
      <c r="B34" t="str">
        <f t="shared" si="0"/>
        <v/>
      </c>
      <c r="C34" t="str">
        <f>IF(A34="","",VLOOKUP(Data!G34,表3[],2,0))</f>
        <v/>
      </c>
      <c r="D34" t="str">
        <f>IF(A34="","",VLOOKUP(Data!G34,表3[],3,0))</f>
        <v/>
      </c>
      <c r="E34" t="str">
        <f>IF(A34="","",IF(C34="","",VLOOKUP(RIGHT(Data!H34,2),$O$37:$P$48,2,0)&amp;20&amp;LEFT(Data!H34,2)))</f>
        <v/>
      </c>
      <c r="F34" t="str">
        <f>IF(A34="","",IF(C34="",Data!H34+20000000,""))</f>
        <v/>
      </c>
      <c r="G34" t="str">
        <f>IF(A34="","",Data!K34)</f>
        <v/>
      </c>
      <c r="H34" t="str">
        <f>IF(Data!A34="PHSGCQG","8001/8005","")</f>
        <v/>
      </c>
    </row>
    <row r="35" spans="1:16">
      <c r="A35" t="str">
        <f>_xlfn.IFNA(IF(AND(VLOOKUP(Data!A35,表1[],2,0)="HTA8000",Data!E35="LME"),"HTA8003",VLOOKUP(Data!A35,表1[],2,0)),"")</f>
        <v/>
      </c>
      <c r="B35" t="str">
        <f t="shared" si="0"/>
        <v/>
      </c>
      <c r="C35" t="str">
        <f>IF(A35="","",VLOOKUP(Data!G35,表3[],2,0))</f>
        <v/>
      </c>
      <c r="D35" t="str">
        <f>IF(A35="","",VLOOKUP(Data!G35,表3[],3,0))</f>
        <v/>
      </c>
      <c r="E35" t="str">
        <f>IF(A35="","",IF(C35="","",VLOOKUP(RIGHT(Data!H35,2),$O$37:$P$48,2,0)&amp;20&amp;LEFT(Data!H35,2)))</f>
        <v/>
      </c>
      <c r="F35" t="str">
        <f>IF(A35="","",IF(C35="",Data!H35+20000000,""))</f>
        <v/>
      </c>
      <c r="G35" t="str">
        <f>IF(A35="","",Data!K35)</f>
        <v/>
      </c>
      <c r="H35" t="str">
        <f>IF(Data!A35="PHSGCQG","8001/8005","")</f>
        <v/>
      </c>
    </row>
    <row r="36" spans="1:16">
      <c r="A36" t="str">
        <f>_xlfn.IFNA(IF(AND(VLOOKUP(Data!A36,表1[],2,0)="HTA8000",Data!E36="LME"),"HTA8003",VLOOKUP(Data!A36,表1[],2,0)),"")</f>
        <v/>
      </c>
      <c r="B36" t="str">
        <f t="shared" si="0"/>
        <v/>
      </c>
      <c r="C36" t="str">
        <f>IF(A36="","",VLOOKUP(Data!G36,表3[],2,0))</f>
        <v/>
      </c>
      <c r="D36" t="str">
        <f>IF(A36="","",VLOOKUP(Data!G36,表3[],3,0))</f>
        <v/>
      </c>
      <c r="E36" t="str">
        <f>IF(A36="","",IF(C36="","",VLOOKUP(RIGHT(Data!H36,2),$O$37:$P$48,2,0)&amp;20&amp;LEFT(Data!H36,2)))</f>
        <v/>
      </c>
      <c r="F36" t="str">
        <f>IF(A36="","",IF(C36="",Data!H36+20000000,""))</f>
        <v/>
      </c>
      <c r="G36" t="str">
        <f>IF(A36="","",Data!K36)</f>
        <v/>
      </c>
      <c r="H36" t="str">
        <f>IF(Data!A36="PHSGCQG","8001/8005","")</f>
        <v/>
      </c>
      <c r="O36" s="5" t="s">
        <v>1340</v>
      </c>
    </row>
    <row r="37" spans="1:16">
      <c r="A37" t="str">
        <f>_xlfn.IFNA(IF(AND(VLOOKUP(Data!A37,表1[],2,0)="HTA8000",Data!E37="LME"),"HTA8003",VLOOKUP(Data!A37,表1[],2,0)),"")</f>
        <v/>
      </c>
      <c r="B37" t="str">
        <f t="shared" si="0"/>
        <v/>
      </c>
      <c r="C37" t="str">
        <f>IF(A37="","",VLOOKUP(Data!G37,表3[],2,0))</f>
        <v/>
      </c>
      <c r="D37" t="str">
        <f>IF(A37="","",VLOOKUP(Data!G37,表3[],3,0))</f>
        <v/>
      </c>
      <c r="E37" t="str">
        <f>IF(A37="","",IF(C37="","",VLOOKUP(RIGHT(Data!H37,2),$O$37:$P$48,2,0)&amp;20&amp;LEFT(Data!H37,2)))</f>
        <v/>
      </c>
      <c r="F37" t="str">
        <f>IF(A37="","",IF(C37="",Data!H37+20000000,""))</f>
        <v/>
      </c>
      <c r="G37" t="str">
        <f>IF(A37="","",Data!K37)</f>
        <v/>
      </c>
      <c r="H37" t="str">
        <f>IF(Data!A37="PHSGCQG","8001/8005","")</f>
        <v/>
      </c>
      <c r="O37" s="6" t="s">
        <v>1353</v>
      </c>
      <c r="P37" s="5" t="s">
        <v>1341</v>
      </c>
    </row>
    <row r="38" spans="1:16">
      <c r="A38" t="str">
        <f>_xlfn.IFNA(IF(AND(VLOOKUP(Data!A38,表1[],2,0)="HTA8000",Data!E38="LME"),"HTA8003",VLOOKUP(Data!A38,表1[],2,0)),"")</f>
        <v/>
      </c>
      <c r="B38" t="str">
        <f t="shared" si="0"/>
        <v/>
      </c>
      <c r="C38" t="str">
        <f>IF(A38="","",VLOOKUP(Data!G38,表3[],2,0))</f>
        <v/>
      </c>
      <c r="D38" t="str">
        <f>IF(A38="","",VLOOKUP(Data!G38,表3[],3,0))</f>
        <v/>
      </c>
      <c r="E38" t="str">
        <f>IF(A38="","",IF(C38="","",VLOOKUP(RIGHT(Data!H38,2),$O$37:$P$48,2,0)&amp;20&amp;LEFT(Data!H38,2)))</f>
        <v/>
      </c>
      <c r="F38" t="str">
        <f>IF(A38="","",IF(C38="",Data!H38+20000000,""))</f>
        <v/>
      </c>
      <c r="G38" t="str">
        <f>IF(A38="","",Data!K38)</f>
        <v/>
      </c>
      <c r="H38" t="str">
        <f>IF(Data!A38="PHSGCQG","8001/8005","")</f>
        <v/>
      </c>
      <c r="O38" s="6" t="s">
        <v>1417</v>
      </c>
      <c r="P38" s="5" t="s">
        <v>1342</v>
      </c>
    </row>
    <row r="39" spans="1:16">
      <c r="A39" t="str">
        <f>_xlfn.IFNA(IF(AND(VLOOKUP(Data!A39,表1[],2,0)="HTA8000",Data!E39="LME"),"HTA8003",VLOOKUP(Data!A39,表1[],2,0)),"")</f>
        <v/>
      </c>
      <c r="B39" t="str">
        <f t="shared" si="0"/>
        <v/>
      </c>
      <c r="C39" t="str">
        <f>IF(A39="","",VLOOKUP(Data!G39,表3[],2,0))</f>
        <v/>
      </c>
      <c r="D39" t="str">
        <f>IF(A39="","",VLOOKUP(Data!G39,表3[],3,0))</f>
        <v/>
      </c>
      <c r="E39" t="str">
        <f>IF(A39="","",IF(C39="","",VLOOKUP(RIGHT(Data!H39,2),$O$37:$P$48,2,0)&amp;20&amp;LEFT(Data!H39,2)))</f>
        <v/>
      </c>
      <c r="F39" t="str">
        <f>IF(A39="","",IF(C39="",Data!H39+20000000,""))</f>
        <v/>
      </c>
      <c r="G39" t="str">
        <f>IF(A39="","",Data!K39)</f>
        <v/>
      </c>
      <c r="H39" t="str">
        <f>IF(Data!A39="PHSGCQG","8001/8005","")</f>
        <v/>
      </c>
      <c r="O39" s="6" t="s">
        <v>1354</v>
      </c>
      <c r="P39" s="5" t="s">
        <v>1343</v>
      </c>
    </row>
    <row r="40" spans="1:16">
      <c r="A40" t="str">
        <f>_xlfn.IFNA(IF(AND(VLOOKUP(Data!A40,表1[],2,0)="HTA8000",Data!E40="LME"),"HTA8003",VLOOKUP(Data!A40,表1[],2,0)),"")</f>
        <v/>
      </c>
      <c r="B40" t="str">
        <f t="shared" si="0"/>
        <v/>
      </c>
      <c r="C40" t="str">
        <f>IF(A40="","",VLOOKUP(Data!G40,表3[],2,0))</f>
        <v/>
      </c>
      <c r="D40" t="str">
        <f>IF(A40="","",VLOOKUP(Data!G40,表3[],3,0))</f>
        <v/>
      </c>
      <c r="E40" t="str">
        <f>IF(A40="","",IF(C40="","",VLOOKUP(RIGHT(Data!H40,2),$O$37:$P$48,2,0)&amp;20&amp;LEFT(Data!H40,2)))</f>
        <v/>
      </c>
      <c r="F40" t="str">
        <f>IF(A40="","",IF(C40="",Data!H40+20000000,""))</f>
        <v/>
      </c>
      <c r="G40" t="str">
        <f>IF(A40="","",Data!K40)</f>
        <v/>
      </c>
      <c r="H40" t="str">
        <f>IF(Data!A40="PHSGCQG","8001/8005","")</f>
        <v/>
      </c>
      <c r="O40" s="6" t="s">
        <v>1355</v>
      </c>
      <c r="P40" s="5" t="s">
        <v>1344</v>
      </c>
    </row>
    <row r="41" spans="1:16">
      <c r="A41" t="str">
        <f>_xlfn.IFNA(IF(AND(VLOOKUP(Data!A41,表1[],2,0)="HTA8000",Data!E41="LME"),"HTA8003",VLOOKUP(Data!A41,表1[],2,0)),"")</f>
        <v/>
      </c>
      <c r="B41" t="str">
        <f t="shared" si="0"/>
        <v/>
      </c>
      <c r="C41" t="str">
        <f>IF(A41="","",VLOOKUP(Data!G41,表3[],2,0))</f>
        <v/>
      </c>
      <c r="D41" t="str">
        <f>IF(A41="","",VLOOKUP(Data!G41,表3[],3,0))</f>
        <v/>
      </c>
      <c r="E41" t="str">
        <f>IF(A41="","",IF(C41="","",VLOOKUP(RIGHT(Data!H41,2),$O$37:$P$48,2,0)&amp;20&amp;LEFT(Data!H41,2)))</f>
        <v/>
      </c>
      <c r="F41" t="str">
        <f>IF(A41="","",IF(C41="",Data!H41+20000000,""))</f>
        <v/>
      </c>
      <c r="G41" t="str">
        <f>IF(A41="","",Data!K41)</f>
        <v/>
      </c>
      <c r="H41" t="str">
        <f>IF(Data!A41="PHSGCQG","8001/8005","")</f>
        <v/>
      </c>
      <c r="O41" s="6" t="s">
        <v>1356</v>
      </c>
      <c r="P41" s="5" t="s">
        <v>1345</v>
      </c>
    </row>
    <row r="42" spans="1:16">
      <c r="A42" t="str">
        <f>_xlfn.IFNA(IF(AND(VLOOKUP(Data!A42,表1[],2,0)="HTA8000",Data!E42="LME"),"HTA8003",VLOOKUP(Data!A42,表1[],2,0)),"")</f>
        <v/>
      </c>
      <c r="B42" t="str">
        <f t="shared" si="0"/>
        <v/>
      </c>
      <c r="C42" t="str">
        <f>IF(A42="","",VLOOKUP(Data!G42,表3[],2,0))</f>
        <v/>
      </c>
      <c r="D42" t="str">
        <f>IF(A42="","",VLOOKUP(Data!G42,表3[],3,0))</f>
        <v/>
      </c>
      <c r="E42" t="str">
        <f>IF(A42="","",IF(C42="","",VLOOKUP(RIGHT(Data!H42,2),$O$37:$P$48,2,0)&amp;20&amp;LEFT(Data!H42,2)))</f>
        <v/>
      </c>
      <c r="F42" t="str">
        <f>IF(A42="","",IF(C42="",Data!H42+20000000,""))</f>
        <v/>
      </c>
      <c r="G42" t="str">
        <f>IF(A42="","",Data!K42)</f>
        <v/>
      </c>
      <c r="H42" t="str">
        <f>IF(Data!A42="PHSGCQG","8001/8005","")</f>
        <v/>
      </c>
      <c r="O42" s="6" t="s">
        <v>1357</v>
      </c>
      <c r="P42" s="5" t="s">
        <v>1346</v>
      </c>
    </row>
    <row r="43" spans="1:16">
      <c r="A43" t="str">
        <f>_xlfn.IFNA(IF(AND(VLOOKUP(Data!A43,表1[],2,0)="HTA8000",Data!E43="LME"),"HTA8003",VLOOKUP(Data!A43,表1[],2,0)),"")</f>
        <v/>
      </c>
      <c r="B43" t="str">
        <f t="shared" si="0"/>
        <v/>
      </c>
      <c r="C43" t="str">
        <f>IF(A43="","",VLOOKUP(Data!G43,表3[],2,0))</f>
        <v/>
      </c>
      <c r="D43" t="str">
        <f>IF(A43="","",VLOOKUP(Data!G43,表3[],3,0))</f>
        <v/>
      </c>
      <c r="E43" t="str">
        <f>IF(A43="","",IF(C43="","",VLOOKUP(RIGHT(Data!H43,2),$O$37:$P$48,2,0)&amp;20&amp;LEFT(Data!H43,2)))</f>
        <v/>
      </c>
      <c r="F43" t="str">
        <f>IF(A43="","",IF(C43="",Data!H43+20000000,""))</f>
        <v/>
      </c>
      <c r="G43" t="str">
        <f>IF(A43="","",Data!K43)</f>
        <v/>
      </c>
      <c r="H43" t="str">
        <f>IF(Data!A43="PHSGCQG","8001/8005","")</f>
        <v/>
      </c>
      <c r="O43" s="6" t="s">
        <v>1358</v>
      </c>
      <c r="P43" s="5" t="s">
        <v>1347</v>
      </c>
    </row>
    <row r="44" spans="1:16">
      <c r="A44" t="str">
        <f>_xlfn.IFNA(IF(AND(VLOOKUP(Data!A44,表1[],2,0)="HTA8000",Data!E44="LME"),"HTA8003",VLOOKUP(Data!A44,表1[],2,0)),"")</f>
        <v/>
      </c>
      <c r="B44" t="str">
        <f t="shared" si="0"/>
        <v/>
      </c>
      <c r="C44" t="str">
        <f>IF(A44="","",VLOOKUP(Data!G44,表3[],2,0))</f>
        <v/>
      </c>
      <c r="D44" t="str">
        <f>IF(A44="","",VLOOKUP(Data!G44,表3[],3,0))</f>
        <v/>
      </c>
      <c r="E44" t="str">
        <f>IF(A44="","",IF(C44="","",VLOOKUP(RIGHT(Data!H44,2),$O$37:$P$48,2,0)&amp;20&amp;LEFT(Data!H44,2)))</f>
        <v/>
      </c>
      <c r="F44" t="str">
        <f>IF(A44="","",IF(C44="",Data!H44+20000000,""))</f>
        <v/>
      </c>
      <c r="G44" t="str">
        <f>IF(A44="","",Data!K44)</f>
        <v/>
      </c>
      <c r="H44" t="str">
        <f>IF(Data!A44="PHSGCQG","8001/8005","")</f>
        <v/>
      </c>
      <c r="O44" s="6" t="s">
        <v>1359</v>
      </c>
      <c r="P44" s="5" t="s">
        <v>1348</v>
      </c>
    </row>
    <row r="45" spans="1:16">
      <c r="A45" t="str">
        <f>_xlfn.IFNA(IF(AND(VLOOKUP(Data!A45,表1[],2,0)="HTA8000",Data!E45="LME"),"HTA8003",VLOOKUP(Data!A45,表1[],2,0)),"")</f>
        <v/>
      </c>
      <c r="B45" t="str">
        <f t="shared" si="0"/>
        <v/>
      </c>
      <c r="C45" t="str">
        <f>IF(A45="","",VLOOKUP(Data!G45,表3[],2,0))</f>
        <v/>
      </c>
      <c r="D45" t="str">
        <f>IF(A45="","",VLOOKUP(Data!G45,表3[],3,0))</f>
        <v/>
      </c>
      <c r="E45" t="str">
        <f>IF(A45="","",IF(C45="","",VLOOKUP(RIGHT(Data!H45,2),$O$37:$P$48,2,0)&amp;20&amp;LEFT(Data!H45,2)))</f>
        <v/>
      </c>
      <c r="F45" t="str">
        <f>IF(A45="","",IF(C45="",Data!H45+20000000,""))</f>
        <v/>
      </c>
      <c r="G45" t="str">
        <f>IF(A45="","",Data!K45)</f>
        <v/>
      </c>
      <c r="H45" t="str">
        <f>IF(Data!A45="PHSGCQG","8001/8005","")</f>
        <v/>
      </c>
      <c r="O45" s="6" t="s">
        <v>1360</v>
      </c>
      <c r="P45" s="5" t="s">
        <v>1349</v>
      </c>
    </row>
    <row r="46" spans="1:16">
      <c r="A46" t="str">
        <f>_xlfn.IFNA(IF(AND(VLOOKUP(Data!A46,表1[],2,0)="HTA8000",Data!E46="LME"),"HTA8003",VLOOKUP(Data!A46,表1[],2,0)),"")</f>
        <v/>
      </c>
      <c r="B46" t="str">
        <f t="shared" si="0"/>
        <v/>
      </c>
      <c r="C46" t="str">
        <f>IF(A46="","",VLOOKUP(Data!G46,表3[],2,0))</f>
        <v/>
      </c>
      <c r="D46" t="str">
        <f>IF(A46="","",VLOOKUP(Data!G46,表3[],3,0))</f>
        <v/>
      </c>
      <c r="E46" t="str">
        <f>IF(A46="","",IF(C46="","",VLOOKUP(RIGHT(Data!H46,2),$O$37:$P$48,2,0)&amp;20&amp;LEFT(Data!H46,2)))</f>
        <v/>
      </c>
      <c r="F46" t="str">
        <f>IF(A46="","",IF(C46="",Data!H46+20000000,""))</f>
        <v/>
      </c>
      <c r="G46" t="str">
        <f>IF(A46="","",Data!K46)</f>
        <v/>
      </c>
      <c r="H46" t="str">
        <f>IF(Data!A46="PHSGCQG","8001/8005","")</f>
        <v/>
      </c>
      <c r="O46" s="6" t="s">
        <v>1361</v>
      </c>
      <c r="P46" s="5" t="s">
        <v>1350</v>
      </c>
    </row>
    <row r="47" spans="1:16">
      <c r="A47" t="str">
        <f>_xlfn.IFNA(IF(AND(VLOOKUP(Data!A47,表1[],2,0)="HTA8000",Data!E47="LME"),"HTA8003",VLOOKUP(Data!A47,表1[],2,0)),"")</f>
        <v/>
      </c>
      <c r="B47" t="str">
        <f t="shared" si="0"/>
        <v/>
      </c>
      <c r="C47" t="str">
        <f>IF(A47="","",VLOOKUP(Data!G47,表3[],2,0))</f>
        <v/>
      </c>
      <c r="D47" t="str">
        <f>IF(A47="","",VLOOKUP(Data!G47,表3[],3,0))</f>
        <v/>
      </c>
      <c r="E47" t="str">
        <f>IF(A47="","",IF(C47="","",VLOOKUP(RIGHT(Data!H47,2),$O$37:$P$48,2,0)&amp;20&amp;LEFT(Data!H47,2)))</f>
        <v/>
      </c>
      <c r="F47" t="str">
        <f>IF(A47="","",IF(C47="",Data!H47+20000000,""))</f>
        <v/>
      </c>
      <c r="G47" t="str">
        <f>IF(A47="","",Data!K47)</f>
        <v/>
      </c>
      <c r="H47" t="str">
        <f>IF(Data!A47="PHSGCQG","8001/8005","")</f>
        <v/>
      </c>
      <c r="O47" s="6" t="s">
        <v>1362</v>
      </c>
      <c r="P47" s="5" t="s">
        <v>1351</v>
      </c>
    </row>
    <row r="48" spans="1:16">
      <c r="A48" t="str">
        <f>_xlfn.IFNA(IF(AND(VLOOKUP(Data!A48,表1[],2,0)="HTA8000",Data!E48="LME"),"HTA8003",VLOOKUP(Data!A48,表1[],2,0)),"")</f>
        <v/>
      </c>
      <c r="B48" t="str">
        <f t="shared" si="0"/>
        <v/>
      </c>
      <c r="C48" t="str">
        <f>IF(A48="","",VLOOKUP(Data!G48,表3[],2,0))</f>
        <v/>
      </c>
      <c r="D48" t="str">
        <f>IF(A48="","",VLOOKUP(Data!G48,表3[],3,0))</f>
        <v/>
      </c>
      <c r="E48" t="str">
        <f>IF(A48="","",IF(C48="","",VLOOKUP(RIGHT(Data!H48,2),$O$37:$P$48,2,0)&amp;20&amp;LEFT(Data!H48,2)))</f>
        <v/>
      </c>
      <c r="F48" t="str">
        <f>IF(A48="","",IF(C48="",Data!H48+20000000,""))</f>
        <v/>
      </c>
      <c r="G48" t="str">
        <f>IF(A48="","",Data!K48)</f>
        <v/>
      </c>
      <c r="H48" t="str">
        <f>IF(Data!A48="PHSGCQG","8001/8005","")</f>
        <v/>
      </c>
      <c r="O48" s="6" t="s">
        <v>1363</v>
      </c>
      <c r="P48" s="5" t="s">
        <v>1352</v>
      </c>
    </row>
    <row r="49" spans="1:8">
      <c r="A49" t="str">
        <f>_xlfn.IFNA(IF(AND(VLOOKUP(Data!A49,表1[],2,0)="HTA8000",Data!E49="LME"),"HTA8003",VLOOKUP(Data!A49,表1[],2,0)),"")</f>
        <v/>
      </c>
      <c r="B49" t="str">
        <f t="shared" si="0"/>
        <v/>
      </c>
      <c r="C49" t="str">
        <f>IF(A49="","",VLOOKUP(Data!G49,表3[],2,0))</f>
        <v/>
      </c>
      <c r="D49" t="str">
        <f>IF(A49="","",VLOOKUP(Data!G49,表3[],3,0))</f>
        <v/>
      </c>
      <c r="E49" t="str">
        <f>IF(A49="","",IF(C49="","",VLOOKUP(RIGHT(Data!H49,2),$O$37:$P$48,2,0)&amp;20&amp;LEFT(Data!H49,2)))</f>
        <v/>
      </c>
      <c r="F49" t="str">
        <f>IF(A49="","",IF(C49="",Data!H49+20000000,""))</f>
        <v/>
      </c>
      <c r="G49" t="str">
        <f>IF(A49="","",Data!K49)</f>
        <v/>
      </c>
      <c r="H49" t="str">
        <f>IF(Data!A49="PHSGCQG","8001/8005","")</f>
        <v/>
      </c>
    </row>
    <row r="50" spans="1:8">
      <c r="A50" t="str">
        <f>_xlfn.IFNA(IF(AND(VLOOKUP(Data!A50,表1[],2,0)="HTA8000",Data!E50="LME"),"HTA8003",VLOOKUP(Data!A50,表1[],2,0)),"")</f>
        <v/>
      </c>
      <c r="B50" t="str">
        <f t="shared" si="0"/>
        <v/>
      </c>
      <c r="C50" t="str">
        <f>IF(A50="","",VLOOKUP(Data!G50,表3[],2,0))</f>
        <v/>
      </c>
      <c r="D50" t="str">
        <f>IF(A50="","",VLOOKUP(Data!G50,表3[],3,0))</f>
        <v/>
      </c>
      <c r="E50" t="str">
        <f>IF(A50="","",IF(C50="","",VLOOKUP(RIGHT(Data!H50,2),$O$37:$P$48,2,0)&amp;20&amp;LEFT(Data!H50,2)))</f>
        <v/>
      </c>
      <c r="F50" t="str">
        <f>IF(A50="","",IF(C50="",Data!H50+20000000,""))</f>
        <v/>
      </c>
      <c r="G50" t="str">
        <f>IF(A50="","",Data!K50)</f>
        <v/>
      </c>
      <c r="H50" t="str">
        <f>IF(Data!A50="PHSGCQG","8001/8005","")</f>
        <v/>
      </c>
    </row>
    <row r="51" spans="1:8">
      <c r="A51" t="str">
        <f>_xlfn.IFNA(IF(AND(VLOOKUP(Data!A51,表1[],2,0)="HTA8000",Data!E51="LME"),"HTA8003",VLOOKUP(Data!A51,表1[],2,0)),"")</f>
        <v/>
      </c>
      <c r="B51" t="str">
        <f t="shared" si="0"/>
        <v/>
      </c>
      <c r="C51" t="str">
        <f>IF(A51="","",VLOOKUP(Data!G51,表3[],2,0))</f>
        <v/>
      </c>
      <c r="D51" t="str">
        <f>IF(A51="","",VLOOKUP(Data!G51,表3[],3,0))</f>
        <v/>
      </c>
      <c r="E51" t="str">
        <f>IF(A51="","",IF(C51="","",VLOOKUP(RIGHT(Data!H51,2),$O$37:$P$48,2,0)&amp;20&amp;LEFT(Data!H51,2)))</f>
        <v/>
      </c>
      <c r="F51" t="str">
        <f>IF(A51="","",IF(C51="",Data!H51+20000000,""))</f>
        <v/>
      </c>
      <c r="G51" t="str">
        <f>IF(A51="","",Data!K51)</f>
        <v/>
      </c>
      <c r="H51" t="str">
        <f>IF(Data!A51="PHSGCQG","8001/8005","")</f>
        <v/>
      </c>
    </row>
    <row r="52" spans="1:8">
      <c r="A52" t="str">
        <f>_xlfn.IFNA(IF(AND(VLOOKUP(Data!A52,表1[],2,0)="HTA8000",Data!E52="LME"),"HTA8003",VLOOKUP(Data!A52,表1[],2,0)),"")</f>
        <v/>
      </c>
      <c r="B52" t="str">
        <f t="shared" si="0"/>
        <v/>
      </c>
      <c r="C52" t="str">
        <f>IF(A52="","",VLOOKUP(Data!G52,表3[],2,0))</f>
        <v/>
      </c>
      <c r="D52" t="str">
        <f>IF(A52="","",VLOOKUP(Data!G52,表3[],3,0))</f>
        <v/>
      </c>
      <c r="E52" t="str">
        <f>IF(A52="","",IF(C52="","",VLOOKUP(RIGHT(Data!H52,2),$O$37:$P$48,2,0)&amp;20&amp;LEFT(Data!H52,2)))</f>
        <v/>
      </c>
      <c r="F52" t="str">
        <f>IF(A52="","",IF(C52="",Data!H52+20000000,""))</f>
        <v/>
      </c>
      <c r="G52" t="str">
        <f>IF(A52="","",Data!K52)</f>
        <v/>
      </c>
      <c r="H52" t="str">
        <f>IF(Data!A52="PHSGCQG","8001/8005","")</f>
        <v/>
      </c>
    </row>
    <row r="53" spans="1:8">
      <c r="A53" t="str">
        <f>_xlfn.IFNA(IF(AND(VLOOKUP(Data!A53,表1[],2,0)="HTA8000",Data!E53="LME"),"HTA8003",VLOOKUP(Data!A53,表1[],2,0)),"")</f>
        <v/>
      </c>
      <c r="B53" t="str">
        <f t="shared" si="0"/>
        <v/>
      </c>
      <c r="C53" t="str">
        <f>IF(A53="","",VLOOKUP(Data!G53,表3[],2,0))</f>
        <v/>
      </c>
      <c r="D53" t="str">
        <f>IF(A53="","",VLOOKUP(Data!G53,表3[],3,0))</f>
        <v/>
      </c>
      <c r="E53" t="str">
        <f>IF(A53="","",IF(C53="","",VLOOKUP(RIGHT(Data!H53,2),$O$37:$P$48,2,0)&amp;20&amp;LEFT(Data!H53,2)))</f>
        <v/>
      </c>
      <c r="F53" t="str">
        <f>IF(A53="","",IF(C53="",Data!H53+20000000,""))</f>
        <v/>
      </c>
      <c r="G53" t="str">
        <f>IF(A53="","",Data!K53)</f>
        <v/>
      </c>
      <c r="H53" t="str">
        <f>IF(Data!A53="PHSGCQG","8001/8005","")</f>
        <v/>
      </c>
    </row>
    <row r="54" spans="1:8">
      <c r="A54" t="str">
        <f>_xlfn.IFNA(IF(AND(VLOOKUP(Data!A54,表1[],2,0)="HTA8000",Data!E54="LME"),"HTA8003",VLOOKUP(Data!A54,表1[],2,0)),"")</f>
        <v/>
      </c>
      <c r="B54" t="str">
        <f t="shared" si="0"/>
        <v/>
      </c>
      <c r="C54" t="str">
        <f>IF(A54="","",VLOOKUP(Data!G54,表3[],2,0))</f>
        <v/>
      </c>
      <c r="D54" t="str">
        <f>IF(A54="","",VLOOKUP(Data!G54,表3[],3,0))</f>
        <v/>
      </c>
      <c r="E54" t="str">
        <f>IF(A54="","",IF(C54="","",VLOOKUP(RIGHT(Data!H54,2),$O$37:$P$48,2,0)&amp;20&amp;LEFT(Data!H54,2)))</f>
        <v/>
      </c>
      <c r="F54" t="str">
        <f>IF(A54="","",IF(C54="",Data!H54+20000000,""))</f>
        <v/>
      </c>
      <c r="G54" t="str">
        <f>IF(A54="","",Data!K54)</f>
        <v/>
      </c>
      <c r="H54" t="str">
        <f>IF(Data!A54="PHSGCQG","8001/8005","")</f>
        <v/>
      </c>
    </row>
    <row r="55" spans="1:8">
      <c r="A55" t="str">
        <f>_xlfn.IFNA(IF(AND(VLOOKUP(Data!A55,表1[],2,0)="HTA8000",Data!E55="LME"),"HTA8003",VLOOKUP(Data!A55,表1[],2,0)),"")</f>
        <v/>
      </c>
      <c r="B55" t="str">
        <f t="shared" si="0"/>
        <v/>
      </c>
      <c r="C55" t="str">
        <f>IF(A55="","",VLOOKUP(Data!G55,表3[],2,0))</f>
        <v/>
      </c>
      <c r="D55" t="str">
        <f>IF(A55="","",VLOOKUP(Data!G55,表3[],3,0))</f>
        <v/>
      </c>
      <c r="E55" t="str">
        <f>IF(A55="","",IF(C55="","",VLOOKUP(RIGHT(Data!H55,2),$O$37:$P$48,2,0)&amp;20&amp;LEFT(Data!H55,2)))</f>
        <v/>
      </c>
      <c r="F55" t="str">
        <f>IF(A55="","",IF(C55="",Data!H55+20000000,""))</f>
        <v/>
      </c>
      <c r="G55" t="str">
        <f>IF(A55="","",Data!K55)</f>
        <v/>
      </c>
      <c r="H55" t="str">
        <f>IF(Data!A55="PHSGCQG","8001/8005","")</f>
        <v/>
      </c>
    </row>
    <row r="56" spans="1:8">
      <c r="A56" t="str">
        <f>_xlfn.IFNA(IF(AND(VLOOKUP(Data!A56,表1[],2,0)="HTA8000",Data!E56="LME"),"HTA8003",VLOOKUP(Data!A56,表1[],2,0)),"")</f>
        <v/>
      </c>
      <c r="B56" t="str">
        <f t="shared" si="0"/>
        <v/>
      </c>
      <c r="C56" t="str">
        <f>IF(A56="","",VLOOKUP(Data!G56,表3[],2,0))</f>
        <v/>
      </c>
      <c r="D56" t="str">
        <f>IF(A56="","",VLOOKUP(Data!G56,表3[],3,0))</f>
        <v/>
      </c>
      <c r="E56" t="str">
        <f>IF(A56="","",IF(C56="","",VLOOKUP(RIGHT(Data!H56,2),$O$37:$P$48,2,0)&amp;20&amp;LEFT(Data!H56,2)))</f>
        <v/>
      </c>
      <c r="F56" t="str">
        <f>IF(A56="","",IF(C56="",Data!H56+20000000,""))</f>
        <v/>
      </c>
      <c r="G56" t="str">
        <f>IF(A56="","",Data!K56)</f>
        <v/>
      </c>
      <c r="H56" t="str">
        <f>IF(Data!A56="PHSGCQG","8001/8005","")</f>
        <v/>
      </c>
    </row>
    <row r="57" spans="1:8">
      <c r="A57" t="str">
        <f>_xlfn.IFNA(IF(AND(VLOOKUP(Data!A57,表1[],2,0)="HTA8000",Data!E57="LME"),"HTA8003",VLOOKUP(Data!A57,表1[],2,0)),"")</f>
        <v/>
      </c>
      <c r="B57" t="str">
        <f t="shared" si="0"/>
        <v/>
      </c>
      <c r="C57" t="str">
        <f>IF(A57="","",VLOOKUP(Data!G57,表3[],2,0))</f>
        <v/>
      </c>
      <c r="D57" t="str">
        <f>IF(A57="","",VLOOKUP(Data!G57,表3[],3,0))</f>
        <v/>
      </c>
      <c r="E57" t="str">
        <f>IF(A57="","",IF(C57="","",VLOOKUP(RIGHT(Data!H57,2),$O$37:$P$48,2,0)&amp;20&amp;LEFT(Data!H57,2)))</f>
        <v/>
      </c>
      <c r="F57" t="str">
        <f>IF(A57="","",IF(C57="",Data!H57+20000000,""))</f>
        <v/>
      </c>
      <c r="G57" t="str">
        <f>IF(A57="","",Data!K57)</f>
        <v/>
      </c>
      <c r="H57" t="str">
        <f>IF(Data!A57="PHSGCQG","8001/8005","")</f>
        <v/>
      </c>
    </row>
    <row r="58" spans="1:8">
      <c r="A58" t="str">
        <f>_xlfn.IFNA(IF(AND(VLOOKUP(Data!A58,表1[],2,0)="HTA8000",Data!E58="LME"),"HTA8003",VLOOKUP(Data!A58,表1[],2,0)),"")</f>
        <v/>
      </c>
      <c r="B58" t="str">
        <f t="shared" si="0"/>
        <v/>
      </c>
      <c r="C58" t="str">
        <f>IF(A58="","",VLOOKUP(Data!G58,表3[],2,0))</f>
        <v/>
      </c>
      <c r="D58" t="str">
        <f>IF(A58="","",VLOOKUP(Data!G58,表3[],3,0))</f>
        <v/>
      </c>
      <c r="E58" t="str">
        <f>IF(A58="","",IF(C58="","",VLOOKUP(RIGHT(Data!H58,2),$O$37:$P$48,2,0)&amp;20&amp;LEFT(Data!H58,2)))</f>
        <v/>
      </c>
      <c r="F58" t="str">
        <f>IF(A58="","",IF(C58="",Data!H58+20000000,""))</f>
        <v/>
      </c>
      <c r="G58" t="str">
        <f>IF(A58="","",Data!K58)</f>
        <v/>
      </c>
      <c r="H58" t="str">
        <f>IF(Data!A58="PHSGCQG","8001/8005","")</f>
        <v/>
      </c>
    </row>
    <row r="59" spans="1:8">
      <c r="A59" t="str">
        <f>_xlfn.IFNA(IF(AND(VLOOKUP(Data!A59,表1[],2,0)="HTA8000",Data!E59="LME"),"HTA8003",VLOOKUP(Data!A59,表1[],2,0)),"")</f>
        <v/>
      </c>
      <c r="B59" t="str">
        <f t="shared" si="0"/>
        <v/>
      </c>
      <c r="C59" t="str">
        <f>IF(A59="","",VLOOKUP(Data!G59,表3[],2,0))</f>
        <v/>
      </c>
      <c r="D59" t="str">
        <f>IF(A59="","",VLOOKUP(Data!G59,表3[],3,0))</f>
        <v/>
      </c>
      <c r="E59" t="str">
        <f>IF(A59="","",IF(C59="","",VLOOKUP(RIGHT(Data!H59,2),$O$37:$P$48,2,0)&amp;20&amp;LEFT(Data!H59,2)))</f>
        <v/>
      </c>
      <c r="F59" t="str">
        <f>IF(A59="","",IF(C59="",Data!H59+20000000,""))</f>
        <v/>
      </c>
      <c r="G59" t="str">
        <f>IF(A59="","",Data!K59)</f>
        <v/>
      </c>
      <c r="H59" t="str">
        <f>IF(Data!A59="PHSGCQG","8001/8005","")</f>
        <v/>
      </c>
    </row>
    <row r="60" spans="1:8">
      <c r="A60" t="str">
        <f>_xlfn.IFNA(IF(AND(VLOOKUP(Data!A60,表1[],2,0)="HTA8000",Data!E60="LME"),"HTA8003",VLOOKUP(Data!A60,表1[],2,0)),"")</f>
        <v/>
      </c>
      <c r="B60" t="str">
        <f t="shared" si="0"/>
        <v/>
      </c>
      <c r="C60" t="str">
        <f>IF(A60="","",VLOOKUP(Data!G60,表3[],2,0))</f>
        <v/>
      </c>
      <c r="D60" t="str">
        <f>IF(A60="","",VLOOKUP(Data!G60,表3[],3,0))</f>
        <v/>
      </c>
      <c r="E60" t="str">
        <f>IF(A60="","",IF(C60="","",VLOOKUP(RIGHT(Data!H60,2),$O$37:$P$48,2,0)&amp;20&amp;LEFT(Data!H60,2)))</f>
        <v/>
      </c>
      <c r="F60" t="str">
        <f>IF(A60="","",IF(C60="",Data!H60+20000000,""))</f>
        <v/>
      </c>
      <c r="G60" t="str">
        <f>IF(A60="","",Data!K60)</f>
        <v/>
      </c>
      <c r="H60" t="str">
        <f>IF(Data!A60="PHSGCQG","8001/8005","")</f>
        <v/>
      </c>
    </row>
    <row r="61" spans="1:8">
      <c r="A61" t="str">
        <f>_xlfn.IFNA(IF(AND(VLOOKUP(Data!A61,表1[],2,0)="HTA8000",Data!E61="LME"),"HTA8003",VLOOKUP(Data!A61,表1[],2,0)),"")</f>
        <v/>
      </c>
      <c r="B61" t="str">
        <f t="shared" si="0"/>
        <v/>
      </c>
      <c r="C61" t="str">
        <f>IF(A61="","",VLOOKUP(Data!G61,表3[],2,0))</f>
        <v/>
      </c>
      <c r="D61" t="str">
        <f>IF(A61="","",VLOOKUP(Data!G61,表3[],3,0))</f>
        <v/>
      </c>
      <c r="E61" t="str">
        <f>IF(A61="","",IF(C61="","",VLOOKUP(RIGHT(Data!H61,2),$O$37:$P$48,2,0)&amp;20&amp;LEFT(Data!H61,2)))</f>
        <v/>
      </c>
      <c r="F61" t="str">
        <f>IF(A61="","",IF(C61="",Data!H61+20000000,""))</f>
        <v/>
      </c>
      <c r="G61" t="str">
        <f>IF(A61="","",Data!K61)</f>
        <v/>
      </c>
      <c r="H61" t="str">
        <f>IF(Data!A61="PHSGCQG","8001/8005","")</f>
        <v/>
      </c>
    </row>
    <row r="62" spans="1:8">
      <c r="A62" t="str">
        <f>_xlfn.IFNA(IF(AND(VLOOKUP(Data!A62,表1[],2,0)="HTA8000",Data!E62="LME"),"HTA8003",VLOOKUP(Data!A62,表1[],2,0)),"")</f>
        <v/>
      </c>
      <c r="B62" t="str">
        <f t="shared" si="0"/>
        <v/>
      </c>
      <c r="C62" t="str">
        <f>IF(A62="","",VLOOKUP(Data!G62,表3[],2,0))</f>
        <v/>
      </c>
      <c r="D62" t="str">
        <f>IF(A62="","",VLOOKUP(Data!G62,表3[],3,0))</f>
        <v/>
      </c>
      <c r="E62" t="str">
        <f>IF(A62="","",IF(C62="","",VLOOKUP(RIGHT(Data!H62,2),$O$37:$P$48,2,0)&amp;20&amp;LEFT(Data!H62,2)))</f>
        <v/>
      </c>
      <c r="F62" t="str">
        <f>IF(A62="","",IF(C62="",Data!H62+20000000,""))</f>
        <v/>
      </c>
      <c r="G62" t="str">
        <f>IF(A62="","",Data!K62)</f>
        <v/>
      </c>
      <c r="H62" t="str">
        <f>IF(Data!A62="PHSGCQG","8001/8005","")</f>
        <v/>
      </c>
    </row>
    <row r="63" spans="1:8">
      <c r="A63" t="str">
        <f>_xlfn.IFNA(IF(AND(VLOOKUP(Data!A63,表1[],2,0)="HTA8000",Data!E63="LME"),"HTA8003",VLOOKUP(Data!A63,表1[],2,0)),"")</f>
        <v/>
      </c>
      <c r="B63" t="str">
        <f t="shared" si="0"/>
        <v/>
      </c>
      <c r="C63" t="str">
        <f>IF(A63="","",VLOOKUP(Data!G63,表3[],2,0))</f>
        <v/>
      </c>
      <c r="D63" t="str">
        <f>IF(A63="","",VLOOKUP(Data!G63,表3[],3,0))</f>
        <v/>
      </c>
      <c r="E63" t="str">
        <f>IF(A63="","",IF(C63="","",VLOOKUP(RIGHT(Data!H63,2),$O$37:$P$48,2,0)&amp;20&amp;LEFT(Data!H63,2)))</f>
        <v/>
      </c>
      <c r="F63" t="str">
        <f>IF(A63="","",IF(C63="",Data!H63+20000000,""))</f>
        <v/>
      </c>
      <c r="G63" t="str">
        <f>IF(A63="","",Data!K63)</f>
        <v/>
      </c>
      <c r="H63" t="str">
        <f>IF(Data!A63="PHSGCQG","8001/8005","")</f>
        <v/>
      </c>
    </row>
    <row r="64" spans="1:8">
      <c r="A64" t="str">
        <f>_xlfn.IFNA(IF(AND(VLOOKUP(Data!A64,表1[],2,0)="HTA8000",Data!E64="LME"),"HTA8003",VLOOKUP(Data!A64,表1[],2,0)),"")</f>
        <v/>
      </c>
      <c r="B64" t="str">
        <f t="shared" si="0"/>
        <v/>
      </c>
      <c r="C64" t="str">
        <f>IF(A64="","",VLOOKUP(Data!G64,表3[],2,0))</f>
        <v/>
      </c>
      <c r="D64" t="str">
        <f>IF(A64="","",VLOOKUP(Data!G64,表3[],3,0))</f>
        <v/>
      </c>
      <c r="E64" t="str">
        <f>IF(A64="","",IF(C64="","",VLOOKUP(RIGHT(Data!H64,2),$O$37:$P$48,2,0)&amp;20&amp;LEFT(Data!H64,2)))</f>
        <v/>
      </c>
      <c r="F64" t="str">
        <f>IF(A64="","",IF(C64="",Data!H64+20000000,""))</f>
        <v/>
      </c>
      <c r="G64" t="str">
        <f>IF(A64="","",Data!K64)</f>
        <v/>
      </c>
      <c r="H64" t="str">
        <f>IF(Data!A64="PHSGCQG","8001/8005","")</f>
        <v/>
      </c>
    </row>
    <row r="65" spans="1:8">
      <c r="A65" t="str">
        <f>_xlfn.IFNA(IF(AND(VLOOKUP(Data!A65,表1[],2,0)="HTA8000",Data!E65="LME"),"HTA8003",VLOOKUP(Data!A65,表1[],2,0)),"")</f>
        <v/>
      </c>
      <c r="B65" t="str">
        <f t="shared" si="0"/>
        <v/>
      </c>
      <c r="C65" t="str">
        <f>IF(A65="","",VLOOKUP(Data!G65,表3[],2,0))</f>
        <v/>
      </c>
      <c r="D65" t="str">
        <f>IF(A65="","",VLOOKUP(Data!G65,表3[],3,0))</f>
        <v/>
      </c>
      <c r="E65" t="str">
        <f>IF(A65="","",IF(C65="","",VLOOKUP(RIGHT(Data!H65,2),$O$37:$P$48,2,0)&amp;20&amp;LEFT(Data!H65,2)))</f>
        <v/>
      </c>
      <c r="F65" t="str">
        <f>IF(A65="","",IF(C65="",Data!H65+20000000,""))</f>
        <v/>
      </c>
      <c r="G65" t="str">
        <f>IF(A65="","",Data!K65)</f>
        <v/>
      </c>
      <c r="H65" t="str">
        <f>IF(Data!A65="PHSGCQG","8001/8005","")</f>
        <v/>
      </c>
    </row>
    <row r="66" spans="1:8">
      <c r="A66" t="str">
        <f>_xlfn.IFNA(IF(AND(VLOOKUP(Data!A66,表1[],2,0)="HTA8000",Data!E66="LME"),"HTA8003",VLOOKUP(Data!A66,表1[],2,0)),"")</f>
        <v/>
      </c>
      <c r="B66" t="str">
        <f t="shared" si="0"/>
        <v/>
      </c>
      <c r="C66" t="str">
        <f>IF(A66="","",VLOOKUP(Data!G66,表3[],2,0))</f>
        <v/>
      </c>
      <c r="D66" t="str">
        <f>IF(A66="","",VLOOKUP(Data!G66,表3[],3,0))</f>
        <v/>
      </c>
      <c r="E66" t="str">
        <f>IF(A66="","",IF(C66="","",VLOOKUP(RIGHT(Data!H66,2),$O$37:$P$48,2,0)&amp;20&amp;LEFT(Data!H66,2)))</f>
        <v/>
      </c>
      <c r="F66" t="str">
        <f>IF(A66="","",IF(C66="",Data!H66+20000000,""))</f>
        <v/>
      </c>
      <c r="G66" t="str">
        <f>IF(A66="","",Data!K66)</f>
        <v/>
      </c>
      <c r="H66" t="str">
        <f>IF(Data!A66="PHSGCQG","8001/8005","")</f>
        <v/>
      </c>
    </row>
    <row r="67" spans="1:8">
      <c r="A67" t="str">
        <f>_xlfn.IFNA(IF(AND(VLOOKUP(Data!A67,表1[],2,0)="HTA8000",Data!E67="LME"),"HTA8003",VLOOKUP(Data!A67,表1[],2,0)),"")</f>
        <v/>
      </c>
      <c r="B67" t="str">
        <f t="shared" ref="B67:B130" si="1">IF(A67="","",IF(C67="","X","F"))</f>
        <v/>
      </c>
      <c r="C67" t="str">
        <f>IF(A67="","",VLOOKUP(Data!G67,表3[],2,0))</f>
        <v/>
      </c>
      <c r="D67" t="str">
        <f>IF(A67="","",VLOOKUP(Data!G67,表3[],3,0))</f>
        <v/>
      </c>
      <c r="E67" t="str">
        <f>IF(A67="","",IF(C67="","",VLOOKUP(RIGHT(Data!H67,2),$O$37:$P$48,2,0)&amp;20&amp;LEFT(Data!H67,2)))</f>
        <v/>
      </c>
      <c r="F67" t="str">
        <f>IF(A67="","",IF(C67="",Data!H67+20000000,""))</f>
        <v/>
      </c>
      <c r="G67" t="str">
        <f>IF(A67="","",Data!K67)</f>
        <v/>
      </c>
      <c r="H67" t="str">
        <f>IF(Data!A67="PHSGCQG","8001/8005","")</f>
        <v/>
      </c>
    </row>
    <row r="68" spans="1:8">
      <c r="A68" t="str">
        <f>_xlfn.IFNA(IF(AND(VLOOKUP(Data!A68,表1[],2,0)="HTA8000",Data!E68="LME"),"HTA8003",VLOOKUP(Data!A68,表1[],2,0)),"")</f>
        <v/>
      </c>
      <c r="B68" t="str">
        <f t="shared" si="1"/>
        <v/>
      </c>
      <c r="C68" t="str">
        <f>IF(A68="","",VLOOKUP(Data!G68,表3[],2,0))</f>
        <v/>
      </c>
      <c r="D68" t="str">
        <f>IF(A68="","",VLOOKUP(Data!G68,表3[],3,0))</f>
        <v/>
      </c>
      <c r="E68" t="str">
        <f>IF(A68="","",IF(C68="","",VLOOKUP(RIGHT(Data!H68,2),$O$37:$P$48,2,0)&amp;20&amp;LEFT(Data!H68,2)))</f>
        <v/>
      </c>
      <c r="F68" t="str">
        <f>IF(A68="","",IF(C68="",Data!H68+20000000,""))</f>
        <v/>
      </c>
      <c r="G68" t="str">
        <f>IF(A68="","",Data!K68)</f>
        <v/>
      </c>
      <c r="H68" t="str">
        <f>IF(Data!A68="PHSGCQG","8001/8005","")</f>
        <v/>
      </c>
    </row>
    <row r="69" spans="1:8">
      <c r="A69" t="str">
        <f>_xlfn.IFNA(IF(AND(VLOOKUP(Data!A69,表1[],2,0)="HTA8000",Data!E69="LME"),"HTA8003",VLOOKUP(Data!A69,表1[],2,0)),"")</f>
        <v/>
      </c>
      <c r="B69" t="str">
        <f t="shared" si="1"/>
        <v/>
      </c>
      <c r="C69" t="str">
        <f>IF(A69="","",VLOOKUP(Data!G69,表3[],2,0))</f>
        <v/>
      </c>
      <c r="D69" t="str">
        <f>IF(A69="","",VLOOKUP(Data!G69,表3[],3,0))</f>
        <v/>
      </c>
      <c r="E69" t="str">
        <f>IF(A69="","",IF(C69="","",VLOOKUP(RIGHT(Data!H69,2),$O$37:$P$48,2,0)&amp;20&amp;LEFT(Data!H69,2)))</f>
        <v/>
      </c>
      <c r="F69" t="str">
        <f>IF(A69="","",IF(C69="",Data!H69+20000000,""))</f>
        <v/>
      </c>
      <c r="G69" t="str">
        <f>IF(A69="","",Data!K69)</f>
        <v/>
      </c>
      <c r="H69" t="str">
        <f>IF(Data!A69="PHSGCQG","8001/8005","")</f>
        <v/>
      </c>
    </row>
    <row r="70" spans="1:8">
      <c r="A70" t="str">
        <f>_xlfn.IFNA(IF(AND(VLOOKUP(Data!A70,表1[],2,0)="HTA8000",Data!E70="LME"),"HTA8003",VLOOKUP(Data!A70,表1[],2,0)),"")</f>
        <v/>
      </c>
      <c r="B70" t="str">
        <f t="shared" si="1"/>
        <v/>
      </c>
      <c r="C70" t="str">
        <f>IF(A70="","",VLOOKUP(Data!G70,表3[],2,0))</f>
        <v/>
      </c>
      <c r="D70" t="str">
        <f>IF(A70="","",VLOOKUP(Data!G70,表3[],3,0))</f>
        <v/>
      </c>
      <c r="E70" t="str">
        <f>IF(A70="","",IF(C70="","",VLOOKUP(RIGHT(Data!H70,2),$O$37:$P$48,2,0)&amp;20&amp;LEFT(Data!H70,2)))</f>
        <v/>
      </c>
      <c r="F70" t="str">
        <f>IF(A70="","",IF(C70="",Data!H70+20000000,""))</f>
        <v/>
      </c>
      <c r="G70" t="str">
        <f>IF(A70="","",Data!K70)</f>
        <v/>
      </c>
      <c r="H70" t="str">
        <f>IF(Data!A70="PHSGCQG","8001/8005","")</f>
        <v/>
      </c>
    </row>
    <row r="71" spans="1:8">
      <c r="A71" t="str">
        <f>_xlfn.IFNA(IF(AND(VLOOKUP(Data!A71,表1[],2,0)="HTA8000",Data!E71="LME"),"HTA8003",VLOOKUP(Data!A71,表1[],2,0)),"")</f>
        <v/>
      </c>
      <c r="B71" t="str">
        <f t="shared" si="1"/>
        <v/>
      </c>
      <c r="C71" t="str">
        <f>IF(A71="","",VLOOKUP(Data!G71,表3[],2,0))</f>
        <v/>
      </c>
      <c r="D71" t="str">
        <f>IF(A71="","",VLOOKUP(Data!G71,表3[],3,0))</f>
        <v/>
      </c>
      <c r="E71" t="str">
        <f>IF(A71="","",IF(C71="","",VLOOKUP(RIGHT(Data!H71,2),$O$37:$P$48,2,0)&amp;20&amp;LEFT(Data!H71,2)))</f>
        <v/>
      </c>
      <c r="F71" t="str">
        <f>IF(A71="","",IF(C71="",Data!H71+20000000,""))</f>
        <v/>
      </c>
      <c r="G71" t="str">
        <f>IF(A71="","",Data!K71)</f>
        <v/>
      </c>
      <c r="H71" t="str">
        <f>IF(Data!A71="PHSGCQG","8001/8005","")</f>
        <v/>
      </c>
    </row>
    <row r="72" spans="1:8">
      <c r="A72" t="str">
        <f>_xlfn.IFNA(IF(AND(VLOOKUP(Data!A72,表1[],2,0)="HTA8000",Data!E72="LME"),"HTA8003",VLOOKUP(Data!A72,表1[],2,0)),"")</f>
        <v/>
      </c>
      <c r="B72" t="str">
        <f t="shared" si="1"/>
        <v/>
      </c>
      <c r="C72" t="str">
        <f>IF(A72="","",VLOOKUP(Data!G72,表3[],2,0))</f>
        <v/>
      </c>
      <c r="D72" t="str">
        <f>IF(A72="","",VLOOKUP(Data!G72,表3[],3,0))</f>
        <v/>
      </c>
      <c r="E72" t="str">
        <f>IF(A72="","",IF(C72="","",VLOOKUP(RIGHT(Data!H72,2),$O$37:$P$48,2,0)&amp;20&amp;LEFT(Data!H72,2)))</f>
        <v/>
      </c>
      <c r="F72" t="str">
        <f>IF(A72="","",IF(C72="",Data!H72+20000000,""))</f>
        <v/>
      </c>
      <c r="G72" t="str">
        <f>IF(A72="","",Data!K72)</f>
        <v/>
      </c>
      <c r="H72" t="str">
        <f>IF(Data!A72="PHSGCQG","8001/8005","")</f>
        <v/>
      </c>
    </row>
    <row r="73" spans="1:8">
      <c r="A73" t="str">
        <f>_xlfn.IFNA(IF(AND(VLOOKUP(Data!A73,表1[],2,0)="HTA8000",Data!E73="LME"),"HTA8003",VLOOKUP(Data!A73,表1[],2,0)),"")</f>
        <v/>
      </c>
      <c r="B73" t="str">
        <f t="shared" si="1"/>
        <v/>
      </c>
      <c r="C73" t="str">
        <f>IF(A73="","",VLOOKUP(Data!G73,表3[],2,0))</f>
        <v/>
      </c>
      <c r="D73" t="str">
        <f>IF(A73="","",VLOOKUP(Data!G73,表3[],3,0))</f>
        <v/>
      </c>
      <c r="E73" t="str">
        <f>IF(A73="","",IF(C73="","",VLOOKUP(RIGHT(Data!H73,2),$O$37:$P$48,2,0)&amp;20&amp;LEFT(Data!H73,2)))</f>
        <v/>
      </c>
      <c r="F73" t="str">
        <f>IF(A73="","",IF(C73="",Data!H73+20000000,""))</f>
        <v/>
      </c>
      <c r="G73" t="str">
        <f>IF(A73="","",Data!K73)</f>
        <v/>
      </c>
      <c r="H73" t="str">
        <f>IF(Data!A73="PHSGCQG","8001/8005","")</f>
        <v/>
      </c>
    </row>
    <row r="74" spans="1:8">
      <c r="A74" t="str">
        <f>_xlfn.IFNA(IF(AND(VLOOKUP(Data!A74,表1[],2,0)="HTA8000",Data!E74="LME"),"HTA8003",VLOOKUP(Data!A74,表1[],2,0)),"")</f>
        <v/>
      </c>
      <c r="B74" t="str">
        <f t="shared" si="1"/>
        <v/>
      </c>
      <c r="C74" t="str">
        <f>IF(A74="","",VLOOKUP(Data!G74,表3[],2,0))</f>
        <v/>
      </c>
      <c r="D74" t="str">
        <f>IF(A74="","",VLOOKUP(Data!G74,表3[],3,0))</f>
        <v/>
      </c>
      <c r="E74" t="str">
        <f>IF(A74="","",IF(C74="","",VLOOKUP(RIGHT(Data!H74,2),$O$37:$P$48,2,0)&amp;20&amp;LEFT(Data!H74,2)))</f>
        <v/>
      </c>
      <c r="F74" t="str">
        <f>IF(A74="","",IF(C74="",Data!H74+20000000,""))</f>
        <v/>
      </c>
      <c r="G74" t="str">
        <f>IF(A74="","",Data!K74)</f>
        <v/>
      </c>
      <c r="H74" t="str">
        <f>IF(Data!A74="PHSGCQG","8001/8005","")</f>
        <v/>
      </c>
    </row>
    <row r="75" spans="1:8">
      <c r="A75" t="str">
        <f>_xlfn.IFNA(IF(AND(VLOOKUP(Data!A75,表1[],2,0)="HTA8000",Data!E75="LME"),"HTA8003",VLOOKUP(Data!A75,表1[],2,0)),"")</f>
        <v/>
      </c>
      <c r="B75" t="str">
        <f t="shared" si="1"/>
        <v/>
      </c>
      <c r="C75" t="str">
        <f>IF(A75="","",VLOOKUP(Data!G75,表3[],2,0))</f>
        <v/>
      </c>
      <c r="D75" t="str">
        <f>IF(A75="","",VLOOKUP(Data!G75,表3[],3,0))</f>
        <v/>
      </c>
      <c r="E75" t="str">
        <f>IF(A75="","",IF(C75="","",VLOOKUP(RIGHT(Data!H75,2),$O$37:$P$48,2,0)&amp;20&amp;LEFT(Data!H75,2)))</f>
        <v/>
      </c>
      <c r="F75" t="str">
        <f>IF(A75="","",IF(C75="",Data!H75+20000000,""))</f>
        <v/>
      </c>
      <c r="G75" t="str">
        <f>IF(A75="","",Data!K75)</f>
        <v/>
      </c>
      <c r="H75" t="str">
        <f>IF(Data!A75="PHSGCQG","8001/8005","")</f>
        <v/>
      </c>
    </row>
    <row r="76" spans="1:8">
      <c r="A76" t="str">
        <f>_xlfn.IFNA(IF(AND(VLOOKUP(Data!A76,表1[],2,0)="HTA8000",Data!E76="LME"),"HTA8003",VLOOKUP(Data!A76,表1[],2,0)),"")</f>
        <v/>
      </c>
      <c r="B76" t="str">
        <f t="shared" si="1"/>
        <v/>
      </c>
      <c r="C76" t="str">
        <f>IF(A76="","",VLOOKUP(Data!G76,表3[],2,0))</f>
        <v/>
      </c>
      <c r="D76" t="str">
        <f>IF(A76="","",VLOOKUP(Data!G76,表3[],3,0))</f>
        <v/>
      </c>
      <c r="E76" t="str">
        <f>IF(A76="","",IF(C76="","",VLOOKUP(RIGHT(Data!H76,2),$O$37:$P$48,2,0)&amp;20&amp;LEFT(Data!H76,2)))</f>
        <v/>
      </c>
      <c r="F76" t="str">
        <f>IF(A76="","",IF(C76="",Data!H76+20000000,""))</f>
        <v/>
      </c>
      <c r="G76" t="str">
        <f>IF(A76="","",Data!K76)</f>
        <v/>
      </c>
      <c r="H76" t="str">
        <f>IF(Data!A76="PHSGCQG","8001/8005","")</f>
        <v/>
      </c>
    </row>
    <row r="77" spans="1:8">
      <c r="A77" t="str">
        <f>_xlfn.IFNA(IF(AND(VLOOKUP(Data!A77,表1[],2,0)="HTA8000",Data!E77="LME"),"HTA8003",VLOOKUP(Data!A77,表1[],2,0)),"")</f>
        <v/>
      </c>
      <c r="B77" t="str">
        <f t="shared" si="1"/>
        <v/>
      </c>
      <c r="C77" t="str">
        <f>IF(A77="","",VLOOKUP(Data!G77,表3[],2,0))</f>
        <v/>
      </c>
      <c r="D77" t="str">
        <f>IF(A77="","",VLOOKUP(Data!G77,表3[],3,0))</f>
        <v/>
      </c>
      <c r="E77" t="str">
        <f>IF(A77="","",IF(C77="","",VLOOKUP(RIGHT(Data!H77,2),$O$37:$P$48,2,0)&amp;20&amp;LEFT(Data!H77,2)))</f>
        <v/>
      </c>
      <c r="F77" t="str">
        <f>IF(A77="","",IF(C77="",Data!H77+20000000,""))</f>
        <v/>
      </c>
      <c r="G77" t="str">
        <f>IF(A77="","",Data!K77)</f>
        <v/>
      </c>
      <c r="H77" t="str">
        <f>IF(Data!A77="PHSGCQG","8001/8005","")</f>
        <v/>
      </c>
    </row>
    <row r="78" spans="1:8">
      <c r="A78" t="str">
        <f>_xlfn.IFNA(IF(AND(VLOOKUP(Data!A78,表1[],2,0)="HTA8000",Data!E78="LME"),"HTA8003",VLOOKUP(Data!A78,表1[],2,0)),"")</f>
        <v/>
      </c>
      <c r="B78" t="str">
        <f t="shared" si="1"/>
        <v/>
      </c>
      <c r="C78" t="str">
        <f>IF(A78="","",VLOOKUP(Data!G78,表3[],2,0))</f>
        <v/>
      </c>
      <c r="D78" t="str">
        <f>IF(A78="","",VLOOKUP(Data!G78,表3[],3,0))</f>
        <v/>
      </c>
      <c r="E78" t="str">
        <f>IF(A78="","",IF(C78="","",VLOOKUP(RIGHT(Data!H78,2),$O$37:$P$48,2,0)&amp;20&amp;LEFT(Data!H78,2)))</f>
        <v/>
      </c>
      <c r="F78" t="str">
        <f>IF(A78="","",IF(C78="",Data!H78+20000000,""))</f>
        <v/>
      </c>
      <c r="G78" t="str">
        <f>IF(A78="","",Data!K78)</f>
        <v/>
      </c>
      <c r="H78" t="str">
        <f>IF(Data!A78="PHSGCQG","8001/8005","")</f>
        <v/>
      </c>
    </row>
    <row r="79" spans="1:8">
      <c r="A79" t="str">
        <f>_xlfn.IFNA(IF(AND(VLOOKUP(Data!A79,表1[],2,0)="HTA8000",Data!E79="LME"),"HTA8003",VLOOKUP(Data!A79,表1[],2,0)),"")</f>
        <v/>
      </c>
      <c r="B79" t="str">
        <f t="shared" si="1"/>
        <v/>
      </c>
      <c r="C79" t="str">
        <f>IF(A79="","",VLOOKUP(Data!G79,表3[],2,0))</f>
        <v/>
      </c>
      <c r="D79" t="str">
        <f>IF(A79="","",VLOOKUP(Data!G79,表3[],3,0))</f>
        <v/>
      </c>
      <c r="E79" t="str">
        <f>IF(A79="","",IF(C79="","",VLOOKUP(RIGHT(Data!H79,2),$O$37:$P$48,2,0)&amp;20&amp;LEFT(Data!H79,2)))</f>
        <v/>
      </c>
      <c r="F79" t="str">
        <f>IF(A79="","",IF(C79="",Data!H79+20000000,""))</f>
        <v/>
      </c>
      <c r="G79" t="str">
        <f>IF(A79="","",Data!K79)</f>
        <v/>
      </c>
      <c r="H79" t="str">
        <f>IF(Data!A79="PHSGCQG","8001/8005","")</f>
        <v/>
      </c>
    </row>
    <row r="80" spans="1:8">
      <c r="A80" t="str">
        <f>_xlfn.IFNA(IF(AND(VLOOKUP(Data!A80,表1[],2,0)="HTA8000",Data!E80="LME"),"HTA8003",VLOOKUP(Data!A80,表1[],2,0)),"")</f>
        <v/>
      </c>
      <c r="B80" t="str">
        <f t="shared" si="1"/>
        <v/>
      </c>
      <c r="C80" t="str">
        <f>IF(A80="","",VLOOKUP(Data!G80,表3[],2,0))</f>
        <v/>
      </c>
      <c r="D80" t="str">
        <f>IF(A80="","",VLOOKUP(Data!G80,表3[],3,0))</f>
        <v/>
      </c>
      <c r="E80" t="str">
        <f>IF(A80="","",IF(C80="","",VLOOKUP(RIGHT(Data!H80,2),$O$37:$P$48,2,0)&amp;20&amp;LEFT(Data!H80,2)))</f>
        <v/>
      </c>
      <c r="F80" t="str">
        <f>IF(A80="","",IF(C80="",Data!H80+20000000,""))</f>
        <v/>
      </c>
      <c r="G80" t="str">
        <f>IF(A80="","",Data!K80)</f>
        <v/>
      </c>
      <c r="H80" t="str">
        <f>IF(Data!A80="PHSGCQG","8001/8005","")</f>
        <v/>
      </c>
    </row>
    <row r="81" spans="1:8">
      <c r="A81" t="str">
        <f>_xlfn.IFNA(IF(AND(VLOOKUP(Data!A81,表1[],2,0)="HTA8000",Data!E81="LME"),"HTA8003",VLOOKUP(Data!A81,表1[],2,0)),"")</f>
        <v/>
      </c>
      <c r="B81" t="str">
        <f t="shared" si="1"/>
        <v/>
      </c>
      <c r="C81" t="str">
        <f>IF(A81="","",VLOOKUP(Data!G81,表3[],2,0))</f>
        <v/>
      </c>
      <c r="D81" t="str">
        <f>IF(A81="","",VLOOKUP(Data!G81,表3[],3,0))</f>
        <v/>
      </c>
      <c r="E81" t="str">
        <f>IF(A81="","",IF(C81="","",VLOOKUP(RIGHT(Data!H81,2),$O$37:$P$48,2,0)&amp;20&amp;LEFT(Data!H81,2)))</f>
        <v/>
      </c>
      <c r="F81" t="str">
        <f>IF(A81="","",IF(C81="",Data!H81+20000000,""))</f>
        <v/>
      </c>
      <c r="G81" t="str">
        <f>IF(A81="","",Data!K81)</f>
        <v/>
      </c>
      <c r="H81" t="str">
        <f>IF(Data!A81="PHSGCQG","8001/8005","")</f>
        <v/>
      </c>
    </row>
    <row r="82" spans="1:8">
      <c r="A82" t="str">
        <f>_xlfn.IFNA(IF(AND(VLOOKUP(Data!A82,表1[],2,0)="HTA8000",Data!E82="LME"),"HTA8003",VLOOKUP(Data!A82,表1[],2,0)),"")</f>
        <v/>
      </c>
      <c r="B82" t="str">
        <f t="shared" si="1"/>
        <v/>
      </c>
      <c r="C82" t="str">
        <f>IF(A82="","",VLOOKUP(Data!G82,表3[],2,0))</f>
        <v/>
      </c>
      <c r="D82" t="str">
        <f>IF(A82="","",VLOOKUP(Data!G82,表3[],3,0))</f>
        <v/>
      </c>
      <c r="E82" t="str">
        <f>IF(A82="","",IF(C82="","",VLOOKUP(RIGHT(Data!H82,2),$O$37:$P$48,2,0)&amp;20&amp;LEFT(Data!H82,2)))</f>
        <v/>
      </c>
      <c r="F82" t="str">
        <f>IF(A82="","",IF(C82="",Data!H82+20000000,""))</f>
        <v/>
      </c>
      <c r="G82" t="str">
        <f>IF(A82="","",Data!K82)</f>
        <v/>
      </c>
      <c r="H82" t="str">
        <f>IF(Data!A82="PHSGCQG","8001/8005","")</f>
        <v/>
      </c>
    </row>
    <row r="83" spans="1:8">
      <c r="A83" t="str">
        <f>_xlfn.IFNA(IF(AND(VLOOKUP(Data!A83,表1[],2,0)="HTA8000",Data!E83="LME"),"HTA8003",VLOOKUP(Data!A83,表1[],2,0)),"")</f>
        <v/>
      </c>
      <c r="B83" t="str">
        <f t="shared" si="1"/>
        <v/>
      </c>
      <c r="C83" t="str">
        <f>IF(A83="","",VLOOKUP(Data!G83,表3[],2,0))</f>
        <v/>
      </c>
      <c r="D83" t="str">
        <f>IF(A83="","",VLOOKUP(Data!G83,表3[],3,0))</f>
        <v/>
      </c>
      <c r="E83" t="str">
        <f>IF(A83="","",IF(C83="","",VLOOKUP(RIGHT(Data!H83,2),$O$37:$P$48,2,0)&amp;20&amp;LEFT(Data!H83,2)))</f>
        <v/>
      </c>
      <c r="F83" t="str">
        <f>IF(A83="","",IF(C83="",Data!H83+20000000,""))</f>
        <v/>
      </c>
      <c r="G83" t="str">
        <f>IF(A83="","",Data!K83)</f>
        <v/>
      </c>
      <c r="H83" t="str">
        <f>IF(Data!A83="PHSGCQG","8001/8005","")</f>
        <v/>
      </c>
    </row>
    <row r="84" spans="1:8">
      <c r="A84" t="str">
        <f>_xlfn.IFNA(IF(AND(VLOOKUP(Data!A84,表1[],2,0)="HTA8000",Data!E84="LME"),"HTA8003",VLOOKUP(Data!A84,表1[],2,0)),"")</f>
        <v/>
      </c>
      <c r="B84" t="str">
        <f t="shared" si="1"/>
        <v/>
      </c>
      <c r="C84" t="str">
        <f>IF(A84="","",VLOOKUP(Data!G84,表3[],2,0))</f>
        <v/>
      </c>
      <c r="D84" t="str">
        <f>IF(A84="","",VLOOKUP(Data!G84,表3[],3,0))</f>
        <v/>
      </c>
      <c r="E84" t="str">
        <f>IF(A84="","",IF(C84="","",VLOOKUP(RIGHT(Data!H84,2),$O$37:$P$48,2,0)&amp;20&amp;LEFT(Data!H84,2)))</f>
        <v/>
      </c>
      <c r="F84" t="str">
        <f>IF(A84="","",IF(C84="",Data!H84+20000000,""))</f>
        <v/>
      </c>
      <c r="G84" t="str">
        <f>IF(A84="","",Data!K84)</f>
        <v/>
      </c>
      <c r="H84" t="str">
        <f>IF(Data!A84="PHSGCQG","8001/8005","")</f>
        <v/>
      </c>
    </row>
    <row r="85" spans="1:8">
      <c r="A85" t="str">
        <f>_xlfn.IFNA(IF(AND(VLOOKUP(Data!A85,表1[],2,0)="HTA8000",Data!E85="LME"),"HTA8003",VLOOKUP(Data!A85,表1[],2,0)),"")</f>
        <v/>
      </c>
      <c r="B85" t="str">
        <f t="shared" si="1"/>
        <v/>
      </c>
      <c r="C85" t="str">
        <f>IF(A85="","",VLOOKUP(Data!G85,表3[],2,0))</f>
        <v/>
      </c>
      <c r="D85" t="str">
        <f>IF(A85="","",VLOOKUP(Data!G85,表3[],3,0))</f>
        <v/>
      </c>
      <c r="E85" t="str">
        <f>IF(A85="","",IF(C85="","",VLOOKUP(RIGHT(Data!H85,2),$O$37:$P$48,2,0)&amp;20&amp;LEFT(Data!H85,2)))</f>
        <v/>
      </c>
      <c r="F85" t="str">
        <f>IF(A85="","",IF(C85="",Data!H85+20000000,""))</f>
        <v/>
      </c>
      <c r="G85" t="str">
        <f>IF(A85="","",Data!K85)</f>
        <v/>
      </c>
      <c r="H85" t="str">
        <f>IF(Data!A85="PHSGCQG","8001/8005","")</f>
        <v/>
      </c>
    </row>
    <row r="86" spans="1:8">
      <c r="A86" t="str">
        <f>_xlfn.IFNA(IF(AND(VLOOKUP(Data!A86,表1[],2,0)="HTA8000",Data!E86="LME"),"HTA8003",VLOOKUP(Data!A86,表1[],2,0)),"")</f>
        <v/>
      </c>
      <c r="B86" t="str">
        <f t="shared" si="1"/>
        <v/>
      </c>
      <c r="C86" t="str">
        <f>IF(A86="","",VLOOKUP(Data!G86,表3[],2,0))</f>
        <v/>
      </c>
      <c r="D86" t="str">
        <f>IF(A86="","",VLOOKUP(Data!G86,表3[],3,0))</f>
        <v/>
      </c>
      <c r="E86" t="str">
        <f>IF(A86="","",IF(C86="","",VLOOKUP(RIGHT(Data!H86,2),$O$37:$P$48,2,0)&amp;20&amp;LEFT(Data!H86,2)))</f>
        <v/>
      </c>
      <c r="F86" t="str">
        <f>IF(A86="","",IF(C86="",Data!H86+20000000,""))</f>
        <v/>
      </c>
      <c r="G86" t="str">
        <f>IF(A86="","",Data!K86)</f>
        <v/>
      </c>
      <c r="H86" t="str">
        <f>IF(Data!A86="PHSGCQG","8001/8005","")</f>
        <v/>
      </c>
    </row>
    <row r="87" spans="1:8">
      <c r="A87" t="str">
        <f>_xlfn.IFNA(IF(AND(VLOOKUP(Data!A87,表1[],2,0)="HTA8000",Data!E87="LME"),"HTA8003",VLOOKUP(Data!A87,表1[],2,0)),"")</f>
        <v/>
      </c>
      <c r="B87" t="str">
        <f t="shared" si="1"/>
        <v/>
      </c>
      <c r="C87" t="str">
        <f>IF(A87="","",VLOOKUP(Data!G87,表3[],2,0))</f>
        <v/>
      </c>
      <c r="D87" t="str">
        <f>IF(A87="","",VLOOKUP(Data!G87,表3[],3,0))</f>
        <v/>
      </c>
      <c r="E87" t="str">
        <f>IF(A87="","",IF(C87="","",VLOOKUP(RIGHT(Data!H87,2),$O$37:$P$48,2,0)&amp;20&amp;LEFT(Data!H87,2)))</f>
        <v/>
      </c>
      <c r="F87" t="str">
        <f>IF(A87="","",IF(C87="",Data!H87+20000000,""))</f>
        <v/>
      </c>
      <c r="G87" t="str">
        <f>IF(A87="","",Data!K87)</f>
        <v/>
      </c>
      <c r="H87" t="str">
        <f>IF(Data!A87="PHSGCQG","8001/8005","")</f>
        <v/>
      </c>
    </row>
    <row r="88" spans="1:8">
      <c r="A88" t="str">
        <f>_xlfn.IFNA(IF(AND(VLOOKUP(Data!A88,表1[],2,0)="HTA8000",Data!E88="LME"),"HTA8003",VLOOKUP(Data!A88,表1[],2,0)),"")</f>
        <v/>
      </c>
      <c r="B88" t="str">
        <f t="shared" si="1"/>
        <v/>
      </c>
      <c r="C88" t="str">
        <f>IF(A88="","",VLOOKUP(Data!G88,表3[],2,0))</f>
        <v/>
      </c>
      <c r="D88" t="str">
        <f>IF(A88="","",VLOOKUP(Data!G88,表3[],3,0))</f>
        <v/>
      </c>
      <c r="E88" t="str">
        <f>IF(A88="","",IF(C88="","",VLOOKUP(RIGHT(Data!H88,2),$O$37:$P$48,2,0)&amp;20&amp;LEFT(Data!H88,2)))</f>
        <v/>
      </c>
      <c r="F88" t="str">
        <f>IF(A88="","",IF(C88="",Data!H88+20000000,""))</f>
        <v/>
      </c>
      <c r="G88" t="str">
        <f>IF(A88="","",Data!K88)</f>
        <v/>
      </c>
      <c r="H88" t="str">
        <f>IF(Data!A88="PHSGCQG","8001/8005","")</f>
        <v/>
      </c>
    </row>
    <row r="89" spans="1:8">
      <c r="A89" t="str">
        <f>_xlfn.IFNA(IF(AND(VLOOKUP(Data!A89,表1[],2,0)="HTA8000",Data!E89="LME"),"HTA8003",VLOOKUP(Data!A89,表1[],2,0)),"")</f>
        <v/>
      </c>
      <c r="B89" t="str">
        <f t="shared" si="1"/>
        <v/>
      </c>
      <c r="C89" t="str">
        <f>IF(A89="","",VLOOKUP(Data!G89,表3[],2,0))</f>
        <v/>
      </c>
      <c r="D89" t="str">
        <f>IF(A89="","",VLOOKUP(Data!G89,表3[],3,0))</f>
        <v/>
      </c>
      <c r="E89" t="str">
        <f>IF(A89="","",IF(C89="","",VLOOKUP(RIGHT(Data!H89,2),$O$37:$P$48,2,0)&amp;20&amp;LEFT(Data!H89,2)))</f>
        <v/>
      </c>
      <c r="F89" t="str">
        <f>IF(A89="","",IF(C89="",Data!H89+20000000,""))</f>
        <v/>
      </c>
      <c r="G89" t="str">
        <f>IF(A89="","",Data!K89)</f>
        <v/>
      </c>
      <c r="H89" t="str">
        <f>IF(Data!A89="PHSGCQG","8001/8005","")</f>
        <v/>
      </c>
    </row>
    <row r="90" spans="1:8">
      <c r="A90" t="str">
        <f>_xlfn.IFNA(IF(AND(VLOOKUP(Data!A90,表1[],2,0)="HTA8000",Data!E90="LME"),"HTA8003",VLOOKUP(Data!A90,表1[],2,0)),"")</f>
        <v/>
      </c>
      <c r="B90" t="str">
        <f t="shared" si="1"/>
        <v/>
      </c>
      <c r="C90" t="str">
        <f>IF(A90="","",VLOOKUP(Data!G90,表3[],2,0))</f>
        <v/>
      </c>
      <c r="D90" t="str">
        <f>IF(A90="","",VLOOKUP(Data!G90,表3[],3,0))</f>
        <v/>
      </c>
      <c r="E90" t="str">
        <f>IF(A90="","",IF(C90="","",VLOOKUP(RIGHT(Data!H90,2),$O$37:$P$48,2,0)&amp;20&amp;LEFT(Data!H90,2)))</f>
        <v/>
      </c>
      <c r="F90" t="str">
        <f>IF(A90="","",IF(C90="",Data!H90+20000000,""))</f>
        <v/>
      </c>
      <c r="G90" t="str">
        <f>IF(A90="","",Data!K90)</f>
        <v/>
      </c>
      <c r="H90" t="str">
        <f>IF(Data!A90="PHSGCQG","8001/8005","")</f>
        <v/>
      </c>
    </row>
    <row r="91" spans="1:8">
      <c r="A91" t="str">
        <f>_xlfn.IFNA(IF(AND(VLOOKUP(Data!A91,表1[],2,0)="HTA8000",Data!E91="LME"),"HTA8003",VLOOKUP(Data!A91,表1[],2,0)),"")</f>
        <v/>
      </c>
      <c r="B91" t="str">
        <f t="shared" si="1"/>
        <v/>
      </c>
      <c r="C91" t="str">
        <f>IF(A91="","",VLOOKUP(Data!G91,表3[],2,0))</f>
        <v/>
      </c>
      <c r="D91" t="str">
        <f>IF(A91="","",VLOOKUP(Data!G91,表3[],3,0))</f>
        <v/>
      </c>
      <c r="E91" t="str">
        <f>IF(A91="","",IF(C91="","",VLOOKUP(RIGHT(Data!H91,2),$O$37:$P$48,2,0)&amp;20&amp;LEFT(Data!H91,2)))</f>
        <v/>
      </c>
      <c r="F91" t="str">
        <f>IF(A91="","",IF(C91="",Data!H91+20000000,""))</f>
        <v/>
      </c>
      <c r="G91" t="str">
        <f>IF(A91="","",Data!K91)</f>
        <v/>
      </c>
      <c r="H91" t="str">
        <f>IF(Data!A91="PHSGCQG","8001/8005","")</f>
        <v/>
      </c>
    </row>
    <row r="92" spans="1:8">
      <c r="A92" t="str">
        <f>_xlfn.IFNA(IF(AND(VLOOKUP(Data!A92,表1[],2,0)="HTA8000",Data!E92="LME"),"HTA8003",VLOOKUP(Data!A92,表1[],2,0)),"")</f>
        <v/>
      </c>
      <c r="B92" t="str">
        <f t="shared" si="1"/>
        <v/>
      </c>
      <c r="C92" t="str">
        <f>IF(A92="","",VLOOKUP(Data!G92,表3[],2,0))</f>
        <v/>
      </c>
      <c r="D92" t="str">
        <f>IF(A92="","",VLOOKUP(Data!G92,表3[],3,0))</f>
        <v/>
      </c>
      <c r="E92" t="str">
        <f>IF(A92="","",IF(C92="","",VLOOKUP(RIGHT(Data!H92,2),$O$37:$P$48,2,0)&amp;20&amp;LEFT(Data!H92,2)))</f>
        <v/>
      </c>
      <c r="F92" t="str">
        <f>IF(A92="","",IF(C92="",Data!H92+20000000,""))</f>
        <v/>
      </c>
      <c r="G92" t="str">
        <f>IF(A92="","",Data!K92)</f>
        <v/>
      </c>
      <c r="H92" t="str">
        <f>IF(Data!A92="PHSGCQG","8001/8005","")</f>
        <v/>
      </c>
    </row>
    <row r="93" spans="1:8">
      <c r="A93" t="str">
        <f>_xlfn.IFNA(IF(AND(VLOOKUP(Data!A93,表1[],2,0)="HTA8000",Data!E93="LME"),"HTA8003",VLOOKUP(Data!A93,表1[],2,0)),"")</f>
        <v/>
      </c>
      <c r="B93" t="str">
        <f t="shared" si="1"/>
        <v/>
      </c>
      <c r="C93" t="str">
        <f>IF(A93="","",VLOOKUP(Data!G93,表3[],2,0))</f>
        <v/>
      </c>
      <c r="D93" t="str">
        <f>IF(A93="","",VLOOKUP(Data!G93,表3[],3,0))</f>
        <v/>
      </c>
      <c r="E93" t="str">
        <f>IF(A93="","",IF(C93="","",VLOOKUP(RIGHT(Data!H93,2),$O$37:$P$48,2,0)&amp;20&amp;LEFT(Data!H93,2)))</f>
        <v/>
      </c>
      <c r="F93" t="str">
        <f>IF(A93="","",IF(C93="",Data!H93+20000000,""))</f>
        <v/>
      </c>
      <c r="G93" t="str">
        <f>IF(A93="","",Data!K93)</f>
        <v/>
      </c>
      <c r="H93" t="str">
        <f>IF(Data!A93="PHSGCQG","8001/8005","")</f>
        <v/>
      </c>
    </row>
    <row r="94" spans="1:8">
      <c r="A94" t="str">
        <f>_xlfn.IFNA(IF(AND(VLOOKUP(Data!A94,表1[],2,0)="HTA8000",Data!E94="LME"),"HTA8003",VLOOKUP(Data!A94,表1[],2,0)),"")</f>
        <v/>
      </c>
      <c r="B94" t="str">
        <f t="shared" si="1"/>
        <v/>
      </c>
      <c r="C94" t="str">
        <f>IF(A94="","",VLOOKUP(Data!G94,表3[],2,0))</f>
        <v/>
      </c>
      <c r="D94" t="str">
        <f>IF(A94="","",VLOOKUP(Data!G94,表3[],3,0))</f>
        <v/>
      </c>
      <c r="E94" t="str">
        <f>IF(A94="","",IF(C94="","",VLOOKUP(RIGHT(Data!H94,2),$O$37:$P$48,2,0)&amp;20&amp;LEFT(Data!H94,2)))</f>
        <v/>
      </c>
      <c r="F94" t="str">
        <f>IF(A94="","",IF(C94="",Data!H94+20000000,""))</f>
        <v/>
      </c>
      <c r="G94" t="str">
        <f>IF(A94="","",Data!K94)</f>
        <v/>
      </c>
      <c r="H94" t="str">
        <f>IF(Data!A94="PHSGCQG","8001/8005","")</f>
        <v/>
      </c>
    </row>
    <row r="95" spans="1:8">
      <c r="A95" t="str">
        <f>_xlfn.IFNA(IF(AND(VLOOKUP(Data!A95,表1[],2,0)="HTA8000",Data!E95="LME"),"HTA8003",VLOOKUP(Data!A95,表1[],2,0)),"")</f>
        <v/>
      </c>
      <c r="B95" t="str">
        <f t="shared" si="1"/>
        <v/>
      </c>
      <c r="C95" t="str">
        <f>IF(A95="","",VLOOKUP(Data!G95,表3[],2,0))</f>
        <v/>
      </c>
      <c r="D95" t="str">
        <f>IF(A95="","",VLOOKUP(Data!G95,表3[],3,0))</f>
        <v/>
      </c>
      <c r="E95" t="str">
        <f>IF(A95="","",IF(C95="","",VLOOKUP(RIGHT(Data!H95,2),$O$37:$P$48,2,0)&amp;20&amp;LEFT(Data!H95,2)))</f>
        <v/>
      </c>
      <c r="F95" t="str">
        <f>IF(A95="","",IF(C95="",Data!H95+20000000,""))</f>
        <v/>
      </c>
      <c r="G95" t="str">
        <f>IF(A95="","",Data!K95)</f>
        <v/>
      </c>
      <c r="H95" t="str">
        <f>IF(Data!A95="PHSGCQG","8001/8005","")</f>
        <v/>
      </c>
    </row>
    <row r="96" spans="1:8">
      <c r="A96" t="str">
        <f>_xlfn.IFNA(IF(AND(VLOOKUP(Data!A96,表1[],2,0)="HTA8000",Data!E96="LME"),"HTA8003",VLOOKUP(Data!A96,表1[],2,0)),"")</f>
        <v/>
      </c>
      <c r="B96" t="str">
        <f t="shared" si="1"/>
        <v/>
      </c>
      <c r="C96" t="str">
        <f>IF(A96="","",VLOOKUP(Data!G96,表3[],2,0))</f>
        <v/>
      </c>
      <c r="D96" t="str">
        <f>IF(A96="","",VLOOKUP(Data!G96,表3[],3,0))</f>
        <v/>
      </c>
      <c r="E96" t="str">
        <f>IF(A96="","",IF(C96="","",VLOOKUP(RIGHT(Data!H96,2),$O$37:$P$48,2,0)&amp;20&amp;LEFT(Data!H96,2)))</f>
        <v/>
      </c>
      <c r="F96" t="str">
        <f>IF(A96="","",IF(C96="",Data!H96+20000000,""))</f>
        <v/>
      </c>
      <c r="G96" t="str">
        <f>IF(A96="","",Data!K96)</f>
        <v/>
      </c>
      <c r="H96" t="str">
        <f>IF(Data!A96="PHSGCQG","8001/8005","")</f>
        <v/>
      </c>
    </row>
    <row r="97" spans="1:8">
      <c r="A97" t="str">
        <f>_xlfn.IFNA(IF(AND(VLOOKUP(Data!A97,表1[],2,0)="HTA8000",Data!E97="LME"),"HTA8003",VLOOKUP(Data!A97,表1[],2,0)),"")</f>
        <v/>
      </c>
      <c r="B97" t="str">
        <f t="shared" si="1"/>
        <v/>
      </c>
      <c r="C97" t="str">
        <f>IF(A97="","",VLOOKUP(Data!G97,表3[],2,0))</f>
        <v/>
      </c>
      <c r="D97" t="str">
        <f>IF(A97="","",VLOOKUP(Data!G97,表3[],3,0))</f>
        <v/>
      </c>
      <c r="E97" t="str">
        <f>IF(A97="","",IF(C97="","",VLOOKUP(RIGHT(Data!H97,2),$O$37:$P$48,2,0)&amp;20&amp;LEFT(Data!H97,2)))</f>
        <v/>
      </c>
      <c r="F97" t="str">
        <f>IF(A97="","",IF(C97="",Data!H97+20000000,""))</f>
        <v/>
      </c>
      <c r="G97" t="str">
        <f>IF(A97="","",Data!K97)</f>
        <v/>
      </c>
      <c r="H97" t="str">
        <f>IF(Data!A97="PHSGCQG","8001/8005","")</f>
        <v/>
      </c>
    </row>
    <row r="98" spans="1:8">
      <c r="A98" t="str">
        <f>_xlfn.IFNA(IF(AND(VLOOKUP(Data!A98,表1[],2,0)="HTA8000",Data!E98="LME"),"HTA8003",VLOOKUP(Data!A98,表1[],2,0)),"")</f>
        <v/>
      </c>
      <c r="B98" t="str">
        <f t="shared" si="1"/>
        <v/>
      </c>
      <c r="C98" t="str">
        <f>IF(A98="","",VLOOKUP(Data!G98,表3[],2,0))</f>
        <v/>
      </c>
      <c r="D98" t="str">
        <f>IF(A98="","",VLOOKUP(Data!G98,表3[],3,0))</f>
        <v/>
      </c>
      <c r="E98" t="str">
        <f>IF(A98="","",IF(C98="","",VLOOKUP(RIGHT(Data!H98,2),$O$37:$P$48,2,0)&amp;20&amp;LEFT(Data!H98,2)))</f>
        <v/>
      </c>
      <c r="F98" t="str">
        <f>IF(A98="","",IF(C98="",Data!H98+20000000,""))</f>
        <v/>
      </c>
      <c r="G98" t="str">
        <f>IF(A98="","",Data!K98)</f>
        <v/>
      </c>
      <c r="H98" t="str">
        <f>IF(Data!A98="PHSGCQG","8001/8005","")</f>
        <v/>
      </c>
    </row>
    <row r="99" spans="1:8">
      <c r="A99" t="str">
        <f>_xlfn.IFNA(IF(AND(VLOOKUP(Data!A99,表1[],2,0)="HTA8000",Data!E99="LME"),"HTA8003",VLOOKUP(Data!A99,表1[],2,0)),"")</f>
        <v/>
      </c>
      <c r="B99" t="str">
        <f t="shared" si="1"/>
        <v/>
      </c>
      <c r="C99" t="str">
        <f>IF(A99="","",VLOOKUP(Data!G99,表3[],2,0))</f>
        <v/>
      </c>
      <c r="D99" t="str">
        <f>IF(A99="","",VLOOKUP(Data!G99,表3[],3,0))</f>
        <v/>
      </c>
      <c r="E99" t="str">
        <f>IF(A99="","",IF(C99="","",VLOOKUP(RIGHT(Data!H99,2),$O$37:$P$48,2,0)&amp;20&amp;LEFT(Data!H99,2)))</f>
        <v/>
      </c>
      <c r="F99" t="str">
        <f>IF(A99="","",IF(C99="",Data!H99+20000000,""))</f>
        <v/>
      </c>
      <c r="G99" t="str">
        <f>IF(A99="","",Data!K99)</f>
        <v/>
      </c>
      <c r="H99" t="str">
        <f>IF(Data!A99="PHSGCQG","8001/8005","")</f>
        <v/>
      </c>
    </row>
    <row r="100" spans="1:8">
      <c r="A100" t="str">
        <f>_xlfn.IFNA(IF(AND(VLOOKUP(Data!A100,表1[],2,0)="HTA8000",Data!E100="LME"),"HTA8003",VLOOKUP(Data!A100,表1[],2,0)),"")</f>
        <v/>
      </c>
      <c r="B100" t="str">
        <f t="shared" si="1"/>
        <v/>
      </c>
      <c r="C100" t="str">
        <f>IF(A100="","",VLOOKUP(Data!G100,表3[],2,0))</f>
        <v/>
      </c>
      <c r="D100" t="str">
        <f>IF(A100="","",VLOOKUP(Data!G100,表3[],3,0))</f>
        <v/>
      </c>
      <c r="E100" t="str">
        <f>IF(A100="","",IF(C100="","",VLOOKUP(RIGHT(Data!H100,2),$O$37:$P$48,2,0)&amp;20&amp;LEFT(Data!H100,2)))</f>
        <v/>
      </c>
      <c r="F100" t="str">
        <f>IF(A100="","",IF(C100="",Data!H100+20000000,""))</f>
        <v/>
      </c>
      <c r="G100" t="str">
        <f>IF(A100="","",Data!K100)</f>
        <v/>
      </c>
      <c r="H100" t="str">
        <f>IF(Data!A100="PHSGCQG","8001/8005","")</f>
        <v/>
      </c>
    </row>
    <row r="101" spans="1:8">
      <c r="A101" t="str">
        <f>_xlfn.IFNA(IF(AND(VLOOKUP(Data!A101,表1[],2,0)="HTA8000",Data!E101="LME"),"HTA8003",VLOOKUP(Data!A101,表1[],2,0)),"")</f>
        <v/>
      </c>
      <c r="B101" t="str">
        <f t="shared" si="1"/>
        <v/>
      </c>
      <c r="C101" t="str">
        <f>IF(A101="","",VLOOKUP(Data!G101,表3[],2,0))</f>
        <v/>
      </c>
      <c r="D101" t="str">
        <f>IF(A101="","",VLOOKUP(Data!G101,表3[],3,0))</f>
        <v/>
      </c>
      <c r="E101" t="str">
        <f>IF(A101="","",IF(C101="","",VLOOKUP(RIGHT(Data!H101,2),$O$37:$P$48,2,0)&amp;20&amp;LEFT(Data!H101,2)))</f>
        <v/>
      </c>
      <c r="F101" t="str">
        <f>IF(A101="","",IF(C101="",Data!H101+20000000,""))</f>
        <v/>
      </c>
      <c r="G101" t="str">
        <f>IF(A101="","",Data!K101)</f>
        <v/>
      </c>
      <c r="H101" t="str">
        <f>IF(Data!A101="PHSGCQG","8001/8005","")</f>
        <v/>
      </c>
    </row>
    <row r="102" spans="1:8">
      <c r="A102" t="str">
        <f>_xlfn.IFNA(IF(AND(VLOOKUP(Data!A102,表1[],2,0)="HTA8000",Data!E102="LME"),"HTA8003",VLOOKUP(Data!A102,表1[],2,0)),"")</f>
        <v/>
      </c>
      <c r="B102" t="str">
        <f t="shared" si="1"/>
        <v/>
      </c>
      <c r="C102" t="str">
        <f>IF(A102="","",VLOOKUP(Data!G102,表3[],2,0))</f>
        <v/>
      </c>
      <c r="D102" t="str">
        <f>IF(A102="","",VLOOKUP(Data!G102,表3[],3,0))</f>
        <v/>
      </c>
      <c r="E102" t="str">
        <f>IF(A102="","",IF(C102="","",VLOOKUP(RIGHT(Data!H102,2),$O$37:$P$48,2,0)&amp;20&amp;LEFT(Data!H102,2)))</f>
        <v/>
      </c>
      <c r="F102" t="str">
        <f>IF(A102="","",IF(C102="",Data!H102+20000000,""))</f>
        <v/>
      </c>
      <c r="G102" t="str">
        <f>IF(A102="","",Data!K102)</f>
        <v/>
      </c>
      <c r="H102" t="str">
        <f>IF(Data!A102="PHSGCQG","8001/8005","")</f>
        <v/>
      </c>
    </row>
    <row r="103" spans="1:8">
      <c r="A103" t="str">
        <f>_xlfn.IFNA(IF(AND(VLOOKUP(Data!A103,表1[],2,0)="HTA8000",Data!E103="LME"),"HTA8003",VLOOKUP(Data!A103,表1[],2,0)),"")</f>
        <v/>
      </c>
      <c r="B103" t="str">
        <f t="shared" si="1"/>
        <v/>
      </c>
      <c r="C103" t="str">
        <f>IF(A103="","",VLOOKUP(Data!G103,表3[],2,0))</f>
        <v/>
      </c>
      <c r="D103" t="str">
        <f>IF(A103="","",VLOOKUP(Data!G103,表3[],3,0))</f>
        <v/>
      </c>
      <c r="E103" t="str">
        <f>IF(A103="","",IF(C103="","",VLOOKUP(RIGHT(Data!H103,2),$O$37:$P$48,2,0)&amp;20&amp;LEFT(Data!H103,2)))</f>
        <v/>
      </c>
      <c r="F103" t="str">
        <f>IF(A103="","",IF(C103="",Data!H103+20000000,""))</f>
        <v/>
      </c>
      <c r="G103" t="str">
        <f>IF(A103="","",Data!K103)</f>
        <v/>
      </c>
      <c r="H103" t="str">
        <f>IF(Data!A103="PHSGCQG","8001/8005","")</f>
        <v/>
      </c>
    </row>
    <row r="104" spans="1:8">
      <c r="A104" t="str">
        <f>_xlfn.IFNA(IF(AND(VLOOKUP(Data!A104,表1[],2,0)="HTA8000",Data!E104="LME"),"HTA8003",VLOOKUP(Data!A104,表1[],2,0)),"")</f>
        <v/>
      </c>
      <c r="B104" t="str">
        <f t="shared" si="1"/>
        <v/>
      </c>
      <c r="C104" t="str">
        <f>IF(A104="","",VLOOKUP(Data!G104,表3[],2,0))</f>
        <v/>
      </c>
      <c r="D104" t="str">
        <f>IF(A104="","",VLOOKUP(Data!G104,表3[],3,0))</f>
        <v/>
      </c>
      <c r="E104" t="str">
        <f>IF(A104="","",IF(C104="","",VLOOKUP(RIGHT(Data!H104,2),$O$37:$P$48,2,0)&amp;20&amp;LEFT(Data!H104,2)))</f>
        <v/>
      </c>
      <c r="F104" t="str">
        <f>IF(A104="","",IF(C104="",Data!H104+20000000,""))</f>
        <v/>
      </c>
      <c r="G104" t="str">
        <f>IF(A104="","",Data!K104)</f>
        <v/>
      </c>
      <c r="H104" t="str">
        <f>IF(Data!A104="PHSGCQG","8001/8005","")</f>
        <v/>
      </c>
    </row>
    <row r="105" spans="1:8">
      <c r="A105" t="str">
        <f>_xlfn.IFNA(IF(AND(VLOOKUP(Data!A105,表1[],2,0)="HTA8000",Data!E105="LME"),"HTA8003",VLOOKUP(Data!A105,表1[],2,0)),"")</f>
        <v/>
      </c>
      <c r="B105" t="str">
        <f t="shared" si="1"/>
        <v/>
      </c>
      <c r="C105" t="str">
        <f>IF(A105="","",VLOOKUP(Data!G105,表3[],2,0))</f>
        <v/>
      </c>
      <c r="D105" t="str">
        <f>IF(A105="","",VLOOKUP(Data!G105,表3[],3,0))</f>
        <v/>
      </c>
      <c r="E105" t="str">
        <f>IF(A105="","",IF(C105="","",VLOOKUP(RIGHT(Data!H105,2),$O$37:$P$48,2,0)&amp;20&amp;LEFT(Data!H105,2)))</f>
        <v/>
      </c>
      <c r="F105" t="str">
        <f>IF(A105="","",IF(C105="",Data!H105+20000000,""))</f>
        <v/>
      </c>
      <c r="G105" t="str">
        <f>IF(A105="","",Data!K105)</f>
        <v/>
      </c>
      <c r="H105" t="str">
        <f>IF(Data!A105="PHSGCQG","8001/8005","")</f>
        <v/>
      </c>
    </row>
    <row r="106" spans="1:8">
      <c r="A106" t="str">
        <f>_xlfn.IFNA(IF(AND(VLOOKUP(Data!A106,表1[],2,0)="HTA8000",Data!E106="LME"),"HTA8003",VLOOKUP(Data!A106,表1[],2,0)),"")</f>
        <v/>
      </c>
      <c r="B106" t="str">
        <f t="shared" si="1"/>
        <v/>
      </c>
      <c r="C106" t="str">
        <f>IF(A106="","",VLOOKUP(Data!G106,表3[],2,0))</f>
        <v/>
      </c>
      <c r="D106" t="str">
        <f>IF(A106="","",VLOOKUP(Data!G106,表3[],3,0))</f>
        <v/>
      </c>
      <c r="E106" t="str">
        <f>IF(A106="","",IF(C106="","",VLOOKUP(RIGHT(Data!H106,2),$O$37:$P$48,2,0)&amp;20&amp;LEFT(Data!H106,2)))</f>
        <v/>
      </c>
      <c r="F106" t="str">
        <f>IF(A106="","",IF(C106="",Data!H106+20000000,""))</f>
        <v/>
      </c>
      <c r="G106" t="str">
        <f>IF(A106="","",Data!K106)</f>
        <v/>
      </c>
      <c r="H106" t="str">
        <f>IF(Data!A106="PHSGCQG","8001/8005","")</f>
        <v/>
      </c>
    </row>
    <row r="107" spans="1:8">
      <c r="A107" t="str">
        <f>_xlfn.IFNA(IF(AND(VLOOKUP(Data!A107,表1[],2,0)="HTA8000",Data!E107="LME"),"HTA8003",VLOOKUP(Data!A107,表1[],2,0)),"")</f>
        <v/>
      </c>
      <c r="B107" t="str">
        <f t="shared" si="1"/>
        <v/>
      </c>
      <c r="C107" t="str">
        <f>IF(A107="","",VLOOKUP(Data!G107,表3[],2,0))</f>
        <v/>
      </c>
      <c r="D107" t="str">
        <f>IF(A107="","",VLOOKUP(Data!G107,表3[],3,0))</f>
        <v/>
      </c>
      <c r="E107" t="str">
        <f>IF(A107="","",IF(C107="","",VLOOKUP(RIGHT(Data!H107,2),$O$37:$P$48,2,0)&amp;20&amp;LEFT(Data!H107,2)))</f>
        <v/>
      </c>
      <c r="F107" t="str">
        <f>IF(A107="","",IF(C107="",Data!H107+20000000,""))</f>
        <v/>
      </c>
      <c r="G107" t="str">
        <f>IF(A107="","",Data!K107)</f>
        <v/>
      </c>
      <c r="H107" t="str">
        <f>IF(Data!A107="PHSGCQG","8001/8005","")</f>
        <v/>
      </c>
    </row>
    <row r="108" spans="1:8">
      <c r="A108" t="str">
        <f>_xlfn.IFNA(IF(AND(VLOOKUP(Data!A108,表1[],2,0)="HTA8000",Data!E108="LME"),"HTA8003",VLOOKUP(Data!A108,表1[],2,0)),"")</f>
        <v/>
      </c>
      <c r="B108" t="str">
        <f t="shared" si="1"/>
        <v/>
      </c>
      <c r="C108" t="str">
        <f>IF(A108="","",VLOOKUP(Data!G108,表3[],2,0))</f>
        <v/>
      </c>
      <c r="D108" t="str">
        <f>IF(A108="","",VLOOKUP(Data!G108,表3[],3,0))</f>
        <v/>
      </c>
      <c r="E108" t="str">
        <f>IF(A108="","",IF(C108="","",VLOOKUP(RIGHT(Data!H108,2),$O$37:$P$48,2,0)&amp;20&amp;LEFT(Data!H108,2)))</f>
        <v/>
      </c>
      <c r="F108" t="str">
        <f>IF(A108="","",IF(C108="",Data!H108+20000000,""))</f>
        <v/>
      </c>
      <c r="G108" t="str">
        <f>IF(A108="","",Data!K108)</f>
        <v/>
      </c>
      <c r="H108" t="str">
        <f>IF(Data!A108="PHSGCQG","8001/8005","")</f>
        <v/>
      </c>
    </row>
    <row r="109" spans="1:8">
      <c r="A109" t="str">
        <f>_xlfn.IFNA(IF(AND(VLOOKUP(Data!A109,表1[],2,0)="HTA8000",Data!E109="LME"),"HTA8003",VLOOKUP(Data!A109,表1[],2,0)),"")</f>
        <v/>
      </c>
      <c r="B109" t="str">
        <f t="shared" si="1"/>
        <v/>
      </c>
      <c r="C109" t="str">
        <f>IF(A109="","",VLOOKUP(Data!G109,表3[],2,0))</f>
        <v/>
      </c>
      <c r="D109" t="str">
        <f>IF(A109="","",VLOOKUP(Data!G109,表3[],3,0))</f>
        <v/>
      </c>
      <c r="E109" t="str">
        <f>IF(A109="","",IF(C109="","",VLOOKUP(RIGHT(Data!H109,2),$O$37:$P$48,2,0)&amp;20&amp;LEFT(Data!H109,2)))</f>
        <v/>
      </c>
      <c r="F109" t="str">
        <f>IF(A109="","",IF(C109="",Data!H109+20000000,""))</f>
        <v/>
      </c>
      <c r="G109" t="str">
        <f>IF(A109="","",Data!K109)</f>
        <v/>
      </c>
      <c r="H109" t="str">
        <f>IF(Data!A109="PHSGCQG","8001/8005","")</f>
        <v/>
      </c>
    </row>
    <row r="110" spans="1:8">
      <c r="A110" t="str">
        <f>_xlfn.IFNA(IF(AND(VLOOKUP(Data!A110,表1[],2,0)="HTA8000",Data!E110="LME"),"HTA8003",VLOOKUP(Data!A110,表1[],2,0)),"")</f>
        <v/>
      </c>
      <c r="B110" t="str">
        <f t="shared" si="1"/>
        <v/>
      </c>
      <c r="C110" t="str">
        <f>IF(A110="","",VLOOKUP(Data!G110,表3[],2,0))</f>
        <v/>
      </c>
      <c r="D110" t="str">
        <f>IF(A110="","",VLOOKUP(Data!G110,表3[],3,0))</f>
        <v/>
      </c>
      <c r="E110" t="str">
        <f>IF(A110="","",IF(C110="","",VLOOKUP(RIGHT(Data!H110,2),$O$37:$P$48,2,0)&amp;20&amp;LEFT(Data!H110,2)))</f>
        <v/>
      </c>
      <c r="F110" t="str">
        <f>IF(A110="","",IF(C110="",Data!H110+20000000,""))</f>
        <v/>
      </c>
      <c r="G110" t="str">
        <f>IF(A110="","",Data!K110)</f>
        <v/>
      </c>
      <c r="H110" t="str">
        <f>IF(Data!A110="PHSGCQG","8001/8005","")</f>
        <v/>
      </c>
    </row>
    <row r="111" spans="1:8">
      <c r="A111" t="str">
        <f>_xlfn.IFNA(IF(AND(VLOOKUP(Data!A111,表1[],2,0)="HTA8000",Data!E111="LME"),"HTA8003",VLOOKUP(Data!A111,表1[],2,0)),"")</f>
        <v/>
      </c>
      <c r="B111" t="str">
        <f t="shared" si="1"/>
        <v/>
      </c>
      <c r="C111" t="str">
        <f>IF(A111="","",VLOOKUP(Data!G111,表3[],2,0))</f>
        <v/>
      </c>
      <c r="D111" t="str">
        <f>IF(A111="","",VLOOKUP(Data!G111,表3[],3,0))</f>
        <v/>
      </c>
      <c r="E111" t="str">
        <f>IF(A111="","",IF(C111="","",VLOOKUP(RIGHT(Data!H111,2),$O$37:$P$48,2,0)&amp;20&amp;LEFT(Data!H111,2)))</f>
        <v/>
      </c>
      <c r="F111" t="str">
        <f>IF(A111="","",IF(C111="",Data!H111+20000000,""))</f>
        <v/>
      </c>
      <c r="G111" t="str">
        <f>IF(A111="","",Data!K111)</f>
        <v/>
      </c>
      <c r="H111" t="str">
        <f>IF(Data!A111="PHSGCQG","8001/8005","")</f>
        <v/>
      </c>
    </row>
    <row r="112" spans="1:8">
      <c r="A112" t="str">
        <f>_xlfn.IFNA(IF(AND(VLOOKUP(Data!A112,表1[],2,0)="HTA8000",Data!E112="LME"),"HTA8003",VLOOKUP(Data!A112,表1[],2,0)),"")</f>
        <v/>
      </c>
      <c r="B112" t="str">
        <f t="shared" si="1"/>
        <v/>
      </c>
      <c r="C112" t="str">
        <f>IF(A112="","",VLOOKUP(Data!G112,表3[],2,0))</f>
        <v/>
      </c>
      <c r="D112" t="str">
        <f>IF(A112="","",VLOOKUP(Data!G112,表3[],3,0))</f>
        <v/>
      </c>
      <c r="E112" t="str">
        <f>IF(A112="","",IF(C112="","",VLOOKUP(RIGHT(Data!H112,2),$O$37:$P$48,2,0)&amp;20&amp;LEFT(Data!H112,2)))</f>
        <v/>
      </c>
      <c r="F112" t="str">
        <f>IF(A112="","",IF(C112="",Data!H112+20000000,""))</f>
        <v/>
      </c>
      <c r="G112" t="str">
        <f>IF(A112="","",Data!K112)</f>
        <v/>
      </c>
      <c r="H112" t="str">
        <f>IF(Data!A112="PHSGCQG","8001/8005","")</f>
        <v/>
      </c>
    </row>
    <row r="113" spans="1:8">
      <c r="A113" t="str">
        <f>_xlfn.IFNA(IF(AND(VLOOKUP(Data!A113,表1[],2,0)="HTA8000",Data!E113="LME"),"HTA8003",VLOOKUP(Data!A113,表1[],2,0)),"")</f>
        <v/>
      </c>
      <c r="B113" t="str">
        <f t="shared" si="1"/>
        <v/>
      </c>
      <c r="C113" t="str">
        <f>IF(A113="","",VLOOKUP(Data!G113,表3[],2,0))</f>
        <v/>
      </c>
      <c r="D113" t="str">
        <f>IF(A113="","",VLOOKUP(Data!G113,表3[],3,0))</f>
        <v/>
      </c>
      <c r="E113" t="str">
        <f>IF(A113="","",IF(C113="","",VLOOKUP(RIGHT(Data!H113,2),$O$37:$P$48,2,0)&amp;20&amp;LEFT(Data!H113,2)))</f>
        <v/>
      </c>
      <c r="F113" t="str">
        <f>IF(A113="","",IF(C113="",Data!H113+20000000,""))</f>
        <v/>
      </c>
      <c r="G113" t="str">
        <f>IF(A113="","",Data!K113)</f>
        <v/>
      </c>
      <c r="H113" t="str">
        <f>IF(Data!A113="PHSGCQG","8001/8005","")</f>
        <v/>
      </c>
    </row>
    <row r="114" spans="1:8">
      <c r="A114" t="str">
        <f>_xlfn.IFNA(IF(AND(VLOOKUP(Data!A114,表1[],2,0)="HTA8000",Data!E114="LME"),"HTA8003",VLOOKUP(Data!A114,表1[],2,0)),"")</f>
        <v/>
      </c>
      <c r="B114" t="str">
        <f t="shared" si="1"/>
        <v/>
      </c>
      <c r="C114" t="str">
        <f>IF(A114="","",VLOOKUP(Data!G114,表3[],2,0))</f>
        <v/>
      </c>
      <c r="D114" t="str">
        <f>IF(A114="","",VLOOKUP(Data!G114,表3[],3,0))</f>
        <v/>
      </c>
      <c r="E114" t="str">
        <f>IF(A114="","",IF(C114="","",VLOOKUP(RIGHT(Data!H114,2),$O$37:$P$48,2,0)&amp;20&amp;LEFT(Data!H114,2)))</f>
        <v/>
      </c>
      <c r="F114" t="str">
        <f>IF(A114="","",IF(C114="",Data!H114+20000000,""))</f>
        <v/>
      </c>
      <c r="G114" t="str">
        <f>IF(A114="","",Data!K114)</f>
        <v/>
      </c>
      <c r="H114" t="str">
        <f>IF(Data!A114="PHSGCQG","8001/8005","")</f>
        <v/>
      </c>
    </row>
    <row r="115" spans="1:8">
      <c r="A115" t="str">
        <f>_xlfn.IFNA(IF(AND(VLOOKUP(Data!A115,表1[],2,0)="HTA8000",Data!E115="LME"),"HTA8003",VLOOKUP(Data!A115,表1[],2,0)),"")</f>
        <v/>
      </c>
      <c r="B115" t="str">
        <f t="shared" si="1"/>
        <v/>
      </c>
      <c r="C115" t="str">
        <f>IF(A115="","",VLOOKUP(Data!G115,表3[],2,0))</f>
        <v/>
      </c>
      <c r="D115" t="str">
        <f>IF(A115="","",VLOOKUP(Data!G115,表3[],3,0))</f>
        <v/>
      </c>
      <c r="E115" t="str">
        <f>IF(A115="","",IF(C115="","",VLOOKUP(RIGHT(Data!H115,2),$O$37:$P$48,2,0)&amp;20&amp;LEFT(Data!H115,2)))</f>
        <v/>
      </c>
      <c r="F115" t="str">
        <f>IF(A115="","",IF(C115="",Data!H115+20000000,""))</f>
        <v/>
      </c>
      <c r="G115" t="str">
        <f>IF(A115="","",Data!K115)</f>
        <v/>
      </c>
      <c r="H115" t="str">
        <f>IF(Data!A115="PHSGCQG","8001/8005","")</f>
        <v/>
      </c>
    </row>
    <row r="116" spans="1:8">
      <c r="A116" t="str">
        <f>_xlfn.IFNA(IF(AND(VLOOKUP(Data!A116,表1[],2,0)="HTA8000",Data!E116="LME"),"HTA8003",VLOOKUP(Data!A116,表1[],2,0)),"")</f>
        <v/>
      </c>
      <c r="B116" t="str">
        <f t="shared" si="1"/>
        <v/>
      </c>
      <c r="C116" t="str">
        <f>IF(A116="","",VLOOKUP(Data!G116,表3[],2,0))</f>
        <v/>
      </c>
      <c r="D116" t="str">
        <f>IF(A116="","",VLOOKUP(Data!G116,表3[],3,0))</f>
        <v/>
      </c>
      <c r="E116" t="str">
        <f>IF(A116="","",IF(C116="","",VLOOKUP(RIGHT(Data!H116,2),$O$37:$P$48,2,0)&amp;20&amp;LEFT(Data!H116,2)))</f>
        <v/>
      </c>
      <c r="F116" t="str">
        <f>IF(A116="","",IF(C116="",Data!H116+20000000,""))</f>
        <v/>
      </c>
      <c r="G116" t="str">
        <f>IF(A116="","",Data!K116)</f>
        <v/>
      </c>
      <c r="H116" t="str">
        <f>IF(Data!A116="PHSGCQG","8001/8005","")</f>
        <v/>
      </c>
    </row>
    <row r="117" spans="1:8">
      <c r="A117" t="str">
        <f>_xlfn.IFNA(IF(AND(VLOOKUP(Data!A117,表1[],2,0)="HTA8000",Data!E117="LME"),"HTA8003",VLOOKUP(Data!A117,表1[],2,0)),"")</f>
        <v/>
      </c>
      <c r="B117" t="str">
        <f t="shared" si="1"/>
        <v/>
      </c>
      <c r="C117" t="str">
        <f>IF(A117="","",VLOOKUP(Data!G117,表3[],2,0))</f>
        <v/>
      </c>
      <c r="D117" t="str">
        <f>IF(A117="","",VLOOKUP(Data!G117,表3[],3,0))</f>
        <v/>
      </c>
      <c r="E117" t="str">
        <f>IF(A117="","",IF(C117="","",VLOOKUP(RIGHT(Data!H117,2),$O$37:$P$48,2,0)&amp;20&amp;LEFT(Data!H117,2)))</f>
        <v/>
      </c>
      <c r="F117" t="str">
        <f>IF(A117="","",IF(C117="",Data!H117+20000000,""))</f>
        <v/>
      </c>
      <c r="G117" t="str">
        <f>IF(A117="","",Data!K117)</f>
        <v/>
      </c>
      <c r="H117" t="str">
        <f>IF(Data!A117="PHSGCQG","8001/8005","")</f>
        <v/>
      </c>
    </row>
    <row r="118" spans="1:8">
      <c r="A118" t="str">
        <f>_xlfn.IFNA(IF(AND(VLOOKUP(Data!A118,表1[],2,0)="HTA8000",Data!E118="LME"),"HTA8003",VLOOKUP(Data!A118,表1[],2,0)),"")</f>
        <v/>
      </c>
      <c r="B118" t="str">
        <f t="shared" si="1"/>
        <v/>
      </c>
      <c r="C118" t="str">
        <f>IF(A118="","",VLOOKUP(Data!G118,表3[],2,0))</f>
        <v/>
      </c>
      <c r="D118" t="str">
        <f>IF(A118="","",VLOOKUP(Data!G118,表3[],3,0))</f>
        <v/>
      </c>
      <c r="E118" t="str">
        <f>IF(A118="","",IF(C118="","",VLOOKUP(RIGHT(Data!H118,2),$O$37:$P$48,2,0)&amp;20&amp;LEFT(Data!H118,2)))</f>
        <v/>
      </c>
      <c r="F118" t="str">
        <f>IF(A118="","",IF(C118="",Data!H118+20000000,""))</f>
        <v/>
      </c>
      <c r="G118" t="str">
        <f>IF(A118="","",Data!K118)</f>
        <v/>
      </c>
      <c r="H118" t="str">
        <f>IF(Data!A118="PHSGCQG","8001/8005","")</f>
        <v/>
      </c>
    </row>
    <row r="119" spans="1:8">
      <c r="A119" t="str">
        <f>_xlfn.IFNA(IF(AND(VLOOKUP(Data!A119,表1[],2,0)="HTA8000",Data!E119="LME"),"HTA8003",VLOOKUP(Data!A119,表1[],2,0)),"")</f>
        <v/>
      </c>
      <c r="B119" t="str">
        <f t="shared" si="1"/>
        <v/>
      </c>
      <c r="C119" t="str">
        <f>IF(A119="","",VLOOKUP(Data!G119,表3[],2,0))</f>
        <v/>
      </c>
      <c r="D119" t="str">
        <f>IF(A119="","",VLOOKUP(Data!G119,表3[],3,0))</f>
        <v/>
      </c>
      <c r="E119" t="str">
        <f>IF(A119="","",IF(C119="","",VLOOKUP(RIGHT(Data!H119,2),$O$37:$P$48,2,0)&amp;20&amp;LEFT(Data!H119,2)))</f>
        <v/>
      </c>
      <c r="F119" t="str">
        <f>IF(A119="","",IF(C119="",Data!H119+20000000,""))</f>
        <v/>
      </c>
      <c r="G119" t="str">
        <f>IF(A119="","",Data!K119)</f>
        <v/>
      </c>
      <c r="H119" t="str">
        <f>IF(Data!A119="PHSGCQG","8001/8005","")</f>
        <v/>
      </c>
    </row>
    <row r="120" spans="1:8">
      <c r="A120" t="str">
        <f>_xlfn.IFNA(IF(AND(VLOOKUP(Data!A120,表1[],2,0)="HTA8000",Data!E120="LME"),"HTA8003",VLOOKUP(Data!A120,表1[],2,0)),"")</f>
        <v/>
      </c>
      <c r="B120" t="str">
        <f t="shared" si="1"/>
        <v/>
      </c>
      <c r="C120" t="str">
        <f>IF(A120="","",VLOOKUP(Data!G120,表3[],2,0))</f>
        <v/>
      </c>
      <c r="D120" t="str">
        <f>IF(A120="","",VLOOKUP(Data!G120,表3[],3,0))</f>
        <v/>
      </c>
      <c r="E120" t="str">
        <f>IF(A120="","",IF(C120="","",VLOOKUP(RIGHT(Data!H120,2),$O$37:$P$48,2,0)&amp;20&amp;LEFT(Data!H120,2)))</f>
        <v/>
      </c>
      <c r="F120" t="str">
        <f>IF(A120="","",IF(C120="",Data!H120+20000000,""))</f>
        <v/>
      </c>
      <c r="G120" t="str">
        <f>IF(A120="","",Data!K120)</f>
        <v/>
      </c>
      <c r="H120" t="str">
        <f>IF(Data!A120="PHSGCQG","8001/8005","")</f>
        <v/>
      </c>
    </row>
    <row r="121" spans="1:8">
      <c r="A121" t="str">
        <f>_xlfn.IFNA(IF(AND(VLOOKUP(Data!A121,表1[],2,0)="HTA8000",Data!E121="LME"),"HTA8003",VLOOKUP(Data!A121,表1[],2,0)),"")</f>
        <v/>
      </c>
      <c r="B121" t="str">
        <f t="shared" si="1"/>
        <v/>
      </c>
      <c r="C121" t="str">
        <f>IF(A121="","",VLOOKUP(Data!G121,表3[],2,0))</f>
        <v/>
      </c>
      <c r="D121" t="str">
        <f>IF(A121="","",VLOOKUP(Data!G121,表3[],3,0))</f>
        <v/>
      </c>
      <c r="E121" t="str">
        <f>IF(A121="","",IF(C121="","",VLOOKUP(RIGHT(Data!H121,2),$O$37:$P$48,2,0)&amp;20&amp;LEFT(Data!H121,2)))</f>
        <v/>
      </c>
      <c r="F121" t="str">
        <f>IF(A121="","",IF(C121="",Data!H121+20000000,""))</f>
        <v/>
      </c>
      <c r="G121" t="str">
        <f>IF(A121="","",Data!K121)</f>
        <v/>
      </c>
      <c r="H121" t="str">
        <f>IF(Data!A121="PHSGCQG","8001/8005","")</f>
        <v/>
      </c>
    </row>
    <row r="122" spans="1:8">
      <c r="A122" t="str">
        <f>_xlfn.IFNA(IF(AND(VLOOKUP(Data!A122,表1[],2,0)="HTA8000",Data!E122="LME"),"HTA8003",VLOOKUP(Data!A122,表1[],2,0)),"")</f>
        <v/>
      </c>
      <c r="B122" t="str">
        <f t="shared" si="1"/>
        <v/>
      </c>
      <c r="C122" t="str">
        <f>IF(A122="","",VLOOKUP(Data!G122,表3[],2,0))</f>
        <v/>
      </c>
      <c r="D122" t="str">
        <f>IF(A122="","",VLOOKUP(Data!G122,表3[],3,0))</f>
        <v/>
      </c>
      <c r="E122" t="str">
        <f>IF(A122="","",IF(C122="","",VLOOKUP(RIGHT(Data!H122,2),$O$37:$P$48,2,0)&amp;20&amp;LEFT(Data!H122,2)))</f>
        <v/>
      </c>
      <c r="F122" t="str">
        <f>IF(A122="","",IF(C122="",Data!H122+20000000,""))</f>
        <v/>
      </c>
      <c r="G122" t="str">
        <f>IF(A122="","",Data!K122)</f>
        <v/>
      </c>
      <c r="H122" t="str">
        <f>IF(Data!A122="PHSGCQG","8001/8005","")</f>
        <v/>
      </c>
    </row>
    <row r="123" spans="1:8">
      <c r="A123" t="str">
        <f>_xlfn.IFNA(IF(AND(VLOOKUP(Data!A123,表1[],2,0)="HTA8000",Data!E123="LME"),"HTA8003",VLOOKUP(Data!A123,表1[],2,0)),"")</f>
        <v/>
      </c>
      <c r="B123" t="str">
        <f t="shared" si="1"/>
        <v/>
      </c>
      <c r="C123" t="str">
        <f>IF(A123="","",VLOOKUP(Data!G123,表3[],2,0))</f>
        <v/>
      </c>
      <c r="D123" t="str">
        <f>IF(A123="","",VLOOKUP(Data!G123,表3[],3,0))</f>
        <v/>
      </c>
      <c r="E123" t="str">
        <f>IF(A123="","",IF(C123="","",VLOOKUP(RIGHT(Data!H123,2),$O$37:$P$48,2,0)&amp;20&amp;LEFT(Data!H123,2)))</f>
        <v/>
      </c>
      <c r="F123" t="str">
        <f>IF(A123="","",IF(C123="",Data!H123+20000000,""))</f>
        <v/>
      </c>
      <c r="G123" t="str">
        <f>IF(A123="","",Data!K123)</f>
        <v/>
      </c>
      <c r="H123" t="str">
        <f>IF(Data!A123="PHSGCQG","8001/8005","")</f>
        <v/>
      </c>
    </row>
    <row r="124" spans="1:8">
      <c r="A124" t="str">
        <f>_xlfn.IFNA(IF(AND(VLOOKUP(Data!A124,表1[],2,0)="HTA8000",Data!E124="LME"),"HTA8003",VLOOKUP(Data!A124,表1[],2,0)),"")</f>
        <v/>
      </c>
      <c r="B124" t="str">
        <f t="shared" si="1"/>
        <v/>
      </c>
      <c r="C124" t="str">
        <f>IF(A124="","",VLOOKUP(Data!G124,表3[],2,0))</f>
        <v/>
      </c>
      <c r="D124" t="str">
        <f>IF(A124="","",VLOOKUP(Data!G124,表3[],3,0))</f>
        <v/>
      </c>
      <c r="E124" t="str">
        <f>IF(A124="","",IF(C124="","",VLOOKUP(RIGHT(Data!H124,2),$O$37:$P$48,2,0)&amp;20&amp;LEFT(Data!H124,2)))</f>
        <v/>
      </c>
      <c r="F124" t="str">
        <f>IF(A124="","",IF(C124="",Data!H124+20000000,""))</f>
        <v/>
      </c>
      <c r="G124" t="str">
        <f>IF(A124="","",Data!K124)</f>
        <v/>
      </c>
      <c r="H124" t="str">
        <f>IF(Data!A124="PHSGCQG","8001/8005","")</f>
        <v/>
      </c>
    </row>
    <row r="125" spans="1:8">
      <c r="A125" t="str">
        <f>_xlfn.IFNA(IF(AND(VLOOKUP(Data!A125,表1[],2,0)="HTA8000",Data!E125="LME"),"HTA8003",VLOOKUP(Data!A125,表1[],2,0)),"")</f>
        <v/>
      </c>
      <c r="B125" t="str">
        <f t="shared" si="1"/>
        <v/>
      </c>
      <c r="C125" t="str">
        <f>IF(A125="","",VLOOKUP(Data!G125,表3[],2,0))</f>
        <v/>
      </c>
      <c r="D125" t="str">
        <f>IF(A125="","",VLOOKUP(Data!G125,表3[],3,0))</f>
        <v/>
      </c>
      <c r="E125" t="str">
        <f>IF(A125="","",IF(C125="","",VLOOKUP(RIGHT(Data!H125,2),$O$37:$P$48,2,0)&amp;20&amp;LEFT(Data!H125,2)))</f>
        <v/>
      </c>
      <c r="F125" t="str">
        <f>IF(A125="","",IF(C125="",Data!H125+20000000,""))</f>
        <v/>
      </c>
      <c r="G125" t="str">
        <f>IF(A125="","",Data!K125)</f>
        <v/>
      </c>
      <c r="H125" t="str">
        <f>IF(Data!A125="PHSGCQG","8001/8005","")</f>
        <v/>
      </c>
    </row>
    <row r="126" spans="1:8">
      <c r="A126" t="str">
        <f>_xlfn.IFNA(IF(AND(VLOOKUP(Data!A126,表1[],2,0)="HTA8000",Data!E126="LME"),"HTA8003",VLOOKUP(Data!A126,表1[],2,0)),"")</f>
        <v/>
      </c>
      <c r="B126" t="str">
        <f t="shared" si="1"/>
        <v/>
      </c>
      <c r="C126" t="str">
        <f>IF(A126="","",VLOOKUP(Data!G126,表3[],2,0))</f>
        <v/>
      </c>
      <c r="D126" t="str">
        <f>IF(A126="","",VLOOKUP(Data!G126,表3[],3,0))</f>
        <v/>
      </c>
      <c r="E126" t="str">
        <f>IF(A126="","",IF(C126="","",VLOOKUP(RIGHT(Data!H126,2),$O$37:$P$48,2,0)&amp;20&amp;LEFT(Data!H126,2)))</f>
        <v/>
      </c>
      <c r="F126" t="str">
        <f>IF(A126="","",IF(C126="",Data!H126+20000000,""))</f>
        <v/>
      </c>
      <c r="G126" t="str">
        <f>IF(A126="","",Data!K126)</f>
        <v/>
      </c>
      <c r="H126" t="str">
        <f>IF(Data!A126="PHSGCQG","8001/8005","")</f>
        <v/>
      </c>
    </row>
    <row r="127" spans="1:8">
      <c r="A127" t="str">
        <f>_xlfn.IFNA(IF(AND(VLOOKUP(Data!A127,表1[],2,0)="HTA8000",Data!E127="LME"),"HTA8003",VLOOKUP(Data!A127,表1[],2,0)),"")</f>
        <v/>
      </c>
      <c r="B127" t="str">
        <f t="shared" si="1"/>
        <v/>
      </c>
      <c r="C127" t="str">
        <f>IF(A127="","",VLOOKUP(Data!G127,表3[],2,0))</f>
        <v/>
      </c>
      <c r="D127" t="str">
        <f>IF(A127="","",VLOOKUP(Data!G127,表3[],3,0))</f>
        <v/>
      </c>
      <c r="E127" t="str">
        <f>IF(A127="","",IF(C127="","",VLOOKUP(RIGHT(Data!H127,2),$O$37:$P$48,2,0)&amp;20&amp;LEFT(Data!H127,2)))</f>
        <v/>
      </c>
      <c r="F127" t="str">
        <f>IF(A127="","",IF(C127="",Data!H127+20000000,""))</f>
        <v/>
      </c>
      <c r="G127" t="str">
        <f>IF(A127="","",Data!K127)</f>
        <v/>
      </c>
      <c r="H127" t="str">
        <f>IF(Data!A127="PHSGCQG","8001/8005","")</f>
        <v/>
      </c>
    </row>
    <row r="128" spans="1:8">
      <c r="A128" t="str">
        <f>_xlfn.IFNA(IF(AND(VLOOKUP(Data!A128,表1[],2,0)="HTA8000",Data!E128="LME"),"HTA8003",VLOOKUP(Data!A128,表1[],2,0)),"")</f>
        <v/>
      </c>
      <c r="B128" t="str">
        <f t="shared" si="1"/>
        <v/>
      </c>
      <c r="C128" t="str">
        <f>IF(A128="","",VLOOKUP(Data!G128,表3[],2,0))</f>
        <v/>
      </c>
      <c r="D128" t="str">
        <f>IF(A128="","",VLOOKUP(Data!G128,表3[],3,0))</f>
        <v/>
      </c>
      <c r="E128" t="str">
        <f>IF(A128="","",IF(C128="","",VLOOKUP(RIGHT(Data!H128,2),$O$37:$P$48,2,0)&amp;20&amp;LEFT(Data!H128,2)))</f>
        <v/>
      </c>
      <c r="F128" t="str">
        <f>IF(A128="","",IF(C128="",Data!H128+20000000,""))</f>
        <v/>
      </c>
      <c r="G128" t="str">
        <f>IF(A128="","",Data!K128)</f>
        <v/>
      </c>
      <c r="H128" t="str">
        <f>IF(Data!A128="PHSGCQG","8001/8005","")</f>
        <v/>
      </c>
    </row>
    <row r="129" spans="1:8">
      <c r="A129" t="str">
        <f>_xlfn.IFNA(IF(AND(VLOOKUP(Data!A129,表1[],2,0)="HTA8000",Data!E129="LME"),"HTA8003",VLOOKUP(Data!A129,表1[],2,0)),"")</f>
        <v/>
      </c>
      <c r="B129" t="str">
        <f t="shared" si="1"/>
        <v/>
      </c>
      <c r="C129" t="str">
        <f>IF(A129="","",VLOOKUP(Data!G129,表3[],2,0))</f>
        <v/>
      </c>
      <c r="D129" t="str">
        <f>IF(A129="","",VLOOKUP(Data!G129,表3[],3,0))</f>
        <v/>
      </c>
      <c r="E129" t="str">
        <f>IF(A129="","",IF(C129="","",VLOOKUP(RIGHT(Data!H129,2),$O$37:$P$48,2,0)&amp;20&amp;LEFT(Data!H129,2)))</f>
        <v/>
      </c>
      <c r="F129" t="str">
        <f>IF(A129="","",IF(C129="",Data!H129+20000000,""))</f>
        <v/>
      </c>
      <c r="G129" t="str">
        <f>IF(A129="","",Data!K129)</f>
        <v/>
      </c>
      <c r="H129" t="str">
        <f>IF(Data!A129="PHSGCQG","8001/8005","")</f>
        <v/>
      </c>
    </row>
    <row r="130" spans="1:8">
      <c r="A130" t="str">
        <f>_xlfn.IFNA(IF(AND(VLOOKUP(Data!A130,表1[],2,0)="HTA8000",Data!E130="LME"),"HTA8003",VLOOKUP(Data!A130,表1[],2,0)),"")</f>
        <v/>
      </c>
      <c r="B130" t="str">
        <f t="shared" si="1"/>
        <v/>
      </c>
      <c r="C130" t="str">
        <f>IF(A130="","",VLOOKUP(Data!G130,表3[],2,0))</f>
        <v/>
      </c>
      <c r="D130" t="str">
        <f>IF(A130="","",VLOOKUP(Data!G130,表3[],3,0))</f>
        <v/>
      </c>
      <c r="E130" t="str">
        <f>IF(A130="","",IF(C130="","",VLOOKUP(RIGHT(Data!H130,2),$O$37:$P$48,2,0)&amp;20&amp;LEFT(Data!H130,2)))</f>
        <v/>
      </c>
      <c r="F130" t="str">
        <f>IF(A130="","",IF(C130="",Data!H130+20000000,""))</f>
        <v/>
      </c>
      <c r="G130" t="str">
        <f>IF(A130="","",Data!K130)</f>
        <v/>
      </c>
      <c r="H130" t="str">
        <f>IF(Data!A130="PHSGCQG","8001/8005","")</f>
        <v/>
      </c>
    </row>
    <row r="131" spans="1:8">
      <c r="A131" t="str">
        <f>_xlfn.IFNA(IF(AND(VLOOKUP(Data!A131,表1[],2,0)="HTA8000",Data!E131="LME"),"HTA8003",VLOOKUP(Data!A131,表1[],2,0)),"")</f>
        <v/>
      </c>
      <c r="B131" t="str">
        <f t="shared" ref="B131:B194" si="2">IF(A131="","",IF(C131="","X","F"))</f>
        <v/>
      </c>
      <c r="C131" t="str">
        <f>IF(A131="","",VLOOKUP(Data!G131,表3[],2,0))</f>
        <v/>
      </c>
      <c r="D131" t="str">
        <f>IF(A131="","",VLOOKUP(Data!G131,表3[],3,0))</f>
        <v/>
      </c>
      <c r="E131" t="str">
        <f>IF(A131="","",IF(C131="","",VLOOKUP(RIGHT(Data!H131,2),$O$37:$P$48,2,0)&amp;20&amp;LEFT(Data!H131,2)))</f>
        <v/>
      </c>
      <c r="F131" t="str">
        <f>IF(A131="","",IF(C131="",Data!H131+20000000,""))</f>
        <v/>
      </c>
      <c r="G131" t="str">
        <f>IF(A131="","",Data!K131)</f>
        <v/>
      </c>
      <c r="H131" t="str">
        <f>IF(Data!A131="PHSGCQG","8001/8005","")</f>
        <v/>
      </c>
    </row>
    <row r="132" spans="1:8">
      <c r="A132" t="str">
        <f>_xlfn.IFNA(IF(AND(VLOOKUP(Data!A132,表1[],2,0)="HTA8000",Data!E132="LME"),"HTA8003",VLOOKUP(Data!A132,表1[],2,0)),"")</f>
        <v/>
      </c>
      <c r="B132" t="str">
        <f t="shared" si="2"/>
        <v/>
      </c>
      <c r="C132" t="str">
        <f>IF(A132="","",VLOOKUP(Data!G132,表3[],2,0))</f>
        <v/>
      </c>
      <c r="D132" t="str">
        <f>IF(A132="","",VLOOKUP(Data!G132,表3[],3,0))</f>
        <v/>
      </c>
      <c r="E132" t="str">
        <f>IF(A132="","",IF(C132="","",VLOOKUP(RIGHT(Data!H132,2),$O$37:$P$48,2,0)&amp;20&amp;LEFT(Data!H132,2)))</f>
        <v/>
      </c>
      <c r="F132" t="str">
        <f>IF(A132="","",IF(C132="",Data!H132+20000000,""))</f>
        <v/>
      </c>
      <c r="G132" t="str">
        <f>IF(A132="","",Data!K132)</f>
        <v/>
      </c>
      <c r="H132" t="str">
        <f>IF(Data!A132="PHSGCQG","8001/8005","")</f>
        <v/>
      </c>
    </row>
    <row r="133" spans="1:8">
      <c r="A133" t="str">
        <f>_xlfn.IFNA(IF(AND(VLOOKUP(Data!A133,表1[],2,0)="HTA8000",Data!E133="LME"),"HTA8003",VLOOKUP(Data!A133,表1[],2,0)),"")</f>
        <v/>
      </c>
      <c r="B133" t="str">
        <f t="shared" si="2"/>
        <v/>
      </c>
      <c r="C133" t="str">
        <f>IF(A133="","",VLOOKUP(Data!G133,表3[],2,0))</f>
        <v/>
      </c>
      <c r="D133" t="str">
        <f>IF(A133="","",VLOOKUP(Data!G133,表3[],3,0))</f>
        <v/>
      </c>
      <c r="E133" t="str">
        <f>IF(A133="","",IF(C133="","",VLOOKUP(RIGHT(Data!H133,2),$O$37:$P$48,2,0)&amp;20&amp;LEFT(Data!H133,2)))</f>
        <v/>
      </c>
      <c r="F133" t="str">
        <f>IF(A133="","",IF(C133="",Data!H133+20000000,""))</f>
        <v/>
      </c>
      <c r="G133" t="str">
        <f>IF(A133="","",Data!K133)</f>
        <v/>
      </c>
      <c r="H133" t="str">
        <f>IF(Data!A133="PHSGCQG","8001/8005","")</f>
        <v/>
      </c>
    </row>
    <row r="134" spans="1:8">
      <c r="A134" t="str">
        <f>_xlfn.IFNA(IF(AND(VLOOKUP(Data!A134,表1[],2,0)="HTA8000",Data!E134="LME"),"HTA8003",VLOOKUP(Data!A134,表1[],2,0)),"")</f>
        <v/>
      </c>
      <c r="B134" t="str">
        <f t="shared" si="2"/>
        <v/>
      </c>
      <c r="C134" t="str">
        <f>IF(A134="","",VLOOKUP(Data!G134,表3[],2,0))</f>
        <v/>
      </c>
      <c r="D134" t="str">
        <f>IF(A134="","",VLOOKUP(Data!G134,表3[],3,0))</f>
        <v/>
      </c>
      <c r="E134" t="str">
        <f>IF(A134="","",IF(C134="","",VLOOKUP(RIGHT(Data!H134,2),$O$37:$P$48,2,0)&amp;20&amp;LEFT(Data!H134,2)))</f>
        <v/>
      </c>
      <c r="F134" t="str">
        <f>IF(A134="","",IF(C134="",Data!H134+20000000,""))</f>
        <v/>
      </c>
      <c r="G134" t="str">
        <f>IF(A134="","",Data!K134)</f>
        <v/>
      </c>
      <c r="H134" t="str">
        <f>IF(Data!A134="PHSGCQG","8001/8005","")</f>
        <v/>
      </c>
    </row>
    <row r="135" spans="1:8">
      <c r="A135" t="str">
        <f>_xlfn.IFNA(IF(AND(VLOOKUP(Data!A135,表1[],2,0)="HTA8000",Data!E135="LME"),"HTA8003",VLOOKUP(Data!A135,表1[],2,0)),"")</f>
        <v/>
      </c>
      <c r="B135" t="str">
        <f t="shared" si="2"/>
        <v/>
      </c>
      <c r="C135" t="str">
        <f>IF(A135="","",VLOOKUP(Data!G135,表3[],2,0))</f>
        <v/>
      </c>
      <c r="D135" t="str">
        <f>IF(A135="","",VLOOKUP(Data!G135,表3[],3,0))</f>
        <v/>
      </c>
      <c r="E135" t="str">
        <f>IF(A135="","",IF(C135="","",VLOOKUP(RIGHT(Data!H135,2),$O$37:$P$48,2,0)&amp;20&amp;LEFT(Data!H135,2)))</f>
        <v/>
      </c>
      <c r="F135" t="str">
        <f>IF(A135="","",IF(C135="",Data!H135+20000000,""))</f>
        <v/>
      </c>
      <c r="G135" t="str">
        <f>IF(A135="","",Data!K135)</f>
        <v/>
      </c>
      <c r="H135" t="str">
        <f>IF(Data!A135="PHSGCQG","8001/8005","")</f>
        <v/>
      </c>
    </row>
    <row r="136" spans="1:8">
      <c r="A136" t="str">
        <f>_xlfn.IFNA(IF(AND(VLOOKUP(Data!A136,表1[],2,0)="HTA8000",Data!E136="LME"),"HTA8003",VLOOKUP(Data!A136,表1[],2,0)),"")</f>
        <v/>
      </c>
      <c r="B136" t="str">
        <f t="shared" si="2"/>
        <v/>
      </c>
      <c r="C136" t="str">
        <f>IF(A136="","",VLOOKUP(Data!G136,表3[],2,0))</f>
        <v/>
      </c>
      <c r="D136" t="str">
        <f>IF(A136="","",VLOOKUP(Data!G136,表3[],3,0))</f>
        <v/>
      </c>
      <c r="E136" t="str">
        <f>IF(A136="","",IF(C136="","",VLOOKUP(RIGHT(Data!H136,2),$O$37:$P$48,2,0)&amp;20&amp;LEFT(Data!H136,2)))</f>
        <v/>
      </c>
      <c r="F136" t="str">
        <f>IF(A136="","",IF(C136="",Data!H136+20000000,""))</f>
        <v/>
      </c>
      <c r="G136" t="str">
        <f>IF(A136="","",Data!K136)</f>
        <v/>
      </c>
      <c r="H136" t="str">
        <f>IF(Data!A136="PHSGCQG","8001/8005","")</f>
        <v/>
      </c>
    </row>
    <row r="137" spans="1:8">
      <c r="A137" t="str">
        <f>_xlfn.IFNA(IF(AND(VLOOKUP(Data!A137,表1[],2,0)="HTA8000",Data!E137="LME"),"HTA8003",VLOOKUP(Data!A137,表1[],2,0)),"")</f>
        <v/>
      </c>
      <c r="B137" t="str">
        <f t="shared" si="2"/>
        <v/>
      </c>
      <c r="C137" t="str">
        <f>IF(A137="","",VLOOKUP(Data!G137,表3[],2,0))</f>
        <v/>
      </c>
      <c r="D137" t="str">
        <f>IF(A137="","",VLOOKUP(Data!G137,表3[],3,0))</f>
        <v/>
      </c>
      <c r="E137" t="str">
        <f>IF(A137="","",IF(C137="","",VLOOKUP(RIGHT(Data!H137,2),$O$37:$P$48,2,0)&amp;20&amp;LEFT(Data!H137,2)))</f>
        <v/>
      </c>
      <c r="F137" t="str">
        <f>IF(A137="","",IF(C137="",Data!H137+20000000,""))</f>
        <v/>
      </c>
      <c r="G137" t="str">
        <f>IF(A137="","",Data!K137)</f>
        <v/>
      </c>
      <c r="H137" t="str">
        <f>IF(Data!A137="PHSGCQG","8001/8005","")</f>
        <v/>
      </c>
    </row>
    <row r="138" spans="1:8">
      <c r="A138" t="str">
        <f>_xlfn.IFNA(IF(AND(VLOOKUP(Data!A138,表1[],2,0)="HTA8000",Data!E138="LME"),"HTA8003",VLOOKUP(Data!A138,表1[],2,0)),"")</f>
        <v/>
      </c>
      <c r="B138" t="str">
        <f t="shared" si="2"/>
        <v/>
      </c>
      <c r="C138" t="str">
        <f>IF(A138="","",VLOOKUP(Data!G138,表3[],2,0))</f>
        <v/>
      </c>
      <c r="D138" t="str">
        <f>IF(A138="","",VLOOKUP(Data!G138,表3[],3,0))</f>
        <v/>
      </c>
      <c r="E138" t="str">
        <f>IF(A138="","",IF(C138="","",VLOOKUP(RIGHT(Data!H138,2),$O$37:$P$48,2,0)&amp;20&amp;LEFT(Data!H138,2)))</f>
        <v/>
      </c>
      <c r="F138" t="str">
        <f>IF(A138="","",IF(C138="",Data!H138+20000000,""))</f>
        <v/>
      </c>
      <c r="G138" t="str">
        <f>IF(A138="","",Data!K138)</f>
        <v/>
      </c>
      <c r="H138" t="str">
        <f>IF(Data!A138="PHSGCQG","8001/8005","")</f>
        <v/>
      </c>
    </row>
    <row r="139" spans="1:8">
      <c r="A139" t="str">
        <f>_xlfn.IFNA(IF(AND(VLOOKUP(Data!A139,表1[],2,0)="HTA8000",Data!E139="LME"),"HTA8003",VLOOKUP(Data!A139,表1[],2,0)),"")</f>
        <v/>
      </c>
      <c r="B139" t="str">
        <f t="shared" si="2"/>
        <v/>
      </c>
      <c r="C139" t="str">
        <f>IF(A139="","",VLOOKUP(Data!G139,表3[],2,0))</f>
        <v/>
      </c>
      <c r="D139" t="str">
        <f>IF(A139="","",VLOOKUP(Data!G139,表3[],3,0))</f>
        <v/>
      </c>
      <c r="E139" t="str">
        <f>IF(A139="","",IF(C139="","",VLOOKUP(RIGHT(Data!H139,2),$O$37:$P$48,2,0)&amp;20&amp;LEFT(Data!H139,2)))</f>
        <v/>
      </c>
      <c r="F139" t="str">
        <f>IF(A139="","",IF(C139="",Data!H139+20000000,""))</f>
        <v/>
      </c>
      <c r="G139" t="str">
        <f>IF(A139="","",Data!K139)</f>
        <v/>
      </c>
      <c r="H139" t="str">
        <f>IF(Data!A139="PHSGCQG","8001/8005","")</f>
        <v/>
      </c>
    </row>
    <row r="140" spans="1:8">
      <c r="A140" t="str">
        <f>_xlfn.IFNA(IF(AND(VLOOKUP(Data!A140,表1[],2,0)="HTA8000",Data!E140="LME"),"HTA8003",VLOOKUP(Data!A140,表1[],2,0)),"")</f>
        <v/>
      </c>
      <c r="B140" t="str">
        <f t="shared" si="2"/>
        <v/>
      </c>
      <c r="C140" t="str">
        <f>IF(A140="","",VLOOKUP(Data!G140,表3[],2,0))</f>
        <v/>
      </c>
      <c r="D140" t="str">
        <f>IF(A140="","",VLOOKUP(Data!G140,表3[],3,0))</f>
        <v/>
      </c>
      <c r="E140" t="str">
        <f>IF(A140="","",IF(C140="","",VLOOKUP(RIGHT(Data!H140,2),$O$37:$P$48,2,0)&amp;20&amp;LEFT(Data!H140,2)))</f>
        <v/>
      </c>
      <c r="F140" t="str">
        <f>IF(A140="","",IF(C140="",Data!H140+20000000,""))</f>
        <v/>
      </c>
      <c r="G140" t="str">
        <f>IF(A140="","",Data!K140)</f>
        <v/>
      </c>
      <c r="H140" t="str">
        <f>IF(Data!A140="PHSGCQG","8001/8005","")</f>
        <v/>
      </c>
    </row>
    <row r="141" spans="1:8">
      <c r="A141" t="str">
        <f>_xlfn.IFNA(IF(AND(VLOOKUP(Data!A141,表1[],2,0)="HTA8000",Data!E141="LME"),"HTA8003",VLOOKUP(Data!A141,表1[],2,0)),"")</f>
        <v/>
      </c>
      <c r="B141" t="str">
        <f t="shared" si="2"/>
        <v/>
      </c>
      <c r="C141" t="str">
        <f>IF(A141="","",VLOOKUP(Data!G141,表3[],2,0))</f>
        <v/>
      </c>
      <c r="D141" t="str">
        <f>IF(A141="","",VLOOKUP(Data!G141,表3[],3,0))</f>
        <v/>
      </c>
      <c r="E141" t="str">
        <f>IF(A141="","",IF(C141="","",VLOOKUP(RIGHT(Data!H141,2),$O$37:$P$48,2,0)&amp;20&amp;LEFT(Data!H141,2)))</f>
        <v/>
      </c>
      <c r="F141" t="str">
        <f>IF(A141="","",IF(C141="",Data!H141+20000000,""))</f>
        <v/>
      </c>
      <c r="G141" t="str">
        <f>IF(A141="","",Data!K141)</f>
        <v/>
      </c>
      <c r="H141" t="str">
        <f>IF(Data!A141="PHSGCQG","8001/8005","")</f>
        <v/>
      </c>
    </row>
    <row r="142" spans="1:8">
      <c r="A142" t="str">
        <f>_xlfn.IFNA(IF(AND(VLOOKUP(Data!A142,表1[],2,0)="HTA8000",Data!E142="LME"),"HTA8003",VLOOKUP(Data!A142,表1[],2,0)),"")</f>
        <v/>
      </c>
      <c r="B142" t="str">
        <f t="shared" si="2"/>
        <v/>
      </c>
      <c r="C142" t="str">
        <f>IF(A142="","",VLOOKUP(Data!G142,表3[],2,0))</f>
        <v/>
      </c>
      <c r="D142" t="str">
        <f>IF(A142="","",VLOOKUP(Data!G142,表3[],3,0))</f>
        <v/>
      </c>
      <c r="E142" t="str">
        <f>IF(A142="","",IF(C142="","",VLOOKUP(RIGHT(Data!H142,2),$O$37:$P$48,2,0)&amp;20&amp;LEFT(Data!H142,2)))</f>
        <v/>
      </c>
      <c r="F142" t="str">
        <f>IF(A142="","",IF(C142="",Data!H142+20000000,""))</f>
        <v/>
      </c>
      <c r="G142" t="str">
        <f>IF(A142="","",Data!K142)</f>
        <v/>
      </c>
      <c r="H142" t="str">
        <f>IF(Data!A142="PHSGCQG","8001/8005","")</f>
        <v/>
      </c>
    </row>
    <row r="143" spans="1:8">
      <c r="A143" t="str">
        <f>_xlfn.IFNA(IF(AND(VLOOKUP(Data!A143,表1[],2,0)="HTA8000",Data!E143="LME"),"HTA8003",VLOOKUP(Data!A143,表1[],2,0)),"")</f>
        <v/>
      </c>
      <c r="B143" t="str">
        <f t="shared" si="2"/>
        <v/>
      </c>
      <c r="C143" t="str">
        <f>IF(A143="","",VLOOKUP(Data!G143,表3[],2,0))</f>
        <v/>
      </c>
      <c r="D143" t="str">
        <f>IF(A143="","",VLOOKUP(Data!G143,表3[],3,0))</f>
        <v/>
      </c>
      <c r="E143" t="str">
        <f>IF(A143="","",IF(C143="","",VLOOKUP(RIGHT(Data!H143,2),$O$37:$P$48,2,0)&amp;20&amp;LEFT(Data!H143,2)))</f>
        <v/>
      </c>
      <c r="F143" t="str">
        <f>IF(A143="","",IF(C143="",Data!H143+20000000,""))</f>
        <v/>
      </c>
      <c r="G143" t="str">
        <f>IF(A143="","",Data!K143)</f>
        <v/>
      </c>
      <c r="H143" t="str">
        <f>IF(Data!A143="PHSGCQG","8001/8005","")</f>
        <v/>
      </c>
    </row>
    <row r="144" spans="1:8">
      <c r="A144" t="str">
        <f>_xlfn.IFNA(IF(AND(VLOOKUP(Data!A144,表1[],2,0)="HTA8000",Data!E144="LME"),"HTA8003",VLOOKUP(Data!A144,表1[],2,0)),"")</f>
        <v/>
      </c>
      <c r="B144" t="str">
        <f t="shared" si="2"/>
        <v/>
      </c>
      <c r="C144" t="str">
        <f>IF(A144="","",VLOOKUP(Data!G144,表3[],2,0))</f>
        <v/>
      </c>
      <c r="D144" t="str">
        <f>IF(A144="","",VLOOKUP(Data!G144,表3[],3,0))</f>
        <v/>
      </c>
      <c r="E144" t="str">
        <f>IF(A144="","",IF(C144="","",VLOOKUP(RIGHT(Data!H144,2),$O$37:$P$48,2,0)&amp;20&amp;LEFT(Data!H144,2)))</f>
        <v/>
      </c>
      <c r="F144" t="str">
        <f>IF(A144="","",IF(C144="",Data!H144+20000000,""))</f>
        <v/>
      </c>
      <c r="G144" t="str">
        <f>IF(A144="","",Data!K144)</f>
        <v/>
      </c>
      <c r="H144" t="str">
        <f>IF(Data!A144="PHSGCQG","8001/8005","")</f>
        <v/>
      </c>
    </row>
    <row r="145" spans="1:8">
      <c r="A145" t="str">
        <f>_xlfn.IFNA(IF(AND(VLOOKUP(Data!A145,表1[],2,0)="HTA8000",Data!E145="LME"),"HTA8003",VLOOKUP(Data!A145,表1[],2,0)),"")</f>
        <v/>
      </c>
      <c r="B145" t="str">
        <f t="shared" si="2"/>
        <v/>
      </c>
      <c r="C145" t="str">
        <f>IF(A145="","",VLOOKUP(Data!G145,表3[],2,0))</f>
        <v/>
      </c>
      <c r="D145" t="str">
        <f>IF(A145="","",VLOOKUP(Data!G145,表3[],3,0))</f>
        <v/>
      </c>
      <c r="E145" t="str">
        <f>IF(A145="","",IF(C145="","",VLOOKUP(RIGHT(Data!H145,2),$O$37:$P$48,2,0)&amp;20&amp;LEFT(Data!H145,2)))</f>
        <v/>
      </c>
      <c r="F145" t="str">
        <f>IF(A145="","",IF(C145="",Data!H145+20000000,""))</f>
        <v/>
      </c>
      <c r="G145" t="str">
        <f>IF(A145="","",Data!K145)</f>
        <v/>
      </c>
      <c r="H145" t="str">
        <f>IF(Data!A145="PHSGCQG","8001/8005","")</f>
        <v/>
      </c>
    </row>
    <row r="146" spans="1:8">
      <c r="A146" t="str">
        <f>_xlfn.IFNA(IF(AND(VLOOKUP(Data!A146,表1[],2,0)="HTA8000",Data!E146="LME"),"HTA8003",VLOOKUP(Data!A146,表1[],2,0)),"")</f>
        <v/>
      </c>
      <c r="B146" t="str">
        <f t="shared" si="2"/>
        <v/>
      </c>
      <c r="C146" t="str">
        <f>IF(A146="","",VLOOKUP(Data!G146,表3[],2,0))</f>
        <v/>
      </c>
      <c r="D146" t="str">
        <f>IF(A146="","",VLOOKUP(Data!G146,表3[],3,0))</f>
        <v/>
      </c>
      <c r="E146" t="str">
        <f>IF(A146="","",IF(C146="","",VLOOKUP(RIGHT(Data!H146,2),$O$37:$P$48,2,0)&amp;20&amp;LEFT(Data!H146,2)))</f>
        <v/>
      </c>
      <c r="F146" t="str">
        <f>IF(A146="","",IF(C146="",Data!H146+20000000,""))</f>
        <v/>
      </c>
      <c r="G146" t="str">
        <f>IF(A146="","",Data!K146)</f>
        <v/>
      </c>
      <c r="H146" t="str">
        <f>IF(Data!A146="PHSGCQG","8001/8005","")</f>
        <v/>
      </c>
    </row>
    <row r="147" spans="1:8">
      <c r="A147" t="str">
        <f>_xlfn.IFNA(IF(AND(VLOOKUP(Data!A147,表1[],2,0)="HTA8000",Data!E147="LME"),"HTA8003",VLOOKUP(Data!A147,表1[],2,0)),"")</f>
        <v/>
      </c>
      <c r="B147" t="str">
        <f t="shared" si="2"/>
        <v/>
      </c>
      <c r="C147" t="str">
        <f>IF(A147="","",VLOOKUP(Data!G147,表3[],2,0))</f>
        <v/>
      </c>
      <c r="D147" t="str">
        <f>IF(A147="","",VLOOKUP(Data!G147,表3[],3,0))</f>
        <v/>
      </c>
      <c r="E147" t="str">
        <f>IF(A147="","",IF(C147="","",VLOOKUP(RIGHT(Data!H147,2),$O$37:$P$48,2,0)&amp;20&amp;LEFT(Data!H147,2)))</f>
        <v/>
      </c>
      <c r="F147" t="str">
        <f>IF(A147="","",IF(C147="",Data!H147+20000000,""))</f>
        <v/>
      </c>
      <c r="G147" t="str">
        <f>IF(A147="","",Data!K147)</f>
        <v/>
      </c>
      <c r="H147" t="str">
        <f>IF(Data!A147="PHSGCQG","8001/8005","")</f>
        <v/>
      </c>
    </row>
    <row r="148" spans="1:8">
      <c r="A148" t="str">
        <f>_xlfn.IFNA(IF(AND(VLOOKUP(Data!A148,表1[],2,0)="HTA8000",Data!E148="LME"),"HTA8003",VLOOKUP(Data!A148,表1[],2,0)),"")</f>
        <v/>
      </c>
      <c r="B148" t="str">
        <f t="shared" si="2"/>
        <v/>
      </c>
      <c r="C148" t="str">
        <f>IF(A148="","",VLOOKUP(Data!G148,表3[],2,0))</f>
        <v/>
      </c>
      <c r="D148" t="str">
        <f>IF(A148="","",VLOOKUP(Data!G148,表3[],3,0))</f>
        <v/>
      </c>
      <c r="E148" t="str">
        <f>IF(A148="","",IF(C148="","",VLOOKUP(RIGHT(Data!H148,2),$O$37:$P$48,2,0)&amp;20&amp;LEFT(Data!H148,2)))</f>
        <v/>
      </c>
      <c r="F148" t="str">
        <f>IF(A148="","",IF(C148="",Data!H148+20000000,""))</f>
        <v/>
      </c>
      <c r="G148" t="str">
        <f>IF(A148="","",Data!K148)</f>
        <v/>
      </c>
      <c r="H148" t="str">
        <f>IF(Data!A148="PHSGCQG","8001/8005","")</f>
        <v/>
      </c>
    </row>
    <row r="149" spans="1:8">
      <c r="A149" t="str">
        <f>_xlfn.IFNA(IF(AND(VLOOKUP(Data!A149,表1[],2,0)="HTA8000",Data!E149="LME"),"HTA8003",VLOOKUP(Data!A149,表1[],2,0)),"")</f>
        <v/>
      </c>
      <c r="B149" t="str">
        <f t="shared" si="2"/>
        <v/>
      </c>
      <c r="C149" t="str">
        <f>IF(A149="","",VLOOKUP(Data!G149,表3[],2,0))</f>
        <v/>
      </c>
      <c r="D149" t="str">
        <f>IF(A149="","",VLOOKUP(Data!G149,表3[],3,0))</f>
        <v/>
      </c>
      <c r="E149" t="str">
        <f>IF(A149="","",IF(C149="","",VLOOKUP(RIGHT(Data!H149,2),$O$37:$P$48,2,0)&amp;20&amp;LEFT(Data!H149,2)))</f>
        <v/>
      </c>
      <c r="F149" t="str">
        <f>IF(A149="","",IF(C149="",Data!H149+20000000,""))</f>
        <v/>
      </c>
      <c r="G149" t="str">
        <f>IF(A149="","",Data!K149)</f>
        <v/>
      </c>
      <c r="H149" t="str">
        <f>IF(Data!A149="PHSGCQG","8001/8005","")</f>
        <v/>
      </c>
    </row>
    <row r="150" spans="1:8">
      <c r="A150" t="str">
        <f>_xlfn.IFNA(IF(AND(VLOOKUP(Data!A150,表1[],2,0)="HTA8000",Data!E150="LME"),"HTA8003",VLOOKUP(Data!A150,表1[],2,0)),"")</f>
        <v/>
      </c>
      <c r="B150" t="str">
        <f t="shared" si="2"/>
        <v/>
      </c>
      <c r="C150" t="str">
        <f>IF(A150="","",VLOOKUP(Data!G150,表3[],2,0))</f>
        <v/>
      </c>
      <c r="D150" t="str">
        <f>IF(A150="","",VLOOKUP(Data!G150,表3[],3,0))</f>
        <v/>
      </c>
      <c r="E150" t="str">
        <f>IF(A150="","",IF(C150="","",VLOOKUP(RIGHT(Data!H150,2),$O$37:$P$48,2,0)&amp;20&amp;LEFT(Data!H150,2)))</f>
        <v/>
      </c>
      <c r="F150" t="str">
        <f>IF(A150="","",IF(C150="",Data!H150+20000000,""))</f>
        <v/>
      </c>
      <c r="G150" t="str">
        <f>IF(A150="","",Data!K150)</f>
        <v/>
      </c>
      <c r="H150" t="str">
        <f>IF(Data!A150="PHSGCQG","8001/8005","")</f>
        <v/>
      </c>
    </row>
    <row r="151" spans="1:8">
      <c r="A151" t="str">
        <f>_xlfn.IFNA(IF(AND(VLOOKUP(Data!A151,表1[],2,0)="HTA8000",Data!E151="LME"),"HTA8003",VLOOKUP(Data!A151,表1[],2,0)),"")</f>
        <v/>
      </c>
      <c r="B151" t="str">
        <f t="shared" si="2"/>
        <v/>
      </c>
      <c r="C151" t="str">
        <f>IF(A151="","",VLOOKUP(Data!G151,表3[],2,0))</f>
        <v/>
      </c>
      <c r="D151" t="str">
        <f>IF(A151="","",VLOOKUP(Data!G151,表3[],3,0))</f>
        <v/>
      </c>
      <c r="E151" t="str">
        <f>IF(A151="","",IF(C151="","",VLOOKUP(RIGHT(Data!H151,2),$O$37:$P$48,2,0)&amp;20&amp;LEFT(Data!H151,2)))</f>
        <v/>
      </c>
      <c r="F151" t="str">
        <f>IF(A151="","",IF(C151="",Data!H151+20000000,""))</f>
        <v/>
      </c>
      <c r="G151" t="str">
        <f>IF(A151="","",Data!K151)</f>
        <v/>
      </c>
      <c r="H151" t="str">
        <f>IF(Data!A151="PHSGCQG","8001/8005","")</f>
        <v/>
      </c>
    </row>
    <row r="152" spans="1:8">
      <c r="A152" t="str">
        <f>_xlfn.IFNA(IF(AND(VLOOKUP(Data!A152,表1[],2,0)="HTA8000",Data!E152="LME"),"HTA8003",VLOOKUP(Data!A152,表1[],2,0)),"")</f>
        <v/>
      </c>
      <c r="B152" t="str">
        <f t="shared" si="2"/>
        <v/>
      </c>
      <c r="C152" t="str">
        <f>IF(A152="","",VLOOKUP(Data!G152,表3[],2,0))</f>
        <v/>
      </c>
      <c r="D152" t="str">
        <f>IF(A152="","",VLOOKUP(Data!G152,表3[],3,0))</f>
        <v/>
      </c>
      <c r="E152" t="str">
        <f>IF(A152="","",IF(C152="","",VLOOKUP(RIGHT(Data!H152,2),$O$37:$P$48,2,0)&amp;20&amp;LEFT(Data!H152,2)))</f>
        <v/>
      </c>
      <c r="F152" t="str">
        <f>IF(A152="","",IF(C152="",Data!H152+20000000,""))</f>
        <v/>
      </c>
      <c r="G152" t="str">
        <f>IF(A152="","",Data!K152)</f>
        <v/>
      </c>
      <c r="H152" t="str">
        <f>IF(Data!A152="PHSGCQG","8001/8005","")</f>
        <v/>
      </c>
    </row>
    <row r="153" spans="1:8">
      <c r="A153" t="str">
        <f>_xlfn.IFNA(IF(AND(VLOOKUP(Data!A153,表1[],2,0)="HTA8000",Data!E153="LME"),"HTA8003",VLOOKUP(Data!A153,表1[],2,0)),"")</f>
        <v/>
      </c>
      <c r="B153" t="str">
        <f t="shared" si="2"/>
        <v/>
      </c>
      <c r="C153" t="str">
        <f>IF(A153="","",VLOOKUP(Data!G153,表3[],2,0))</f>
        <v/>
      </c>
      <c r="D153" t="str">
        <f>IF(A153="","",VLOOKUP(Data!G153,表3[],3,0))</f>
        <v/>
      </c>
      <c r="E153" t="str">
        <f>IF(A153="","",IF(C153="","",VLOOKUP(RIGHT(Data!H153,2),$O$37:$P$48,2,0)&amp;20&amp;LEFT(Data!H153,2)))</f>
        <v/>
      </c>
      <c r="F153" t="str">
        <f>IF(A153="","",IF(C153="",Data!H153+20000000,""))</f>
        <v/>
      </c>
      <c r="G153" t="str">
        <f>IF(A153="","",Data!K153)</f>
        <v/>
      </c>
      <c r="H153" t="str">
        <f>IF(Data!A153="PHSGCQG","8001/8005","")</f>
        <v/>
      </c>
    </row>
    <row r="154" spans="1:8">
      <c r="A154" t="str">
        <f>_xlfn.IFNA(IF(AND(VLOOKUP(Data!A154,表1[],2,0)="HTA8000",Data!E154="LME"),"HTA8003",VLOOKUP(Data!A154,表1[],2,0)),"")</f>
        <v/>
      </c>
      <c r="B154" t="str">
        <f t="shared" si="2"/>
        <v/>
      </c>
      <c r="C154" t="str">
        <f>IF(A154="","",VLOOKUP(Data!G154,表3[],2,0))</f>
        <v/>
      </c>
      <c r="D154" t="str">
        <f>IF(A154="","",VLOOKUP(Data!G154,表3[],3,0))</f>
        <v/>
      </c>
      <c r="E154" t="str">
        <f>IF(A154="","",IF(C154="","",VLOOKUP(RIGHT(Data!H154,2),$O$37:$P$48,2,0)&amp;20&amp;LEFT(Data!H154,2)))</f>
        <v/>
      </c>
      <c r="F154" t="str">
        <f>IF(A154="","",IF(C154="",Data!H154+20000000,""))</f>
        <v/>
      </c>
      <c r="G154" t="str">
        <f>IF(A154="","",Data!K154)</f>
        <v/>
      </c>
      <c r="H154" t="str">
        <f>IF(Data!A154="PHSGCQG","8001/8005","")</f>
        <v/>
      </c>
    </row>
    <row r="155" spans="1:8">
      <c r="A155" t="str">
        <f>_xlfn.IFNA(IF(AND(VLOOKUP(Data!A155,表1[],2,0)="HTA8000",Data!E155="LME"),"HTA8003",VLOOKUP(Data!A155,表1[],2,0)),"")</f>
        <v/>
      </c>
      <c r="B155" t="str">
        <f t="shared" si="2"/>
        <v/>
      </c>
      <c r="C155" t="str">
        <f>IF(A155="","",VLOOKUP(Data!G155,表3[],2,0))</f>
        <v/>
      </c>
      <c r="D155" t="str">
        <f>IF(A155="","",VLOOKUP(Data!G155,表3[],3,0))</f>
        <v/>
      </c>
      <c r="E155" t="str">
        <f>IF(A155="","",IF(C155="","",VLOOKUP(RIGHT(Data!H155,2),$O$37:$P$48,2,0)&amp;20&amp;LEFT(Data!H155,2)))</f>
        <v/>
      </c>
      <c r="F155" t="str">
        <f>IF(A155="","",IF(C155="",Data!H155+20000000,""))</f>
        <v/>
      </c>
      <c r="G155" t="str">
        <f>IF(A155="","",Data!K155)</f>
        <v/>
      </c>
      <c r="H155" t="str">
        <f>IF(Data!A155="PHSGCQG","8001/8005","")</f>
        <v/>
      </c>
    </row>
    <row r="156" spans="1:8">
      <c r="A156" t="str">
        <f>_xlfn.IFNA(IF(AND(VLOOKUP(Data!A156,表1[],2,0)="HTA8000",Data!E156="LME"),"HTA8003",VLOOKUP(Data!A156,表1[],2,0)),"")</f>
        <v/>
      </c>
      <c r="B156" t="str">
        <f t="shared" si="2"/>
        <v/>
      </c>
      <c r="C156" t="str">
        <f>IF(A156="","",VLOOKUP(Data!G156,表3[],2,0))</f>
        <v/>
      </c>
      <c r="D156" t="str">
        <f>IF(A156="","",VLOOKUP(Data!G156,表3[],3,0))</f>
        <v/>
      </c>
      <c r="E156" t="str">
        <f>IF(A156="","",IF(C156="","",VLOOKUP(RIGHT(Data!H156,2),$O$37:$P$48,2,0)&amp;20&amp;LEFT(Data!H156,2)))</f>
        <v/>
      </c>
      <c r="F156" t="str">
        <f>IF(A156="","",IF(C156="",Data!H156+20000000,""))</f>
        <v/>
      </c>
      <c r="G156" t="str">
        <f>IF(A156="","",Data!K156)</f>
        <v/>
      </c>
      <c r="H156" t="str">
        <f>IF(Data!A156="PHSGCQG","8001/8005","")</f>
        <v/>
      </c>
    </row>
    <row r="157" spans="1:8">
      <c r="A157" t="str">
        <f>_xlfn.IFNA(IF(AND(VLOOKUP(Data!A157,表1[],2,0)="HTA8000",Data!E157="LME"),"HTA8003",VLOOKUP(Data!A157,表1[],2,0)),"")</f>
        <v/>
      </c>
      <c r="B157" t="str">
        <f t="shared" si="2"/>
        <v/>
      </c>
      <c r="C157" t="str">
        <f>IF(A157="","",VLOOKUP(Data!G157,表3[],2,0))</f>
        <v/>
      </c>
      <c r="D157" t="str">
        <f>IF(A157="","",VLOOKUP(Data!G157,表3[],3,0))</f>
        <v/>
      </c>
      <c r="E157" t="str">
        <f>IF(A157="","",IF(C157="","",VLOOKUP(RIGHT(Data!H157,2),$O$37:$P$48,2,0)&amp;20&amp;LEFT(Data!H157,2)))</f>
        <v/>
      </c>
      <c r="F157" t="str">
        <f>IF(A157="","",IF(C157="",Data!H157+20000000,""))</f>
        <v/>
      </c>
      <c r="G157" t="str">
        <f>IF(A157="","",Data!K157)</f>
        <v/>
      </c>
      <c r="H157" t="str">
        <f>IF(Data!A157="PHSGCQG","8001/8005","")</f>
        <v/>
      </c>
    </row>
    <row r="158" spans="1:8">
      <c r="A158" t="str">
        <f>_xlfn.IFNA(IF(AND(VLOOKUP(Data!A158,表1[],2,0)="HTA8000",Data!E158="LME"),"HTA8003",VLOOKUP(Data!A158,表1[],2,0)),"")</f>
        <v/>
      </c>
      <c r="B158" t="str">
        <f t="shared" si="2"/>
        <v/>
      </c>
      <c r="C158" t="str">
        <f>IF(A158="","",VLOOKUP(Data!G158,表3[],2,0))</f>
        <v/>
      </c>
      <c r="D158" t="str">
        <f>IF(A158="","",VLOOKUP(Data!G158,表3[],3,0))</f>
        <v/>
      </c>
      <c r="E158" t="str">
        <f>IF(A158="","",IF(C158="","",VLOOKUP(RIGHT(Data!H158,2),$O$37:$P$48,2,0)&amp;20&amp;LEFT(Data!H158,2)))</f>
        <v/>
      </c>
      <c r="F158" t="str">
        <f>IF(A158="","",IF(C158="",Data!H158+20000000,""))</f>
        <v/>
      </c>
      <c r="G158" t="str">
        <f>IF(A158="","",Data!K158)</f>
        <v/>
      </c>
      <c r="H158" t="str">
        <f>IF(Data!A158="PHSGCQG","8001/8005","")</f>
        <v/>
      </c>
    </row>
    <row r="159" spans="1:8">
      <c r="A159" t="str">
        <f>_xlfn.IFNA(IF(AND(VLOOKUP(Data!A159,表1[],2,0)="HTA8000",Data!E159="LME"),"HTA8003",VLOOKUP(Data!A159,表1[],2,0)),"")</f>
        <v/>
      </c>
      <c r="B159" t="str">
        <f t="shared" si="2"/>
        <v/>
      </c>
      <c r="C159" t="str">
        <f>IF(A159="","",VLOOKUP(Data!G159,表3[],2,0))</f>
        <v/>
      </c>
      <c r="D159" t="str">
        <f>IF(A159="","",VLOOKUP(Data!G159,表3[],3,0))</f>
        <v/>
      </c>
      <c r="E159" t="str">
        <f>IF(A159="","",IF(C159="","",VLOOKUP(RIGHT(Data!H159,2),$O$37:$P$48,2,0)&amp;20&amp;LEFT(Data!H159,2)))</f>
        <v/>
      </c>
      <c r="F159" t="str">
        <f>IF(A159="","",IF(C159="",Data!H159+20000000,""))</f>
        <v/>
      </c>
      <c r="G159" t="str">
        <f>IF(A159="","",Data!K159)</f>
        <v/>
      </c>
      <c r="H159" t="str">
        <f>IF(Data!A159="PHSGCQG","8001/8005","")</f>
        <v/>
      </c>
    </row>
    <row r="160" spans="1:8">
      <c r="A160" t="str">
        <f>_xlfn.IFNA(IF(AND(VLOOKUP(Data!A160,表1[],2,0)="HTA8000",Data!E160="LME"),"HTA8003",VLOOKUP(Data!A160,表1[],2,0)),"")</f>
        <v/>
      </c>
      <c r="B160" t="str">
        <f t="shared" si="2"/>
        <v/>
      </c>
      <c r="C160" t="str">
        <f>IF(A160="","",VLOOKUP(Data!G160,表3[],2,0))</f>
        <v/>
      </c>
      <c r="D160" t="str">
        <f>IF(A160="","",VLOOKUP(Data!G160,表3[],3,0))</f>
        <v/>
      </c>
      <c r="E160" t="str">
        <f>IF(A160="","",IF(C160="","",VLOOKUP(RIGHT(Data!H160,2),$O$37:$P$48,2,0)&amp;20&amp;LEFT(Data!H160,2)))</f>
        <v/>
      </c>
      <c r="F160" t="str">
        <f>IF(A160="","",IF(C160="",Data!H160+20000000,""))</f>
        <v/>
      </c>
      <c r="G160" t="str">
        <f>IF(A160="","",Data!K160)</f>
        <v/>
      </c>
      <c r="H160" t="str">
        <f>IF(Data!A160="PHSGCQG","8001/8005","")</f>
        <v/>
      </c>
    </row>
    <row r="161" spans="1:8">
      <c r="A161" t="str">
        <f>_xlfn.IFNA(IF(AND(VLOOKUP(Data!A161,表1[],2,0)="HTA8000",Data!E161="LME"),"HTA8003",VLOOKUP(Data!A161,表1[],2,0)),"")</f>
        <v/>
      </c>
      <c r="B161" t="str">
        <f t="shared" si="2"/>
        <v/>
      </c>
      <c r="C161" t="str">
        <f>IF(A161="","",VLOOKUP(Data!G161,表3[],2,0))</f>
        <v/>
      </c>
      <c r="D161" t="str">
        <f>IF(A161="","",VLOOKUP(Data!G161,表3[],3,0))</f>
        <v/>
      </c>
      <c r="E161" t="str">
        <f>IF(A161="","",IF(C161="","",VLOOKUP(RIGHT(Data!H161,2),$O$37:$P$48,2,0)&amp;20&amp;LEFT(Data!H161,2)))</f>
        <v/>
      </c>
      <c r="F161" t="str">
        <f>IF(A161="","",IF(C161="",Data!H161+20000000,""))</f>
        <v/>
      </c>
      <c r="G161" t="str">
        <f>IF(A161="","",Data!K161)</f>
        <v/>
      </c>
      <c r="H161" t="str">
        <f>IF(Data!A161="PHSGCQG","8001/8005","")</f>
        <v/>
      </c>
    </row>
    <row r="162" spans="1:8">
      <c r="A162" t="str">
        <f>_xlfn.IFNA(IF(AND(VLOOKUP(Data!A162,表1[],2,0)="HTA8000",Data!E162="LME"),"HTA8003",VLOOKUP(Data!A162,表1[],2,0)),"")</f>
        <v/>
      </c>
      <c r="B162" t="str">
        <f t="shared" si="2"/>
        <v/>
      </c>
      <c r="C162" t="str">
        <f>IF(A162="","",VLOOKUP(Data!G162,表3[],2,0))</f>
        <v/>
      </c>
      <c r="D162" t="str">
        <f>IF(A162="","",VLOOKUP(Data!G162,表3[],3,0))</f>
        <v/>
      </c>
      <c r="E162" t="str">
        <f>IF(A162="","",IF(C162="","",VLOOKUP(RIGHT(Data!H162,2),$O$37:$P$48,2,0)&amp;20&amp;LEFT(Data!H162,2)))</f>
        <v/>
      </c>
      <c r="F162" t="str">
        <f>IF(A162="","",IF(C162="",Data!H162+20000000,""))</f>
        <v/>
      </c>
      <c r="G162" t="str">
        <f>IF(A162="","",Data!K162)</f>
        <v/>
      </c>
      <c r="H162" t="str">
        <f>IF(Data!A162="PHSGCQG","8001/8005","")</f>
        <v/>
      </c>
    </row>
    <row r="163" spans="1:8">
      <c r="A163" t="str">
        <f>_xlfn.IFNA(IF(AND(VLOOKUP(Data!A163,表1[],2,0)="HTA8000",Data!E163="LME"),"HTA8003",VLOOKUP(Data!A163,表1[],2,0)),"")</f>
        <v/>
      </c>
      <c r="B163" t="str">
        <f t="shared" si="2"/>
        <v/>
      </c>
      <c r="C163" t="str">
        <f>IF(A163="","",VLOOKUP(Data!G163,表3[],2,0))</f>
        <v/>
      </c>
      <c r="D163" t="str">
        <f>IF(A163="","",VLOOKUP(Data!G163,表3[],3,0))</f>
        <v/>
      </c>
      <c r="E163" t="str">
        <f>IF(A163="","",IF(C163="","",VLOOKUP(RIGHT(Data!H163,2),$O$37:$P$48,2,0)&amp;20&amp;LEFT(Data!H163,2)))</f>
        <v/>
      </c>
      <c r="F163" t="str">
        <f>IF(A163="","",IF(C163="",Data!H163+20000000,""))</f>
        <v/>
      </c>
      <c r="G163" t="str">
        <f>IF(A163="","",Data!K163)</f>
        <v/>
      </c>
      <c r="H163" t="str">
        <f>IF(Data!A163="PHSGCQG","8001/8005","")</f>
        <v/>
      </c>
    </row>
    <row r="164" spans="1:8">
      <c r="A164" t="str">
        <f>_xlfn.IFNA(IF(AND(VLOOKUP(Data!A164,表1[],2,0)="HTA8000",Data!E164="LME"),"HTA8003",VLOOKUP(Data!A164,表1[],2,0)),"")</f>
        <v/>
      </c>
      <c r="B164" t="str">
        <f t="shared" si="2"/>
        <v/>
      </c>
      <c r="C164" t="str">
        <f>IF(A164="","",VLOOKUP(Data!G164,表3[],2,0))</f>
        <v/>
      </c>
      <c r="D164" t="str">
        <f>IF(A164="","",VLOOKUP(Data!G164,表3[],3,0))</f>
        <v/>
      </c>
      <c r="E164" t="str">
        <f>IF(A164="","",IF(C164="","",VLOOKUP(RIGHT(Data!H164,2),$O$37:$P$48,2,0)&amp;20&amp;LEFT(Data!H164,2)))</f>
        <v/>
      </c>
      <c r="F164" t="str">
        <f>IF(A164="","",IF(C164="",Data!H164+20000000,""))</f>
        <v/>
      </c>
      <c r="G164" t="str">
        <f>IF(A164="","",Data!K164)</f>
        <v/>
      </c>
      <c r="H164" t="str">
        <f>IF(Data!A164="PHSGCQG","8001/8005","")</f>
        <v/>
      </c>
    </row>
    <row r="165" spans="1:8">
      <c r="A165" t="str">
        <f>_xlfn.IFNA(IF(AND(VLOOKUP(Data!A165,表1[],2,0)="HTA8000",Data!E165="LME"),"HTA8003",VLOOKUP(Data!A165,表1[],2,0)),"")</f>
        <v/>
      </c>
      <c r="B165" t="str">
        <f t="shared" si="2"/>
        <v/>
      </c>
      <c r="C165" t="str">
        <f>IF(A165="","",VLOOKUP(Data!G165,表3[],2,0))</f>
        <v/>
      </c>
      <c r="D165" t="str">
        <f>IF(A165="","",VLOOKUP(Data!G165,表3[],3,0))</f>
        <v/>
      </c>
      <c r="E165" t="str">
        <f>IF(A165="","",IF(C165="","",VLOOKUP(RIGHT(Data!H165,2),$O$37:$P$48,2,0)&amp;20&amp;LEFT(Data!H165,2)))</f>
        <v/>
      </c>
      <c r="F165" t="str">
        <f>IF(A165="","",IF(C165="",Data!H165+20000000,""))</f>
        <v/>
      </c>
      <c r="G165" t="str">
        <f>IF(A165="","",Data!K165)</f>
        <v/>
      </c>
      <c r="H165" t="str">
        <f>IF(Data!A165="PHSGCQG","8001/8005","")</f>
        <v/>
      </c>
    </row>
    <row r="166" spans="1:8">
      <c r="A166" t="str">
        <f>_xlfn.IFNA(IF(AND(VLOOKUP(Data!A166,表1[],2,0)="HTA8000",Data!E166="LME"),"HTA8003",VLOOKUP(Data!A166,表1[],2,0)),"")</f>
        <v/>
      </c>
      <c r="B166" t="str">
        <f t="shared" si="2"/>
        <v/>
      </c>
      <c r="C166" t="str">
        <f>IF(A166="","",VLOOKUP(Data!G166,表3[],2,0))</f>
        <v/>
      </c>
      <c r="D166" t="str">
        <f>IF(A166="","",VLOOKUP(Data!G166,表3[],3,0))</f>
        <v/>
      </c>
      <c r="E166" t="str">
        <f>IF(A166="","",IF(C166="","",VLOOKUP(RIGHT(Data!H166,2),$O$37:$P$48,2,0)&amp;20&amp;LEFT(Data!H166,2)))</f>
        <v/>
      </c>
      <c r="F166" t="str">
        <f>IF(A166="","",IF(C166="",Data!H166+20000000,""))</f>
        <v/>
      </c>
      <c r="G166" t="str">
        <f>IF(A166="","",Data!K166)</f>
        <v/>
      </c>
      <c r="H166" t="str">
        <f>IF(Data!A166="PHSGCQG","8001/8005","")</f>
        <v/>
      </c>
    </row>
    <row r="167" spans="1:8">
      <c r="A167" t="str">
        <f>_xlfn.IFNA(IF(AND(VLOOKUP(Data!A167,表1[],2,0)="HTA8000",Data!E167="LME"),"HTA8003",VLOOKUP(Data!A167,表1[],2,0)),"")</f>
        <v/>
      </c>
      <c r="B167" t="str">
        <f t="shared" si="2"/>
        <v/>
      </c>
      <c r="C167" t="str">
        <f>IF(A167="","",VLOOKUP(Data!G167,表3[],2,0))</f>
        <v/>
      </c>
      <c r="D167" t="str">
        <f>IF(A167="","",VLOOKUP(Data!G167,表3[],3,0))</f>
        <v/>
      </c>
      <c r="E167" t="str">
        <f>IF(A167="","",IF(C167="","",VLOOKUP(RIGHT(Data!H167,2),$O$37:$P$48,2,0)&amp;20&amp;LEFT(Data!H167,2)))</f>
        <v/>
      </c>
      <c r="F167" t="str">
        <f>IF(A167="","",IF(C167="",Data!H167+20000000,""))</f>
        <v/>
      </c>
      <c r="G167" t="str">
        <f>IF(A167="","",Data!K167)</f>
        <v/>
      </c>
      <c r="H167" t="str">
        <f>IF(Data!A167="PHSGCQG","8001/8005","")</f>
        <v/>
      </c>
    </row>
    <row r="168" spans="1:8">
      <c r="A168" t="str">
        <f>_xlfn.IFNA(IF(AND(VLOOKUP(Data!A168,表1[],2,0)="HTA8000",Data!E168="LME"),"HTA8003",VLOOKUP(Data!A168,表1[],2,0)),"")</f>
        <v/>
      </c>
      <c r="B168" t="str">
        <f t="shared" si="2"/>
        <v/>
      </c>
      <c r="C168" t="str">
        <f>IF(A168="","",VLOOKUP(Data!G168,表3[],2,0))</f>
        <v/>
      </c>
      <c r="D168" t="str">
        <f>IF(A168="","",VLOOKUP(Data!G168,表3[],3,0))</f>
        <v/>
      </c>
      <c r="E168" t="str">
        <f>IF(A168="","",IF(C168="","",VLOOKUP(RIGHT(Data!H168,2),$O$37:$P$48,2,0)&amp;20&amp;LEFT(Data!H168,2)))</f>
        <v/>
      </c>
      <c r="F168" t="str">
        <f>IF(A168="","",IF(C168="",Data!H168+20000000,""))</f>
        <v/>
      </c>
      <c r="G168" t="str">
        <f>IF(A168="","",Data!K168)</f>
        <v/>
      </c>
      <c r="H168" t="str">
        <f>IF(Data!A168="PHSGCQG","8001/8005","")</f>
        <v/>
      </c>
    </row>
    <row r="169" spans="1:8">
      <c r="A169" t="str">
        <f>_xlfn.IFNA(IF(AND(VLOOKUP(Data!A169,表1[],2,0)="HTA8000",Data!E169="LME"),"HTA8003",VLOOKUP(Data!A169,表1[],2,0)),"")</f>
        <v/>
      </c>
      <c r="B169" t="str">
        <f t="shared" si="2"/>
        <v/>
      </c>
      <c r="C169" t="str">
        <f>IF(A169="","",VLOOKUP(Data!G169,表3[],2,0))</f>
        <v/>
      </c>
      <c r="D169" t="str">
        <f>IF(A169="","",VLOOKUP(Data!G169,表3[],3,0))</f>
        <v/>
      </c>
      <c r="E169" t="str">
        <f>IF(A169="","",IF(C169="","",VLOOKUP(RIGHT(Data!H169,2),$O$37:$P$48,2,0)&amp;20&amp;LEFT(Data!H169,2)))</f>
        <v/>
      </c>
      <c r="F169" t="str">
        <f>IF(A169="","",IF(C169="",Data!H169+20000000,""))</f>
        <v/>
      </c>
      <c r="G169" t="str">
        <f>IF(A169="","",Data!K169)</f>
        <v/>
      </c>
      <c r="H169" t="str">
        <f>IF(Data!A169="PHSGCQG","8001/8005","")</f>
        <v/>
      </c>
    </row>
    <row r="170" spans="1:8">
      <c r="A170" t="str">
        <f>_xlfn.IFNA(IF(AND(VLOOKUP(Data!A170,表1[],2,0)="HTA8000",Data!E170="LME"),"HTA8003",VLOOKUP(Data!A170,表1[],2,0)),"")</f>
        <v/>
      </c>
      <c r="B170" t="str">
        <f t="shared" si="2"/>
        <v/>
      </c>
      <c r="C170" t="str">
        <f>IF(A170="","",VLOOKUP(Data!G170,表3[],2,0))</f>
        <v/>
      </c>
      <c r="D170" t="str">
        <f>IF(A170="","",VLOOKUP(Data!G170,表3[],3,0))</f>
        <v/>
      </c>
      <c r="E170" t="str">
        <f>IF(A170="","",IF(C170="","",VLOOKUP(RIGHT(Data!H170,2),$O$37:$P$48,2,0)&amp;20&amp;LEFT(Data!H170,2)))</f>
        <v/>
      </c>
      <c r="F170" t="str">
        <f>IF(A170="","",IF(C170="",Data!H170+20000000,""))</f>
        <v/>
      </c>
      <c r="G170" t="str">
        <f>IF(A170="","",Data!K170)</f>
        <v/>
      </c>
      <c r="H170" t="str">
        <f>IF(Data!A170="PHSGCQG","8001/8005","")</f>
        <v/>
      </c>
    </row>
    <row r="171" spans="1:8">
      <c r="A171" t="str">
        <f>_xlfn.IFNA(IF(AND(VLOOKUP(Data!A171,表1[],2,0)="HTA8000",Data!E171="LME"),"HTA8003",VLOOKUP(Data!A171,表1[],2,0)),"")</f>
        <v/>
      </c>
      <c r="B171" t="str">
        <f t="shared" si="2"/>
        <v/>
      </c>
      <c r="C171" t="str">
        <f>IF(A171="","",VLOOKUP(Data!G171,表3[],2,0))</f>
        <v/>
      </c>
      <c r="D171" t="str">
        <f>IF(A171="","",VLOOKUP(Data!G171,表3[],3,0))</f>
        <v/>
      </c>
      <c r="E171" t="str">
        <f>IF(A171="","",IF(C171="","",VLOOKUP(RIGHT(Data!H171,2),$O$37:$P$48,2,0)&amp;20&amp;LEFT(Data!H171,2)))</f>
        <v/>
      </c>
      <c r="F171" t="str">
        <f>IF(A171="","",IF(C171="",Data!H171+20000000,""))</f>
        <v/>
      </c>
      <c r="G171" t="str">
        <f>IF(A171="","",Data!K171)</f>
        <v/>
      </c>
      <c r="H171" t="str">
        <f>IF(Data!A171="PHSGCQG","8001/8005","")</f>
        <v/>
      </c>
    </row>
    <row r="172" spans="1:8">
      <c r="A172" t="str">
        <f>_xlfn.IFNA(IF(AND(VLOOKUP(Data!A172,表1[],2,0)="HTA8000",Data!E172="LME"),"HTA8003",VLOOKUP(Data!A172,表1[],2,0)),"")</f>
        <v/>
      </c>
      <c r="B172" t="str">
        <f t="shared" si="2"/>
        <v/>
      </c>
      <c r="C172" t="str">
        <f>IF(A172="","",VLOOKUP(Data!G172,表3[],2,0))</f>
        <v/>
      </c>
      <c r="D172" t="str">
        <f>IF(A172="","",VLOOKUP(Data!G172,表3[],3,0))</f>
        <v/>
      </c>
      <c r="E172" t="str">
        <f>IF(A172="","",IF(C172="","",VLOOKUP(RIGHT(Data!H172,2),$O$37:$P$48,2,0)&amp;20&amp;LEFT(Data!H172,2)))</f>
        <v/>
      </c>
      <c r="F172" t="str">
        <f>IF(A172="","",IF(C172="",Data!H172+20000000,""))</f>
        <v/>
      </c>
      <c r="G172" t="str">
        <f>IF(A172="","",Data!K172)</f>
        <v/>
      </c>
      <c r="H172" t="str">
        <f>IF(Data!A172="PHSGCQG","8001/8005","")</f>
        <v/>
      </c>
    </row>
    <row r="173" spans="1:8">
      <c r="A173" t="str">
        <f>_xlfn.IFNA(IF(AND(VLOOKUP(Data!A173,表1[],2,0)="HTA8000",Data!E173="LME"),"HTA8003",VLOOKUP(Data!A173,表1[],2,0)),"")</f>
        <v/>
      </c>
      <c r="B173" t="str">
        <f t="shared" si="2"/>
        <v/>
      </c>
      <c r="C173" t="str">
        <f>IF(A173="","",VLOOKUP(Data!G173,表3[],2,0))</f>
        <v/>
      </c>
      <c r="D173" t="str">
        <f>IF(A173="","",VLOOKUP(Data!G173,表3[],3,0))</f>
        <v/>
      </c>
      <c r="E173" t="str">
        <f>IF(A173="","",IF(C173="","",VLOOKUP(RIGHT(Data!H173,2),$O$37:$P$48,2,0)&amp;20&amp;LEFT(Data!H173,2)))</f>
        <v/>
      </c>
      <c r="F173" t="str">
        <f>IF(A173="","",IF(C173="",Data!H173+20000000,""))</f>
        <v/>
      </c>
      <c r="G173" t="str">
        <f>IF(A173="","",Data!K173)</f>
        <v/>
      </c>
      <c r="H173" t="str">
        <f>IF(Data!A173="PHSGCQG","8001/8005","")</f>
        <v/>
      </c>
    </row>
    <row r="174" spans="1:8">
      <c r="A174" t="str">
        <f>_xlfn.IFNA(IF(AND(VLOOKUP(Data!A174,表1[],2,0)="HTA8000",Data!E174="LME"),"HTA8003",VLOOKUP(Data!A174,表1[],2,0)),"")</f>
        <v/>
      </c>
      <c r="B174" t="str">
        <f t="shared" si="2"/>
        <v/>
      </c>
      <c r="C174" t="str">
        <f>IF(A174="","",VLOOKUP(Data!G174,表3[],2,0))</f>
        <v/>
      </c>
      <c r="D174" t="str">
        <f>IF(A174="","",VLOOKUP(Data!G174,表3[],3,0))</f>
        <v/>
      </c>
      <c r="E174" t="str">
        <f>IF(A174="","",IF(C174="","",VLOOKUP(RIGHT(Data!H174,2),$O$37:$P$48,2,0)&amp;20&amp;LEFT(Data!H174,2)))</f>
        <v/>
      </c>
      <c r="F174" t="str">
        <f>IF(A174="","",IF(C174="",Data!H174+20000000,""))</f>
        <v/>
      </c>
      <c r="G174" t="str">
        <f>IF(A174="","",Data!K174)</f>
        <v/>
      </c>
      <c r="H174" t="str">
        <f>IF(Data!A174="PHSGCQG","8001/8005","")</f>
        <v/>
      </c>
    </row>
    <row r="175" spans="1:8">
      <c r="A175" t="str">
        <f>_xlfn.IFNA(IF(AND(VLOOKUP(Data!A175,表1[],2,0)="HTA8000",Data!E175="LME"),"HTA8003",VLOOKUP(Data!A175,表1[],2,0)),"")</f>
        <v/>
      </c>
      <c r="B175" t="str">
        <f t="shared" si="2"/>
        <v/>
      </c>
      <c r="C175" t="str">
        <f>IF(A175="","",VLOOKUP(Data!G175,表3[],2,0))</f>
        <v/>
      </c>
      <c r="D175" t="str">
        <f>IF(A175="","",VLOOKUP(Data!G175,表3[],3,0))</f>
        <v/>
      </c>
      <c r="E175" t="str">
        <f>IF(A175="","",IF(C175="","",VLOOKUP(RIGHT(Data!H175,2),$O$37:$P$48,2,0)&amp;20&amp;LEFT(Data!H175,2)))</f>
        <v/>
      </c>
      <c r="F175" t="str">
        <f>IF(A175="","",IF(C175="",Data!H175+20000000,""))</f>
        <v/>
      </c>
      <c r="G175" t="str">
        <f>IF(A175="","",Data!K175)</f>
        <v/>
      </c>
      <c r="H175" t="str">
        <f>IF(Data!A175="PHSGCQG","8001/8005","")</f>
        <v/>
      </c>
    </row>
    <row r="176" spans="1:8">
      <c r="A176" t="str">
        <f>_xlfn.IFNA(IF(AND(VLOOKUP(Data!A176,表1[],2,0)="HTA8000",Data!E176="LME"),"HTA8003",VLOOKUP(Data!A176,表1[],2,0)),"")</f>
        <v/>
      </c>
      <c r="B176" t="str">
        <f t="shared" si="2"/>
        <v/>
      </c>
      <c r="C176" t="str">
        <f>IF(A176="","",VLOOKUP(Data!G176,表3[],2,0))</f>
        <v/>
      </c>
      <c r="D176" t="str">
        <f>IF(A176="","",VLOOKUP(Data!G176,表3[],3,0))</f>
        <v/>
      </c>
      <c r="E176" t="str">
        <f>IF(A176="","",IF(C176="","",VLOOKUP(RIGHT(Data!H176,2),$O$37:$P$48,2,0)&amp;20&amp;LEFT(Data!H176,2)))</f>
        <v/>
      </c>
      <c r="F176" t="str">
        <f>IF(A176="","",IF(C176="",Data!H176+20000000,""))</f>
        <v/>
      </c>
      <c r="G176" t="str">
        <f>IF(A176="","",Data!K176)</f>
        <v/>
      </c>
      <c r="H176" t="str">
        <f>IF(Data!A176="PHSGCQG","8001/8005","")</f>
        <v/>
      </c>
    </row>
    <row r="177" spans="1:8">
      <c r="A177" t="str">
        <f>_xlfn.IFNA(IF(AND(VLOOKUP(Data!A177,表1[],2,0)="HTA8000",Data!E177="LME"),"HTA8003",VLOOKUP(Data!A177,表1[],2,0)),"")</f>
        <v/>
      </c>
      <c r="B177" t="str">
        <f t="shared" si="2"/>
        <v/>
      </c>
      <c r="C177" t="str">
        <f>IF(A177="","",VLOOKUP(Data!G177,表3[],2,0))</f>
        <v/>
      </c>
      <c r="D177" t="str">
        <f>IF(A177="","",VLOOKUP(Data!G177,表3[],3,0))</f>
        <v/>
      </c>
      <c r="E177" t="str">
        <f>IF(A177="","",IF(C177="","",VLOOKUP(RIGHT(Data!H177,2),$O$37:$P$48,2,0)&amp;20&amp;LEFT(Data!H177,2)))</f>
        <v/>
      </c>
      <c r="F177" t="str">
        <f>IF(A177="","",IF(C177="",Data!H177+20000000,""))</f>
        <v/>
      </c>
      <c r="G177" t="str">
        <f>IF(A177="","",Data!K177)</f>
        <v/>
      </c>
      <c r="H177" t="str">
        <f>IF(Data!A177="PHSGCQG","8001/8005","")</f>
        <v/>
      </c>
    </row>
    <row r="178" spans="1:8">
      <c r="A178" t="str">
        <f>_xlfn.IFNA(IF(AND(VLOOKUP(Data!A178,表1[],2,0)="HTA8000",Data!E178="LME"),"HTA8003",VLOOKUP(Data!A178,表1[],2,0)),"")</f>
        <v/>
      </c>
      <c r="B178" t="str">
        <f t="shared" si="2"/>
        <v/>
      </c>
      <c r="C178" t="str">
        <f>IF(A178="","",VLOOKUP(Data!G178,表3[],2,0))</f>
        <v/>
      </c>
      <c r="D178" t="str">
        <f>IF(A178="","",VLOOKUP(Data!G178,表3[],3,0))</f>
        <v/>
      </c>
      <c r="E178" t="str">
        <f>IF(A178="","",IF(C178="","",VLOOKUP(RIGHT(Data!H178,2),$O$37:$P$48,2,0)&amp;20&amp;LEFT(Data!H178,2)))</f>
        <v/>
      </c>
      <c r="F178" t="str">
        <f>IF(A178="","",IF(C178="",Data!H178+20000000,""))</f>
        <v/>
      </c>
      <c r="G178" t="str">
        <f>IF(A178="","",Data!K178)</f>
        <v/>
      </c>
      <c r="H178" t="str">
        <f>IF(Data!A178="PHSGCQG","8001/8005","")</f>
        <v/>
      </c>
    </row>
    <row r="179" spans="1:8">
      <c r="A179" t="str">
        <f>_xlfn.IFNA(IF(AND(VLOOKUP(Data!A179,表1[],2,0)="HTA8000",Data!E179="LME"),"HTA8003",VLOOKUP(Data!A179,表1[],2,0)),"")</f>
        <v/>
      </c>
      <c r="B179" t="str">
        <f t="shared" si="2"/>
        <v/>
      </c>
      <c r="C179" t="str">
        <f>IF(A179="","",VLOOKUP(Data!G179,表3[],2,0))</f>
        <v/>
      </c>
      <c r="D179" t="str">
        <f>IF(A179="","",VLOOKUP(Data!G179,表3[],3,0))</f>
        <v/>
      </c>
      <c r="E179" t="str">
        <f>IF(A179="","",IF(C179="","",VLOOKUP(RIGHT(Data!H179,2),$O$37:$P$48,2,0)&amp;20&amp;LEFT(Data!H179,2)))</f>
        <v/>
      </c>
      <c r="F179" t="str">
        <f>IF(A179="","",IF(C179="",Data!H179+20000000,""))</f>
        <v/>
      </c>
      <c r="G179" t="str">
        <f>IF(A179="","",Data!K179)</f>
        <v/>
      </c>
      <c r="H179" t="str">
        <f>IF(Data!A179="PHSGCQG","8001/8005","")</f>
        <v/>
      </c>
    </row>
    <row r="180" spans="1:8">
      <c r="A180" t="str">
        <f>_xlfn.IFNA(IF(AND(VLOOKUP(Data!A180,表1[],2,0)="HTA8000",Data!E180="LME"),"HTA8003",VLOOKUP(Data!A180,表1[],2,0)),"")</f>
        <v/>
      </c>
      <c r="B180" t="str">
        <f t="shared" si="2"/>
        <v/>
      </c>
      <c r="C180" t="str">
        <f>IF(A180="","",VLOOKUP(Data!G180,表3[],2,0))</f>
        <v/>
      </c>
      <c r="D180" t="str">
        <f>IF(A180="","",VLOOKUP(Data!G180,表3[],3,0))</f>
        <v/>
      </c>
      <c r="E180" t="str">
        <f>IF(A180="","",IF(C180="","",VLOOKUP(RIGHT(Data!H180,2),$O$37:$P$48,2,0)&amp;20&amp;LEFT(Data!H180,2)))</f>
        <v/>
      </c>
      <c r="F180" t="str">
        <f>IF(A180="","",IF(C180="",Data!H180+20000000,""))</f>
        <v/>
      </c>
      <c r="G180" t="str">
        <f>IF(A180="","",Data!K180)</f>
        <v/>
      </c>
      <c r="H180" t="str">
        <f>IF(Data!A180="PHSGCQG","8001/8005","")</f>
        <v/>
      </c>
    </row>
    <row r="181" spans="1:8">
      <c r="A181" t="str">
        <f>_xlfn.IFNA(IF(AND(VLOOKUP(Data!A181,表1[],2,0)="HTA8000",Data!E181="LME"),"HTA8003",VLOOKUP(Data!A181,表1[],2,0)),"")</f>
        <v/>
      </c>
      <c r="B181" t="str">
        <f t="shared" si="2"/>
        <v/>
      </c>
      <c r="C181" t="str">
        <f>IF(A181="","",VLOOKUP(Data!G181,表3[],2,0))</f>
        <v/>
      </c>
      <c r="D181" t="str">
        <f>IF(A181="","",VLOOKUP(Data!G181,表3[],3,0))</f>
        <v/>
      </c>
      <c r="E181" t="str">
        <f>IF(A181="","",IF(C181="","",VLOOKUP(RIGHT(Data!H181,2),$O$37:$P$48,2,0)&amp;20&amp;LEFT(Data!H181,2)))</f>
        <v/>
      </c>
      <c r="F181" t="str">
        <f>IF(A181="","",IF(C181="",Data!H181+20000000,""))</f>
        <v/>
      </c>
      <c r="G181" t="str">
        <f>IF(A181="","",Data!K181)</f>
        <v/>
      </c>
      <c r="H181" t="str">
        <f>IF(Data!A181="PHSGCQG","8001/8005","")</f>
        <v/>
      </c>
    </row>
    <row r="182" spans="1:8">
      <c r="A182" t="str">
        <f>_xlfn.IFNA(IF(AND(VLOOKUP(Data!A182,表1[],2,0)="HTA8000",Data!E182="LME"),"HTA8003",VLOOKUP(Data!A182,表1[],2,0)),"")</f>
        <v/>
      </c>
      <c r="B182" t="str">
        <f t="shared" si="2"/>
        <v/>
      </c>
      <c r="C182" t="str">
        <f>IF(A182="","",VLOOKUP(Data!G182,表3[],2,0))</f>
        <v/>
      </c>
      <c r="D182" t="str">
        <f>IF(A182="","",VLOOKUP(Data!G182,表3[],3,0))</f>
        <v/>
      </c>
      <c r="E182" t="str">
        <f>IF(A182="","",IF(C182="","",VLOOKUP(RIGHT(Data!H182,2),$O$37:$P$48,2,0)&amp;20&amp;LEFT(Data!H182,2)))</f>
        <v/>
      </c>
      <c r="F182" t="str">
        <f>IF(A182="","",IF(C182="",Data!H182+20000000,""))</f>
        <v/>
      </c>
      <c r="G182" t="str">
        <f>IF(A182="","",Data!K182)</f>
        <v/>
      </c>
      <c r="H182" t="str">
        <f>IF(Data!A182="PHSGCQG","8001/8005","")</f>
        <v/>
      </c>
    </row>
    <row r="183" spans="1:8">
      <c r="A183" t="str">
        <f>_xlfn.IFNA(IF(AND(VLOOKUP(Data!A183,表1[],2,0)="HTA8000",Data!E183="LME"),"HTA8003",VLOOKUP(Data!A183,表1[],2,0)),"")</f>
        <v/>
      </c>
      <c r="B183" t="str">
        <f t="shared" si="2"/>
        <v/>
      </c>
      <c r="C183" t="str">
        <f>IF(A183="","",VLOOKUP(Data!G183,表3[],2,0))</f>
        <v/>
      </c>
      <c r="D183" t="str">
        <f>IF(A183="","",VLOOKUP(Data!G183,表3[],3,0))</f>
        <v/>
      </c>
      <c r="E183" t="str">
        <f>IF(A183="","",IF(C183="","",VLOOKUP(RIGHT(Data!H183,2),$O$37:$P$48,2,0)&amp;20&amp;LEFT(Data!H183,2)))</f>
        <v/>
      </c>
      <c r="F183" t="str">
        <f>IF(A183="","",IF(C183="",Data!H183+20000000,""))</f>
        <v/>
      </c>
      <c r="G183" t="str">
        <f>IF(A183="","",Data!K183)</f>
        <v/>
      </c>
      <c r="H183" t="str">
        <f>IF(Data!A183="PHSGCQG","8001/8005","")</f>
        <v/>
      </c>
    </row>
    <row r="184" spans="1:8">
      <c r="A184" t="str">
        <f>_xlfn.IFNA(IF(AND(VLOOKUP(Data!A184,表1[],2,0)="HTA8000",Data!E184="LME"),"HTA8003",VLOOKUP(Data!A184,表1[],2,0)),"")</f>
        <v/>
      </c>
      <c r="B184" t="str">
        <f t="shared" si="2"/>
        <v/>
      </c>
      <c r="C184" t="str">
        <f>IF(A184="","",VLOOKUP(Data!G184,表3[],2,0))</f>
        <v/>
      </c>
      <c r="D184" t="str">
        <f>IF(A184="","",VLOOKUP(Data!G184,表3[],3,0))</f>
        <v/>
      </c>
      <c r="E184" t="str">
        <f>IF(A184="","",IF(C184="","",VLOOKUP(RIGHT(Data!H184,2),$O$37:$P$48,2,0)&amp;20&amp;LEFT(Data!H184,2)))</f>
        <v/>
      </c>
      <c r="F184" t="str">
        <f>IF(A184="","",IF(C184="",Data!H184+20000000,""))</f>
        <v/>
      </c>
      <c r="G184" t="str">
        <f>IF(A184="","",Data!K184)</f>
        <v/>
      </c>
      <c r="H184" t="str">
        <f>IF(Data!A184="PHSGCQG","8001/8005","")</f>
        <v/>
      </c>
    </row>
    <row r="185" spans="1:8">
      <c r="A185" t="str">
        <f>_xlfn.IFNA(IF(AND(VLOOKUP(Data!A185,表1[],2,0)="HTA8000",Data!E185="LME"),"HTA8003",VLOOKUP(Data!A185,表1[],2,0)),"")</f>
        <v/>
      </c>
      <c r="B185" t="str">
        <f t="shared" si="2"/>
        <v/>
      </c>
      <c r="C185" t="str">
        <f>IF(A185="","",VLOOKUP(Data!G185,表3[],2,0))</f>
        <v/>
      </c>
      <c r="D185" t="str">
        <f>IF(A185="","",VLOOKUP(Data!G185,表3[],3,0))</f>
        <v/>
      </c>
      <c r="E185" t="str">
        <f>IF(A185="","",IF(C185="","",VLOOKUP(RIGHT(Data!H185,2),$O$37:$P$48,2,0)&amp;20&amp;LEFT(Data!H185,2)))</f>
        <v/>
      </c>
      <c r="F185" t="str">
        <f>IF(A185="","",IF(C185="",Data!H185+20000000,""))</f>
        <v/>
      </c>
      <c r="G185" t="str">
        <f>IF(A185="","",Data!K185)</f>
        <v/>
      </c>
      <c r="H185" t="str">
        <f>IF(Data!A185="PHSGCQG","8001/8005","")</f>
        <v/>
      </c>
    </row>
    <row r="186" spans="1:8">
      <c r="A186" t="str">
        <f>_xlfn.IFNA(IF(AND(VLOOKUP(Data!A186,表1[],2,0)="HTA8000",Data!E186="LME"),"HTA8003",VLOOKUP(Data!A186,表1[],2,0)),"")</f>
        <v/>
      </c>
      <c r="B186" t="str">
        <f t="shared" si="2"/>
        <v/>
      </c>
      <c r="C186" t="str">
        <f>IF(A186="","",VLOOKUP(Data!G186,表3[],2,0))</f>
        <v/>
      </c>
      <c r="D186" t="str">
        <f>IF(A186="","",VLOOKUP(Data!G186,表3[],3,0))</f>
        <v/>
      </c>
      <c r="E186" t="str">
        <f>IF(A186="","",IF(C186="","",VLOOKUP(RIGHT(Data!H186,2),$O$37:$P$48,2,0)&amp;20&amp;LEFT(Data!H186,2)))</f>
        <v/>
      </c>
      <c r="F186" t="str">
        <f>IF(A186="","",IF(C186="",Data!H186+20000000,""))</f>
        <v/>
      </c>
      <c r="G186" t="str">
        <f>IF(A186="","",Data!K186)</f>
        <v/>
      </c>
      <c r="H186" t="str">
        <f>IF(Data!A186="PHSGCQG","8001/8005","")</f>
        <v/>
      </c>
    </row>
    <row r="187" spans="1:8">
      <c r="A187" t="str">
        <f>_xlfn.IFNA(IF(AND(VLOOKUP(Data!A187,表1[],2,0)="HTA8000",Data!E187="LME"),"HTA8003",VLOOKUP(Data!A187,表1[],2,0)),"")</f>
        <v/>
      </c>
      <c r="B187" t="str">
        <f t="shared" si="2"/>
        <v/>
      </c>
      <c r="C187" t="str">
        <f>IF(A187="","",VLOOKUP(Data!G187,表3[],2,0))</f>
        <v/>
      </c>
      <c r="D187" t="str">
        <f>IF(A187="","",VLOOKUP(Data!G187,表3[],3,0))</f>
        <v/>
      </c>
      <c r="E187" t="str">
        <f>IF(A187="","",IF(C187="","",VLOOKUP(RIGHT(Data!H187,2),$O$37:$P$48,2,0)&amp;20&amp;LEFT(Data!H187,2)))</f>
        <v/>
      </c>
      <c r="F187" t="str">
        <f>IF(A187="","",IF(C187="",Data!H187+20000000,""))</f>
        <v/>
      </c>
      <c r="G187" t="str">
        <f>IF(A187="","",Data!K187)</f>
        <v/>
      </c>
      <c r="H187" t="str">
        <f>IF(Data!A187="PHSGCQG","8001/8005","")</f>
        <v/>
      </c>
    </row>
    <row r="188" spans="1:8">
      <c r="A188" t="str">
        <f>_xlfn.IFNA(IF(AND(VLOOKUP(Data!A188,表1[],2,0)="HTA8000",Data!E188="LME"),"HTA8003",VLOOKUP(Data!A188,表1[],2,0)),"")</f>
        <v/>
      </c>
      <c r="B188" t="str">
        <f t="shared" si="2"/>
        <v/>
      </c>
      <c r="C188" t="str">
        <f>IF(A188="","",VLOOKUP(Data!G188,表3[],2,0))</f>
        <v/>
      </c>
      <c r="D188" t="str">
        <f>IF(A188="","",VLOOKUP(Data!G188,表3[],3,0))</f>
        <v/>
      </c>
      <c r="E188" t="str">
        <f>IF(A188="","",IF(C188="","",VLOOKUP(RIGHT(Data!H188,2),$O$37:$P$48,2,0)&amp;20&amp;LEFT(Data!H188,2)))</f>
        <v/>
      </c>
      <c r="F188" t="str">
        <f>IF(A188="","",IF(C188="",Data!H188+20000000,""))</f>
        <v/>
      </c>
      <c r="G188" t="str">
        <f>IF(A188="","",Data!K188)</f>
        <v/>
      </c>
      <c r="H188" t="str">
        <f>IF(Data!A188="PHSGCQG","8001/8005","")</f>
        <v/>
      </c>
    </row>
    <row r="189" spans="1:8">
      <c r="A189" t="str">
        <f>_xlfn.IFNA(IF(AND(VLOOKUP(Data!A189,表1[],2,0)="HTA8000",Data!E189="LME"),"HTA8003",VLOOKUP(Data!A189,表1[],2,0)),"")</f>
        <v/>
      </c>
      <c r="B189" t="str">
        <f t="shared" si="2"/>
        <v/>
      </c>
      <c r="C189" t="str">
        <f>IF(A189="","",VLOOKUP(Data!G189,表3[],2,0))</f>
        <v/>
      </c>
      <c r="D189" t="str">
        <f>IF(A189="","",VLOOKUP(Data!G189,表3[],3,0))</f>
        <v/>
      </c>
      <c r="E189" t="str">
        <f>IF(A189="","",IF(C189="","",VLOOKUP(RIGHT(Data!H189,2),$O$37:$P$48,2,0)&amp;20&amp;LEFT(Data!H189,2)))</f>
        <v/>
      </c>
      <c r="F189" t="str">
        <f>IF(A189="","",IF(C189="",Data!H189+20000000,""))</f>
        <v/>
      </c>
      <c r="G189" t="str">
        <f>IF(A189="","",Data!K189)</f>
        <v/>
      </c>
      <c r="H189" t="str">
        <f>IF(Data!A189="PHSGCQG","8001/8005","")</f>
        <v/>
      </c>
    </row>
    <row r="190" spans="1:8">
      <c r="A190" t="str">
        <f>_xlfn.IFNA(IF(AND(VLOOKUP(Data!A190,表1[],2,0)="HTA8000",Data!E190="LME"),"HTA8003",VLOOKUP(Data!A190,表1[],2,0)),"")</f>
        <v/>
      </c>
      <c r="B190" t="str">
        <f t="shared" si="2"/>
        <v/>
      </c>
      <c r="C190" t="str">
        <f>IF(A190="","",VLOOKUP(Data!G190,表3[],2,0))</f>
        <v/>
      </c>
      <c r="D190" t="str">
        <f>IF(A190="","",VLOOKUP(Data!G190,表3[],3,0))</f>
        <v/>
      </c>
      <c r="E190" t="str">
        <f>IF(A190="","",IF(C190="","",VLOOKUP(RIGHT(Data!H190,2),$O$37:$P$48,2,0)&amp;20&amp;LEFT(Data!H190,2)))</f>
        <v/>
      </c>
      <c r="F190" t="str">
        <f>IF(A190="","",IF(C190="",Data!H190+20000000,""))</f>
        <v/>
      </c>
      <c r="G190" t="str">
        <f>IF(A190="","",Data!K190)</f>
        <v/>
      </c>
      <c r="H190" t="str">
        <f>IF(Data!A190="PHSGCQG","8001/8005","")</f>
        <v/>
      </c>
    </row>
    <row r="191" spans="1:8">
      <c r="A191" t="str">
        <f>_xlfn.IFNA(IF(AND(VLOOKUP(Data!A191,表1[],2,0)="HTA8000",Data!E191="LME"),"HTA8003",VLOOKUP(Data!A191,表1[],2,0)),"")</f>
        <v/>
      </c>
      <c r="B191" t="str">
        <f t="shared" si="2"/>
        <v/>
      </c>
      <c r="C191" t="str">
        <f>IF(A191="","",VLOOKUP(Data!G191,表3[],2,0))</f>
        <v/>
      </c>
      <c r="D191" t="str">
        <f>IF(A191="","",VLOOKUP(Data!G191,表3[],3,0))</f>
        <v/>
      </c>
      <c r="E191" t="str">
        <f>IF(A191="","",IF(C191="","",VLOOKUP(RIGHT(Data!H191,2),$O$37:$P$48,2,0)&amp;20&amp;LEFT(Data!H191,2)))</f>
        <v/>
      </c>
      <c r="F191" t="str">
        <f>IF(A191="","",IF(C191="",Data!H191+20000000,""))</f>
        <v/>
      </c>
      <c r="G191" t="str">
        <f>IF(A191="","",Data!K191)</f>
        <v/>
      </c>
      <c r="H191" t="str">
        <f>IF(Data!A191="PHSGCQG","8001/8005","")</f>
        <v/>
      </c>
    </row>
    <row r="192" spans="1:8">
      <c r="A192" t="str">
        <f>_xlfn.IFNA(IF(AND(VLOOKUP(Data!A192,表1[],2,0)="HTA8000",Data!E192="LME"),"HTA8003",VLOOKUP(Data!A192,表1[],2,0)),"")</f>
        <v/>
      </c>
      <c r="B192" t="str">
        <f t="shared" si="2"/>
        <v/>
      </c>
      <c r="C192" t="str">
        <f>IF(A192="","",VLOOKUP(Data!G192,表3[],2,0))</f>
        <v/>
      </c>
      <c r="D192" t="str">
        <f>IF(A192="","",VLOOKUP(Data!G192,表3[],3,0))</f>
        <v/>
      </c>
      <c r="E192" t="str">
        <f>IF(A192="","",IF(C192="","",VLOOKUP(RIGHT(Data!H192,2),$O$37:$P$48,2,0)&amp;20&amp;LEFT(Data!H192,2)))</f>
        <v/>
      </c>
      <c r="F192" t="str">
        <f>IF(A192="","",IF(C192="",Data!H192+20000000,""))</f>
        <v/>
      </c>
      <c r="G192" t="str">
        <f>IF(A192="","",Data!K192)</f>
        <v/>
      </c>
      <c r="H192" t="str">
        <f>IF(Data!A192="PHSGCQG","8001/8005","")</f>
        <v/>
      </c>
    </row>
    <row r="193" spans="1:8">
      <c r="A193" t="str">
        <f>_xlfn.IFNA(IF(AND(VLOOKUP(Data!A193,表1[],2,0)="HTA8000",Data!E193="LME"),"HTA8003",VLOOKUP(Data!A193,表1[],2,0)),"")</f>
        <v/>
      </c>
      <c r="B193" t="str">
        <f t="shared" si="2"/>
        <v/>
      </c>
      <c r="C193" t="str">
        <f>IF(A193="","",VLOOKUP(Data!G193,表3[],2,0))</f>
        <v/>
      </c>
      <c r="D193" t="str">
        <f>IF(A193="","",VLOOKUP(Data!G193,表3[],3,0))</f>
        <v/>
      </c>
      <c r="E193" t="str">
        <f>IF(A193="","",IF(C193="","",VLOOKUP(RIGHT(Data!H193,2),$O$37:$P$48,2,0)&amp;20&amp;LEFT(Data!H193,2)))</f>
        <v/>
      </c>
      <c r="F193" t="str">
        <f>IF(A193="","",IF(C193="",Data!H193+20000000,""))</f>
        <v/>
      </c>
      <c r="G193" t="str">
        <f>IF(A193="","",Data!K193)</f>
        <v/>
      </c>
      <c r="H193" t="str">
        <f>IF(Data!A193="PHSGCQG","8001/8005","")</f>
        <v/>
      </c>
    </row>
    <row r="194" spans="1:8">
      <c r="A194" t="str">
        <f>_xlfn.IFNA(IF(AND(VLOOKUP(Data!A194,表1[],2,0)="HTA8000",Data!E194="LME"),"HTA8003",VLOOKUP(Data!A194,表1[],2,0)),"")</f>
        <v/>
      </c>
      <c r="B194" t="str">
        <f t="shared" si="2"/>
        <v/>
      </c>
      <c r="C194" t="str">
        <f>IF(A194="","",VLOOKUP(Data!G194,表3[],2,0))</f>
        <v/>
      </c>
      <c r="D194" t="str">
        <f>IF(A194="","",VLOOKUP(Data!G194,表3[],3,0))</f>
        <v/>
      </c>
      <c r="E194" t="str">
        <f>IF(A194="","",IF(C194="","",VLOOKUP(RIGHT(Data!H194,2),$O$37:$P$48,2,0)&amp;20&amp;LEFT(Data!H194,2)))</f>
        <v/>
      </c>
      <c r="F194" t="str">
        <f>IF(A194="","",IF(C194="",Data!H194+20000000,""))</f>
        <v/>
      </c>
      <c r="G194" t="str">
        <f>IF(A194="","",Data!K194)</f>
        <v/>
      </c>
      <c r="H194" t="str">
        <f>IF(Data!A194="PHSGCQG","8001/8005","")</f>
        <v/>
      </c>
    </row>
    <row r="195" spans="1:8">
      <c r="A195" t="str">
        <f>_xlfn.IFNA(IF(AND(VLOOKUP(Data!A195,表1[],2,0)="HTA8000",Data!E195="LME"),"HTA8003",VLOOKUP(Data!A195,表1[],2,0)),"")</f>
        <v/>
      </c>
      <c r="B195" t="str">
        <f t="shared" ref="B195:B200" si="3">IF(A195="","",IF(C195="","X","F"))</f>
        <v/>
      </c>
      <c r="C195" t="str">
        <f>IF(A195="","",VLOOKUP(Data!G195,表3[],2,0))</f>
        <v/>
      </c>
      <c r="D195" t="str">
        <f>IF(A195="","",VLOOKUP(Data!G195,表3[],3,0))</f>
        <v/>
      </c>
      <c r="E195" t="str">
        <f>IF(A195="","",IF(C195="","",VLOOKUP(RIGHT(Data!H195,2),$O$37:$P$48,2,0)&amp;20&amp;LEFT(Data!H195,2)))</f>
        <v/>
      </c>
      <c r="F195" t="str">
        <f>IF(A195="","",IF(C195="",Data!H195+20000000,""))</f>
        <v/>
      </c>
      <c r="G195" t="str">
        <f>IF(A195="","",Data!K195)</f>
        <v/>
      </c>
      <c r="H195" t="str">
        <f>IF(Data!A195="PHSGCQG","8001/8005","")</f>
        <v/>
      </c>
    </row>
    <row r="196" spans="1:8">
      <c r="A196" t="str">
        <f>_xlfn.IFNA(IF(AND(VLOOKUP(Data!A196,表1[],2,0)="HTA8000",Data!E196="LME"),"HTA8003",VLOOKUP(Data!A196,表1[],2,0)),"")</f>
        <v/>
      </c>
      <c r="B196" t="str">
        <f t="shared" si="3"/>
        <v/>
      </c>
      <c r="C196" t="str">
        <f>IF(A196="","",VLOOKUP(Data!G196,表3[],2,0))</f>
        <v/>
      </c>
      <c r="D196" t="str">
        <f>IF(A196="","",VLOOKUP(Data!G196,表3[],3,0))</f>
        <v/>
      </c>
      <c r="E196" t="str">
        <f>IF(A196="","",IF(C196="","",VLOOKUP(RIGHT(Data!H196,2),$O$37:$P$48,2,0)&amp;20&amp;LEFT(Data!H196,2)))</f>
        <v/>
      </c>
      <c r="F196" t="str">
        <f>IF(A196="","",IF(C196="",Data!H196+20000000,""))</f>
        <v/>
      </c>
      <c r="G196" t="str">
        <f>IF(A196="","",Data!K196)</f>
        <v/>
      </c>
      <c r="H196" t="str">
        <f>IF(Data!A196="PHSGCQG","8001/8005","")</f>
        <v/>
      </c>
    </row>
    <row r="197" spans="1:8">
      <c r="A197" t="str">
        <f>_xlfn.IFNA(IF(AND(VLOOKUP(Data!A197,表1[],2,0)="HTA8000",Data!E197="LME"),"HTA8003",VLOOKUP(Data!A197,表1[],2,0)),"")</f>
        <v/>
      </c>
      <c r="B197" t="str">
        <f t="shared" si="3"/>
        <v/>
      </c>
      <c r="C197" t="str">
        <f>IF(A197="","",VLOOKUP(Data!G197,表3[],2,0))</f>
        <v/>
      </c>
      <c r="D197" t="str">
        <f>IF(A197="","",VLOOKUP(Data!G197,表3[],3,0))</f>
        <v/>
      </c>
      <c r="E197" t="str">
        <f>IF(A197="","",IF(C197="","",VLOOKUP(RIGHT(Data!H197,2),$O$37:$P$48,2,0)&amp;20&amp;LEFT(Data!H197,2)))</f>
        <v/>
      </c>
      <c r="F197" t="str">
        <f>IF(A197="","",IF(C197="",Data!H197+20000000,""))</f>
        <v/>
      </c>
      <c r="G197" t="str">
        <f>IF(A197="","",Data!K197)</f>
        <v/>
      </c>
      <c r="H197" t="str">
        <f>IF(Data!A197="PHSGCQG","8001/8005","")</f>
        <v/>
      </c>
    </row>
    <row r="198" spans="1:8">
      <c r="A198" t="str">
        <f>_xlfn.IFNA(IF(AND(VLOOKUP(Data!A198,表1[],2,0)="HTA8000",Data!E198="LME"),"HTA8003",VLOOKUP(Data!A198,表1[],2,0)),"")</f>
        <v/>
      </c>
      <c r="B198" t="str">
        <f t="shared" si="3"/>
        <v/>
      </c>
      <c r="C198" t="str">
        <f>IF(A198="","",VLOOKUP(Data!G198,表3[],2,0))</f>
        <v/>
      </c>
      <c r="D198" t="str">
        <f>IF(A198="","",VLOOKUP(Data!G198,表3[],3,0))</f>
        <v/>
      </c>
      <c r="E198" t="str">
        <f>IF(A198="","",IF(C198="","",VLOOKUP(RIGHT(Data!H198,2),$O$37:$P$48,2,0)&amp;20&amp;LEFT(Data!H198,2)))</f>
        <v/>
      </c>
      <c r="F198" t="str">
        <f>IF(A198="","",IF(C198="",Data!H198+20000000,""))</f>
        <v/>
      </c>
      <c r="G198" t="str">
        <f>IF(A198="","",Data!K198)</f>
        <v/>
      </c>
      <c r="H198" t="str">
        <f>IF(Data!A198="PHSGCQG","8001/8005","")</f>
        <v/>
      </c>
    </row>
    <row r="199" spans="1:8">
      <c r="A199" t="str">
        <f>_xlfn.IFNA(IF(AND(VLOOKUP(Data!A199,表1[],2,0)="HTA8000",Data!E199="LME"),"HTA8003",VLOOKUP(Data!A199,表1[],2,0)),"")</f>
        <v/>
      </c>
      <c r="B199" t="str">
        <f t="shared" si="3"/>
        <v/>
      </c>
      <c r="C199" t="str">
        <f>IF(A199="","",VLOOKUP(Data!G199,表3[],2,0))</f>
        <v/>
      </c>
      <c r="D199" t="str">
        <f>IF(A199="","",VLOOKUP(Data!G199,表3[],3,0))</f>
        <v/>
      </c>
      <c r="E199" t="str">
        <f>IF(A199="","",IF(C199="","",VLOOKUP(RIGHT(Data!H199,2),$O$37:$P$48,2,0)&amp;20&amp;LEFT(Data!H199,2)))</f>
        <v/>
      </c>
      <c r="F199" t="str">
        <f>IF(A199="","",IF(C199="",Data!H199+20000000,""))</f>
        <v/>
      </c>
      <c r="G199" t="str">
        <f>IF(A199="","",Data!K199)</f>
        <v/>
      </c>
      <c r="H199" t="str">
        <f>IF(Data!A199="PHSGCQG","8001/8005","")</f>
        <v/>
      </c>
    </row>
    <row r="200" spans="1:8">
      <c r="A200" t="str">
        <f>_xlfn.IFNA(IF(AND(VLOOKUP(Data!A200,表1[],2,0)="HTA8000",Data!E200="LME"),"HTA8003",VLOOKUP(Data!A200,表1[],2,0)),"")</f>
        <v/>
      </c>
      <c r="B200" t="str">
        <f t="shared" si="3"/>
        <v/>
      </c>
      <c r="C200" t="str">
        <f>IF(A200="","",VLOOKUP(Data!G200,表3[],2,0))</f>
        <v/>
      </c>
      <c r="D200" t="str">
        <f>IF(A200="","",VLOOKUP(Data!G200,表3[],3,0))</f>
        <v/>
      </c>
      <c r="E200" t="str">
        <f>IF(A200="","",IF(C200="","",VLOOKUP(RIGHT(Data!H200,2),$O$37:$P$48,2,0)&amp;20&amp;LEFT(Data!H200,2)))</f>
        <v/>
      </c>
      <c r="F200" t="str">
        <f>IF(A200="","",IF(C200="",Data!H200+20000000,""))</f>
        <v/>
      </c>
      <c r="G200" t="str">
        <f>IF(A200="","",Data!K200)</f>
        <v/>
      </c>
      <c r="H200" t="str">
        <f>IF(Data!A200="PHSGCQG","8001/8005","")</f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ort">
                <anchor moveWithCells="1" sizeWithCells="1">
                  <from>
                    <xdr:col>9</xdr:col>
                    <xdr:colOff>428625</xdr:colOff>
                    <xdr:row>2</xdr:row>
                    <xdr:rowOff>57150</xdr:rowOff>
                  </from>
                  <to>
                    <xdr:col>12</xdr:col>
                    <xdr:colOff>200025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37C03-9D97-4C99-8E7A-86A8F3CAF9F9}">
  <sheetPr codeName="Sheet4"/>
  <dimension ref="A1:O498"/>
  <sheetViews>
    <sheetView workbookViewId="0">
      <selection sqref="A1:XFD1048576"/>
    </sheetView>
  </sheetViews>
  <sheetFormatPr defaultRowHeight="15.75"/>
  <cols>
    <col min="1" max="1" width="9.85546875" bestFit="1" customWidth="1"/>
    <col min="2" max="2" width="10.7109375" bestFit="1" customWidth="1"/>
    <col min="3" max="3" width="8.7109375" bestFit="1" customWidth="1"/>
    <col min="4" max="4" width="10.140625" bestFit="1" customWidth="1"/>
    <col min="5" max="5" width="15.5703125" bestFit="1" customWidth="1"/>
    <col min="6" max="6" width="11.85546875" bestFit="1" customWidth="1"/>
    <col min="7" max="7" width="8.7109375" bestFit="1" customWidth="1"/>
    <col min="8" max="8" width="9.7109375" bestFit="1" customWidth="1"/>
    <col min="9" max="9" width="16.140625" bestFit="1" customWidth="1"/>
    <col min="10" max="10" width="15.85546875" bestFit="1" customWidth="1"/>
    <col min="11" max="11" width="11.5703125" bestFit="1" customWidth="1"/>
    <col min="12" max="12" width="17.7109375" bestFit="1" customWidth="1"/>
    <col min="13" max="13" width="17.5703125" bestFit="1" customWidth="1"/>
    <col min="14" max="14" width="21.42578125" bestFit="1" customWidth="1"/>
    <col min="15" max="15" width="21.28515625" bestFit="1" customWidth="1"/>
  </cols>
  <sheetData>
    <row r="1" spans="1:15">
      <c r="A1" t="s">
        <v>1367</v>
      </c>
      <c r="B1" t="s">
        <v>0</v>
      </c>
      <c r="C1" t="s">
        <v>1368</v>
      </c>
      <c r="D1" t="s">
        <v>1369</v>
      </c>
      <c r="E1" t="s">
        <v>1370</v>
      </c>
      <c r="F1" t="s">
        <v>1371</v>
      </c>
      <c r="G1" t="s">
        <v>1372</v>
      </c>
      <c r="H1" t="s">
        <v>1373</v>
      </c>
      <c r="I1" t="s">
        <v>1374</v>
      </c>
      <c r="J1" t="s">
        <v>1375</v>
      </c>
      <c r="K1" t="s">
        <v>1376</v>
      </c>
      <c r="L1" t="s">
        <v>1377</v>
      </c>
      <c r="M1" t="s">
        <v>1378</v>
      </c>
      <c r="N1" t="s">
        <v>1379</v>
      </c>
      <c r="O1" t="s">
        <v>1380</v>
      </c>
    </row>
    <row r="2" spans="1:15">
      <c r="A2" t="str">
        <f>Helper1!A2</f>
        <v/>
      </c>
      <c r="B2" t="str">
        <f>Helper1!B2</f>
        <v/>
      </c>
      <c r="C2" t="str">
        <f>Helper1!C2</f>
        <v/>
      </c>
      <c r="D2" t="str">
        <f>Helper1!D2</f>
        <v/>
      </c>
      <c r="E2" t="str">
        <f>Helper1!E2</f>
        <v/>
      </c>
      <c r="H2" t="str">
        <f>Helper1!F2</f>
        <v/>
      </c>
      <c r="K2" t="str">
        <f>Helper1!G2</f>
        <v/>
      </c>
    </row>
    <row r="3" spans="1:15">
      <c r="A3" t="str">
        <f>Helper1!A3</f>
        <v/>
      </c>
      <c r="B3" t="str">
        <f>Helper1!B3</f>
        <v/>
      </c>
      <c r="C3" t="str">
        <f>Helper1!C3</f>
        <v/>
      </c>
      <c r="D3" t="str">
        <f>Helper1!D3</f>
        <v/>
      </c>
      <c r="E3" t="str">
        <f>Helper1!E3</f>
        <v/>
      </c>
      <c r="H3" t="str">
        <f>Helper1!F3</f>
        <v/>
      </c>
      <c r="K3" t="str">
        <f>Helper1!G3</f>
        <v/>
      </c>
    </row>
    <row r="4" spans="1:15">
      <c r="A4" t="str">
        <f>Helper1!A4</f>
        <v/>
      </c>
      <c r="B4" t="str">
        <f>Helper1!B4</f>
        <v/>
      </c>
      <c r="C4" t="str">
        <f>Helper1!C4</f>
        <v/>
      </c>
      <c r="D4" t="str">
        <f>Helper1!D4</f>
        <v/>
      </c>
      <c r="E4" t="str">
        <f>Helper1!E4</f>
        <v/>
      </c>
      <c r="H4" t="str">
        <f>Helper1!F4</f>
        <v/>
      </c>
      <c r="K4" t="str">
        <f>Helper1!G4</f>
        <v/>
      </c>
    </row>
    <row r="5" spans="1:15">
      <c r="A5" t="str">
        <f>Helper1!A5</f>
        <v/>
      </c>
      <c r="B5" t="str">
        <f>Helper1!B5</f>
        <v/>
      </c>
      <c r="C5" t="str">
        <f>Helper1!C5</f>
        <v/>
      </c>
      <c r="D5" t="str">
        <f>Helper1!D5</f>
        <v/>
      </c>
      <c r="E5" t="str">
        <f>Helper1!E5</f>
        <v/>
      </c>
      <c r="H5" t="str">
        <f>Helper1!F5</f>
        <v/>
      </c>
      <c r="K5" t="str">
        <f>Helper1!G5</f>
        <v/>
      </c>
    </row>
    <row r="6" spans="1:15">
      <c r="A6" t="str">
        <f>Helper1!A6</f>
        <v/>
      </c>
      <c r="B6" t="str">
        <f>Helper1!B6</f>
        <v/>
      </c>
      <c r="C6" t="str">
        <f>Helper1!C6</f>
        <v/>
      </c>
      <c r="D6" t="str">
        <f>Helper1!D6</f>
        <v/>
      </c>
      <c r="E6" t="str">
        <f>Helper1!E6</f>
        <v/>
      </c>
      <c r="H6" t="str">
        <f>Helper1!F6</f>
        <v/>
      </c>
      <c r="K6" t="str">
        <f>Helper1!G6</f>
        <v/>
      </c>
    </row>
    <row r="7" spans="1:15">
      <c r="A7" t="str">
        <f>Helper1!A7</f>
        <v/>
      </c>
      <c r="B7" t="str">
        <f>Helper1!B7</f>
        <v/>
      </c>
      <c r="C7" t="str">
        <f>Helper1!C7</f>
        <v/>
      </c>
      <c r="D7" t="str">
        <f>Helper1!D7</f>
        <v/>
      </c>
      <c r="E7" t="str">
        <f>Helper1!E7</f>
        <v/>
      </c>
      <c r="H7" t="str">
        <f>Helper1!F7</f>
        <v/>
      </c>
      <c r="K7" t="str">
        <f>Helper1!G7</f>
        <v/>
      </c>
    </row>
    <row r="8" spans="1:15">
      <c r="A8" t="str">
        <f>Helper1!A8</f>
        <v/>
      </c>
      <c r="B8" t="str">
        <f>Helper1!B8</f>
        <v/>
      </c>
      <c r="C8" t="str">
        <f>Helper1!C8</f>
        <v/>
      </c>
      <c r="D8" t="str">
        <f>Helper1!D8</f>
        <v/>
      </c>
      <c r="E8" t="str">
        <f>Helper1!E8</f>
        <v/>
      </c>
      <c r="H8" t="str">
        <f>Helper1!F8</f>
        <v/>
      </c>
      <c r="K8" t="str">
        <f>Helper1!G8</f>
        <v/>
      </c>
    </row>
    <row r="9" spans="1:15">
      <c r="A9" t="str">
        <f>Helper1!A9</f>
        <v/>
      </c>
      <c r="B9" t="str">
        <f>Helper1!B9</f>
        <v/>
      </c>
      <c r="C9" t="str">
        <f>Helper1!C9</f>
        <v/>
      </c>
      <c r="D9" t="str">
        <f>Helper1!D9</f>
        <v/>
      </c>
      <c r="E9" t="str">
        <f>Helper1!E9</f>
        <v/>
      </c>
      <c r="H9" t="str">
        <f>Helper1!F9</f>
        <v/>
      </c>
      <c r="K9" t="str">
        <f>Helper1!G9</f>
        <v/>
      </c>
    </row>
    <row r="10" spans="1:15">
      <c r="A10" t="str">
        <f>Helper1!A10</f>
        <v/>
      </c>
      <c r="B10" t="str">
        <f>Helper1!B10</f>
        <v/>
      </c>
      <c r="C10" t="str">
        <f>Helper1!C10</f>
        <v/>
      </c>
      <c r="D10" t="str">
        <f>Helper1!D10</f>
        <v/>
      </c>
      <c r="E10" t="str">
        <f>Helper1!E10</f>
        <v/>
      </c>
      <c r="H10" t="str">
        <f>Helper1!F10</f>
        <v/>
      </c>
      <c r="K10" t="str">
        <f>Helper1!G10</f>
        <v/>
      </c>
    </row>
    <row r="11" spans="1:15">
      <c r="A11" t="str">
        <f>Helper1!A11</f>
        <v/>
      </c>
      <c r="B11" t="str">
        <f>Helper1!B11</f>
        <v/>
      </c>
      <c r="C11" t="str">
        <f>Helper1!C11</f>
        <v/>
      </c>
      <c r="D11" t="str">
        <f>Helper1!D11</f>
        <v/>
      </c>
      <c r="E11" t="str">
        <f>Helper1!E11</f>
        <v/>
      </c>
      <c r="H11" t="str">
        <f>Helper1!F11</f>
        <v/>
      </c>
      <c r="K11" t="str">
        <f>Helper1!G11</f>
        <v/>
      </c>
    </row>
    <row r="12" spans="1:15">
      <c r="A12" t="str">
        <f>Helper1!A12</f>
        <v/>
      </c>
      <c r="B12" t="str">
        <f>Helper1!B12</f>
        <v/>
      </c>
      <c r="C12" t="str">
        <f>Helper1!C12</f>
        <v/>
      </c>
      <c r="D12" t="str">
        <f>Helper1!D12</f>
        <v/>
      </c>
      <c r="E12" t="str">
        <f>Helper1!E12</f>
        <v/>
      </c>
      <c r="H12" t="str">
        <f>Helper1!F12</f>
        <v/>
      </c>
      <c r="K12" t="str">
        <f>Helper1!G12</f>
        <v/>
      </c>
    </row>
    <row r="13" spans="1:15">
      <c r="A13" t="str">
        <f>Helper1!A13</f>
        <v/>
      </c>
      <c r="B13" t="str">
        <f>Helper1!B13</f>
        <v/>
      </c>
      <c r="C13" t="str">
        <f>Helper1!C13</f>
        <v/>
      </c>
      <c r="D13" t="str">
        <f>Helper1!D13</f>
        <v/>
      </c>
      <c r="E13" t="str">
        <f>Helper1!E13</f>
        <v/>
      </c>
      <c r="H13" t="str">
        <f>Helper1!F13</f>
        <v/>
      </c>
      <c r="K13" t="str">
        <f>Helper1!G13</f>
        <v/>
      </c>
    </row>
    <row r="14" spans="1:15">
      <c r="A14" t="str">
        <f>Helper1!A14</f>
        <v/>
      </c>
      <c r="B14" t="str">
        <f>Helper1!B14</f>
        <v/>
      </c>
      <c r="C14" t="str">
        <f>Helper1!C14</f>
        <v/>
      </c>
      <c r="D14" t="str">
        <f>Helper1!D14</f>
        <v/>
      </c>
      <c r="E14" t="str">
        <f>Helper1!E14</f>
        <v/>
      </c>
      <c r="H14" t="str">
        <f>Helper1!F14</f>
        <v/>
      </c>
      <c r="K14" t="str">
        <f>Helper1!G14</f>
        <v/>
      </c>
    </row>
    <row r="15" spans="1:15">
      <c r="A15" t="str">
        <f>Helper1!A15</f>
        <v/>
      </c>
      <c r="B15" t="str">
        <f>Helper1!B15</f>
        <v/>
      </c>
      <c r="C15" t="str">
        <f>Helper1!C15</f>
        <v/>
      </c>
      <c r="D15" t="str">
        <f>Helper1!D15</f>
        <v/>
      </c>
      <c r="E15" t="str">
        <f>Helper1!E15</f>
        <v/>
      </c>
      <c r="H15" t="str">
        <f>Helper1!F15</f>
        <v/>
      </c>
      <c r="K15" t="str">
        <f>Helper1!G15</f>
        <v/>
      </c>
    </row>
    <row r="16" spans="1:15">
      <c r="A16" t="str">
        <f>Helper1!A16</f>
        <v/>
      </c>
      <c r="B16" t="str">
        <f>Helper1!B16</f>
        <v/>
      </c>
      <c r="C16" t="str">
        <f>Helper1!C16</f>
        <v/>
      </c>
      <c r="D16" t="str">
        <f>Helper1!D16</f>
        <v/>
      </c>
      <c r="E16" t="str">
        <f>Helper1!E16</f>
        <v/>
      </c>
      <c r="H16" t="str">
        <f>Helper1!F16</f>
        <v/>
      </c>
      <c r="K16" t="str">
        <f>Helper1!G16</f>
        <v/>
      </c>
    </row>
    <row r="17" spans="1:11">
      <c r="A17" t="str">
        <f>Helper1!A17</f>
        <v/>
      </c>
      <c r="B17" t="str">
        <f>Helper1!B17</f>
        <v/>
      </c>
      <c r="C17" t="str">
        <f>Helper1!C17</f>
        <v/>
      </c>
      <c r="D17" t="str">
        <f>Helper1!D17</f>
        <v/>
      </c>
      <c r="E17" t="str">
        <f>Helper1!E17</f>
        <v/>
      </c>
      <c r="H17" t="str">
        <f>Helper1!F17</f>
        <v/>
      </c>
      <c r="K17" t="str">
        <f>Helper1!G17</f>
        <v/>
      </c>
    </row>
    <row r="18" spans="1:11">
      <c r="A18" t="str">
        <f>Helper1!A18</f>
        <v/>
      </c>
      <c r="B18" t="str">
        <f>Helper1!B18</f>
        <v/>
      </c>
      <c r="C18" t="str">
        <f>Helper1!C18</f>
        <v/>
      </c>
      <c r="D18" t="str">
        <f>Helper1!D18</f>
        <v/>
      </c>
      <c r="E18" t="str">
        <f>Helper1!E18</f>
        <v/>
      </c>
      <c r="H18" t="str">
        <f>Helper1!F18</f>
        <v/>
      </c>
      <c r="K18" t="str">
        <f>Helper1!G18</f>
        <v/>
      </c>
    </row>
    <row r="19" spans="1:11">
      <c r="A19" t="str">
        <f>Helper1!A19</f>
        <v/>
      </c>
      <c r="B19" t="str">
        <f>Helper1!B19</f>
        <v/>
      </c>
      <c r="C19" t="str">
        <f>Helper1!C19</f>
        <v/>
      </c>
      <c r="D19" t="str">
        <f>Helper1!D19</f>
        <v/>
      </c>
      <c r="E19" t="str">
        <f>Helper1!E19</f>
        <v/>
      </c>
      <c r="H19" t="str">
        <f>Helper1!F19</f>
        <v/>
      </c>
      <c r="K19" t="str">
        <f>Helper1!G19</f>
        <v/>
      </c>
    </row>
    <row r="20" spans="1:11">
      <c r="A20" t="str">
        <f>Helper1!A20</f>
        <v>HTA8000</v>
      </c>
      <c r="B20" t="str">
        <f>Helper1!B20</f>
        <v>F</v>
      </c>
      <c r="C20" t="str">
        <f>Helper1!C20</f>
        <v>KLCE</v>
      </c>
      <c r="D20" t="str">
        <f>Helper1!D20</f>
        <v>PO</v>
      </c>
      <c r="E20" t="str">
        <f>Helper1!E20</f>
        <v>V2022</v>
      </c>
      <c r="H20" t="str">
        <f>Helper1!F20</f>
        <v/>
      </c>
      <c r="K20">
        <f>Helper1!G20</f>
        <v>20</v>
      </c>
    </row>
    <row r="21" spans="1:11">
      <c r="A21" t="str">
        <f>Helper1!A21</f>
        <v>HTA8000</v>
      </c>
      <c r="B21" t="str">
        <f>Helper1!B21</f>
        <v>F</v>
      </c>
      <c r="C21" t="str">
        <f>Helper1!C21</f>
        <v>KLCE</v>
      </c>
      <c r="D21" t="str">
        <f>Helper1!D21</f>
        <v>PO</v>
      </c>
      <c r="E21" t="str">
        <f>Helper1!E21</f>
        <v>Z2022</v>
      </c>
      <c r="H21" t="str">
        <f>Helper1!F21</f>
        <v/>
      </c>
      <c r="K21">
        <f>Helper1!G21</f>
        <v>3</v>
      </c>
    </row>
    <row r="22" spans="1:11">
      <c r="A22" t="str">
        <f>Helper1!A22</f>
        <v>HTA8000</v>
      </c>
      <c r="B22" t="str">
        <f>Helper1!B22</f>
        <v>F</v>
      </c>
      <c r="C22" t="str">
        <f>Helper1!C22</f>
        <v>LIFFE</v>
      </c>
      <c r="D22" t="str">
        <f>Helper1!D22</f>
        <v>FT</v>
      </c>
      <c r="E22" t="str">
        <f>Helper1!E22</f>
        <v>Z2022</v>
      </c>
      <c r="H22" t="str">
        <f>Helper1!F22</f>
        <v/>
      </c>
      <c r="K22">
        <f>Helper1!G22</f>
        <v>2</v>
      </c>
    </row>
    <row r="23" spans="1:11">
      <c r="A23" t="str">
        <f>Helper1!A23</f>
        <v/>
      </c>
      <c r="B23" t="str">
        <f>Helper1!B23</f>
        <v/>
      </c>
      <c r="C23" t="str">
        <f>Helper1!C23</f>
        <v/>
      </c>
      <c r="D23" t="str">
        <f>Helper1!D23</f>
        <v/>
      </c>
      <c r="E23" t="str">
        <f>Helper1!E23</f>
        <v/>
      </c>
      <c r="H23" t="str">
        <f>Helper1!F23</f>
        <v/>
      </c>
      <c r="K23" t="str">
        <f>Helper1!G23</f>
        <v/>
      </c>
    </row>
    <row r="24" spans="1:11">
      <c r="A24" t="str">
        <f>Helper1!A24</f>
        <v>HTA8004</v>
      </c>
      <c r="B24" t="str">
        <f>Helper1!B24</f>
        <v>F</v>
      </c>
      <c r="C24" t="str">
        <f>Helper1!C24</f>
        <v>SIMEX</v>
      </c>
      <c r="D24" t="str">
        <f>Helper1!D24</f>
        <v>CN</v>
      </c>
      <c r="E24" t="str">
        <f>Helper1!E24</f>
        <v>V2022</v>
      </c>
      <c r="H24" t="str">
        <f>Helper1!F24</f>
        <v/>
      </c>
      <c r="K24">
        <f>Helper1!G24</f>
        <v>4</v>
      </c>
    </row>
    <row r="25" spans="1:11">
      <c r="A25" t="str">
        <f>Helper1!A25</f>
        <v>HTA8004</v>
      </c>
      <c r="B25" t="str">
        <f>Helper1!B25</f>
        <v>F</v>
      </c>
      <c r="C25" t="str">
        <f>Helper1!C25</f>
        <v>SIMEX</v>
      </c>
      <c r="D25" t="str">
        <f>Helper1!D25</f>
        <v>NK</v>
      </c>
      <c r="E25" t="str">
        <f>Helper1!E25</f>
        <v>Z2022</v>
      </c>
      <c r="H25" t="str">
        <f>Helper1!F25</f>
        <v/>
      </c>
      <c r="K25">
        <f>Helper1!G25</f>
        <v>1</v>
      </c>
    </row>
    <row r="26" spans="1:11">
      <c r="A26" t="str">
        <f>Helper1!A26</f>
        <v>HTA8004</v>
      </c>
      <c r="B26" t="str">
        <f>Helper1!B26</f>
        <v>F</v>
      </c>
      <c r="C26" t="str">
        <f>Helper1!C26</f>
        <v>SIMEX</v>
      </c>
      <c r="D26" t="str">
        <f>Helper1!D26</f>
        <v>UC</v>
      </c>
      <c r="E26" t="str">
        <f>Helper1!E26</f>
        <v>Z2022</v>
      </c>
      <c r="H26" t="str">
        <f>Helper1!F26</f>
        <v/>
      </c>
      <c r="K26">
        <f>Helper1!G26</f>
        <v>297</v>
      </c>
    </row>
    <row r="27" spans="1:11">
      <c r="A27" t="str">
        <f>Helper1!A27</f>
        <v/>
      </c>
      <c r="B27" t="str">
        <f>Helper1!B27</f>
        <v/>
      </c>
      <c r="C27" t="str">
        <f>Helper1!C27</f>
        <v/>
      </c>
      <c r="D27" t="str">
        <f>Helper1!D27</f>
        <v/>
      </c>
      <c r="E27" t="str">
        <f>Helper1!E27</f>
        <v/>
      </c>
      <c r="H27" t="str">
        <f>Helper1!F27</f>
        <v/>
      </c>
      <c r="K27" t="str">
        <f>Helper1!G27</f>
        <v/>
      </c>
    </row>
    <row r="28" spans="1:11">
      <c r="A28" t="str">
        <f>Helper1!A28</f>
        <v/>
      </c>
      <c r="B28" t="str">
        <f>Helper1!B28</f>
        <v/>
      </c>
      <c r="C28" t="str">
        <f>Helper1!C28</f>
        <v/>
      </c>
      <c r="D28" t="str">
        <f>Helper1!D28</f>
        <v/>
      </c>
      <c r="E28" t="str">
        <f>Helper1!E28</f>
        <v/>
      </c>
      <c r="H28" t="str">
        <f>Helper1!F28</f>
        <v/>
      </c>
      <c r="K28" t="str">
        <f>Helper1!G28</f>
        <v/>
      </c>
    </row>
    <row r="29" spans="1:11">
      <c r="A29" t="str">
        <f>Helper1!A29</f>
        <v/>
      </c>
      <c r="B29" t="str">
        <f>Helper1!B29</f>
        <v/>
      </c>
      <c r="C29" t="str">
        <f>Helper1!C29</f>
        <v/>
      </c>
      <c r="D29" t="str">
        <f>Helper1!D29</f>
        <v/>
      </c>
      <c r="E29" t="str">
        <f>Helper1!E29</f>
        <v/>
      </c>
      <c r="H29" t="str">
        <f>Helper1!F29</f>
        <v/>
      </c>
      <c r="K29" t="str">
        <f>Helper1!G29</f>
        <v/>
      </c>
    </row>
    <row r="30" spans="1:11">
      <c r="A30" t="str">
        <f>Helper1!A30</f>
        <v/>
      </c>
      <c r="B30" t="str">
        <f>Helper1!B30</f>
        <v/>
      </c>
      <c r="C30" t="str">
        <f>Helper1!C30</f>
        <v/>
      </c>
      <c r="D30" t="str">
        <f>Helper1!D30</f>
        <v/>
      </c>
      <c r="E30" t="str">
        <f>Helper1!E30</f>
        <v/>
      </c>
      <c r="H30" t="str">
        <f>Helper1!F30</f>
        <v/>
      </c>
      <c r="K30" t="str">
        <f>Helper1!G30</f>
        <v/>
      </c>
    </row>
    <row r="31" spans="1:11">
      <c r="A31" t="str">
        <f>Helper1!A31</f>
        <v/>
      </c>
      <c r="B31" t="str">
        <f>Helper1!B31</f>
        <v/>
      </c>
      <c r="C31" t="str">
        <f>Helper1!C31</f>
        <v/>
      </c>
      <c r="D31" t="str">
        <f>Helper1!D31</f>
        <v/>
      </c>
      <c r="E31" t="str">
        <f>Helper1!E31</f>
        <v/>
      </c>
      <c r="H31" t="str">
        <f>Helper1!F31</f>
        <v/>
      </c>
      <c r="K31" t="str">
        <f>Helper1!G31</f>
        <v/>
      </c>
    </row>
    <row r="32" spans="1:11">
      <c r="A32" t="str">
        <f>Helper1!A32</f>
        <v/>
      </c>
      <c r="B32" t="str">
        <f>Helper1!B32</f>
        <v/>
      </c>
      <c r="C32" t="str">
        <f>Helper1!C32</f>
        <v/>
      </c>
      <c r="D32" t="str">
        <f>Helper1!D32</f>
        <v/>
      </c>
      <c r="E32" t="str">
        <f>Helper1!E32</f>
        <v/>
      </c>
      <c r="H32" t="str">
        <f>Helper1!F32</f>
        <v/>
      </c>
      <c r="K32" t="str">
        <f>Helper1!G32</f>
        <v/>
      </c>
    </row>
    <row r="33" spans="1:11">
      <c r="A33" t="str">
        <f>Helper1!A33</f>
        <v/>
      </c>
      <c r="B33" t="str">
        <f>Helper1!B33</f>
        <v/>
      </c>
      <c r="C33" t="str">
        <f>Helper1!C33</f>
        <v/>
      </c>
      <c r="D33" t="str">
        <f>Helper1!D33</f>
        <v/>
      </c>
      <c r="E33" t="str">
        <f>Helper1!E33</f>
        <v/>
      </c>
      <c r="H33" t="str">
        <f>Helper1!F33</f>
        <v/>
      </c>
      <c r="K33" t="str">
        <f>Helper1!G33</f>
        <v/>
      </c>
    </row>
    <row r="34" spans="1:11">
      <c r="A34" t="str">
        <f>Helper1!A34</f>
        <v/>
      </c>
      <c r="B34" t="str">
        <f>Helper1!B34</f>
        <v/>
      </c>
      <c r="C34" t="str">
        <f>Helper1!C34</f>
        <v/>
      </c>
      <c r="D34" t="str">
        <f>Helper1!D34</f>
        <v/>
      </c>
      <c r="E34" t="str">
        <f>Helper1!E34</f>
        <v/>
      </c>
      <c r="H34" t="str">
        <f>Helper1!F34</f>
        <v/>
      </c>
      <c r="K34" t="str">
        <f>Helper1!G34</f>
        <v/>
      </c>
    </row>
    <row r="35" spans="1:11">
      <c r="A35" t="str">
        <f>Helper1!A35</f>
        <v/>
      </c>
      <c r="B35" t="str">
        <f>Helper1!B35</f>
        <v/>
      </c>
      <c r="C35" t="str">
        <f>Helper1!C35</f>
        <v/>
      </c>
      <c r="D35" t="str">
        <f>Helper1!D35</f>
        <v/>
      </c>
      <c r="E35" t="str">
        <f>Helper1!E35</f>
        <v/>
      </c>
      <c r="H35" t="str">
        <f>Helper1!F35</f>
        <v/>
      </c>
      <c r="K35" t="str">
        <f>Helper1!G35</f>
        <v/>
      </c>
    </row>
    <row r="36" spans="1:11">
      <c r="A36" t="str">
        <f>Helper1!A36</f>
        <v/>
      </c>
      <c r="B36" t="str">
        <f>Helper1!B36</f>
        <v/>
      </c>
      <c r="C36" t="str">
        <f>Helper1!C36</f>
        <v/>
      </c>
      <c r="D36" t="str">
        <f>Helper1!D36</f>
        <v/>
      </c>
      <c r="E36" t="str">
        <f>Helper1!E36</f>
        <v/>
      </c>
      <c r="H36" t="str">
        <f>Helper1!F36</f>
        <v/>
      </c>
      <c r="K36" t="str">
        <f>Helper1!G36</f>
        <v/>
      </c>
    </row>
    <row r="37" spans="1:11">
      <c r="A37" t="str">
        <f>Helper1!A37</f>
        <v/>
      </c>
      <c r="B37" t="str">
        <f>Helper1!B37</f>
        <v/>
      </c>
      <c r="C37" t="str">
        <f>Helper1!C37</f>
        <v/>
      </c>
      <c r="D37" t="str">
        <f>Helper1!D37</f>
        <v/>
      </c>
      <c r="E37" t="str">
        <f>Helper1!E37</f>
        <v/>
      </c>
      <c r="H37" t="str">
        <f>Helper1!F37</f>
        <v/>
      </c>
      <c r="K37" t="str">
        <f>Helper1!G37</f>
        <v/>
      </c>
    </row>
    <row r="38" spans="1:11">
      <c r="A38" t="str">
        <f>Helper1!A38</f>
        <v/>
      </c>
      <c r="B38" t="str">
        <f>Helper1!B38</f>
        <v/>
      </c>
      <c r="C38" t="str">
        <f>Helper1!C38</f>
        <v/>
      </c>
      <c r="D38" t="str">
        <f>Helper1!D38</f>
        <v/>
      </c>
      <c r="E38" t="str">
        <f>Helper1!E38</f>
        <v/>
      </c>
      <c r="H38" t="str">
        <f>Helper1!F38</f>
        <v/>
      </c>
      <c r="K38" t="str">
        <f>Helper1!G38</f>
        <v/>
      </c>
    </row>
    <row r="39" spans="1:11">
      <c r="A39" t="str">
        <f>Helper1!A39</f>
        <v/>
      </c>
      <c r="B39" t="str">
        <f>Helper1!B39</f>
        <v/>
      </c>
      <c r="C39" t="str">
        <f>Helper1!C39</f>
        <v/>
      </c>
      <c r="D39" t="str">
        <f>Helper1!D39</f>
        <v/>
      </c>
      <c r="E39" t="str">
        <f>Helper1!E39</f>
        <v/>
      </c>
      <c r="H39" t="str">
        <f>Helper1!F39</f>
        <v/>
      </c>
      <c r="K39" t="str">
        <f>Helper1!G39</f>
        <v/>
      </c>
    </row>
    <row r="40" spans="1:11">
      <c r="A40" t="str">
        <f>Helper1!A40</f>
        <v/>
      </c>
      <c r="B40" t="str">
        <f>Helper1!B40</f>
        <v/>
      </c>
      <c r="C40" t="str">
        <f>Helper1!C40</f>
        <v/>
      </c>
      <c r="D40" t="str">
        <f>Helper1!D40</f>
        <v/>
      </c>
      <c r="E40" t="str">
        <f>Helper1!E40</f>
        <v/>
      </c>
      <c r="H40" t="str">
        <f>Helper1!F40</f>
        <v/>
      </c>
      <c r="K40" t="str">
        <f>Helper1!G40</f>
        <v/>
      </c>
    </row>
    <row r="41" spans="1:11">
      <c r="A41" t="str">
        <f>Helper1!A41</f>
        <v/>
      </c>
      <c r="B41" t="str">
        <f>Helper1!B41</f>
        <v/>
      </c>
      <c r="C41" t="str">
        <f>Helper1!C41</f>
        <v/>
      </c>
      <c r="D41" t="str">
        <f>Helper1!D41</f>
        <v/>
      </c>
      <c r="E41" t="str">
        <f>Helper1!E41</f>
        <v/>
      </c>
      <c r="H41" t="str">
        <f>Helper1!F41</f>
        <v/>
      </c>
      <c r="K41" t="str">
        <f>Helper1!G41</f>
        <v/>
      </c>
    </row>
    <row r="42" spans="1:11">
      <c r="A42" t="str">
        <f>Helper1!A42</f>
        <v/>
      </c>
      <c r="B42" t="str">
        <f>Helper1!B42</f>
        <v/>
      </c>
      <c r="C42" t="str">
        <f>Helper1!C42</f>
        <v/>
      </c>
      <c r="D42" t="str">
        <f>Helper1!D42</f>
        <v/>
      </c>
      <c r="E42" t="str">
        <f>Helper1!E42</f>
        <v/>
      </c>
      <c r="H42" t="str">
        <f>Helper1!F42</f>
        <v/>
      </c>
      <c r="K42" t="str">
        <f>Helper1!G42</f>
        <v/>
      </c>
    </row>
    <row r="43" spans="1:11">
      <c r="A43" t="str">
        <f>Helper1!A43</f>
        <v/>
      </c>
      <c r="B43" t="str">
        <f>Helper1!B43</f>
        <v/>
      </c>
      <c r="C43" t="str">
        <f>Helper1!C43</f>
        <v/>
      </c>
      <c r="D43" t="str">
        <f>Helper1!D43</f>
        <v/>
      </c>
      <c r="E43" t="str">
        <f>Helper1!E43</f>
        <v/>
      </c>
      <c r="H43" t="str">
        <f>Helper1!F43</f>
        <v/>
      </c>
      <c r="K43" t="str">
        <f>Helper1!G43</f>
        <v/>
      </c>
    </row>
    <row r="44" spans="1:11">
      <c r="A44" t="str">
        <f>Helper1!A44</f>
        <v/>
      </c>
      <c r="B44" t="str">
        <f>Helper1!B44</f>
        <v/>
      </c>
      <c r="C44" t="str">
        <f>Helper1!C44</f>
        <v/>
      </c>
      <c r="D44" t="str">
        <f>Helper1!D44</f>
        <v/>
      </c>
      <c r="E44" t="str">
        <f>Helper1!E44</f>
        <v/>
      </c>
      <c r="H44" t="str">
        <f>Helper1!F44</f>
        <v/>
      </c>
      <c r="K44" t="str">
        <f>Helper1!G44</f>
        <v/>
      </c>
    </row>
    <row r="45" spans="1:11">
      <c r="A45" t="str">
        <f>Helper1!A45</f>
        <v/>
      </c>
      <c r="B45" t="str">
        <f>Helper1!B45</f>
        <v/>
      </c>
      <c r="C45" t="str">
        <f>Helper1!C45</f>
        <v/>
      </c>
      <c r="D45" t="str">
        <f>Helper1!D45</f>
        <v/>
      </c>
      <c r="E45" t="str">
        <f>Helper1!E45</f>
        <v/>
      </c>
      <c r="H45" t="str">
        <f>Helper1!F45</f>
        <v/>
      </c>
      <c r="K45" t="str">
        <f>Helper1!G45</f>
        <v/>
      </c>
    </row>
    <row r="46" spans="1:11">
      <c r="A46" t="str">
        <f>Helper1!A46</f>
        <v/>
      </c>
      <c r="B46" t="str">
        <f>Helper1!B46</f>
        <v/>
      </c>
      <c r="C46" t="str">
        <f>Helper1!C46</f>
        <v/>
      </c>
      <c r="D46" t="str">
        <f>Helper1!D46</f>
        <v/>
      </c>
      <c r="E46" t="str">
        <f>Helper1!E46</f>
        <v/>
      </c>
      <c r="H46" t="str">
        <f>Helper1!F46</f>
        <v/>
      </c>
      <c r="K46" t="str">
        <f>Helper1!G46</f>
        <v/>
      </c>
    </row>
    <row r="47" spans="1:11">
      <c r="A47" t="str">
        <f>Helper1!A47</f>
        <v/>
      </c>
      <c r="B47" t="str">
        <f>Helper1!B47</f>
        <v/>
      </c>
      <c r="C47" t="str">
        <f>Helper1!C47</f>
        <v/>
      </c>
      <c r="D47" t="str">
        <f>Helper1!D47</f>
        <v/>
      </c>
      <c r="E47" t="str">
        <f>Helper1!E47</f>
        <v/>
      </c>
      <c r="H47" t="str">
        <f>Helper1!F47</f>
        <v/>
      </c>
      <c r="K47" t="str">
        <f>Helper1!G47</f>
        <v/>
      </c>
    </row>
    <row r="48" spans="1:11">
      <c r="A48" t="str">
        <f>Helper1!A48</f>
        <v/>
      </c>
      <c r="B48" t="str">
        <f>Helper1!B48</f>
        <v/>
      </c>
      <c r="C48" t="str">
        <f>Helper1!C48</f>
        <v/>
      </c>
      <c r="D48" t="str">
        <f>Helper1!D48</f>
        <v/>
      </c>
      <c r="E48" t="str">
        <f>Helper1!E48</f>
        <v/>
      </c>
      <c r="H48" t="str">
        <f>Helper1!F48</f>
        <v/>
      </c>
      <c r="K48" t="str">
        <f>Helper1!G48</f>
        <v/>
      </c>
    </row>
    <row r="49" spans="1:11">
      <c r="A49" t="str">
        <f>Helper1!A49</f>
        <v/>
      </c>
      <c r="B49" t="str">
        <f>Helper1!B49</f>
        <v/>
      </c>
      <c r="C49" t="str">
        <f>Helper1!C49</f>
        <v/>
      </c>
      <c r="D49" t="str">
        <f>Helper1!D49</f>
        <v/>
      </c>
      <c r="E49" t="str">
        <f>Helper1!E49</f>
        <v/>
      </c>
      <c r="H49" t="str">
        <f>Helper1!F49</f>
        <v/>
      </c>
      <c r="K49" t="str">
        <f>Helper1!G49</f>
        <v/>
      </c>
    </row>
    <row r="50" spans="1:11">
      <c r="A50" t="str">
        <f>Helper1!A50</f>
        <v/>
      </c>
      <c r="B50" t="str">
        <f>Helper1!B50</f>
        <v/>
      </c>
      <c r="C50" t="str">
        <f>Helper1!C50</f>
        <v/>
      </c>
      <c r="D50" t="str">
        <f>Helper1!D50</f>
        <v/>
      </c>
      <c r="E50" t="str">
        <f>Helper1!E50</f>
        <v/>
      </c>
      <c r="H50" t="str">
        <f>Helper1!F50</f>
        <v/>
      </c>
      <c r="K50" t="str">
        <f>Helper1!G50</f>
        <v/>
      </c>
    </row>
    <row r="51" spans="1:11">
      <c r="A51" t="str">
        <f>Helper1!A51</f>
        <v/>
      </c>
      <c r="B51" t="str">
        <f>Helper1!B51</f>
        <v/>
      </c>
      <c r="C51" t="str">
        <f>Helper1!C51</f>
        <v/>
      </c>
      <c r="D51" t="str">
        <f>Helper1!D51</f>
        <v/>
      </c>
      <c r="E51" t="str">
        <f>Helper1!E51</f>
        <v/>
      </c>
      <c r="H51" t="str">
        <f>Helper1!F51</f>
        <v/>
      </c>
      <c r="K51" t="str">
        <f>Helper1!G51</f>
        <v/>
      </c>
    </row>
    <row r="52" spans="1:11">
      <c r="A52" t="str">
        <f>Helper1!A52</f>
        <v/>
      </c>
      <c r="B52" t="str">
        <f>Helper1!B52</f>
        <v/>
      </c>
      <c r="C52" t="str">
        <f>Helper1!C52</f>
        <v/>
      </c>
      <c r="D52" t="str">
        <f>Helper1!D52</f>
        <v/>
      </c>
      <c r="E52" t="str">
        <f>Helper1!E52</f>
        <v/>
      </c>
      <c r="H52" t="str">
        <f>Helper1!F52</f>
        <v/>
      </c>
      <c r="K52" t="str">
        <f>Helper1!G52</f>
        <v/>
      </c>
    </row>
    <row r="53" spans="1:11">
      <c r="A53" t="str">
        <f>Helper1!A53</f>
        <v/>
      </c>
      <c r="B53" t="str">
        <f>Helper1!B53</f>
        <v/>
      </c>
      <c r="C53" t="str">
        <f>Helper1!C53</f>
        <v/>
      </c>
      <c r="D53" t="str">
        <f>Helper1!D53</f>
        <v/>
      </c>
      <c r="E53" t="str">
        <f>Helper1!E53</f>
        <v/>
      </c>
      <c r="H53" t="str">
        <f>Helper1!F53</f>
        <v/>
      </c>
      <c r="K53" t="str">
        <f>Helper1!G53</f>
        <v/>
      </c>
    </row>
    <row r="54" spans="1:11">
      <c r="A54" t="str">
        <f>Helper1!A54</f>
        <v/>
      </c>
      <c r="B54" t="str">
        <f>Helper1!B54</f>
        <v/>
      </c>
      <c r="C54" t="str">
        <f>Helper1!C54</f>
        <v/>
      </c>
      <c r="D54" t="str">
        <f>Helper1!D54</f>
        <v/>
      </c>
      <c r="E54" t="str">
        <f>Helper1!E54</f>
        <v/>
      </c>
      <c r="H54" t="str">
        <f>Helper1!F54</f>
        <v/>
      </c>
      <c r="K54" t="str">
        <f>Helper1!G54</f>
        <v/>
      </c>
    </row>
    <row r="55" spans="1:11">
      <c r="A55" t="str">
        <f>Helper1!A55</f>
        <v/>
      </c>
      <c r="B55" t="str">
        <f>Helper1!B55</f>
        <v/>
      </c>
      <c r="C55" t="str">
        <f>Helper1!C55</f>
        <v/>
      </c>
      <c r="D55" t="str">
        <f>Helper1!D55</f>
        <v/>
      </c>
      <c r="E55" t="str">
        <f>Helper1!E55</f>
        <v/>
      </c>
      <c r="H55" t="str">
        <f>Helper1!F55</f>
        <v/>
      </c>
      <c r="K55" t="str">
        <f>Helper1!G55</f>
        <v/>
      </c>
    </row>
    <row r="56" spans="1:11">
      <c r="A56" t="str">
        <f>Helper1!A56</f>
        <v/>
      </c>
      <c r="B56" t="str">
        <f>Helper1!B56</f>
        <v/>
      </c>
      <c r="C56" t="str">
        <f>Helper1!C56</f>
        <v/>
      </c>
      <c r="D56" t="str">
        <f>Helper1!D56</f>
        <v/>
      </c>
      <c r="E56" t="str">
        <f>Helper1!E56</f>
        <v/>
      </c>
      <c r="H56" t="str">
        <f>Helper1!F56</f>
        <v/>
      </c>
      <c r="K56" t="str">
        <f>Helper1!G56</f>
        <v/>
      </c>
    </row>
    <row r="57" spans="1:11">
      <c r="A57" t="str">
        <f>Helper1!A57</f>
        <v/>
      </c>
      <c r="B57" t="str">
        <f>Helper1!B57</f>
        <v/>
      </c>
      <c r="C57" t="str">
        <f>Helper1!C57</f>
        <v/>
      </c>
      <c r="D57" t="str">
        <f>Helper1!D57</f>
        <v/>
      </c>
      <c r="E57" t="str">
        <f>Helper1!E57</f>
        <v/>
      </c>
      <c r="H57" t="str">
        <f>Helper1!F57</f>
        <v/>
      </c>
      <c r="K57" t="str">
        <f>Helper1!G57</f>
        <v/>
      </c>
    </row>
    <row r="58" spans="1:11">
      <c r="A58" t="str">
        <f>Helper1!A58</f>
        <v/>
      </c>
      <c r="B58" t="str">
        <f>Helper1!B58</f>
        <v/>
      </c>
      <c r="C58" t="str">
        <f>Helper1!C58</f>
        <v/>
      </c>
      <c r="D58" t="str">
        <f>Helper1!D58</f>
        <v/>
      </c>
      <c r="E58" t="str">
        <f>Helper1!E58</f>
        <v/>
      </c>
      <c r="H58" t="str">
        <f>Helper1!F58</f>
        <v/>
      </c>
      <c r="K58" t="str">
        <f>Helper1!G58</f>
        <v/>
      </c>
    </row>
    <row r="59" spans="1:11">
      <c r="A59" t="str">
        <f>Helper1!A59</f>
        <v/>
      </c>
      <c r="B59" t="str">
        <f>Helper1!B59</f>
        <v/>
      </c>
      <c r="C59" t="str">
        <f>Helper1!C59</f>
        <v/>
      </c>
      <c r="D59" t="str">
        <f>Helper1!D59</f>
        <v/>
      </c>
      <c r="E59" t="str">
        <f>Helper1!E59</f>
        <v/>
      </c>
      <c r="H59" t="str">
        <f>Helper1!F59</f>
        <v/>
      </c>
      <c r="K59" t="str">
        <f>Helper1!G59</f>
        <v/>
      </c>
    </row>
    <row r="60" spans="1:11">
      <c r="A60" t="str">
        <f>Helper1!A60</f>
        <v/>
      </c>
      <c r="B60" t="str">
        <f>Helper1!B60</f>
        <v/>
      </c>
      <c r="C60" t="str">
        <f>Helper1!C60</f>
        <v/>
      </c>
      <c r="D60" t="str">
        <f>Helper1!D60</f>
        <v/>
      </c>
      <c r="E60" t="str">
        <f>Helper1!E60</f>
        <v/>
      </c>
      <c r="H60" t="str">
        <f>Helper1!F60</f>
        <v/>
      </c>
      <c r="K60" t="str">
        <f>Helper1!G60</f>
        <v/>
      </c>
    </row>
    <row r="61" spans="1:11">
      <c r="A61" t="str">
        <f>Helper1!A61</f>
        <v/>
      </c>
      <c r="B61" t="str">
        <f>Helper1!B61</f>
        <v/>
      </c>
      <c r="C61" t="str">
        <f>Helper1!C61</f>
        <v/>
      </c>
      <c r="D61" t="str">
        <f>Helper1!D61</f>
        <v/>
      </c>
      <c r="E61" t="str">
        <f>Helper1!E61</f>
        <v/>
      </c>
      <c r="H61" t="str">
        <f>Helper1!F61</f>
        <v/>
      </c>
      <c r="K61" t="str">
        <f>Helper1!G61</f>
        <v/>
      </c>
    </row>
    <row r="62" spans="1:11">
      <c r="A62" t="str">
        <f>Helper1!A62</f>
        <v/>
      </c>
      <c r="B62" t="str">
        <f>Helper1!B62</f>
        <v/>
      </c>
      <c r="C62" t="str">
        <f>Helper1!C62</f>
        <v/>
      </c>
      <c r="D62" t="str">
        <f>Helper1!D62</f>
        <v/>
      </c>
      <c r="E62" t="str">
        <f>Helper1!E62</f>
        <v/>
      </c>
      <c r="H62" t="str">
        <f>Helper1!F62</f>
        <v/>
      </c>
      <c r="K62" t="str">
        <f>Helper1!G62</f>
        <v/>
      </c>
    </row>
    <row r="63" spans="1:11">
      <c r="A63" t="str">
        <f>Helper1!A63</f>
        <v/>
      </c>
      <c r="B63" t="str">
        <f>Helper1!B63</f>
        <v/>
      </c>
      <c r="C63" t="str">
        <f>Helper1!C63</f>
        <v/>
      </c>
      <c r="D63" t="str">
        <f>Helper1!D63</f>
        <v/>
      </c>
      <c r="E63" t="str">
        <f>Helper1!E63</f>
        <v/>
      </c>
      <c r="H63" t="str">
        <f>Helper1!F63</f>
        <v/>
      </c>
      <c r="K63" t="str">
        <f>Helper1!G63</f>
        <v/>
      </c>
    </row>
    <row r="64" spans="1:11">
      <c r="A64" t="str">
        <f>Helper1!A64</f>
        <v/>
      </c>
      <c r="B64" t="str">
        <f>Helper1!B64</f>
        <v/>
      </c>
      <c r="C64" t="str">
        <f>Helper1!C64</f>
        <v/>
      </c>
      <c r="D64" t="str">
        <f>Helper1!D64</f>
        <v/>
      </c>
      <c r="E64" t="str">
        <f>Helper1!E64</f>
        <v/>
      </c>
      <c r="H64" t="str">
        <f>Helper1!F64</f>
        <v/>
      </c>
      <c r="K64" t="str">
        <f>Helper1!G64</f>
        <v/>
      </c>
    </row>
    <row r="65" spans="1:11">
      <c r="A65" t="str">
        <f>Helper1!A65</f>
        <v/>
      </c>
      <c r="B65" t="str">
        <f>Helper1!B65</f>
        <v/>
      </c>
      <c r="C65" t="str">
        <f>Helper1!C65</f>
        <v/>
      </c>
      <c r="D65" t="str">
        <f>Helper1!D65</f>
        <v/>
      </c>
      <c r="E65" t="str">
        <f>Helper1!E65</f>
        <v/>
      </c>
      <c r="H65" t="str">
        <f>Helper1!F65</f>
        <v/>
      </c>
      <c r="K65" t="str">
        <f>Helper1!G65</f>
        <v/>
      </c>
    </row>
    <row r="66" spans="1:11">
      <c r="A66" t="str">
        <f>Helper1!A66</f>
        <v/>
      </c>
      <c r="B66" t="str">
        <f>Helper1!B66</f>
        <v/>
      </c>
      <c r="C66" t="str">
        <f>Helper1!C66</f>
        <v/>
      </c>
      <c r="D66" t="str">
        <f>Helper1!D66</f>
        <v/>
      </c>
      <c r="E66" t="str">
        <f>Helper1!E66</f>
        <v/>
      </c>
      <c r="H66" t="str">
        <f>Helper1!F66</f>
        <v/>
      </c>
      <c r="K66" t="str">
        <f>Helper1!G66</f>
        <v/>
      </c>
    </row>
    <row r="67" spans="1:11">
      <c r="A67" t="str">
        <f>Helper1!A67</f>
        <v/>
      </c>
      <c r="B67" t="str">
        <f>Helper1!B67</f>
        <v/>
      </c>
      <c r="C67" t="str">
        <f>Helper1!C67</f>
        <v/>
      </c>
      <c r="D67" t="str">
        <f>Helper1!D67</f>
        <v/>
      </c>
      <c r="E67" t="str">
        <f>Helper1!E67</f>
        <v/>
      </c>
      <c r="H67" t="str">
        <f>Helper1!F67</f>
        <v/>
      </c>
      <c r="K67" t="str">
        <f>Helper1!G67</f>
        <v/>
      </c>
    </row>
    <row r="68" spans="1:11">
      <c r="A68" t="str">
        <f>Helper1!A68</f>
        <v/>
      </c>
      <c r="B68" t="str">
        <f>Helper1!B68</f>
        <v/>
      </c>
      <c r="C68" t="str">
        <f>Helper1!C68</f>
        <v/>
      </c>
      <c r="D68" t="str">
        <f>Helper1!D68</f>
        <v/>
      </c>
      <c r="E68" t="str">
        <f>Helper1!E68</f>
        <v/>
      </c>
      <c r="H68" t="str">
        <f>Helper1!F68</f>
        <v/>
      </c>
      <c r="K68" t="str">
        <f>Helper1!G68</f>
        <v/>
      </c>
    </row>
    <row r="69" spans="1:11">
      <c r="A69" t="str">
        <f>Helper1!A69</f>
        <v/>
      </c>
      <c r="B69" t="str">
        <f>Helper1!B69</f>
        <v/>
      </c>
      <c r="C69" t="str">
        <f>Helper1!C69</f>
        <v/>
      </c>
      <c r="D69" t="str">
        <f>Helper1!D69</f>
        <v/>
      </c>
      <c r="E69" t="str">
        <f>Helper1!E69</f>
        <v/>
      </c>
      <c r="H69" t="str">
        <f>Helper1!F69</f>
        <v/>
      </c>
      <c r="K69" t="str">
        <f>Helper1!G69</f>
        <v/>
      </c>
    </row>
    <row r="70" spans="1:11">
      <c r="A70" t="str">
        <f>Helper1!A70</f>
        <v/>
      </c>
      <c r="B70" t="str">
        <f>Helper1!B70</f>
        <v/>
      </c>
      <c r="C70" t="str">
        <f>Helper1!C70</f>
        <v/>
      </c>
      <c r="D70" t="str">
        <f>Helper1!D70</f>
        <v/>
      </c>
      <c r="E70" t="str">
        <f>Helper1!E70</f>
        <v/>
      </c>
      <c r="H70" t="str">
        <f>Helper1!F70</f>
        <v/>
      </c>
      <c r="K70" t="str">
        <f>Helper1!G70</f>
        <v/>
      </c>
    </row>
    <row r="71" spans="1:11">
      <c r="A71" t="str">
        <f>Helper1!A71</f>
        <v/>
      </c>
      <c r="B71" t="str">
        <f>Helper1!B71</f>
        <v/>
      </c>
      <c r="C71" t="str">
        <f>Helper1!C71</f>
        <v/>
      </c>
      <c r="D71" t="str">
        <f>Helper1!D71</f>
        <v/>
      </c>
      <c r="E71" t="str">
        <f>Helper1!E71</f>
        <v/>
      </c>
      <c r="H71" t="str">
        <f>Helper1!F71</f>
        <v/>
      </c>
      <c r="K71" t="str">
        <f>Helper1!G71</f>
        <v/>
      </c>
    </row>
    <row r="72" spans="1:11">
      <c r="A72" t="str">
        <f>Helper1!A72</f>
        <v/>
      </c>
      <c r="B72" t="str">
        <f>Helper1!B72</f>
        <v/>
      </c>
      <c r="C72" t="str">
        <f>Helper1!C72</f>
        <v/>
      </c>
      <c r="D72" t="str">
        <f>Helper1!D72</f>
        <v/>
      </c>
      <c r="E72" t="str">
        <f>Helper1!E72</f>
        <v/>
      </c>
      <c r="H72" t="str">
        <f>Helper1!F72</f>
        <v/>
      </c>
      <c r="K72" t="str">
        <f>Helper1!G72</f>
        <v/>
      </c>
    </row>
    <row r="73" spans="1:11">
      <c r="A73" t="str">
        <f>Helper1!A73</f>
        <v/>
      </c>
      <c r="B73" t="str">
        <f>Helper1!B73</f>
        <v/>
      </c>
      <c r="C73" t="str">
        <f>Helper1!C73</f>
        <v/>
      </c>
      <c r="D73" t="str">
        <f>Helper1!D73</f>
        <v/>
      </c>
      <c r="E73" t="str">
        <f>Helper1!E73</f>
        <v/>
      </c>
      <c r="H73" t="str">
        <f>Helper1!F73</f>
        <v/>
      </c>
      <c r="K73" t="str">
        <f>Helper1!G73</f>
        <v/>
      </c>
    </row>
    <row r="74" spans="1:11">
      <c r="A74" t="str">
        <f>Helper1!A74</f>
        <v/>
      </c>
      <c r="B74" t="str">
        <f>Helper1!B74</f>
        <v/>
      </c>
      <c r="C74" t="str">
        <f>Helper1!C74</f>
        <v/>
      </c>
      <c r="D74" t="str">
        <f>Helper1!D74</f>
        <v/>
      </c>
      <c r="E74" t="str">
        <f>Helper1!E74</f>
        <v/>
      </c>
      <c r="H74" t="str">
        <f>Helper1!F74</f>
        <v/>
      </c>
      <c r="K74" t="str">
        <f>Helper1!G74</f>
        <v/>
      </c>
    </row>
    <row r="75" spans="1:11">
      <c r="A75" t="str">
        <f>Helper1!A75</f>
        <v/>
      </c>
      <c r="B75" t="str">
        <f>Helper1!B75</f>
        <v/>
      </c>
      <c r="C75" t="str">
        <f>Helper1!C75</f>
        <v/>
      </c>
      <c r="D75" t="str">
        <f>Helper1!D75</f>
        <v/>
      </c>
      <c r="E75" t="str">
        <f>Helper1!E75</f>
        <v/>
      </c>
      <c r="H75" t="str">
        <f>Helper1!F75</f>
        <v/>
      </c>
      <c r="K75" t="str">
        <f>Helper1!G75</f>
        <v/>
      </c>
    </row>
    <row r="76" spans="1:11">
      <c r="A76" t="str">
        <f>Helper1!A76</f>
        <v/>
      </c>
      <c r="B76" t="str">
        <f>Helper1!B76</f>
        <v/>
      </c>
      <c r="C76" t="str">
        <f>Helper1!C76</f>
        <v/>
      </c>
      <c r="D76" t="str">
        <f>Helper1!D76</f>
        <v/>
      </c>
      <c r="E76" t="str">
        <f>Helper1!E76</f>
        <v/>
      </c>
      <c r="H76" t="str">
        <f>Helper1!F76</f>
        <v/>
      </c>
      <c r="K76" t="str">
        <f>Helper1!G76</f>
        <v/>
      </c>
    </row>
    <row r="77" spans="1:11">
      <c r="A77" t="str">
        <f>Helper1!A77</f>
        <v/>
      </c>
      <c r="B77" t="str">
        <f>Helper1!B77</f>
        <v/>
      </c>
      <c r="C77" t="str">
        <f>Helper1!C77</f>
        <v/>
      </c>
      <c r="D77" t="str">
        <f>Helper1!D77</f>
        <v/>
      </c>
      <c r="E77" t="str">
        <f>Helper1!E77</f>
        <v/>
      </c>
      <c r="H77" t="str">
        <f>Helper1!F77</f>
        <v/>
      </c>
      <c r="K77" t="str">
        <f>Helper1!G77</f>
        <v/>
      </c>
    </row>
    <row r="78" spans="1:11">
      <c r="A78" t="str">
        <f>Helper1!A78</f>
        <v/>
      </c>
      <c r="B78" t="str">
        <f>Helper1!B78</f>
        <v/>
      </c>
      <c r="C78" t="str">
        <f>Helper1!C78</f>
        <v/>
      </c>
      <c r="D78" t="str">
        <f>Helper1!D78</f>
        <v/>
      </c>
      <c r="E78" t="str">
        <f>Helper1!E78</f>
        <v/>
      </c>
      <c r="H78" t="str">
        <f>Helper1!F78</f>
        <v/>
      </c>
      <c r="K78" t="str">
        <f>Helper1!G78</f>
        <v/>
      </c>
    </row>
    <row r="79" spans="1:11">
      <c r="A79" t="str">
        <f>Helper1!A79</f>
        <v/>
      </c>
      <c r="B79" t="str">
        <f>Helper1!B79</f>
        <v/>
      </c>
      <c r="C79" t="str">
        <f>Helper1!C79</f>
        <v/>
      </c>
      <c r="D79" t="str">
        <f>Helper1!D79</f>
        <v/>
      </c>
      <c r="E79" t="str">
        <f>Helper1!E79</f>
        <v/>
      </c>
      <c r="H79" t="str">
        <f>Helper1!F79</f>
        <v/>
      </c>
      <c r="K79" t="str">
        <f>Helper1!G79</f>
        <v/>
      </c>
    </row>
    <row r="80" spans="1:11">
      <c r="A80" t="str">
        <f>Helper1!A80</f>
        <v/>
      </c>
      <c r="B80" t="str">
        <f>Helper1!B80</f>
        <v/>
      </c>
      <c r="C80" t="str">
        <f>Helper1!C80</f>
        <v/>
      </c>
      <c r="D80" t="str">
        <f>Helper1!D80</f>
        <v/>
      </c>
      <c r="E80" t="str">
        <f>Helper1!E80</f>
        <v/>
      </c>
      <c r="H80" t="str">
        <f>Helper1!F80</f>
        <v/>
      </c>
      <c r="K80" t="str">
        <f>Helper1!G80</f>
        <v/>
      </c>
    </row>
    <row r="81" spans="1:11">
      <c r="A81" t="str">
        <f>Helper1!A81</f>
        <v/>
      </c>
      <c r="B81" t="str">
        <f>Helper1!B81</f>
        <v/>
      </c>
      <c r="C81" t="str">
        <f>Helper1!C81</f>
        <v/>
      </c>
      <c r="D81" t="str">
        <f>Helper1!D81</f>
        <v/>
      </c>
      <c r="E81" t="str">
        <f>Helper1!E81</f>
        <v/>
      </c>
      <c r="H81" t="str">
        <f>Helper1!F81</f>
        <v/>
      </c>
      <c r="K81" t="str">
        <f>Helper1!G81</f>
        <v/>
      </c>
    </row>
    <row r="82" spans="1:11">
      <c r="A82" t="str">
        <f>Helper1!A82</f>
        <v/>
      </c>
      <c r="B82" t="str">
        <f>Helper1!B82</f>
        <v/>
      </c>
      <c r="C82" t="str">
        <f>Helper1!C82</f>
        <v/>
      </c>
      <c r="D82" t="str">
        <f>Helper1!D82</f>
        <v/>
      </c>
      <c r="E82" t="str">
        <f>Helper1!E82</f>
        <v/>
      </c>
      <c r="H82" t="str">
        <f>Helper1!F82</f>
        <v/>
      </c>
      <c r="K82" t="str">
        <f>Helper1!G82</f>
        <v/>
      </c>
    </row>
    <row r="83" spans="1:11">
      <c r="A83" t="str">
        <f>Helper1!A83</f>
        <v/>
      </c>
      <c r="B83" t="str">
        <f>Helper1!B83</f>
        <v/>
      </c>
      <c r="C83" t="str">
        <f>Helper1!C83</f>
        <v/>
      </c>
      <c r="D83" t="str">
        <f>Helper1!D83</f>
        <v/>
      </c>
      <c r="E83" t="str">
        <f>Helper1!E83</f>
        <v/>
      </c>
      <c r="H83" t="str">
        <f>Helper1!F83</f>
        <v/>
      </c>
      <c r="K83" t="str">
        <f>Helper1!G83</f>
        <v/>
      </c>
    </row>
    <row r="84" spans="1:11">
      <c r="A84" t="str">
        <f>Helper1!A84</f>
        <v/>
      </c>
      <c r="B84" t="str">
        <f>Helper1!B84</f>
        <v/>
      </c>
      <c r="C84" t="str">
        <f>Helper1!C84</f>
        <v/>
      </c>
      <c r="D84" t="str">
        <f>Helper1!D84</f>
        <v/>
      </c>
      <c r="E84" t="str">
        <f>Helper1!E84</f>
        <v/>
      </c>
      <c r="H84" t="str">
        <f>Helper1!F84</f>
        <v/>
      </c>
      <c r="K84" t="str">
        <f>Helper1!G84</f>
        <v/>
      </c>
    </row>
    <row r="85" spans="1:11">
      <c r="A85" t="str">
        <f>Helper1!A85</f>
        <v/>
      </c>
      <c r="B85" t="str">
        <f>Helper1!B85</f>
        <v/>
      </c>
      <c r="C85" t="str">
        <f>Helper1!C85</f>
        <v/>
      </c>
      <c r="D85" t="str">
        <f>Helper1!D85</f>
        <v/>
      </c>
      <c r="E85" t="str">
        <f>Helper1!E85</f>
        <v/>
      </c>
      <c r="H85" t="str">
        <f>Helper1!F85</f>
        <v/>
      </c>
      <c r="K85" t="str">
        <f>Helper1!G85</f>
        <v/>
      </c>
    </row>
    <row r="86" spans="1:11">
      <c r="A86" t="str">
        <f>Helper1!A86</f>
        <v/>
      </c>
      <c r="B86" t="str">
        <f>Helper1!B86</f>
        <v/>
      </c>
      <c r="C86" t="str">
        <f>Helper1!C86</f>
        <v/>
      </c>
      <c r="D86" t="str">
        <f>Helper1!D86</f>
        <v/>
      </c>
      <c r="E86" t="str">
        <f>Helper1!E86</f>
        <v/>
      </c>
      <c r="H86" t="str">
        <f>Helper1!F86</f>
        <v/>
      </c>
      <c r="K86" t="str">
        <f>Helper1!G86</f>
        <v/>
      </c>
    </row>
    <row r="87" spans="1:11">
      <c r="A87" t="str">
        <f>Helper1!A87</f>
        <v/>
      </c>
      <c r="B87" t="str">
        <f>Helper1!B87</f>
        <v/>
      </c>
      <c r="C87" t="str">
        <f>Helper1!C87</f>
        <v/>
      </c>
      <c r="D87" t="str">
        <f>Helper1!D87</f>
        <v/>
      </c>
      <c r="E87" t="str">
        <f>Helper1!E87</f>
        <v/>
      </c>
      <c r="H87" t="str">
        <f>Helper1!F87</f>
        <v/>
      </c>
      <c r="K87" t="str">
        <f>Helper1!G87</f>
        <v/>
      </c>
    </row>
    <row r="88" spans="1:11">
      <c r="A88" t="str">
        <f>Helper1!A88</f>
        <v/>
      </c>
      <c r="B88" t="str">
        <f>Helper1!B88</f>
        <v/>
      </c>
      <c r="C88" t="str">
        <f>Helper1!C88</f>
        <v/>
      </c>
      <c r="D88" t="str">
        <f>Helper1!D88</f>
        <v/>
      </c>
      <c r="E88" t="str">
        <f>Helper1!E88</f>
        <v/>
      </c>
      <c r="H88" t="str">
        <f>Helper1!F88</f>
        <v/>
      </c>
      <c r="K88" t="str">
        <f>Helper1!G88</f>
        <v/>
      </c>
    </row>
    <row r="89" spans="1:11">
      <c r="A89" t="str">
        <f>Helper1!A89</f>
        <v/>
      </c>
      <c r="B89" t="str">
        <f>Helper1!B89</f>
        <v/>
      </c>
      <c r="C89" t="str">
        <f>Helper1!C89</f>
        <v/>
      </c>
      <c r="D89" t="str">
        <f>Helper1!D89</f>
        <v/>
      </c>
      <c r="E89" t="str">
        <f>Helper1!E89</f>
        <v/>
      </c>
      <c r="H89" t="str">
        <f>Helper1!F89</f>
        <v/>
      </c>
      <c r="K89" t="str">
        <f>Helper1!G89</f>
        <v/>
      </c>
    </row>
    <row r="90" spans="1:11">
      <c r="A90" t="str">
        <f>Helper1!A90</f>
        <v/>
      </c>
      <c r="B90" t="str">
        <f>Helper1!B90</f>
        <v/>
      </c>
      <c r="C90" t="str">
        <f>Helper1!C90</f>
        <v/>
      </c>
      <c r="D90" t="str">
        <f>Helper1!D90</f>
        <v/>
      </c>
      <c r="E90" t="str">
        <f>Helper1!E90</f>
        <v/>
      </c>
      <c r="H90" t="str">
        <f>Helper1!F90</f>
        <v/>
      </c>
      <c r="K90" t="str">
        <f>Helper1!G90</f>
        <v/>
      </c>
    </row>
    <row r="91" spans="1:11">
      <c r="A91" t="str">
        <f>Helper1!A91</f>
        <v/>
      </c>
      <c r="B91" t="str">
        <f>Helper1!B91</f>
        <v/>
      </c>
      <c r="C91" t="str">
        <f>Helper1!C91</f>
        <v/>
      </c>
      <c r="D91" t="str">
        <f>Helper1!D91</f>
        <v/>
      </c>
      <c r="E91" t="str">
        <f>Helper1!E91</f>
        <v/>
      </c>
      <c r="H91" t="str">
        <f>Helper1!F91</f>
        <v/>
      </c>
      <c r="K91" t="str">
        <f>Helper1!G91</f>
        <v/>
      </c>
    </row>
    <row r="92" spans="1:11">
      <c r="A92" t="str">
        <f>Helper1!A92</f>
        <v/>
      </c>
      <c r="B92" t="str">
        <f>Helper1!B92</f>
        <v/>
      </c>
      <c r="C92" t="str">
        <f>Helper1!C92</f>
        <v/>
      </c>
      <c r="D92" t="str">
        <f>Helper1!D92</f>
        <v/>
      </c>
      <c r="E92" t="str">
        <f>Helper1!E92</f>
        <v/>
      </c>
      <c r="H92" t="str">
        <f>Helper1!F92</f>
        <v/>
      </c>
      <c r="K92" t="str">
        <f>Helper1!G92</f>
        <v/>
      </c>
    </row>
    <row r="93" spans="1:11">
      <c r="A93" t="str">
        <f>Helper1!A93</f>
        <v/>
      </c>
      <c r="B93" t="str">
        <f>Helper1!B93</f>
        <v/>
      </c>
      <c r="C93" t="str">
        <f>Helper1!C93</f>
        <v/>
      </c>
      <c r="D93" t="str">
        <f>Helper1!D93</f>
        <v/>
      </c>
      <c r="E93" t="str">
        <f>Helper1!E93</f>
        <v/>
      </c>
      <c r="H93" t="str">
        <f>Helper1!F93</f>
        <v/>
      </c>
      <c r="K93" t="str">
        <f>Helper1!G93</f>
        <v/>
      </c>
    </row>
    <row r="94" spans="1:11">
      <c r="A94" t="str">
        <f>Helper1!A94</f>
        <v/>
      </c>
      <c r="B94" t="str">
        <f>Helper1!B94</f>
        <v/>
      </c>
      <c r="C94" t="str">
        <f>Helper1!C94</f>
        <v/>
      </c>
      <c r="D94" t="str">
        <f>Helper1!D94</f>
        <v/>
      </c>
      <c r="E94" t="str">
        <f>Helper1!E94</f>
        <v/>
      </c>
      <c r="H94" t="str">
        <f>Helper1!F94</f>
        <v/>
      </c>
      <c r="K94" t="str">
        <f>Helper1!G94</f>
        <v/>
      </c>
    </row>
    <row r="95" spans="1:11">
      <c r="A95" t="str">
        <f>Helper1!A95</f>
        <v/>
      </c>
      <c r="B95" t="str">
        <f>Helper1!B95</f>
        <v/>
      </c>
      <c r="C95" t="str">
        <f>Helper1!C95</f>
        <v/>
      </c>
      <c r="D95" t="str">
        <f>Helper1!D95</f>
        <v/>
      </c>
      <c r="E95" t="str">
        <f>Helper1!E95</f>
        <v/>
      </c>
      <c r="H95" t="str">
        <f>Helper1!F95</f>
        <v/>
      </c>
      <c r="K95" t="str">
        <f>Helper1!G95</f>
        <v/>
      </c>
    </row>
    <row r="96" spans="1:11">
      <c r="A96" t="str">
        <f>Helper1!A96</f>
        <v/>
      </c>
      <c r="B96" t="str">
        <f>Helper1!B96</f>
        <v/>
      </c>
      <c r="C96" t="str">
        <f>Helper1!C96</f>
        <v/>
      </c>
      <c r="D96" t="str">
        <f>Helper1!D96</f>
        <v/>
      </c>
      <c r="E96" t="str">
        <f>Helper1!E96</f>
        <v/>
      </c>
      <c r="H96" t="str">
        <f>Helper1!F96</f>
        <v/>
      </c>
      <c r="K96" t="str">
        <f>Helper1!G96</f>
        <v/>
      </c>
    </row>
    <row r="97" spans="1:11">
      <c r="A97" t="str">
        <f>Helper1!A97</f>
        <v/>
      </c>
      <c r="B97" t="str">
        <f>Helper1!B97</f>
        <v/>
      </c>
      <c r="C97" t="str">
        <f>Helper1!C97</f>
        <v/>
      </c>
      <c r="D97" t="str">
        <f>Helper1!D97</f>
        <v/>
      </c>
      <c r="E97" t="str">
        <f>Helper1!E97</f>
        <v/>
      </c>
      <c r="H97" t="str">
        <f>Helper1!F97</f>
        <v/>
      </c>
      <c r="K97" t="str">
        <f>Helper1!G97</f>
        <v/>
      </c>
    </row>
    <row r="98" spans="1:11">
      <c r="A98" t="str">
        <f>Helper1!A98</f>
        <v/>
      </c>
      <c r="B98" t="str">
        <f>Helper1!B98</f>
        <v/>
      </c>
      <c r="C98" t="str">
        <f>Helper1!C98</f>
        <v/>
      </c>
      <c r="D98" t="str">
        <f>Helper1!D98</f>
        <v/>
      </c>
      <c r="E98" t="str">
        <f>Helper1!E98</f>
        <v/>
      </c>
      <c r="H98" t="str">
        <f>Helper1!F98</f>
        <v/>
      </c>
      <c r="K98" t="str">
        <f>Helper1!G98</f>
        <v/>
      </c>
    </row>
    <row r="99" spans="1:11">
      <c r="A99" t="str">
        <f>Helper1!A99</f>
        <v/>
      </c>
      <c r="B99" t="str">
        <f>Helper1!B99</f>
        <v/>
      </c>
      <c r="C99" t="str">
        <f>Helper1!C99</f>
        <v/>
      </c>
      <c r="D99" t="str">
        <f>Helper1!D99</f>
        <v/>
      </c>
      <c r="E99" t="str">
        <f>Helper1!E99</f>
        <v/>
      </c>
      <c r="H99" t="str">
        <f>Helper1!F99</f>
        <v/>
      </c>
      <c r="K99" t="str">
        <f>Helper1!G99</f>
        <v/>
      </c>
    </row>
    <row r="100" spans="1:11">
      <c r="A100" t="str">
        <f>Helper1!A100</f>
        <v/>
      </c>
      <c r="B100" t="str">
        <f>Helper1!B100</f>
        <v/>
      </c>
      <c r="C100" t="str">
        <f>Helper1!C100</f>
        <v/>
      </c>
      <c r="D100" t="str">
        <f>Helper1!D100</f>
        <v/>
      </c>
      <c r="E100" t="str">
        <f>Helper1!E100</f>
        <v/>
      </c>
      <c r="H100" t="str">
        <f>Helper1!F100</f>
        <v/>
      </c>
      <c r="K100" t="str">
        <f>Helper1!G100</f>
        <v/>
      </c>
    </row>
    <row r="101" spans="1:11">
      <c r="A101" t="str">
        <f>Helper1!A101</f>
        <v/>
      </c>
      <c r="B101" t="str">
        <f>Helper1!B101</f>
        <v/>
      </c>
      <c r="C101" t="str">
        <f>Helper1!C101</f>
        <v/>
      </c>
      <c r="D101" t="str">
        <f>Helper1!D101</f>
        <v/>
      </c>
      <c r="E101" t="str">
        <f>Helper1!E101</f>
        <v/>
      </c>
      <c r="H101" t="str">
        <f>Helper1!F101</f>
        <v/>
      </c>
      <c r="K101" t="str">
        <f>Helper1!G101</f>
        <v/>
      </c>
    </row>
    <row r="102" spans="1:11">
      <c r="A102" t="str">
        <f>Helper1!A102</f>
        <v/>
      </c>
      <c r="B102" t="str">
        <f>Helper1!B102</f>
        <v/>
      </c>
      <c r="C102" t="str">
        <f>Helper1!C102</f>
        <v/>
      </c>
      <c r="D102" t="str">
        <f>Helper1!D102</f>
        <v/>
      </c>
      <c r="E102" t="str">
        <f>Helper1!E102</f>
        <v/>
      </c>
      <c r="H102" t="str">
        <f>Helper1!F102</f>
        <v/>
      </c>
      <c r="K102" t="str">
        <f>Helper1!G102</f>
        <v/>
      </c>
    </row>
    <row r="103" spans="1:11">
      <c r="A103" t="str">
        <f>Helper1!A103</f>
        <v/>
      </c>
      <c r="B103" t="str">
        <f>Helper1!B103</f>
        <v/>
      </c>
      <c r="C103" t="str">
        <f>Helper1!C103</f>
        <v/>
      </c>
      <c r="D103" t="str">
        <f>Helper1!D103</f>
        <v/>
      </c>
      <c r="E103" t="str">
        <f>Helper1!E103</f>
        <v/>
      </c>
      <c r="H103" t="str">
        <f>Helper1!F103</f>
        <v/>
      </c>
      <c r="K103" t="str">
        <f>Helper1!G103</f>
        <v/>
      </c>
    </row>
    <row r="104" spans="1:11">
      <c r="A104" t="str">
        <f>Helper1!A104</f>
        <v/>
      </c>
      <c r="B104" t="str">
        <f>Helper1!B104</f>
        <v/>
      </c>
      <c r="C104" t="str">
        <f>Helper1!C104</f>
        <v/>
      </c>
      <c r="D104" t="str">
        <f>Helper1!D104</f>
        <v/>
      </c>
      <c r="E104" t="str">
        <f>Helper1!E104</f>
        <v/>
      </c>
      <c r="H104" t="str">
        <f>Helper1!F104</f>
        <v/>
      </c>
      <c r="K104" t="str">
        <f>Helper1!G104</f>
        <v/>
      </c>
    </row>
    <row r="105" spans="1:11">
      <c r="A105" t="str">
        <f>Helper1!A105</f>
        <v/>
      </c>
      <c r="B105" t="str">
        <f>Helper1!B105</f>
        <v/>
      </c>
      <c r="C105" t="str">
        <f>Helper1!C105</f>
        <v/>
      </c>
      <c r="D105" t="str">
        <f>Helper1!D105</f>
        <v/>
      </c>
      <c r="E105" t="str">
        <f>Helper1!E105</f>
        <v/>
      </c>
      <c r="H105" t="str">
        <f>Helper1!F105</f>
        <v/>
      </c>
      <c r="K105" t="str">
        <f>Helper1!G105</f>
        <v/>
      </c>
    </row>
    <row r="106" spans="1:11">
      <c r="A106" t="str">
        <f>Helper1!A106</f>
        <v/>
      </c>
      <c r="B106" t="str">
        <f>Helper1!B106</f>
        <v/>
      </c>
      <c r="C106" t="str">
        <f>Helper1!C106</f>
        <v/>
      </c>
      <c r="D106" t="str">
        <f>Helper1!D106</f>
        <v/>
      </c>
      <c r="E106" t="str">
        <f>Helper1!E106</f>
        <v/>
      </c>
      <c r="H106" t="str">
        <f>Helper1!F106</f>
        <v/>
      </c>
      <c r="K106" t="str">
        <f>Helper1!G106</f>
        <v/>
      </c>
    </row>
    <row r="107" spans="1:11">
      <c r="A107" t="str">
        <f>Helper1!A107</f>
        <v/>
      </c>
      <c r="B107" t="str">
        <f>Helper1!B107</f>
        <v/>
      </c>
      <c r="C107" t="str">
        <f>Helper1!C107</f>
        <v/>
      </c>
      <c r="D107" t="str">
        <f>Helper1!D107</f>
        <v/>
      </c>
      <c r="E107" t="str">
        <f>Helper1!E107</f>
        <v/>
      </c>
      <c r="H107" t="str">
        <f>Helper1!F107</f>
        <v/>
      </c>
      <c r="K107" t="str">
        <f>Helper1!G107</f>
        <v/>
      </c>
    </row>
    <row r="108" spans="1:11">
      <c r="A108" t="str">
        <f>Helper1!A108</f>
        <v/>
      </c>
      <c r="B108" t="str">
        <f>Helper1!B108</f>
        <v/>
      </c>
      <c r="C108" t="str">
        <f>Helper1!C108</f>
        <v/>
      </c>
      <c r="D108" t="str">
        <f>Helper1!D108</f>
        <v/>
      </c>
      <c r="E108" t="str">
        <f>Helper1!E108</f>
        <v/>
      </c>
      <c r="H108" t="str">
        <f>Helper1!F108</f>
        <v/>
      </c>
      <c r="K108" t="str">
        <f>Helper1!G108</f>
        <v/>
      </c>
    </row>
    <row r="109" spans="1:11">
      <c r="A109" t="str">
        <f>Helper1!A109</f>
        <v/>
      </c>
      <c r="B109" t="str">
        <f>Helper1!B109</f>
        <v/>
      </c>
      <c r="C109" t="str">
        <f>Helper1!C109</f>
        <v/>
      </c>
      <c r="D109" t="str">
        <f>Helper1!D109</f>
        <v/>
      </c>
      <c r="E109" t="str">
        <f>Helper1!E109</f>
        <v/>
      </c>
      <c r="H109" t="str">
        <f>Helper1!F109</f>
        <v/>
      </c>
      <c r="K109" t="str">
        <f>Helper1!G109</f>
        <v/>
      </c>
    </row>
    <row r="110" spans="1:11">
      <c r="A110" t="str">
        <f>Helper1!A110</f>
        <v/>
      </c>
      <c r="B110" t="str">
        <f>Helper1!B110</f>
        <v/>
      </c>
      <c r="C110" t="str">
        <f>Helper1!C110</f>
        <v/>
      </c>
      <c r="D110" t="str">
        <f>Helper1!D110</f>
        <v/>
      </c>
      <c r="E110" t="str">
        <f>Helper1!E110</f>
        <v/>
      </c>
      <c r="H110" t="str">
        <f>Helper1!F110</f>
        <v/>
      </c>
      <c r="K110" t="str">
        <f>Helper1!G110</f>
        <v/>
      </c>
    </row>
    <row r="111" spans="1:11">
      <c r="A111" t="str">
        <f>Helper1!A111</f>
        <v/>
      </c>
      <c r="B111" t="str">
        <f>Helper1!B111</f>
        <v/>
      </c>
      <c r="C111" t="str">
        <f>Helper1!C111</f>
        <v/>
      </c>
      <c r="D111" t="str">
        <f>Helper1!D111</f>
        <v/>
      </c>
      <c r="E111" t="str">
        <f>Helper1!E111</f>
        <v/>
      </c>
      <c r="H111" t="str">
        <f>Helper1!F111</f>
        <v/>
      </c>
      <c r="K111" t="str">
        <f>Helper1!G111</f>
        <v/>
      </c>
    </row>
    <row r="112" spans="1:11">
      <c r="A112" t="str">
        <f>Helper1!A112</f>
        <v/>
      </c>
      <c r="B112" t="str">
        <f>Helper1!B112</f>
        <v/>
      </c>
      <c r="C112" t="str">
        <f>Helper1!C112</f>
        <v/>
      </c>
      <c r="D112" t="str">
        <f>Helper1!D112</f>
        <v/>
      </c>
      <c r="E112" t="str">
        <f>Helper1!E112</f>
        <v/>
      </c>
      <c r="H112" t="str">
        <f>Helper1!F112</f>
        <v/>
      </c>
      <c r="K112" t="str">
        <f>Helper1!G112</f>
        <v/>
      </c>
    </row>
    <row r="113" spans="1:11">
      <c r="A113" t="str">
        <f>Helper1!A113</f>
        <v/>
      </c>
      <c r="B113" t="str">
        <f>Helper1!B113</f>
        <v/>
      </c>
      <c r="C113" t="str">
        <f>Helper1!C113</f>
        <v/>
      </c>
      <c r="D113" t="str">
        <f>Helper1!D113</f>
        <v/>
      </c>
      <c r="E113" t="str">
        <f>Helper1!E113</f>
        <v/>
      </c>
      <c r="H113" t="str">
        <f>Helper1!F113</f>
        <v/>
      </c>
      <c r="K113" t="str">
        <f>Helper1!G113</f>
        <v/>
      </c>
    </row>
    <row r="114" spans="1:11">
      <c r="A114" t="str">
        <f>Helper1!A114</f>
        <v/>
      </c>
      <c r="B114" t="str">
        <f>Helper1!B114</f>
        <v/>
      </c>
      <c r="C114" t="str">
        <f>Helper1!C114</f>
        <v/>
      </c>
      <c r="D114" t="str">
        <f>Helper1!D114</f>
        <v/>
      </c>
      <c r="E114" t="str">
        <f>Helper1!E114</f>
        <v/>
      </c>
      <c r="H114" t="str">
        <f>Helper1!F114</f>
        <v/>
      </c>
      <c r="K114" t="str">
        <f>Helper1!G114</f>
        <v/>
      </c>
    </row>
    <row r="115" spans="1:11">
      <c r="A115" t="str">
        <f>Helper1!A115</f>
        <v/>
      </c>
      <c r="B115" t="str">
        <f>Helper1!B115</f>
        <v/>
      </c>
      <c r="C115" t="str">
        <f>Helper1!C115</f>
        <v/>
      </c>
      <c r="D115" t="str">
        <f>Helper1!D115</f>
        <v/>
      </c>
      <c r="E115" t="str">
        <f>Helper1!E115</f>
        <v/>
      </c>
      <c r="H115" t="str">
        <f>Helper1!F115</f>
        <v/>
      </c>
      <c r="K115" t="str">
        <f>Helper1!G115</f>
        <v/>
      </c>
    </row>
    <row r="116" spans="1:11">
      <c r="A116" t="str">
        <f>Helper1!A116</f>
        <v/>
      </c>
      <c r="B116" t="str">
        <f>Helper1!B116</f>
        <v/>
      </c>
      <c r="C116" t="str">
        <f>Helper1!C116</f>
        <v/>
      </c>
      <c r="D116" t="str">
        <f>Helper1!D116</f>
        <v/>
      </c>
      <c r="E116" t="str">
        <f>Helper1!E116</f>
        <v/>
      </c>
      <c r="H116" t="str">
        <f>Helper1!F116</f>
        <v/>
      </c>
      <c r="K116" t="str">
        <f>Helper1!G116</f>
        <v/>
      </c>
    </row>
    <row r="117" spans="1:11">
      <c r="A117" t="str">
        <f>Helper1!A117</f>
        <v/>
      </c>
      <c r="B117" t="str">
        <f>Helper1!B117</f>
        <v/>
      </c>
      <c r="C117" t="str">
        <f>Helper1!C117</f>
        <v/>
      </c>
      <c r="D117" t="str">
        <f>Helper1!D117</f>
        <v/>
      </c>
      <c r="E117" t="str">
        <f>Helper1!E117</f>
        <v/>
      </c>
      <c r="H117" t="str">
        <f>Helper1!F117</f>
        <v/>
      </c>
      <c r="K117" t="str">
        <f>Helper1!G117</f>
        <v/>
      </c>
    </row>
    <row r="118" spans="1:11">
      <c r="A118" t="str">
        <f>Helper1!A118</f>
        <v/>
      </c>
      <c r="B118" t="str">
        <f>Helper1!B118</f>
        <v/>
      </c>
      <c r="C118" t="str">
        <f>Helper1!C118</f>
        <v/>
      </c>
      <c r="D118" t="str">
        <f>Helper1!D118</f>
        <v/>
      </c>
      <c r="E118" t="str">
        <f>Helper1!E118</f>
        <v/>
      </c>
      <c r="H118" t="str">
        <f>Helper1!F118</f>
        <v/>
      </c>
      <c r="K118" t="str">
        <f>Helper1!G118</f>
        <v/>
      </c>
    </row>
    <row r="119" spans="1:11">
      <c r="A119" t="str">
        <f>Helper1!A119</f>
        <v/>
      </c>
      <c r="B119" t="str">
        <f>Helper1!B119</f>
        <v/>
      </c>
      <c r="C119" t="str">
        <f>Helper1!C119</f>
        <v/>
      </c>
      <c r="D119" t="str">
        <f>Helper1!D119</f>
        <v/>
      </c>
      <c r="E119" t="str">
        <f>Helper1!E119</f>
        <v/>
      </c>
      <c r="H119" t="str">
        <f>Helper1!F119</f>
        <v/>
      </c>
      <c r="K119" t="str">
        <f>Helper1!G119</f>
        <v/>
      </c>
    </row>
    <row r="120" spans="1:11">
      <c r="A120" t="str">
        <f>Helper1!A120</f>
        <v/>
      </c>
      <c r="B120" t="str">
        <f>Helper1!B120</f>
        <v/>
      </c>
      <c r="C120" t="str">
        <f>Helper1!C120</f>
        <v/>
      </c>
      <c r="D120" t="str">
        <f>Helper1!D120</f>
        <v/>
      </c>
      <c r="E120" t="str">
        <f>Helper1!E120</f>
        <v/>
      </c>
      <c r="H120" t="str">
        <f>Helper1!F120</f>
        <v/>
      </c>
      <c r="K120" t="str">
        <f>Helper1!G120</f>
        <v/>
      </c>
    </row>
    <row r="121" spans="1:11">
      <c r="A121" t="str">
        <f>Helper1!A121</f>
        <v/>
      </c>
      <c r="B121" t="str">
        <f>Helper1!B121</f>
        <v/>
      </c>
      <c r="C121" t="str">
        <f>Helper1!C121</f>
        <v/>
      </c>
      <c r="D121" t="str">
        <f>Helper1!D121</f>
        <v/>
      </c>
      <c r="E121" t="str">
        <f>Helper1!E121</f>
        <v/>
      </c>
      <c r="H121" t="str">
        <f>Helper1!F121</f>
        <v/>
      </c>
      <c r="K121" t="str">
        <f>Helper1!G121</f>
        <v/>
      </c>
    </row>
    <row r="122" spans="1:11">
      <c r="A122" t="str">
        <f>Helper1!A122</f>
        <v/>
      </c>
      <c r="B122" t="str">
        <f>Helper1!B122</f>
        <v/>
      </c>
      <c r="C122" t="str">
        <f>Helper1!C122</f>
        <v/>
      </c>
      <c r="D122" t="str">
        <f>Helper1!D122</f>
        <v/>
      </c>
      <c r="E122" t="str">
        <f>Helper1!E122</f>
        <v/>
      </c>
      <c r="H122" t="str">
        <f>Helper1!F122</f>
        <v/>
      </c>
      <c r="K122" t="str">
        <f>Helper1!G122</f>
        <v/>
      </c>
    </row>
    <row r="123" spans="1:11">
      <c r="A123" t="str">
        <f>Helper1!A123</f>
        <v/>
      </c>
      <c r="B123" t="str">
        <f>Helper1!B123</f>
        <v/>
      </c>
      <c r="C123" t="str">
        <f>Helper1!C123</f>
        <v/>
      </c>
      <c r="D123" t="str">
        <f>Helper1!D123</f>
        <v/>
      </c>
      <c r="E123" t="str">
        <f>Helper1!E123</f>
        <v/>
      </c>
      <c r="H123" t="str">
        <f>Helper1!F123</f>
        <v/>
      </c>
      <c r="K123" t="str">
        <f>Helper1!G123</f>
        <v/>
      </c>
    </row>
    <row r="124" spans="1:11">
      <c r="A124" t="str">
        <f>Helper1!A124</f>
        <v/>
      </c>
      <c r="B124" t="str">
        <f>Helper1!B124</f>
        <v/>
      </c>
      <c r="C124" t="str">
        <f>Helper1!C124</f>
        <v/>
      </c>
      <c r="D124" t="str">
        <f>Helper1!D124</f>
        <v/>
      </c>
      <c r="E124" t="str">
        <f>Helper1!E124</f>
        <v/>
      </c>
      <c r="H124" t="str">
        <f>Helper1!F124</f>
        <v/>
      </c>
      <c r="K124" t="str">
        <f>Helper1!G124</f>
        <v/>
      </c>
    </row>
    <row r="125" spans="1:11">
      <c r="A125" t="str">
        <f>Helper1!A125</f>
        <v/>
      </c>
      <c r="B125" t="str">
        <f>Helper1!B125</f>
        <v/>
      </c>
      <c r="C125" t="str">
        <f>Helper1!C125</f>
        <v/>
      </c>
      <c r="D125" t="str">
        <f>Helper1!D125</f>
        <v/>
      </c>
      <c r="E125" t="str">
        <f>Helper1!E125</f>
        <v/>
      </c>
      <c r="H125" t="str">
        <f>Helper1!F125</f>
        <v/>
      </c>
      <c r="K125" t="str">
        <f>Helper1!G125</f>
        <v/>
      </c>
    </row>
    <row r="126" spans="1:11">
      <c r="A126" t="str">
        <f>Helper1!A126</f>
        <v/>
      </c>
      <c r="B126" t="str">
        <f>Helper1!B126</f>
        <v/>
      </c>
      <c r="C126" t="str">
        <f>Helper1!C126</f>
        <v/>
      </c>
      <c r="D126" t="str">
        <f>Helper1!D126</f>
        <v/>
      </c>
      <c r="E126" t="str">
        <f>Helper1!E126</f>
        <v/>
      </c>
      <c r="H126" t="str">
        <f>Helper1!F126</f>
        <v/>
      </c>
      <c r="K126" t="str">
        <f>Helper1!G126</f>
        <v/>
      </c>
    </row>
    <row r="127" spans="1:11">
      <c r="A127" t="str">
        <f>Helper1!A127</f>
        <v/>
      </c>
      <c r="B127" t="str">
        <f>Helper1!B127</f>
        <v/>
      </c>
      <c r="C127" t="str">
        <f>Helper1!C127</f>
        <v/>
      </c>
      <c r="D127" t="str">
        <f>Helper1!D127</f>
        <v/>
      </c>
      <c r="E127" t="str">
        <f>Helper1!E127</f>
        <v/>
      </c>
      <c r="H127" t="str">
        <f>Helper1!F127</f>
        <v/>
      </c>
      <c r="K127" t="str">
        <f>Helper1!G127</f>
        <v/>
      </c>
    </row>
    <row r="128" spans="1:11">
      <c r="A128" t="str">
        <f>Helper1!A128</f>
        <v/>
      </c>
      <c r="B128" t="str">
        <f>Helper1!B128</f>
        <v/>
      </c>
      <c r="C128" t="str">
        <f>Helper1!C128</f>
        <v/>
      </c>
      <c r="D128" t="str">
        <f>Helper1!D128</f>
        <v/>
      </c>
      <c r="E128" t="str">
        <f>Helper1!E128</f>
        <v/>
      </c>
      <c r="H128" t="str">
        <f>Helper1!F128</f>
        <v/>
      </c>
      <c r="K128" t="str">
        <f>Helper1!G128</f>
        <v/>
      </c>
    </row>
    <row r="129" spans="1:11">
      <c r="A129" t="str">
        <f>Helper1!A129</f>
        <v/>
      </c>
      <c r="B129" t="str">
        <f>Helper1!B129</f>
        <v/>
      </c>
      <c r="C129" t="str">
        <f>Helper1!C129</f>
        <v/>
      </c>
      <c r="D129" t="str">
        <f>Helper1!D129</f>
        <v/>
      </c>
      <c r="E129" t="str">
        <f>Helper1!E129</f>
        <v/>
      </c>
      <c r="H129" t="str">
        <f>Helper1!F129</f>
        <v/>
      </c>
      <c r="K129" t="str">
        <f>Helper1!G129</f>
        <v/>
      </c>
    </row>
    <row r="130" spans="1:11">
      <c r="A130" t="str">
        <f>Helper1!A130</f>
        <v/>
      </c>
      <c r="B130" t="str">
        <f>Helper1!B130</f>
        <v/>
      </c>
      <c r="C130" t="str">
        <f>Helper1!C130</f>
        <v/>
      </c>
      <c r="D130" t="str">
        <f>Helper1!D130</f>
        <v/>
      </c>
      <c r="E130" t="str">
        <f>Helper1!E130</f>
        <v/>
      </c>
      <c r="H130" t="str">
        <f>Helper1!F130</f>
        <v/>
      </c>
      <c r="K130" t="str">
        <f>Helper1!G130</f>
        <v/>
      </c>
    </row>
    <row r="131" spans="1:11">
      <c r="A131" t="str">
        <f>Helper1!A131</f>
        <v/>
      </c>
      <c r="B131" t="str">
        <f>Helper1!B131</f>
        <v/>
      </c>
      <c r="C131" t="str">
        <f>Helper1!C131</f>
        <v/>
      </c>
      <c r="D131" t="str">
        <f>Helper1!D131</f>
        <v/>
      </c>
      <c r="E131" t="str">
        <f>Helper1!E131</f>
        <v/>
      </c>
      <c r="H131" t="str">
        <f>Helper1!F131</f>
        <v/>
      </c>
      <c r="K131" t="str">
        <f>Helper1!G131</f>
        <v/>
      </c>
    </row>
    <row r="132" spans="1:11">
      <c r="A132" t="str">
        <f>Helper1!A132</f>
        <v/>
      </c>
      <c r="B132" t="str">
        <f>Helper1!B132</f>
        <v/>
      </c>
      <c r="C132" t="str">
        <f>Helper1!C132</f>
        <v/>
      </c>
      <c r="D132" t="str">
        <f>Helper1!D132</f>
        <v/>
      </c>
      <c r="E132" t="str">
        <f>Helper1!E132</f>
        <v/>
      </c>
      <c r="H132" t="str">
        <f>Helper1!F132</f>
        <v/>
      </c>
      <c r="K132" t="str">
        <f>Helper1!G132</f>
        <v/>
      </c>
    </row>
    <row r="133" spans="1:11">
      <c r="A133" t="str">
        <f>Helper1!A133</f>
        <v/>
      </c>
      <c r="B133" t="str">
        <f>Helper1!B133</f>
        <v/>
      </c>
      <c r="C133" t="str">
        <f>Helper1!C133</f>
        <v/>
      </c>
      <c r="D133" t="str">
        <f>Helper1!D133</f>
        <v/>
      </c>
      <c r="E133" t="str">
        <f>Helper1!E133</f>
        <v/>
      </c>
      <c r="H133" t="str">
        <f>Helper1!F133</f>
        <v/>
      </c>
      <c r="K133" t="str">
        <f>Helper1!G133</f>
        <v/>
      </c>
    </row>
    <row r="134" spans="1:11">
      <c r="A134" t="str">
        <f>Helper1!A134</f>
        <v/>
      </c>
      <c r="B134" t="str">
        <f>Helper1!B134</f>
        <v/>
      </c>
      <c r="C134" t="str">
        <f>Helper1!C134</f>
        <v/>
      </c>
      <c r="D134" t="str">
        <f>Helper1!D134</f>
        <v/>
      </c>
      <c r="E134" t="str">
        <f>Helper1!E134</f>
        <v/>
      </c>
      <c r="H134" t="str">
        <f>Helper1!F134</f>
        <v/>
      </c>
      <c r="K134" t="str">
        <f>Helper1!G134</f>
        <v/>
      </c>
    </row>
    <row r="135" spans="1:11">
      <c r="A135" t="str">
        <f>Helper1!A135</f>
        <v/>
      </c>
      <c r="B135" t="str">
        <f>Helper1!B135</f>
        <v/>
      </c>
      <c r="C135" t="str">
        <f>Helper1!C135</f>
        <v/>
      </c>
      <c r="D135" t="str">
        <f>Helper1!D135</f>
        <v/>
      </c>
      <c r="E135" t="str">
        <f>Helper1!E135</f>
        <v/>
      </c>
      <c r="H135" t="str">
        <f>Helper1!F135</f>
        <v/>
      </c>
      <c r="K135" t="str">
        <f>Helper1!G135</f>
        <v/>
      </c>
    </row>
    <row r="136" spans="1:11">
      <c r="A136" t="str">
        <f>Helper1!A136</f>
        <v/>
      </c>
      <c r="B136" t="str">
        <f>Helper1!B136</f>
        <v/>
      </c>
      <c r="C136" t="str">
        <f>Helper1!C136</f>
        <v/>
      </c>
      <c r="D136" t="str">
        <f>Helper1!D136</f>
        <v/>
      </c>
      <c r="E136" t="str">
        <f>Helper1!E136</f>
        <v/>
      </c>
      <c r="H136" t="str">
        <f>Helper1!F136</f>
        <v/>
      </c>
      <c r="K136" t="str">
        <f>Helper1!G136</f>
        <v/>
      </c>
    </row>
    <row r="137" spans="1:11">
      <c r="A137" t="str">
        <f>Helper1!A137</f>
        <v/>
      </c>
      <c r="B137" t="str">
        <f>Helper1!B137</f>
        <v/>
      </c>
      <c r="C137" t="str">
        <f>Helper1!C137</f>
        <v/>
      </c>
      <c r="D137" t="str">
        <f>Helper1!D137</f>
        <v/>
      </c>
      <c r="E137" t="str">
        <f>Helper1!E137</f>
        <v/>
      </c>
      <c r="H137" t="str">
        <f>Helper1!F137</f>
        <v/>
      </c>
      <c r="K137" t="str">
        <f>Helper1!G137</f>
        <v/>
      </c>
    </row>
    <row r="138" spans="1:11">
      <c r="A138" t="str">
        <f>Helper1!A138</f>
        <v/>
      </c>
      <c r="B138" t="str">
        <f>Helper1!B138</f>
        <v/>
      </c>
      <c r="C138" t="str">
        <f>Helper1!C138</f>
        <v/>
      </c>
      <c r="D138" t="str">
        <f>Helper1!D138</f>
        <v/>
      </c>
      <c r="E138" t="str">
        <f>Helper1!E138</f>
        <v/>
      </c>
      <c r="H138" t="str">
        <f>Helper1!F138</f>
        <v/>
      </c>
      <c r="K138" t="str">
        <f>Helper1!G138</f>
        <v/>
      </c>
    </row>
    <row r="139" spans="1:11">
      <c r="A139" t="str">
        <f>Helper1!A139</f>
        <v/>
      </c>
      <c r="B139" t="str">
        <f>Helper1!B139</f>
        <v/>
      </c>
      <c r="C139" t="str">
        <f>Helper1!C139</f>
        <v/>
      </c>
      <c r="D139" t="str">
        <f>Helper1!D139</f>
        <v/>
      </c>
      <c r="E139" t="str">
        <f>Helper1!E139</f>
        <v/>
      </c>
      <c r="H139" t="str">
        <f>Helper1!F139</f>
        <v/>
      </c>
      <c r="K139" t="str">
        <f>Helper1!G139</f>
        <v/>
      </c>
    </row>
    <row r="140" spans="1:11">
      <c r="A140" t="str">
        <f>Helper1!A140</f>
        <v/>
      </c>
      <c r="B140" t="str">
        <f>Helper1!B140</f>
        <v/>
      </c>
      <c r="C140" t="str">
        <f>Helper1!C140</f>
        <v/>
      </c>
      <c r="D140" t="str">
        <f>Helper1!D140</f>
        <v/>
      </c>
      <c r="E140" t="str">
        <f>Helper1!E140</f>
        <v/>
      </c>
      <c r="H140" t="str">
        <f>Helper1!F140</f>
        <v/>
      </c>
      <c r="K140" t="str">
        <f>Helper1!G140</f>
        <v/>
      </c>
    </row>
    <row r="141" spans="1:11">
      <c r="A141" t="str">
        <f>Helper1!A141</f>
        <v/>
      </c>
      <c r="B141" t="str">
        <f>Helper1!B141</f>
        <v/>
      </c>
      <c r="C141" t="str">
        <f>Helper1!C141</f>
        <v/>
      </c>
      <c r="D141" t="str">
        <f>Helper1!D141</f>
        <v/>
      </c>
      <c r="E141" t="str">
        <f>Helper1!E141</f>
        <v/>
      </c>
      <c r="H141" t="str">
        <f>Helper1!F141</f>
        <v/>
      </c>
      <c r="K141" t="str">
        <f>Helper1!G141</f>
        <v/>
      </c>
    </row>
    <row r="142" spans="1:11">
      <c r="A142" t="str">
        <f>Helper1!A142</f>
        <v/>
      </c>
      <c r="B142" t="str">
        <f>Helper1!B142</f>
        <v/>
      </c>
      <c r="C142" t="str">
        <f>Helper1!C142</f>
        <v/>
      </c>
      <c r="D142" t="str">
        <f>Helper1!D142</f>
        <v/>
      </c>
      <c r="E142" t="str">
        <f>Helper1!E142</f>
        <v/>
      </c>
      <c r="H142" t="str">
        <f>Helper1!F142</f>
        <v/>
      </c>
      <c r="K142" t="str">
        <f>Helper1!G142</f>
        <v/>
      </c>
    </row>
    <row r="143" spans="1:11">
      <c r="A143" t="str">
        <f>Helper1!A143</f>
        <v/>
      </c>
      <c r="B143" t="str">
        <f>Helper1!B143</f>
        <v/>
      </c>
      <c r="C143" t="str">
        <f>Helper1!C143</f>
        <v/>
      </c>
      <c r="D143" t="str">
        <f>Helper1!D143</f>
        <v/>
      </c>
      <c r="E143" t="str">
        <f>Helper1!E143</f>
        <v/>
      </c>
      <c r="H143" t="str">
        <f>Helper1!F143</f>
        <v/>
      </c>
      <c r="K143" t="str">
        <f>Helper1!G143</f>
        <v/>
      </c>
    </row>
    <row r="144" spans="1:11">
      <c r="A144" t="str">
        <f>Helper1!A144</f>
        <v/>
      </c>
      <c r="B144" t="str">
        <f>Helper1!B144</f>
        <v/>
      </c>
      <c r="C144" t="str">
        <f>Helper1!C144</f>
        <v/>
      </c>
      <c r="D144" t="str">
        <f>Helper1!D144</f>
        <v/>
      </c>
      <c r="E144" t="str">
        <f>Helper1!E144</f>
        <v/>
      </c>
      <c r="H144" t="str">
        <f>Helper1!F144</f>
        <v/>
      </c>
      <c r="K144" t="str">
        <f>Helper1!G144</f>
        <v/>
      </c>
    </row>
    <row r="145" spans="1:11">
      <c r="A145" t="str">
        <f>Helper1!A145</f>
        <v/>
      </c>
      <c r="B145" t="str">
        <f>Helper1!B145</f>
        <v/>
      </c>
      <c r="C145" t="str">
        <f>Helper1!C145</f>
        <v/>
      </c>
      <c r="D145" t="str">
        <f>Helper1!D145</f>
        <v/>
      </c>
      <c r="E145" t="str">
        <f>Helper1!E145</f>
        <v/>
      </c>
      <c r="H145" t="str">
        <f>Helper1!F145</f>
        <v/>
      </c>
      <c r="K145" t="str">
        <f>Helper1!G145</f>
        <v/>
      </c>
    </row>
    <row r="146" spans="1:11">
      <c r="A146" t="str">
        <f>Helper1!A146</f>
        <v/>
      </c>
      <c r="B146" t="str">
        <f>Helper1!B146</f>
        <v/>
      </c>
      <c r="C146" t="str">
        <f>Helper1!C146</f>
        <v/>
      </c>
      <c r="D146" t="str">
        <f>Helper1!D146</f>
        <v/>
      </c>
      <c r="E146" t="str">
        <f>Helper1!E146</f>
        <v/>
      </c>
      <c r="H146" t="str">
        <f>Helper1!F146</f>
        <v/>
      </c>
      <c r="K146" t="str">
        <f>Helper1!G146</f>
        <v/>
      </c>
    </row>
    <row r="147" spans="1:11">
      <c r="A147" t="str">
        <f>Helper1!A147</f>
        <v/>
      </c>
      <c r="B147" t="str">
        <f>Helper1!B147</f>
        <v/>
      </c>
      <c r="C147" t="str">
        <f>Helper1!C147</f>
        <v/>
      </c>
      <c r="D147" t="str">
        <f>Helper1!D147</f>
        <v/>
      </c>
      <c r="E147" t="str">
        <f>Helper1!E147</f>
        <v/>
      </c>
      <c r="H147" t="str">
        <f>Helper1!F147</f>
        <v/>
      </c>
      <c r="K147" t="str">
        <f>Helper1!G147</f>
        <v/>
      </c>
    </row>
    <row r="148" spans="1:11">
      <c r="A148" t="str">
        <f>Helper1!A148</f>
        <v/>
      </c>
      <c r="B148" t="str">
        <f>Helper1!B148</f>
        <v/>
      </c>
      <c r="C148" t="str">
        <f>Helper1!C148</f>
        <v/>
      </c>
      <c r="D148" t="str">
        <f>Helper1!D148</f>
        <v/>
      </c>
      <c r="E148" t="str">
        <f>Helper1!E148</f>
        <v/>
      </c>
      <c r="H148" t="str">
        <f>Helper1!F148</f>
        <v/>
      </c>
      <c r="K148" t="str">
        <f>Helper1!G148</f>
        <v/>
      </c>
    </row>
    <row r="149" spans="1:11">
      <c r="A149" t="str">
        <f>Helper1!A149</f>
        <v/>
      </c>
      <c r="B149" t="str">
        <f>Helper1!B149</f>
        <v/>
      </c>
      <c r="C149" t="str">
        <f>Helper1!C149</f>
        <v/>
      </c>
      <c r="D149" t="str">
        <f>Helper1!D149</f>
        <v/>
      </c>
      <c r="E149" t="str">
        <f>Helper1!E149</f>
        <v/>
      </c>
      <c r="H149" t="str">
        <f>Helper1!F149</f>
        <v/>
      </c>
      <c r="K149" t="str">
        <f>Helper1!G149</f>
        <v/>
      </c>
    </row>
    <row r="150" spans="1:11">
      <c r="A150" t="str">
        <f>Helper1!A150</f>
        <v/>
      </c>
      <c r="B150" t="str">
        <f>Helper1!B150</f>
        <v/>
      </c>
      <c r="C150" t="str">
        <f>Helper1!C150</f>
        <v/>
      </c>
      <c r="D150" t="str">
        <f>Helper1!D150</f>
        <v/>
      </c>
      <c r="E150" t="str">
        <f>Helper1!E150</f>
        <v/>
      </c>
      <c r="H150" t="str">
        <f>Helper1!F150</f>
        <v/>
      </c>
      <c r="K150" t="str">
        <f>Helper1!G150</f>
        <v/>
      </c>
    </row>
    <row r="151" spans="1:11">
      <c r="A151" t="str">
        <f>Helper1!A151</f>
        <v/>
      </c>
      <c r="B151" t="str">
        <f>Helper1!B151</f>
        <v/>
      </c>
      <c r="C151" t="str">
        <f>Helper1!C151</f>
        <v/>
      </c>
      <c r="D151" t="str">
        <f>Helper1!D151</f>
        <v/>
      </c>
      <c r="E151" t="str">
        <f>Helper1!E151</f>
        <v/>
      </c>
      <c r="H151" t="str">
        <f>Helper1!F151</f>
        <v/>
      </c>
      <c r="K151" t="str">
        <f>Helper1!G151</f>
        <v/>
      </c>
    </row>
    <row r="152" spans="1:11">
      <c r="A152" t="str">
        <f>Helper1!A152</f>
        <v/>
      </c>
      <c r="B152" t="str">
        <f>Helper1!B152</f>
        <v/>
      </c>
      <c r="C152" t="str">
        <f>Helper1!C152</f>
        <v/>
      </c>
      <c r="D152" t="str">
        <f>Helper1!D152</f>
        <v/>
      </c>
      <c r="E152" t="str">
        <f>Helper1!E152</f>
        <v/>
      </c>
      <c r="H152" t="str">
        <f>Helper1!F152</f>
        <v/>
      </c>
      <c r="K152" t="str">
        <f>Helper1!G152</f>
        <v/>
      </c>
    </row>
    <row r="153" spans="1:11">
      <c r="A153" t="str">
        <f>Helper1!A153</f>
        <v/>
      </c>
      <c r="B153" t="str">
        <f>Helper1!B153</f>
        <v/>
      </c>
      <c r="C153" t="str">
        <f>Helper1!C153</f>
        <v/>
      </c>
      <c r="D153" t="str">
        <f>Helper1!D153</f>
        <v/>
      </c>
      <c r="E153" t="str">
        <f>Helper1!E153</f>
        <v/>
      </c>
      <c r="H153" t="str">
        <f>Helper1!F153</f>
        <v/>
      </c>
      <c r="K153" t="str">
        <f>Helper1!G153</f>
        <v/>
      </c>
    </row>
    <row r="154" spans="1:11">
      <c r="A154" t="str">
        <f>Helper1!A154</f>
        <v/>
      </c>
      <c r="B154" t="str">
        <f>Helper1!B154</f>
        <v/>
      </c>
      <c r="C154" t="str">
        <f>Helper1!C154</f>
        <v/>
      </c>
      <c r="D154" t="str">
        <f>Helper1!D154</f>
        <v/>
      </c>
      <c r="E154" t="str">
        <f>Helper1!E154</f>
        <v/>
      </c>
      <c r="H154" t="str">
        <f>Helper1!F154</f>
        <v/>
      </c>
      <c r="K154" t="str">
        <f>Helper1!G154</f>
        <v/>
      </c>
    </row>
    <row r="155" spans="1:11">
      <c r="A155" t="str">
        <f>Helper1!A155</f>
        <v/>
      </c>
      <c r="B155" t="str">
        <f>Helper1!B155</f>
        <v/>
      </c>
      <c r="C155" t="str">
        <f>Helper1!C155</f>
        <v/>
      </c>
      <c r="D155" t="str">
        <f>Helper1!D155</f>
        <v/>
      </c>
      <c r="E155" t="str">
        <f>Helper1!E155</f>
        <v/>
      </c>
      <c r="H155" t="str">
        <f>Helper1!F155</f>
        <v/>
      </c>
      <c r="K155" t="str">
        <f>Helper1!G155</f>
        <v/>
      </c>
    </row>
    <row r="156" spans="1:11">
      <c r="A156" t="str">
        <f>Helper1!A156</f>
        <v/>
      </c>
      <c r="B156" t="str">
        <f>Helper1!B156</f>
        <v/>
      </c>
      <c r="C156" t="str">
        <f>Helper1!C156</f>
        <v/>
      </c>
      <c r="D156" t="str">
        <f>Helper1!D156</f>
        <v/>
      </c>
      <c r="E156" t="str">
        <f>Helper1!E156</f>
        <v/>
      </c>
      <c r="H156" t="str">
        <f>Helper1!F156</f>
        <v/>
      </c>
      <c r="K156" t="str">
        <f>Helper1!G156</f>
        <v/>
      </c>
    </row>
    <row r="157" spans="1:11">
      <c r="A157" t="str">
        <f>Helper1!A157</f>
        <v/>
      </c>
      <c r="B157" t="str">
        <f>Helper1!B157</f>
        <v/>
      </c>
      <c r="C157" t="str">
        <f>Helper1!C157</f>
        <v/>
      </c>
      <c r="D157" t="str">
        <f>Helper1!D157</f>
        <v/>
      </c>
      <c r="E157" t="str">
        <f>Helper1!E157</f>
        <v/>
      </c>
      <c r="H157" t="str">
        <f>Helper1!F157</f>
        <v/>
      </c>
      <c r="K157" t="str">
        <f>Helper1!G157</f>
        <v/>
      </c>
    </row>
    <row r="158" spans="1:11">
      <c r="A158" t="str">
        <f>Helper1!A158</f>
        <v/>
      </c>
      <c r="B158" t="str">
        <f>Helper1!B158</f>
        <v/>
      </c>
      <c r="C158" t="str">
        <f>Helper1!C158</f>
        <v/>
      </c>
      <c r="D158" t="str">
        <f>Helper1!D158</f>
        <v/>
      </c>
      <c r="E158" t="str">
        <f>Helper1!E158</f>
        <v/>
      </c>
      <c r="H158" t="str">
        <f>Helper1!F158</f>
        <v/>
      </c>
      <c r="K158" t="str">
        <f>Helper1!G158</f>
        <v/>
      </c>
    </row>
    <row r="159" spans="1:11">
      <c r="A159" t="str">
        <f>Helper1!A159</f>
        <v/>
      </c>
      <c r="B159" t="str">
        <f>Helper1!B159</f>
        <v/>
      </c>
      <c r="C159" t="str">
        <f>Helper1!C159</f>
        <v/>
      </c>
      <c r="D159" t="str">
        <f>Helper1!D159</f>
        <v/>
      </c>
      <c r="E159" t="str">
        <f>Helper1!E159</f>
        <v/>
      </c>
      <c r="H159" t="str">
        <f>Helper1!F159</f>
        <v/>
      </c>
      <c r="K159" t="str">
        <f>Helper1!G159</f>
        <v/>
      </c>
    </row>
    <row r="160" spans="1:11">
      <c r="A160" t="str">
        <f>Helper1!A160</f>
        <v/>
      </c>
      <c r="B160" t="str">
        <f>Helper1!B160</f>
        <v/>
      </c>
      <c r="C160" t="str">
        <f>Helper1!C160</f>
        <v/>
      </c>
      <c r="D160" t="str">
        <f>Helper1!D160</f>
        <v/>
      </c>
      <c r="E160" t="str">
        <f>Helper1!E160</f>
        <v/>
      </c>
      <c r="H160" t="str">
        <f>Helper1!F160</f>
        <v/>
      </c>
      <c r="K160" t="str">
        <f>Helper1!G160</f>
        <v/>
      </c>
    </row>
    <row r="161" spans="1:11">
      <c r="A161" t="str">
        <f>Helper1!A161</f>
        <v/>
      </c>
      <c r="B161" t="str">
        <f>Helper1!B161</f>
        <v/>
      </c>
      <c r="C161" t="str">
        <f>Helper1!C161</f>
        <v/>
      </c>
      <c r="D161" t="str">
        <f>Helper1!D161</f>
        <v/>
      </c>
      <c r="E161" t="str">
        <f>Helper1!E161</f>
        <v/>
      </c>
      <c r="H161" t="str">
        <f>Helper1!F161</f>
        <v/>
      </c>
      <c r="K161" t="str">
        <f>Helper1!G161</f>
        <v/>
      </c>
    </row>
    <row r="162" spans="1:11">
      <c r="A162" t="str">
        <f>Helper1!A162</f>
        <v/>
      </c>
      <c r="B162" t="str">
        <f>Helper1!B162</f>
        <v/>
      </c>
      <c r="C162" t="str">
        <f>Helper1!C162</f>
        <v/>
      </c>
      <c r="D162" t="str">
        <f>Helper1!D162</f>
        <v/>
      </c>
      <c r="E162" t="str">
        <f>Helper1!E162</f>
        <v/>
      </c>
      <c r="H162" t="str">
        <f>Helper1!F162</f>
        <v/>
      </c>
      <c r="K162" t="str">
        <f>Helper1!G162</f>
        <v/>
      </c>
    </row>
    <row r="163" spans="1:11">
      <c r="A163" t="str">
        <f>Helper1!A163</f>
        <v/>
      </c>
      <c r="B163" t="str">
        <f>Helper1!B163</f>
        <v/>
      </c>
      <c r="C163" t="str">
        <f>Helper1!C163</f>
        <v/>
      </c>
      <c r="D163" t="str">
        <f>Helper1!D163</f>
        <v/>
      </c>
      <c r="E163" t="str">
        <f>Helper1!E163</f>
        <v/>
      </c>
      <c r="H163" t="str">
        <f>Helper1!F163</f>
        <v/>
      </c>
      <c r="K163" t="str">
        <f>Helper1!G163</f>
        <v/>
      </c>
    </row>
    <row r="164" spans="1:11">
      <c r="A164" t="str">
        <f>Helper1!A164</f>
        <v/>
      </c>
      <c r="B164" t="str">
        <f>Helper1!B164</f>
        <v/>
      </c>
      <c r="C164" t="str">
        <f>Helper1!C164</f>
        <v/>
      </c>
      <c r="D164" t="str">
        <f>Helper1!D164</f>
        <v/>
      </c>
      <c r="E164" t="str">
        <f>Helper1!E164</f>
        <v/>
      </c>
      <c r="H164" t="str">
        <f>Helper1!F164</f>
        <v/>
      </c>
      <c r="K164" t="str">
        <f>Helper1!G164</f>
        <v/>
      </c>
    </row>
    <row r="165" spans="1:11">
      <c r="A165" t="str">
        <f>Helper1!A165</f>
        <v/>
      </c>
      <c r="B165" t="str">
        <f>Helper1!B165</f>
        <v/>
      </c>
      <c r="C165" t="str">
        <f>Helper1!C165</f>
        <v/>
      </c>
      <c r="D165" t="str">
        <f>Helper1!D165</f>
        <v/>
      </c>
      <c r="E165" t="str">
        <f>Helper1!E165</f>
        <v/>
      </c>
      <c r="H165" t="str">
        <f>Helper1!F165</f>
        <v/>
      </c>
      <c r="K165" t="str">
        <f>Helper1!G165</f>
        <v/>
      </c>
    </row>
    <row r="166" spans="1:11">
      <c r="A166" t="str">
        <f>Helper1!A166</f>
        <v/>
      </c>
      <c r="B166" t="str">
        <f>Helper1!B166</f>
        <v/>
      </c>
      <c r="C166" t="str">
        <f>Helper1!C166</f>
        <v/>
      </c>
      <c r="D166" t="str">
        <f>Helper1!D166</f>
        <v/>
      </c>
      <c r="E166" t="str">
        <f>Helper1!E166</f>
        <v/>
      </c>
      <c r="H166" t="str">
        <f>Helper1!F166</f>
        <v/>
      </c>
      <c r="K166" t="str">
        <f>Helper1!G166</f>
        <v/>
      </c>
    </row>
    <row r="167" spans="1:11">
      <c r="A167" t="str">
        <f>Helper1!A167</f>
        <v/>
      </c>
      <c r="B167" t="str">
        <f>Helper1!B167</f>
        <v/>
      </c>
      <c r="C167" t="str">
        <f>Helper1!C167</f>
        <v/>
      </c>
      <c r="D167" t="str">
        <f>Helper1!D167</f>
        <v/>
      </c>
      <c r="E167" t="str">
        <f>Helper1!E167</f>
        <v/>
      </c>
      <c r="H167" t="str">
        <f>Helper1!F167</f>
        <v/>
      </c>
      <c r="K167" t="str">
        <f>Helper1!G167</f>
        <v/>
      </c>
    </row>
    <row r="168" spans="1:11">
      <c r="A168" t="str">
        <f>Helper1!A168</f>
        <v/>
      </c>
      <c r="B168" t="str">
        <f>Helper1!B168</f>
        <v/>
      </c>
      <c r="C168" t="str">
        <f>Helper1!C168</f>
        <v/>
      </c>
      <c r="D168" t="str">
        <f>Helper1!D168</f>
        <v/>
      </c>
      <c r="E168" t="str">
        <f>Helper1!E168</f>
        <v/>
      </c>
      <c r="H168" t="str">
        <f>Helper1!F168</f>
        <v/>
      </c>
      <c r="K168" t="str">
        <f>Helper1!G168</f>
        <v/>
      </c>
    </row>
    <row r="169" spans="1:11">
      <c r="A169" t="str">
        <f>Helper1!A169</f>
        <v/>
      </c>
      <c r="B169" t="str">
        <f>Helper1!B169</f>
        <v/>
      </c>
      <c r="C169" t="str">
        <f>Helper1!C169</f>
        <v/>
      </c>
      <c r="D169" t="str">
        <f>Helper1!D169</f>
        <v/>
      </c>
      <c r="E169" t="str">
        <f>Helper1!E169</f>
        <v/>
      </c>
      <c r="H169" t="str">
        <f>Helper1!F169</f>
        <v/>
      </c>
      <c r="K169" t="str">
        <f>Helper1!G169</f>
        <v/>
      </c>
    </row>
    <row r="170" spans="1:11">
      <c r="A170" t="str">
        <f>Helper1!A170</f>
        <v/>
      </c>
      <c r="B170" t="str">
        <f>Helper1!B170</f>
        <v/>
      </c>
      <c r="C170" t="str">
        <f>Helper1!C170</f>
        <v/>
      </c>
      <c r="D170" t="str">
        <f>Helper1!D170</f>
        <v/>
      </c>
      <c r="E170" t="str">
        <f>Helper1!E170</f>
        <v/>
      </c>
      <c r="H170" t="str">
        <f>Helper1!F170</f>
        <v/>
      </c>
      <c r="K170" t="str">
        <f>Helper1!G170</f>
        <v/>
      </c>
    </row>
    <row r="171" spans="1:11">
      <c r="A171" t="str">
        <f>Helper1!A171</f>
        <v/>
      </c>
      <c r="B171" t="str">
        <f>Helper1!B171</f>
        <v/>
      </c>
      <c r="C171" t="str">
        <f>Helper1!C171</f>
        <v/>
      </c>
      <c r="D171" t="str">
        <f>Helper1!D171</f>
        <v/>
      </c>
      <c r="E171" t="str">
        <f>Helper1!E171</f>
        <v/>
      </c>
      <c r="H171" t="str">
        <f>Helper1!F171</f>
        <v/>
      </c>
      <c r="K171" t="str">
        <f>Helper1!G171</f>
        <v/>
      </c>
    </row>
    <row r="172" spans="1:11">
      <c r="A172" t="str">
        <f>Helper1!A172</f>
        <v/>
      </c>
      <c r="B172" t="str">
        <f>Helper1!B172</f>
        <v/>
      </c>
      <c r="C172" t="str">
        <f>Helper1!C172</f>
        <v/>
      </c>
      <c r="D172" t="str">
        <f>Helper1!D172</f>
        <v/>
      </c>
      <c r="E172" t="str">
        <f>Helper1!E172</f>
        <v/>
      </c>
      <c r="H172" t="str">
        <f>Helper1!F172</f>
        <v/>
      </c>
      <c r="K172" t="str">
        <f>Helper1!G172</f>
        <v/>
      </c>
    </row>
    <row r="173" spans="1:11">
      <c r="A173" t="str">
        <f>Helper1!A173</f>
        <v/>
      </c>
      <c r="B173" t="str">
        <f>Helper1!B173</f>
        <v/>
      </c>
      <c r="C173" t="str">
        <f>Helper1!C173</f>
        <v/>
      </c>
      <c r="D173" t="str">
        <f>Helper1!D173</f>
        <v/>
      </c>
      <c r="E173" t="str">
        <f>Helper1!E173</f>
        <v/>
      </c>
      <c r="H173" t="str">
        <f>Helper1!F173</f>
        <v/>
      </c>
      <c r="K173" t="str">
        <f>Helper1!G173</f>
        <v/>
      </c>
    </row>
    <row r="174" spans="1:11">
      <c r="A174" t="str">
        <f>Helper1!A174</f>
        <v/>
      </c>
      <c r="B174" t="str">
        <f>Helper1!B174</f>
        <v/>
      </c>
      <c r="C174" t="str">
        <f>Helper1!C174</f>
        <v/>
      </c>
      <c r="D174" t="str">
        <f>Helper1!D174</f>
        <v/>
      </c>
      <c r="E174" t="str">
        <f>Helper1!E174</f>
        <v/>
      </c>
      <c r="H174" t="str">
        <f>Helper1!F174</f>
        <v/>
      </c>
      <c r="K174" t="str">
        <f>Helper1!G174</f>
        <v/>
      </c>
    </row>
    <row r="175" spans="1:11">
      <c r="A175" t="str">
        <f>Helper1!A175</f>
        <v/>
      </c>
      <c r="B175" t="str">
        <f>Helper1!B175</f>
        <v/>
      </c>
      <c r="C175" t="str">
        <f>Helper1!C175</f>
        <v/>
      </c>
      <c r="D175" t="str">
        <f>Helper1!D175</f>
        <v/>
      </c>
      <c r="E175" t="str">
        <f>Helper1!E175</f>
        <v/>
      </c>
      <c r="H175" t="str">
        <f>Helper1!F175</f>
        <v/>
      </c>
      <c r="K175" t="str">
        <f>Helper1!G175</f>
        <v/>
      </c>
    </row>
    <row r="176" spans="1:11">
      <c r="A176" t="str">
        <f>Helper1!A176</f>
        <v/>
      </c>
      <c r="B176" t="str">
        <f>Helper1!B176</f>
        <v/>
      </c>
      <c r="C176" t="str">
        <f>Helper1!C176</f>
        <v/>
      </c>
      <c r="D176" t="str">
        <f>Helper1!D176</f>
        <v/>
      </c>
      <c r="E176" t="str">
        <f>Helper1!E176</f>
        <v/>
      </c>
      <c r="H176" t="str">
        <f>Helper1!F176</f>
        <v/>
      </c>
      <c r="K176" t="str">
        <f>Helper1!G176</f>
        <v/>
      </c>
    </row>
    <row r="177" spans="1:11">
      <c r="A177" t="str">
        <f>Helper1!A177</f>
        <v/>
      </c>
      <c r="B177" t="str">
        <f>Helper1!B177</f>
        <v/>
      </c>
      <c r="C177" t="str">
        <f>Helper1!C177</f>
        <v/>
      </c>
      <c r="D177" t="str">
        <f>Helper1!D177</f>
        <v/>
      </c>
      <c r="E177" t="str">
        <f>Helper1!E177</f>
        <v/>
      </c>
      <c r="H177" t="str">
        <f>Helper1!F177</f>
        <v/>
      </c>
      <c r="K177" t="str">
        <f>Helper1!G177</f>
        <v/>
      </c>
    </row>
    <row r="178" spans="1:11">
      <c r="A178" t="str">
        <f>Helper1!A178</f>
        <v/>
      </c>
      <c r="B178" t="str">
        <f>Helper1!B178</f>
        <v/>
      </c>
      <c r="C178" t="str">
        <f>Helper1!C178</f>
        <v/>
      </c>
      <c r="D178" t="str">
        <f>Helper1!D178</f>
        <v/>
      </c>
      <c r="E178" t="str">
        <f>Helper1!E178</f>
        <v/>
      </c>
      <c r="H178" t="str">
        <f>Helper1!F178</f>
        <v/>
      </c>
      <c r="K178" t="str">
        <f>Helper1!G178</f>
        <v/>
      </c>
    </row>
    <row r="179" spans="1:11">
      <c r="A179" t="str">
        <f>Helper1!A179</f>
        <v/>
      </c>
      <c r="B179" t="str">
        <f>Helper1!B179</f>
        <v/>
      </c>
      <c r="C179" t="str">
        <f>Helper1!C179</f>
        <v/>
      </c>
      <c r="D179" t="str">
        <f>Helper1!D179</f>
        <v/>
      </c>
      <c r="E179" t="str">
        <f>Helper1!E179</f>
        <v/>
      </c>
      <c r="H179" t="str">
        <f>Helper1!F179</f>
        <v/>
      </c>
      <c r="K179" t="str">
        <f>Helper1!G179</f>
        <v/>
      </c>
    </row>
    <row r="180" spans="1:11">
      <c r="A180" t="str">
        <f>Helper1!A180</f>
        <v/>
      </c>
      <c r="B180" t="str">
        <f>Helper1!B180</f>
        <v/>
      </c>
      <c r="C180" t="str">
        <f>Helper1!C180</f>
        <v/>
      </c>
      <c r="D180" t="str">
        <f>Helper1!D180</f>
        <v/>
      </c>
      <c r="E180" t="str">
        <f>Helper1!E180</f>
        <v/>
      </c>
      <c r="H180" t="str">
        <f>Helper1!F180</f>
        <v/>
      </c>
      <c r="K180" t="str">
        <f>Helper1!G180</f>
        <v/>
      </c>
    </row>
    <row r="181" spans="1:11">
      <c r="A181" t="str">
        <f>Helper1!A181</f>
        <v/>
      </c>
      <c r="B181" t="str">
        <f>Helper1!B181</f>
        <v/>
      </c>
      <c r="C181" t="str">
        <f>Helper1!C181</f>
        <v/>
      </c>
      <c r="D181" t="str">
        <f>Helper1!D181</f>
        <v/>
      </c>
      <c r="E181" t="str">
        <f>Helper1!E181</f>
        <v/>
      </c>
      <c r="H181" t="str">
        <f>Helper1!F181</f>
        <v/>
      </c>
      <c r="K181" t="str">
        <f>Helper1!G181</f>
        <v/>
      </c>
    </row>
    <row r="182" spans="1:11">
      <c r="A182" t="str">
        <f>Helper1!A182</f>
        <v/>
      </c>
      <c r="B182" t="str">
        <f>Helper1!B182</f>
        <v/>
      </c>
      <c r="C182" t="str">
        <f>Helper1!C182</f>
        <v/>
      </c>
      <c r="D182" t="str">
        <f>Helper1!D182</f>
        <v/>
      </c>
      <c r="E182" t="str">
        <f>Helper1!E182</f>
        <v/>
      </c>
      <c r="H182" t="str">
        <f>Helper1!F182</f>
        <v/>
      </c>
      <c r="K182" t="str">
        <f>Helper1!G182</f>
        <v/>
      </c>
    </row>
    <row r="183" spans="1:11">
      <c r="A183" t="str">
        <f>Helper1!A183</f>
        <v/>
      </c>
      <c r="B183" t="str">
        <f>Helper1!B183</f>
        <v/>
      </c>
      <c r="C183" t="str">
        <f>Helper1!C183</f>
        <v/>
      </c>
      <c r="D183" t="str">
        <f>Helper1!D183</f>
        <v/>
      </c>
      <c r="E183" t="str">
        <f>Helper1!E183</f>
        <v/>
      </c>
      <c r="H183" t="str">
        <f>Helper1!F183</f>
        <v/>
      </c>
      <c r="K183" t="str">
        <f>Helper1!G183</f>
        <v/>
      </c>
    </row>
    <row r="184" spans="1:11">
      <c r="A184" t="str">
        <f>Helper1!A184</f>
        <v/>
      </c>
      <c r="B184" t="str">
        <f>Helper1!B184</f>
        <v/>
      </c>
      <c r="C184" t="str">
        <f>Helper1!C184</f>
        <v/>
      </c>
      <c r="D184" t="str">
        <f>Helper1!D184</f>
        <v/>
      </c>
      <c r="E184" t="str">
        <f>Helper1!E184</f>
        <v/>
      </c>
      <c r="H184" t="str">
        <f>Helper1!F184</f>
        <v/>
      </c>
      <c r="K184" t="str">
        <f>Helper1!G184</f>
        <v/>
      </c>
    </row>
    <row r="185" spans="1:11">
      <c r="A185" t="str">
        <f>Helper1!A185</f>
        <v/>
      </c>
      <c r="B185" t="str">
        <f>Helper1!B185</f>
        <v/>
      </c>
      <c r="C185" t="str">
        <f>Helper1!C185</f>
        <v/>
      </c>
      <c r="D185" t="str">
        <f>Helper1!D185</f>
        <v/>
      </c>
      <c r="E185" t="str">
        <f>Helper1!E185</f>
        <v/>
      </c>
      <c r="H185" t="str">
        <f>Helper1!F185</f>
        <v/>
      </c>
      <c r="K185" t="str">
        <f>Helper1!G185</f>
        <v/>
      </c>
    </row>
    <row r="186" spans="1:11">
      <c r="A186" t="str">
        <f>Helper1!A186</f>
        <v/>
      </c>
      <c r="B186" t="str">
        <f>Helper1!B186</f>
        <v/>
      </c>
      <c r="C186" t="str">
        <f>Helper1!C186</f>
        <v/>
      </c>
      <c r="D186" t="str">
        <f>Helper1!D186</f>
        <v/>
      </c>
      <c r="E186" t="str">
        <f>Helper1!E186</f>
        <v/>
      </c>
      <c r="H186" t="str">
        <f>Helper1!F186</f>
        <v/>
      </c>
      <c r="K186" t="str">
        <f>Helper1!G186</f>
        <v/>
      </c>
    </row>
    <row r="187" spans="1:11">
      <c r="A187" t="str">
        <f>Helper1!A187</f>
        <v/>
      </c>
      <c r="B187" t="str">
        <f>Helper1!B187</f>
        <v/>
      </c>
      <c r="C187" t="str">
        <f>Helper1!C187</f>
        <v/>
      </c>
      <c r="D187" t="str">
        <f>Helper1!D187</f>
        <v/>
      </c>
      <c r="E187" t="str">
        <f>Helper1!E187</f>
        <v/>
      </c>
      <c r="H187" t="str">
        <f>Helper1!F187</f>
        <v/>
      </c>
      <c r="K187" t="str">
        <f>Helper1!G187</f>
        <v/>
      </c>
    </row>
    <row r="188" spans="1:11">
      <c r="A188" t="str">
        <f>Helper1!A188</f>
        <v/>
      </c>
      <c r="B188" t="str">
        <f>Helper1!B188</f>
        <v/>
      </c>
      <c r="C188" t="str">
        <f>Helper1!C188</f>
        <v/>
      </c>
      <c r="D188" t="str">
        <f>Helper1!D188</f>
        <v/>
      </c>
      <c r="E188" t="str">
        <f>Helper1!E188</f>
        <v/>
      </c>
      <c r="H188" t="str">
        <f>Helper1!F188</f>
        <v/>
      </c>
      <c r="K188" t="str">
        <f>Helper1!G188</f>
        <v/>
      </c>
    </row>
    <row r="189" spans="1:11">
      <c r="A189" t="str">
        <f>Helper1!A189</f>
        <v/>
      </c>
      <c r="B189" t="str">
        <f>Helper1!B189</f>
        <v/>
      </c>
      <c r="C189" t="str">
        <f>Helper1!C189</f>
        <v/>
      </c>
      <c r="D189" t="str">
        <f>Helper1!D189</f>
        <v/>
      </c>
      <c r="E189" t="str">
        <f>Helper1!E189</f>
        <v/>
      </c>
      <c r="H189" t="str">
        <f>Helper1!F189</f>
        <v/>
      </c>
      <c r="K189" t="str">
        <f>Helper1!G189</f>
        <v/>
      </c>
    </row>
    <row r="190" spans="1:11">
      <c r="A190" t="str">
        <f>Helper1!A190</f>
        <v/>
      </c>
      <c r="B190" t="str">
        <f>Helper1!B190</f>
        <v/>
      </c>
      <c r="C190" t="str">
        <f>Helper1!C190</f>
        <v/>
      </c>
      <c r="D190" t="str">
        <f>Helper1!D190</f>
        <v/>
      </c>
      <c r="E190" t="str">
        <f>Helper1!E190</f>
        <v/>
      </c>
      <c r="H190" t="str">
        <f>Helper1!F190</f>
        <v/>
      </c>
      <c r="K190" t="str">
        <f>Helper1!G190</f>
        <v/>
      </c>
    </row>
    <row r="191" spans="1:11">
      <c r="A191" t="str">
        <f>Helper1!A191</f>
        <v/>
      </c>
      <c r="B191" t="str">
        <f>Helper1!B191</f>
        <v/>
      </c>
      <c r="C191" t="str">
        <f>Helper1!C191</f>
        <v/>
      </c>
      <c r="D191" t="str">
        <f>Helper1!D191</f>
        <v/>
      </c>
      <c r="E191" t="str">
        <f>Helper1!E191</f>
        <v/>
      </c>
      <c r="H191" t="str">
        <f>Helper1!F191</f>
        <v/>
      </c>
      <c r="K191" t="str">
        <f>Helper1!G191</f>
        <v/>
      </c>
    </row>
    <row r="192" spans="1:11">
      <c r="A192" t="str">
        <f>Helper1!A192</f>
        <v/>
      </c>
      <c r="B192" t="str">
        <f>Helper1!B192</f>
        <v/>
      </c>
      <c r="C192" t="str">
        <f>Helper1!C192</f>
        <v/>
      </c>
      <c r="D192" t="str">
        <f>Helper1!D192</f>
        <v/>
      </c>
      <c r="E192" t="str">
        <f>Helper1!E192</f>
        <v/>
      </c>
      <c r="H192" t="str">
        <f>Helper1!F192</f>
        <v/>
      </c>
      <c r="K192" t="str">
        <f>Helper1!G192</f>
        <v/>
      </c>
    </row>
    <row r="193" spans="1:11">
      <c r="A193" t="str">
        <f>Helper1!A193</f>
        <v/>
      </c>
      <c r="B193" t="str">
        <f>Helper1!B193</f>
        <v/>
      </c>
      <c r="C193" t="str">
        <f>Helper1!C193</f>
        <v/>
      </c>
      <c r="D193" t="str">
        <f>Helper1!D193</f>
        <v/>
      </c>
      <c r="E193" t="str">
        <f>Helper1!E193</f>
        <v/>
      </c>
      <c r="H193" t="str">
        <f>Helper1!F193</f>
        <v/>
      </c>
      <c r="K193" t="str">
        <f>Helper1!G193</f>
        <v/>
      </c>
    </row>
    <row r="194" spans="1:11">
      <c r="A194" t="str">
        <f>Helper1!A194</f>
        <v/>
      </c>
      <c r="B194" t="str">
        <f>Helper1!B194</f>
        <v/>
      </c>
      <c r="C194" t="str">
        <f>Helper1!C194</f>
        <v/>
      </c>
      <c r="D194" t="str">
        <f>Helper1!D194</f>
        <v/>
      </c>
      <c r="E194" t="str">
        <f>Helper1!E194</f>
        <v/>
      </c>
      <c r="H194" t="str">
        <f>Helper1!F194</f>
        <v/>
      </c>
      <c r="K194" t="str">
        <f>Helper1!G194</f>
        <v/>
      </c>
    </row>
    <row r="195" spans="1:11">
      <c r="A195" t="str">
        <f>Helper1!A195</f>
        <v/>
      </c>
      <c r="B195" t="str">
        <f>Helper1!B195</f>
        <v/>
      </c>
      <c r="C195" t="str">
        <f>Helper1!C195</f>
        <v/>
      </c>
      <c r="D195" t="str">
        <f>Helper1!D195</f>
        <v/>
      </c>
      <c r="E195" t="str">
        <f>Helper1!E195</f>
        <v/>
      </c>
      <c r="H195" t="str">
        <f>Helper1!F195</f>
        <v/>
      </c>
      <c r="K195" t="str">
        <f>Helper1!G195</f>
        <v/>
      </c>
    </row>
    <row r="196" spans="1:11">
      <c r="A196" t="str">
        <f>Helper1!A196</f>
        <v/>
      </c>
      <c r="B196" t="str">
        <f>Helper1!B196</f>
        <v/>
      </c>
      <c r="C196" t="str">
        <f>Helper1!C196</f>
        <v/>
      </c>
      <c r="D196" t="str">
        <f>Helper1!D196</f>
        <v/>
      </c>
      <c r="E196" t="str">
        <f>Helper1!E196</f>
        <v/>
      </c>
      <c r="H196" t="str">
        <f>Helper1!F196</f>
        <v/>
      </c>
      <c r="K196" t="str">
        <f>Helper1!G196</f>
        <v/>
      </c>
    </row>
    <row r="197" spans="1:11">
      <c r="A197" t="str">
        <f>Helper1!A197</f>
        <v/>
      </c>
      <c r="B197" t="str">
        <f>Helper1!B197</f>
        <v/>
      </c>
      <c r="C197" t="str">
        <f>Helper1!C197</f>
        <v/>
      </c>
      <c r="D197" t="str">
        <f>Helper1!D197</f>
        <v/>
      </c>
      <c r="E197" t="str">
        <f>Helper1!E197</f>
        <v/>
      </c>
      <c r="H197" t="str">
        <f>Helper1!F197</f>
        <v/>
      </c>
      <c r="K197" t="str">
        <f>Helper1!G197</f>
        <v/>
      </c>
    </row>
    <row r="198" spans="1:11">
      <c r="A198" t="str">
        <f>Helper1!A198</f>
        <v/>
      </c>
      <c r="B198" t="str">
        <f>Helper1!B198</f>
        <v/>
      </c>
      <c r="C198" t="str">
        <f>Helper1!C198</f>
        <v/>
      </c>
      <c r="D198" t="str">
        <f>Helper1!D198</f>
        <v/>
      </c>
      <c r="E198" t="str">
        <f>Helper1!E198</f>
        <v/>
      </c>
      <c r="H198" t="str">
        <f>Helper1!F198</f>
        <v/>
      </c>
      <c r="K198" t="str">
        <f>Helper1!G198</f>
        <v/>
      </c>
    </row>
    <row r="199" spans="1:11">
      <c r="A199" t="str">
        <f>Helper1!A199</f>
        <v/>
      </c>
      <c r="B199" t="str">
        <f>Helper1!B199</f>
        <v/>
      </c>
      <c r="C199" t="str">
        <f>Helper1!C199</f>
        <v/>
      </c>
      <c r="D199" t="str">
        <f>Helper1!D199</f>
        <v/>
      </c>
      <c r="E199" t="str">
        <f>Helper1!E199</f>
        <v/>
      </c>
      <c r="H199" t="str">
        <f>Helper1!F199</f>
        <v/>
      </c>
      <c r="K199" t="str">
        <f>Helper1!G199</f>
        <v/>
      </c>
    </row>
    <row r="200" spans="1:11">
      <c r="A200" t="str">
        <f>Helper1!A200</f>
        <v/>
      </c>
      <c r="B200" t="str">
        <f>Helper1!B200</f>
        <v/>
      </c>
      <c r="C200" t="str">
        <f>Helper1!C200</f>
        <v/>
      </c>
      <c r="D200" t="str">
        <f>Helper1!D200</f>
        <v/>
      </c>
      <c r="E200" t="str">
        <f>Helper1!E200</f>
        <v/>
      </c>
      <c r="H200" t="str">
        <f>Helper1!F200</f>
        <v/>
      </c>
      <c r="K200" t="str">
        <f>Helper1!G200</f>
        <v/>
      </c>
    </row>
    <row r="299" spans="1:11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</row>
    <row r="300" spans="1:11">
      <c r="A300" t="str">
        <f>Helper5!B2</f>
        <v/>
      </c>
      <c r="B300" t="str">
        <f>Helper5!C2</f>
        <v/>
      </c>
      <c r="C300" t="str">
        <f>Helper5!E2</f>
        <v/>
      </c>
      <c r="D300" t="str">
        <f>Helper5!D2</f>
        <v/>
      </c>
      <c r="E300" t="str">
        <f>Helper5!F2</f>
        <v/>
      </c>
      <c r="H300" t="str">
        <f>Helper5!G2</f>
        <v/>
      </c>
      <c r="K300" t="str">
        <f>Helper5!H2</f>
        <v/>
      </c>
    </row>
    <row r="301" spans="1:11">
      <c r="A301" t="str">
        <f>Helper5!B3</f>
        <v/>
      </c>
      <c r="B301" t="str">
        <f>Helper5!C3</f>
        <v/>
      </c>
      <c r="C301" t="str">
        <f>Helper5!E3</f>
        <v/>
      </c>
      <c r="D301" t="str">
        <f>Helper5!D3</f>
        <v/>
      </c>
      <c r="E301" t="str">
        <f>Helper5!F3</f>
        <v/>
      </c>
      <c r="H301" t="str">
        <f>Helper5!G3</f>
        <v/>
      </c>
      <c r="K301" t="str">
        <f>Helper5!H3</f>
        <v/>
      </c>
    </row>
    <row r="302" spans="1:11">
      <c r="A302" t="str">
        <f>Helper5!B4</f>
        <v/>
      </c>
      <c r="B302" t="str">
        <f>Helper5!C4</f>
        <v/>
      </c>
      <c r="C302" t="str">
        <f>Helper5!E4</f>
        <v/>
      </c>
      <c r="D302" t="str">
        <f>Helper5!D4</f>
        <v/>
      </c>
      <c r="E302" t="str">
        <f>Helper5!F4</f>
        <v/>
      </c>
      <c r="H302" t="str">
        <f>Helper5!G4</f>
        <v/>
      </c>
      <c r="K302" t="str">
        <f>Helper5!H4</f>
        <v/>
      </c>
    </row>
    <row r="303" spans="1:11">
      <c r="A303" t="str">
        <f>Helper5!B5</f>
        <v/>
      </c>
      <c r="B303" t="str">
        <f>Helper5!C5</f>
        <v/>
      </c>
      <c r="C303" t="str">
        <f>Helper5!E5</f>
        <v/>
      </c>
      <c r="D303" t="str">
        <f>Helper5!D5</f>
        <v/>
      </c>
      <c r="E303" t="str">
        <f>Helper5!F5</f>
        <v/>
      </c>
      <c r="H303" t="str">
        <f>Helper5!G5</f>
        <v/>
      </c>
      <c r="K303" t="str">
        <f>Helper5!H5</f>
        <v/>
      </c>
    </row>
    <row r="304" spans="1:11">
      <c r="A304" t="str">
        <f>Helper5!B6</f>
        <v/>
      </c>
      <c r="B304" t="str">
        <f>Helper5!C6</f>
        <v/>
      </c>
      <c r="C304" t="str">
        <f>Helper5!E6</f>
        <v/>
      </c>
      <c r="D304" t="str">
        <f>Helper5!D6</f>
        <v/>
      </c>
      <c r="E304" t="str">
        <f>Helper5!F6</f>
        <v/>
      </c>
      <c r="H304" t="str">
        <f>Helper5!G6</f>
        <v/>
      </c>
      <c r="K304" t="str">
        <f>Helper5!H6</f>
        <v/>
      </c>
    </row>
    <row r="305" spans="1:11">
      <c r="A305" t="str">
        <f>Helper5!B7</f>
        <v/>
      </c>
      <c r="B305" t="str">
        <f>Helper5!C7</f>
        <v/>
      </c>
      <c r="C305" t="str">
        <f>Helper5!E7</f>
        <v/>
      </c>
      <c r="D305" t="str">
        <f>Helper5!D7</f>
        <v/>
      </c>
      <c r="E305" t="str">
        <f>Helper5!F7</f>
        <v/>
      </c>
      <c r="H305" t="str">
        <f>Helper5!G7</f>
        <v/>
      </c>
      <c r="K305" t="str">
        <f>Helper5!H7</f>
        <v/>
      </c>
    </row>
    <row r="306" spans="1:11">
      <c r="A306" t="str">
        <f>Helper5!B8</f>
        <v/>
      </c>
      <c r="B306" t="str">
        <f>Helper5!C8</f>
        <v/>
      </c>
      <c r="C306" t="str">
        <f>Helper5!E8</f>
        <v/>
      </c>
      <c r="D306" t="str">
        <f>Helper5!D8</f>
        <v/>
      </c>
      <c r="E306" t="str">
        <f>Helper5!F8</f>
        <v/>
      </c>
      <c r="H306" t="str">
        <f>Helper5!G8</f>
        <v/>
      </c>
      <c r="K306" t="str">
        <f>Helper5!H8</f>
        <v/>
      </c>
    </row>
    <row r="307" spans="1:11">
      <c r="A307" t="str">
        <f>Helper5!B9</f>
        <v/>
      </c>
      <c r="B307" t="str">
        <f>Helper5!C9</f>
        <v/>
      </c>
      <c r="C307" t="str">
        <f>Helper5!E9</f>
        <v/>
      </c>
      <c r="D307" t="str">
        <f>Helper5!D9</f>
        <v/>
      </c>
      <c r="E307" t="str">
        <f>Helper5!F9</f>
        <v/>
      </c>
      <c r="H307" t="str">
        <f>Helper5!G9</f>
        <v/>
      </c>
      <c r="K307" t="str">
        <f>Helper5!H9</f>
        <v/>
      </c>
    </row>
    <row r="308" spans="1:11">
      <c r="A308" t="str">
        <f>Helper5!B10</f>
        <v/>
      </c>
      <c r="B308" t="str">
        <f>Helper5!C10</f>
        <v/>
      </c>
      <c r="C308" t="str">
        <f>Helper5!E10</f>
        <v/>
      </c>
      <c r="D308" t="str">
        <f>Helper5!D10</f>
        <v/>
      </c>
      <c r="E308" t="str">
        <f>Helper5!F10</f>
        <v/>
      </c>
      <c r="H308" t="str">
        <f>Helper5!G10</f>
        <v/>
      </c>
      <c r="K308" t="str">
        <f>Helper5!H10</f>
        <v/>
      </c>
    </row>
    <row r="309" spans="1:11">
      <c r="A309" t="str">
        <f>Helper5!B11</f>
        <v/>
      </c>
      <c r="B309" t="str">
        <f>Helper5!C11</f>
        <v/>
      </c>
      <c r="C309" t="str">
        <f>Helper5!E11</f>
        <v/>
      </c>
      <c r="D309" t="str">
        <f>Helper5!D11</f>
        <v/>
      </c>
      <c r="E309" t="str">
        <f>Helper5!F11</f>
        <v/>
      </c>
      <c r="H309" t="str">
        <f>Helper5!G11</f>
        <v/>
      </c>
      <c r="K309" t="str">
        <f>Helper5!H11</f>
        <v/>
      </c>
    </row>
    <row r="310" spans="1:11">
      <c r="A310" t="str">
        <f>Helper5!B12</f>
        <v/>
      </c>
      <c r="B310" t="str">
        <f>Helper5!C12</f>
        <v/>
      </c>
      <c r="C310" t="str">
        <f>Helper5!E12</f>
        <v/>
      </c>
      <c r="D310" t="str">
        <f>Helper5!D12</f>
        <v/>
      </c>
      <c r="E310" t="str">
        <f>Helper5!F12</f>
        <v/>
      </c>
      <c r="H310" t="str">
        <f>Helper5!G12</f>
        <v/>
      </c>
      <c r="K310" t="str">
        <f>Helper5!H12</f>
        <v/>
      </c>
    </row>
    <row r="311" spans="1:11">
      <c r="A311" t="str">
        <f>Helper5!B13</f>
        <v/>
      </c>
      <c r="B311" t="str">
        <f>Helper5!C13</f>
        <v/>
      </c>
      <c r="C311" t="str">
        <f>Helper5!E13</f>
        <v/>
      </c>
      <c r="D311" t="str">
        <f>Helper5!D13</f>
        <v/>
      </c>
      <c r="E311" t="str">
        <f>Helper5!F13</f>
        <v/>
      </c>
      <c r="H311" t="str">
        <f>Helper5!G13</f>
        <v/>
      </c>
      <c r="K311" t="str">
        <f>Helper5!H13</f>
        <v/>
      </c>
    </row>
    <row r="312" spans="1:11">
      <c r="A312" t="str">
        <f>Helper5!B14</f>
        <v/>
      </c>
      <c r="B312" t="str">
        <f>Helper5!C14</f>
        <v/>
      </c>
      <c r="C312" t="str">
        <f>Helper5!E14</f>
        <v/>
      </c>
      <c r="D312" t="str">
        <f>Helper5!D14</f>
        <v/>
      </c>
      <c r="E312" t="str">
        <f>Helper5!F14</f>
        <v/>
      </c>
      <c r="H312" t="str">
        <f>Helper5!G14</f>
        <v/>
      </c>
      <c r="K312" t="str">
        <f>Helper5!H14</f>
        <v/>
      </c>
    </row>
    <row r="313" spans="1:11">
      <c r="A313" t="str">
        <f>Helper5!B15</f>
        <v/>
      </c>
      <c r="B313" t="str">
        <f>Helper5!C15</f>
        <v/>
      </c>
      <c r="C313" t="str">
        <f>Helper5!E15</f>
        <v/>
      </c>
      <c r="D313" t="str">
        <f>Helper5!D15</f>
        <v/>
      </c>
      <c r="E313" t="str">
        <f>Helper5!F15</f>
        <v/>
      </c>
      <c r="H313" t="str">
        <f>Helper5!G15</f>
        <v/>
      </c>
      <c r="K313" t="str">
        <f>Helper5!H15</f>
        <v/>
      </c>
    </row>
    <row r="314" spans="1:11">
      <c r="A314" t="str">
        <f>Helper5!B16</f>
        <v/>
      </c>
      <c r="B314" t="str">
        <f>Helper5!C16</f>
        <v/>
      </c>
      <c r="C314" t="str">
        <f>Helper5!E16</f>
        <v/>
      </c>
      <c r="D314" t="str">
        <f>Helper5!D16</f>
        <v/>
      </c>
      <c r="E314" t="str">
        <f>Helper5!F16</f>
        <v/>
      </c>
      <c r="H314" t="str">
        <f>Helper5!G16</f>
        <v/>
      </c>
      <c r="K314" t="str">
        <f>Helper5!H16</f>
        <v/>
      </c>
    </row>
    <row r="315" spans="1:11">
      <c r="A315" t="str">
        <f>Helper5!B17</f>
        <v/>
      </c>
      <c r="B315" t="str">
        <f>Helper5!C17</f>
        <v/>
      </c>
      <c r="C315" t="str">
        <f>Helper5!E17</f>
        <v/>
      </c>
      <c r="D315" t="str">
        <f>Helper5!D17</f>
        <v/>
      </c>
      <c r="E315" t="str">
        <f>Helper5!F17</f>
        <v/>
      </c>
      <c r="H315" t="str">
        <f>Helper5!G17</f>
        <v/>
      </c>
      <c r="K315" t="str">
        <f>Helper5!H17</f>
        <v/>
      </c>
    </row>
    <row r="316" spans="1:11">
      <c r="A316" t="str">
        <f>Helper5!B18</f>
        <v/>
      </c>
      <c r="B316" t="str">
        <f>Helper5!C18</f>
        <v/>
      </c>
      <c r="C316" t="str">
        <f>Helper5!E18</f>
        <v/>
      </c>
      <c r="D316" t="str">
        <f>Helper5!D18</f>
        <v/>
      </c>
      <c r="E316" t="str">
        <f>Helper5!F18</f>
        <v/>
      </c>
      <c r="H316" t="str">
        <f>Helper5!G18</f>
        <v/>
      </c>
      <c r="K316" t="str">
        <f>Helper5!H18</f>
        <v/>
      </c>
    </row>
    <row r="317" spans="1:11">
      <c r="A317" t="str">
        <f>Helper5!B19</f>
        <v/>
      </c>
      <c r="B317" t="str">
        <f>Helper5!C19</f>
        <v/>
      </c>
      <c r="C317" t="str">
        <f>Helper5!E19</f>
        <v/>
      </c>
      <c r="D317" t="str">
        <f>Helper5!D19</f>
        <v/>
      </c>
      <c r="E317" t="str">
        <f>Helper5!F19</f>
        <v/>
      </c>
      <c r="H317" t="str">
        <f>Helper5!G19</f>
        <v/>
      </c>
      <c r="K317" t="str">
        <f>Helper5!H19</f>
        <v/>
      </c>
    </row>
    <row r="318" spans="1:11">
      <c r="A318" t="str">
        <f>Helper5!B20</f>
        <v/>
      </c>
      <c r="B318" t="str">
        <f>Helper5!C20</f>
        <v/>
      </c>
      <c r="C318" t="str">
        <f>Helper5!E20</f>
        <v/>
      </c>
      <c r="D318" t="str">
        <f>Helper5!D20</f>
        <v/>
      </c>
      <c r="E318" t="str">
        <f>Helper5!F20</f>
        <v/>
      </c>
      <c r="H318" t="str">
        <f>Helper5!G20</f>
        <v/>
      </c>
      <c r="K318" t="str">
        <f>Helper5!H20</f>
        <v/>
      </c>
    </row>
    <row r="319" spans="1:11">
      <c r="A319" t="str">
        <f>Helper5!B21</f>
        <v/>
      </c>
      <c r="B319" t="str">
        <f>Helper5!C21</f>
        <v/>
      </c>
      <c r="C319" t="str">
        <f>Helper5!E21</f>
        <v/>
      </c>
      <c r="D319" t="str">
        <f>Helper5!D21</f>
        <v/>
      </c>
      <c r="E319" t="str">
        <f>Helper5!F21</f>
        <v/>
      </c>
      <c r="H319" t="str">
        <f>Helper5!G21</f>
        <v/>
      </c>
      <c r="K319" t="str">
        <f>Helper5!H21</f>
        <v/>
      </c>
    </row>
    <row r="320" spans="1:11">
      <c r="A320" t="str">
        <f>Helper5!B22</f>
        <v/>
      </c>
      <c r="B320" t="str">
        <f>Helper5!C22</f>
        <v/>
      </c>
      <c r="C320" t="str">
        <f>Helper5!E22</f>
        <v/>
      </c>
      <c r="D320" t="str">
        <f>Helper5!D22</f>
        <v/>
      </c>
      <c r="E320" t="str">
        <f>Helper5!F22</f>
        <v/>
      </c>
      <c r="H320" t="str">
        <f>Helper5!G22</f>
        <v/>
      </c>
      <c r="K320" t="str">
        <f>Helper5!H22</f>
        <v/>
      </c>
    </row>
    <row r="321" spans="1:11">
      <c r="A321" t="str">
        <f>Helper5!B23</f>
        <v/>
      </c>
      <c r="B321" t="str">
        <f>Helper5!C23</f>
        <v/>
      </c>
      <c r="C321" t="str">
        <f>Helper5!E23</f>
        <v/>
      </c>
      <c r="D321" t="str">
        <f>Helper5!D23</f>
        <v/>
      </c>
      <c r="E321" t="str">
        <f>Helper5!F23</f>
        <v/>
      </c>
      <c r="H321" t="str">
        <f>Helper5!G23</f>
        <v/>
      </c>
      <c r="K321" t="str">
        <f>Helper5!H23</f>
        <v/>
      </c>
    </row>
    <row r="322" spans="1:11">
      <c r="A322" t="str">
        <f>Helper5!B24</f>
        <v/>
      </c>
      <c r="B322" t="str">
        <f>Helper5!C24</f>
        <v/>
      </c>
      <c r="C322" t="str">
        <f>Helper5!E24</f>
        <v/>
      </c>
      <c r="D322" t="str">
        <f>Helper5!D24</f>
        <v/>
      </c>
      <c r="E322" t="str">
        <f>Helper5!F24</f>
        <v/>
      </c>
      <c r="H322" t="str">
        <f>Helper5!G24</f>
        <v/>
      </c>
      <c r="K322" t="str">
        <f>Helper5!H24</f>
        <v/>
      </c>
    </row>
    <row r="323" spans="1:11">
      <c r="A323" t="str">
        <f>Helper5!B25</f>
        <v/>
      </c>
      <c r="B323" t="str">
        <f>Helper5!C25</f>
        <v/>
      </c>
      <c r="C323" t="str">
        <f>Helper5!E25</f>
        <v/>
      </c>
      <c r="D323" t="str">
        <f>Helper5!D25</f>
        <v/>
      </c>
      <c r="E323" t="str">
        <f>Helper5!F25</f>
        <v/>
      </c>
      <c r="H323" t="str">
        <f>Helper5!G25</f>
        <v/>
      </c>
      <c r="K323" t="str">
        <f>Helper5!H25</f>
        <v/>
      </c>
    </row>
    <row r="324" spans="1:11">
      <c r="A324" t="str">
        <f>Helper5!B26</f>
        <v/>
      </c>
      <c r="B324" t="str">
        <f>Helper5!C26</f>
        <v/>
      </c>
      <c r="C324" t="str">
        <f>Helper5!E26</f>
        <v/>
      </c>
      <c r="D324" t="str">
        <f>Helper5!D26</f>
        <v/>
      </c>
      <c r="E324" t="str">
        <f>Helper5!F26</f>
        <v/>
      </c>
      <c r="H324" t="str">
        <f>Helper5!G26</f>
        <v/>
      </c>
      <c r="K324" t="str">
        <f>Helper5!H26</f>
        <v/>
      </c>
    </row>
    <row r="325" spans="1:11">
      <c r="A325" t="str">
        <f>Helper5!B27</f>
        <v/>
      </c>
      <c r="B325" t="str">
        <f>Helper5!C27</f>
        <v/>
      </c>
      <c r="C325" t="str">
        <f>Helper5!E27</f>
        <v/>
      </c>
      <c r="D325" t="str">
        <f>Helper5!D27</f>
        <v/>
      </c>
      <c r="E325" t="str">
        <f>Helper5!F27</f>
        <v/>
      </c>
      <c r="H325" t="str">
        <f>Helper5!G27</f>
        <v/>
      </c>
      <c r="K325" t="str">
        <f>Helper5!H27</f>
        <v/>
      </c>
    </row>
    <row r="326" spans="1:11">
      <c r="A326" t="str">
        <f>Helper5!B28</f>
        <v/>
      </c>
      <c r="B326" t="str">
        <f>Helper5!C28</f>
        <v/>
      </c>
      <c r="C326" t="str">
        <f>Helper5!E28</f>
        <v/>
      </c>
      <c r="D326" t="str">
        <f>Helper5!D28</f>
        <v/>
      </c>
      <c r="E326" t="str">
        <f>Helper5!F28</f>
        <v/>
      </c>
      <c r="H326" t="str">
        <f>Helper5!G28</f>
        <v/>
      </c>
      <c r="K326" t="str">
        <f>Helper5!H28</f>
        <v/>
      </c>
    </row>
    <row r="327" spans="1:11">
      <c r="A327" t="str">
        <f>Helper5!B29</f>
        <v/>
      </c>
      <c r="B327" t="str">
        <f>Helper5!C29</f>
        <v/>
      </c>
      <c r="C327" t="str">
        <f>Helper5!E29</f>
        <v/>
      </c>
      <c r="D327" t="str">
        <f>Helper5!D29</f>
        <v/>
      </c>
      <c r="E327" t="str">
        <f>Helper5!F29</f>
        <v/>
      </c>
      <c r="H327" t="str">
        <f>Helper5!G29</f>
        <v/>
      </c>
      <c r="K327" t="str">
        <f>Helper5!H29</f>
        <v/>
      </c>
    </row>
    <row r="328" spans="1:11">
      <c r="A328" t="str">
        <f>Helper5!B30</f>
        <v/>
      </c>
      <c r="B328" t="str">
        <f>Helper5!C30</f>
        <v/>
      </c>
      <c r="C328" t="str">
        <f>Helper5!E30</f>
        <v/>
      </c>
      <c r="D328" t="str">
        <f>Helper5!D30</f>
        <v/>
      </c>
      <c r="E328" t="str">
        <f>Helper5!F30</f>
        <v/>
      </c>
      <c r="H328" t="str">
        <f>Helper5!G30</f>
        <v/>
      </c>
      <c r="K328" t="str">
        <f>Helper5!H30</f>
        <v/>
      </c>
    </row>
    <row r="329" spans="1:11">
      <c r="A329" t="str">
        <f>Helper5!B31</f>
        <v/>
      </c>
      <c r="B329" t="str">
        <f>Helper5!C31</f>
        <v/>
      </c>
      <c r="C329" t="str">
        <f>Helper5!E31</f>
        <v/>
      </c>
      <c r="D329" t="str">
        <f>Helper5!D31</f>
        <v/>
      </c>
      <c r="E329" t="str">
        <f>Helper5!F31</f>
        <v/>
      </c>
      <c r="H329" t="str">
        <f>Helper5!G31</f>
        <v/>
      </c>
      <c r="K329" t="str">
        <f>Helper5!H31</f>
        <v/>
      </c>
    </row>
    <row r="330" spans="1:11">
      <c r="A330" t="str">
        <f>Helper5!B32</f>
        <v/>
      </c>
      <c r="B330" t="str">
        <f>Helper5!C32</f>
        <v/>
      </c>
      <c r="C330" t="str">
        <f>Helper5!E32</f>
        <v/>
      </c>
      <c r="D330" t="str">
        <f>Helper5!D32</f>
        <v/>
      </c>
      <c r="E330" t="str">
        <f>Helper5!F32</f>
        <v/>
      </c>
      <c r="H330" t="str">
        <f>Helper5!G32</f>
        <v/>
      </c>
      <c r="K330" t="str">
        <f>Helper5!H32</f>
        <v/>
      </c>
    </row>
    <row r="331" spans="1:11">
      <c r="A331" t="str">
        <f>Helper5!B33</f>
        <v/>
      </c>
      <c r="B331" t="str">
        <f>Helper5!C33</f>
        <v/>
      </c>
      <c r="C331" t="str">
        <f>Helper5!E33</f>
        <v/>
      </c>
      <c r="D331" t="str">
        <f>Helper5!D33</f>
        <v/>
      </c>
      <c r="E331" t="str">
        <f>Helper5!F33</f>
        <v/>
      </c>
      <c r="H331" t="str">
        <f>Helper5!G33</f>
        <v/>
      </c>
      <c r="K331" t="str">
        <f>Helper5!H33</f>
        <v/>
      </c>
    </row>
    <row r="332" spans="1:11">
      <c r="A332" t="str">
        <f>Helper5!B34</f>
        <v/>
      </c>
      <c r="B332" t="str">
        <f>Helper5!C34</f>
        <v/>
      </c>
      <c r="C332" t="str">
        <f>Helper5!E34</f>
        <v/>
      </c>
      <c r="D332" t="str">
        <f>Helper5!D34</f>
        <v/>
      </c>
      <c r="E332" t="str">
        <f>Helper5!F34</f>
        <v/>
      </c>
      <c r="H332" t="str">
        <f>Helper5!G34</f>
        <v/>
      </c>
      <c r="K332" t="str">
        <f>Helper5!H34</f>
        <v/>
      </c>
    </row>
    <row r="333" spans="1:11">
      <c r="A333" t="str">
        <f>Helper5!B35</f>
        <v/>
      </c>
      <c r="B333" t="str">
        <f>Helper5!C35</f>
        <v/>
      </c>
      <c r="C333" t="str">
        <f>Helper5!E35</f>
        <v/>
      </c>
      <c r="D333" t="str">
        <f>Helper5!D35</f>
        <v/>
      </c>
      <c r="E333" t="str">
        <f>Helper5!F35</f>
        <v/>
      </c>
      <c r="H333" t="str">
        <f>Helper5!G35</f>
        <v/>
      </c>
      <c r="K333" t="str">
        <f>Helper5!H35</f>
        <v/>
      </c>
    </row>
    <row r="334" spans="1:11">
      <c r="A334" t="str">
        <f>Helper5!B36</f>
        <v/>
      </c>
      <c r="B334" t="str">
        <f>Helper5!C36</f>
        <v/>
      </c>
      <c r="C334" t="str">
        <f>Helper5!E36</f>
        <v/>
      </c>
      <c r="D334" t="str">
        <f>Helper5!D36</f>
        <v/>
      </c>
      <c r="E334" t="str">
        <f>Helper5!F36</f>
        <v/>
      </c>
      <c r="H334" t="str">
        <f>Helper5!G36</f>
        <v/>
      </c>
      <c r="K334" t="str">
        <f>Helper5!H36</f>
        <v/>
      </c>
    </row>
    <row r="335" spans="1:11">
      <c r="A335" t="str">
        <f>Helper5!B37</f>
        <v/>
      </c>
      <c r="B335" t="str">
        <f>Helper5!C37</f>
        <v/>
      </c>
      <c r="C335" t="str">
        <f>Helper5!E37</f>
        <v/>
      </c>
      <c r="D335" t="str">
        <f>Helper5!D37</f>
        <v/>
      </c>
      <c r="E335" t="str">
        <f>Helper5!F37</f>
        <v/>
      </c>
      <c r="H335" t="str">
        <f>Helper5!G37</f>
        <v/>
      </c>
      <c r="K335" t="str">
        <f>Helper5!H37</f>
        <v/>
      </c>
    </row>
    <row r="336" spans="1:11">
      <c r="A336" t="str">
        <f>Helper5!B38</f>
        <v/>
      </c>
      <c r="B336" t="str">
        <f>Helper5!C38</f>
        <v/>
      </c>
      <c r="C336" t="str">
        <f>Helper5!E38</f>
        <v/>
      </c>
      <c r="D336" t="str">
        <f>Helper5!D38</f>
        <v/>
      </c>
      <c r="E336" t="str">
        <f>Helper5!F38</f>
        <v/>
      </c>
      <c r="H336" t="str">
        <f>Helper5!G38</f>
        <v/>
      </c>
      <c r="K336" t="str">
        <f>Helper5!H38</f>
        <v/>
      </c>
    </row>
    <row r="337" spans="1:11">
      <c r="A337" t="str">
        <f>Helper5!B39</f>
        <v/>
      </c>
      <c r="B337" t="str">
        <f>Helper5!C39</f>
        <v/>
      </c>
      <c r="C337" t="str">
        <f>Helper5!E39</f>
        <v/>
      </c>
      <c r="D337" t="str">
        <f>Helper5!D39</f>
        <v/>
      </c>
      <c r="E337" t="str">
        <f>Helper5!F39</f>
        <v/>
      </c>
      <c r="H337" t="str">
        <f>Helper5!G39</f>
        <v/>
      </c>
      <c r="K337" t="str">
        <f>Helper5!H39</f>
        <v/>
      </c>
    </row>
    <row r="338" spans="1:11">
      <c r="A338" t="str">
        <f>Helper5!B40</f>
        <v/>
      </c>
      <c r="B338" t="str">
        <f>Helper5!C40</f>
        <v/>
      </c>
      <c r="C338" t="str">
        <f>Helper5!E40</f>
        <v/>
      </c>
      <c r="D338" t="str">
        <f>Helper5!D40</f>
        <v/>
      </c>
      <c r="E338" t="str">
        <f>Helper5!F40</f>
        <v/>
      </c>
      <c r="H338" t="str">
        <f>Helper5!G40</f>
        <v/>
      </c>
      <c r="K338" t="str">
        <f>Helper5!H40</f>
        <v/>
      </c>
    </row>
    <row r="339" spans="1:11">
      <c r="A339" t="str">
        <f>Helper5!B41</f>
        <v/>
      </c>
      <c r="B339" t="str">
        <f>Helper5!C41</f>
        <v/>
      </c>
      <c r="C339" t="str">
        <f>Helper5!E41</f>
        <v/>
      </c>
      <c r="D339" t="str">
        <f>Helper5!D41</f>
        <v/>
      </c>
      <c r="E339" t="str">
        <f>Helper5!F41</f>
        <v/>
      </c>
      <c r="H339" t="str">
        <f>Helper5!G41</f>
        <v/>
      </c>
      <c r="K339" t="str">
        <f>Helper5!H41</f>
        <v/>
      </c>
    </row>
    <row r="340" spans="1:11">
      <c r="A340" t="str">
        <f>Helper5!B42</f>
        <v/>
      </c>
      <c r="B340" t="str">
        <f>Helper5!C42</f>
        <v/>
      </c>
      <c r="C340" t="str">
        <f>Helper5!E42</f>
        <v/>
      </c>
      <c r="D340" t="str">
        <f>Helper5!D42</f>
        <v/>
      </c>
      <c r="E340" t="str">
        <f>Helper5!F42</f>
        <v/>
      </c>
      <c r="H340" t="str">
        <f>Helper5!G42</f>
        <v/>
      </c>
      <c r="K340" t="str">
        <f>Helper5!H42</f>
        <v/>
      </c>
    </row>
    <row r="341" spans="1:11">
      <c r="A341" t="str">
        <f>Helper5!B43</f>
        <v/>
      </c>
      <c r="B341" t="str">
        <f>Helper5!C43</f>
        <v/>
      </c>
      <c r="C341" t="str">
        <f>Helper5!E43</f>
        <v/>
      </c>
      <c r="D341" t="str">
        <f>Helper5!D43</f>
        <v/>
      </c>
      <c r="E341" t="str">
        <f>Helper5!F43</f>
        <v/>
      </c>
      <c r="H341" t="str">
        <f>Helper5!G43</f>
        <v/>
      </c>
      <c r="K341" t="str">
        <f>Helper5!H43</f>
        <v/>
      </c>
    </row>
    <row r="342" spans="1:11">
      <c r="A342" t="str">
        <f>Helper5!B44</f>
        <v/>
      </c>
      <c r="B342" t="str">
        <f>Helper5!C44</f>
        <v/>
      </c>
      <c r="C342" t="str">
        <f>Helper5!E44</f>
        <v/>
      </c>
      <c r="D342" t="str">
        <f>Helper5!D44</f>
        <v/>
      </c>
      <c r="E342" t="str">
        <f>Helper5!F44</f>
        <v/>
      </c>
      <c r="H342" t="str">
        <f>Helper5!G44</f>
        <v/>
      </c>
      <c r="K342" t="str">
        <f>Helper5!H44</f>
        <v/>
      </c>
    </row>
    <row r="343" spans="1:11">
      <c r="A343" t="str">
        <f>Helper5!B45</f>
        <v/>
      </c>
      <c r="B343" t="str">
        <f>Helper5!C45</f>
        <v/>
      </c>
      <c r="C343" t="str">
        <f>Helper5!E45</f>
        <v/>
      </c>
      <c r="D343" t="str">
        <f>Helper5!D45</f>
        <v/>
      </c>
      <c r="E343" t="str">
        <f>Helper5!F45</f>
        <v/>
      </c>
      <c r="H343" t="str">
        <f>Helper5!G45</f>
        <v/>
      </c>
      <c r="K343" t="str">
        <f>Helper5!H45</f>
        <v/>
      </c>
    </row>
    <row r="344" spans="1:11">
      <c r="A344" t="str">
        <f>Helper5!B46</f>
        <v/>
      </c>
      <c r="B344" t="str">
        <f>Helper5!C46</f>
        <v/>
      </c>
      <c r="C344" t="str">
        <f>Helper5!E46</f>
        <v/>
      </c>
      <c r="D344" t="str">
        <f>Helper5!D46</f>
        <v/>
      </c>
      <c r="E344" t="str">
        <f>Helper5!F46</f>
        <v/>
      </c>
      <c r="H344" t="str">
        <f>Helper5!G46</f>
        <v/>
      </c>
      <c r="K344" t="str">
        <f>Helper5!H46</f>
        <v/>
      </c>
    </row>
    <row r="345" spans="1:11">
      <c r="A345" t="str">
        <f>Helper5!B47</f>
        <v/>
      </c>
      <c r="B345" t="str">
        <f>Helper5!C47</f>
        <v/>
      </c>
      <c r="C345" t="str">
        <f>Helper5!E47</f>
        <v/>
      </c>
      <c r="D345" t="str">
        <f>Helper5!D47</f>
        <v/>
      </c>
      <c r="E345" t="str">
        <f>Helper5!F47</f>
        <v/>
      </c>
      <c r="H345" t="str">
        <f>Helper5!G47</f>
        <v/>
      </c>
      <c r="K345" t="str">
        <f>Helper5!H47</f>
        <v/>
      </c>
    </row>
    <row r="346" spans="1:11">
      <c r="A346" t="str">
        <f>Helper5!B48</f>
        <v/>
      </c>
      <c r="B346" t="str">
        <f>Helper5!C48</f>
        <v/>
      </c>
      <c r="C346" t="str">
        <f>Helper5!E48</f>
        <v/>
      </c>
      <c r="D346" t="str">
        <f>Helper5!D48</f>
        <v/>
      </c>
      <c r="E346" t="str">
        <f>Helper5!F48</f>
        <v/>
      </c>
      <c r="H346" t="str">
        <f>Helper5!G48</f>
        <v/>
      </c>
      <c r="K346" t="str">
        <f>Helper5!H48</f>
        <v/>
      </c>
    </row>
    <row r="347" spans="1:11">
      <c r="A347" t="str">
        <f>Helper5!B49</f>
        <v/>
      </c>
      <c r="B347" t="str">
        <f>Helper5!C49</f>
        <v/>
      </c>
      <c r="C347" t="str">
        <f>Helper5!E49</f>
        <v/>
      </c>
      <c r="D347" t="str">
        <f>Helper5!D49</f>
        <v/>
      </c>
      <c r="E347" t="str">
        <f>Helper5!F49</f>
        <v/>
      </c>
      <c r="H347" t="str">
        <f>Helper5!G49</f>
        <v/>
      </c>
      <c r="K347" t="str">
        <f>Helper5!H49</f>
        <v/>
      </c>
    </row>
    <row r="348" spans="1:11">
      <c r="A348" t="str">
        <f>Helper5!B50</f>
        <v/>
      </c>
      <c r="B348" t="str">
        <f>Helper5!C50</f>
        <v/>
      </c>
      <c r="C348" t="str">
        <f>Helper5!E50</f>
        <v/>
      </c>
      <c r="D348" t="str">
        <f>Helper5!D50</f>
        <v/>
      </c>
      <c r="E348" t="str">
        <f>Helper5!F50</f>
        <v/>
      </c>
      <c r="H348" t="str">
        <f>Helper5!G50</f>
        <v/>
      </c>
      <c r="K348" t="str">
        <f>Helper5!H50</f>
        <v/>
      </c>
    </row>
    <row r="349" spans="1:11">
      <c r="A349" t="str">
        <f>Helper5!B51</f>
        <v/>
      </c>
      <c r="B349" t="str">
        <f>Helper5!C51</f>
        <v/>
      </c>
      <c r="C349" t="str">
        <f>Helper5!E51</f>
        <v/>
      </c>
      <c r="D349" t="str">
        <f>Helper5!D51</f>
        <v/>
      </c>
      <c r="E349" t="str">
        <f>Helper5!F51</f>
        <v/>
      </c>
      <c r="H349" t="str">
        <f>Helper5!G51</f>
        <v/>
      </c>
      <c r="K349" t="str">
        <f>Helper5!H51</f>
        <v/>
      </c>
    </row>
    <row r="350" spans="1:11">
      <c r="A350" t="str">
        <f>Helper5!B52</f>
        <v/>
      </c>
      <c r="B350" t="str">
        <f>Helper5!C52</f>
        <v/>
      </c>
      <c r="C350" t="str">
        <f>Helper5!E52</f>
        <v/>
      </c>
      <c r="D350" t="str">
        <f>Helper5!D52</f>
        <v/>
      </c>
      <c r="E350" t="str">
        <f>Helper5!F52</f>
        <v/>
      </c>
      <c r="H350" t="str">
        <f>Helper5!G52</f>
        <v/>
      </c>
      <c r="K350" t="str">
        <f>Helper5!H52</f>
        <v/>
      </c>
    </row>
    <row r="351" spans="1:11">
      <c r="A351" t="str">
        <f>Helper5!B53</f>
        <v/>
      </c>
      <c r="B351" t="str">
        <f>Helper5!C53</f>
        <v/>
      </c>
      <c r="C351" t="str">
        <f>Helper5!E53</f>
        <v/>
      </c>
      <c r="D351" t="str">
        <f>Helper5!D53</f>
        <v/>
      </c>
      <c r="E351" t="str">
        <f>Helper5!F53</f>
        <v/>
      </c>
      <c r="H351" t="str">
        <f>Helper5!G53</f>
        <v/>
      </c>
      <c r="K351" t="str">
        <f>Helper5!H53</f>
        <v/>
      </c>
    </row>
    <row r="352" spans="1:11">
      <c r="A352" t="str">
        <f>Helper5!B54</f>
        <v/>
      </c>
      <c r="B352" t="str">
        <f>Helper5!C54</f>
        <v/>
      </c>
      <c r="C352" t="str">
        <f>Helper5!E54</f>
        <v/>
      </c>
      <c r="D352" t="str">
        <f>Helper5!D54</f>
        <v/>
      </c>
      <c r="E352" t="str">
        <f>Helper5!F54</f>
        <v/>
      </c>
      <c r="H352" t="str">
        <f>Helper5!G54</f>
        <v/>
      </c>
      <c r="K352" t="str">
        <f>Helper5!H54</f>
        <v/>
      </c>
    </row>
    <row r="353" spans="1:11">
      <c r="A353" t="str">
        <f>Helper5!B55</f>
        <v/>
      </c>
      <c r="B353" t="str">
        <f>Helper5!C55</f>
        <v/>
      </c>
      <c r="C353" t="str">
        <f>Helper5!E55</f>
        <v/>
      </c>
      <c r="D353" t="str">
        <f>Helper5!D55</f>
        <v/>
      </c>
      <c r="E353" t="str">
        <f>Helper5!F55</f>
        <v/>
      </c>
      <c r="H353" t="str">
        <f>Helper5!G55</f>
        <v/>
      </c>
      <c r="K353" t="str">
        <f>Helper5!H55</f>
        <v/>
      </c>
    </row>
    <row r="354" spans="1:11">
      <c r="A354" t="str">
        <f>Helper5!B56</f>
        <v/>
      </c>
      <c r="B354" t="str">
        <f>Helper5!C56</f>
        <v/>
      </c>
      <c r="C354" t="str">
        <f>Helper5!E56</f>
        <v/>
      </c>
      <c r="D354" t="str">
        <f>Helper5!D56</f>
        <v/>
      </c>
      <c r="E354" t="str">
        <f>Helper5!F56</f>
        <v/>
      </c>
      <c r="H354" t="str">
        <f>Helper5!G56</f>
        <v/>
      </c>
      <c r="K354" t="str">
        <f>Helper5!H56</f>
        <v/>
      </c>
    </row>
    <row r="355" spans="1:11">
      <c r="A355" t="str">
        <f>Helper5!B57</f>
        <v/>
      </c>
      <c r="B355" t="str">
        <f>Helper5!C57</f>
        <v/>
      </c>
      <c r="C355" t="str">
        <f>Helper5!E57</f>
        <v/>
      </c>
      <c r="D355" t="str">
        <f>Helper5!D57</f>
        <v/>
      </c>
      <c r="E355" t="str">
        <f>Helper5!F57</f>
        <v/>
      </c>
      <c r="H355" t="str">
        <f>Helper5!G57</f>
        <v/>
      </c>
      <c r="K355" t="str">
        <f>Helper5!H57</f>
        <v/>
      </c>
    </row>
    <row r="356" spans="1:11">
      <c r="A356" t="str">
        <f>Helper5!B58</f>
        <v/>
      </c>
      <c r="B356" t="str">
        <f>Helper5!C58</f>
        <v/>
      </c>
      <c r="C356" t="str">
        <f>Helper5!E58</f>
        <v/>
      </c>
      <c r="D356" t="str">
        <f>Helper5!D58</f>
        <v/>
      </c>
      <c r="E356" t="str">
        <f>Helper5!F58</f>
        <v/>
      </c>
      <c r="H356" t="str">
        <f>Helper5!G58</f>
        <v/>
      </c>
      <c r="K356" t="str">
        <f>Helper5!H58</f>
        <v/>
      </c>
    </row>
    <row r="357" spans="1:11">
      <c r="A357" t="str">
        <f>Helper5!B59</f>
        <v/>
      </c>
      <c r="B357" t="str">
        <f>Helper5!C59</f>
        <v/>
      </c>
      <c r="C357" t="str">
        <f>Helper5!E59</f>
        <v/>
      </c>
      <c r="D357" t="str">
        <f>Helper5!D59</f>
        <v/>
      </c>
      <c r="E357" t="str">
        <f>Helper5!F59</f>
        <v/>
      </c>
      <c r="H357" t="str">
        <f>Helper5!G59</f>
        <v/>
      </c>
      <c r="K357" t="str">
        <f>Helper5!H59</f>
        <v/>
      </c>
    </row>
    <row r="358" spans="1:11">
      <c r="A358" t="str">
        <f>Helper5!B60</f>
        <v/>
      </c>
      <c r="B358" t="str">
        <f>Helper5!C60</f>
        <v/>
      </c>
      <c r="C358" t="str">
        <f>Helper5!E60</f>
        <v/>
      </c>
      <c r="D358" t="str">
        <f>Helper5!D60</f>
        <v/>
      </c>
      <c r="E358" t="str">
        <f>Helper5!F60</f>
        <v/>
      </c>
      <c r="H358" t="str">
        <f>Helper5!G60</f>
        <v/>
      </c>
      <c r="K358" t="str">
        <f>Helper5!H60</f>
        <v/>
      </c>
    </row>
    <row r="359" spans="1:11">
      <c r="A359" t="str">
        <f>Helper5!B61</f>
        <v/>
      </c>
      <c r="B359" t="str">
        <f>Helper5!C61</f>
        <v/>
      </c>
      <c r="C359" t="str">
        <f>Helper5!E61</f>
        <v/>
      </c>
      <c r="D359" t="str">
        <f>Helper5!D61</f>
        <v/>
      </c>
      <c r="E359" t="str">
        <f>Helper5!F61</f>
        <v/>
      </c>
      <c r="H359" t="str">
        <f>Helper5!G61</f>
        <v/>
      </c>
      <c r="K359" t="str">
        <f>Helper5!H61</f>
        <v/>
      </c>
    </row>
    <row r="360" spans="1:11">
      <c r="A360" t="str">
        <f>Helper5!B62</f>
        <v/>
      </c>
      <c r="B360" t="str">
        <f>Helper5!C62</f>
        <v/>
      </c>
      <c r="C360" t="str">
        <f>Helper5!E62</f>
        <v/>
      </c>
      <c r="D360" t="str">
        <f>Helper5!D62</f>
        <v/>
      </c>
      <c r="E360" t="str">
        <f>Helper5!F62</f>
        <v/>
      </c>
      <c r="H360" t="str">
        <f>Helper5!G62</f>
        <v/>
      </c>
      <c r="K360" t="str">
        <f>Helper5!H62</f>
        <v/>
      </c>
    </row>
    <row r="361" spans="1:11">
      <c r="A361" t="str">
        <f>Helper5!B63</f>
        <v/>
      </c>
      <c r="B361" t="str">
        <f>Helper5!C63</f>
        <v/>
      </c>
      <c r="C361" t="str">
        <f>Helper5!E63</f>
        <v/>
      </c>
      <c r="D361" t="str">
        <f>Helper5!D63</f>
        <v/>
      </c>
      <c r="E361" t="str">
        <f>Helper5!F63</f>
        <v/>
      </c>
      <c r="H361" t="str">
        <f>Helper5!G63</f>
        <v/>
      </c>
      <c r="K361" t="str">
        <f>Helper5!H63</f>
        <v/>
      </c>
    </row>
    <row r="362" spans="1:11">
      <c r="A362" t="str">
        <f>Helper5!B64</f>
        <v/>
      </c>
      <c r="B362" t="str">
        <f>Helper5!C64</f>
        <v/>
      </c>
      <c r="C362" t="str">
        <f>Helper5!E64</f>
        <v/>
      </c>
      <c r="D362" t="str">
        <f>Helper5!D64</f>
        <v/>
      </c>
      <c r="E362" t="str">
        <f>Helper5!F64</f>
        <v/>
      </c>
      <c r="H362" t="str">
        <f>Helper5!G64</f>
        <v/>
      </c>
      <c r="K362" t="str">
        <f>Helper5!H64</f>
        <v/>
      </c>
    </row>
    <row r="363" spans="1:11">
      <c r="A363" t="str">
        <f>Helper5!B65</f>
        <v/>
      </c>
      <c r="B363" t="str">
        <f>Helper5!C65</f>
        <v/>
      </c>
      <c r="C363" t="str">
        <f>Helper5!E65</f>
        <v/>
      </c>
      <c r="D363" t="str">
        <f>Helper5!D65</f>
        <v/>
      </c>
      <c r="E363" t="str">
        <f>Helper5!F65</f>
        <v/>
      </c>
      <c r="H363" t="str">
        <f>Helper5!G65</f>
        <v/>
      </c>
      <c r="K363" t="str">
        <f>Helper5!H65</f>
        <v/>
      </c>
    </row>
    <row r="364" spans="1:11">
      <c r="A364" t="str">
        <f>Helper5!B66</f>
        <v/>
      </c>
      <c r="B364" t="str">
        <f>Helper5!C66</f>
        <v/>
      </c>
      <c r="C364" t="str">
        <f>Helper5!E66</f>
        <v/>
      </c>
      <c r="D364" t="str">
        <f>Helper5!D66</f>
        <v/>
      </c>
      <c r="E364" t="str">
        <f>Helper5!F66</f>
        <v/>
      </c>
      <c r="H364" t="str">
        <f>Helper5!G66</f>
        <v/>
      </c>
      <c r="K364" t="str">
        <f>Helper5!H66</f>
        <v/>
      </c>
    </row>
    <row r="365" spans="1:11">
      <c r="A365" t="str">
        <f>Helper5!B67</f>
        <v/>
      </c>
      <c r="B365" t="str">
        <f>Helper5!C67</f>
        <v/>
      </c>
      <c r="C365" t="str">
        <f>Helper5!E67</f>
        <v/>
      </c>
      <c r="D365" t="str">
        <f>Helper5!D67</f>
        <v/>
      </c>
      <c r="E365" t="str">
        <f>Helper5!F67</f>
        <v/>
      </c>
      <c r="H365" t="str">
        <f>Helper5!G67</f>
        <v/>
      </c>
      <c r="K365" t="str">
        <f>Helper5!H67</f>
        <v/>
      </c>
    </row>
    <row r="366" spans="1:11">
      <c r="A366" t="str">
        <f>Helper5!B68</f>
        <v/>
      </c>
      <c r="B366" t="str">
        <f>Helper5!C68</f>
        <v/>
      </c>
      <c r="C366" t="str">
        <f>Helper5!E68</f>
        <v/>
      </c>
      <c r="D366" t="str">
        <f>Helper5!D68</f>
        <v/>
      </c>
      <c r="E366" t="str">
        <f>Helper5!F68</f>
        <v/>
      </c>
      <c r="H366" t="str">
        <f>Helper5!G68</f>
        <v/>
      </c>
      <c r="K366" t="str">
        <f>Helper5!H68</f>
        <v/>
      </c>
    </row>
    <row r="367" spans="1:11">
      <c r="A367" t="str">
        <f>Helper5!B69</f>
        <v/>
      </c>
      <c r="B367" t="str">
        <f>Helper5!C69</f>
        <v/>
      </c>
      <c r="C367" t="str">
        <f>Helper5!E69</f>
        <v/>
      </c>
      <c r="D367" t="str">
        <f>Helper5!D69</f>
        <v/>
      </c>
      <c r="E367" t="str">
        <f>Helper5!F69</f>
        <v/>
      </c>
      <c r="H367" t="str">
        <f>Helper5!G69</f>
        <v/>
      </c>
      <c r="K367" t="str">
        <f>Helper5!H69</f>
        <v/>
      </c>
    </row>
    <row r="368" spans="1:11">
      <c r="A368" t="str">
        <f>Helper5!B70</f>
        <v/>
      </c>
      <c r="B368" t="str">
        <f>Helper5!C70</f>
        <v/>
      </c>
      <c r="C368" t="str">
        <f>Helper5!E70</f>
        <v/>
      </c>
      <c r="D368" t="str">
        <f>Helper5!D70</f>
        <v/>
      </c>
      <c r="E368" t="str">
        <f>Helper5!F70</f>
        <v/>
      </c>
      <c r="H368" t="str">
        <f>Helper5!G70</f>
        <v/>
      </c>
      <c r="K368" t="str">
        <f>Helper5!H70</f>
        <v/>
      </c>
    </row>
    <row r="369" spans="1:11">
      <c r="A369" t="str">
        <f>Helper5!B71</f>
        <v/>
      </c>
      <c r="B369" t="str">
        <f>Helper5!C71</f>
        <v/>
      </c>
      <c r="C369" t="str">
        <f>Helper5!E71</f>
        <v/>
      </c>
      <c r="D369" t="str">
        <f>Helper5!D71</f>
        <v/>
      </c>
      <c r="E369" t="str">
        <f>Helper5!F71</f>
        <v/>
      </c>
      <c r="H369" t="str">
        <f>Helper5!G71</f>
        <v/>
      </c>
      <c r="K369" t="str">
        <f>Helper5!H71</f>
        <v/>
      </c>
    </row>
    <row r="370" spans="1:11">
      <c r="A370" t="str">
        <f>Helper5!B72</f>
        <v/>
      </c>
      <c r="B370" t="str">
        <f>Helper5!C72</f>
        <v/>
      </c>
      <c r="C370" t="str">
        <f>Helper5!E72</f>
        <v/>
      </c>
      <c r="D370" t="str">
        <f>Helper5!D72</f>
        <v/>
      </c>
      <c r="E370" t="str">
        <f>Helper5!F72</f>
        <v/>
      </c>
      <c r="H370" t="str">
        <f>Helper5!G72</f>
        <v/>
      </c>
      <c r="K370" t="str">
        <f>Helper5!H72</f>
        <v/>
      </c>
    </row>
    <row r="371" spans="1:11">
      <c r="A371" t="str">
        <f>Helper5!B73</f>
        <v/>
      </c>
      <c r="B371" t="str">
        <f>Helper5!C73</f>
        <v/>
      </c>
      <c r="C371" t="str">
        <f>Helper5!E73</f>
        <v/>
      </c>
      <c r="D371" t="str">
        <f>Helper5!D73</f>
        <v/>
      </c>
      <c r="E371" t="str">
        <f>Helper5!F73</f>
        <v/>
      </c>
      <c r="H371" t="str">
        <f>Helper5!G73</f>
        <v/>
      </c>
      <c r="K371" t="str">
        <f>Helper5!H73</f>
        <v/>
      </c>
    </row>
    <row r="372" spans="1:11">
      <c r="A372" t="str">
        <f>Helper5!B74</f>
        <v/>
      </c>
      <c r="B372" t="str">
        <f>Helper5!C74</f>
        <v/>
      </c>
      <c r="C372" t="str">
        <f>Helper5!E74</f>
        <v/>
      </c>
      <c r="D372" t="str">
        <f>Helper5!D74</f>
        <v/>
      </c>
      <c r="E372" t="str">
        <f>Helper5!F74</f>
        <v/>
      </c>
      <c r="H372" t="str">
        <f>Helper5!G74</f>
        <v/>
      </c>
      <c r="K372" t="str">
        <f>Helper5!H74</f>
        <v/>
      </c>
    </row>
    <row r="373" spans="1:11">
      <c r="A373" t="str">
        <f>Helper5!B75</f>
        <v/>
      </c>
      <c r="B373" t="str">
        <f>Helper5!C75</f>
        <v/>
      </c>
      <c r="C373" t="str">
        <f>Helper5!E75</f>
        <v/>
      </c>
      <c r="D373" t="str">
        <f>Helper5!D75</f>
        <v/>
      </c>
      <c r="E373" t="str">
        <f>Helper5!F75</f>
        <v/>
      </c>
      <c r="H373" t="str">
        <f>Helper5!G75</f>
        <v/>
      </c>
      <c r="K373" t="str">
        <f>Helper5!H75</f>
        <v/>
      </c>
    </row>
    <row r="374" spans="1:11">
      <c r="A374" t="str">
        <f>Helper5!B76</f>
        <v/>
      </c>
      <c r="B374" t="str">
        <f>Helper5!C76</f>
        <v/>
      </c>
      <c r="C374" t="str">
        <f>Helper5!E76</f>
        <v/>
      </c>
      <c r="D374" t="str">
        <f>Helper5!D76</f>
        <v/>
      </c>
      <c r="E374" t="str">
        <f>Helper5!F76</f>
        <v/>
      </c>
      <c r="H374" t="str">
        <f>Helper5!G76</f>
        <v/>
      </c>
      <c r="K374" t="str">
        <f>Helper5!H76</f>
        <v/>
      </c>
    </row>
    <row r="375" spans="1:11">
      <c r="A375" t="str">
        <f>Helper5!B77</f>
        <v/>
      </c>
      <c r="B375" t="str">
        <f>Helper5!C77</f>
        <v/>
      </c>
      <c r="C375" t="str">
        <f>Helper5!E77</f>
        <v/>
      </c>
      <c r="D375" t="str">
        <f>Helper5!D77</f>
        <v/>
      </c>
      <c r="E375" t="str">
        <f>Helper5!F77</f>
        <v/>
      </c>
      <c r="H375" t="str">
        <f>Helper5!G77</f>
        <v/>
      </c>
      <c r="K375" t="str">
        <f>Helper5!H77</f>
        <v/>
      </c>
    </row>
    <row r="376" spans="1:11">
      <c r="A376" t="str">
        <f>Helper5!B78</f>
        <v/>
      </c>
      <c r="B376" t="str">
        <f>Helper5!C78</f>
        <v/>
      </c>
      <c r="C376" t="str">
        <f>Helper5!E78</f>
        <v/>
      </c>
      <c r="D376" t="str">
        <f>Helper5!D78</f>
        <v/>
      </c>
      <c r="E376" t="str">
        <f>Helper5!F78</f>
        <v/>
      </c>
      <c r="H376" t="str">
        <f>Helper5!G78</f>
        <v/>
      </c>
      <c r="K376" t="str">
        <f>Helper5!H78</f>
        <v/>
      </c>
    </row>
    <row r="377" spans="1:11">
      <c r="A377" t="str">
        <f>Helper5!B79</f>
        <v/>
      </c>
      <c r="B377" t="str">
        <f>Helper5!C79</f>
        <v/>
      </c>
      <c r="C377" t="str">
        <f>Helper5!E79</f>
        <v/>
      </c>
      <c r="D377" t="str">
        <f>Helper5!D79</f>
        <v/>
      </c>
      <c r="E377" t="str">
        <f>Helper5!F79</f>
        <v/>
      </c>
      <c r="H377" t="str">
        <f>Helper5!G79</f>
        <v/>
      </c>
      <c r="K377" t="str">
        <f>Helper5!H79</f>
        <v/>
      </c>
    </row>
    <row r="378" spans="1:11">
      <c r="A378" t="str">
        <f>Helper5!B80</f>
        <v/>
      </c>
      <c r="B378" t="str">
        <f>Helper5!C80</f>
        <v/>
      </c>
      <c r="C378" t="str">
        <f>Helper5!E80</f>
        <v/>
      </c>
      <c r="D378" t="str">
        <f>Helper5!D80</f>
        <v/>
      </c>
      <c r="E378" t="str">
        <f>Helper5!F80</f>
        <v/>
      </c>
      <c r="H378" t="str">
        <f>Helper5!G80</f>
        <v/>
      </c>
      <c r="K378" t="str">
        <f>Helper5!H80</f>
        <v/>
      </c>
    </row>
    <row r="379" spans="1:11">
      <c r="A379" t="str">
        <f>Helper5!B81</f>
        <v/>
      </c>
      <c r="B379" t="str">
        <f>Helper5!C81</f>
        <v/>
      </c>
      <c r="C379" t="str">
        <f>Helper5!E81</f>
        <v/>
      </c>
      <c r="D379" t="str">
        <f>Helper5!D81</f>
        <v/>
      </c>
      <c r="E379" t="str">
        <f>Helper5!F81</f>
        <v/>
      </c>
      <c r="H379" t="str">
        <f>Helper5!G81</f>
        <v/>
      </c>
      <c r="K379" t="str">
        <f>Helper5!H81</f>
        <v/>
      </c>
    </row>
    <row r="380" spans="1:11">
      <c r="A380" t="str">
        <f>Helper5!B82</f>
        <v/>
      </c>
      <c r="B380" t="str">
        <f>Helper5!C82</f>
        <v/>
      </c>
      <c r="C380" t="str">
        <f>Helper5!E82</f>
        <v/>
      </c>
      <c r="D380" t="str">
        <f>Helper5!D82</f>
        <v/>
      </c>
      <c r="E380" t="str">
        <f>Helper5!F82</f>
        <v/>
      </c>
      <c r="H380" t="str">
        <f>Helper5!G82</f>
        <v/>
      </c>
      <c r="K380" t="str">
        <f>Helper5!H82</f>
        <v/>
      </c>
    </row>
    <row r="381" spans="1:11">
      <c r="A381" t="str">
        <f>Helper5!B83</f>
        <v/>
      </c>
      <c r="B381" t="str">
        <f>Helper5!C83</f>
        <v/>
      </c>
      <c r="C381" t="str">
        <f>Helper5!E83</f>
        <v/>
      </c>
      <c r="D381" t="str">
        <f>Helper5!D83</f>
        <v/>
      </c>
      <c r="E381" t="str">
        <f>Helper5!F83</f>
        <v/>
      </c>
      <c r="H381" t="str">
        <f>Helper5!G83</f>
        <v/>
      </c>
      <c r="K381" t="str">
        <f>Helper5!H83</f>
        <v/>
      </c>
    </row>
    <row r="382" spans="1:11">
      <c r="A382" t="str">
        <f>Helper5!B84</f>
        <v/>
      </c>
      <c r="B382" t="str">
        <f>Helper5!C84</f>
        <v/>
      </c>
      <c r="C382" t="str">
        <f>Helper5!E84</f>
        <v/>
      </c>
      <c r="D382" t="str">
        <f>Helper5!D84</f>
        <v/>
      </c>
      <c r="E382" t="str">
        <f>Helper5!F84</f>
        <v/>
      </c>
      <c r="H382" t="str">
        <f>Helper5!G84</f>
        <v/>
      </c>
      <c r="K382" t="str">
        <f>Helper5!H84</f>
        <v/>
      </c>
    </row>
    <row r="383" spans="1:11">
      <c r="A383" t="str">
        <f>Helper5!B85</f>
        <v/>
      </c>
      <c r="B383" t="str">
        <f>Helper5!C85</f>
        <v/>
      </c>
      <c r="C383" t="str">
        <f>Helper5!E85</f>
        <v/>
      </c>
      <c r="D383" t="str">
        <f>Helper5!D85</f>
        <v/>
      </c>
      <c r="E383" t="str">
        <f>Helper5!F85</f>
        <v/>
      </c>
      <c r="H383" t="str">
        <f>Helper5!G85</f>
        <v/>
      </c>
      <c r="K383" t="str">
        <f>Helper5!H85</f>
        <v/>
      </c>
    </row>
    <row r="384" spans="1:11">
      <c r="A384" t="str">
        <f>Helper5!B86</f>
        <v/>
      </c>
      <c r="B384" t="str">
        <f>Helper5!C86</f>
        <v/>
      </c>
      <c r="C384" t="str">
        <f>Helper5!E86</f>
        <v/>
      </c>
      <c r="D384" t="str">
        <f>Helper5!D86</f>
        <v/>
      </c>
      <c r="E384" t="str">
        <f>Helper5!F86</f>
        <v/>
      </c>
      <c r="H384" t="str">
        <f>Helper5!G86</f>
        <v/>
      </c>
      <c r="K384" t="str">
        <f>Helper5!H86</f>
        <v/>
      </c>
    </row>
    <row r="385" spans="1:11">
      <c r="A385" t="str">
        <f>Helper5!B87</f>
        <v/>
      </c>
      <c r="B385" t="str">
        <f>Helper5!C87</f>
        <v/>
      </c>
      <c r="C385" t="str">
        <f>Helper5!E87</f>
        <v/>
      </c>
      <c r="D385" t="str">
        <f>Helper5!D87</f>
        <v/>
      </c>
      <c r="E385" t="str">
        <f>Helper5!F87</f>
        <v/>
      </c>
      <c r="H385" t="str">
        <f>Helper5!G87</f>
        <v/>
      </c>
      <c r="K385" t="str">
        <f>Helper5!H87</f>
        <v/>
      </c>
    </row>
    <row r="386" spans="1:11">
      <c r="A386" t="str">
        <f>Helper5!B88</f>
        <v/>
      </c>
      <c r="B386" t="str">
        <f>Helper5!C88</f>
        <v/>
      </c>
      <c r="C386" t="str">
        <f>Helper5!E88</f>
        <v/>
      </c>
      <c r="D386" t="str">
        <f>Helper5!D88</f>
        <v/>
      </c>
      <c r="E386" t="str">
        <f>Helper5!F88</f>
        <v/>
      </c>
      <c r="H386" t="str">
        <f>Helper5!G88</f>
        <v/>
      </c>
      <c r="K386" t="str">
        <f>Helper5!H88</f>
        <v/>
      </c>
    </row>
    <row r="387" spans="1:11">
      <c r="A387" t="str">
        <f>Helper5!B89</f>
        <v/>
      </c>
      <c r="B387" t="str">
        <f>Helper5!C89</f>
        <v/>
      </c>
      <c r="C387" t="str">
        <f>Helper5!E89</f>
        <v/>
      </c>
      <c r="D387" t="str">
        <f>Helper5!D89</f>
        <v/>
      </c>
      <c r="E387" t="str">
        <f>Helper5!F89</f>
        <v/>
      </c>
      <c r="H387" t="str">
        <f>Helper5!G89</f>
        <v/>
      </c>
      <c r="K387" t="str">
        <f>Helper5!H89</f>
        <v/>
      </c>
    </row>
    <row r="388" spans="1:11">
      <c r="A388" t="str">
        <f>Helper5!B90</f>
        <v/>
      </c>
      <c r="B388" t="str">
        <f>Helper5!C90</f>
        <v/>
      </c>
      <c r="C388" t="str">
        <f>Helper5!E90</f>
        <v/>
      </c>
      <c r="D388" t="str">
        <f>Helper5!D90</f>
        <v/>
      </c>
      <c r="E388" t="str">
        <f>Helper5!F90</f>
        <v/>
      </c>
      <c r="H388" t="str">
        <f>Helper5!G90</f>
        <v/>
      </c>
      <c r="K388" t="str">
        <f>Helper5!H90</f>
        <v/>
      </c>
    </row>
    <row r="389" spans="1:11">
      <c r="A389" t="str">
        <f>Helper5!B91</f>
        <v/>
      </c>
      <c r="B389" t="str">
        <f>Helper5!C91</f>
        <v/>
      </c>
      <c r="C389" t="str">
        <f>Helper5!E91</f>
        <v/>
      </c>
      <c r="D389" t="str">
        <f>Helper5!D91</f>
        <v/>
      </c>
      <c r="E389" t="str">
        <f>Helper5!F91</f>
        <v/>
      </c>
      <c r="H389" t="str">
        <f>Helper5!G91</f>
        <v/>
      </c>
      <c r="K389" t="str">
        <f>Helper5!H91</f>
        <v/>
      </c>
    </row>
    <row r="390" spans="1:11">
      <c r="A390" t="str">
        <f>Helper5!B92</f>
        <v/>
      </c>
      <c r="B390" t="str">
        <f>Helper5!C92</f>
        <v/>
      </c>
      <c r="C390" t="str">
        <f>Helper5!E92</f>
        <v/>
      </c>
      <c r="D390" t="str">
        <f>Helper5!D92</f>
        <v/>
      </c>
      <c r="E390" t="str">
        <f>Helper5!F92</f>
        <v/>
      </c>
      <c r="H390" t="str">
        <f>Helper5!G92</f>
        <v/>
      </c>
      <c r="K390" t="str">
        <f>Helper5!H92</f>
        <v/>
      </c>
    </row>
    <row r="391" spans="1:11">
      <c r="A391" t="str">
        <f>Helper5!B93</f>
        <v/>
      </c>
      <c r="B391" t="str">
        <f>Helper5!C93</f>
        <v/>
      </c>
      <c r="C391" t="str">
        <f>Helper5!E93</f>
        <v/>
      </c>
      <c r="D391" t="str">
        <f>Helper5!D93</f>
        <v/>
      </c>
      <c r="E391" t="str">
        <f>Helper5!F93</f>
        <v/>
      </c>
      <c r="H391" t="str">
        <f>Helper5!G93</f>
        <v/>
      </c>
      <c r="K391" t="str">
        <f>Helper5!H93</f>
        <v/>
      </c>
    </row>
    <row r="392" spans="1:11">
      <c r="A392" t="str">
        <f>Helper5!B94</f>
        <v/>
      </c>
      <c r="B392" t="str">
        <f>Helper5!C94</f>
        <v/>
      </c>
      <c r="C392" t="str">
        <f>Helper5!E94</f>
        <v/>
      </c>
      <c r="D392" t="str">
        <f>Helper5!D94</f>
        <v/>
      </c>
      <c r="E392" t="str">
        <f>Helper5!F94</f>
        <v/>
      </c>
      <c r="H392" t="str">
        <f>Helper5!G94</f>
        <v/>
      </c>
      <c r="K392" t="str">
        <f>Helper5!H94</f>
        <v/>
      </c>
    </row>
    <row r="393" spans="1:11">
      <c r="A393" t="str">
        <f>Helper5!B95</f>
        <v/>
      </c>
      <c r="B393" t="str">
        <f>Helper5!C95</f>
        <v/>
      </c>
      <c r="C393" t="str">
        <f>Helper5!E95</f>
        <v/>
      </c>
      <c r="D393" t="str">
        <f>Helper5!D95</f>
        <v/>
      </c>
      <c r="E393" t="str">
        <f>Helper5!F95</f>
        <v/>
      </c>
      <c r="H393" t="str">
        <f>Helper5!G95</f>
        <v/>
      </c>
      <c r="K393" t="str">
        <f>Helper5!H95</f>
        <v/>
      </c>
    </row>
    <row r="394" spans="1:11">
      <c r="A394" t="str">
        <f>Helper5!B96</f>
        <v/>
      </c>
      <c r="B394" t="str">
        <f>Helper5!C96</f>
        <v/>
      </c>
      <c r="C394" t="str">
        <f>Helper5!E96</f>
        <v/>
      </c>
      <c r="D394" t="str">
        <f>Helper5!D96</f>
        <v/>
      </c>
      <c r="E394" t="str">
        <f>Helper5!F96</f>
        <v/>
      </c>
      <c r="H394" t="str">
        <f>Helper5!G96</f>
        <v/>
      </c>
      <c r="K394" t="str">
        <f>Helper5!H96</f>
        <v/>
      </c>
    </row>
    <row r="395" spans="1:11">
      <c r="A395" t="str">
        <f>Helper5!B97</f>
        <v/>
      </c>
      <c r="B395" t="str">
        <f>Helper5!C97</f>
        <v/>
      </c>
      <c r="C395" t="str">
        <f>Helper5!E97</f>
        <v/>
      </c>
      <c r="D395" t="str">
        <f>Helper5!D97</f>
        <v/>
      </c>
      <c r="E395" t="str">
        <f>Helper5!F97</f>
        <v/>
      </c>
      <c r="H395" t="str">
        <f>Helper5!G97</f>
        <v/>
      </c>
      <c r="K395" t="str">
        <f>Helper5!H97</f>
        <v/>
      </c>
    </row>
    <row r="396" spans="1:11">
      <c r="A396" t="str">
        <f>Helper5!B98</f>
        <v/>
      </c>
      <c r="B396" t="str">
        <f>Helper5!C98</f>
        <v/>
      </c>
      <c r="C396" t="str">
        <f>Helper5!E98</f>
        <v/>
      </c>
      <c r="D396" t="str">
        <f>Helper5!D98</f>
        <v/>
      </c>
      <c r="E396" t="str">
        <f>Helper5!F98</f>
        <v/>
      </c>
      <c r="H396" t="str">
        <f>Helper5!G98</f>
        <v/>
      </c>
      <c r="K396" t="str">
        <f>Helper5!H98</f>
        <v/>
      </c>
    </row>
    <row r="397" spans="1:11">
      <c r="A397" t="str">
        <f>Helper5!B99</f>
        <v/>
      </c>
      <c r="B397" t="str">
        <f>Helper5!C99</f>
        <v/>
      </c>
      <c r="C397" t="str">
        <f>Helper5!E99</f>
        <v/>
      </c>
      <c r="D397" t="str">
        <f>Helper5!D99</f>
        <v/>
      </c>
      <c r="E397" t="str">
        <f>Helper5!F99</f>
        <v/>
      </c>
      <c r="H397" t="str">
        <f>Helper5!G99</f>
        <v/>
      </c>
      <c r="K397" t="str">
        <f>Helper5!H99</f>
        <v/>
      </c>
    </row>
    <row r="398" spans="1:11">
      <c r="A398" t="str">
        <f>Helper5!B100</f>
        <v/>
      </c>
      <c r="B398" t="str">
        <f>Helper5!C100</f>
        <v/>
      </c>
      <c r="C398" t="str">
        <f>Helper5!E100</f>
        <v/>
      </c>
      <c r="D398" t="str">
        <f>Helper5!D100</f>
        <v/>
      </c>
      <c r="E398" t="str">
        <f>Helper5!F100</f>
        <v/>
      </c>
      <c r="H398" t="str">
        <f>Helper5!G100</f>
        <v/>
      </c>
      <c r="K398" t="str">
        <f>Helper5!H100</f>
        <v/>
      </c>
    </row>
    <row r="399" spans="1:11">
      <c r="A399" t="str">
        <f>Helper5!B101</f>
        <v/>
      </c>
      <c r="B399" t="str">
        <f>Helper5!C101</f>
        <v/>
      </c>
      <c r="C399" t="str">
        <f>Helper5!E101</f>
        <v/>
      </c>
      <c r="D399" t="str">
        <f>Helper5!D101</f>
        <v/>
      </c>
      <c r="E399" t="str">
        <f>Helper5!F101</f>
        <v/>
      </c>
      <c r="H399" t="str">
        <f>Helper5!G101</f>
        <v/>
      </c>
      <c r="K399" t="str">
        <f>Helper5!H101</f>
        <v/>
      </c>
    </row>
    <row r="400" spans="1:11">
      <c r="A400" t="str">
        <f>Helper5!B102</f>
        <v/>
      </c>
      <c r="B400" t="str">
        <f>Helper5!C102</f>
        <v/>
      </c>
      <c r="C400" t="str">
        <f>Helper5!E102</f>
        <v/>
      </c>
      <c r="D400" t="str">
        <f>Helper5!D102</f>
        <v/>
      </c>
      <c r="E400" t="str">
        <f>Helper5!F102</f>
        <v/>
      </c>
      <c r="H400" t="str">
        <f>Helper5!G102</f>
        <v/>
      </c>
      <c r="K400" t="str">
        <f>Helper5!H102</f>
        <v/>
      </c>
    </row>
    <row r="401" spans="1:11">
      <c r="A401" t="str">
        <f>Helper5!B103</f>
        <v/>
      </c>
      <c r="B401" t="str">
        <f>Helper5!C103</f>
        <v/>
      </c>
      <c r="C401" t="str">
        <f>Helper5!E103</f>
        <v/>
      </c>
      <c r="D401" t="str">
        <f>Helper5!D103</f>
        <v/>
      </c>
      <c r="E401" t="str">
        <f>Helper5!F103</f>
        <v/>
      </c>
      <c r="H401" t="str">
        <f>Helper5!G103</f>
        <v/>
      </c>
      <c r="K401" t="str">
        <f>Helper5!H103</f>
        <v/>
      </c>
    </row>
    <row r="402" spans="1:11">
      <c r="A402" t="str">
        <f>Helper5!B104</f>
        <v/>
      </c>
      <c r="B402" t="str">
        <f>Helper5!C104</f>
        <v/>
      </c>
      <c r="C402" t="str">
        <f>Helper5!E104</f>
        <v/>
      </c>
      <c r="D402" t="str">
        <f>Helper5!D104</f>
        <v/>
      </c>
      <c r="E402" t="str">
        <f>Helper5!F104</f>
        <v/>
      </c>
      <c r="H402" t="str">
        <f>Helper5!G104</f>
        <v/>
      </c>
      <c r="K402" t="str">
        <f>Helper5!H104</f>
        <v/>
      </c>
    </row>
    <row r="403" spans="1:11">
      <c r="A403" t="str">
        <f>Helper5!B105</f>
        <v/>
      </c>
      <c r="B403" t="str">
        <f>Helper5!C105</f>
        <v/>
      </c>
      <c r="C403" t="str">
        <f>Helper5!E105</f>
        <v/>
      </c>
      <c r="D403" t="str">
        <f>Helper5!D105</f>
        <v/>
      </c>
      <c r="E403" t="str">
        <f>Helper5!F105</f>
        <v/>
      </c>
      <c r="H403" t="str">
        <f>Helper5!G105</f>
        <v/>
      </c>
      <c r="K403" t="str">
        <f>Helper5!H105</f>
        <v/>
      </c>
    </row>
    <row r="404" spans="1:11">
      <c r="A404" t="str">
        <f>Helper5!B106</f>
        <v/>
      </c>
      <c r="B404" t="str">
        <f>Helper5!C106</f>
        <v/>
      </c>
      <c r="C404" t="str">
        <f>Helper5!E106</f>
        <v/>
      </c>
      <c r="D404" t="str">
        <f>Helper5!D106</f>
        <v/>
      </c>
      <c r="E404" t="str">
        <f>Helper5!F106</f>
        <v/>
      </c>
      <c r="H404" t="str">
        <f>Helper5!G106</f>
        <v/>
      </c>
      <c r="K404" t="str">
        <f>Helper5!H106</f>
        <v/>
      </c>
    </row>
    <row r="405" spans="1:11">
      <c r="A405" t="str">
        <f>Helper5!B107</f>
        <v/>
      </c>
      <c r="B405" t="str">
        <f>Helper5!C107</f>
        <v/>
      </c>
      <c r="C405" t="str">
        <f>Helper5!E107</f>
        <v/>
      </c>
      <c r="D405" t="str">
        <f>Helper5!D107</f>
        <v/>
      </c>
      <c r="E405" t="str">
        <f>Helper5!F107</f>
        <v/>
      </c>
      <c r="H405" t="str">
        <f>Helper5!G107</f>
        <v/>
      </c>
      <c r="K405" t="str">
        <f>Helper5!H107</f>
        <v/>
      </c>
    </row>
    <row r="406" spans="1:11">
      <c r="A406" t="str">
        <f>Helper5!B108</f>
        <v/>
      </c>
      <c r="B406" t="str">
        <f>Helper5!C108</f>
        <v/>
      </c>
      <c r="C406" t="str">
        <f>Helper5!E108</f>
        <v/>
      </c>
      <c r="D406" t="str">
        <f>Helper5!D108</f>
        <v/>
      </c>
      <c r="E406" t="str">
        <f>Helper5!F108</f>
        <v/>
      </c>
      <c r="H406" t="str">
        <f>Helper5!G108</f>
        <v/>
      </c>
      <c r="K406" t="str">
        <f>Helper5!H108</f>
        <v/>
      </c>
    </row>
    <row r="407" spans="1:11">
      <c r="A407" t="str">
        <f>Helper5!B109</f>
        <v/>
      </c>
      <c r="B407" t="str">
        <f>Helper5!C109</f>
        <v/>
      </c>
      <c r="C407" t="str">
        <f>Helper5!E109</f>
        <v/>
      </c>
      <c r="D407" t="str">
        <f>Helper5!D109</f>
        <v/>
      </c>
      <c r="E407" t="str">
        <f>Helper5!F109</f>
        <v/>
      </c>
      <c r="H407" t="str">
        <f>Helper5!G109</f>
        <v/>
      </c>
      <c r="K407" t="str">
        <f>Helper5!H109</f>
        <v/>
      </c>
    </row>
    <row r="408" spans="1:11">
      <c r="A408" t="str">
        <f>Helper5!B110</f>
        <v/>
      </c>
      <c r="B408" t="str">
        <f>Helper5!C110</f>
        <v/>
      </c>
      <c r="C408" t="str">
        <f>Helper5!E110</f>
        <v/>
      </c>
      <c r="D408" t="str">
        <f>Helper5!D110</f>
        <v/>
      </c>
      <c r="E408" t="str">
        <f>Helper5!F110</f>
        <v/>
      </c>
      <c r="H408" t="str">
        <f>Helper5!G110</f>
        <v/>
      </c>
      <c r="K408" t="str">
        <f>Helper5!H110</f>
        <v/>
      </c>
    </row>
    <row r="409" spans="1:11">
      <c r="A409" t="str">
        <f>Helper5!B111</f>
        <v/>
      </c>
      <c r="B409" t="str">
        <f>Helper5!C111</f>
        <v/>
      </c>
      <c r="C409" t="str">
        <f>Helper5!E111</f>
        <v/>
      </c>
      <c r="D409" t="str">
        <f>Helper5!D111</f>
        <v/>
      </c>
      <c r="E409" t="str">
        <f>Helper5!F111</f>
        <v/>
      </c>
      <c r="H409" t="str">
        <f>Helper5!G111</f>
        <v/>
      </c>
      <c r="K409" t="str">
        <f>Helper5!H111</f>
        <v/>
      </c>
    </row>
    <row r="410" spans="1:11">
      <c r="A410" t="str">
        <f>Helper5!B112</f>
        <v/>
      </c>
      <c r="B410" t="str">
        <f>Helper5!C112</f>
        <v/>
      </c>
      <c r="C410" t="str">
        <f>Helper5!E112</f>
        <v/>
      </c>
      <c r="D410" t="str">
        <f>Helper5!D112</f>
        <v/>
      </c>
      <c r="E410" t="str">
        <f>Helper5!F112</f>
        <v/>
      </c>
      <c r="H410" t="str">
        <f>Helper5!G112</f>
        <v/>
      </c>
      <c r="K410" t="str">
        <f>Helper5!H112</f>
        <v/>
      </c>
    </row>
    <row r="411" spans="1:11">
      <c r="A411" t="str">
        <f>Helper5!B113</f>
        <v/>
      </c>
      <c r="B411" t="str">
        <f>Helper5!C113</f>
        <v/>
      </c>
      <c r="C411" t="str">
        <f>Helper5!E113</f>
        <v/>
      </c>
      <c r="D411" t="str">
        <f>Helper5!D113</f>
        <v/>
      </c>
      <c r="E411" t="str">
        <f>Helper5!F113</f>
        <v/>
      </c>
      <c r="H411" t="str">
        <f>Helper5!G113</f>
        <v/>
      </c>
      <c r="K411" t="str">
        <f>Helper5!H113</f>
        <v/>
      </c>
    </row>
    <row r="412" spans="1:11">
      <c r="A412" t="str">
        <f>Helper5!B114</f>
        <v/>
      </c>
      <c r="B412" t="str">
        <f>Helper5!C114</f>
        <v/>
      </c>
      <c r="C412" t="str">
        <f>Helper5!E114</f>
        <v/>
      </c>
      <c r="D412" t="str">
        <f>Helper5!D114</f>
        <v/>
      </c>
      <c r="E412" t="str">
        <f>Helper5!F114</f>
        <v/>
      </c>
      <c r="H412" t="str">
        <f>Helper5!G114</f>
        <v/>
      </c>
      <c r="K412" t="str">
        <f>Helper5!H114</f>
        <v/>
      </c>
    </row>
    <row r="413" spans="1:11">
      <c r="A413" t="str">
        <f>Helper5!B115</f>
        <v/>
      </c>
      <c r="B413" t="str">
        <f>Helper5!C115</f>
        <v/>
      </c>
      <c r="C413" t="str">
        <f>Helper5!E115</f>
        <v/>
      </c>
      <c r="D413" t="str">
        <f>Helper5!D115</f>
        <v/>
      </c>
      <c r="E413" t="str">
        <f>Helper5!F115</f>
        <v/>
      </c>
      <c r="H413" t="str">
        <f>Helper5!G115</f>
        <v/>
      </c>
      <c r="K413" t="str">
        <f>Helper5!H115</f>
        <v/>
      </c>
    </row>
    <row r="414" spans="1:11">
      <c r="A414" t="str">
        <f>Helper5!B116</f>
        <v/>
      </c>
      <c r="B414" t="str">
        <f>Helper5!C116</f>
        <v/>
      </c>
      <c r="C414" t="str">
        <f>Helper5!E116</f>
        <v/>
      </c>
      <c r="D414" t="str">
        <f>Helper5!D116</f>
        <v/>
      </c>
      <c r="E414" t="str">
        <f>Helper5!F116</f>
        <v/>
      </c>
      <c r="H414" t="str">
        <f>Helper5!G116</f>
        <v/>
      </c>
      <c r="K414" t="str">
        <f>Helper5!H116</f>
        <v/>
      </c>
    </row>
    <row r="415" spans="1:11">
      <c r="A415" t="str">
        <f>Helper5!B117</f>
        <v/>
      </c>
      <c r="B415" t="str">
        <f>Helper5!C117</f>
        <v/>
      </c>
      <c r="C415" t="str">
        <f>Helper5!E117</f>
        <v/>
      </c>
      <c r="D415" t="str">
        <f>Helper5!D117</f>
        <v/>
      </c>
      <c r="E415" t="str">
        <f>Helper5!F117</f>
        <v/>
      </c>
      <c r="H415" t="str">
        <f>Helper5!G117</f>
        <v/>
      </c>
      <c r="K415" t="str">
        <f>Helper5!H117</f>
        <v/>
      </c>
    </row>
    <row r="416" spans="1:11">
      <c r="A416" t="str">
        <f>Helper5!B118</f>
        <v/>
      </c>
      <c r="B416" t="str">
        <f>Helper5!C118</f>
        <v/>
      </c>
      <c r="C416" t="str">
        <f>Helper5!E118</f>
        <v/>
      </c>
      <c r="D416" t="str">
        <f>Helper5!D118</f>
        <v/>
      </c>
      <c r="E416" t="str">
        <f>Helper5!F118</f>
        <v/>
      </c>
      <c r="H416" t="str">
        <f>Helper5!G118</f>
        <v/>
      </c>
      <c r="K416" t="str">
        <f>Helper5!H118</f>
        <v/>
      </c>
    </row>
    <row r="417" spans="1:11">
      <c r="A417" t="str">
        <f>Helper5!B119</f>
        <v/>
      </c>
      <c r="B417" t="str">
        <f>Helper5!C119</f>
        <v/>
      </c>
      <c r="C417" t="str">
        <f>Helper5!E119</f>
        <v/>
      </c>
      <c r="D417" t="str">
        <f>Helper5!D119</f>
        <v/>
      </c>
      <c r="E417" t="str">
        <f>Helper5!F119</f>
        <v/>
      </c>
      <c r="H417" t="str">
        <f>Helper5!G119</f>
        <v/>
      </c>
      <c r="K417" t="str">
        <f>Helper5!H119</f>
        <v/>
      </c>
    </row>
    <row r="418" spans="1:11">
      <c r="A418" t="str">
        <f>Helper5!B120</f>
        <v/>
      </c>
      <c r="B418" t="str">
        <f>Helper5!C120</f>
        <v/>
      </c>
      <c r="C418" t="str">
        <f>Helper5!E120</f>
        <v/>
      </c>
      <c r="D418" t="str">
        <f>Helper5!D120</f>
        <v/>
      </c>
      <c r="E418" t="str">
        <f>Helper5!F120</f>
        <v/>
      </c>
      <c r="H418" t="str">
        <f>Helper5!G120</f>
        <v/>
      </c>
      <c r="K418" t="str">
        <f>Helper5!H120</f>
        <v/>
      </c>
    </row>
    <row r="419" spans="1:11">
      <c r="A419" t="str">
        <f>Helper5!B121</f>
        <v/>
      </c>
      <c r="B419" t="str">
        <f>Helper5!C121</f>
        <v/>
      </c>
      <c r="C419" t="str">
        <f>Helper5!E121</f>
        <v/>
      </c>
      <c r="D419" t="str">
        <f>Helper5!D121</f>
        <v/>
      </c>
      <c r="E419" t="str">
        <f>Helper5!F121</f>
        <v/>
      </c>
      <c r="H419" t="str">
        <f>Helper5!G121</f>
        <v/>
      </c>
      <c r="K419" t="str">
        <f>Helper5!H121</f>
        <v/>
      </c>
    </row>
    <row r="420" spans="1:11">
      <c r="A420" t="str">
        <f>Helper5!B122</f>
        <v/>
      </c>
      <c r="B420" t="str">
        <f>Helper5!C122</f>
        <v/>
      </c>
      <c r="C420" t="str">
        <f>Helper5!E122</f>
        <v/>
      </c>
      <c r="D420" t="str">
        <f>Helper5!D122</f>
        <v/>
      </c>
      <c r="E420" t="str">
        <f>Helper5!F122</f>
        <v/>
      </c>
      <c r="H420" t="str">
        <f>Helper5!G122</f>
        <v/>
      </c>
      <c r="K420" t="str">
        <f>Helper5!H122</f>
        <v/>
      </c>
    </row>
    <row r="421" spans="1:11">
      <c r="A421" t="str">
        <f>Helper5!B123</f>
        <v/>
      </c>
      <c r="B421" t="str">
        <f>Helper5!C123</f>
        <v/>
      </c>
      <c r="C421" t="str">
        <f>Helper5!E123</f>
        <v/>
      </c>
      <c r="D421" t="str">
        <f>Helper5!D123</f>
        <v/>
      </c>
      <c r="E421" t="str">
        <f>Helper5!F123</f>
        <v/>
      </c>
      <c r="H421" t="str">
        <f>Helper5!G123</f>
        <v/>
      </c>
      <c r="K421" t="str">
        <f>Helper5!H123</f>
        <v/>
      </c>
    </row>
    <row r="422" spans="1:11">
      <c r="A422" t="str">
        <f>Helper5!B124</f>
        <v/>
      </c>
      <c r="B422" t="str">
        <f>Helper5!C124</f>
        <v/>
      </c>
      <c r="C422" t="str">
        <f>Helper5!E124</f>
        <v/>
      </c>
      <c r="D422" t="str">
        <f>Helper5!D124</f>
        <v/>
      </c>
      <c r="E422" t="str">
        <f>Helper5!F124</f>
        <v/>
      </c>
      <c r="H422" t="str">
        <f>Helper5!G124</f>
        <v/>
      </c>
      <c r="K422" t="str">
        <f>Helper5!H124</f>
        <v/>
      </c>
    </row>
    <row r="423" spans="1:11">
      <c r="A423" t="str">
        <f>Helper5!B125</f>
        <v/>
      </c>
      <c r="B423" t="str">
        <f>Helper5!C125</f>
        <v/>
      </c>
      <c r="C423" t="str">
        <f>Helper5!E125</f>
        <v/>
      </c>
      <c r="D423" t="str">
        <f>Helper5!D125</f>
        <v/>
      </c>
      <c r="E423" t="str">
        <f>Helper5!F125</f>
        <v/>
      </c>
      <c r="H423" t="str">
        <f>Helper5!G125</f>
        <v/>
      </c>
      <c r="K423" t="str">
        <f>Helper5!H125</f>
        <v/>
      </c>
    </row>
    <row r="424" spans="1:11">
      <c r="A424" t="str">
        <f>Helper5!B126</f>
        <v/>
      </c>
      <c r="B424" t="str">
        <f>Helper5!C126</f>
        <v/>
      </c>
      <c r="C424" t="str">
        <f>Helper5!E126</f>
        <v/>
      </c>
      <c r="D424" t="str">
        <f>Helper5!D126</f>
        <v/>
      </c>
      <c r="E424" t="str">
        <f>Helper5!F126</f>
        <v/>
      </c>
      <c r="H424" t="str">
        <f>Helper5!G126</f>
        <v/>
      </c>
      <c r="K424" t="str">
        <f>Helper5!H126</f>
        <v/>
      </c>
    </row>
    <row r="425" spans="1:11">
      <c r="A425" t="str">
        <f>Helper5!B127</f>
        <v/>
      </c>
      <c r="B425" t="str">
        <f>Helper5!C127</f>
        <v/>
      </c>
      <c r="C425" t="str">
        <f>Helper5!E127</f>
        <v/>
      </c>
      <c r="D425" t="str">
        <f>Helper5!D127</f>
        <v/>
      </c>
      <c r="E425" t="str">
        <f>Helper5!F127</f>
        <v/>
      </c>
      <c r="H425" t="str">
        <f>Helper5!G127</f>
        <v/>
      </c>
      <c r="K425" t="str">
        <f>Helper5!H127</f>
        <v/>
      </c>
    </row>
    <row r="426" spans="1:11">
      <c r="A426" t="str">
        <f>Helper5!B128</f>
        <v/>
      </c>
      <c r="B426" t="str">
        <f>Helper5!C128</f>
        <v/>
      </c>
      <c r="C426" t="str">
        <f>Helper5!E128</f>
        <v/>
      </c>
      <c r="D426" t="str">
        <f>Helper5!D128</f>
        <v/>
      </c>
      <c r="E426" t="str">
        <f>Helper5!F128</f>
        <v/>
      </c>
      <c r="H426" t="str">
        <f>Helper5!G128</f>
        <v/>
      </c>
      <c r="K426" t="str">
        <f>Helper5!H128</f>
        <v/>
      </c>
    </row>
    <row r="427" spans="1:11">
      <c r="A427" t="str">
        <f>Helper5!B129</f>
        <v/>
      </c>
      <c r="B427" t="str">
        <f>Helper5!C129</f>
        <v/>
      </c>
      <c r="C427" t="str">
        <f>Helper5!E129</f>
        <v/>
      </c>
      <c r="D427" t="str">
        <f>Helper5!D129</f>
        <v/>
      </c>
      <c r="E427" t="str">
        <f>Helper5!F129</f>
        <v/>
      </c>
      <c r="H427" t="str">
        <f>Helper5!G129</f>
        <v/>
      </c>
      <c r="K427" t="str">
        <f>Helper5!H129</f>
        <v/>
      </c>
    </row>
    <row r="428" spans="1:11">
      <c r="A428" t="str">
        <f>Helper5!B130</f>
        <v/>
      </c>
      <c r="B428" t="str">
        <f>Helper5!C130</f>
        <v/>
      </c>
      <c r="C428" t="str">
        <f>Helper5!E130</f>
        <v/>
      </c>
      <c r="D428" t="str">
        <f>Helper5!D130</f>
        <v/>
      </c>
      <c r="E428" t="str">
        <f>Helper5!F130</f>
        <v/>
      </c>
      <c r="H428" t="str">
        <f>Helper5!G130</f>
        <v/>
      </c>
      <c r="K428" t="str">
        <f>Helper5!H130</f>
        <v/>
      </c>
    </row>
    <row r="429" spans="1:11">
      <c r="A429" t="str">
        <f>Helper5!B131</f>
        <v/>
      </c>
      <c r="B429" t="str">
        <f>Helper5!C131</f>
        <v/>
      </c>
      <c r="C429" t="str">
        <f>Helper5!E131</f>
        <v/>
      </c>
      <c r="D429" t="str">
        <f>Helper5!D131</f>
        <v/>
      </c>
      <c r="E429" t="str">
        <f>Helper5!F131</f>
        <v/>
      </c>
      <c r="H429" t="str">
        <f>Helper5!G131</f>
        <v/>
      </c>
      <c r="K429" t="str">
        <f>Helper5!H131</f>
        <v/>
      </c>
    </row>
    <row r="430" spans="1:11">
      <c r="A430" t="str">
        <f>Helper5!B132</f>
        <v/>
      </c>
      <c r="B430" t="str">
        <f>Helper5!C132</f>
        <v/>
      </c>
      <c r="C430" t="str">
        <f>Helper5!E132</f>
        <v/>
      </c>
      <c r="D430" t="str">
        <f>Helper5!D132</f>
        <v/>
      </c>
      <c r="E430" t="str">
        <f>Helper5!F132</f>
        <v/>
      </c>
      <c r="H430" t="str">
        <f>Helper5!G132</f>
        <v/>
      </c>
      <c r="K430" t="str">
        <f>Helper5!H132</f>
        <v/>
      </c>
    </row>
    <row r="431" spans="1:11">
      <c r="A431" t="str">
        <f>Helper5!B133</f>
        <v/>
      </c>
      <c r="B431" t="str">
        <f>Helper5!C133</f>
        <v/>
      </c>
      <c r="C431" t="str">
        <f>Helper5!E133</f>
        <v/>
      </c>
      <c r="D431" t="str">
        <f>Helper5!D133</f>
        <v/>
      </c>
      <c r="E431" t="str">
        <f>Helper5!F133</f>
        <v/>
      </c>
      <c r="H431" t="str">
        <f>Helper5!G133</f>
        <v/>
      </c>
      <c r="K431" t="str">
        <f>Helper5!H133</f>
        <v/>
      </c>
    </row>
    <row r="432" spans="1:11">
      <c r="A432" t="str">
        <f>Helper5!B134</f>
        <v/>
      </c>
      <c r="B432" t="str">
        <f>Helper5!C134</f>
        <v/>
      </c>
      <c r="C432" t="str">
        <f>Helper5!E134</f>
        <v/>
      </c>
      <c r="D432" t="str">
        <f>Helper5!D134</f>
        <v/>
      </c>
      <c r="E432" t="str">
        <f>Helper5!F134</f>
        <v/>
      </c>
      <c r="H432" t="str">
        <f>Helper5!G134</f>
        <v/>
      </c>
      <c r="K432" t="str">
        <f>Helper5!H134</f>
        <v/>
      </c>
    </row>
    <row r="433" spans="1:11">
      <c r="A433" t="str">
        <f>Helper5!B135</f>
        <v/>
      </c>
      <c r="B433" t="str">
        <f>Helper5!C135</f>
        <v/>
      </c>
      <c r="C433" t="str">
        <f>Helper5!E135</f>
        <v/>
      </c>
      <c r="D433" t="str">
        <f>Helper5!D135</f>
        <v/>
      </c>
      <c r="E433" t="str">
        <f>Helper5!F135</f>
        <v/>
      </c>
      <c r="H433" t="str">
        <f>Helper5!G135</f>
        <v/>
      </c>
      <c r="K433" t="str">
        <f>Helper5!H135</f>
        <v/>
      </c>
    </row>
    <row r="434" spans="1:11">
      <c r="A434" t="str">
        <f>Helper5!B136</f>
        <v/>
      </c>
      <c r="B434" t="str">
        <f>Helper5!C136</f>
        <v/>
      </c>
      <c r="C434" t="str">
        <f>Helper5!E136</f>
        <v/>
      </c>
      <c r="D434" t="str">
        <f>Helper5!D136</f>
        <v/>
      </c>
      <c r="E434" t="str">
        <f>Helper5!F136</f>
        <v/>
      </c>
      <c r="H434" t="str">
        <f>Helper5!G136</f>
        <v/>
      </c>
      <c r="K434" t="str">
        <f>Helper5!H136</f>
        <v/>
      </c>
    </row>
    <row r="435" spans="1:11">
      <c r="A435" t="str">
        <f>Helper5!B137</f>
        <v/>
      </c>
      <c r="B435" t="str">
        <f>Helper5!C137</f>
        <v/>
      </c>
      <c r="C435" t="str">
        <f>Helper5!E137</f>
        <v/>
      </c>
      <c r="D435" t="str">
        <f>Helper5!D137</f>
        <v/>
      </c>
      <c r="E435" t="str">
        <f>Helper5!F137</f>
        <v/>
      </c>
      <c r="H435" t="str">
        <f>Helper5!G137</f>
        <v/>
      </c>
      <c r="K435" t="str">
        <f>Helper5!H137</f>
        <v/>
      </c>
    </row>
    <row r="436" spans="1:11">
      <c r="A436" t="str">
        <f>Helper5!B138</f>
        <v/>
      </c>
      <c r="B436" t="str">
        <f>Helper5!C138</f>
        <v/>
      </c>
      <c r="C436" t="str">
        <f>Helper5!E138</f>
        <v/>
      </c>
      <c r="D436" t="str">
        <f>Helper5!D138</f>
        <v/>
      </c>
      <c r="E436" t="str">
        <f>Helper5!F138</f>
        <v/>
      </c>
      <c r="H436" t="str">
        <f>Helper5!G138</f>
        <v/>
      </c>
      <c r="K436" t="str">
        <f>Helper5!H138</f>
        <v/>
      </c>
    </row>
    <row r="437" spans="1:11">
      <c r="A437" t="str">
        <f>Helper5!B139</f>
        <v/>
      </c>
      <c r="B437" t="str">
        <f>Helper5!C139</f>
        <v/>
      </c>
      <c r="C437" t="str">
        <f>Helper5!E139</f>
        <v/>
      </c>
      <c r="D437" t="str">
        <f>Helper5!D139</f>
        <v/>
      </c>
      <c r="E437" t="str">
        <f>Helper5!F139</f>
        <v/>
      </c>
      <c r="H437" t="str">
        <f>Helper5!G139</f>
        <v/>
      </c>
      <c r="K437" t="str">
        <f>Helper5!H139</f>
        <v/>
      </c>
    </row>
    <row r="438" spans="1:11">
      <c r="A438" t="str">
        <f>Helper5!B140</f>
        <v/>
      </c>
      <c r="B438" t="str">
        <f>Helper5!C140</f>
        <v/>
      </c>
      <c r="C438" t="str">
        <f>Helper5!E140</f>
        <v/>
      </c>
      <c r="D438" t="str">
        <f>Helper5!D140</f>
        <v/>
      </c>
      <c r="E438" t="str">
        <f>Helper5!F140</f>
        <v/>
      </c>
      <c r="H438" t="str">
        <f>Helper5!G140</f>
        <v/>
      </c>
      <c r="K438" t="str">
        <f>Helper5!H140</f>
        <v/>
      </c>
    </row>
    <row r="439" spans="1:11">
      <c r="A439" t="str">
        <f>Helper5!B141</f>
        <v/>
      </c>
      <c r="B439" t="str">
        <f>Helper5!C141</f>
        <v/>
      </c>
      <c r="C439" t="str">
        <f>Helper5!E141</f>
        <v/>
      </c>
      <c r="D439" t="str">
        <f>Helper5!D141</f>
        <v/>
      </c>
      <c r="E439" t="str">
        <f>Helper5!F141</f>
        <v/>
      </c>
      <c r="H439" t="str">
        <f>Helper5!G141</f>
        <v/>
      </c>
      <c r="K439" t="str">
        <f>Helper5!H141</f>
        <v/>
      </c>
    </row>
    <row r="440" spans="1:11">
      <c r="A440" t="str">
        <f>Helper5!B142</f>
        <v/>
      </c>
      <c r="B440" t="str">
        <f>Helper5!C142</f>
        <v/>
      </c>
      <c r="C440" t="str">
        <f>Helper5!E142</f>
        <v/>
      </c>
      <c r="D440" t="str">
        <f>Helper5!D142</f>
        <v/>
      </c>
      <c r="E440" t="str">
        <f>Helper5!F142</f>
        <v/>
      </c>
      <c r="H440" t="str">
        <f>Helper5!G142</f>
        <v/>
      </c>
      <c r="K440" t="str">
        <f>Helper5!H142</f>
        <v/>
      </c>
    </row>
    <row r="441" spans="1:11">
      <c r="A441" t="str">
        <f>Helper5!B143</f>
        <v/>
      </c>
      <c r="B441" t="str">
        <f>Helper5!C143</f>
        <v/>
      </c>
      <c r="C441" t="str">
        <f>Helper5!E143</f>
        <v/>
      </c>
      <c r="D441" t="str">
        <f>Helper5!D143</f>
        <v/>
      </c>
      <c r="E441" t="str">
        <f>Helper5!F143</f>
        <v/>
      </c>
      <c r="H441" t="str">
        <f>Helper5!G143</f>
        <v/>
      </c>
      <c r="K441" t="str">
        <f>Helper5!H143</f>
        <v/>
      </c>
    </row>
    <row r="442" spans="1:11">
      <c r="A442" t="str">
        <f>Helper5!B144</f>
        <v/>
      </c>
      <c r="B442" t="str">
        <f>Helper5!C144</f>
        <v/>
      </c>
      <c r="C442" t="str">
        <f>Helper5!E144</f>
        <v/>
      </c>
      <c r="D442" t="str">
        <f>Helper5!D144</f>
        <v/>
      </c>
      <c r="E442" t="str">
        <f>Helper5!F144</f>
        <v/>
      </c>
      <c r="H442" t="str">
        <f>Helper5!G144</f>
        <v/>
      </c>
      <c r="K442" t="str">
        <f>Helper5!H144</f>
        <v/>
      </c>
    </row>
    <row r="443" spans="1:11">
      <c r="A443" t="str">
        <f>Helper5!B145</f>
        <v/>
      </c>
      <c r="B443" t="str">
        <f>Helper5!C145</f>
        <v/>
      </c>
      <c r="C443" t="str">
        <f>Helper5!E145</f>
        <v/>
      </c>
      <c r="D443" t="str">
        <f>Helper5!D145</f>
        <v/>
      </c>
      <c r="E443" t="str">
        <f>Helper5!F145</f>
        <v/>
      </c>
      <c r="H443" t="str">
        <f>Helper5!G145</f>
        <v/>
      </c>
      <c r="K443" t="str">
        <f>Helper5!H145</f>
        <v/>
      </c>
    </row>
    <row r="444" spans="1:11">
      <c r="A444" t="str">
        <f>Helper5!B146</f>
        <v/>
      </c>
      <c r="B444" t="str">
        <f>Helper5!C146</f>
        <v/>
      </c>
      <c r="C444" t="str">
        <f>Helper5!E146</f>
        <v/>
      </c>
      <c r="D444" t="str">
        <f>Helper5!D146</f>
        <v/>
      </c>
      <c r="E444" t="str">
        <f>Helper5!F146</f>
        <v/>
      </c>
      <c r="H444" t="str">
        <f>Helper5!G146</f>
        <v/>
      </c>
      <c r="K444" t="str">
        <f>Helper5!H146</f>
        <v/>
      </c>
    </row>
    <row r="445" spans="1:11">
      <c r="A445" t="str">
        <f>Helper5!B147</f>
        <v/>
      </c>
      <c r="B445" t="str">
        <f>Helper5!C147</f>
        <v/>
      </c>
      <c r="C445" t="str">
        <f>Helper5!E147</f>
        <v/>
      </c>
      <c r="D445" t="str">
        <f>Helper5!D147</f>
        <v/>
      </c>
      <c r="E445" t="str">
        <f>Helper5!F147</f>
        <v/>
      </c>
      <c r="H445" t="str">
        <f>Helper5!G147</f>
        <v/>
      </c>
      <c r="K445" t="str">
        <f>Helper5!H147</f>
        <v/>
      </c>
    </row>
    <row r="446" spans="1:11">
      <c r="A446" t="str">
        <f>Helper5!B148</f>
        <v/>
      </c>
      <c r="B446" t="str">
        <f>Helper5!C148</f>
        <v/>
      </c>
      <c r="C446" t="str">
        <f>Helper5!E148</f>
        <v/>
      </c>
      <c r="D446" t="str">
        <f>Helper5!D148</f>
        <v/>
      </c>
      <c r="E446" t="str">
        <f>Helper5!F148</f>
        <v/>
      </c>
      <c r="H446" t="str">
        <f>Helper5!G148</f>
        <v/>
      </c>
      <c r="K446" t="str">
        <f>Helper5!H148</f>
        <v/>
      </c>
    </row>
    <row r="447" spans="1:11">
      <c r="A447" t="str">
        <f>Helper5!B149</f>
        <v/>
      </c>
      <c r="B447" t="str">
        <f>Helper5!C149</f>
        <v/>
      </c>
      <c r="C447" t="str">
        <f>Helper5!E149</f>
        <v/>
      </c>
      <c r="D447" t="str">
        <f>Helper5!D149</f>
        <v/>
      </c>
      <c r="E447" t="str">
        <f>Helper5!F149</f>
        <v/>
      </c>
      <c r="H447" t="str">
        <f>Helper5!G149</f>
        <v/>
      </c>
      <c r="K447" t="str">
        <f>Helper5!H149</f>
        <v/>
      </c>
    </row>
    <row r="448" spans="1:11">
      <c r="A448" t="str">
        <f>Helper5!B150</f>
        <v/>
      </c>
      <c r="B448" t="str">
        <f>Helper5!C150</f>
        <v/>
      </c>
      <c r="C448" t="str">
        <f>Helper5!E150</f>
        <v/>
      </c>
      <c r="D448" t="str">
        <f>Helper5!D150</f>
        <v/>
      </c>
      <c r="E448" t="str">
        <f>Helper5!F150</f>
        <v/>
      </c>
      <c r="H448" t="str">
        <f>Helper5!G150</f>
        <v/>
      </c>
      <c r="K448" t="str">
        <f>Helper5!H150</f>
        <v/>
      </c>
    </row>
    <row r="449" spans="1:11">
      <c r="A449" t="str">
        <f>Helper5!B151</f>
        <v/>
      </c>
      <c r="B449" t="str">
        <f>Helper5!C151</f>
        <v/>
      </c>
      <c r="C449" t="str">
        <f>Helper5!E151</f>
        <v/>
      </c>
      <c r="D449" t="str">
        <f>Helper5!D151</f>
        <v/>
      </c>
      <c r="E449" t="str">
        <f>Helper5!F151</f>
        <v/>
      </c>
      <c r="H449" t="str">
        <f>Helper5!G151</f>
        <v/>
      </c>
      <c r="K449" t="str">
        <f>Helper5!H151</f>
        <v/>
      </c>
    </row>
    <row r="450" spans="1:11">
      <c r="A450" t="str">
        <f>Helper5!B152</f>
        <v/>
      </c>
      <c r="B450" t="str">
        <f>Helper5!C152</f>
        <v/>
      </c>
      <c r="C450" t="str">
        <f>Helper5!E152</f>
        <v/>
      </c>
      <c r="D450" t="str">
        <f>Helper5!D152</f>
        <v/>
      </c>
      <c r="E450" t="str">
        <f>Helper5!F152</f>
        <v/>
      </c>
      <c r="H450" t="str">
        <f>Helper5!G152</f>
        <v/>
      </c>
      <c r="K450" t="str">
        <f>Helper5!H152</f>
        <v/>
      </c>
    </row>
    <row r="451" spans="1:11">
      <c r="A451" t="str">
        <f>Helper5!B153</f>
        <v/>
      </c>
      <c r="B451" t="str">
        <f>Helper5!C153</f>
        <v/>
      </c>
      <c r="C451" t="str">
        <f>Helper5!E153</f>
        <v/>
      </c>
      <c r="D451" t="str">
        <f>Helper5!D153</f>
        <v/>
      </c>
      <c r="E451" t="str">
        <f>Helper5!F153</f>
        <v/>
      </c>
      <c r="H451" t="str">
        <f>Helper5!G153</f>
        <v/>
      </c>
      <c r="K451" t="str">
        <f>Helper5!H153</f>
        <v/>
      </c>
    </row>
    <row r="452" spans="1:11">
      <c r="A452" t="str">
        <f>Helper5!B154</f>
        <v/>
      </c>
      <c r="B452" t="str">
        <f>Helper5!C154</f>
        <v/>
      </c>
      <c r="C452" t="str">
        <f>Helper5!E154</f>
        <v/>
      </c>
      <c r="D452" t="str">
        <f>Helper5!D154</f>
        <v/>
      </c>
      <c r="E452" t="str">
        <f>Helper5!F154</f>
        <v/>
      </c>
      <c r="H452" t="str">
        <f>Helper5!G154</f>
        <v/>
      </c>
      <c r="K452" t="str">
        <f>Helper5!H154</f>
        <v/>
      </c>
    </row>
    <row r="453" spans="1:11">
      <c r="A453" t="str">
        <f>Helper5!B155</f>
        <v/>
      </c>
      <c r="B453" t="str">
        <f>Helper5!C155</f>
        <v/>
      </c>
      <c r="C453" t="str">
        <f>Helper5!E155</f>
        <v/>
      </c>
      <c r="D453" t="str">
        <f>Helper5!D155</f>
        <v/>
      </c>
      <c r="E453" t="str">
        <f>Helper5!F155</f>
        <v/>
      </c>
      <c r="H453" t="str">
        <f>Helper5!G155</f>
        <v/>
      </c>
      <c r="K453" t="str">
        <f>Helper5!H155</f>
        <v/>
      </c>
    </row>
    <row r="454" spans="1:11">
      <c r="A454" t="str">
        <f>Helper5!B156</f>
        <v/>
      </c>
      <c r="B454" t="str">
        <f>Helper5!C156</f>
        <v/>
      </c>
      <c r="C454" t="str">
        <f>Helper5!E156</f>
        <v/>
      </c>
      <c r="D454" t="str">
        <f>Helper5!D156</f>
        <v/>
      </c>
      <c r="E454" t="str">
        <f>Helper5!F156</f>
        <v/>
      </c>
      <c r="H454" t="str">
        <f>Helper5!G156</f>
        <v/>
      </c>
      <c r="K454" t="str">
        <f>Helper5!H156</f>
        <v/>
      </c>
    </row>
    <row r="455" spans="1:11">
      <c r="A455" t="str">
        <f>Helper5!B157</f>
        <v/>
      </c>
      <c r="B455" t="str">
        <f>Helper5!C157</f>
        <v/>
      </c>
      <c r="C455" t="str">
        <f>Helper5!E157</f>
        <v/>
      </c>
      <c r="D455" t="str">
        <f>Helper5!D157</f>
        <v/>
      </c>
      <c r="E455" t="str">
        <f>Helper5!F157</f>
        <v/>
      </c>
      <c r="H455" t="str">
        <f>Helper5!G157</f>
        <v/>
      </c>
      <c r="K455" t="str">
        <f>Helper5!H157</f>
        <v/>
      </c>
    </row>
    <row r="456" spans="1:11">
      <c r="A456" t="str">
        <f>Helper5!B158</f>
        <v/>
      </c>
      <c r="B456" t="str">
        <f>Helper5!C158</f>
        <v/>
      </c>
      <c r="C456" t="str">
        <f>Helper5!E158</f>
        <v/>
      </c>
      <c r="D456" t="str">
        <f>Helper5!D158</f>
        <v/>
      </c>
      <c r="E456" t="str">
        <f>Helper5!F158</f>
        <v/>
      </c>
      <c r="H456" t="str">
        <f>Helper5!G158</f>
        <v/>
      </c>
      <c r="K456" t="str">
        <f>Helper5!H158</f>
        <v/>
      </c>
    </row>
    <row r="457" spans="1:11">
      <c r="A457" t="str">
        <f>Helper5!B159</f>
        <v/>
      </c>
      <c r="B457" t="str">
        <f>Helper5!C159</f>
        <v/>
      </c>
      <c r="C457" t="str">
        <f>Helper5!E159</f>
        <v/>
      </c>
      <c r="D457" t="str">
        <f>Helper5!D159</f>
        <v/>
      </c>
      <c r="E457" t="str">
        <f>Helper5!F159</f>
        <v/>
      </c>
      <c r="H457" t="str">
        <f>Helper5!G159</f>
        <v/>
      </c>
      <c r="K457" t="str">
        <f>Helper5!H159</f>
        <v/>
      </c>
    </row>
    <row r="458" spans="1:11">
      <c r="A458" t="str">
        <f>Helper5!B160</f>
        <v/>
      </c>
      <c r="B458" t="str">
        <f>Helper5!C160</f>
        <v/>
      </c>
      <c r="C458" t="str">
        <f>Helper5!E160</f>
        <v/>
      </c>
      <c r="D458" t="str">
        <f>Helper5!D160</f>
        <v/>
      </c>
      <c r="E458" t="str">
        <f>Helper5!F160</f>
        <v/>
      </c>
      <c r="H458" t="str">
        <f>Helper5!G160</f>
        <v/>
      </c>
      <c r="K458" t="str">
        <f>Helper5!H160</f>
        <v/>
      </c>
    </row>
    <row r="459" spans="1:11">
      <c r="A459" t="str">
        <f>Helper5!B161</f>
        <v/>
      </c>
      <c r="B459" t="str">
        <f>Helper5!C161</f>
        <v/>
      </c>
      <c r="C459" t="str">
        <f>Helper5!E161</f>
        <v/>
      </c>
      <c r="D459" t="str">
        <f>Helper5!D161</f>
        <v/>
      </c>
      <c r="E459" t="str">
        <f>Helper5!F161</f>
        <v/>
      </c>
      <c r="H459" t="str">
        <f>Helper5!G161</f>
        <v/>
      </c>
      <c r="K459" t="str">
        <f>Helper5!H161</f>
        <v/>
      </c>
    </row>
    <row r="460" spans="1:11">
      <c r="A460" t="str">
        <f>Helper5!B162</f>
        <v/>
      </c>
      <c r="B460" t="str">
        <f>Helper5!C162</f>
        <v/>
      </c>
      <c r="C460" t="str">
        <f>Helper5!E162</f>
        <v/>
      </c>
      <c r="D460" t="str">
        <f>Helper5!D162</f>
        <v/>
      </c>
      <c r="E460" t="str">
        <f>Helper5!F162</f>
        <v/>
      </c>
      <c r="H460" t="str">
        <f>Helper5!G162</f>
        <v/>
      </c>
      <c r="K460" t="str">
        <f>Helper5!H162</f>
        <v/>
      </c>
    </row>
    <row r="461" spans="1:11">
      <c r="A461" t="str">
        <f>Helper5!B163</f>
        <v/>
      </c>
      <c r="B461" t="str">
        <f>Helper5!C163</f>
        <v/>
      </c>
      <c r="C461" t="str">
        <f>Helper5!E163</f>
        <v/>
      </c>
      <c r="D461" t="str">
        <f>Helper5!D163</f>
        <v/>
      </c>
      <c r="E461" t="str">
        <f>Helper5!F163</f>
        <v/>
      </c>
      <c r="H461" t="str">
        <f>Helper5!G163</f>
        <v/>
      </c>
      <c r="K461" t="str">
        <f>Helper5!H163</f>
        <v/>
      </c>
    </row>
    <row r="462" spans="1:11">
      <c r="A462" t="str">
        <f>Helper5!B164</f>
        <v/>
      </c>
      <c r="B462" t="str">
        <f>Helper5!C164</f>
        <v/>
      </c>
      <c r="C462" t="str">
        <f>Helper5!E164</f>
        <v/>
      </c>
      <c r="D462" t="str">
        <f>Helper5!D164</f>
        <v/>
      </c>
      <c r="E462" t="str">
        <f>Helper5!F164</f>
        <v/>
      </c>
      <c r="H462" t="str">
        <f>Helper5!G164</f>
        <v/>
      </c>
      <c r="K462" t="str">
        <f>Helper5!H164</f>
        <v/>
      </c>
    </row>
    <row r="463" spans="1:11">
      <c r="A463" t="str">
        <f>Helper5!B165</f>
        <v/>
      </c>
      <c r="B463" t="str">
        <f>Helper5!C165</f>
        <v/>
      </c>
      <c r="C463" t="str">
        <f>Helper5!E165</f>
        <v/>
      </c>
      <c r="D463" t="str">
        <f>Helper5!D165</f>
        <v/>
      </c>
      <c r="E463" t="str">
        <f>Helper5!F165</f>
        <v/>
      </c>
      <c r="H463" t="str">
        <f>Helper5!G165</f>
        <v/>
      </c>
      <c r="K463" t="str">
        <f>Helper5!H165</f>
        <v/>
      </c>
    </row>
    <row r="464" spans="1:11">
      <c r="A464" t="str">
        <f>Helper5!B166</f>
        <v/>
      </c>
      <c r="B464" t="str">
        <f>Helper5!C166</f>
        <v/>
      </c>
      <c r="C464" t="str">
        <f>Helper5!E166</f>
        <v/>
      </c>
      <c r="D464" t="str">
        <f>Helper5!D166</f>
        <v/>
      </c>
      <c r="E464" t="str">
        <f>Helper5!F166</f>
        <v/>
      </c>
      <c r="H464" t="str">
        <f>Helper5!G166</f>
        <v/>
      </c>
      <c r="K464" t="str">
        <f>Helper5!H166</f>
        <v/>
      </c>
    </row>
    <row r="465" spans="1:11">
      <c r="A465" t="str">
        <f>Helper5!B167</f>
        <v/>
      </c>
      <c r="B465" t="str">
        <f>Helper5!C167</f>
        <v/>
      </c>
      <c r="C465" t="str">
        <f>Helper5!E167</f>
        <v/>
      </c>
      <c r="D465" t="str">
        <f>Helper5!D167</f>
        <v/>
      </c>
      <c r="E465" t="str">
        <f>Helper5!F167</f>
        <v/>
      </c>
      <c r="H465" t="str">
        <f>Helper5!G167</f>
        <v/>
      </c>
      <c r="K465" t="str">
        <f>Helper5!H167</f>
        <v/>
      </c>
    </row>
    <row r="466" spans="1:11">
      <c r="A466" t="str">
        <f>Helper5!B168</f>
        <v/>
      </c>
      <c r="B466" t="str">
        <f>Helper5!C168</f>
        <v/>
      </c>
      <c r="C466" t="str">
        <f>Helper5!E168</f>
        <v/>
      </c>
      <c r="D466" t="str">
        <f>Helper5!D168</f>
        <v/>
      </c>
      <c r="E466" t="str">
        <f>Helper5!F168</f>
        <v/>
      </c>
      <c r="H466" t="str">
        <f>Helper5!G168</f>
        <v/>
      </c>
      <c r="K466" t="str">
        <f>Helper5!H168</f>
        <v/>
      </c>
    </row>
    <row r="467" spans="1:11">
      <c r="A467" t="str">
        <f>Helper5!B169</f>
        <v/>
      </c>
      <c r="B467" t="str">
        <f>Helper5!C169</f>
        <v/>
      </c>
      <c r="C467" t="str">
        <f>Helper5!E169</f>
        <v/>
      </c>
      <c r="D467" t="str">
        <f>Helper5!D169</f>
        <v/>
      </c>
      <c r="E467" t="str">
        <f>Helper5!F169</f>
        <v/>
      </c>
      <c r="H467" t="str">
        <f>Helper5!G169</f>
        <v/>
      </c>
      <c r="K467" t="str">
        <f>Helper5!H169</f>
        <v/>
      </c>
    </row>
    <row r="468" spans="1:11">
      <c r="A468" t="str">
        <f>Helper5!B170</f>
        <v/>
      </c>
      <c r="B468" t="str">
        <f>Helper5!C170</f>
        <v/>
      </c>
      <c r="C468" t="str">
        <f>Helper5!E170</f>
        <v/>
      </c>
      <c r="D468" t="str">
        <f>Helper5!D170</f>
        <v/>
      </c>
      <c r="E468" t="str">
        <f>Helper5!F170</f>
        <v/>
      </c>
      <c r="H468" t="str">
        <f>Helper5!G170</f>
        <v/>
      </c>
      <c r="K468" t="str">
        <f>Helper5!H170</f>
        <v/>
      </c>
    </row>
    <row r="469" spans="1:11">
      <c r="A469" t="str">
        <f>Helper5!B171</f>
        <v/>
      </c>
      <c r="B469" t="str">
        <f>Helper5!C171</f>
        <v/>
      </c>
      <c r="C469" t="str">
        <f>Helper5!E171</f>
        <v/>
      </c>
      <c r="D469" t="str">
        <f>Helper5!D171</f>
        <v/>
      </c>
      <c r="E469" t="str">
        <f>Helper5!F171</f>
        <v/>
      </c>
      <c r="H469" t="str">
        <f>Helper5!G171</f>
        <v/>
      </c>
      <c r="K469" t="str">
        <f>Helper5!H171</f>
        <v/>
      </c>
    </row>
    <row r="470" spans="1:11">
      <c r="A470" t="str">
        <f>Helper5!B172</f>
        <v/>
      </c>
      <c r="B470" t="str">
        <f>Helper5!C172</f>
        <v/>
      </c>
      <c r="C470" t="str">
        <f>Helper5!E172</f>
        <v/>
      </c>
      <c r="D470" t="str">
        <f>Helper5!D172</f>
        <v/>
      </c>
      <c r="E470" t="str">
        <f>Helper5!F172</f>
        <v/>
      </c>
      <c r="H470" t="str">
        <f>Helper5!G172</f>
        <v/>
      </c>
      <c r="K470" t="str">
        <f>Helper5!H172</f>
        <v/>
      </c>
    </row>
    <row r="471" spans="1:11">
      <c r="A471" t="str">
        <f>Helper5!B173</f>
        <v/>
      </c>
      <c r="B471" t="str">
        <f>Helper5!C173</f>
        <v/>
      </c>
      <c r="C471" t="str">
        <f>Helper5!E173</f>
        <v/>
      </c>
      <c r="D471" t="str">
        <f>Helper5!D173</f>
        <v/>
      </c>
      <c r="E471" t="str">
        <f>Helper5!F173</f>
        <v/>
      </c>
      <c r="H471" t="str">
        <f>Helper5!G173</f>
        <v/>
      </c>
      <c r="K471" t="str">
        <f>Helper5!H173</f>
        <v/>
      </c>
    </row>
    <row r="472" spans="1:11">
      <c r="A472" t="str">
        <f>Helper5!B174</f>
        <v/>
      </c>
      <c r="B472" t="str">
        <f>Helper5!C174</f>
        <v/>
      </c>
      <c r="C472" t="str">
        <f>Helper5!E174</f>
        <v/>
      </c>
      <c r="D472" t="str">
        <f>Helper5!D174</f>
        <v/>
      </c>
      <c r="E472" t="str">
        <f>Helper5!F174</f>
        <v/>
      </c>
      <c r="H472" t="str">
        <f>Helper5!G174</f>
        <v/>
      </c>
      <c r="K472" t="str">
        <f>Helper5!H174</f>
        <v/>
      </c>
    </row>
    <row r="473" spans="1:11">
      <c r="A473" t="str">
        <f>Helper5!B175</f>
        <v/>
      </c>
      <c r="B473" t="str">
        <f>Helper5!C175</f>
        <v/>
      </c>
      <c r="C473" t="str">
        <f>Helper5!E175</f>
        <v/>
      </c>
      <c r="D473" t="str">
        <f>Helper5!D175</f>
        <v/>
      </c>
      <c r="E473" t="str">
        <f>Helper5!F175</f>
        <v/>
      </c>
      <c r="H473" t="str">
        <f>Helper5!G175</f>
        <v/>
      </c>
      <c r="K473" t="str">
        <f>Helper5!H175</f>
        <v/>
      </c>
    </row>
    <row r="474" spans="1:11">
      <c r="A474" t="str">
        <f>Helper5!B176</f>
        <v/>
      </c>
      <c r="B474" t="str">
        <f>Helper5!C176</f>
        <v/>
      </c>
      <c r="C474" t="str">
        <f>Helper5!E176</f>
        <v/>
      </c>
      <c r="D474" t="str">
        <f>Helper5!D176</f>
        <v/>
      </c>
      <c r="E474" t="str">
        <f>Helper5!F176</f>
        <v/>
      </c>
      <c r="H474" t="str">
        <f>Helper5!G176</f>
        <v/>
      </c>
      <c r="K474" t="str">
        <f>Helper5!H176</f>
        <v/>
      </c>
    </row>
    <row r="475" spans="1:11">
      <c r="A475" t="str">
        <f>Helper5!B177</f>
        <v/>
      </c>
      <c r="B475" t="str">
        <f>Helper5!C177</f>
        <v/>
      </c>
      <c r="C475" t="str">
        <f>Helper5!E177</f>
        <v/>
      </c>
      <c r="D475" t="str">
        <f>Helper5!D177</f>
        <v/>
      </c>
      <c r="E475" t="str">
        <f>Helper5!F177</f>
        <v/>
      </c>
      <c r="H475" t="str">
        <f>Helper5!G177</f>
        <v/>
      </c>
      <c r="K475" t="str">
        <f>Helper5!H177</f>
        <v/>
      </c>
    </row>
    <row r="476" spans="1:11">
      <c r="A476" t="str">
        <f>Helper5!B178</f>
        <v/>
      </c>
      <c r="B476" t="str">
        <f>Helper5!C178</f>
        <v/>
      </c>
      <c r="C476" t="str">
        <f>Helper5!E178</f>
        <v/>
      </c>
      <c r="D476" t="str">
        <f>Helper5!D178</f>
        <v/>
      </c>
      <c r="E476" t="str">
        <f>Helper5!F178</f>
        <v/>
      </c>
      <c r="H476" t="str">
        <f>Helper5!G178</f>
        <v/>
      </c>
      <c r="K476" t="str">
        <f>Helper5!H178</f>
        <v/>
      </c>
    </row>
    <row r="477" spans="1:11">
      <c r="A477" t="str">
        <f>Helper5!B179</f>
        <v/>
      </c>
      <c r="B477" t="str">
        <f>Helper5!C179</f>
        <v/>
      </c>
      <c r="C477" t="str">
        <f>Helper5!E179</f>
        <v/>
      </c>
      <c r="D477" t="str">
        <f>Helper5!D179</f>
        <v/>
      </c>
      <c r="E477" t="str">
        <f>Helper5!F179</f>
        <v/>
      </c>
      <c r="H477" t="str">
        <f>Helper5!G179</f>
        <v/>
      </c>
      <c r="K477" t="str">
        <f>Helper5!H179</f>
        <v/>
      </c>
    </row>
    <row r="478" spans="1:11">
      <c r="A478" t="str">
        <f>Helper5!B180</f>
        <v/>
      </c>
      <c r="B478" t="str">
        <f>Helper5!C180</f>
        <v/>
      </c>
      <c r="C478" t="str">
        <f>Helper5!E180</f>
        <v/>
      </c>
      <c r="D478" t="str">
        <f>Helper5!D180</f>
        <v/>
      </c>
      <c r="E478" t="str">
        <f>Helper5!F180</f>
        <v/>
      </c>
      <c r="H478" t="str">
        <f>Helper5!G180</f>
        <v/>
      </c>
      <c r="K478" t="str">
        <f>Helper5!H180</f>
        <v/>
      </c>
    </row>
    <row r="479" spans="1:11">
      <c r="A479" t="str">
        <f>Helper5!B181</f>
        <v/>
      </c>
      <c r="B479" t="str">
        <f>Helper5!C181</f>
        <v/>
      </c>
      <c r="C479" t="str">
        <f>Helper5!E181</f>
        <v/>
      </c>
      <c r="D479" t="str">
        <f>Helper5!D181</f>
        <v/>
      </c>
      <c r="E479" t="str">
        <f>Helper5!F181</f>
        <v/>
      </c>
      <c r="H479" t="str">
        <f>Helper5!G181</f>
        <v/>
      </c>
      <c r="K479" t="str">
        <f>Helper5!H181</f>
        <v/>
      </c>
    </row>
    <row r="480" spans="1:11">
      <c r="A480" t="str">
        <f>Helper5!B182</f>
        <v/>
      </c>
      <c r="B480" t="str">
        <f>Helper5!C182</f>
        <v/>
      </c>
      <c r="C480" t="str">
        <f>Helper5!E182</f>
        <v/>
      </c>
      <c r="D480" t="str">
        <f>Helper5!D182</f>
        <v/>
      </c>
      <c r="E480" t="str">
        <f>Helper5!F182</f>
        <v/>
      </c>
      <c r="H480" t="str">
        <f>Helper5!G182</f>
        <v/>
      </c>
      <c r="K480" t="str">
        <f>Helper5!H182</f>
        <v/>
      </c>
    </row>
    <row r="481" spans="1:11">
      <c r="A481" t="str">
        <f>Helper5!B183</f>
        <v/>
      </c>
      <c r="B481" t="str">
        <f>Helper5!C183</f>
        <v/>
      </c>
      <c r="C481" t="str">
        <f>Helper5!E183</f>
        <v/>
      </c>
      <c r="D481" t="str">
        <f>Helper5!D183</f>
        <v/>
      </c>
      <c r="E481" t="str">
        <f>Helper5!F183</f>
        <v/>
      </c>
      <c r="H481" t="str">
        <f>Helper5!G183</f>
        <v/>
      </c>
      <c r="K481" t="str">
        <f>Helper5!H183</f>
        <v/>
      </c>
    </row>
    <row r="482" spans="1:11">
      <c r="A482" t="str">
        <f>Helper5!B184</f>
        <v/>
      </c>
      <c r="B482" t="str">
        <f>Helper5!C184</f>
        <v/>
      </c>
      <c r="C482" t="str">
        <f>Helper5!E184</f>
        <v/>
      </c>
      <c r="D482" t="str">
        <f>Helper5!D184</f>
        <v/>
      </c>
      <c r="E482" t="str">
        <f>Helper5!F184</f>
        <v/>
      </c>
      <c r="H482" t="str">
        <f>Helper5!G184</f>
        <v/>
      </c>
      <c r="K482" t="str">
        <f>Helper5!H184</f>
        <v/>
      </c>
    </row>
    <row r="483" spans="1:11">
      <c r="A483" t="str">
        <f>Helper5!B185</f>
        <v/>
      </c>
      <c r="B483" t="str">
        <f>Helper5!C185</f>
        <v/>
      </c>
      <c r="C483" t="str">
        <f>Helper5!E185</f>
        <v/>
      </c>
      <c r="D483" t="str">
        <f>Helper5!D185</f>
        <v/>
      </c>
      <c r="E483" t="str">
        <f>Helper5!F185</f>
        <v/>
      </c>
      <c r="H483" t="str">
        <f>Helper5!G185</f>
        <v/>
      </c>
      <c r="K483" t="str">
        <f>Helper5!H185</f>
        <v/>
      </c>
    </row>
    <row r="484" spans="1:11">
      <c r="A484" t="str">
        <f>Helper5!B186</f>
        <v/>
      </c>
      <c r="B484" t="str">
        <f>Helper5!C186</f>
        <v/>
      </c>
      <c r="C484" t="str">
        <f>Helper5!E186</f>
        <v/>
      </c>
      <c r="D484" t="str">
        <f>Helper5!D186</f>
        <v/>
      </c>
      <c r="E484" t="str">
        <f>Helper5!F186</f>
        <v/>
      </c>
      <c r="H484" t="str">
        <f>Helper5!G186</f>
        <v/>
      </c>
      <c r="K484" t="str">
        <f>Helper5!H186</f>
        <v/>
      </c>
    </row>
    <row r="485" spans="1:11">
      <c r="A485" t="str">
        <f>Helper5!B187</f>
        <v/>
      </c>
      <c r="B485" t="str">
        <f>Helper5!C187</f>
        <v/>
      </c>
      <c r="C485" t="str">
        <f>Helper5!E187</f>
        <v/>
      </c>
      <c r="D485" t="str">
        <f>Helper5!D187</f>
        <v/>
      </c>
      <c r="E485" t="str">
        <f>Helper5!F187</f>
        <v/>
      </c>
      <c r="H485" t="str">
        <f>Helper5!G187</f>
        <v/>
      </c>
      <c r="K485" t="str">
        <f>Helper5!H187</f>
        <v/>
      </c>
    </row>
    <row r="486" spans="1:11">
      <c r="A486" t="str">
        <f>Helper5!B188</f>
        <v/>
      </c>
      <c r="B486" t="str">
        <f>Helper5!C188</f>
        <v/>
      </c>
      <c r="C486" t="str">
        <f>Helper5!E188</f>
        <v/>
      </c>
      <c r="D486" t="str">
        <f>Helper5!D188</f>
        <v/>
      </c>
      <c r="E486" t="str">
        <f>Helper5!F188</f>
        <v/>
      </c>
      <c r="H486" t="str">
        <f>Helper5!G188</f>
        <v/>
      </c>
      <c r="K486" t="str">
        <f>Helper5!H188</f>
        <v/>
      </c>
    </row>
    <row r="487" spans="1:11">
      <c r="A487" t="str">
        <f>Helper5!B189</f>
        <v/>
      </c>
      <c r="B487" t="str">
        <f>Helper5!C189</f>
        <v/>
      </c>
      <c r="C487" t="str">
        <f>Helper5!E189</f>
        <v/>
      </c>
      <c r="D487" t="str">
        <f>Helper5!D189</f>
        <v/>
      </c>
      <c r="E487" t="str">
        <f>Helper5!F189</f>
        <v/>
      </c>
      <c r="H487" t="str">
        <f>Helper5!G189</f>
        <v/>
      </c>
      <c r="K487" t="str">
        <f>Helper5!H189</f>
        <v/>
      </c>
    </row>
    <row r="488" spans="1:11">
      <c r="A488" t="str">
        <f>Helper5!B190</f>
        <v/>
      </c>
      <c r="B488" t="str">
        <f>Helper5!C190</f>
        <v/>
      </c>
      <c r="C488" t="str">
        <f>Helper5!E190</f>
        <v/>
      </c>
      <c r="D488" t="str">
        <f>Helper5!D190</f>
        <v/>
      </c>
      <c r="E488" t="str">
        <f>Helper5!F190</f>
        <v/>
      </c>
      <c r="H488" t="str">
        <f>Helper5!G190</f>
        <v/>
      </c>
      <c r="K488" t="str">
        <f>Helper5!H190</f>
        <v/>
      </c>
    </row>
    <row r="489" spans="1:11">
      <c r="A489" t="str">
        <f>Helper5!B191</f>
        <v/>
      </c>
      <c r="B489" t="str">
        <f>Helper5!C191</f>
        <v/>
      </c>
      <c r="C489" t="str">
        <f>Helper5!E191</f>
        <v/>
      </c>
      <c r="D489" t="str">
        <f>Helper5!D191</f>
        <v/>
      </c>
      <c r="E489" t="str">
        <f>Helper5!F191</f>
        <v/>
      </c>
      <c r="H489" t="str">
        <f>Helper5!G191</f>
        <v/>
      </c>
      <c r="K489" t="str">
        <f>Helper5!H191</f>
        <v/>
      </c>
    </row>
    <row r="490" spans="1:11">
      <c r="A490" t="str">
        <f>Helper5!B192</f>
        <v/>
      </c>
      <c r="B490" t="str">
        <f>Helper5!C192</f>
        <v/>
      </c>
      <c r="C490" t="str">
        <f>Helper5!E192</f>
        <v/>
      </c>
      <c r="D490" t="str">
        <f>Helper5!D192</f>
        <v/>
      </c>
      <c r="E490" t="str">
        <f>Helper5!F192</f>
        <v/>
      </c>
      <c r="H490" t="str">
        <f>Helper5!G192</f>
        <v/>
      </c>
      <c r="K490" t="str">
        <f>Helper5!H192</f>
        <v/>
      </c>
    </row>
    <row r="491" spans="1:11">
      <c r="A491" t="str">
        <f>Helper5!B193</f>
        <v/>
      </c>
      <c r="B491" t="str">
        <f>Helper5!C193</f>
        <v/>
      </c>
      <c r="C491" t="str">
        <f>Helper5!E193</f>
        <v/>
      </c>
      <c r="D491" t="str">
        <f>Helper5!D193</f>
        <v/>
      </c>
      <c r="E491" t="str">
        <f>Helper5!F193</f>
        <v/>
      </c>
      <c r="H491" t="str">
        <f>Helper5!G193</f>
        <v/>
      </c>
      <c r="K491" t="str">
        <f>Helper5!H193</f>
        <v/>
      </c>
    </row>
    <row r="492" spans="1:11">
      <c r="A492" t="str">
        <f>Helper5!B194</f>
        <v/>
      </c>
      <c r="B492" t="str">
        <f>Helper5!C194</f>
        <v/>
      </c>
      <c r="C492" t="str">
        <f>Helper5!E194</f>
        <v/>
      </c>
      <c r="D492" t="str">
        <f>Helper5!D194</f>
        <v/>
      </c>
      <c r="E492" t="str">
        <f>Helper5!F194</f>
        <v/>
      </c>
      <c r="H492" t="str">
        <f>Helper5!G194</f>
        <v/>
      </c>
      <c r="K492" t="str">
        <f>Helper5!H194</f>
        <v/>
      </c>
    </row>
    <row r="493" spans="1:11">
      <c r="A493" t="str">
        <f>Helper5!B195</f>
        <v/>
      </c>
      <c r="B493" t="str">
        <f>Helper5!C195</f>
        <v/>
      </c>
      <c r="C493" t="str">
        <f>Helper5!E195</f>
        <v/>
      </c>
      <c r="D493" t="str">
        <f>Helper5!D195</f>
        <v/>
      </c>
      <c r="E493" t="str">
        <f>Helper5!F195</f>
        <v/>
      </c>
      <c r="H493" t="str">
        <f>Helper5!G195</f>
        <v/>
      </c>
      <c r="K493" t="str">
        <f>Helper5!H195</f>
        <v/>
      </c>
    </row>
    <row r="494" spans="1:11">
      <c r="A494" t="str">
        <f>Helper5!B196</f>
        <v/>
      </c>
      <c r="B494" t="str">
        <f>Helper5!C196</f>
        <v/>
      </c>
      <c r="C494" t="str">
        <f>Helper5!E196</f>
        <v/>
      </c>
      <c r="D494" t="str">
        <f>Helper5!D196</f>
        <v/>
      </c>
      <c r="E494" t="str">
        <f>Helper5!F196</f>
        <v/>
      </c>
      <c r="H494" t="str">
        <f>Helper5!G196</f>
        <v/>
      </c>
      <c r="K494" t="str">
        <f>Helper5!H196</f>
        <v/>
      </c>
    </row>
    <row r="495" spans="1:11">
      <c r="A495" t="str">
        <f>Helper5!B197</f>
        <v/>
      </c>
      <c r="B495" t="str">
        <f>Helper5!C197</f>
        <v/>
      </c>
      <c r="C495" t="str">
        <f>Helper5!E197</f>
        <v/>
      </c>
      <c r="D495" t="str">
        <f>Helper5!D197</f>
        <v/>
      </c>
      <c r="E495" t="str">
        <f>Helper5!F197</f>
        <v/>
      </c>
      <c r="H495" t="str">
        <f>Helper5!G197</f>
        <v/>
      </c>
      <c r="K495" t="str">
        <f>Helper5!H197</f>
        <v/>
      </c>
    </row>
    <row r="496" spans="1:11">
      <c r="A496" t="str">
        <f>Helper5!B198</f>
        <v/>
      </c>
      <c r="B496" t="str">
        <f>Helper5!C198</f>
        <v/>
      </c>
      <c r="C496" t="str">
        <f>Helper5!E198</f>
        <v/>
      </c>
      <c r="D496" t="str">
        <f>Helper5!D198</f>
        <v/>
      </c>
      <c r="E496" t="str">
        <f>Helper5!F198</f>
        <v/>
      </c>
      <c r="H496" t="str">
        <f>Helper5!G198</f>
        <v/>
      </c>
      <c r="K496" t="str">
        <f>Helper5!H198</f>
        <v/>
      </c>
    </row>
    <row r="497" spans="1:11">
      <c r="A497" t="str">
        <f>Helper5!B199</f>
        <v/>
      </c>
      <c r="B497" t="str">
        <f>Helper5!C199</f>
        <v/>
      </c>
      <c r="C497" t="str">
        <f>Helper5!E199</f>
        <v/>
      </c>
      <c r="D497" t="str">
        <f>Helper5!D199</f>
        <v/>
      </c>
      <c r="E497" t="str">
        <f>Helper5!F199</f>
        <v/>
      </c>
      <c r="H497" t="str">
        <f>Helper5!G199</f>
        <v/>
      </c>
      <c r="K497" t="str">
        <f>Helper5!H199</f>
        <v/>
      </c>
    </row>
    <row r="498" spans="1:11">
      <c r="A498" t="str">
        <f>Helper5!B200</f>
        <v/>
      </c>
      <c r="B498" t="str">
        <f>Helper5!C200</f>
        <v/>
      </c>
      <c r="C498" t="str">
        <f>Helper5!E200</f>
        <v/>
      </c>
      <c r="D498" t="str">
        <f>Helper5!D200</f>
        <v/>
      </c>
      <c r="E498" t="str">
        <f>Helper5!F200</f>
        <v/>
      </c>
      <c r="H498" t="str">
        <f>Helper5!G200</f>
        <v/>
      </c>
      <c r="K498" t="str">
        <f>Helper5!H200</f>
        <v/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758EE-5A91-4614-9FA5-242D6FE93C71}">
  <sheetPr codeName="Sheet6">
    <tabColor rgb="FFFFC000"/>
  </sheetPr>
  <dimension ref="A1:J15"/>
  <sheetViews>
    <sheetView workbookViewId="0">
      <selection activeCell="A2" sqref="A2:J7"/>
    </sheetView>
  </sheetViews>
  <sheetFormatPr defaultRowHeight="15.75"/>
  <cols>
    <col min="1" max="1" width="48.5703125" bestFit="1" customWidth="1"/>
    <col min="2" max="2" width="14.5703125" bestFit="1" customWidth="1"/>
    <col min="3" max="3" width="7.85546875" bestFit="1" customWidth="1"/>
    <col min="4" max="4" width="12.85546875" bestFit="1" customWidth="1"/>
    <col min="5" max="5" width="9.42578125" bestFit="1" customWidth="1"/>
    <col min="6" max="6" width="14.7109375" bestFit="1" customWidth="1"/>
    <col min="7" max="7" width="4.42578125" bestFit="1" customWidth="1"/>
    <col min="8" max="8" width="9.28515625" bestFit="1" customWidth="1"/>
    <col min="9" max="9" width="4.28515625" bestFit="1" customWidth="1"/>
    <col min="10" max="10" width="9.28515625" bestFit="1" customWidth="1"/>
  </cols>
  <sheetData>
    <row r="1" spans="1:10">
      <c r="A1" t="s">
        <v>1403</v>
      </c>
      <c r="B1" t="s">
        <v>1404</v>
      </c>
      <c r="C1" t="s">
        <v>1406</v>
      </c>
      <c r="D1" t="s">
        <v>1408</v>
      </c>
      <c r="E1" t="s">
        <v>1405</v>
      </c>
      <c r="F1" t="s">
        <v>1407</v>
      </c>
      <c r="G1" t="s">
        <v>1409</v>
      </c>
      <c r="H1" t="s">
        <v>1411</v>
      </c>
      <c r="I1" t="s">
        <v>1410</v>
      </c>
      <c r="J1" t="s">
        <v>1412</v>
      </c>
    </row>
    <row r="2" spans="1:10">
      <c r="A2" t="s">
        <v>1565</v>
      </c>
      <c r="B2" t="s">
        <v>1566</v>
      </c>
      <c r="C2" t="s">
        <v>1561</v>
      </c>
      <c r="D2" s="10" t="s">
        <v>1561</v>
      </c>
      <c r="E2" t="s">
        <v>1561</v>
      </c>
      <c r="F2" s="10" t="s">
        <v>1561</v>
      </c>
      <c r="G2">
        <v>1</v>
      </c>
      <c r="H2">
        <v>22.2</v>
      </c>
      <c r="I2">
        <v>1</v>
      </c>
      <c r="J2">
        <v>22.1</v>
      </c>
    </row>
    <row r="3" spans="1:10">
      <c r="A3" t="s">
        <v>1565</v>
      </c>
      <c r="D3" s="10"/>
      <c r="F3" s="10"/>
      <c r="H3" s="10"/>
    </row>
    <row r="4" spans="1:10">
      <c r="A4" t="s">
        <v>1565</v>
      </c>
      <c r="B4" s="15" t="s">
        <v>1572</v>
      </c>
      <c r="H4" s="11"/>
      <c r="J4" s="10"/>
    </row>
    <row r="5" spans="1:10">
      <c r="A5" t="s">
        <v>1564</v>
      </c>
      <c r="D5" s="10"/>
      <c r="F5" s="10"/>
    </row>
    <row r="6" spans="1:10">
      <c r="A6" t="s">
        <v>1562</v>
      </c>
      <c r="B6" s="15" t="s">
        <v>1573</v>
      </c>
      <c r="D6" s="10"/>
      <c r="F6" s="10"/>
    </row>
    <row r="7" spans="1:10">
      <c r="A7" t="s">
        <v>1562</v>
      </c>
      <c r="D7" s="10"/>
      <c r="F7" s="10"/>
      <c r="H7" s="10"/>
    </row>
    <row r="8" spans="1:10">
      <c r="D8" s="10"/>
      <c r="F8" s="10"/>
    </row>
    <row r="9" spans="1:10">
      <c r="D9" s="11"/>
      <c r="H9" s="11"/>
      <c r="J9" s="10"/>
    </row>
    <row r="10" spans="1:10">
      <c r="D10" s="11"/>
      <c r="F10" s="11"/>
    </row>
    <row r="11" spans="1:10">
      <c r="D11" s="11"/>
      <c r="F11" s="11"/>
    </row>
    <row r="14" spans="1:10">
      <c r="D14" s="11"/>
      <c r="F14" s="11"/>
    </row>
    <row r="15" spans="1:10">
      <c r="D15" s="11"/>
      <c r="F15" s="11"/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38A94-CB09-42A1-93BB-4F346BB74FC1}">
  <sheetPr codeName="Sheet7"/>
  <dimension ref="A1:AA500"/>
  <sheetViews>
    <sheetView workbookViewId="0">
      <selection activeCell="L510" sqref="L510"/>
    </sheetView>
  </sheetViews>
  <sheetFormatPr defaultRowHeight="15.75"/>
  <cols>
    <col min="1" max="1" width="9.7109375" bestFit="1" customWidth="1"/>
    <col min="2" max="2" width="2.42578125" bestFit="1" customWidth="1"/>
    <col min="3" max="3" width="4.42578125" bestFit="1" customWidth="1"/>
    <col min="4" max="4" width="4.85546875" bestFit="1" customWidth="1"/>
    <col min="5" max="5" width="9.42578125" bestFit="1" customWidth="1"/>
    <col min="6" max="6" width="2.42578125" bestFit="1" customWidth="1"/>
    <col min="10" max="10" width="13.42578125" bestFit="1" customWidth="1"/>
    <col min="11" max="11" width="9.42578125" bestFit="1" customWidth="1"/>
    <col min="15" max="15" width="25.140625" bestFit="1" customWidth="1"/>
    <col min="24" max="24" width="13.7109375" bestFit="1" customWidth="1"/>
    <col min="25" max="25" width="15.140625" bestFit="1" customWidth="1"/>
    <col min="26" max="26" width="11.42578125" bestFit="1" customWidth="1"/>
    <col min="27" max="27" width="16.42578125" bestFit="1" customWidth="1"/>
  </cols>
  <sheetData>
    <row r="1" spans="1:27">
      <c r="A1" t="s">
        <v>1403</v>
      </c>
      <c r="B1" t="s">
        <v>1413</v>
      </c>
      <c r="C1" t="s">
        <v>1422</v>
      </c>
      <c r="D1" t="s">
        <v>1423</v>
      </c>
      <c r="E1" t="s">
        <v>1404</v>
      </c>
      <c r="F1" t="s">
        <v>1414</v>
      </c>
      <c r="G1" t="s">
        <v>1415</v>
      </c>
      <c r="H1" t="s">
        <v>1489</v>
      </c>
      <c r="I1" t="s">
        <v>1416</v>
      </c>
      <c r="J1" t="s">
        <v>1485</v>
      </c>
      <c r="K1" t="s">
        <v>1477</v>
      </c>
      <c r="L1" t="s">
        <v>1419</v>
      </c>
      <c r="M1" t="s">
        <v>1420</v>
      </c>
      <c r="N1" t="s">
        <v>1418</v>
      </c>
      <c r="O1" t="s">
        <v>1421</v>
      </c>
    </row>
    <row r="2" spans="1:27">
      <c r="A2" t="str">
        <f>IF('ATP Pos'!A2="","",LEFT('ATP Pos'!A2,B2-1))</f>
        <v>A0000255</v>
      </c>
      <c r="B2">
        <f>IF('ATP Pos'!A2="","",SEARCH("_",'ATP Pos'!A2,1))</f>
        <v>9</v>
      </c>
      <c r="C2" t="str">
        <f>IF(A2="","",IF('ATP Pos'!E2="-","",IF('ATP Pos'!E2&gt;0,"Buy",IF('ATP Pos'!E2&lt;0,"Sell"))))</f>
        <v/>
      </c>
      <c r="D2" t="str">
        <f>IF(A2="","",IF('ATP Pos'!E2="-","",IF('ATP Pos'!E2&gt;0,'ATP Pos'!E2,IF('ATP Pos'!E2&lt;0,-'ATP Pos'!E2))))</f>
        <v/>
      </c>
      <c r="E2" t="str">
        <f>IF(A2="","",LEFT('ATP Pos'!B2,F2-1))</f>
        <v>VX2204</v>
      </c>
      <c r="F2">
        <f>IF(A2="","",SEARCH("-",'ATP Pos'!B2,1))</f>
        <v>7</v>
      </c>
      <c r="G2" t="str">
        <f>IF(A2="","",RIGHT('ATP Pos'!B2,3))</f>
        <v>CFE</v>
      </c>
      <c r="H2" t="str">
        <f>IF(A2="","",IF(OR(G2="OSE",G2="BMD",,G2="EUREX",G2="SGX",G2="LME",G2="tocom",G2="APEX",G2="cfe",G2="EUX",AND(G2="ice",I2="gls")),G2,""))</f>
        <v>CFE</v>
      </c>
      <c r="I2" t="str">
        <f>IF(A2="","",IF(G2="LME",LEFT(E2,LEN(E2)-6),LEFT(E2,LEN(E2)-4)))</f>
        <v>VX</v>
      </c>
      <c r="J2" t="str">
        <f>IF(H2="","",VLOOKUP(I2,表3_3[],2,0))</f>
        <v>CBOE</v>
      </c>
      <c r="K2" t="str">
        <f>IF(H2="","",VLOOKUP(I2,表3_3[],3,0))</f>
        <v>VIX</v>
      </c>
      <c r="L2" t="str">
        <f>IF(A2="","",IF(G2="LME","",VLOOKUP(RIGHT(E2,2),Helper1!$O$36:$P$48,2,0)))</f>
        <v>J</v>
      </c>
      <c r="M2" t="str">
        <f>IF(A2="","",IF(G2="LME","",20&amp;MID(E2,LEN(I2)+1,2)))</f>
        <v>2022</v>
      </c>
      <c r="N2" t="str">
        <f>IF(A2="","",IF(G2="LME",20&amp;RIGHT(E2,6),""))</f>
        <v/>
      </c>
      <c r="O2" t="str">
        <f>IF(H2="","",IF(G2="LME",G2&amp;"-"&amp;K2&amp;"-"&amp;N2,L2&amp;"-"&amp;M2&amp;"-"&amp;K2))</f>
        <v>J-2022-VIX</v>
      </c>
    </row>
    <row r="3" spans="1:27">
      <c r="A3" t="str">
        <f>IF('ATP Pos'!A3="","",LEFT('ATP Pos'!A3,B3-1))</f>
        <v>A0000255</v>
      </c>
      <c r="B3">
        <f>IF('ATP Pos'!A3="","",SEARCH("_",'ATP Pos'!A3,1))</f>
        <v>9</v>
      </c>
      <c r="C3" t="b">
        <f>IF(A3="","",IF('ATP Pos'!E3="-","",IF('ATP Pos'!E3&gt;0,"Buy",IF('ATP Pos'!E3&lt;0,"Sell"))))</f>
        <v>0</v>
      </c>
      <c r="D3" t="b">
        <f>IF(A3="","",IF('ATP Pos'!E3="-","",IF('ATP Pos'!E3&gt;0,'ATP Pos'!E3,IF('ATP Pos'!E3&lt;0,-'ATP Pos'!E3))))</f>
        <v>0</v>
      </c>
      <c r="E3" t="e">
        <f>IF(A3="","",LEFT('ATP Pos'!B3,F3-1))</f>
        <v>#VALUE!</v>
      </c>
      <c r="F3" t="e">
        <f>IF(A3="","",SEARCH("-",'ATP Pos'!B3,1))</f>
        <v>#VALUE!</v>
      </c>
      <c r="G3" t="str">
        <f>IF(A3="","",RIGHT('ATP Pos'!B3,3))</f>
        <v/>
      </c>
      <c r="H3" t="e">
        <f t="shared" ref="H3:H66" si="0">IF(A3="","",IF(OR(G3="OSE",G3="BMD",,G3="EUREX",G3="SGX",G3="LME",G3="tocom",G3="APEX",G3="cfe",G3="EUX",AND(G3="ice",I3="gls")),G3,""))</f>
        <v>#VALUE!</v>
      </c>
      <c r="I3" t="e">
        <f t="shared" ref="I3:I66" si="1">IF(A3="","",IF(G3="LME",LEFT(E3,LEN(E3)-6),LEFT(E3,LEN(E3)-4)))</f>
        <v>#VALUE!</v>
      </c>
      <c r="J3" t="e">
        <f>IF(H3="","",VLOOKUP(I3,表3_3[],2,0))</f>
        <v>#VALUE!</v>
      </c>
      <c r="K3" t="e">
        <f>IF(H3="","",VLOOKUP(I3,表3_3[],3,0))</f>
        <v>#VALUE!</v>
      </c>
      <c r="L3" t="e">
        <f>IF(A3="","",IF(G3="LME","",VLOOKUP(RIGHT(E3,2),Helper1!$O$36:$P$48,2,0)))</f>
        <v>#VALUE!</v>
      </c>
      <c r="M3" t="e">
        <f t="shared" ref="M3:M66" si="2">IF(A3="","",IF(G3="LME","",20&amp;MID(E3,LEN(I3)+1,2)))</f>
        <v>#VALUE!</v>
      </c>
      <c r="N3" t="str">
        <f t="shared" ref="N3:N66" si="3">IF(A3="","",IF(G3="LME",20&amp;RIGHT(E3,6),""))</f>
        <v/>
      </c>
      <c r="O3" t="e">
        <f t="shared" ref="O3:O66" si="4">IF(H3="","",IF(G3="LME",G3&amp;"-"&amp;K3&amp;"-"&amp;N3,L3&amp;"-"&amp;M3&amp;"-"&amp;K3))</f>
        <v>#VALUE!</v>
      </c>
      <c r="X3" s="5" t="s">
        <v>1319</v>
      </c>
    </row>
    <row r="4" spans="1:27">
      <c r="A4" t="str">
        <f>IF('ATP Pos'!A4="","",LEFT('ATP Pos'!A4,B4-1))</f>
        <v>A0000255</v>
      </c>
      <c r="B4">
        <f>IF('ATP Pos'!A4="","",SEARCH("_",'ATP Pos'!A4,1))</f>
        <v>9</v>
      </c>
      <c r="C4" t="b">
        <f>IF(A4="","",IF('ATP Pos'!E4="-","",IF('ATP Pos'!E4&gt;0,"Buy",IF('ATP Pos'!E4&lt;0,"Sell"))))</f>
        <v>0</v>
      </c>
      <c r="D4" t="b">
        <f>IF(A4="","",IF('ATP Pos'!E4="-","",IF('ATP Pos'!E4&gt;0,'ATP Pos'!E4,IF('ATP Pos'!E4&lt;0,-'ATP Pos'!E4))))</f>
        <v>0</v>
      </c>
      <c r="E4" t="str">
        <f>IF(A4="","",LEFT('ATP Pos'!B4,F4-1))</f>
        <v>GLS2204</v>
      </c>
      <c r="F4">
        <f>IF(A4="","",SEARCH("-",'ATP Pos'!B4,1))</f>
        <v>8</v>
      </c>
      <c r="G4" t="str">
        <f>IF(A4="","",RIGHT('ATP Pos'!B4,3))</f>
        <v>ICE</v>
      </c>
      <c r="H4" t="str">
        <f t="shared" si="0"/>
        <v>ICE</v>
      </c>
      <c r="I4" t="str">
        <f t="shared" si="1"/>
        <v>GLS</v>
      </c>
      <c r="J4" t="e">
        <f>IF(H4="","",VLOOKUP(I4,表3_3[],2,0))</f>
        <v>#N/A</v>
      </c>
      <c r="K4" t="e">
        <f>IF(H4="","",VLOOKUP(I4,表3_3[],3,0))</f>
        <v>#N/A</v>
      </c>
      <c r="L4" t="str">
        <f>IF(A4="","",IF(G4="LME","",VLOOKUP(RIGHT(E4,2),Helper1!$O$36:$P$48,2,0)))</f>
        <v>J</v>
      </c>
      <c r="M4" t="str">
        <f t="shared" si="2"/>
        <v>2022</v>
      </c>
      <c r="N4" t="str">
        <f t="shared" si="3"/>
        <v/>
      </c>
      <c r="O4" t="e">
        <f t="shared" si="4"/>
        <v>#N/A</v>
      </c>
      <c r="X4" s="5" t="s">
        <v>1488</v>
      </c>
      <c r="Y4" s="5" t="s">
        <v>1322</v>
      </c>
      <c r="Z4" s="5" t="s">
        <v>1323</v>
      </c>
      <c r="AA4" s="5" t="s">
        <v>1502</v>
      </c>
    </row>
    <row r="5" spans="1:27">
      <c r="A5" t="str">
        <f>IF('ATP Pos'!A5="","",LEFT('ATP Pos'!A5,B5-1))</f>
        <v>A0000487</v>
      </c>
      <c r="B5">
        <f>IF('ATP Pos'!A5="","",SEARCH("_",'ATP Pos'!A5,1))</f>
        <v>9</v>
      </c>
      <c r="C5" t="b">
        <f>IF(A5="","",IF('ATP Pos'!E5="-","",IF('ATP Pos'!E5&gt;0,"Buy",IF('ATP Pos'!E5&lt;0,"Sell"))))</f>
        <v>0</v>
      </c>
      <c r="D5" t="b">
        <f>IF(A5="","",IF('ATP Pos'!E5="-","",IF('ATP Pos'!E5&gt;0,'ATP Pos'!E5,IF('ATP Pos'!E5&lt;0,-'ATP Pos'!E5))))</f>
        <v>0</v>
      </c>
      <c r="E5" t="e">
        <f>IF(A5="","",LEFT('ATP Pos'!B5,F5-1))</f>
        <v>#VALUE!</v>
      </c>
      <c r="F5" t="e">
        <f>IF(A5="","",SEARCH("-",'ATP Pos'!B5,1))</f>
        <v>#VALUE!</v>
      </c>
      <c r="G5" t="str">
        <f>IF(A5="","",RIGHT('ATP Pos'!B5,3))</f>
        <v/>
      </c>
      <c r="H5" t="e">
        <f t="shared" si="0"/>
        <v>#VALUE!</v>
      </c>
      <c r="I5" t="e">
        <f t="shared" si="1"/>
        <v>#VALUE!</v>
      </c>
      <c r="J5" t="e">
        <f>IF(H5="","",VLOOKUP(I5,表3_3[],2,0))</f>
        <v>#VALUE!</v>
      </c>
      <c r="K5" t="e">
        <f>IF(H5="","",VLOOKUP(I5,表3_3[],3,0))</f>
        <v>#VALUE!</v>
      </c>
      <c r="L5" t="e">
        <f>IF(A5="","",IF(G5="LME","",VLOOKUP(RIGHT(E5,2),Helper1!$O$36:$P$48,2,0)))</f>
        <v>#VALUE!</v>
      </c>
      <c r="M5" t="e">
        <f t="shared" si="2"/>
        <v>#VALUE!</v>
      </c>
      <c r="N5" t="str">
        <f t="shared" si="3"/>
        <v/>
      </c>
      <c r="O5" t="e">
        <f t="shared" si="4"/>
        <v>#VALUE!</v>
      </c>
      <c r="X5" t="s">
        <v>1490</v>
      </c>
      <c r="Y5" t="s">
        <v>1325</v>
      </c>
      <c r="Z5" s="5" t="s">
        <v>1490</v>
      </c>
      <c r="AA5" s="5" t="s">
        <v>4</v>
      </c>
    </row>
    <row r="6" spans="1:27">
      <c r="A6" t="str">
        <f>IF('ATP Pos'!A6="","",LEFT('ATP Pos'!A6,B6-1))</f>
        <v>H0000592</v>
      </c>
      <c r="B6">
        <f>IF('ATP Pos'!A6="","",SEARCH("_",'ATP Pos'!A6,1))</f>
        <v>9</v>
      </c>
      <c r="C6" t="b">
        <f>IF(A6="","",IF('ATP Pos'!E6="-","",IF('ATP Pos'!E6&gt;0,"Buy",IF('ATP Pos'!E6&lt;0,"Sell"))))</f>
        <v>0</v>
      </c>
      <c r="D6" t="b">
        <f>IF(A6="","",IF('ATP Pos'!E6="-","",IF('ATP Pos'!E6&gt;0,'ATP Pos'!E6,IF('ATP Pos'!E6&lt;0,-'ATP Pos'!E6))))</f>
        <v>0</v>
      </c>
      <c r="E6" t="str">
        <f>IF(A6="","",LEFT('ATP Pos'!B6,F6-1))</f>
        <v>FGBS2204</v>
      </c>
      <c r="F6">
        <f>IF(A6="","",SEARCH("-",'ATP Pos'!B6,1))</f>
        <v>9</v>
      </c>
      <c r="G6" t="str">
        <f>IF(A6="","",RIGHT('ATP Pos'!B6,3))</f>
        <v>EUX</v>
      </c>
      <c r="H6" t="str">
        <f t="shared" si="0"/>
        <v>EUX</v>
      </c>
      <c r="I6" t="str">
        <f t="shared" si="1"/>
        <v>FGBS</v>
      </c>
      <c r="J6" t="str">
        <f>IF(H6="","",VLOOKUP(I6,表3_3[],2,0))</f>
        <v>EUREX</v>
      </c>
      <c r="K6" t="str">
        <f>IF(H6="","",VLOOKUP(I6,表3_3[],3,0))</f>
        <v>FGBS</v>
      </c>
      <c r="L6" t="str">
        <f>IF(A6="","",IF(G6="LME","",VLOOKUP(RIGHT(E6,2),Helper1!$O$36:$P$48,2,0)))</f>
        <v>J</v>
      </c>
      <c r="M6" t="str">
        <f t="shared" si="2"/>
        <v>2022</v>
      </c>
      <c r="N6" t="str">
        <f t="shared" si="3"/>
        <v/>
      </c>
      <c r="O6" t="str">
        <f t="shared" si="4"/>
        <v>J-2022-FGBS</v>
      </c>
      <c r="X6" t="s">
        <v>5</v>
      </c>
      <c r="Y6" t="s">
        <v>1325</v>
      </c>
      <c r="Z6" s="5" t="s">
        <v>1326</v>
      </c>
      <c r="AA6" s="5" t="s">
        <v>4</v>
      </c>
    </row>
    <row r="7" spans="1:27">
      <c r="A7" t="str">
        <f>IF('ATP Pos'!A7="","",LEFT('ATP Pos'!A7,B7-1))</f>
        <v>H0000592</v>
      </c>
      <c r="B7">
        <f>IF('ATP Pos'!A7="","",SEARCH("_",'ATP Pos'!A7,1))</f>
        <v>9</v>
      </c>
      <c r="C7" t="b">
        <f>IF(A7="","",IF('ATP Pos'!E7="-","",IF('ATP Pos'!E7&gt;0,"Buy",IF('ATP Pos'!E7&lt;0,"Sell"))))</f>
        <v>0</v>
      </c>
      <c r="D7" t="b">
        <f>IF(A7="","",IF('ATP Pos'!E7="-","",IF('ATP Pos'!E7&gt;0,'ATP Pos'!E7,IF('ATP Pos'!E7&lt;0,-'ATP Pos'!E7))))</f>
        <v>0</v>
      </c>
      <c r="E7" t="e">
        <f>IF(A7="","",LEFT('ATP Pos'!B7,F7-1))</f>
        <v>#VALUE!</v>
      </c>
      <c r="F7" t="e">
        <f>IF(A7="","",SEARCH("-",'ATP Pos'!B7,1))</f>
        <v>#VALUE!</v>
      </c>
      <c r="G7" t="str">
        <f>IF(A7="","",RIGHT('ATP Pos'!B7,3))</f>
        <v/>
      </c>
      <c r="H7" t="e">
        <f t="shared" si="0"/>
        <v>#VALUE!</v>
      </c>
      <c r="I7" t="e">
        <f t="shared" si="1"/>
        <v>#VALUE!</v>
      </c>
      <c r="J7" t="e">
        <f>IF(H7="","",VLOOKUP(I7,表3_3[],2,0))</f>
        <v>#VALUE!</v>
      </c>
      <c r="K7" t="e">
        <f>IF(H7="","",VLOOKUP(I7,表3_3[],3,0))</f>
        <v>#VALUE!</v>
      </c>
      <c r="L7" t="e">
        <f>IF(A7="","",IF(G7="LME","",VLOOKUP(RIGHT(E7,2),Helper1!$O$36:$P$48,2,0)))</f>
        <v>#VALUE!</v>
      </c>
      <c r="M7" t="e">
        <f t="shared" si="2"/>
        <v>#VALUE!</v>
      </c>
      <c r="N7" t="str">
        <f t="shared" si="3"/>
        <v/>
      </c>
      <c r="O7" t="e">
        <f t="shared" si="4"/>
        <v>#VALUE!</v>
      </c>
      <c r="Z7" s="5"/>
      <c r="AA7" s="5"/>
    </row>
    <row r="8" spans="1:27">
      <c r="A8" t="str">
        <f>IF('ATP Pos'!A8="","",LEFT('ATP Pos'!A8,B8-1))</f>
        <v/>
      </c>
      <c r="B8" t="str">
        <f>IF('ATP Pos'!A8="","",SEARCH("_",'ATP Pos'!A8,1))</f>
        <v/>
      </c>
      <c r="C8" t="str">
        <f>IF(A8="","",IF('ATP Pos'!E8="-","",IF('ATP Pos'!E8&gt;0,"Buy",IF('ATP Pos'!E8&lt;0,"Sell"))))</f>
        <v/>
      </c>
      <c r="D8" t="str">
        <f>IF(A8="","",IF('ATP Pos'!E8="-","",IF('ATP Pos'!E8&gt;0,'ATP Pos'!E8,IF('ATP Pos'!E8&lt;0,-'ATP Pos'!E8))))</f>
        <v/>
      </c>
      <c r="E8" t="str">
        <f>IF(A8="","",LEFT('ATP Pos'!B8,F8-1))</f>
        <v/>
      </c>
      <c r="F8" t="str">
        <f>IF(A8="","",SEARCH("-",'ATP Pos'!B8,1))</f>
        <v/>
      </c>
      <c r="G8" t="str">
        <f>IF(A8="","",RIGHT('ATP Pos'!B8,3))</f>
        <v/>
      </c>
      <c r="H8" t="str">
        <f t="shared" si="0"/>
        <v/>
      </c>
      <c r="I8" t="str">
        <f t="shared" si="1"/>
        <v/>
      </c>
      <c r="J8" t="str">
        <f>IF(H8="","",VLOOKUP(I8,表3_3[],2,0))</f>
        <v/>
      </c>
      <c r="K8" t="str">
        <f>IF(H8="","",VLOOKUP(I8,表3_3[],3,0))</f>
        <v/>
      </c>
      <c r="L8" t="str">
        <f>IF(A8="","",IF(G8="LME","",VLOOKUP(RIGHT(E8,2),Helper1!$O$36:$P$48,2,0)))</f>
        <v/>
      </c>
      <c r="M8" t="str">
        <f t="shared" si="2"/>
        <v/>
      </c>
      <c r="N8" t="str">
        <f t="shared" si="3"/>
        <v/>
      </c>
      <c r="O8" t="str">
        <f t="shared" si="4"/>
        <v/>
      </c>
      <c r="X8" t="s">
        <v>1486</v>
      </c>
      <c r="Y8" t="s">
        <v>1325</v>
      </c>
      <c r="Z8" t="s">
        <v>1486</v>
      </c>
      <c r="AA8" t="s">
        <v>4</v>
      </c>
    </row>
    <row r="9" spans="1:27">
      <c r="A9" t="str">
        <f>IF('ATP Pos'!A9="","",LEFT('ATP Pos'!A9,B9-1))</f>
        <v/>
      </c>
      <c r="B9" t="str">
        <f>IF('ATP Pos'!A9="","",SEARCH("_",'ATP Pos'!A9,1))</f>
        <v/>
      </c>
      <c r="C9" t="str">
        <f>IF(A9="","",IF('ATP Pos'!E9="-","",IF('ATP Pos'!E9&gt;0,"Buy",IF('ATP Pos'!E9&lt;0,"Sell"))))</f>
        <v/>
      </c>
      <c r="D9" t="str">
        <f>IF(A9="","",IF('ATP Pos'!E9="-","",IF('ATP Pos'!E9&gt;0,'ATP Pos'!E9,IF('ATP Pos'!E9&lt;0,-'ATP Pos'!E9))))</f>
        <v/>
      </c>
      <c r="E9" t="str">
        <f>IF(A9="","",LEFT('ATP Pos'!B9,F9-1))</f>
        <v/>
      </c>
      <c r="F9" t="str">
        <f>IF(A9="","",SEARCH("-",'ATP Pos'!B9,1))</f>
        <v/>
      </c>
      <c r="G9" t="str">
        <f>IF(A9="","",RIGHT('ATP Pos'!B9,3))</f>
        <v/>
      </c>
      <c r="H9" t="str">
        <f t="shared" si="0"/>
        <v/>
      </c>
      <c r="I9" t="str">
        <f t="shared" si="1"/>
        <v/>
      </c>
      <c r="J9" t="str">
        <f>IF(H9="","",VLOOKUP(I9,表3_3[],2,0))</f>
        <v/>
      </c>
      <c r="K9" t="str">
        <f>IF(H9="","",VLOOKUP(I9,表3_3[],3,0))</f>
        <v/>
      </c>
      <c r="L9" t="str">
        <f>IF(A9="","",IF(G9="LME","",VLOOKUP(RIGHT(E9,2),Helper1!$O$36:$P$48,2,0)))</f>
        <v/>
      </c>
      <c r="M9" t="str">
        <f t="shared" si="2"/>
        <v/>
      </c>
      <c r="N9" t="str">
        <f t="shared" si="3"/>
        <v/>
      </c>
      <c r="O9" t="str">
        <f t="shared" si="4"/>
        <v/>
      </c>
      <c r="X9" t="s">
        <v>1487</v>
      </c>
      <c r="Y9" t="s">
        <v>1325</v>
      </c>
      <c r="Z9" t="s">
        <v>1487</v>
      </c>
      <c r="AA9" t="s">
        <v>4</v>
      </c>
    </row>
    <row r="10" spans="1:27">
      <c r="A10" t="str">
        <f>IF('ATP Pos'!A10="","",LEFT('ATP Pos'!A10,B10-1))</f>
        <v/>
      </c>
      <c r="B10" t="str">
        <f>IF('ATP Pos'!A10="","",SEARCH("_",'ATP Pos'!A10,1))</f>
        <v/>
      </c>
      <c r="C10" t="str">
        <f>IF(A10="","",IF('ATP Pos'!E10="-","",IF('ATP Pos'!E10&gt;0,"Buy",IF('ATP Pos'!E10&lt;0,"Sell"))))</f>
        <v/>
      </c>
      <c r="D10" t="str">
        <f>IF(A10="","",IF('ATP Pos'!E10="-","",IF('ATP Pos'!E10&gt;0,'ATP Pos'!E10,IF('ATP Pos'!E10&lt;0,-'ATP Pos'!E10))))</f>
        <v/>
      </c>
      <c r="E10" t="str">
        <f>IF(A10="","",LEFT('ATP Pos'!B10,F10-1))</f>
        <v/>
      </c>
      <c r="F10" t="str">
        <f>IF(A10="","",SEARCH("-",'ATP Pos'!B10,1))</f>
        <v/>
      </c>
      <c r="G10" t="str">
        <f>IF(A10="","",RIGHT('ATP Pos'!B10,3))</f>
        <v/>
      </c>
      <c r="H10" t="str">
        <f t="shared" si="0"/>
        <v/>
      </c>
      <c r="I10" t="str">
        <f t="shared" si="1"/>
        <v/>
      </c>
      <c r="J10" t="str">
        <f>IF(H10="","",VLOOKUP(I10,表3_3[],2,0))</f>
        <v/>
      </c>
      <c r="K10" t="str">
        <f>IF(H10="","",VLOOKUP(I10,表3_3[],3,0))</f>
        <v/>
      </c>
      <c r="L10" t="str">
        <f>IF(A10="","",IF(G10="LME","",VLOOKUP(RIGHT(E10,2),Helper1!$O$36:$P$48,2,0)))</f>
        <v/>
      </c>
      <c r="M10" t="str">
        <f t="shared" si="2"/>
        <v/>
      </c>
      <c r="N10" t="str">
        <f t="shared" si="3"/>
        <v/>
      </c>
      <c r="O10" t="str">
        <f t="shared" si="4"/>
        <v/>
      </c>
    </row>
    <row r="11" spans="1:27">
      <c r="A11" t="str">
        <f>IF('ATP Pos'!A11="","",LEFT('ATP Pos'!A11,B11-1))</f>
        <v/>
      </c>
      <c r="B11" t="str">
        <f>IF('ATP Pos'!A11="","",SEARCH("_",'ATP Pos'!A11,1))</f>
        <v/>
      </c>
      <c r="C11" t="str">
        <f>IF(A11="","",IF('ATP Pos'!E11="-","",IF('ATP Pos'!E11&gt;0,"Buy",IF('ATP Pos'!E11&lt;0,"Sell"))))</f>
        <v/>
      </c>
      <c r="D11" t="str">
        <f>IF(A11="","",IF('ATP Pos'!E11="-","",IF('ATP Pos'!E11&gt;0,'ATP Pos'!E11,IF('ATP Pos'!E11&lt;0,-'ATP Pos'!E11))))</f>
        <v/>
      </c>
      <c r="E11" t="str">
        <f>IF(A11="","",LEFT('ATP Pos'!B11,F11-1))</f>
        <v/>
      </c>
      <c r="F11" t="str">
        <f>IF(A11="","",SEARCH("-",'ATP Pos'!B11,1))</f>
        <v/>
      </c>
      <c r="G11" t="str">
        <f>IF(A11="","",RIGHT('ATP Pos'!B11,3))</f>
        <v/>
      </c>
      <c r="H11" t="str">
        <f t="shared" si="0"/>
        <v/>
      </c>
      <c r="I11" t="str">
        <f t="shared" si="1"/>
        <v/>
      </c>
      <c r="J11" t="str">
        <f>IF(H11="","",VLOOKUP(I11,表3_3[],2,0))</f>
        <v/>
      </c>
      <c r="K11" t="str">
        <f>IF(H11="","",VLOOKUP(I11,表3_3[],3,0))</f>
        <v/>
      </c>
      <c r="L11" t="str">
        <f>IF(A11="","",IF(G11="LME","",VLOOKUP(RIGHT(E11,2),Helper1!$O$36:$P$48,2,0)))</f>
        <v/>
      </c>
      <c r="M11" t="str">
        <f t="shared" si="2"/>
        <v/>
      </c>
      <c r="N11" t="str">
        <f t="shared" si="3"/>
        <v/>
      </c>
      <c r="O11" t="str">
        <f t="shared" si="4"/>
        <v/>
      </c>
      <c r="X11" t="s">
        <v>1567</v>
      </c>
      <c r="Y11" t="s">
        <v>1568</v>
      </c>
      <c r="Z11" t="s">
        <v>599</v>
      </c>
      <c r="AA11" t="s">
        <v>577</v>
      </c>
    </row>
    <row r="12" spans="1:27">
      <c r="A12" t="str">
        <f>IF('ATP Pos'!A12="","",LEFT('ATP Pos'!A12,B12-1))</f>
        <v/>
      </c>
      <c r="B12" t="str">
        <f>IF('ATP Pos'!A12="","",SEARCH("_",'ATP Pos'!A12,1))</f>
        <v/>
      </c>
      <c r="C12" t="str">
        <f>IF(A12="","",IF('ATP Pos'!E12="-","",IF('ATP Pos'!E12&gt;0,"Buy",IF('ATP Pos'!E12&lt;0,"Sell"))))</f>
        <v/>
      </c>
      <c r="D12" t="str">
        <f>IF(A12="","",IF('ATP Pos'!E12="-","",IF('ATP Pos'!E12&gt;0,'ATP Pos'!E12,IF('ATP Pos'!E12&lt;0,-'ATP Pos'!E12))))</f>
        <v/>
      </c>
      <c r="E12" t="str">
        <f>IF(A12="","",LEFT('ATP Pos'!B12,F12-1))</f>
        <v/>
      </c>
      <c r="F12" t="str">
        <f>IF(A12="","",SEARCH("-",'ATP Pos'!B12,1))</f>
        <v/>
      </c>
      <c r="G12" t="str">
        <f>IF(A12="","",RIGHT('ATP Pos'!B12,3))</f>
        <v/>
      </c>
      <c r="H12" t="str">
        <f t="shared" si="0"/>
        <v/>
      </c>
      <c r="I12" t="str">
        <f t="shared" si="1"/>
        <v/>
      </c>
      <c r="J12" t="str">
        <f>IF(H12="","",VLOOKUP(I12,表3_3[],2,0))</f>
        <v/>
      </c>
      <c r="K12" t="str">
        <f>IF(H12="","",VLOOKUP(I12,表3_3[],3,0))</f>
        <v/>
      </c>
      <c r="L12" t="str">
        <f>IF(A12="","",IF(G12="LME","",VLOOKUP(RIGHT(E12,2),Helper1!$O$36:$P$48,2,0)))</f>
        <v/>
      </c>
      <c r="M12" t="str">
        <f t="shared" si="2"/>
        <v/>
      </c>
      <c r="N12" t="str">
        <f t="shared" si="3"/>
        <v/>
      </c>
      <c r="O12" t="str">
        <f t="shared" si="4"/>
        <v/>
      </c>
      <c r="X12" t="s">
        <v>1569</v>
      </c>
      <c r="Y12" t="s">
        <v>1571</v>
      </c>
      <c r="Z12" t="s">
        <v>1570</v>
      </c>
      <c r="AA12" t="s">
        <v>229</v>
      </c>
    </row>
    <row r="13" spans="1:27">
      <c r="A13" t="str">
        <f>IF('ATP Pos'!A13="","",LEFT('ATP Pos'!A13,B13-1))</f>
        <v/>
      </c>
      <c r="B13" t="str">
        <f>IF('ATP Pos'!A13="","",SEARCH("_",'ATP Pos'!A13,1))</f>
        <v/>
      </c>
      <c r="C13" t="str">
        <f>IF(A13="","",IF('ATP Pos'!E13="-","",IF('ATP Pos'!E13&gt;0,"Buy",IF('ATP Pos'!E13&lt;0,"Sell"))))</f>
        <v/>
      </c>
      <c r="D13" t="str">
        <f>IF(A13="","",IF('ATP Pos'!E13="-","",IF('ATP Pos'!E13&gt;0,'ATP Pos'!E13,IF('ATP Pos'!E13&lt;0,-'ATP Pos'!E13))))</f>
        <v/>
      </c>
      <c r="E13" t="str">
        <f>IF(A13="","",LEFT('ATP Pos'!B13,F13-1))</f>
        <v/>
      </c>
      <c r="F13" t="str">
        <f>IF(A13="","",SEARCH("-",'ATP Pos'!B13,1))</f>
        <v/>
      </c>
      <c r="G13" t="str">
        <f>IF(A13="","",RIGHT('ATP Pos'!B13,3))</f>
        <v/>
      </c>
      <c r="H13" t="str">
        <f t="shared" si="0"/>
        <v/>
      </c>
      <c r="I13" t="str">
        <f t="shared" si="1"/>
        <v/>
      </c>
      <c r="J13" t="str">
        <f>IF(H13="","",VLOOKUP(I13,表3_3[],2,0))</f>
        <v/>
      </c>
      <c r="K13" t="str">
        <f>IF(H13="","",VLOOKUP(I13,表3_3[],3,0))</f>
        <v/>
      </c>
      <c r="L13" t="str">
        <f>IF(A13="","",IF(G13="LME","",VLOOKUP(RIGHT(E13,2),Helper1!$O$36:$P$48,2,0)))</f>
        <v/>
      </c>
      <c r="M13" t="str">
        <f t="shared" si="2"/>
        <v/>
      </c>
      <c r="N13" t="str">
        <f t="shared" si="3"/>
        <v/>
      </c>
      <c r="O13" t="str">
        <f t="shared" si="4"/>
        <v/>
      </c>
      <c r="Y13" s="5"/>
      <c r="Z13" s="5"/>
      <c r="AA13" s="5"/>
    </row>
    <row r="14" spans="1:27" ht="16.5">
      <c r="A14" t="str">
        <f>IF('ATP Pos'!A14="","",LEFT('ATP Pos'!A14,B14-1))</f>
        <v/>
      </c>
      <c r="B14" t="str">
        <f>IF('ATP Pos'!A14="","",SEARCH("_",'ATP Pos'!A14,1))</f>
        <v/>
      </c>
      <c r="C14" t="str">
        <f>IF(A14="","",IF('ATP Pos'!E14="-","",IF('ATP Pos'!E14&gt;0,"Buy",IF('ATP Pos'!E14&lt;0,"Sell"))))</f>
        <v/>
      </c>
      <c r="D14" t="str">
        <f>IF(A14="","",IF('ATP Pos'!E14="-","",IF('ATP Pos'!E14&gt;0,'ATP Pos'!E14,IF('ATP Pos'!E14&lt;0,-'ATP Pos'!E14))))</f>
        <v/>
      </c>
      <c r="E14" t="str">
        <f>IF(A14="","",LEFT('ATP Pos'!B14,F14-1))</f>
        <v/>
      </c>
      <c r="F14" t="str">
        <f>IF(A14="","",SEARCH("-",'ATP Pos'!B14,1))</f>
        <v/>
      </c>
      <c r="G14" t="str">
        <f>IF(A14="","",RIGHT('ATP Pos'!B14,3))</f>
        <v/>
      </c>
      <c r="H14" t="str">
        <f t="shared" si="0"/>
        <v/>
      </c>
      <c r="I14" t="str">
        <f t="shared" si="1"/>
        <v/>
      </c>
      <c r="J14" t="str">
        <f>IF(H14="","",VLOOKUP(I14,表3_3[],2,0))</f>
        <v/>
      </c>
      <c r="K14" t="str">
        <f>IF(H14="","",VLOOKUP(I14,表3_3[],3,0))</f>
        <v/>
      </c>
      <c r="L14" t="str">
        <f>IF(A14="","",IF(G14="LME","",VLOOKUP(RIGHT(E14,2),Helper1!$O$36:$P$48,2,0)))</f>
        <v/>
      </c>
      <c r="M14" t="str">
        <f t="shared" si="2"/>
        <v/>
      </c>
      <c r="N14" t="str">
        <f t="shared" si="3"/>
        <v/>
      </c>
      <c r="O14" t="str">
        <f t="shared" si="4"/>
        <v/>
      </c>
      <c r="X14" s="9"/>
      <c r="Z14" s="5"/>
      <c r="AA14" s="5"/>
    </row>
    <row r="15" spans="1:27">
      <c r="A15" t="str">
        <f>IF('ATP Pos'!A15="","",LEFT('ATP Pos'!A15,B15-1))</f>
        <v/>
      </c>
      <c r="B15" t="str">
        <f>IF('ATP Pos'!A15="","",SEARCH("_",'ATP Pos'!A15,1))</f>
        <v/>
      </c>
      <c r="C15" t="str">
        <f>IF(A15="","",IF('ATP Pos'!E15="-","",IF('ATP Pos'!E15&gt;0,"Buy",IF('ATP Pos'!E15&lt;0,"Sell"))))</f>
        <v/>
      </c>
      <c r="D15" t="str">
        <f>IF(A15="","",IF('ATP Pos'!E15="-","",IF('ATP Pos'!E15&gt;0,'ATP Pos'!E15,IF('ATP Pos'!E15&lt;0,-'ATP Pos'!E15))))</f>
        <v/>
      </c>
      <c r="E15" t="str">
        <f>IF(A15="","",LEFT('ATP Pos'!B15,F15-1))</f>
        <v/>
      </c>
      <c r="F15" t="str">
        <f>IF(A15="","",SEARCH("-",'ATP Pos'!B15,1))</f>
        <v/>
      </c>
      <c r="G15" t="str">
        <f>IF(A15="","",RIGHT('ATP Pos'!B15,3))</f>
        <v/>
      </c>
      <c r="H15" t="str">
        <f t="shared" si="0"/>
        <v/>
      </c>
      <c r="I15" t="str">
        <f t="shared" si="1"/>
        <v/>
      </c>
      <c r="J15" t="str">
        <f>IF(H15="","",VLOOKUP(I15,表3_3[],2,0))</f>
        <v/>
      </c>
      <c r="K15" t="str">
        <f>IF(H15="","",VLOOKUP(I15,表3_3[],3,0))</f>
        <v/>
      </c>
      <c r="L15" t="str">
        <f>IF(A15="","",IF(G15="LME","",VLOOKUP(RIGHT(E15,2),Helper1!$O$36:$P$48,2,0)))</f>
        <v/>
      </c>
      <c r="M15" t="str">
        <f t="shared" si="2"/>
        <v/>
      </c>
      <c r="N15" t="str">
        <f t="shared" si="3"/>
        <v/>
      </c>
      <c r="O15" t="str">
        <f t="shared" si="4"/>
        <v/>
      </c>
      <c r="Z15" s="5"/>
      <c r="AA15" s="5"/>
    </row>
    <row r="16" spans="1:27">
      <c r="A16" t="str">
        <f>IF('ATP Pos'!A16="","",LEFT('ATP Pos'!A16,B16-1))</f>
        <v/>
      </c>
      <c r="B16" t="str">
        <f>IF('ATP Pos'!A16="","",SEARCH("_",'ATP Pos'!A16,1))</f>
        <v/>
      </c>
      <c r="C16" t="str">
        <f>IF(A16="","",IF('ATP Pos'!E16="-","",IF('ATP Pos'!E16&gt;0,"Buy",IF('ATP Pos'!E16&lt;0,"Sell"))))</f>
        <v/>
      </c>
      <c r="D16" t="str">
        <f>IF(A16="","",IF('ATP Pos'!E16="-","",IF('ATP Pos'!E16&gt;0,'ATP Pos'!E16,IF('ATP Pos'!E16&lt;0,-'ATP Pos'!E16))))</f>
        <v/>
      </c>
      <c r="E16" t="str">
        <f>IF(A16="","",LEFT('ATP Pos'!B16,F16-1))</f>
        <v/>
      </c>
      <c r="F16" t="str">
        <f>IF(A16="","",SEARCH("-",'ATP Pos'!B16,1))</f>
        <v/>
      </c>
      <c r="G16" t="str">
        <f>IF(A16="","",RIGHT('ATP Pos'!B16,3))</f>
        <v/>
      </c>
      <c r="H16" t="str">
        <f t="shared" si="0"/>
        <v/>
      </c>
      <c r="I16" t="str">
        <f t="shared" si="1"/>
        <v/>
      </c>
      <c r="J16" t="str">
        <f>IF(H16="","",VLOOKUP(I16,表3_3[],2,0))</f>
        <v/>
      </c>
      <c r="K16" t="str">
        <f>IF(H16="","",VLOOKUP(I16,表3_3[],3,0))</f>
        <v/>
      </c>
      <c r="L16" t="str">
        <f>IF(A16="","",IF(G16="LME","",VLOOKUP(RIGHT(E16,2),Helper1!$O$36:$P$48,2,0)))</f>
        <v/>
      </c>
      <c r="M16" t="str">
        <f t="shared" si="2"/>
        <v/>
      </c>
      <c r="N16" t="str">
        <f t="shared" si="3"/>
        <v/>
      </c>
      <c r="O16" t="str">
        <f t="shared" si="4"/>
        <v/>
      </c>
      <c r="X16" s="5"/>
      <c r="Z16" s="5"/>
      <c r="AA16" s="5"/>
    </row>
    <row r="17" spans="1:27">
      <c r="A17" t="str">
        <f>IF('ATP Pos'!A17="","",LEFT('ATP Pos'!A17,B17-1))</f>
        <v/>
      </c>
      <c r="B17" t="str">
        <f>IF('ATP Pos'!A17="","",SEARCH("_",'ATP Pos'!A17,1))</f>
        <v/>
      </c>
      <c r="C17" t="str">
        <f>IF(A17="","",IF('ATP Pos'!E17="-","",IF('ATP Pos'!E17&gt;0,"Buy",IF('ATP Pos'!E17&lt;0,"Sell"))))</f>
        <v/>
      </c>
      <c r="D17" t="str">
        <f>IF(A17="","",IF('ATP Pos'!E17="-","",IF('ATP Pos'!E17&gt;0,'ATP Pos'!E17,IF('ATP Pos'!E17&lt;0,-'ATP Pos'!E17))))</f>
        <v/>
      </c>
      <c r="E17" t="str">
        <f>IF(A17="","",LEFT('ATP Pos'!B17,F17-1))</f>
        <v/>
      </c>
      <c r="F17" t="str">
        <f>IF(A17="","",SEARCH("-",'ATP Pos'!B17,1))</f>
        <v/>
      </c>
      <c r="G17" t="str">
        <f>IF(A17="","",RIGHT('ATP Pos'!B17,3))</f>
        <v/>
      </c>
      <c r="H17" t="str">
        <f t="shared" si="0"/>
        <v/>
      </c>
      <c r="I17" t="str">
        <f t="shared" si="1"/>
        <v/>
      </c>
      <c r="J17" t="str">
        <f>IF(H17="","",VLOOKUP(I17,表3_3[],2,0))</f>
        <v/>
      </c>
      <c r="K17" t="str">
        <f>IF(H17="","",VLOOKUP(I17,表3_3[],3,0))</f>
        <v/>
      </c>
      <c r="L17" t="str">
        <f>IF(A17="","",IF(G17="LME","",VLOOKUP(RIGHT(E17,2),Helper1!$O$36:$P$48,2,0)))</f>
        <v/>
      </c>
      <c r="M17" t="str">
        <f t="shared" si="2"/>
        <v/>
      </c>
      <c r="N17" t="str">
        <f t="shared" si="3"/>
        <v/>
      </c>
      <c r="O17" t="str">
        <f t="shared" si="4"/>
        <v/>
      </c>
      <c r="X17" s="5"/>
      <c r="Z17" s="5"/>
      <c r="AA17" s="5"/>
    </row>
    <row r="18" spans="1:27">
      <c r="A18" t="str">
        <f>IF('ATP Pos'!A18="","",LEFT('ATP Pos'!A18,B18-1))</f>
        <v/>
      </c>
      <c r="B18" t="str">
        <f>IF('ATP Pos'!A18="","",SEARCH("_",'ATP Pos'!A18,1))</f>
        <v/>
      </c>
      <c r="C18" t="str">
        <f>IF(A18="","",IF('ATP Pos'!E18="-","",IF('ATP Pos'!E18&gt;0,"Buy",IF('ATP Pos'!E18&lt;0,"Sell"))))</f>
        <v/>
      </c>
      <c r="D18" t="str">
        <f>IF(A18="","",IF('ATP Pos'!E18="-","",IF('ATP Pos'!E18&gt;0,'ATP Pos'!E18,IF('ATP Pos'!E18&lt;0,-'ATP Pos'!E18))))</f>
        <v/>
      </c>
      <c r="E18" t="str">
        <f>IF(A18="","",LEFT('ATP Pos'!B18,F18-1))</f>
        <v/>
      </c>
      <c r="F18" t="str">
        <f>IF(A18="","",SEARCH("-",'ATP Pos'!B18,1))</f>
        <v/>
      </c>
      <c r="G18" t="str">
        <f>IF(A18="","",RIGHT('ATP Pos'!B18,3))</f>
        <v/>
      </c>
      <c r="H18" t="str">
        <f t="shared" si="0"/>
        <v/>
      </c>
      <c r="I18" t="str">
        <f t="shared" si="1"/>
        <v/>
      </c>
      <c r="J18" t="str">
        <f>IF(H18="","",VLOOKUP(I18,表3_3[],2,0))</f>
        <v/>
      </c>
      <c r="K18" t="str">
        <f>IF(H18="","",VLOOKUP(I18,表3_3[],3,0))</f>
        <v/>
      </c>
      <c r="L18" t="str">
        <f>IF(A18="","",IF(G18="LME","",VLOOKUP(RIGHT(E18,2),Helper1!$O$36:$P$48,2,0)))</f>
        <v/>
      </c>
      <c r="M18" t="str">
        <f t="shared" si="2"/>
        <v/>
      </c>
      <c r="N18" t="str">
        <f t="shared" si="3"/>
        <v/>
      </c>
      <c r="O18" t="str">
        <f t="shared" si="4"/>
        <v/>
      </c>
      <c r="X18" s="5" t="s">
        <v>1475</v>
      </c>
      <c r="Y18" t="s">
        <v>1479</v>
      </c>
      <c r="Z18" s="5" t="s">
        <v>1484</v>
      </c>
      <c r="AA18" s="5" t="s">
        <v>1479</v>
      </c>
    </row>
    <row r="19" spans="1:27">
      <c r="A19" t="str">
        <f>IF('ATP Pos'!A19="","",LEFT('ATP Pos'!A19,B19-1))</f>
        <v/>
      </c>
      <c r="B19" t="str">
        <f>IF('ATP Pos'!A19="","",SEARCH("_",'ATP Pos'!A19,1))</f>
        <v/>
      </c>
      <c r="C19" t="str">
        <f>IF(A19="","",IF('ATP Pos'!E19="-","",IF('ATP Pos'!E19&gt;0,"Buy",IF('ATP Pos'!E19&lt;0,"Sell"))))</f>
        <v/>
      </c>
      <c r="D19" t="str">
        <f>IF(A19="","",IF('ATP Pos'!E19="-","",IF('ATP Pos'!E19&gt;0,'ATP Pos'!E19,IF('ATP Pos'!E19&lt;0,-'ATP Pos'!E19))))</f>
        <v/>
      </c>
      <c r="E19" t="str">
        <f>IF(A19="","",LEFT('ATP Pos'!B19,F19-1))</f>
        <v/>
      </c>
      <c r="F19" t="str">
        <f>IF(A19="","",SEARCH("-",'ATP Pos'!B19,1))</f>
        <v/>
      </c>
      <c r="G19" t="str">
        <f>IF(A19="","",RIGHT('ATP Pos'!B19,3))</f>
        <v/>
      </c>
      <c r="H19" t="str">
        <f t="shared" si="0"/>
        <v/>
      </c>
      <c r="I19" t="str">
        <f t="shared" si="1"/>
        <v/>
      </c>
      <c r="J19" t="str">
        <f>IF(H19="","",VLOOKUP(I19,表3_3[],2,0))</f>
        <v/>
      </c>
      <c r="K19" t="str">
        <f>IF(H19="","",VLOOKUP(I19,表3_3[],3,0))</f>
        <v/>
      </c>
      <c r="L19" t="str">
        <f>IF(A19="","",IF(G19="LME","",VLOOKUP(RIGHT(E19,2),Helper1!$O$36:$P$48,2,0)))</f>
        <v/>
      </c>
      <c r="M19" t="str">
        <f t="shared" si="2"/>
        <v/>
      </c>
      <c r="N19" t="str">
        <f t="shared" si="3"/>
        <v/>
      </c>
      <c r="O19" t="str">
        <f t="shared" si="4"/>
        <v/>
      </c>
      <c r="X19" t="s">
        <v>37</v>
      </c>
      <c r="Y19" t="s">
        <v>1479</v>
      </c>
      <c r="Z19" t="s">
        <v>1483</v>
      </c>
      <c r="AA19" t="s">
        <v>1479</v>
      </c>
    </row>
    <row r="20" spans="1:27">
      <c r="A20" t="str">
        <f>IF('ATP Pos'!A20="","",LEFT('ATP Pos'!A20,B20-1))</f>
        <v/>
      </c>
      <c r="B20" t="str">
        <f>IF('ATP Pos'!A20="","",SEARCH("_",'ATP Pos'!A20,1))</f>
        <v/>
      </c>
      <c r="C20" t="str">
        <f>IF(A20="","",IF('ATP Pos'!E20="-","",IF('ATP Pos'!E20&gt;0,"Buy",IF('ATP Pos'!E20&lt;0,"Sell"))))</f>
        <v/>
      </c>
      <c r="D20" t="str">
        <f>IF(A20="","",IF('ATP Pos'!E20="-","",IF('ATP Pos'!E20&gt;0,'ATP Pos'!E20,IF('ATP Pos'!E20&lt;0,-'ATP Pos'!E20))))</f>
        <v/>
      </c>
      <c r="E20" t="str">
        <f>IF(A20="","",LEFT('ATP Pos'!B20,F20-1))</f>
        <v/>
      </c>
      <c r="F20" t="str">
        <f>IF(A20="","",SEARCH("-",'ATP Pos'!B20,1))</f>
        <v/>
      </c>
      <c r="G20" t="str">
        <f>IF(A20="","",RIGHT('ATP Pos'!B20,3))</f>
        <v/>
      </c>
      <c r="H20" t="str">
        <f t="shared" si="0"/>
        <v/>
      </c>
      <c r="I20" t="str">
        <f t="shared" si="1"/>
        <v/>
      </c>
      <c r="J20" t="str">
        <f>IF(H20="","",VLOOKUP(I20,表3_3[],2,0))</f>
        <v/>
      </c>
      <c r="K20" t="str">
        <f>IF(H20="","",VLOOKUP(I20,表3_3[],3,0))</f>
        <v/>
      </c>
      <c r="L20" t="str">
        <f>IF(A20="","",IF(G20="LME","",VLOOKUP(RIGHT(E20,2),Helper1!$O$36:$P$48,2,0)))</f>
        <v/>
      </c>
      <c r="M20" t="str">
        <f t="shared" si="2"/>
        <v/>
      </c>
      <c r="N20" t="str">
        <f t="shared" si="3"/>
        <v/>
      </c>
      <c r="O20" t="str">
        <f t="shared" si="4"/>
        <v/>
      </c>
      <c r="X20" t="s">
        <v>1460</v>
      </c>
      <c r="Y20" t="s">
        <v>1479</v>
      </c>
      <c r="Z20" t="s">
        <v>1482</v>
      </c>
      <c r="AA20" t="s">
        <v>1479</v>
      </c>
    </row>
    <row r="21" spans="1:27">
      <c r="A21" t="str">
        <f>IF('ATP Pos'!A21="","",LEFT('ATP Pos'!A21,B21-1))</f>
        <v/>
      </c>
      <c r="B21" t="str">
        <f>IF('ATP Pos'!A21="","",SEARCH("_",'ATP Pos'!A21,1))</f>
        <v/>
      </c>
      <c r="C21" t="str">
        <f>IF(A21="","",IF('ATP Pos'!E21="-","",IF('ATP Pos'!E21&gt;0,"Buy",IF('ATP Pos'!E21&lt;0,"Sell"))))</f>
        <v/>
      </c>
      <c r="D21" t="str">
        <f>IF(A21="","",IF('ATP Pos'!E21="-","",IF('ATP Pos'!E21&gt;0,'ATP Pos'!E21,IF('ATP Pos'!E21&lt;0,-'ATP Pos'!E21))))</f>
        <v/>
      </c>
      <c r="E21" t="str">
        <f>IF(A21="","",LEFT('ATP Pos'!B21,F21-1))</f>
        <v/>
      </c>
      <c r="F21" t="str">
        <f>IF(A21="","",SEARCH("-",'ATP Pos'!B21,1))</f>
        <v/>
      </c>
      <c r="G21" t="str">
        <f>IF(A21="","",RIGHT('ATP Pos'!B21,3))</f>
        <v/>
      </c>
      <c r="H21" t="str">
        <f t="shared" si="0"/>
        <v/>
      </c>
      <c r="I21" t="str">
        <f t="shared" si="1"/>
        <v/>
      </c>
      <c r="J21" t="str">
        <f>IF(H21="","",VLOOKUP(I21,表3_3[],2,0))</f>
        <v/>
      </c>
      <c r="K21" t="str">
        <f>IF(H21="","",VLOOKUP(I21,表3_3[],3,0))</f>
        <v/>
      </c>
      <c r="L21" t="str">
        <f>IF(A21="","",IF(G21="LME","",VLOOKUP(RIGHT(E21,2),Helper1!$O$36:$P$48,2,0)))</f>
        <v/>
      </c>
      <c r="M21" t="str">
        <f t="shared" si="2"/>
        <v/>
      </c>
      <c r="N21" t="str">
        <f t="shared" si="3"/>
        <v/>
      </c>
      <c r="O21" t="str">
        <f t="shared" si="4"/>
        <v/>
      </c>
      <c r="X21" t="s">
        <v>1481</v>
      </c>
      <c r="Y21" t="s">
        <v>1479</v>
      </c>
      <c r="Z21" t="s">
        <v>1480</v>
      </c>
      <c r="AA21" t="s">
        <v>1479</v>
      </c>
    </row>
    <row r="22" spans="1:27">
      <c r="A22" t="str">
        <f>IF('ATP Pos'!A22="","",LEFT('ATP Pos'!A22,B22-1))</f>
        <v/>
      </c>
      <c r="B22" t="str">
        <f>IF('ATP Pos'!A22="","",SEARCH("_",'ATP Pos'!A22,1))</f>
        <v/>
      </c>
      <c r="C22" t="str">
        <f>IF(A22="","",IF('ATP Pos'!E22="-","",IF('ATP Pos'!E22&gt;0,"Buy",IF('ATP Pos'!E22&lt;0,"Sell"))))</f>
        <v/>
      </c>
      <c r="D22" t="str">
        <f>IF(A22="","",IF('ATP Pos'!E22="-","",IF('ATP Pos'!E22&gt;0,'ATP Pos'!E22,IF('ATP Pos'!E22&lt;0,-'ATP Pos'!E22))))</f>
        <v/>
      </c>
      <c r="E22" t="str">
        <f>IF(A22="","",LEFT('ATP Pos'!B22,F22-1))</f>
        <v/>
      </c>
      <c r="F22" t="str">
        <f>IF(A22="","",SEARCH("-",'ATP Pos'!B22,1))</f>
        <v/>
      </c>
      <c r="G22" t="str">
        <f>IF(A22="","",RIGHT('ATP Pos'!B22,3))</f>
        <v/>
      </c>
      <c r="H22" t="str">
        <f t="shared" si="0"/>
        <v/>
      </c>
      <c r="I22" t="str">
        <f t="shared" si="1"/>
        <v/>
      </c>
      <c r="J22" t="str">
        <f>IF(H22="","",VLOOKUP(I22,表3_3[],2,0))</f>
        <v/>
      </c>
      <c r="K22" t="str">
        <f>IF(H22="","",VLOOKUP(I22,表3_3[],3,0))</f>
        <v/>
      </c>
      <c r="L22" t="str">
        <f>IF(A22="","",IF(G22="LME","",VLOOKUP(RIGHT(E22,2),Helper1!$O$36:$P$48,2,0)))</f>
        <v/>
      </c>
      <c r="M22" t="str">
        <f t="shared" si="2"/>
        <v/>
      </c>
      <c r="N22" t="str">
        <f t="shared" si="3"/>
        <v/>
      </c>
      <c r="O22" t="str">
        <f t="shared" si="4"/>
        <v/>
      </c>
      <c r="X22" t="s">
        <v>1563</v>
      </c>
      <c r="Y22" t="s">
        <v>1479</v>
      </c>
      <c r="Z22" t="s">
        <v>1478</v>
      </c>
      <c r="AA22" t="s">
        <v>1479</v>
      </c>
    </row>
    <row r="23" spans="1:27">
      <c r="A23" t="str">
        <f>IF('ATP Pos'!A23="","",LEFT('ATP Pos'!A23,B23-1))</f>
        <v/>
      </c>
      <c r="B23" t="str">
        <f>IF('ATP Pos'!A23="","",SEARCH("_",'ATP Pos'!A23,1))</f>
        <v/>
      </c>
      <c r="C23" t="str">
        <f>IF(A23="","",IF('ATP Pos'!E23="-","",IF('ATP Pos'!E23&gt;0,"Buy",IF('ATP Pos'!E23&lt;0,"Sell"))))</f>
        <v/>
      </c>
      <c r="D23" t="str">
        <f>IF(A23="","",IF('ATP Pos'!E23="-","",IF('ATP Pos'!E23&gt;0,'ATP Pos'!E23,IF('ATP Pos'!E23&lt;0,-'ATP Pos'!E23))))</f>
        <v/>
      </c>
      <c r="E23" t="str">
        <f>IF(A23="","",LEFT('ATP Pos'!B23,F23-1))</f>
        <v/>
      </c>
      <c r="F23" t="str">
        <f>IF(A23="","",SEARCH("-",'ATP Pos'!B23,1))</f>
        <v/>
      </c>
      <c r="G23" t="str">
        <f>IF(A23="","",RIGHT('ATP Pos'!B23,3))</f>
        <v/>
      </c>
      <c r="H23" t="str">
        <f t="shared" si="0"/>
        <v/>
      </c>
      <c r="I23" t="str">
        <f t="shared" si="1"/>
        <v/>
      </c>
      <c r="J23" t="str">
        <f>IF(H23="","",VLOOKUP(I23,表3_3[],2,0))</f>
        <v/>
      </c>
      <c r="K23" t="str">
        <f>IF(H23="","",VLOOKUP(I23,表3_3[],3,0))</f>
        <v/>
      </c>
      <c r="L23" t="str">
        <f>IF(A23="","",IF(G23="LME","",VLOOKUP(RIGHT(E23,2),Helper1!$O$36:$P$48,2,0)))</f>
        <v/>
      </c>
      <c r="M23" t="str">
        <f t="shared" si="2"/>
        <v/>
      </c>
      <c r="N23" t="str">
        <f t="shared" si="3"/>
        <v/>
      </c>
      <c r="O23" t="str">
        <f t="shared" si="4"/>
        <v/>
      </c>
    </row>
    <row r="24" spans="1:27">
      <c r="A24" t="str">
        <f>IF('ATP Pos'!A24="","",LEFT('ATP Pos'!A24,B24-1))</f>
        <v/>
      </c>
      <c r="B24" t="str">
        <f>IF('ATP Pos'!A24="","",SEARCH("_",'ATP Pos'!A24,1))</f>
        <v/>
      </c>
      <c r="C24" t="str">
        <f>IF(A24="","",IF('ATP Pos'!E24="-","",IF('ATP Pos'!E24&gt;0,"Buy",IF('ATP Pos'!E24&lt;0,"Sell"))))</f>
        <v/>
      </c>
      <c r="D24" t="str">
        <f>IF(A24="","",IF('ATP Pos'!E24="-","",IF('ATP Pos'!E24&gt;0,'ATP Pos'!E24,IF('ATP Pos'!E24&lt;0,-'ATP Pos'!E24))))</f>
        <v/>
      </c>
      <c r="E24" t="str">
        <f>IF(A24="","",LEFT('ATP Pos'!B24,F24-1))</f>
        <v/>
      </c>
      <c r="F24" t="str">
        <f>IF(A24="","",SEARCH("-",'ATP Pos'!B24,1))</f>
        <v/>
      </c>
      <c r="G24" t="str">
        <f>IF(A24="","",RIGHT('ATP Pos'!B24,3))</f>
        <v/>
      </c>
      <c r="H24" t="str">
        <f t="shared" si="0"/>
        <v/>
      </c>
      <c r="I24" t="str">
        <f t="shared" si="1"/>
        <v/>
      </c>
      <c r="J24" t="str">
        <f>IF(H24="","",VLOOKUP(I24,表3_3[],2,0))</f>
        <v/>
      </c>
      <c r="K24" t="str">
        <f>IF(H24="","",VLOOKUP(I24,表3_3[],3,0))</f>
        <v/>
      </c>
      <c r="L24" t="str">
        <f>IF(A24="","",IF(G24="LME","",VLOOKUP(RIGHT(E24,2),Helper1!$O$36:$P$48,2,0)))</f>
        <v/>
      </c>
      <c r="M24" t="str">
        <f t="shared" si="2"/>
        <v/>
      </c>
      <c r="N24" t="str">
        <f t="shared" si="3"/>
        <v/>
      </c>
      <c r="O24" t="str">
        <f t="shared" si="4"/>
        <v/>
      </c>
    </row>
    <row r="25" spans="1:27">
      <c r="A25" t="str">
        <f>IF('ATP Pos'!A25="","",LEFT('ATP Pos'!A25,B25-1))</f>
        <v/>
      </c>
      <c r="B25" t="str">
        <f>IF('ATP Pos'!A25="","",SEARCH("_",'ATP Pos'!A25,1))</f>
        <v/>
      </c>
      <c r="C25" t="str">
        <f>IF(A25="","",IF('ATP Pos'!E25="-","",IF('ATP Pos'!E25&gt;0,"Buy",IF('ATP Pos'!E25&lt;0,"Sell"))))</f>
        <v/>
      </c>
      <c r="D25" t="str">
        <f>IF(A25="","",IF('ATP Pos'!E25="-","",IF('ATP Pos'!E25&gt;0,'ATP Pos'!E25,IF('ATP Pos'!E25&lt;0,-'ATP Pos'!E25))))</f>
        <v/>
      </c>
      <c r="E25" t="str">
        <f>IF(A25="","",LEFT('ATP Pos'!B25,F25-1))</f>
        <v/>
      </c>
      <c r="F25" t="str">
        <f>IF(A25="","",SEARCH("-",'ATP Pos'!B25,1))</f>
        <v/>
      </c>
      <c r="G25" t="str">
        <f>IF(A25="","",RIGHT('ATP Pos'!B25,3))</f>
        <v/>
      </c>
      <c r="H25" t="str">
        <f t="shared" si="0"/>
        <v/>
      </c>
      <c r="I25" t="str">
        <f t="shared" si="1"/>
        <v/>
      </c>
      <c r="J25" t="str">
        <f>IF(H25="","",VLOOKUP(I25,表3_3[],2,0))</f>
        <v/>
      </c>
      <c r="K25" t="str">
        <f>IF(H25="","",VLOOKUP(I25,表3_3[],3,0))</f>
        <v/>
      </c>
      <c r="L25" t="str">
        <f>IF(A25="","",IF(G25="LME","",VLOOKUP(RIGHT(E25,2),Helper1!$O$36:$P$48,2,0)))</f>
        <v/>
      </c>
      <c r="M25" t="str">
        <f t="shared" si="2"/>
        <v/>
      </c>
      <c r="N25" t="str">
        <f t="shared" si="3"/>
        <v/>
      </c>
      <c r="O25" t="str">
        <f t="shared" si="4"/>
        <v/>
      </c>
    </row>
    <row r="26" spans="1:27">
      <c r="A26" t="str">
        <f>IF('ATP Pos'!A26="","",LEFT('ATP Pos'!A26,B26-1))</f>
        <v/>
      </c>
      <c r="B26" t="str">
        <f>IF('ATP Pos'!A26="","",SEARCH("_",'ATP Pos'!A26,1))</f>
        <v/>
      </c>
      <c r="C26" t="str">
        <f>IF(A26="","",IF('ATP Pos'!E26="-","",IF('ATP Pos'!E26&gt;0,"Buy",IF('ATP Pos'!E26&lt;0,"Sell"))))</f>
        <v/>
      </c>
      <c r="D26" t="str">
        <f>IF(A26="","",IF('ATP Pos'!E26="-","",IF('ATP Pos'!E26&gt;0,'ATP Pos'!E26,IF('ATP Pos'!E26&lt;0,-'ATP Pos'!E26))))</f>
        <v/>
      </c>
      <c r="E26" t="str">
        <f>IF(A26="","",LEFT('ATP Pos'!B26,F26-1))</f>
        <v/>
      </c>
      <c r="F26" t="str">
        <f>IF(A26="","",SEARCH("-",'ATP Pos'!B26,1))</f>
        <v/>
      </c>
      <c r="G26" t="str">
        <f>IF(A26="","",RIGHT('ATP Pos'!B26,3))</f>
        <v/>
      </c>
      <c r="H26" t="str">
        <f t="shared" si="0"/>
        <v/>
      </c>
      <c r="I26" t="str">
        <f t="shared" si="1"/>
        <v/>
      </c>
      <c r="J26" t="str">
        <f>IF(H26="","",VLOOKUP(I26,表3_3[],2,0))</f>
        <v/>
      </c>
      <c r="K26" t="str">
        <f>IF(H26="","",VLOOKUP(I26,表3_3[],3,0))</f>
        <v/>
      </c>
      <c r="L26" t="str">
        <f>IF(A26="","",IF(G26="LME","",VLOOKUP(RIGHT(E26,2),Helper1!$O$36:$P$48,2,0)))</f>
        <v/>
      </c>
      <c r="M26" t="str">
        <f t="shared" si="2"/>
        <v/>
      </c>
      <c r="N26" t="str">
        <f t="shared" si="3"/>
        <v/>
      </c>
      <c r="O26" t="str">
        <f t="shared" si="4"/>
        <v/>
      </c>
    </row>
    <row r="27" spans="1:27">
      <c r="A27" t="str">
        <f>IF('ATP Pos'!A27="","",LEFT('ATP Pos'!A27,B27-1))</f>
        <v/>
      </c>
      <c r="B27" t="str">
        <f>IF('ATP Pos'!A27="","",SEARCH("_",'ATP Pos'!A27,1))</f>
        <v/>
      </c>
      <c r="C27" t="str">
        <f>IF(A27="","",IF('ATP Pos'!E27="-","",IF('ATP Pos'!E27&gt;0,"Buy",IF('ATP Pos'!E27&lt;0,"Sell"))))</f>
        <v/>
      </c>
      <c r="D27" t="str">
        <f>IF(A27="","",IF('ATP Pos'!E27="-","",IF('ATP Pos'!E27&gt;0,'ATP Pos'!E27,IF('ATP Pos'!E27&lt;0,-'ATP Pos'!E27))))</f>
        <v/>
      </c>
      <c r="E27" t="str">
        <f>IF(A27="","",LEFT('ATP Pos'!B27,F27-1))</f>
        <v/>
      </c>
      <c r="F27" t="str">
        <f>IF(A27="","",SEARCH("-",'ATP Pos'!B27,1))</f>
        <v/>
      </c>
      <c r="G27" t="str">
        <f>IF(A27="","",RIGHT('ATP Pos'!B27,3))</f>
        <v/>
      </c>
      <c r="H27" t="str">
        <f t="shared" si="0"/>
        <v/>
      </c>
      <c r="I27" t="str">
        <f t="shared" si="1"/>
        <v/>
      </c>
      <c r="J27" t="str">
        <f>IF(H27="","",VLOOKUP(I27,表3_3[],2,0))</f>
        <v/>
      </c>
      <c r="K27" t="str">
        <f>IF(H27="","",VLOOKUP(I27,表3_3[],3,0))</f>
        <v/>
      </c>
      <c r="L27" t="str">
        <f>IF(A27="","",IF(G27="LME","",VLOOKUP(RIGHT(E27,2),Helper1!$O$36:$P$48,2,0)))</f>
        <v/>
      </c>
      <c r="M27" t="str">
        <f t="shared" si="2"/>
        <v/>
      </c>
      <c r="N27" t="str">
        <f t="shared" si="3"/>
        <v/>
      </c>
      <c r="O27" t="str">
        <f t="shared" si="4"/>
        <v/>
      </c>
    </row>
    <row r="28" spans="1:27">
      <c r="A28" t="str">
        <f>IF('ATP Pos'!A28="","",LEFT('ATP Pos'!A28,B28-1))</f>
        <v/>
      </c>
      <c r="B28" t="str">
        <f>IF('ATP Pos'!A28="","",SEARCH("_",'ATP Pos'!A28,1))</f>
        <v/>
      </c>
      <c r="C28" t="str">
        <f>IF(A28="","",IF('ATP Pos'!E28="-","",IF('ATP Pos'!E28&gt;0,"Buy",IF('ATP Pos'!E28&lt;0,"Sell"))))</f>
        <v/>
      </c>
      <c r="D28" t="str">
        <f>IF(A28="","",IF('ATP Pos'!E28="-","",IF('ATP Pos'!E28&gt;0,'ATP Pos'!E28,IF('ATP Pos'!E28&lt;0,-'ATP Pos'!E28))))</f>
        <v/>
      </c>
      <c r="E28" t="str">
        <f>IF(A28="","",LEFT('ATP Pos'!B28,F28-1))</f>
        <v/>
      </c>
      <c r="F28" t="str">
        <f>IF(A28="","",SEARCH("-",'ATP Pos'!B28,1))</f>
        <v/>
      </c>
      <c r="G28" t="str">
        <f>IF(A28="","",RIGHT('ATP Pos'!B28,3))</f>
        <v/>
      </c>
      <c r="H28" t="str">
        <f t="shared" si="0"/>
        <v/>
      </c>
      <c r="I28" t="str">
        <f t="shared" si="1"/>
        <v/>
      </c>
      <c r="J28" t="str">
        <f>IF(H28="","",VLOOKUP(I28,表3_3[],2,0))</f>
        <v/>
      </c>
      <c r="K28" t="str">
        <f>IF(H28="","",VLOOKUP(I28,表3_3[],3,0))</f>
        <v/>
      </c>
      <c r="L28" t="str">
        <f>IF(A28="","",IF(G28="LME","",VLOOKUP(RIGHT(E28,2),Helper1!$O$36:$P$48,2,0)))</f>
        <v/>
      </c>
      <c r="M28" t="str">
        <f t="shared" si="2"/>
        <v/>
      </c>
      <c r="N28" t="str">
        <f t="shared" si="3"/>
        <v/>
      </c>
      <c r="O28" t="str">
        <f t="shared" si="4"/>
        <v/>
      </c>
    </row>
    <row r="29" spans="1:27">
      <c r="A29" t="str">
        <f>IF('ATP Pos'!A29="","",LEFT('ATP Pos'!A29,B29-1))</f>
        <v/>
      </c>
      <c r="B29" t="str">
        <f>IF('ATP Pos'!A29="","",SEARCH("_",'ATP Pos'!A29,1))</f>
        <v/>
      </c>
      <c r="C29" t="str">
        <f>IF(A29="","",IF('ATP Pos'!E29="-","",IF('ATP Pos'!E29&gt;0,"Buy",IF('ATP Pos'!E29&lt;0,"Sell"))))</f>
        <v/>
      </c>
      <c r="D29" t="str">
        <f>IF(A29="","",IF('ATP Pos'!E29="-","",IF('ATP Pos'!E29&gt;0,'ATP Pos'!E29,IF('ATP Pos'!E29&lt;0,-'ATP Pos'!E29))))</f>
        <v/>
      </c>
      <c r="E29" t="str">
        <f>IF(A29="","",LEFT('ATP Pos'!B29,F29-1))</f>
        <v/>
      </c>
      <c r="F29" t="str">
        <f>IF(A29="","",SEARCH("-",'ATP Pos'!B29,1))</f>
        <v/>
      </c>
      <c r="G29" t="str">
        <f>IF(A29="","",RIGHT('ATP Pos'!B29,3))</f>
        <v/>
      </c>
      <c r="H29" t="str">
        <f t="shared" si="0"/>
        <v/>
      </c>
      <c r="I29" t="str">
        <f t="shared" si="1"/>
        <v/>
      </c>
      <c r="J29" t="str">
        <f>IF(H29="","",VLOOKUP(I29,表3_3[],2,0))</f>
        <v/>
      </c>
      <c r="K29" t="str">
        <f>IF(H29="","",VLOOKUP(I29,表3_3[],3,0))</f>
        <v/>
      </c>
      <c r="L29" t="str">
        <f>IF(A29="","",IF(G29="LME","",VLOOKUP(RIGHT(E29,2),Helper1!$O$36:$P$48,2,0)))</f>
        <v/>
      </c>
      <c r="M29" t="str">
        <f t="shared" si="2"/>
        <v/>
      </c>
      <c r="N29" t="str">
        <f t="shared" si="3"/>
        <v/>
      </c>
      <c r="O29" t="str">
        <f t="shared" si="4"/>
        <v/>
      </c>
    </row>
    <row r="30" spans="1:27">
      <c r="A30" t="str">
        <f>IF('ATP Pos'!A30="","",LEFT('ATP Pos'!A30,B30-1))</f>
        <v/>
      </c>
      <c r="B30" t="str">
        <f>IF('ATP Pos'!A30="","",SEARCH("_",'ATP Pos'!A30,1))</f>
        <v/>
      </c>
      <c r="C30" t="str">
        <f>IF(A30="","",IF('ATP Pos'!E30="-","",IF('ATP Pos'!E30&gt;0,"Buy",IF('ATP Pos'!E30&lt;0,"Sell"))))</f>
        <v/>
      </c>
      <c r="D30" t="str">
        <f>IF(A30="","",IF('ATP Pos'!E30="-","",IF('ATP Pos'!E30&gt;0,'ATP Pos'!E30,IF('ATP Pos'!E30&lt;0,-'ATP Pos'!E30))))</f>
        <v/>
      </c>
      <c r="E30" t="str">
        <f>IF(A30="","",LEFT('ATP Pos'!B30,F30-1))</f>
        <v/>
      </c>
      <c r="F30" t="str">
        <f>IF(A30="","",SEARCH("-",'ATP Pos'!B30,1))</f>
        <v/>
      </c>
      <c r="G30" t="str">
        <f>IF(A30="","",RIGHT('ATP Pos'!B30,3))</f>
        <v/>
      </c>
      <c r="H30" t="str">
        <f t="shared" si="0"/>
        <v/>
      </c>
      <c r="I30" t="str">
        <f t="shared" si="1"/>
        <v/>
      </c>
      <c r="J30" t="str">
        <f>IF(H30="","",VLOOKUP(I30,表3_3[],2,0))</f>
        <v/>
      </c>
      <c r="K30" t="str">
        <f>IF(H30="","",VLOOKUP(I30,表3_3[],3,0))</f>
        <v/>
      </c>
      <c r="L30" t="str">
        <f>IF(A30="","",IF(G30="LME","",VLOOKUP(RIGHT(E30,2),Helper1!$O$36:$P$48,2,0)))</f>
        <v/>
      </c>
      <c r="M30" t="str">
        <f t="shared" si="2"/>
        <v/>
      </c>
      <c r="N30" t="str">
        <f t="shared" si="3"/>
        <v/>
      </c>
      <c r="O30" t="str">
        <f t="shared" si="4"/>
        <v/>
      </c>
    </row>
    <row r="31" spans="1:27">
      <c r="A31" t="str">
        <f>IF('ATP Pos'!A31="","",LEFT('ATP Pos'!A31,B31-1))</f>
        <v/>
      </c>
      <c r="B31" t="str">
        <f>IF('ATP Pos'!A31="","",SEARCH("_",'ATP Pos'!A31,1))</f>
        <v/>
      </c>
      <c r="C31" t="str">
        <f>IF(A31="","",IF('ATP Pos'!E31="-","",IF('ATP Pos'!E31&gt;0,"Buy",IF('ATP Pos'!E31&lt;0,"Sell"))))</f>
        <v/>
      </c>
      <c r="D31" t="str">
        <f>IF(A31="","",IF('ATP Pos'!E31="-","",IF('ATP Pos'!E31&gt;0,'ATP Pos'!E31,IF('ATP Pos'!E31&lt;0,-'ATP Pos'!E31))))</f>
        <v/>
      </c>
      <c r="E31" t="str">
        <f>IF(A31="","",LEFT('ATP Pos'!B31,F31-1))</f>
        <v/>
      </c>
      <c r="F31" t="str">
        <f>IF(A31="","",SEARCH("-",'ATP Pos'!B31,1))</f>
        <v/>
      </c>
      <c r="G31" t="str">
        <f>IF(A31="","",RIGHT('ATP Pos'!B31,3))</f>
        <v/>
      </c>
      <c r="H31" t="str">
        <f t="shared" si="0"/>
        <v/>
      </c>
      <c r="I31" t="str">
        <f t="shared" si="1"/>
        <v/>
      </c>
      <c r="J31" t="str">
        <f>IF(H31="","",VLOOKUP(I31,表3_3[],2,0))</f>
        <v/>
      </c>
      <c r="K31" t="str">
        <f>IF(H31="","",VLOOKUP(I31,表3_3[],3,0))</f>
        <v/>
      </c>
      <c r="L31" t="str">
        <f>IF(A31="","",IF(G31="LME","",VLOOKUP(RIGHT(E31,2),Helper1!$O$36:$P$48,2,0)))</f>
        <v/>
      </c>
      <c r="M31" t="str">
        <f t="shared" si="2"/>
        <v/>
      </c>
      <c r="N31" t="str">
        <f t="shared" si="3"/>
        <v/>
      </c>
      <c r="O31" t="str">
        <f t="shared" si="4"/>
        <v/>
      </c>
    </row>
    <row r="32" spans="1:27">
      <c r="A32" t="str">
        <f>IF('ATP Pos'!A32="","",LEFT('ATP Pos'!A32,B32-1))</f>
        <v/>
      </c>
      <c r="B32" t="str">
        <f>IF('ATP Pos'!A32="","",SEARCH("_",'ATP Pos'!A32,1))</f>
        <v/>
      </c>
      <c r="C32" t="str">
        <f>IF(A32="","",IF('ATP Pos'!E32="-","",IF('ATP Pos'!E32&gt;0,"Buy",IF('ATP Pos'!E32&lt;0,"Sell"))))</f>
        <v/>
      </c>
      <c r="D32" t="str">
        <f>IF(A32="","",IF('ATP Pos'!E32="-","",IF('ATP Pos'!E32&gt;0,'ATP Pos'!E32,IF('ATP Pos'!E32&lt;0,-'ATP Pos'!E32))))</f>
        <v/>
      </c>
      <c r="E32" t="str">
        <f>IF(A32="","",LEFT('ATP Pos'!B32,F32-1))</f>
        <v/>
      </c>
      <c r="F32" t="str">
        <f>IF(A32="","",SEARCH("-",'ATP Pos'!B32,1))</f>
        <v/>
      </c>
      <c r="G32" t="str">
        <f>IF(A32="","",RIGHT('ATP Pos'!B32,3))</f>
        <v/>
      </c>
      <c r="H32" t="str">
        <f t="shared" si="0"/>
        <v/>
      </c>
      <c r="I32" t="str">
        <f t="shared" si="1"/>
        <v/>
      </c>
      <c r="J32" t="str">
        <f>IF(H32="","",VLOOKUP(I32,表3_3[],2,0))</f>
        <v/>
      </c>
      <c r="K32" t="str">
        <f>IF(H32="","",VLOOKUP(I32,表3_3[],3,0))</f>
        <v/>
      </c>
      <c r="L32" t="str">
        <f>IF(A32="","",IF(G32="LME","",VLOOKUP(RIGHT(E32,2),Helper1!$O$36:$P$48,2,0)))</f>
        <v/>
      </c>
      <c r="M32" t="str">
        <f t="shared" si="2"/>
        <v/>
      </c>
      <c r="N32" t="str">
        <f t="shared" si="3"/>
        <v/>
      </c>
      <c r="O32" t="str">
        <f t="shared" si="4"/>
        <v/>
      </c>
    </row>
    <row r="33" spans="1:15">
      <c r="A33" t="str">
        <f>IF('ATP Pos'!A33="","",LEFT('ATP Pos'!A33,B33-1))</f>
        <v/>
      </c>
      <c r="B33" t="str">
        <f>IF('ATP Pos'!A33="","",SEARCH("_",'ATP Pos'!A33,1))</f>
        <v/>
      </c>
      <c r="C33" t="str">
        <f>IF(A33="","",IF('ATP Pos'!E33="-","",IF('ATP Pos'!E33&gt;0,"Buy",IF('ATP Pos'!E33&lt;0,"Sell"))))</f>
        <v/>
      </c>
      <c r="D33" t="str">
        <f>IF(A33="","",IF('ATP Pos'!E33="-","",IF('ATP Pos'!E33&gt;0,'ATP Pos'!E33,IF('ATP Pos'!E33&lt;0,-'ATP Pos'!E33))))</f>
        <v/>
      </c>
      <c r="E33" t="str">
        <f>IF(A33="","",LEFT('ATP Pos'!B33,F33-1))</f>
        <v/>
      </c>
      <c r="F33" t="str">
        <f>IF(A33="","",SEARCH("-",'ATP Pos'!B33,1))</f>
        <v/>
      </c>
      <c r="G33" t="str">
        <f>IF(A33="","",RIGHT('ATP Pos'!B33,3))</f>
        <v/>
      </c>
      <c r="H33" t="str">
        <f t="shared" si="0"/>
        <v/>
      </c>
      <c r="I33" t="str">
        <f t="shared" si="1"/>
        <v/>
      </c>
      <c r="J33" t="str">
        <f>IF(H33="","",VLOOKUP(I33,表3_3[],2,0))</f>
        <v/>
      </c>
      <c r="K33" t="str">
        <f>IF(H33="","",VLOOKUP(I33,表3_3[],3,0))</f>
        <v/>
      </c>
      <c r="L33" t="str">
        <f>IF(A33="","",IF(G33="LME","",VLOOKUP(RIGHT(E33,2),Helper1!$O$36:$P$48,2,0)))</f>
        <v/>
      </c>
      <c r="M33" t="str">
        <f t="shared" si="2"/>
        <v/>
      </c>
      <c r="N33" t="str">
        <f t="shared" si="3"/>
        <v/>
      </c>
      <c r="O33" t="str">
        <f t="shared" si="4"/>
        <v/>
      </c>
    </row>
    <row r="34" spans="1:15">
      <c r="A34" t="str">
        <f>IF('ATP Pos'!A34="","",LEFT('ATP Pos'!A34,B34-1))</f>
        <v/>
      </c>
      <c r="B34" t="str">
        <f>IF('ATP Pos'!A34="","",SEARCH("_",'ATP Pos'!A34,1))</f>
        <v/>
      </c>
      <c r="C34" t="str">
        <f>IF(A34="","",IF('ATP Pos'!E34="-","",IF('ATP Pos'!E34&gt;0,"Buy",IF('ATP Pos'!E34&lt;0,"Sell"))))</f>
        <v/>
      </c>
      <c r="D34" t="str">
        <f>IF(A34="","",IF('ATP Pos'!E34="-","",IF('ATP Pos'!E34&gt;0,'ATP Pos'!E34,IF('ATP Pos'!E34&lt;0,-'ATP Pos'!E34))))</f>
        <v/>
      </c>
      <c r="E34" t="str">
        <f>IF(A34="","",LEFT('ATP Pos'!B34,F34-1))</f>
        <v/>
      </c>
      <c r="F34" t="str">
        <f>IF(A34="","",SEARCH("-",'ATP Pos'!B34,1))</f>
        <v/>
      </c>
      <c r="G34" t="str">
        <f>IF(A34="","",RIGHT('ATP Pos'!B34,3))</f>
        <v/>
      </c>
      <c r="H34" t="str">
        <f t="shared" si="0"/>
        <v/>
      </c>
      <c r="I34" t="str">
        <f t="shared" si="1"/>
        <v/>
      </c>
      <c r="J34" t="str">
        <f>IF(H34="","",VLOOKUP(I34,表3_3[],2,0))</f>
        <v/>
      </c>
      <c r="K34" t="str">
        <f>IF(H34="","",VLOOKUP(I34,表3_3[],3,0))</f>
        <v/>
      </c>
      <c r="L34" t="str">
        <f>IF(A34="","",IF(G34="LME","",VLOOKUP(RIGHT(E34,2),Helper1!$O$36:$P$48,2,0)))</f>
        <v/>
      </c>
      <c r="M34" t="str">
        <f t="shared" si="2"/>
        <v/>
      </c>
      <c r="N34" t="str">
        <f t="shared" si="3"/>
        <v/>
      </c>
      <c r="O34" t="str">
        <f t="shared" si="4"/>
        <v/>
      </c>
    </row>
    <row r="35" spans="1:15">
      <c r="A35" t="str">
        <f>IF('ATP Pos'!A35="","",LEFT('ATP Pos'!A35,B35-1))</f>
        <v/>
      </c>
      <c r="B35" t="str">
        <f>IF('ATP Pos'!A35="","",SEARCH("_",'ATP Pos'!A35,1))</f>
        <v/>
      </c>
      <c r="C35" t="str">
        <f>IF(A35="","",IF('ATP Pos'!E35="-","",IF('ATP Pos'!E35&gt;0,"Buy",IF('ATP Pos'!E35&lt;0,"Sell"))))</f>
        <v/>
      </c>
      <c r="D35" t="str">
        <f>IF(A35="","",IF('ATP Pos'!E35="-","",IF('ATP Pos'!E35&gt;0,'ATP Pos'!E35,IF('ATP Pos'!E35&lt;0,-'ATP Pos'!E35))))</f>
        <v/>
      </c>
      <c r="E35" t="str">
        <f>IF(A35="","",LEFT('ATP Pos'!B35,F35-1))</f>
        <v/>
      </c>
      <c r="F35" t="str">
        <f>IF(A35="","",SEARCH("-",'ATP Pos'!B35,1))</f>
        <v/>
      </c>
      <c r="G35" t="str">
        <f>IF(A35="","",RIGHT('ATP Pos'!B35,3))</f>
        <v/>
      </c>
      <c r="H35" t="str">
        <f t="shared" si="0"/>
        <v/>
      </c>
      <c r="I35" t="str">
        <f t="shared" si="1"/>
        <v/>
      </c>
      <c r="J35" t="str">
        <f>IF(H35="","",VLOOKUP(I35,表3_3[],2,0))</f>
        <v/>
      </c>
      <c r="K35" t="str">
        <f>IF(H35="","",VLOOKUP(I35,表3_3[],3,0))</f>
        <v/>
      </c>
      <c r="L35" t="str">
        <f>IF(A35="","",IF(G35="LME","",VLOOKUP(RIGHT(E35,2),Helper1!$O$36:$P$48,2,0)))</f>
        <v/>
      </c>
      <c r="M35" t="str">
        <f t="shared" si="2"/>
        <v/>
      </c>
      <c r="N35" t="str">
        <f t="shared" si="3"/>
        <v/>
      </c>
      <c r="O35" t="str">
        <f t="shared" si="4"/>
        <v/>
      </c>
    </row>
    <row r="36" spans="1:15">
      <c r="A36" t="str">
        <f>IF('ATP Pos'!A36="","",LEFT('ATP Pos'!A36,B36-1))</f>
        <v/>
      </c>
      <c r="B36" t="str">
        <f>IF('ATP Pos'!A36="","",SEARCH("_",'ATP Pos'!A36,1))</f>
        <v/>
      </c>
      <c r="C36" t="str">
        <f>IF(A36="","",IF('ATP Pos'!E36="-","",IF('ATP Pos'!E36&gt;0,"Buy",IF('ATP Pos'!E36&lt;0,"Sell"))))</f>
        <v/>
      </c>
      <c r="D36" t="str">
        <f>IF(A36="","",IF('ATP Pos'!E36="-","",IF('ATP Pos'!E36&gt;0,'ATP Pos'!E36,IF('ATP Pos'!E36&lt;0,-'ATP Pos'!E36))))</f>
        <v/>
      </c>
      <c r="E36" t="str">
        <f>IF(A36="","",LEFT('ATP Pos'!B36,F36-1))</f>
        <v/>
      </c>
      <c r="F36" t="str">
        <f>IF(A36="","",SEARCH("-",'ATP Pos'!B36,1))</f>
        <v/>
      </c>
      <c r="G36" t="str">
        <f>IF(A36="","",RIGHT('ATP Pos'!B36,3))</f>
        <v/>
      </c>
      <c r="H36" t="str">
        <f t="shared" si="0"/>
        <v/>
      </c>
      <c r="I36" t="str">
        <f t="shared" si="1"/>
        <v/>
      </c>
      <c r="J36" t="str">
        <f>IF(H36="","",VLOOKUP(I36,表3_3[],2,0))</f>
        <v/>
      </c>
      <c r="K36" t="str">
        <f>IF(H36="","",VLOOKUP(I36,表3_3[],3,0))</f>
        <v/>
      </c>
      <c r="L36" t="str">
        <f>IF(A36="","",IF(G36="LME","",VLOOKUP(RIGHT(E36,2),Helper1!$O$36:$P$48,2,0)))</f>
        <v/>
      </c>
      <c r="M36" t="str">
        <f t="shared" si="2"/>
        <v/>
      </c>
      <c r="N36" t="str">
        <f t="shared" si="3"/>
        <v/>
      </c>
      <c r="O36" t="str">
        <f t="shared" si="4"/>
        <v/>
      </c>
    </row>
    <row r="37" spans="1:15">
      <c r="A37" t="str">
        <f>IF('ATP Pos'!A37="","",LEFT('ATP Pos'!A37,B37-1))</f>
        <v/>
      </c>
      <c r="B37" t="str">
        <f>IF('ATP Pos'!A37="","",SEARCH("_",'ATP Pos'!A37,1))</f>
        <v/>
      </c>
      <c r="C37" t="str">
        <f>IF(A37="","",IF('ATP Pos'!E37="-","",IF('ATP Pos'!E37&gt;0,"Buy",IF('ATP Pos'!E37&lt;0,"Sell"))))</f>
        <v/>
      </c>
      <c r="D37" t="str">
        <f>IF(A37="","",IF('ATP Pos'!E37="-","",IF('ATP Pos'!E37&gt;0,'ATP Pos'!E37,IF('ATP Pos'!E37&lt;0,-'ATP Pos'!E37))))</f>
        <v/>
      </c>
      <c r="E37" t="str">
        <f>IF(A37="","",LEFT('ATP Pos'!B37,F37-1))</f>
        <v/>
      </c>
      <c r="F37" t="str">
        <f>IF(A37="","",SEARCH("-",'ATP Pos'!B37,1))</f>
        <v/>
      </c>
      <c r="G37" t="str">
        <f>IF(A37="","",RIGHT('ATP Pos'!B37,3))</f>
        <v/>
      </c>
      <c r="H37" t="str">
        <f t="shared" si="0"/>
        <v/>
      </c>
      <c r="I37" t="str">
        <f t="shared" si="1"/>
        <v/>
      </c>
      <c r="J37" t="str">
        <f>IF(H37="","",VLOOKUP(I37,表3_3[],2,0))</f>
        <v/>
      </c>
      <c r="K37" t="str">
        <f>IF(H37="","",VLOOKUP(I37,表3_3[],3,0))</f>
        <v/>
      </c>
      <c r="L37" t="str">
        <f>IF(A37="","",IF(G37="LME","",VLOOKUP(RIGHT(E37,2),Helper1!$O$36:$P$48,2,0)))</f>
        <v/>
      </c>
      <c r="M37" t="str">
        <f t="shared" si="2"/>
        <v/>
      </c>
      <c r="N37" t="str">
        <f t="shared" si="3"/>
        <v/>
      </c>
      <c r="O37" t="str">
        <f t="shared" si="4"/>
        <v/>
      </c>
    </row>
    <row r="38" spans="1:15">
      <c r="A38" t="str">
        <f>IF('ATP Pos'!A38="","",LEFT('ATP Pos'!A38,B38-1))</f>
        <v/>
      </c>
      <c r="B38" t="str">
        <f>IF('ATP Pos'!A38="","",SEARCH("_",'ATP Pos'!A38,1))</f>
        <v/>
      </c>
      <c r="C38" t="str">
        <f>IF(A38="","",IF('ATP Pos'!E38="-","",IF('ATP Pos'!E38&gt;0,"Buy",IF('ATP Pos'!E38&lt;0,"Sell"))))</f>
        <v/>
      </c>
      <c r="D38" t="str">
        <f>IF(A38="","",IF('ATP Pos'!E38="-","",IF('ATP Pos'!E38&gt;0,'ATP Pos'!E38,IF('ATP Pos'!E38&lt;0,-'ATP Pos'!E38))))</f>
        <v/>
      </c>
      <c r="E38" t="str">
        <f>IF(A38="","",LEFT('ATP Pos'!B38,F38-1))</f>
        <v/>
      </c>
      <c r="F38" t="str">
        <f>IF(A38="","",SEARCH("-",'ATP Pos'!B38,1))</f>
        <v/>
      </c>
      <c r="G38" t="str">
        <f>IF(A38="","",RIGHT('ATP Pos'!B38,3))</f>
        <v/>
      </c>
      <c r="H38" t="str">
        <f t="shared" si="0"/>
        <v/>
      </c>
      <c r="I38" t="str">
        <f t="shared" si="1"/>
        <v/>
      </c>
      <c r="J38" t="str">
        <f>IF(H38="","",VLOOKUP(I38,表3_3[],2,0))</f>
        <v/>
      </c>
      <c r="K38" t="str">
        <f>IF(H38="","",VLOOKUP(I38,表3_3[],3,0))</f>
        <v/>
      </c>
      <c r="L38" t="str">
        <f>IF(A38="","",IF(G38="LME","",VLOOKUP(RIGHT(E38,2),Helper1!$O$36:$P$48,2,0)))</f>
        <v/>
      </c>
      <c r="M38" t="str">
        <f t="shared" si="2"/>
        <v/>
      </c>
      <c r="N38" t="str">
        <f t="shared" si="3"/>
        <v/>
      </c>
      <c r="O38" t="str">
        <f t="shared" si="4"/>
        <v/>
      </c>
    </row>
    <row r="39" spans="1:15">
      <c r="A39" t="str">
        <f>IF('ATP Pos'!A39="","",LEFT('ATP Pos'!A39,B39-1))</f>
        <v/>
      </c>
      <c r="B39" t="str">
        <f>IF('ATP Pos'!A39="","",SEARCH("_",'ATP Pos'!A39,1))</f>
        <v/>
      </c>
      <c r="C39" t="str">
        <f>IF(A39="","",IF('ATP Pos'!E39="-","",IF('ATP Pos'!E39&gt;0,"Buy",IF('ATP Pos'!E39&lt;0,"Sell"))))</f>
        <v/>
      </c>
      <c r="D39" t="str">
        <f>IF(A39="","",IF('ATP Pos'!E39="-","",IF('ATP Pos'!E39&gt;0,'ATP Pos'!E39,IF('ATP Pos'!E39&lt;0,-'ATP Pos'!E39))))</f>
        <v/>
      </c>
      <c r="E39" t="str">
        <f>IF(A39="","",LEFT('ATP Pos'!B39,F39-1))</f>
        <v/>
      </c>
      <c r="F39" t="str">
        <f>IF(A39="","",SEARCH("-",'ATP Pos'!B39,1))</f>
        <v/>
      </c>
      <c r="G39" t="str">
        <f>IF(A39="","",RIGHT('ATP Pos'!B39,3))</f>
        <v/>
      </c>
      <c r="H39" t="str">
        <f t="shared" si="0"/>
        <v/>
      </c>
      <c r="I39" t="str">
        <f t="shared" si="1"/>
        <v/>
      </c>
      <c r="J39" t="str">
        <f>IF(H39="","",VLOOKUP(I39,表3_3[],2,0))</f>
        <v/>
      </c>
      <c r="K39" t="str">
        <f>IF(H39="","",VLOOKUP(I39,表3_3[],3,0))</f>
        <v/>
      </c>
      <c r="L39" t="str">
        <f>IF(A39="","",IF(G39="LME","",VLOOKUP(RIGHT(E39,2),Helper1!$O$36:$P$48,2,0)))</f>
        <v/>
      </c>
      <c r="M39" t="str">
        <f t="shared" si="2"/>
        <v/>
      </c>
      <c r="N39" t="str">
        <f t="shared" si="3"/>
        <v/>
      </c>
      <c r="O39" t="str">
        <f t="shared" si="4"/>
        <v/>
      </c>
    </row>
    <row r="40" spans="1:15">
      <c r="A40" t="str">
        <f>IF('ATP Pos'!A40="","",LEFT('ATP Pos'!A40,B40-1))</f>
        <v/>
      </c>
      <c r="B40" t="str">
        <f>IF('ATP Pos'!A40="","",SEARCH("_",'ATP Pos'!A40,1))</f>
        <v/>
      </c>
      <c r="C40" t="str">
        <f>IF(A40="","",IF('ATP Pos'!E40="-","",IF('ATP Pos'!E40&gt;0,"Buy",IF('ATP Pos'!E40&lt;0,"Sell"))))</f>
        <v/>
      </c>
      <c r="D40" t="str">
        <f>IF(A40="","",IF('ATP Pos'!E40="-","",IF('ATP Pos'!E40&gt;0,'ATP Pos'!E40,IF('ATP Pos'!E40&lt;0,-'ATP Pos'!E40))))</f>
        <v/>
      </c>
      <c r="E40" t="str">
        <f>IF(A40="","",LEFT('ATP Pos'!B40,F40-1))</f>
        <v/>
      </c>
      <c r="F40" t="str">
        <f>IF(A40="","",SEARCH("-",'ATP Pos'!B40,1))</f>
        <v/>
      </c>
      <c r="G40" t="str">
        <f>IF(A40="","",RIGHT('ATP Pos'!B40,3))</f>
        <v/>
      </c>
      <c r="H40" t="str">
        <f t="shared" si="0"/>
        <v/>
      </c>
      <c r="I40" t="str">
        <f t="shared" si="1"/>
        <v/>
      </c>
      <c r="J40" t="str">
        <f>IF(H40="","",VLOOKUP(I40,表3_3[],2,0))</f>
        <v/>
      </c>
      <c r="K40" t="str">
        <f>IF(H40="","",VLOOKUP(I40,表3_3[],3,0))</f>
        <v/>
      </c>
      <c r="L40" t="str">
        <f>IF(A40="","",IF(G40="LME","",VLOOKUP(RIGHT(E40,2),Helper1!$O$36:$P$48,2,0)))</f>
        <v/>
      </c>
      <c r="M40" t="str">
        <f t="shared" si="2"/>
        <v/>
      </c>
      <c r="N40" t="str">
        <f t="shared" si="3"/>
        <v/>
      </c>
      <c r="O40" t="str">
        <f t="shared" si="4"/>
        <v/>
      </c>
    </row>
    <row r="41" spans="1:15">
      <c r="A41" t="str">
        <f>IF('ATP Pos'!A41="","",LEFT('ATP Pos'!A41,B41-1))</f>
        <v/>
      </c>
      <c r="B41" t="str">
        <f>IF('ATP Pos'!A41="","",SEARCH("_",'ATP Pos'!A41,1))</f>
        <v/>
      </c>
      <c r="C41" t="str">
        <f>IF(A41="","",IF('ATP Pos'!E41="-","",IF('ATP Pos'!E41&gt;0,"Buy",IF('ATP Pos'!E41&lt;0,"Sell"))))</f>
        <v/>
      </c>
      <c r="D41" t="str">
        <f>IF(A41="","",IF('ATP Pos'!E41="-","",IF('ATP Pos'!E41&gt;0,'ATP Pos'!E41,IF('ATP Pos'!E41&lt;0,-'ATP Pos'!E41))))</f>
        <v/>
      </c>
      <c r="E41" t="str">
        <f>IF(A41="","",LEFT('ATP Pos'!B41,F41-1))</f>
        <v/>
      </c>
      <c r="F41" t="str">
        <f>IF(A41="","",SEARCH("-",'ATP Pos'!B41,1))</f>
        <v/>
      </c>
      <c r="G41" t="str">
        <f>IF(A41="","",RIGHT('ATP Pos'!B41,3))</f>
        <v/>
      </c>
      <c r="H41" t="str">
        <f t="shared" si="0"/>
        <v/>
      </c>
      <c r="I41" t="str">
        <f t="shared" si="1"/>
        <v/>
      </c>
      <c r="J41" t="str">
        <f>IF(H41="","",VLOOKUP(I41,表3_3[],2,0))</f>
        <v/>
      </c>
      <c r="K41" t="str">
        <f>IF(H41="","",VLOOKUP(I41,表3_3[],3,0))</f>
        <v/>
      </c>
      <c r="L41" t="str">
        <f>IF(A41="","",IF(G41="LME","",VLOOKUP(RIGHT(E41,2),Helper1!$O$36:$P$48,2,0)))</f>
        <v/>
      </c>
      <c r="M41" t="str">
        <f t="shared" si="2"/>
        <v/>
      </c>
      <c r="N41" t="str">
        <f t="shared" si="3"/>
        <v/>
      </c>
      <c r="O41" t="str">
        <f t="shared" si="4"/>
        <v/>
      </c>
    </row>
    <row r="42" spans="1:15">
      <c r="A42" t="str">
        <f>IF('ATP Pos'!A42="","",LEFT('ATP Pos'!A42,B42-1))</f>
        <v/>
      </c>
      <c r="B42" t="str">
        <f>IF('ATP Pos'!A42="","",SEARCH("_",'ATP Pos'!A42,1))</f>
        <v/>
      </c>
      <c r="C42" t="str">
        <f>IF(A42="","",IF('ATP Pos'!E42="-","",IF('ATP Pos'!E42&gt;0,"Buy",IF('ATP Pos'!E42&lt;0,"Sell"))))</f>
        <v/>
      </c>
      <c r="D42" t="str">
        <f>IF(A42="","",IF('ATP Pos'!E42="-","",IF('ATP Pos'!E42&gt;0,'ATP Pos'!E42,IF('ATP Pos'!E42&lt;0,-'ATP Pos'!E42))))</f>
        <v/>
      </c>
      <c r="E42" t="str">
        <f>IF(A42="","",LEFT('ATP Pos'!B42,F42-1))</f>
        <v/>
      </c>
      <c r="F42" t="str">
        <f>IF(A42="","",SEARCH("-",'ATP Pos'!B42,1))</f>
        <v/>
      </c>
      <c r="G42" t="str">
        <f>IF(A42="","",RIGHT('ATP Pos'!B42,3))</f>
        <v/>
      </c>
      <c r="H42" t="str">
        <f t="shared" si="0"/>
        <v/>
      </c>
      <c r="I42" t="str">
        <f t="shared" si="1"/>
        <v/>
      </c>
      <c r="J42" t="str">
        <f>IF(H42="","",VLOOKUP(I42,表3_3[],2,0))</f>
        <v/>
      </c>
      <c r="K42" t="str">
        <f>IF(H42="","",VLOOKUP(I42,表3_3[],3,0))</f>
        <v/>
      </c>
      <c r="L42" t="str">
        <f>IF(A42="","",IF(G42="LME","",VLOOKUP(RIGHT(E42,2),Helper1!$O$36:$P$48,2,0)))</f>
        <v/>
      </c>
      <c r="M42" t="str">
        <f t="shared" si="2"/>
        <v/>
      </c>
      <c r="N42" t="str">
        <f t="shared" si="3"/>
        <v/>
      </c>
      <c r="O42" t="str">
        <f t="shared" si="4"/>
        <v/>
      </c>
    </row>
    <row r="43" spans="1:15">
      <c r="A43" t="str">
        <f>IF('ATP Pos'!A43="","",LEFT('ATP Pos'!A43,B43-1))</f>
        <v/>
      </c>
      <c r="B43" t="str">
        <f>IF('ATP Pos'!A43="","",SEARCH("_",'ATP Pos'!A43,1))</f>
        <v/>
      </c>
      <c r="C43" t="str">
        <f>IF(A43="","",IF('ATP Pos'!E43="-","",IF('ATP Pos'!E43&gt;0,"Buy",IF('ATP Pos'!E43&lt;0,"Sell"))))</f>
        <v/>
      </c>
      <c r="D43" t="str">
        <f>IF(A43="","",IF('ATP Pos'!E43="-","",IF('ATP Pos'!E43&gt;0,'ATP Pos'!E43,IF('ATP Pos'!E43&lt;0,-'ATP Pos'!E43))))</f>
        <v/>
      </c>
      <c r="E43" t="str">
        <f>IF(A43="","",LEFT('ATP Pos'!B43,F43-1))</f>
        <v/>
      </c>
      <c r="F43" t="str">
        <f>IF(A43="","",SEARCH("-",'ATP Pos'!B43,1))</f>
        <v/>
      </c>
      <c r="G43" t="str">
        <f>IF(A43="","",RIGHT('ATP Pos'!B43,3))</f>
        <v/>
      </c>
      <c r="H43" t="str">
        <f t="shared" si="0"/>
        <v/>
      </c>
      <c r="I43" t="str">
        <f t="shared" si="1"/>
        <v/>
      </c>
      <c r="J43" t="str">
        <f>IF(H43="","",VLOOKUP(I43,表3_3[],2,0))</f>
        <v/>
      </c>
      <c r="K43" t="str">
        <f>IF(H43="","",VLOOKUP(I43,表3_3[],3,0))</f>
        <v/>
      </c>
      <c r="L43" t="str">
        <f>IF(A43="","",IF(G43="LME","",VLOOKUP(RIGHT(E43,2),Helper1!$O$36:$P$48,2,0)))</f>
        <v/>
      </c>
      <c r="M43" t="str">
        <f t="shared" si="2"/>
        <v/>
      </c>
      <c r="N43" t="str">
        <f t="shared" si="3"/>
        <v/>
      </c>
      <c r="O43" t="str">
        <f t="shared" si="4"/>
        <v/>
      </c>
    </row>
    <row r="44" spans="1:15">
      <c r="A44" t="str">
        <f>IF('ATP Pos'!A44="","",LEFT('ATP Pos'!A44,B44-1))</f>
        <v/>
      </c>
      <c r="B44" t="str">
        <f>IF('ATP Pos'!A44="","",SEARCH("_",'ATP Pos'!A44,1))</f>
        <v/>
      </c>
      <c r="C44" t="str">
        <f>IF(A44="","",IF('ATP Pos'!E44="-","",IF('ATP Pos'!E44&gt;0,"Buy",IF('ATP Pos'!E44&lt;0,"Sell"))))</f>
        <v/>
      </c>
      <c r="D44" t="str">
        <f>IF(A44="","",IF('ATP Pos'!E44="-","",IF('ATP Pos'!E44&gt;0,'ATP Pos'!E44,IF('ATP Pos'!E44&lt;0,-'ATP Pos'!E44))))</f>
        <v/>
      </c>
      <c r="E44" t="str">
        <f>IF(A44="","",LEFT('ATP Pos'!B44,F44-1))</f>
        <v/>
      </c>
      <c r="F44" t="str">
        <f>IF(A44="","",SEARCH("-",'ATP Pos'!B44,1))</f>
        <v/>
      </c>
      <c r="G44" t="str">
        <f>IF(A44="","",RIGHT('ATP Pos'!B44,3))</f>
        <v/>
      </c>
      <c r="H44" t="str">
        <f t="shared" si="0"/>
        <v/>
      </c>
      <c r="I44" t="str">
        <f t="shared" si="1"/>
        <v/>
      </c>
      <c r="J44" t="str">
        <f>IF(H44="","",VLOOKUP(I44,表3_3[],2,0))</f>
        <v/>
      </c>
      <c r="K44" t="str">
        <f>IF(H44="","",VLOOKUP(I44,表3_3[],3,0))</f>
        <v/>
      </c>
      <c r="L44" t="str">
        <f>IF(A44="","",IF(G44="LME","",VLOOKUP(RIGHT(E44,2),Helper1!$O$36:$P$48,2,0)))</f>
        <v/>
      </c>
      <c r="M44" t="str">
        <f t="shared" si="2"/>
        <v/>
      </c>
      <c r="N44" t="str">
        <f t="shared" si="3"/>
        <v/>
      </c>
      <c r="O44" t="str">
        <f t="shared" si="4"/>
        <v/>
      </c>
    </row>
    <row r="45" spans="1:15">
      <c r="A45" t="str">
        <f>IF('ATP Pos'!A45="","",LEFT('ATP Pos'!A45,B45-1))</f>
        <v/>
      </c>
      <c r="B45" t="str">
        <f>IF('ATP Pos'!A45="","",SEARCH("_",'ATP Pos'!A45,1))</f>
        <v/>
      </c>
      <c r="C45" t="str">
        <f>IF(A45="","",IF('ATP Pos'!E45="-","",IF('ATP Pos'!E45&gt;0,"Buy",IF('ATP Pos'!E45&lt;0,"Sell"))))</f>
        <v/>
      </c>
      <c r="D45" t="str">
        <f>IF(A45="","",IF('ATP Pos'!E45="-","",IF('ATP Pos'!E45&gt;0,'ATP Pos'!E45,IF('ATP Pos'!E45&lt;0,-'ATP Pos'!E45))))</f>
        <v/>
      </c>
      <c r="E45" t="str">
        <f>IF(A45="","",LEFT('ATP Pos'!B45,F45-1))</f>
        <v/>
      </c>
      <c r="F45" t="str">
        <f>IF(A45="","",SEARCH("-",'ATP Pos'!B45,1))</f>
        <v/>
      </c>
      <c r="G45" t="str">
        <f>IF(A45="","",RIGHT('ATP Pos'!B45,3))</f>
        <v/>
      </c>
      <c r="H45" t="str">
        <f t="shared" si="0"/>
        <v/>
      </c>
      <c r="I45" t="str">
        <f t="shared" si="1"/>
        <v/>
      </c>
      <c r="J45" t="str">
        <f>IF(H45="","",VLOOKUP(I45,表3_3[],2,0))</f>
        <v/>
      </c>
      <c r="K45" t="str">
        <f>IF(H45="","",VLOOKUP(I45,表3_3[],3,0))</f>
        <v/>
      </c>
      <c r="L45" t="str">
        <f>IF(A45="","",IF(G45="LME","",VLOOKUP(RIGHT(E45,2),Helper1!$O$36:$P$48,2,0)))</f>
        <v/>
      </c>
      <c r="M45" t="str">
        <f t="shared" si="2"/>
        <v/>
      </c>
      <c r="N45" t="str">
        <f t="shared" si="3"/>
        <v/>
      </c>
      <c r="O45" t="str">
        <f t="shared" si="4"/>
        <v/>
      </c>
    </row>
    <row r="46" spans="1:15">
      <c r="A46" t="str">
        <f>IF('ATP Pos'!A46="","",LEFT('ATP Pos'!A46,B46-1))</f>
        <v/>
      </c>
      <c r="B46" t="str">
        <f>IF('ATP Pos'!A46="","",SEARCH("_",'ATP Pos'!A46,1))</f>
        <v/>
      </c>
      <c r="C46" t="str">
        <f>IF(A46="","",IF('ATP Pos'!E46="-","",IF('ATP Pos'!E46&gt;0,"Buy",IF('ATP Pos'!E46&lt;0,"Sell"))))</f>
        <v/>
      </c>
      <c r="D46" t="str">
        <f>IF(A46="","",IF('ATP Pos'!E46="-","",IF('ATP Pos'!E46&gt;0,'ATP Pos'!E46,IF('ATP Pos'!E46&lt;0,-'ATP Pos'!E46))))</f>
        <v/>
      </c>
      <c r="E46" t="str">
        <f>IF(A46="","",LEFT('ATP Pos'!B46,F46-1))</f>
        <v/>
      </c>
      <c r="F46" t="str">
        <f>IF(A46="","",SEARCH("-",'ATP Pos'!B46,1))</f>
        <v/>
      </c>
      <c r="G46" t="str">
        <f>IF(A46="","",RIGHT('ATP Pos'!B46,3))</f>
        <v/>
      </c>
      <c r="H46" t="str">
        <f t="shared" si="0"/>
        <v/>
      </c>
      <c r="I46" t="str">
        <f t="shared" si="1"/>
        <v/>
      </c>
      <c r="J46" t="str">
        <f>IF(H46="","",VLOOKUP(I46,表3_3[],2,0))</f>
        <v/>
      </c>
      <c r="K46" t="str">
        <f>IF(H46="","",VLOOKUP(I46,表3_3[],3,0))</f>
        <v/>
      </c>
      <c r="L46" t="str">
        <f>IF(A46="","",IF(G46="LME","",VLOOKUP(RIGHT(E46,2),Helper1!$O$36:$P$48,2,0)))</f>
        <v/>
      </c>
      <c r="M46" t="str">
        <f t="shared" si="2"/>
        <v/>
      </c>
      <c r="N46" t="str">
        <f t="shared" si="3"/>
        <v/>
      </c>
      <c r="O46" t="str">
        <f t="shared" si="4"/>
        <v/>
      </c>
    </row>
    <row r="47" spans="1:15">
      <c r="A47" t="str">
        <f>IF('ATP Pos'!A47="","",LEFT('ATP Pos'!A47,B47-1))</f>
        <v/>
      </c>
      <c r="B47" t="str">
        <f>IF('ATP Pos'!A47="","",SEARCH("_",'ATP Pos'!A47,1))</f>
        <v/>
      </c>
      <c r="C47" t="str">
        <f>IF(A47="","",IF('ATP Pos'!E47="-","",IF('ATP Pos'!E47&gt;0,"Buy",IF('ATP Pos'!E47&lt;0,"Sell"))))</f>
        <v/>
      </c>
      <c r="D47" t="str">
        <f>IF(A47="","",IF('ATP Pos'!E47="-","",IF('ATP Pos'!E47&gt;0,'ATP Pos'!E47,IF('ATP Pos'!E47&lt;0,-'ATP Pos'!E47))))</f>
        <v/>
      </c>
      <c r="E47" t="str">
        <f>IF(A47="","",LEFT('ATP Pos'!B47,F47-1))</f>
        <v/>
      </c>
      <c r="F47" t="str">
        <f>IF(A47="","",SEARCH("-",'ATP Pos'!B47,1))</f>
        <v/>
      </c>
      <c r="G47" t="str">
        <f>IF(A47="","",RIGHT('ATP Pos'!B47,3))</f>
        <v/>
      </c>
      <c r="H47" t="str">
        <f t="shared" si="0"/>
        <v/>
      </c>
      <c r="I47" t="str">
        <f t="shared" si="1"/>
        <v/>
      </c>
      <c r="J47" t="str">
        <f>IF(H47="","",VLOOKUP(I47,表3_3[],2,0))</f>
        <v/>
      </c>
      <c r="K47" t="str">
        <f>IF(H47="","",VLOOKUP(I47,表3_3[],3,0))</f>
        <v/>
      </c>
      <c r="L47" t="str">
        <f>IF(A47="","",IF(G47="LME","",VLOOKUP(RIGHT(E47,2),Helper1!$O$36:$P$48,2,0)))</f>
        <v/>
      </c>
      <c r="M47" t="str">
        <f t="shared" si="2"/>
        <v/>
      </c>
      <c r="N47" t="str">
        <f t="shared" si="3"/>
        <v/>
      </c>
      <c r="O47" t="str">
        <f t="shared" si="4"/>
        <v/>
      </c>
    </row>
    <row r="48" spans="1:15">
      <c r="A48" t="str">
        <f>IF('ATP Pos'!A48="","",LEFT('ATP Pos'!A48,B48-1))</f>
        <v/>
      </c>
      <c r="B48" t="str">
        <f>IF('ATP Pos'!A48="","",SEARCH("_",'ATP Pos'!A48,1))</f>
        <v/>
      </c>
      <c r="C48" t="str">
        <f>IF(A48="","",IF('ATP Pos'!E48="-","",IF('ATP Pos'!E48&gt;0,"Buy",IF('ATP Pos'!E48&lt;0,"Sell"))))</f>
        <v/>
      </c>
      <c r="D48" t="str">
        <f>IF(A48="","",IF('ATP Pos'!E48="-","",IF('ATP Pos'!E48&gt;0,'ATP Pos'!E48,IF('ATP Pos'!E48&lt;0,-'ATP Pos'!E48))))</f>
        <v/>
      </c>
      <c r="E48" t="str">
        <f>IF(A48="","",LEFT('ATP Pos'!B48,F48-1))</f>
        <v/>
      </c>
      <c r="F48" t="str">
        <f>IF(A48="","",SEARCH("-",'ATP Pos'!B48,1))</f>
        <v/>
      </c>
      <c r="G48" t="str">
        <f>IF(A48="","",RIGHT('ATP Pos'!B48,3))</f>
        <v/>
      </c>
      <c r="H48" t="str">
        <f t="shared" si="0"/>
        <v/>
      </c>
      <c r="I48" t="str">
        <f t="shared" si="1"/>
        <v/>
      </c>
      <c r="J48" t="str">
        <f>IF(H48="","",VLOOKUP(I48,表3_3[],2,0))</f>
        <v/>
      </c>
      <c r="K48" t="str">
        <f>IF(H48="","",VLOOKUP(I48,表3_3[],3,0))</f>
        <v/>
      </c>
      <c r="L48" t="str">
        <f>IF(A48="","",IF(G48="LME","",VLOOKUP(RIGHT(E48,2),Helper1!$O$36:$P$48,2,0)))</f>
        <v/>
      </c>
      <c r="M48" t="str">
        <f t="shared" si="2"/>
        <v/>
      </c>
      <c r="N48" t="str">
        <f t="shared" si="3"/>
        <v/>
      </c>
      <c r="O48" t="str">
        <f t="shared" si="4"/>
        <v/>
      </c>
    </row>
    <row r="49" spans="1:15">
      <c r="A49" t="str">
        <f>IF('ATP Pos'!A49="","",LEFT('ATP Pos'!A49,B49-1))</f>
        <v/>
      </c>
      <c r="B49" t="str">
        <f>IF('ATP Pos'!A49="","",SEARCH("_",'ATP Pos'!A49,1))</f>
        <v/>
      </c>
      <c r="C49" t="str">
        <f>IF(A49="","",IF('ATP Pos'!E49="-","",IF('ATP Pos'!E49&gt;0,"Buy",IF('ATP Pos'!E49&lt;0,"Sell"))))</f>
        <v/>
      </c>
      <c r="D49" t="str">
        <f>IF(A49="","",IF('ATP Pos'!E49="-","",IF('ATP Pos'!E49&gt;0,'ATP Pos'!E49,IF('ATP Pos'!E49&lt;0,-'ATP Pos'!E49))))</f>
        <v/>
      </c>
      <c r="E49" t="str">
        <f>IF(A49="","",LEFT('ATP Pos'!B49,F49-1))</f>
        <v/>
      </c>
      <c r="F49" t="str">
        <f>IF(A49="","",SEARCH("-",'ATP Pos'!B49,1))</f>
        <v/>
      </c>
      <c r="G49" t="str">
        <f>IF(A49="","",RIGHT('ATP Pos'!B49,3))</f>
        <v/>
      </c>
      <c r="H49" t="str">
        <f t="shared" si="0"/>
        <v/>
      </c>
      <c r="I49" t="str">
        <f t="shared" si="1"/>
        <v/>
      </c>
      <c r="J49" t="str">
        <f>IF(H49="","",VLOOKUP(I49,表3_3[],2,0))</f>
        <v/>
      </c>
      <c r="K49" t="str">
        <f>IF(H49="","",VLOOKUP(I49,表3_3[],3,0))</f>
        <v/>
      </c>
      <c r="L49" t="str">
        <f>IF(A49="","",IF(G49="LME","",VLOOKUP(RIGHT(E49,2),Helper1!$O$36:$P$48,2,0)))</f>
        <v/>
      </c>
      <c r="M49" t="str">
        <f t="shared" si="2"/>
        <v/>
      </c>
      <c r="N49" t="str">
        <f t="shared" si="3"/>
        <v/>
      </c>
      <c r="O49" t="str">
        <f t="shared" si="4"/>
        <v/>
      </c>
    </row>
    <row r="50" spans="1:15">
      <c r="A50" t="str">
        <f>IF('ATP Pos'!A50="","",LEFT('ATP Pos'!A50,B50-1))</f>
        <v/>
      </c>
      <c r="B50" t="str">
        <f>IF('ATP Pos'!A50="","",SEARCH("_",'ATP Pos'!A50,1))</f>
        <v/>
      </c>
      <c r="C50" t="str">
        <f>IF(A50="","",IF('ATP Pos'!E50="-","",IF('ATP Pos'!E50&gt;0,"Buy",IF('ATP Pos'!E50&lt;0,"Sell"))))</f>
        <v/>
      </c>
      <c r="D50" t="str">
        <f>IF(A50="","",IF('ATP Pos'!E50="-","",IF('ATP Pos'!E50&gt;0,'ATP Pos'!E50,IF('ATP Pos'!E50&lt;0,-'ATP Pos'!E50))))</f>
        <v/>
      </c>
      <c r="E50" t="str">
        <f>IF(A50="","",LEFT('ATP Pos'!B50,F50-1))</f>
        <v/>
      </c>
      <c r="F50" t="str">
        <f>IF(A50="","",SEARCH("-",'ATP Pos'!B50,1))</f>
        <v/>
      </c>
      <c r="G50" t="str">
        <f>IF(A50="","",RIGHT('ATP Pos'!B50,3))</f>
        <v/>
      </c>
      <c r="H50" t="str">
        <f t="shared" si="0"/>
        <v/>
      </c>
      <c r="I50" t="str">
        <f t="shared" si="1"/>
        <v/>
      </c>
      <c r="J50" t="str">
        <f>IF(H50="","",VLOOKUP(I50,表3_3[],2,0))</f>
        <v/>
      </c>
      <c r="K50" t="str">
        <f>IF(H50="","",VLOOKUP(I50,表3_3[],3,0))</f>
        <v/>
      </c>
      <c r="L50" t="str">
        <f>IF(A50="","",IF(G50="LME","",VLOOKUP(RIGHT(E50,2),Helper1!$O$36:$P$48,2,0)))</f>
        <v/>
      </c>
      <c r="M50" t="str">
        <f t="shared" si="2"/>
        <v/>
      </c>
      <c r="N50" t="str">
        <f t="shared" si="3"/>
        <v/>
      </c>
      <c r="O50" t="str">
        <f t="shared" si="4"/>
        <v/>
      </c>
    </row>
    <row r="51" spans="1:15">
      <c r="A51" t="str">
        <f>IF('ATP Pos'!A51="","",LEFT('ATP Pos'!A51,B51-1))</f>
        <v/>
      </c>
      <c r="B51" t="str">
        <f>IF('ATP Pos'!A51="","",SEARCH("_",'ATP Pos'!A51,1))</f>
        <v/>
      </c>
      <c r="C51" t="str">
        <f>IF(A51="","",IF('ATP Pos'!E51="-","",IF('ATP Pos'!E51&gt;0,"Buy",IF('ATP Pos'!E51&lt;0,"Sell"))))</f>
        <v/>
      </c>
      <c r="D51" t="str">
        <f>IF(A51="","",IF('ATP Pos'!E51="-","",IF('ATP Pos'!E51&gt;0,'ATP Pos'!E51,IF('ATP Pos'!E51&lt;0,-'ATP Pos'!E51))))</f>
        <v/>
      </c>
      <c r="E51" t="str">
        <f>IF(A51="","",LEFT('ATP Pos'!B51,F51-1))</f>
        <v/>
      </c>
      <c r="F51" t="str">
        <f>IF(A51="","",SEARCH("-",'ATP Pos'!B51,1))</f>
        <v/>
      </c>
      <c r="G51" t="str">
        <f>IF(A51="","",RIGHT('ATP Pos'!B51,3))</f>
        <v/>
      </c>
      <c r="H51" t="str">
        <f t="shared" si="0"/>
        <v/>
      </c>
      <c r="I51" t="str">
        <f t="shared" si="1"/>
        <v/>
      </c>
      <c r="J51" t="str">
        <f>IF(H51="","",VLOOKUP(I51,表3_3[],2,0))</f>
        <v/>
      </c>
      <c r="K51" t="str">
        <f>IF(H51="","",VLOOKUP(I51,表3_3[],3,0))</f>
        <v/>
      </c>
      <c r="L51" t="str">
        <f>IF(A51="","",IF(G51="LME","",VLOOKUP(RIGHT(E51,2),Helper1!$O$36:$P$48,2,0)))</f>
        <v/>
      </c>
      <c r="M51" t="str">
        <f t="shared" si="2"/>
        <v/>
      </c>
      <c r="N51" t="str">
        <f t="shared" si="3"/>
        <v/>
      </c>
      <c r="O51" t="str">
        <f t="shared" si="4"/>
        <v/>
      </c>
    </row>
    <row r="52" spans="1:15">
      <c r="A52" t="str">
        <f>IF('ATP Pos'!A52="","",LEFT('ATP Pos'!A52,B52-1))</f>
        <v/>
      </c>
      <c r="B52" t="str">
        <f>IF('ATP Pos'!A52="","",SEARCH("_",'ATP Pos'!A52,1))</f>
        <v/>
      </c>
      <c r="C52" t="str">
        <f>IF(A52="","",IF('ATP Pos'!E52="-","",IF('ATP Pos'!E52&gt;0,"Buy",IF('ATP Pos'!E52&lt;0,"Sell"))))</f>
        <v/>
      </c>
      <c r="D52" t="str">
        <f>IF(A52="","",IF('ATP Pos'!E52="-","",IF('ATP Pos'!E52&gt;0,'ATP Pos'!E52,IF('ATP Pos'!E52&lt;0,-'ATP Pos'!E52))))</f>
        <v/>
      </c>
      <c r="E52" t="str">
        <f>IF(A52="","",LEFT('ATP Pos'!B52,F52-1))</f>
        <v/>
      </c>
      <c r="F52" t="str">
        <f>IF(A52="","",SEARCH("-",'ATP Pos'!B52,1))</f>
        <v/>
      </c>
      <c r="G52" t="str">
        <f>IF(A52="","",RIGHT('ATP Pos'!B52,3))</f>
        <v/>
      </c>
      <c r="H52" t="str">
        <f t="shared" si="0"/>
        <v/>
      </c>
      <c r="I52" t="str">
        <f t="shared" si="1"/>
        <v/>
      </c>
      <c r="J52" t="str">
        <f>IF(H52="","",VLOOKUP(I52,表3_3[],2,0))</f>
        <v/>
      </c>
      <c r="K52" t="str">
        <f>IF(H52="","",VLOOKUP(I52,表3_3[],3,0))</f>
        <v/>
      </c>
      <c r="L52" t="str">
        <f>IF(A52="","",IF(G52="LME","",VLOOKUP(RIGHT(E52,2),Helper1!$O$36:$P$48,2,0)))</f>
        <v/>
      </c>
      <c r="M52" t="str">
        <f t="shared" si="2"/>
        <v/>
      </c>
      <c r="N52" t="str">
        <f t="shared" si="3"/>
        <v/>
      </c>
      <c r="O52" t="str">
        <f t="shared" si="4"/>
        <v/>
      </c>
    </row>
    <row r="53" spans="1:15">
      <c r="A53" t="str">
        <f>IF('ATP Pos'!A53="","",LEFT('ATP Pos'!A53,B53-1))</f>
        <v/>
      </c>
      <c r="B53" t="str">
        <f>IF('ATP Pos'!A53="","",SEARCH("_",'ATP Pos'!A53,1))</f>
        <v/>
      </c>
      <c r="C53" t="str">
        <f>IF(A53="","",IF('ATP Pos'!E53="-","",IF('ATP Pos'!E53&gt;0,"Buy",IF('ATP Pos'!E53&lt;0,"Sell"))))</f>
        <v/>
      </c>
      <c r="D53" t="str">
        <f>IF(A53="","",IF('ATP Pos'!E53="-","",IF('ATP Pos'!E53&gt;0,'ATP Pos'!E53,IF('ATP Pos'!E53&lt;0,-'ATP Pos'!E53))))</f>
        <v/>
      </c>
      <c r="E53" t="str">
        <f>IF(A53="","",LEFT('ATP Pos'!B53,F53-1))</f>
        <v/>
      </c>
      <c r="F53" t="str">
        <f>IF(A53="","",SEARCH("-",'ATP Pos'!B53,1))</f>
        <v/>
      </c>
      <c r="G53" t="str">
        <f>IF(A53="","",RIGHT('ATP Pos'!B53,3))</f>
        <v/>
      </c>
      <c r="H53" t="str">
        <f t="shared" si="0"/>
        <v/>
      </c>
      <c r="I53" t="str">
        <f t="shared" si="1"/>
        <v/>
      </c>
      <c r="J53" t="str">
        <f>IF(H53="","",VLOOKUP(I53,表3_3[],2,0))</f>
        <v/>
      </c>
      <c r="K53" t="str">
        <f>IF(H53="","",VLOOKUP(I53,表3_3[],3,0))</f>
        <v/>
      </c>
      <c r="L53" t="str">
        <f>IF(A53="","",IF(G53="LME","",VLOOKUP(RIGHT(E53,2),Helper1!$O$36:$P$48,2,0)))</f>
        <v/>
      </c>
      <c r="M53" t="str">
        <f t="shared" si="2"/>
        <v/>
      </c>
      <c r="N53" t="str">
        <f t="shared" si="3"/>
        <v/>
      </c>
      <c r="O53" t="str">
        <f t="shared" si="4"/>
        <v/>
      </c>
    </row>
    <row r="54" spans="1:15">
      <c r="A54" t="str">
        <f>IF('ATP Pos'!A54="","",LEFT('ATP Pos'!A54,B54-1))</f>
        <v/>
      </c>
      <c r="B54" t="str">
        <f>IF('ATP Pos'!A54="","",SEARCH("_",'ATP Pos'!A54,1))</f>
        <v/>
      </c>
      <c r="C54" t="str">
        <f>IF(A54="","",IF('ATP Pos'!E54="-","",IF('ATP Pos'!E54&gt;0,"Buy",IF('ATP Pos'!E54&lt;0,"Sell"))))</f>
        <v/>
      </c>
      <c r="D54" t="str">
        <f>IF(A54="","",IF('ATP Pos'!E54="-","",IF('ATP Pos'!E54&gt;0,'ATP Pos'!E54,IF('ATP Pos'!E54&lt;0,-'ATP Pos'!E54))))</f>
        <v/>
      </c>
      <c r="E54" t="str">
        <f>IF(A54="","",LEFT('ATP Pos'!B54,F54-1))</f>
        <v/>
      </c>
      <c r="F54" t="str">
        <f>IF(A54="","",SEARCH("-",'ATP Pos'!B54,1))</f>
        <v/>
      </c>
      <c r="G54" t="str">
        <f>IF(A54="","",RIGHT('ATP Pos'!B54,3))</f>
        <v/>
      </c>
      <c r="H54" t="str">
        <f t="shared" si="0"/>
        <v/>
      </c>
      <c r="I54" t="str">
        <f t="shared" si="1"/>
        <v/>
      </c>
      <c r="J54" t="str">
        <f>IF(H54="","",VLOOKUP(I54,表3_3[],2,0))</f>
        <v/>
      </c>
      <c r="K54" t="str">
        <f>IF(H54="","",VLOOKUP(I54,表3_3[],3,0))</f>
        <v/>
      </c>
      <c r="L54" t="str">
        <f>IF(A54="","",IF(G54="LME","",VLOOKUP(RIGHT(E54,2),Helper1!$O$36:$P$48,2,0)))</f>
        <v/>
      </c>
      <c r="M54" t="str">
        <f t="shared" si="2"/>
        <v/>
      </c>
      <c r="N54" t="str">
        <f t="shared" si="3"/>
        <v/>
      </c>
      <c r="O54" t="str">
        <f t="shared" si="4"/>
        <v/>
      </c>
    </row>
    <row r="55" spans="1:15">
      <c r="A55" t="str">
        <f>IF('ATP Pos'!A55="","",LEFT('ATP Pos'!A55,B55-1))</f>
        <v/>
      </c>
      <c r="B55" t="str">
        <f>IF('ATP Pos'!A55="","",SEARCH("_",'ATP Pos'!A55,1))</f>
        <v/>
      </c>
      <c r="C55" t="str">
        <f>IF(A55="","",IF('ATP Pos'!E55="-","",IF('ATP Pos'!E55&gt;0,"Buy",IF('ATP Pos'!E55&lt;0,"Sell"))))</f>
        <v/>
      </c>
      <c r="D55" t="str">
        <f>IF(A55="","",IF('ATP Pos'!E55="-","",IF('ATP Pos'!E55&gt;0,'ATP Pos'!E55,IF('ATP Pos'!E55&lt;0,-'ATP Pos'!E55))))</f>
        <v/>
      </c>
      <c r="E55" t="str">
        <f>IF(A55="","",LEFT('ATP Pos'!B55,F55-1))</f>
        <v/>
      </c>
      <c r="F55" t="str">
        <f>IF(A55="","",SEARCH("-",'ATP Pos'!B55,1))</f>
        <v/>
      </c>
      <c r="G55" t="str">
        <f>IF(A55="","",RIGHT('ATP Pos'!B55,3))</f>
        <v/>
      </c>
      <c r="H55" t="str">
        <f t="shared" si="0"/>
        <v/>
      </c>
      <c r="I55" t="str">
        <f t="shared" si="1"/>
        <v/>
      </c>
      <c r="J55" t="str">
        <f>IF(H55="","",VLOOKUP(I55,表3_3[],2,0))</f>
        <v/>
      </c>
      <c r="K55" t="str">
        <f>IF(H55="","",VLOOKUP(I55,表3_3[],3,0))</f>
        <v/>
      </c>
      <c r="L55" t="str">
        <f>IF(A55="","",IF(G55="LME","",VLOOKUP(RIGHT(E55,2),Helper1!$O$36:$P$48,2,0)))</f>
        <v/>
      </c>
      <c r="M55" t="str">
        <f t="shared" si="2"/>
        <v/>
      </c>
      <c r="N55" t="str">
        <f t="shared" si="3"/>
        <v/>
      </c>
      <c r="O55" t="str">
        <f t="shared" si="4"/>
        <v/>
      </c>
    </row>
    <row r="56" spans="1:15">
      <c r="A56" t="str">
        <f>IF('ATP Pos'!A56="","",LEFT('ATP Pos'!A56,B56-1))</f>
        <v/>
      </c>
      <c r="B56" t="str">
        <f>IF('ATP Pos'!A56="","",SEARCH("_",'ATP Pos'!A56,1))</f>
        <v/>
      </c>
      <c r="C56" t="str">
        <f>IF(A56="","",IF('ATP Pos'!E56="-","",IF('ATP Pos'!E56&gt;0,"Buy",IF('ATP Pos'!E56&lt;0,"Sell"))))</f>
        <v/>
      </c>
      <c r="D56" t="str">
        <f>IF(A56="","",IF('ATP Pos'!E56="-","",IF('ATP Pos'!E56&gt;0,'ATP Pos'!E56,IF('ATP Pos'!E56&lt;0,-'ATP Pos'!E56))))</f>
        <v/>
      </c>
      <c r="E56" t="str">
        <f>IF(A56="","",LEFT('ATP Pos'!B56,F56-1))</f>
        <v/>
      </c>
      <c r="F56" t="str">
        <f>IF(A56="","",SEARCH("-",'ATP Pos'!B56,1))</f>
        <v/>
      </c>
      <c r="G56" t="str">
        <f>IF(A56="","",RIGHT('ATP Pos'!B56,3))</f>
        <v/>
      </c>
      <c r="H56" t="str">
        <f t="shared" si="0"/>
        <v/>
      </c>
      <c r="I56" t="str">
        <f t="shared" si="1"/>
        <v/>
      </c>
      <c r="J56" t="str">
        <f>IF(H56="","",VLOOKUP(I56,表3_3[],2,0))</f>
        <v/>
      </c>
      <c r="K56" t="str">
        <f>IF(H56="","",VLOOKUP(I56,表3_3[],3,0))</f>
        <v/>
      </c>
      <c r="L56" t="str">
        <f>IF(A56="","",IF(G56="LME","",VLOOKUP(RIGHT(E56,2),Helper1!$O$36:$P$48,2,0)))</f>
        <v/>
      </c>
      <c r="M56" t="str">
        <f t="shared" si="2"/>
        <v/>
      </c>
      <c r="N56" t="str">
        <f t="shared" si="3"/>
        <v/>
      </c>
      <c r="O56" t="str">
        <f t="shared" si="4"/>
        <v/>
      </c>
    </row>
    <row r="57" spans="1:15">
      <c r="A57" t="str">
        <f>IF('ATP Pos'!A57="","",LEFT('ATP Pos'!A57,B57-1))</f>
        <v/>
      </c>
      <c r="B57" t="str">
        <f>IF('ATP Pos'!A57="","",SEARCH("_",'ATP Pos'!A57,1))</f>
        <v/>
      </c>
      <c r="C57" t="str">
        <f>IF(A57="","",IF('ATP Pos'!E57="-","",IF('ATP Pos'!E57&gt;0,"Buy",IF('ATP Pos'!E57&lt;0,"Sell"))))</f>
        <v/>
      </c>
      <c r="D57" t="str">
        <f>IF(A57="","",IF('ATP Pos'!E57="-","",IF('ATP Pos'!E57&gt;0,'ATP Pos'!E57,IF('ATP Pos'!E57&lt;0,-'ATP Pos'!E57))))</f>
        <v/>
      </c>
      <c r="E57" t="str">
        <f>IF(A57="","",LEFT('ATP Pos'!B57,F57-1))</f>
        <v/>
      </c>
      <c r="F57" t="str">
        <f>IF(A57="","",SEARCH("-",'ATP Pos'!B57,1))</f>
        <v/>
      </c>
      <c r="G57" t="str">
        <f>IF(A57="","",RIGHT('ATP Pos'!B57,3))</f>
        <v/>
      </c>
      <c r="H57" t="str">
        <f t="shared" si="0"/>
        <v/>
      </c>
      <c r="I57" t="str">
        <f t="shared" si="1"/>
        <v/>
      </c>
      <c r="J57" t="str">
        <f>IF(H57="","",VLOOKUP(I57,表3_3[],2,0))</f>
        <v/>
      </c>
      <c r="K57" t="str">
        <f>IF(H57="","",VLOOKUP(I57,表3_3[],3,0))</f>
        <v/>
      </c>
      <c r="L57" t="str">
        <f>IF(A57="","",IF(G57="LME","",VLOOKUP(RIGHT(E57,2),Helper1!$O$36:$P$48,2,0)))</f>
        <v/>
      </c>
      <c r="M57" t="str">
        <f t="shared" si="2"/>
        <v/>
      </c>
      <c r="N57" t="str">
        <f t="shared" si="3"/>
        <v/>
      </c>
      <c r="O57" t="str">
        <f t="shared" si="4"/>
        <v/>
      </c>
    </row>
    <row r="58" spans="1:15">
      <c r="A58" t="str">
        <f>IF('ATP Pos'!A58="","",LEFT('ATP Pos'!A58,B58-1))</f>
        <v/>
      </c>
      <c r="B58" t="str">
        <f>IF('ATP Pos'!A58="","",SEARCH("_",'ATP Pos'!A58,1))</f>
        <v/>
      </c>
      <c r="C58" t="str">
        <f>IF(A58="","",IF('ATP Pos'!E58="-","",IF('ATP Pos'!E58&gt;0,"Buy",IF('ATP Pos'!E58&lt;0,"Sell"))))</f>
        <v/>
      </c>
      <c r="D58" t="str">
        <f>IF(A58="","",IF('ATP Pos'!E58="-","",IF('ATP Pos'!E58&gt;0,'ATP Pos'!E58,IF('ATP Pos'!E58&lt;0,-'ATP Pos'!E58))))</f>
        <v/>
      </c>
      <c r="E58" t="str">
        <f>IF(A58="","",LEFT('ATP Pos'!B58,F58-1))</f>
        <v/>
      </c>
      <c r="F58" t="str">
        <f>IF(A58="","",SEARCH("-",'ATP Pos'!B58,1))</f>
        <v/>
      </c>
      <c r="G58" t="str">
        <f>IF(A58="","",RIGHT('ATP Pos'!B58,3))</f>
        <v/>
      </c>
      <c r="H58" t="str">
        <f t="shared" si="0"/>
        <v/>
      </c>
      <c r="I58" t="str">
        <f t="shared" si="1"/>
        <v/>
      </c>
      <c r="J58" t="str">
        <f>IF(H58="","",VLOOKUP(I58,表3_3[],2,0))</f>
        <v/>
      </c>
      <c r="K58" t="str">
        <f>IF(H58="","",VLOOKUP(I58,表3_3[],3,0))</f>
        <v/>
      </c>
      <c r="L58" t="str">
        <f>IF(A58="","",IF(G58="LME","",VLOOKUP(RIGHT(E58,2),Helper1!$O$36:$P$48,2,0)))</f>
        <v/>
      </c>
      <c r="M58" t="str">
        <f t="shared" si="2"/>
        <v/>
      </c>
      <c r="N58" t="str">
        <f t="shared" si="3"/>
        <v/>
      </c>
      <c r="O58" t="str">
        <f t="shared" si="4"/>
        <v/>
      </c>
    </row>
    <row r="59" spans="1:15">
      <c r="A59" t="str">
        <f>IF('ATP Pos'!A59="","",LEFT('ATP Pos'!A59,B59-1))</f>
        <v/>
      </c>
      <c r="B59" t="str">
        <f>IF('ATP Pos'!A59="","",SEARCH("_",'ATP Pos'!A59,1))</f>
        <v/>
      </c>
      <c r="C59" t="str">
        <f>IF(A59="","",IF('ATP Pos'!E59="-","",IF('ATP Pos'!E59&gt;0,"Buy",IF('ATP Pos'!E59&lt;0,"Sell"))))</f>
        <v/>
      </c>
      <c r="D59" t="str">
        <f>IF(A59="","",IF('ATP Pos'!E59="-","",IF('ATP Pos'!E59&gt;0,'ATP Pos'!E59,IF('ATP Pos'!E59&lt;0,-'ATP Pos'!E59))))</f>
        <v/>
      </c>
      <c r="E59" t="str">
        <f>IF(A59="","",LEFT('ATP Pos'!B59,F59-1))</f>
        <v/>
      </c>
      <c r="F59" t="str">
        <f>IF(A59="","",SEARCH("-",'ATP Pos'!B59,1))</f>
        <v/>
      </c>
      <c r="G59" t="str">
        <f>IF(A59="","",RIGHT('ATP Pos'!B59,3))</f>
        <v/>
      </c>
      <c r="H59" t="str">
        <f t="shared" si="0"/>
        <v/>
      </c>
      <c r="I59" t="str">
        <f t="shared" si="1"/>
        <v/>
      </c>
      <c r="J59" t="str">
        <f>IF(H59="","",VLOOKUP(I59,表3_3[],2,0))</f>
        <v/>
      </c>
      <c r="K59" t="str">
        <f>IF(H59="","",VLOOKUP(I59,表3_3[],3,0))</f>
        <v/>
      </c>
      <c r="L59" t="str">
        <f>IF(A59="","",IF(G59="LME","",VLOOKUP(RIGHT(E59,2),Helper1!$O$36:$P$48,2,0)))</f>
        <v/>
      </c>
      <c r="M59" t="str">
        <f t="shared" si="2"/>
        <v/>
      </c>
      <c r="N59" t="str">
        <f t="shared" si="3"/>
        <v/>
      </c>
      <c r="O59" t="str">
        <f t="shared" si="4"/>
        <v/>
      </c>
    </row>
    <row r="60" spans="1:15">
      <c r="A60" t="str">
        <f>IF('ATP Pos'!A60="","",LEFT('ATP Pos'!A60,B60-1))</f>
        <v/>
      </c>
      <c r="B60" t="str">
        <f>IF('ATP Pos'!A60="","",SEARCH("_",'ATP Pos'!A60,1))</f>
        <v/>
      </c>
      <c r="C60" t="str">
        <f>IF(A60="","",IF('ATP Pos'!E60="-","",IF('ATP Pos'!E60&gt;0,"Buy",IF('ATP Pos'!E60&lt;0,"Sell"))))</f>
        <v/>
      </c>
      <c r="D60" t="str">
        <f>IF(A60="","",IF('ATP Pos'!E60="-","",IF('ATP Pos'!E60&gt;0,'ATP Pos'!E60,IF('ATP Pos'!E60&lt;0,-'ATP Pos'!E60))))</f>
        <v/>
      </c>
      <c r="E60" t="str">
        <f>IF(A60="","",LEFT('ATP Pos'!B60,F60-1))</f>
        <v/>
      </c>
      <c r="F60" t="str">
        <f>IF(A60="","",SEARCH("-",'ATP Pos'!B60,1))</f>
        <v/>
      </c>
      <c r="G60" t="str">
        <f>IF(A60="","",RIGHT('ATP Pos'!B60,3))</f>
        <v/>
      </c>
      <c r="H60" t="str">
        <f t="shared" si="0"/>
        <v/>
      </c>
      <c r="I60" t="str">
        <f t="shared" si="1"/>
        <v/>
      </c>
      <c r="J60" t="str">
        <f>IF(H60="","",VLOOKUP(I60,表3_3[],2,0))</f>
        <v/>
      </c>
      <c r="K60" t="str">
        <f>IF(H60="","",VLOOKUP(I60,表3_3[],3,0))</f>
        <v/>
      </c>
      <c r="L60" t="str">
        <f>IF(A60="","",IF(G60="LME","",VLOOKUP(RIGHT(E60,2),Helper1!$O$36:$P$48,2,0)))</f>
        <v/>
      </c>
      <c r="M60" t="str">
        <f t="shared" si="2"/>
        <v/>
      </c>
      <c r="N60" t="str">
        <f t="shared" si="3"/>
        <v/>
      </c>
      <c r="O60" t="str">
        <f t="shared" si="4"/>
        <v/>
      </c>
    </row>
    <row r="61" spans="1:15">
      <c r="A61" t="str">
        <f>IF('ATP Pos'!A61="","",LEFT('ATP Pos'!A61,B61-1))</f>
        <v/>
      </c>
      <c r="B61" t="str">
        <f>IF('ATP Pos'!A61="","",SEARCH("_",'ATP Pos'!A61,1))</f>
        <v/>
      </c>
      <c r="C61" t="str">
        <f>IF(A61="","",IF('ATP Pos'!E61="-","",IF('ATP Pos'!E61&gt;0,"Buy",IF('ATP Pos'!E61&lt;0,"Sell"))))</f>
        <v/>
      </c>
      <c r="D61" t="str">
        <f>IF(A61="","",IF('ATP Pos'!E61="-","",IF('ATP Pos'!E61&gt;0,'ATP Pos'!E61,IF('ATP Pos'!E61&lt;0,-'ATP Pos'!E61))))</f>
        <v/>
      </c>
      <c r="E61" t="str">
        <f>IF(A61="","",LEFT('ATP Pos'!B61,F61-1))</f>
        <v/>
      </c>
      <c r="F61" t="str">
        <f>IF(A61="","",SEARCH("-",'ATP Pos'!B61,1))</f>
        <v/>
      </c>
      <c r="G61" t="str">
        <f>IF(A61="","",RIGHT('ATP Pos'!B61,3))</f>
        <v/>
      </c>
      <c r="H61" t="str">
        <f t="shared" si="0"/>
        <v/>
      </c>
      <c r="I61" t="str">
        <f t="shared" si="1"/>
        <v/>
      </c>
      <c r="J61" t="str">
        <f>IF(H61="","",VLOOKUP(I61,表3_3[],2,0))</f>
        <v/>
      </c>
      <c r="K61" t="str">
        <f>IF(H61="","",VLOOKUP(I61,表3_3[],3,0))</f>
        <v/>
      </c>
      <c r="L61" t="str">
        <f>IF(A61="","",IF(G61="LME","",VLOOKUP(RIGHT(E61,2),Helper1!$O$36:$P$48,2,0)))</f>
        <v/>
      </c>
      <c r="M61" t="str">
        <f t="shared" si="2"/>
        <v/>
      </c>
      <c r="N61" t="str">
        <f t="shared" si="3"/>
        <v/>
      </c>
      <c r="O61" t="str">
        <f t="shared" si="4"/>
        <v/>
      </c>
    </row>
    <row r="62" spans="1:15">
      <c r="A62" t="str">
        <f>IF('ATP Pos'!A62="","",LEFT('ATP Pos'!A62,B62-1))</f>
        <v/>
      </c>
      <c r="B62" t="str">
        <f>IF('ATP Pos'!A62="","",SEARCH("_",'ATP Pos'!A62,1))</f>
        <v/>
      </c>
      <c r="C62" t="str">
        <f>IF(A62="","",IF('ATP Pos'!E62="-","",IF('ATP Pos'!E62&gt;0,"Buy",IF('ATP Pos'!E62&lt;0,"Sell"))))</f>
        <v/>
      </c>
      <c r="D62" t="str">
        <f>IF(A62="","",IF('ATP Pos'!E62="-","",IF('ATP Pos'!E62&gt;0,'ATP Pos'!E62,IF('ATP Pos'!E62&lt;0,-'ATP Pos'!E62))))</f>
        <v/>
      </c>
      <c r="E62" t="str">
        <f>IF(A62="","",LEFT('ATP Pos'!B62,F62-1))</f>
        <v/>
      </c>
      <c r="F62" t="str">
        <f>IF(A62="","",SEARCH("-",'ATP Pos'!B62,1))</f>
        <v/>
      </c>
      <c r="G62" t="str">
        <f>IF(A62="","",RIGHT('ATP Pos'!B62,3))</f>
        <v/>
      </c>
      <c r="H62" t="str">
        <f t="shared" si="0"/>
        <v/>
      </c>
      <c r="I62" t="str">
        <f t="shared" si="1"/>
        <v/>
      </c>
      <c r="J62" t="str">
        <f>IF(H62="","",VLOOKUP(I62,表3_3[],2,0))</f>
        <v/>
      </c>
      <c r="K62" t="str">
        <f>IF(H62="","",VLOOKUP(I62,表3_3[],3,0))</f>
        <v/>
      </c>
      <c r="L62" t="str">
        <f>IF(A62="","",IF(G62="LME","",VLOOKUP(RIGHT(E62,2),Helper1!$O$36:$P$48,2,0)))</f>
        <v/>
      </c>
      <c r="M62" t="str">
        <f t="shared" si="2"/>
        <v/>
      </c>
      <c r="N62" t="str">
        <f t="shared" si="3"/>
        <v/>
      </c>
      <c r="O62" t="str">
        <f t="shared" si="4"/>
        <v/>
      </c>
    </row>
    <row r="63" spans="1:15">
      <c r="A63" t="str">
        <f>IF('ATP Pos'!A63="","",LEFT('ATP Pos'!A63,B63-1))</f>
        <v/>
      </c>
      <c r="B63" t="str">
        <f>IF('ATP Pos'!A63="","",SEARCH("_",'ATP Pos'!A63,1))</f>
        <v/>
      </c>
      <c r="C63" t="str">
        <f>IF(A63="","",IF('ATP Pos'!E63="-","",IF('ATP Pos'!E63&gt;0,"Buy",IF('ATP Pos'!E63&lt;0,"Sell"))))</f>
        <v/>
      </c>
      <c r="D63" t="str">
        <f>IF(A63="","",IF('ATP Pos'!E63="-","",IF('ATP Pos'!E63&gt;0,'ATP Pos'!E63,IF('ATP Pos'!E63&lt;0,-'ATP Pos'!E63))))</f>
        <v/>
      </c>
      <c r="E63" t="str">
        <f>IF(A63="","",LEFT('ATP Pos'!B63,F63-1))</f>
        <v/>
      </c>
      <c r="F63" t="str">
        <f>IF(A63="","",SEARCH("-",'ATP Pos'!B63,1))</f>
        <v/>
      </c>
      <c r="G63" t="str">
        <f>IF(A63="","",RIGHT('ATP Pos'!B63,3))</f>
        <v/>
      </c>
      <c r="H63" t="str">
        <f t="shared" si="0"/>
        <v/>
      </c>
      <c r="I63" t="str">
        <f t="shared" si="1"/>
        <v/>
      </c>
      <c r="J63" t="str">
        <f>IF(H63="","",VLOOKUP(I63,表3_3[],2,0))</f>
        <v/>
      </c>
      <c r="K63" t="str">
        <f>IF(H63="","",VLOOKUP(I63,表3_3[],3,0))</f>
        <v/>
      </c>
      <c r="L63" t="str">
        <f>IF(A63="","",IF(G63="LME","",VLOOKUP(RIGHT(E63,2),Helper1!$O$36:$P$48,2,0)))</f>
        <v/>
      </c>
      <c r="M63" t="str">
        <f t="shared" si="2"/>
        <v/>
      </c>
      <c r="N63" t="str">
        <f t="shared" si="3"/>
        <v/>
      </c>
      <c r="O63" t="str">
        <f t="shared" si="4"/>
        <v/>
      </c>
    </row>
    <row r="64" spans="1:15">
      <c r="A64" t="str">
        <f>IF('ATP Pos'!A64="","",LEFT('ATP Pos'!A64,B64-1))</f>
        <v/>
      </c>
      <c r="B64" t="str">
        <f>IF('ATP Pos'!A64="","",SEARCH("_",'ATP Pos'!A64,1))</f>
        <v/>
      </c>
      <c r="C64" t="str">
        <f>IF(A64="","",IF('ATP Pos'!E64="-","",IF('ATP Pos'!E64&gt;0,"Buy",IF('ATP Pos'!E64&lt;0,"Sell"))))</f>
        <v/>
      </c>
      <c r="D64" t="str">
        <f>IF(A64="","",IF('ATP Pos'!E64="-","",IF('ATP Pos'!E64&gt;0,'ATP Pos'!E64,IF('ATP Pos'!E64&lt;0,-'ATP Pos'!E64))))</f>
        <v/>
      </c>
      <c r="E64" t="str">
        <f>IF(A64="","",LEFT('ATP Pos'!B64,F64-1))</f>
        <v/>
      </c>
      <c r="F64" t="str">
        <f>IF(A64="","",SEARCH("-",'ATP Pos'!B64,1))</f>
        <v/>
      </c>
      <c r="G64" t="str">
        <f>IF(A64="","",RIGHT('ATP Pos'!B64,3))</f>
        <v/>
      </c>
      <c r="H64" t="str">
        <f t="shared" si="0"/>
        <v/>
      </c>
      <c r="I64" t="str">
        <f t="shared" si="1"/>
        <v/>
      </c>
      <c r="J64" t="str">
        <f>IF(H64="","",VLOOKUP(I64,表3_3[],2,0))</f>
        <v/>
      </c>
      <c r="K64" t="str">
        <f>IF(H64="","",VLOOKUP(I64,表3_3[],3,0))</f>
        <v/>
      </c>
      <c r="L64" t="str">
        <f>IF(A64="","",IF(G64="LME","",VLOOKUP(RIGHT(E64,2),Helper1!$O$36:$P$48,2,0)))</f>
        <v/>
      </c>
      <c r="M64" t="str">
        <f t="shared" si="2"/>
        <v/>
      </c>
      <c r="N64" t="str">
        <f t="shared" si="3"/>
        <v/>
      </c>
      <c r="O64" t="str">
        <f t="shared" si="4"/>
        <v/>
      </c>
    </row>
    <row r="65" spans="1:15">
      <c r="A65" t="str">
        <f>IF('ATP Pos'!A65="","",LEFT('ATP Pos'!A65,B65-1))</f>
        <v/>
      </c>
      <c r="B65" t="str">
        <f>IF('ATP Pos'!A65="","",SEARCH("_",'ATP Pos'!A65,1))</f>
        <v/>
      </c>
      <c r="C65" t="str">
        <f>IF(A65="","",IF('ATP Pos'!E65="-","",IF('ATP Pos'!E65&gt;0,"Buy",IF('ATP Pos'!E65&lt;0,"Sell"))))</f>
        <v/>
      </c>
      <c r="D65" t="str">
        <f>IF(A65="","",IF('ATP Pos'!E65="-","",IF('ATP Pos'!E65&gt;0,'ATP Pos'!E65,IF('ATP Pos'!E65&lt;0,-'ATP Pos'!E65))))</f>
        <v/>
      </c>
      <c r="E65" t="str">
        <f>IF(A65="","",LEFT('ATP Pos'!B65,F65-1))</f>
        <v/>
      </c>
      <c r="F65" t="str">
        <f>IF(A65="","",SEARCH("-",'ATP Pos'!B65,1))</f>
        <v/>
      </c>
      <c r="G65" t="str">
        <f>IF(A65="","",RIGHT('ATP Pos'!B65,3))</f>
        <v/>
      </c>
      <c r="H65" t="str">
        <f t="shared" si="0"/>
        <v/>
      </c>
      <c r="I65" t="str">
        <f t="shared" si="1"/>
        <v/>
      </c>
      <c r="J65" t="str">
        <f>IF(H65="","",VLOOKUP(I65,表3_3[],2,0))</f>
        <v/>
      </c>
      <c r="K65" t="str">
        <f>IF(H65="","",VLOOKUP(I65,表3_3[],3,0))</f>
        <v/>
      </c>
      <c r="L65" t="str">
        <f>IF(A65="","",IF(G65="LME","",VLOOKUP(RIGHT(E65,2),Helper1!$O$36:$P$48,2,0)))</f>
        <v/>
      </c>
      <c r="M65" t="str">
        <f t="shared" si="2"/>
        <v/>
      </c>
      <c r="N65" t="str">
        <f t="shared" si="3"/>
        <v/>
      </c>
      <c r="O65" t="str">
        <f t="shared" si="4"/>
        <v/>
      </c>
    </row>
    <row r="66" spans="1:15">
      <c r="A66" t="str">
        <f>IF('ATP Pos'!A66="","",LEFT('ATP Pos'!A66,B66-1))</f>
        <v/>
      </c>
      <c r="B66" t="str">
        <f>IF('ATP Pos'!A66="","",SEARCH("_",'ATP Pos'!A66,1))</f>
        <v/>
      </c>
      <c r="C66" t="str">
        <f>IF(A66="","",IF('ATP Pos'!E66="-","",IF('ATP Pos'!E66&gt;0,"Buy",IF('ATP Pos'!E66&lt;0,"Sell"))))</f>
        <v/>
      </c>
      <c r="D66" t="str">
        <f>IF(A66="","",IF('ATP Pos'!E66="-","",IF('ATP Pos'!E66&gt;0,'ATP Pos'!E66,IF('ATP Pos'!E66&lt;0,-'ATP Pos'!E66))))</f>
        <v/>
      </c>
      <c r="E66" t="str">
        <f>IF(A66="","",LEFT('ATP Pos'!B66,F66-1))</f>
        <v/>
      </c>
      <c r="F66" t="str">
        <f>IF(A66="","",SEARCH("-",'ATP Pos'!B66,1))</f>
        <v/>
      </c>
      <c r="G66" t="str">
        <f>IF(A66="","",RIGHT('ATP Pos'!B66,3))</f>
        <v/>
      </c>
      <c r="H66" t="str">
        <f t="shared" si="0"/>
        <v/>
      </c>
      <c r="I66" t="str">
        <f t="shared" si="1"/>
        <v/>
      </c>
      <c r="J66" t="str">
        <f>IF(H66="","",VLOOKUP(I66,表3_3[],2,0))</f>
        <v/>
      </c>
      <c r="K66" t="str">
        <f>IF(H66="","",VLOOKUP(I66,表3_3[],3,0))</f>
        <v/>
      </c>
      <c r="L66" t="str">
        <f>IF(A66="","",IF(G66="LME","",VLOOKUP(RIGHT(E66,2),Helper1!$O$36:$P$48,2,0)))</f>
        <v/>
      </c>
      <c r="M66" t="str">
        <f t="shared" si="2"/>
        <v/>
      </c>
      <c r="N66" t="str">
        <f t="shared" si="3"/>
        <v/>
      </c>
      <c r="O66" t="str">
        <f t="shared" si="4"/>
        <v/>
      </c>
    </row>
    <row r="67" spans="1:15">
      <c r="A67" t="str">
        <f>IF('ATP Pos'!A67="","",LEFT('ATP Pos'!A67,B67-1))</f>
        <v/>
      </c>
      <c r="B67" t="str">
        <f>IF('ATP Pos'!A67="","",SEARCH("_",'ATP Pos'!A67,1))</f>
        <v/>
      </c>
      <c r="C67" t="str">
        <f>IF(A67="","",IF('ATP Pos'!E67="-","",IF('ATP Pos'!E67&gt;0,"Buy",IF('ATP Pos'!E67&lt;0,"Sell"))))</f>
        <v/>
      </c>
      <c r="D67" t="str">
        <f>IF(A67="","",IF('ATP Pos'!E67="-","",IF('ATP Pos'!E67&gt;0,'ATP Pos'!E67,IF('ATP Pos'!E67&lt;0,-'ATP Pos'!E67))))</f>
        <v/>
      </c>
      <c r="E67" t="str">
        <f>IF(A67="","",LEFT('ATP Pos'!B67,F67-1))</f>
        <v/>
      </c>
      <c r="F67" t="str">
        <f>IF(A67="","",SEARCH("-",'ATP Pos'!B67,1))</f>
        <v/>
      </c>
      <c r="G67" t="str">
        <f>IF(A67="","",RIGHT('ATP Pos'!B67,3))</f>
        <v/>
      </c>
      <c r="H67" t="str">
        <f t="shared" ref="H67:H130" si="5">IF(A67="","",IF(OR(G67="OSE",G67="BMD",,G67="EUREX",G67="SGX",G67="LME",G67="tocom",G67="APEX",G67="cfe",G67="EUX",AND(G67="ice",I67="gls")),G67,""))</f>
        <v/>
      </c>
      <c r="I67" t="str">
        <f t="shared" ref="I67:I130" si="6">IF(A67="","",IF(G67="LME",LEFT(E67,LEN(E67)-6),LEFT(E67,LEN(E67)-4)))</f>
        <v/>
      </c>
      <c r="J67" t="str">
        <f>IF(H67="","",VLOOKUP(I67,表3_3[],2,0))</f>
        <v/>
      </c>
      <c r="K67" t="str">
        <f>IF(H67="","",VLOOKUP(I67,表3_3[],3,0))</f>
        <v/>
      </c>
      <c r="L67" t="str">
        <f>IF(A67="","",IF(G67="LME","",VLOOKUP(RIGHT(E67,2),Helper1!$O$36:$P$48,2,0)))</f>
        <v/>
      </c>
      <c r="M67" t="str">
        <f t="shared" ref="M67:M130" si="7">IF(A67="","",IF(G67="LME","",20&amp;MID(E67,LEN(I67)+1,2)))</f>
        <v/>
      </c>
      <c r="N67" t="str">
        <f t="shared" ref="N67:N130" si="8">IF(A67="","",IF(G67="LME",20&amp;RIGHT(E67,6),""))</f>
        <v/>
      </c>
      <c r="O67" t="str">
        <f t="shared" ref="O67:O130" si="9">IF(H67="","",IF(G67="LME",G67&amp;"-"&amp;K67&amp;"-"&amp;N67,L67&amp;"-"&amp;M67&amp;"-"&amp;K67))</f>
        <v/>
      </c>
    </row>
    <row r="68" spans="1:15">
      <c r="A68" t="str">
        <f>IF('ATP Pos'!A68="","",LEFT('ATP Pos'!A68,B68-1))</f>
        <v/>
      </c>
      <c r="B68" t="str">
        <f>IF('ATP Pos'!A68="","",SEARCH("_",'ATP Pos'!A68,1))</f>
        <v/>
      </c>
      <c r="C68" t="str">
        <f>IF(A68="","",IF('ATP Pos'!E68="-","",IF('ATP Pos'!E68&gt;0,"Buy",IF('ATP Pos'!E68&lt;0,"Sell"))))</f>
        <v/>
      </c>
      <c r="D68" t="str">
        <f>IF(A68="","",IF('ATP Pos'!E68="-","",IF('ATP Pos'!E68&gt;0,'ATP Pos'!E68,IF('ATP Pos'!E68&lt;0,-'ATP Pos'!E68))))</f>
        <v/>
      </c>
      <c r="E68" t="str">
        <f>IF(A68="","",LEFT('ATP Pos'!B68,F68-1))</f>
        <v/>
      </c>
      <c r="F68" t="str">
        <f>IF(A68="","",SEARCH("-",'ATP Pos'!B68,1))</f>
        <v/>
      </c>
      <c r="G68" t="str">
        <f>IF(A68="","",RIGHT('ATP Pos'!B68,3))</f>
        <v/>
      </c>
      <c r="H68" t="str">
        <f t="shared" si="5"/>
        <v/>
      </c>
      <c r="I68" t="str">
        <f t="shared" si="6"/>
        <v/>
      </c>
      <c r="J68" t="str">
        <f>IF(H68="","",VLOOKUP(I68,表3_3[],2,0))</f>
        <v/>
      </c>
      <c r="K68" t="str">
        <f>IF(H68="","",VLOOKUP(I68,表3_3[],3,0))</f>
        <v/>
      </c>
      <c r="L68" t="str">
        <f>IF(A68="","",IF(G68="LME","",VLOOKUP(RIGHT(E68,2),Helper1!$O$36:$P$48,2,0)))</f>
        <v/>
      </c>
      <c r="M68" t="str">
        <f t="shared" si="7"/>
        <v/>
      </c>
      <c r="N68" t="str">
        <f t="shared" si="8"/>
        <v/>
      </c>
      <c r="O68" t="str">
        <f t="shared" si="9"/>
        <v/>
      </c>
    </row>
    <row r="69" spans="1:15">
      <c r="A69" t="str">
        <f>IF('ATP Pos'!A69="","",LEFT('ATP Pos'!A69,B69-1))</f>
        <v/>
      </c>
      <c r="B69" t="str">
        <f>IF('ATP Pos'!A69="","",SEARCH("_",'ATP Pos'!A69,1))</f>
        <v/>
      </c>
      <c r="C69" t="str">
        <f>IF(A69="","",IF('ATP Pos'!E69="-","",IF('ATP Pos'!E69&gt;0,"Buy",IF('ATP Pos'!E69&lt;0,"Sell"))))</f>
        <v/>
      </c>
      <c r="D69" t="str">
        <f>IF(A69="","",IF('ATP Pos'!E69="-","",IF('ATP Pos'!E69&gt;0,'ATP Pos'!E69,IF('ATP Pos'!E69&lt;0,-'ATP Pos'!E69))))</f>
        <v/>
      </c>
      <c r="E69" t="str">
        <f>IF(A69="","",LEFT('ATP Pos'!B69,F69-1))</f>
        <v/>
      </c>
      <c r="F69" t="str">
        <f>IF(A69="","",SEARCH("-",'ATP Pos'!B69,1))</f>
        <v/>
      </c>
      <c r="G69" t="str">
        <f>IF(A69="","",RIGHT('ATP Pos'!B69,3))</f>
        <v/>
      </c>
      <c r="H69" t="str">
        <f t="shared" si="5"/>
        <v/>
      </c>
      <c r="I69" t="str">
        <f t="shared" si="6"/>
        <v/>
      </c>
      <c r="J69" t="str">
        <f>IF(H69="","",VLOOKUP(I69,表3_3[],2,0))</f>
        <v/>
      </c>
      <c r="K69" t="str">
        <f>IF(H69="","",VLOOKUP(I69,表3_3[],3,0))</f>
        <v/>
      </c>
      <c r="L69" t="str">
        <f>IF(A69="","",IF(G69="LME","",VLOOKUP(RIGHT(E69,2),Helper1!$O$36:$P$48,2,0)))</f>
        <v/>
      </c>
      <c r="M69" t="str">
        <f t="shared" si="7"/>
        <v/>
      </c>
      <c r="N69" t="str">
        <f t="shared" si="8"/>
        <v/>
      </c>
      <c r="O69" t="str">
        <f t="shared" si="9"/>
        <v/>
      </c>
    </row>
    <row r="70" spans="1:15">
      <c r="A70" t="str">
        <f>IF('ATP Pos'!A70="","",LEFT('ATP Pos'!A70,B70-1))</f>
        <v/>
      </c>
      <c r="B70" t="str">
        <f>IF('ATP Pos'!A70="","",SEARCH("_",'ATP Pos'!A70,1))</f>
        <v/>
      </c>
      <c r="C70" t="str">
        <f>IF(A70="","",IF('ATP Pos'!E70="-","",IF('ATP Pos'!E70&gt;0,"Buy",IF('ATP Pos'!E70&lt;0,"Sell"))))</f>
        <v/>
      </c>
      <c r="D70" t="str">
        <f>IF(A70="","",IF('ATP Pos'!E70="-","",IF('ATP Pos'!E70&gt;0,'ATP Pos'!E70,IF('ATP Pos'!E70&lt;0,-'ATP Pos'!E70))))</f>
        <v/>
      </c>
      <c r="E70" t="str">
        <f>IF(A70="","",LEFT('ATP Pos'!B70,F70-1))</f>
        <v/>
      </c>
      <c r="F70" t="str">
        <f>IF(A70="","",SEARCH("-",'ATP Pos'!B70,1))</f>
        <v/>
      </c>
      <c r="G70" t="str">
        <f>IF(A70="","",RIGHT('ATP Pos'!B70,3))</f>
        <v/>
      </c>
      <c r="H70" t="str">
        <f t="shared" si="5"/>
        <v/>
      </c>
      <c r="I70" t="str">
        <f t="shared" si="6"/>
        <v/>
      </c>
      <c r="J70" t="str">
        <f>IF(H70="","",VLOOKUP(I70,表3_3[],2,0))</f>
        <v/>
      </c>
      <c r="K70" t="str">
        <f>IF(H70="","",VLOOKUP(I70,表3_3[],3,0))</f>
        <v/>
      </c>
      <c r="L70" t="str">
        <f>IF(A70="","",IF(G70="LME","",VLOOKUP(RIGHT(E70,2),Helper1!$O$36:$P$48,2,0)))</f>
        <v/>
      </c>
      <c r="M70" t="str">
        <f t="shared" si="7"/>
        <v/>
      </c>
      <c r="N70" t="str">
        <f t="shared" si="8"/>
        <v/>
      </c>
      <c r="O70" t="str">
        <f t="shared" si="9"/>
        <v/>
      </c>
    </row>
    <row r="71" spans="1:15">
      <c r="A71" t="str">
        <f>IF('ATP Pos'!A71="","",LEFT('ATP Pos'!A71,B71-1))</f>
        <v/>
      </c>
      <c r="B71" t="str">
        <f>IF('ATP Pos'!A71="","",SEARCH("_",'ATP Pos'!A71,1))</f>
        <v/>
      </c>
      <c r="C71" t="str">
        <f>IF(A71="","",IF('ATP Pos'!E71="-","",IF('ATP Pos'!E71&gt;0,"Buy",IF('ATP Pos'!E71&lt;0,"Sell"))))</f>
        <v/>
      </c>
      <c r="D71" t="str">
        <f>IF(A71="","",IF('ATP Pos'!E71="-","",IF('ATP Pos'!E71&gt;0,'ATP Pos'!E71,IF('ATP Pos'!E71&lt;0,-'ATP Pos'!E71))))</f>
        <v/>
      </c>
      <c r="E71" t="str">
        <f>IF(A71="","",LEFT('ATP Pos'!B71,F71-1))</f>
        <v/>
      </c>
      <c r="F71" t="str">
        <f>IF(A71="","",SEARCH("-",'ATP Pos'!B71,1))</f>
        <v/>
      </c>
      <c r="G71" t="str">
        <f>IF(A71="","",RIGHT('ATP Pos'!B71,3))</f>
        <v/>
      </c>
      <c r="H71" t="str">
        <f t="shared" si="5"/>
        <v/>
      </c>
      <c r="I71" t="str">
        <f t="shared" si="6"/>
        <v/>
      </c>
      <c r="J71" t="str">
        <f>IF(H71="","",VLOOKUP(I71,表3_3[],2,0))</f>
        <v/>
      </c>
      <c r="K71" t="str">
        <f>IF(H71="","",VLOOKUP(I71,表3_3[],3,0))</f>
        <v/>
      </c>
      <c r="L71" t="str">
        <f>IF(A71="","",IF(G71="LME","",VLOOKUP(RIGHT(E71,2),Helper1!$O$36:$P$48,2,0)))</f>
        <v/>
      </c>
      <c r="M71" t="str">
        <f t="shared" si="7"/>
        <v/>
      </c>
      <c r="N71" t="str">
        <f t="shared" si="8"/>
        <v/>
      </c>
      <c r="O71" t="str">
        <f t="shared" si="9"/>
        <v/>
      </c>
    </row>
    <row r="72" spans="1:15">
      <c r="A72" t="str">
        <f>IF('ATP Pos'!A72="","",LEFT('ATP Pos'!A72,B72-1))</f>
        <v/>
      </c>
      <c r="B72" t="str">
        <f>IF('ATP Pos'!A72="","",SEARCH("_",'ATP Pos'!A72,1))</f>
        <v/>
      </c>
      <c r="C72" t="str">
        <f>IF(A72="","",IF('ATP Pos'!E72="-","",IF('ATP Pos'!E72&gt;0,"Buy",IF('ATP Pos'!E72&lt;0,"Sell"))))</f>
        <v/>
      </c>
      <c r="D72" t="str">
        <f>IF(A72="","",IF('ATP Pos'!E72="-","",IF('ATP Pos'!E72&gt;0,'ATP Pos'!E72,IF('ATP Pos'!E72&lt;0,-'ATP Pos'!E72))))</f>
        <v/>
      </c>
      <c r="E72" t="str">
        <f>IF(A72="","",LEFT('ATP Pos'!B72,F72-1))</f>
        <v/>
      </c>
      <c r="F72" t="str">
        <f>IF(A72="","",SEARCH("-",'ATP Pos'!B72,1))</f>
        <v/>
      </c>
      <c r="G72" t="str">
        <f>IF(A72="","",RIGHT('ATP Pos'!B72,3))</f>
        <v/>
      </c>
      <c r="H72" t="str">
        <f t="shared" si="5"/>
        <v/>
      </c>
      <c r="I72" t="str">
        <f t="shared" si="6"/>
        <v/>
      </c>
      <c r="J72" t="str">
        <f>IF(H72="","",VLOOKUP(I72,表3_3[],2,0))</f>
        <v/>
      </c>
      <c r="K72" t="str">
        <f>IF(H72="","",VLOOKUP(I72,表3_3[],3,0))</f>
        <v/>
      </c>
      <c r="L72" t="str">
        <f>IF(A72="","",IF(G72="LME","",VLOOKUP(RIGHT(E72,2),Helper1!$O$36:$P$48,2,0)))</f>
        <v/>
      </c>
      <c r="M72" t="str">
        <f t="shared" si="7"/>
        <v/>
      </c>
      <c r="N72" t="str">
        <f t="shared" si="8"/>
        <v/>
      </c>
      <c r="O72" t="str">
        <f t="shared" si="9"/>
        <v/>
      </c>
    </row>
    <row r="73" spans="1:15">
      <c r="A73" t="str">
        <f>IF('ATP Pos'!A73="","",LEFT('ATP Pos'!A73,B73-1))</f>
        <v/>
      </c>
      <c r="B73" t="str">
        <f>IF('ATP Pos'!A73="","",SEARCH("_",'ATP Pos'!A73,1))</f>
        <v/>
      </c>
      <c r="C73" t="str">
        <f>IF(A73="","",IF('ATP Pos'!E73="-","",IF('ATP Pos'!E73&gt;0,"Buy",IF('ATP Pos'!E73&lt;0,"Sell"))))</f>
        <v/>
      </c>
      <c r="D73" t="str">
        <f>IF(A73="","",IF('ATP Pos'!E73="-","",IF('ATP Pos'!E73&gt;0,'ATP Pos'!E73,IF('ATP Pos'!E73&lt;0,-'ATP Pos'!E73))))</f>
        <v/>
      </c>
      <c r="E73" t="str">
        <f>IF(A73="","",LEFT('ATP Pos'!B73,F73-1))</f>
        <v/>
      </c>
      <c r="F73" t="str">
        <f>IF(A73="","",SEARCH("-",'ATP Pos'!B73,1))</f>
        <v/>
      </c>
      <c r="G73" t="str">
        <f>IF(A73="","",RIGHT('ATP Pos'!B73,3))</f>
        <v/>
      </c>
      <c r="H73" t="str">
        <f t="shared" si="5"/>
        <v/>
      </c>
      <c r="I73" t="str">
        <f t="shared" si="6"/>
        <v/>
      </c>
      <c r="J73" t="str">
        <f>IF(H73="","",VLOOKUP(I73,表3_3[],2,0))</f>
        <v/>
      </c>
      <c r="K73" t="str">
        <f>IF(H73="","",VLOOKUP(I73,表3_3[],3,0))</f>
        <v/>
      </c>
      <c r="L73" t="str">
        <f>IF(A73="","",IF(G73="LME","",VLOOKUP(RIGHT(E73,2),Helper1!$O$36:$P$48,2,0)))</f>
        <v/>
      </c>
      <c r="M73" t="str">
        <f t="shared" si="7"/>
        <v/>
      </c>
      <c r="N73" t="str">
        <f t="shared" si="8"/>
        <v/>
      </c>
      <c r="O73" t="str">
        <f t="shared" si="9"/>
        <v/>
      </c>
    </row>
    <row r="74" spans="1:15">
      <c r="A74" t="str">
        <f>IF('ATP Pos'!A74="","",LEFT('ATP Pos'!A74,B74-1))</f>
        <v/>
      </c>
      <c r="B74" t="str">
        <f>IF('ATP Pos'!A74="","",SEARCH("_",'ATP Pos'!A74,1))</f>
        <v/>
      </c>
      <c r="C74" t="str">
        <f>IF(A74="","",IF('ATP Pos'!E74="-","",IF('ATP Pos'!E74&gt;0,"Buy",IF('ATP Pos'!E74&lt;0,"Sell"))))</f>
        <v/>
      </c>
      <c r="D74" t="str">
        <f>IF(A74="","",IF('ATP Pos'!E74="-","",IF('ATP Pos'!E74&gt;0,'ATP Pos'!E74,IF('ATP Pos'!E74&lt;0,-'ATP Pos'!E74))))</f>
        <v/>
      </c>
      <c r="E74" t="str">
        <f>IF(A74="","",LEFT('ATP Pos'!B74,F74-1))</f>
        <v/>
      </c>
      <c r="F74" t="str">
        <f>IF(A74="","",SEARCH("-",'ATP Pos'!B74,1))</f>
        <v/>
      </c>
      <c r="G74" t="str">
        <f>IF(A74="","",RIGHT('ATP Pos'!B74,3))</f>
        <v/>
      </c>
      <c r="H74" t="str">
        <f t="shared" si="5"/>
        <v/>
      </c>
      <c r="I74" t="str">
        <f t="shared" si="6"/>
        <v/>
      </c>
      <c r="J74" t="str">
        <f>IF(H74="","",VLOOKUP(I74,表3_3[],2,0))</f>
        <v/>
      </c>
      <c r="K74" t="str">
        <f>IF(H74="","",VLOOKUP(I74,表3_3[],3,0))</f>
        <v/>
      </c>
      <c r="L74" t="str">
        <f>IF(A74="","",IF(G74="LME","",VLOOKUP(RIGHT(E74,2),Helper1!$O$36:$P$48,2,0)))</f>
        <v/>
      </c>
      <c r="M74" t="str">
        <f t="shared" si="7"/>
        <v/>
      </c>
      <c r="N74" t="str">
        <f t="shared" si="8"/>
        <v/>
      </c>
      <c r="O74" t="str">
        <f t="shared" si="9"/>
        <v/>
      </c>
    </row>
    <row r="75" spans="1:15">
      <c r="A75" t="str">
        <f>IF('ATP Pos'!A75="","",LEFT('ATP Pos'!A75,B75-1))</f>
        <v/>
      </c>
      <c r="B75" t="str">
        <f>IF('ATP Pos'!A75="","",SEARCH("_",'ATP Pos'!A75,1))</f>
        <v/>
      </c>
      <c r="C75" t="str">
        <f>IF(A75="","",IF('ATP Pos'!E75="-","",IF('ATP Pos'!E75&gt;0,"Buy",IF('ATP Pos'!E75&lt;0,"Sell"))))</f>
        <v/>
      </c>
      <c r="D75" t="str">
        <f>IF(A75="","",IF('ATP Pos'!E75="-","",IF('ATP Pos'!E75&gt;0,'ATP Pos'!E75,IF('ATP Pos'!E75&lt;0,-'ATP Pos'!E75))))</f>
        <v/>
      </c>
      <c r="E75" t="str">
        <f>IF(A75="","",LEFT('ATP Pos'!B75,F75-1))</f>
        <v/>
      </c>
      <c r="F75" t="str">
        <f>IF(A75="","",SEARCH("-",'ATP Pos'!B75,1))</f>
        <v/>
      </c>
      <c r="G75" t="str">
        <f>IF(A75="","",RIGHT('ATP Pos'!B75,3))</f>
        <v/>
      </c>
      <c r="H75" t="str">
        <f t="shared" si="5"/>
        <v/>
      </c>
      <c r="I75" t="str">
        <f t="shared" si="6"/>
        <v/>
      </c>
      <c r="J75" t="str">
        <f>IF(H75="","",VLOOKUP(I75,表3_3[],2,0))</f>
        <v/>
      </c>
      <c r="K75" t="str">
        <f>IF(H75="","",VLOOKUP(I75,表3_3[],3,0))</f>
        <v/>
      </c>
      <c r="L75" t="str">
        <f>IF(A75="","",IF(G75="LME","",VLOOKUP(RIGHT(E75,2),Helper1!$O$36:$P$48,2,0)))</f>
        <v/>
      </c>
      <c r="M75" t="str">
        <f t="shared" si="7"/>
        <v/>
      </c>
      <c r="N75" t="str">
        <f t="shared" si="8"/>
        <v/>
      </c>
      <c r="O75" t="str">
        <f t="shared" si="9"/>
        <v/>
      </c>
    </row>
    <row r="76" spans="1:15">
      <c r="A76" t="str">
        <f>IF('ATP Pos'!A76="","",LEFT('ATP Pos'!A76,B76-1))</f>
        <v/>
      </c>
      <c r="B76" t="str">
        <f>IF('ATP Pos'!A76="","",SEARCH("_",'ATP Pos'!A76,1))</f>
        <v/>
      </c>
      <c r="C76" t="str">
        <f>IF(A76="","",IF('ATP Pos'!E76="-","",IF('ATP Pos'!E76&gt;0,"Buy",IF('ATP Pos'!E76&lt;0,"Sell"))))</f>
        <v/>
      </c>
      <c r="D76" t="str">
        <f>IF(A76="","",IF('ATP Pos'!E76="-","",IF('ATP Pos'!E76&gt;0,'ATP Pos'!E76,IF('ATP Pos'!E76&lt;0,-'ATP Pos'!E76))))</f>
        <v/>
      </c>
      <c r="E76" t="str">
        <f>IF(A76="","",LEFT('ATP Pos'!B76,F76-1))</f>
        <v/>
      </c>
      <c r="F76" t="str">
        <f>IF(A76="","",SEARCH("-",'ATP Pos'!B76,1))</f>
        <v/>
      </c>
      <c r="G76" t="str">
        <f>IF(A76="","",RIGHT('ATP Pos'!B76,3))</f>
        <v/>
      </c>
      <c r="H76" t="str">
        <f t="shared" si="5"/>
        <v/>
      </c>
      <c r="I76" t="str">
        <f t="shared" si="6"/>
        <v/>
      </c>
      <c r="J76" t="str">
        <f>IF(H76="","",VLOOKUP(I76,表3_3[],2,0))</f>
        <v/>
      </c>
      <c r="K76" t="str">
        <f>IF(H76="","",VLOOKUP(I76,表3_3[],3,0))</f>
        <v/>
      </c>
      <c r="L76" t="str">
        <f>IF(A76="","",IF(G76="LME","",VLOOKUP(RIGHT(E76,2),Helper1!$O$36:$P$48,2,0)))</f>
        <v/>
      </c>
      <c r="M76" t="str">
        <f t="shared" si="7"/>
        <v/>
      </c>
      <c r="N76" t="str">
        <f t="shared" si="8"/>
        <v/>
      </c>
      <c r="O76" t="str">
        <f t="shared" si="9"/>
        <v/>
      </c>
    </row>
    <row r="77" spans="1:15">
      <c r="A77" t="str">
        <f>IF('ATP Pos'!A77="","",LEFT('ATP Pos'!A77,B77-1))</f>
        <v/>
      </c>
      <c r="B77" t="str">
        <f>IF('ATP Pos'!A77="","",SEARCH("_",'ATP Pos'!A77,1))</f>
        <v/>
      </c>
      <c r="C77" t="str">
        <f>IF(A77="","",IF('ATP Pos'!E77="-","",IF('ATP Pos'!E77&gt;0,"Buy",IF('ATP Pos'!E77&lt;0,"Sell"))))</f>
        <v/>
      </c>
      <c r="D77" t="str">
        <f>IF(A77="","",IF('ATP Pos'!E77="-","",IF('ATP Pos'!E77&gt;0,'ATP Pos'!E77,IF('ATP Pos'!E77&lt;0,-'ATP Pos'!E77))))</f>
        <v/>
      </c>
      <c r="E77" t="str">
        <f>IF(A77="","",LEFT('ATP Pos'!B77,F77-1))</f>
        <v/>
      </c>
      <c r="F77" t="str">
        <f>IF(A77="","",SEARCH("-",'ATP Pos'!B77,1))</f>
        <v/>
      </c>
      <c r="G77" t="str">
        <f>IF(A77="","",RIGHT('ATP Pos'!B77,3))</f>
        <v/>
      </c>
      <c r="H77" t="str">
        <f t="shared" si="5"/>
        <v/>
      </c>
      <c r="I77" t="str">
        <f t="shared" si="6"/>
        <v/>
      </c>
      <c r="J77" t="str">
        <f>IF(H77="","",VLOOKUP(I77,表3_3[],2,0))</f>
        <v/>
      </c>
      <c r="K77" t="str">
        <f>IF(H77="","",VLOOKUP(I77,表3_3[],3,0))</f>
        <v/>
      </c>
      <c r="L77" t="str">
        <f>IF(A77="","",IF(G77="LME","",VLOOKUP(RIGHT(E77,2),Helper1!$O$36:$P$48,2,0)))</f>
        <v/>
      </c>
      <c r="M77" t="str">
        <f t="shared" si="7"/>
        <v/>
      </c>
      <c r="N77" t="str">
        <f t="shared" si="8"/>
        <v/>
      </c>
      <c r="O77" t="str">
        <f t="shared" si="9"/>
        <v/>
      </c>
    </row>
    <row r="78" spans="1:15">
      <c r="A78" t="str">
        <f>IF('ATP Pos'!A78="","",LEFT('ATP Pos'!A78,B78-1))</f>
        <v/>
      </c>
      <c r="B78" t="str">
        <f>IF('ATP Pos'!A78="","",SEARCH("_",'ATP Pos'!A78,1))</f>
        <v/>
      </c>
      <c r="C78" t="str">
        <f>IF(A78="","",IF('ATP Pos'!E78="-","",IF('ATP Pos'!E78&gt;0,"Buy",IF('ATP Pos'!E78&lt;0,"Sell"))))</f>
        <v/>
      </c>
      <c r="D78" t="str">
        <f>IF(A78="","",IF('ATP Pos'!E78="-","",IF('ATP Pos'!E78&gt;0,'ATP Pos'!E78,IF('ATP Pos'!E78&lt;0,-'ATP Pos'!E78))))</f>
        <v/>
      </c>
      <c r="E78" t="str">
        <f>IF(A78="","",LEFT('ATP Pos'!B78,F78-1))</f>
        <v/>
      </c>
      <c r="F78" t="str">
        <f>IF(A78="","",SEARCH("-",'ATP Pos'!B78,1))</f>
        <v/>
      </c>
      <c r="G78" t="str">
        <f>IF(A78="","",RIGHT('ATP Pos'!B78,3))</f>
        <v/>
      </c>
      <c r="H78" t="str">
        <f t="shared" si="5"/>
        <v/>
      </c>
      <c r="I78" t="str">
        <f t="shared" si="6"/>
        <v/>
      </c>
      <c r="J78" t="str">
        <f>IF(H78="","",VLOOKUP(I78,表3_3[],2,0))</f>
        <v/>
      </c>
      <c r="K78" t="str">
        <f>IF(H78="","",VLOOKUP(I78,表3_3[],3,0))</f>
        <v/>
      </c>
      <c r="L78" t="str">
        <f>IF(A78="","",IF(G78="LME","",VLOOKUP(RIGHT(E78,2),Helper1!$O$36:$P$48,2,0)))</f>
        <v/>
      </c>
      <c r="M78" t="str">
        <f t="shared" si="7"/>
        <v/>
      </c>
      <c r="N78" t="str">
        <f t="shared" si="8"/>
        <v/>
      </c>
      <c r="O78" t="str">
        <f t="shared" si="9"/>
        <v/>
      </c>
    </row>
    <row r="79" spans="1:15">
      <c r="A79" t="str">
        <f>IF('ATP Pos'!A79="","",LEFT('ATP Pos'!A79,B79-1))</f>
        <v/>
      </c>
      <c r="B79" t="str">
        <f>IF('ATP Pos'!A79="","",SEARCH("_",'ATP Pos'!A79,1))</f>
        <v/>
      </c>
      <c r="C79" t="str">
        <f>IF(A79="","",IF('ATP Pos'!E79="-","",IF('ATP Pos'!E79&gt;0,"Buy",IF('ATP Pos'!E79&lt;0,"Sell"))))</f>
        <v/>
      </c>
      <c r="D79" t="str">
        <f>IF(A79="","",IF('ATP Pos'!E79="-","",IF('ATP Pos'!E79&gt;0,'ATP Pos'!E79,IF('ATP Pos'!E79&lt;0,-'ATP Pos'!E79))))</f>
        <v/>
      </c>
      <c r="E79" t="str">
        <f>IF(A79="","",LEFT('ATP Pos'!B79,F79-1))</f>
        <v/>
      </c>
      <c r="F79" t="str">
        <f>IF(A79="","",SEARCH("-",'ATP Pos'!B79,1))</f>
        <v/>
      </c>
      <c r="G79" t="str">
        <f>IF(A79="","",RIGHT('ATP Pos'!B79,3))</f>
        <v/>
      </c>
      <c r="H79" t="str">
        <f t="shared" si="5"/>
        <v/>
      </c>
      <c r="I79" t="str">
        <f t="shared" si="6"/>
        <v/>
      </c>
      <c r="J79" t="str">
        <f>IF(H79="","",VLOOKUP(I79,表3_3[],2,0))</f>
        <v/>
      </c>
      <c r="K79" t="str">
        <f>IF(H79="","",VLOOKUP(I79,表3_3[],3,0))</f>
        <v/>
      </c>
      <c r="L79" t="str">
        <f>IF(A79="","",IF(G79="LME","",VLOOKUP(RIGHT(E79,2),Helper1!$O$36:$P$48,2,0)))</f>
        <v/>
      </c>
      <c r="M79" t="str">
        <f t="shared" si="7"/>
        <v/>
      </c>
      <c r="N79" t="str">
        <f t="shared" si="8"/>
        <v/>
      </c>
      <c r="O79" t="str">
        <f t="shared" si="9"/>
        <v/>
      </c>
    </row>
    <row r="80" spans="1:15">
      <c r="A80" t="str">
        <f>IF('ATP Pos'!A80="","",LEFT('ATP Pos'!A80,B80-1))</f>
        <v/>
      </c>
      <c r="B80" t="str">
        <f>IF('ATP Pos'!A80="","",SEARCH("_",'ATP Pos'!A80,1))</f>
        <v/>
      </c>
      <c r="C80" t="str">
        <f>IF(A80="","",IF('ATP Pos'!E80="-","",IF('ATP Pos'!E80&gt;0,"Buy",IF('ATP Pos'!E80&lt;0,"Sell"))))</f>
        <v/>
      </c>
      <c r="D80" t="str">
        <f>IF(A80="","",IF('ATP Pos'!E80="-","",IF('ATP Pos'!E80&gt;0,'ATP Pos'!E80,IF('ATP Pos'!E80&lt;0,-'ATP Pos'!E80))))</f>
        <v/>
      </c>
      <c r="E80" t="str">
        <f>IF(A80="","",LEFT('ATP Pos'!B80,F80-1))</f>
        <v/>
      </c>
      <c r="F80" t="str">
        <f>IF(A80="","",SEARCH("-",'ATP Pos'!B80,1))</f>
        <v/>
      </c>
      <c r="G80" t="str">
        <f>IF(A80="","",RIGHT('ATP Pos'!B80,3))</f>
        <v/>
      </c>
      <c r="H80" t="str">
        <f t="shared" si="5"/>
        <v/>
      </c>
      <c r="I80" t="str">
        <f t="shared" si="6"/>
        <v/>
      </c>
      <c r="J80" t="str">
        <f>IF(H80="","",VLOOKUP(I80,表3_3[],2,0))</f>
        <v/>
      </c>
      <c r="K80" t="str">
        <f>IF(H80="","",VLOOKUP(I80,表3_3[],3,0))</f>
        <v/>
      </c>
      <c r="L80" t="str">
        <f>IF(A80="","",IF(G80="LME","",VLOOKUP(RIGHT(E80,2),Helper1!$O$36:$P$48,2,0)))</f>
        <v/>
      </c>
      <c r="M80" t="str">
        <f t="shared" si="7"/>
        <v/>
      </c>
      <c r="N80" t="str">
        <f t="shared" si="8"/>
        <v/>
      </c>
      <c r="O80" t="str">
        <f t="shared" si="9"/>
        <v/>
      </c>
    </row>
    <row r="81" spans="1:15">
      <c r="A81" t="str">
        <f>IF('ATP Pos'!A81="","",LEFT('ATP Pos'!A81,B81-1))</f>
        <v/>
      </c>
      <c r="B81" t="str">
        <f>IF('ATP Pos'!A81="","",SEARCH("_",'ATP Pos'!A81,1))</f>
        <v/>
      </c>
      <c r="C81" t="str">
        <f>IF(A81="","",IF('ATP Pos'!E81="-","",IF('ATP Pos'!E81&gt;0,"Buy",IF('ATP Pos'!E81&lt;0,"Sell"))))</f>
        <v/>
      </c>
      <c r="D81" t="str">
        <f>IF(A81="","",IF('ATP Pos'!E81="-","",IF('ATP Pos'!E81&gt;0,'ATP Pos'!E81,IF('ATP Pos'!E81&lt;0,-'ATP Pos'!E81))))</f>
        <v/>
      </c>
      <c r="E81" t="str">
        <f>IF(A81="","",LEFT('ATP Pos'!B81,F81-1))</f>
        <v/>
      </c>
      <c r="F81" t="str">
        <f>IF(A81="","",SEARCH("-",'ATP Pos'!B81,1))</f>
        <v/>
      </c>
      <c r="G81" t="str">
        <f>IF(A81="","",RIGHT('ATP Pos'!B81,3))</f>
        <v/>
      </c>
      <c r="H81" t="str">
        <f t="shared" si="5"/>
        <v/>
      </c>
      <c r="I81" t="str">
        <f t="shared" si="6"/>
        <v/>
      </c>
      <c r="J81" t="str">
        <f>IF(H81="","",VLOOKUP(I81,表3_3[],2,0))</f>
        <v/>
      </c>
      <c r="K81" t="str">
        <f>IF(H81="","",VLOOKUP(I81,表3_3[],3,0))</f>
        <v/>
      </c>
      <c r="L81" t="str">
        <f>IF(A81="","",IF(G81="LME","",VLOOKUP(RIGHT(E81,2),Helper1!$O$36:$P$48,2,0)))</f>
        <v/>
      </c>
      <c r="M81" t="str">
        <f t="shared" si="7"/>
        <v/>
      </c>
      <c r="N81" t="str">
        <f t="shared" si="8"/>
        <v/>
      </c>
      <c r="O81" t="str">
        <f t="shared" si="9"/>
        <v/>
      </c>
    </row>
    <row r="82" spans="1:15">
      <c r="A82" t="str">
        <f>IF('ATP Pos'!A82="","",LEFT('ATP Pos'!A82,B82-1))</f>
        <v/>
      </c>
      <c r="B82" t="str">
        <f>IF('ATP Pos'!A82="","",SEARCH("_",'ATP Pos'!A82,1))</f>
        <v/>
      </c>
      <c r="C82" t="str">
        <f>IF(A82="","",IF('ATP Pos'!E82="-","",IF('ATP Pos'!E82&gt;0,"Buy",IF('ATP Pos'!E82&lt;0,"Sell"))))</f>
        <v/>
      </c>
      <c r="D82" t="str">
        <f>IF(A82="","",IF('ATP Pos'!E82="-","",IF('ATP Pos'!E82&gt;0,'ATP Pos'!E82,IF('ATP Pos'!E82&lt;0,-'ATP Pos'!E82))))</f>
        <v/>
      </c>
      <c r="E82" t="str">
        <f>IF(A82="","",LEFT('ATP Pos'!B82,F82-1))</f>
        <v/>
      </c>
      <c r="F82" t="str">
        <f>IF(A82="","",SEARCH("-",'ATP Pos'!B82,1))</f>
        <v/>
      </c>
      <c r="G82" t="str">
        <f>IF(A82="","",RIGHT('ATP Pos'!B82,3))</f>
        <v/>
      </c>
      <c r="H82" t="str">
        <f t="shared" si="5"/>
        <v/>
      </c>
      <c r="I82" t="str">
        <f t="shared" si="6"/>
        <v/>
      </c>
      <c r="J82" t="str">
        <f>IF(H82="","",VLOOKUP(I82,表3_3[],2,0))</f>
        <v/>
      </c>
      <c r="K82" t="str">
        <f>IF(H82="","",VLOOKUP(I82,表3_3[],3,0))</f>
        <v/>
      </c>
      <c r="L82" t="str">
        <f>IF(A82="","",IF(G82="LME","",VLOOKUP(RIGHT(E82,2),Helper1!$O$36:$P$48,2,0)))</f>
        <v/>
      </c>
      <c r="M82" t="str">
        <f t="shared" si="7"/>
        <v/>
      </c>
      <c r="N82" t="str">
        <f t="shared" si="8"/>
        <v/>
      </c>
      <c r="O82" t="str">
        <f t="shared" si="9"/>
        <v/>
      </c>
    </row>
    <row r="83" spans="1:15">
      <c r="A83" t="str">
        <f>IF('ATP Pos'!A83="","",LEFT('ATP Pos'!A83,B83-1))</f>
        <v/>
      </c>
      <c r="B83" t="str">
        <f>IF('ATP Pos'!A83="","",SEARCH("_",'ATP Pos'!A83,1))</f>
        <v/>
      </c>
      <c r="C83" t="str">
        <f>IF(A83="","",IF('ATP Pos'!E83="-","",IF('ATP Pos'!E83&gt;0,"Buy",IF('ATP Pos'!E83&lt;0,"Sell"))))</f>
        <v/>
      </c>
      <c r="D83" t="str">
        <f>IF(A83="","",IF('ATP Pos'!E83="-","",IF('ATP Pos'!E83&gt;0,'ATP Pos'!E83,IF('ATP Pos'!E83&lt;0,-'ATP Pos'!E83))))</f>
        <v/>
      </c>
      <c r="E83" t="str">
        <f>IF(A83="","",LEFT('ATP Pos'!B83,F83-1))</f>
        <v/>
      </c>
      <c r="F83" t="str">
        <f>IF(A83="","",SEARCH("-",'ATP Pos'!B83,1))</f>
        <v/>
      </c>
      <c r="G83" t="str">
        <f>IF(A83="","",RIGHT('ATP Pos'!B83,3))</f>
        <v/>
      </c>
      <c r="H83" t="str">
        <f t="shared" si="5"/>
        <v/>
      </c>
      <c r="I83" t="str">
        <f t="shared" si="6"/>
        <v/>
      </c>
      <c r="J83" t="str">
        <f>IF(H83="","",VLOOKUP(I83,表3_3[],2,0))</f>
        <v/>
      </c>
      <c r="K83" t="str">
        <f>IF(H83="","",VLOOKUP(I83,表3_3[],3,0))</f>
        <v/>
      </c>
      <c r="L83" t="str">
        <f>IF(A83="","",IF(G83="LME","",VLOOKUP(RIGHT(E83,2),Helper1!$O$36:$P$48,2,0)))</f>
        <v/>
      </c>
      <c r="M83" t="str">
        <f t="shared" si="7"/>
        <v/>
      </c>
      <c r="N83" t="str">
        <f t="shared" si="8"/>
        <v/>
      </c>
      <c r="O83" t="str">
        <f t="shared" si="9"/>
        <v/>
      </c>
    </row>
    <row r="84" spans="1:15">
      <c r="A84" t="str">
        <f>IF('ATP Pos'!A84="","",LEFT('ATP Pos'!A84,B84-1))</f>
        <v/>
      </c>
      <c r="B84" t="str">
        <f>IF('ATP Pos'!A84="","",SEARCH("_",'ATP Pos'!A84,1))</f>
        <v/>
      </c>
      <c r="C84" t="str">
        <f>IF(A84="","",IF('ATP Pos'!E84="-","",IF('ATP Pos'!E84&gt;0,"Buy",IF('ATP Pos'!E84&lt;0,"Sell"))))</f>
        <v/>
      </c>
      <c r="D84" t="str">
        <f>IF(A84="","",IF('ATP Pos'!E84="-","",IF('ATP Pos'!E84&gt;0,'ATP Pos'!E84,IF('ATP Pos'!E84&lt;0,-'ATP Pos'!E84))))</f>
        <v/>
      </c>
      <c r="E84" t="str">
        <f>IF(A84="","",LEFT('ATP Pos'!B84,F84-1))</f>
        <v/>
      </c>
      <c r="F84" t="str">
        <f>IF(A84="","",SEARCH("-",'ATP Pos'!B84,1))</f>
        <v/>
      </c>
      <c r="G84" t="str">
        <f>IF(A84="","",RIGHT('ATP Pos'!B84,3))</f>
        <v/>
      </c>
      <c r="H84" t="str">
        <f t="shared" si="5"/>
        <v/>
      </c>
      <c r="I84" t="str">
        <f t="shared" si="6"/>
        <v/>
      </c>
      <c r="J84" t="str">
        <f>IF(H84="","",VLOOKUP(I84,表3_3[],2,0))</f>
        <v/>
      </c>
      <c r="K84" t="str">
        <f>IF(H84="","",VLOOKUP(I84,表3_3[],3,0))</f>
        <v/>
      </c>
      <c r="L84" t="str">
        <f>IF(A84="","",IF(G84="LME","",VLOOKUP(RIGHT(E84,2),Helper1!$O$36:$P$48,2,0)))</f>
        <v/>
      </c>
      <c r="M84" t="str">
        <f t="shared" si="7"/>
        <v/>
      </c>
      <c r="N84" t="str">
        <f t="shared" si="8"/>
        <v/>
      </c>
      <c r="O84" t="str">
        <f t="shared" si="9"/>
        <v/>
      </c>
    </row>
    <row r="85" spans="1:15">
      <c r="A85" t="str">
        <f>IF('ATP Pos'!A85="","",LEFT('ATP Pos'!A85,B85-1))</f>
        <v/>
      </c>
      <c r="B85" t="str">
        <f>IF('ATP Pos'!A85="","",SEARCH("_",'ATP Pos'!A85,1))</f>
        <v/>
      </c>
      <c r="C85" t="str">
        <f>IF(A85="","",IF('ATP Pos'!E85="-","",IF('ATP Pos'!E85&gt;0,"Buy",IF('ATP Pos'!E85&lt;0,"Sell"))))</f>
        <v/>
      </c>
      <c r="D85" t="str">
        <f>IF(A85="","",IF('ATP Pos'!E85="-","",IF('ATP Pos'!E85&gt;0,'ATP Pos'!E85,IF('ATP Pos'!E85&lt;0,-'ATP Pos'!E85))))</f>
        <v/>
      </c>
      <c r="E85" t="str">
        <f>IF(A85="","",LEFT('ATP Pos'!B85,F85-1))</f>
        <v/>
      </c>
      <c r="F85" t="str">
        <f>IF(A85="","",SEARCH("-",'ATP Pos'!B85,1))</f>
        <v/>
      </c>
      <c r="G85" t="str">
        <f>IF(A85="","",RIGHT('ATP Pos'!B85,3))</f>
        <v/>
      </c>
      <c r="H85" t="str">
        <f t="shared" si="5"/>
        <v/>
      </c>
      <c r="I85" t="str">
        <f t="shared" si="6"/>
        <v/>
      </c>
      <c r="J85" t="str">
        <f>IF(H85="","",VLOOKUP(I85,表3_3[],2,0))</f>
        <v/>
      </c>
      <c r="K85" t="str">
        <f>IF(H85="","",VLOOKUP(I85,表3_3[],3,0))</f>
        <v/>
      </c>
      <c r="L85" t="str">
        <f>IF(A85="","",IF(G85="LME","",VLOOKUP(RIGHT(E85,2),Helper1!$O$36:$P$48,2,0)))</f>
        <v/>
      </c>
      <c r="M85" t="str">
        <f t="shared" si="7"/>
        <v/>
      </c>
      <c r="N85" t="str">
        <f t="shared" si="8"/>
        <v/>
      </c>
      <c r="O85" t="str">
        <f t="shared" si="9"/>
        <v/>
      </c>
    </row>
    <row r="86" spans="1:15">
      <c r="A86" t="str">
        <f>IF('ATP Pos'!A86="","",LEFT('ATP Pos'!A86,B86-1))</f>
        <v/>
      </c>
      <c r="B86" t="str">
        <f>IF('ATP Pos'!A86="","",SEARCH("_",'ATP Pos'!A86,1))</f>
        <v/>
      </c>
      <c r="C86" t="str">
        <f>IF(A86="","",IF('ATP Pos'!E86="-","",IF('ATP Pos'!E86&gt;0,"Buy",IF('ATP Pos'!E86&lt;0,"Sell"))))</f>
        <v/>
      </c>
      <c r="D86" t="str">
        <f>IF(A86="","",IF('ATP Pos'!E86="-","",IF('ATP Pos'!E86&gt;0,'ATP Pos'!E86,IF('ATP Pos'!E86&lt;0,-'ATP Pos'!E86))))</f>
        <v/>
      </c>
      <c r="E86" t="str">
        <f>IF(A86="","",LEFT('ATP Pos'!B86,F86-1))</f>
        <v/>
      </c>
      <c r="F86" t="str">
        <f>IF(A86="","",SEARCH("-",'ATP Pos'!B86,1))</f>
        <v/>
      </c>
      <c r="G86" t="str">
        <f>IF(A86="","",RIGHT('ATP Pos'!B86,3))</f>
        <v/>
      </c>
      <c r="H86" t="str">
        <f t="shared" si="5"/>
        <v/>
      </c>
      <c r="I86" t="str">
        <f t="shared" si="6"/>
        <v/>
      </c>
      <c r="J86" t="str">
        <f>IF(H86="","",VLOOKUP(I86,表3_3[],2,0))</f>
        <v/>
      </c>
      <c r="K86" t="str">
        <f>IF(H86="","",VLOOKUP(I86,表3_3[],3,0))</f>
        <v/>
      </c>
      <c r="L86" t="str">
        <f>IF(A86="","",IF(G86="LME","",VLOOKUP(RIGHT(E86,2),Helper1!$O$36:$P$48,2,0)))</f>
        <v/>
      </c>
      <c r="M86" t="str">
        <f t="shared" si="7"/>
        <v/>
      </c>
      <c r="N86" t="str">
        <f t="shared" si="8"/>
        <v/>
      </c>
      <c r="O86" t="str">
        <f t="shared" si="9"/>
        <v/>
      </c>
    </row>
    <row r="87" spans="1:15">
      <c r="A87" t="str">
        <f>IF('ATP Pos'!A87="","",LEFT('ATP Pos'!A87,B87-1))</f>
        <v/>
      </c>
      <c r="B87" t="str">
        <f>IF('ATP Pos'!A87="","",SEARCH("_",'ATP Pos'!A87,1))</f>
        <v/>
      </c>
      <c r="C87" t="str">
        <f>IF(A87="","",IF('ATP Pos'!E87="-","",IF('ATP Pos'!E87&gt;0,"Buy",IF('ATP Pos'!E87&lt;0,"Sell"))))</f>
        <v/>
      </c>
      <c r="D87" t="str">
        <f>IF(A87="","",IF('ATP Pos'!E87="-","",IF('ATP Pos'!E87&gt;0,'ATP Pos'!E87,IF('ATP Pos'!E87&lt;0,-'ATP Pos'!E87))))</f>
        <v/>
      </c>
      <c r="E87" t="str">
        <f>IF(A87="","",LEFT('ATP Pos'!B87,F87-1))</f>
        <v/>
      </c>
      <c r="F87" t="str">
        <f>IF(A87="","",SEARCH("-",'ATP Pos'!B87,1))</f>
        <v/>
      </c>
      <c r="G87" t="str">
        <f>IF(A87="","",RIGHT('ATP Pos'!B87,3))</f>
        <v/>
      </c>
      <c r="H87" t="str">
        <f t="shared" si="5"/>
        <v/>
      </c>
      <c r="I87" t="str">
        <f t="shared" si="6"/>
        <v/>
      </c>
      <c r="J87" t="str">
        <f>IF(H87="","",VLOOKUP(I87,表3_3[],2,0))</f>
        <v/>
      </c>
      <c r="K87" t="str">
        <f>IF(H87="","",VLOOKUP(I87,表3_3[],3,0))</f>
        <v/>
      </c>
      <c r="L87" t="str">
        <f>IF(A87="","",IF(G87="LME","",VLOOKUP(RIGHT(E87,2),Helper1!$O$36:$P$48,2,0)))</f>
        <v/>
      </c>
      <c r="M87" t="str">
        <f t="shared" si="7"/>
        <v/>
      </c>
      <c r="N87" t="str">
        <f t="shared" si="8"/>
        <v/>
      </c>
      <c r="O87" t="str">
        <f t="shared" si="9"/>
        <v/>
      </c>
    </row>
    <row r="88" spans="1:15">
      <c r="A88" t="str">
        <f>IF('ATP Pos'!A88="","",LEFT('ATP Pos'!A88,B88-1))</f>
        <v/>
      </c>
      <c r="B88" t="str">
        <f>IF('ATP Pos'!A88="","",SEARCH("_",'ATP Pos'!A88,1))</f>
        <v/>
      </c>
      <c r="C88" t="str">
        <f>IF(A88="","",IF('ATP Pos'!E88="-","",IF('ATP Pos'!E88&gt;0,"Buy",IF('ATP Pos'!E88&lt;0,"Sell"))))</f>
        <v/>
      </c>
      <c r="D88" t="str">
        <f>IF(A88="","",IF('ATP Pos'!E88="-","",IF('ATP Pos'!E88&gt;0,'ATP Pos'!E88,IF('ATP Pos'!E88&lt;0,-'ATP Pos'!E88))))</f>
        <v/>
      </c>
      <c r="E88" t="str">
        <f>IF(A88="","",LEFT('ATP Pos'!B88,F88-1))</f>
        <v/>
      </c>
      <c r="F88" t="str">
        <f>IF(A88="","",SEARCH("-",'ATP Pos'!B88,1))</f>
        <v/>
      </c>
      <c r="G88" t="str">
        <f>IF(A88="","",RIGHT('ATP Pos'!B88,3))</f>
        <v/>
      </c>
      <c r="H88" t="str">
        <f t="shared" si="5"/>
        <v/>
      </c>
      <c r="I88" t="str">
        <f t="shared" si="6"/>
        <v/>
      </c>
      <c r="J88" t="str">
        <f>IF(H88="","",VLOOKUP(I88,表3_3[],2,0))</f>
        <v/>
      </c>
      <c r="K88" t="str">
        <f>IF(H88="","",VLOOKUP(I88,表3_3[],3,0))</f>
        <v/>
      </c>
      <c r="L88" t="str">
        <f>IF(A88="","",IF(G88="LME","",VLOOKUP(RIGHT(E88,2),Helper1!$O$36:$P$48,2,0)))</f>
        <v/>
      </c>
      <c r="M88" t="str">
        <f t="shared" si="7"/>
        <v/>
      </c>
      <c r="N88" t="str">
        <f t="shared" si="8"/>
        <v/>
      </c>
      <c r="O88" t="str">
        <f t="shared" si="9"/>
        <v/>
      </c>
    </row>
    <row r="89" spans="1:15">
      <c r="A89" t="str">
        <f>IF('ATP Pos'!A89="","",LEFT('ATP Pos'!A89,B89-1))</f>
        <v/>
      </c>
      <c r="B89" t="str">
        <f>IF('ATP Pos'!A89="","",SEARCH("_",'ATP Pos'!A89,1))</f>
        <v/>
      </c>
      <c r="C89" t="str">
        <f>IF(A89="","",IF('ATP Pos'!E89="-","",IF('ATP Pos'!E89&gt;0,"Buy",IF('ATP Pos'!E89&lt;0,"Sell"))))</f>
        <v/>
      </c>
      <c r="D89" t="str">
        <f>IF(A89="","",IF('ATP Pos'!E89="-","",IF('ATP Pos'!E89&gt;0,'ATP Pos'!E89,IF('ATP Pos'!E89&lt;0,-'ATP Pos'!E89))))</f>
        <v/>
      </c>
      <c r="E89" t="str">
        <f>IF(A89="","",LEFT('ATP Pos'!B89,F89-1))</f>
        <v/>
      </c>
      <c r="F89" t="str">
        <f>IF(A89="","",SEARCH("-",'ATP Pos'!B89,1))</f>
        <v/>
      </c>
      <c r="G89" t="str">
        <f>IF(A89="","",RIGHT('ATP Pos'!B89,3))</f>
        <v/>
      </c>
      <c r="H89" t="str">
        <f t="shared" si="5"/>
        <v/>
      </c>
      <c r="I89" t="str">
        <f t="shared" si="6"/>
        <v/>
      </c>
      <c r="J89" t="str">
        <f>IF(H89="","",VLOOKUP(I89,表3_3[],2,0))</f>
        <v/>
      </c>
      <c r="K89" t="str">
        <f>IF(H89="","",VLOOKUP(I89,表3_3[],3,0))</f>
        <v/>
      </c>
      <c r="L89" t="str">
        <f>IF(A89="","",IF(G89="LME","",VLOOKUP(RIGHT(E89,2),Helper1!$O$36:$P$48,2,0)))</f>
        <v/>
      </c>
      <c r="M89" t="str">
        <f t="shared" si="7"/>
        <v/>
      </c>
      <c r="N89" t="str">
        <f t="shared" si="8"/>
        <v/>
      </c>
      <c r="O89" t="str">
        <f t="shared" si="9"/>
        <v/>
      </c>
    </row>
    <row r="90" spans="1:15">
      <c r="A90" t="str">
        <f>IF('ATP Pos'!A90="","",LEFT('ATP Pos'!A90,B90-1))</f>
        <v/>
      </c>
      <c r="B90" t="str">
        <f>IF('ATP Pos'!A90="","",SEARCH("_",'ATP Pos'!A90,1))</f>
        <v/>
      </c>
      <c r="C90" t="str">
        <f>IF(A90="","",IF('ATP Pos'!E90="-","",IF('ATP Pos'!E90&gt;0,"Buy",IF('ATP Pos'!E90&lt;0,"Sell"))))</f>
        <v/>
      </c>
      <c r="D90" t="str">
        <f>IF(A90="","",IF('ATP Pos'!E90="-","",IF('ATP Pos'!E90&gt;0,'ATP Pos'!E90,IF('ATP Pos'!E90&lt;0,-'ATP Pos'!E90))))</f>
        <v/>
      </c>
      <c r="E90" t="str">
        <f>IF(A90="","",LEFT('ATP Pos'!B90,F90-1))</f>
        <v/>
      </c>
      <c r="F90" t="str">
        <f>IF(A90="","",SEARCH("-",'ATP Pos'!B90,1))</f>
        <v/>
      </c>
      <c r="G90" t="str">
        <f>IF(A90="","",RIGHT('ATP Pos'!B90,3))</f>
        <v/>
      </c>
      <c r="H90" t="str">
        <f t="shared" si="5"/>
        <v/>
      </c>
      <c r="I90" t="str">
        <f t="shared" si="6"/>
        <v/>
      </c>
      <c r="J90" t="str">
        <f>IF(H90="","",VLOOKUP(I90,表3_3[],2,0))</f>
        <v/>
      </c>
      <c r="K90" t="str">
        <f>IF(H90="","",VLOOKUP(I90,表3_3[],3,0))</f>
        <v/>
      </c>
      <c r="L90" t="str">
        <f>IF(A90="","",IF(G90="LME","",VLOOKUP(RIGHT(E90,2),Helper1!$O$36:$P$48,2,0)))</f>
        <v/>
      </c>
      <c r="M90" t="str">
        <f t="shared" si="7"/>
        <v/>
      </c>
      <c r="N90" t="str">
        <f t="shared" si="8"/>
        <v/>
      </c>
      <c r="O90" t="str">
        <f t="shared" si="9"/>
        <v/>
      </c>
    </row>
    <row r="91" spans="1:15">
      <c r="A91" t="str">
        <f>IF('ATP Pos'!A91="","",LEFT('ATP Pos'!A91,B91-1))</f>
        <v/>
      </c>
      <c r="B91" t="str">
        <f>IF('ATP Pos'!A91="","",SEARCH("_",'ATP Pos'!A91,1))</f>
        <v/>
      </c>
      <c r="C91" t="str">
        <f>IF(A91="","",IF('ATP Pos'!E91="-","",IF('ATP Pos'!E91&gt;0,"Buy",IF('ATP Pos'!E91&lt;0,"Sell"))))</f>
        <v/>
      </c>
      <c r="D91" t="str">
        <f>IF(A91="","",IF('ATP Pos'!E91="-","",IF('ATP Pos'!E91&gt;0,'ATP Pos'!E91,IF('ATP Pos'!E91&lt;0,-'ATP Pos'!E91))))</f>
        <v/>
      </c>
      <c r="E91" t="str">
        <f>IF(A91="","",LEFT('ATP Pos'!B91,F91-1))</f>
        <v/>
      </c>
      <c r="F91" t="str">
        <f>IF(A91="","",SEARCH("-",'ATP Pos'!B91,1))</f>
        <v/>
      </c>
      <c r="G91" t="str">
        <f>IF(A91="","",RIGHT('ATP Pos'!B91,3))</f>
        <v/>
      </c>
      <c r="H91" t="str">
        <f t="shared" si="5"/>
        <v/>
      </c>
      <c r="I91" t="str">
        <f t="shared" si="6"/>
        <v/>
      </c>
      <c r="J91" t="str">
        <f>IF(H91="","",VLOOKUP(I91,表3_3[],2,0))</f>
        <v/>
      </c>
      <c r="K91" t="str">
        <f>IF(H91="","",VLOOKUP(I91,表3_3[],3,0))</f>
        <v/>
      </c>
      <c r="L91" t="str">
        <f>IF(A91="","",IF(G91="LME","",VLOOKUP(RIGHT(E91,2),Helper1!$O$36:$P$48,2,0)))</f>
        <v/>
      </c>
      <c r="M91" t="str">
        <f t="shared" si="7"/>
        <v/>
      </c>
      <c r="N91" t="str">
        <f t="shared" si="8"/>
        <v/>
      </c>
      <c r="O91" t="str">
        <f t="shared" si="9"/>
        <v/>
      </c>
    </row>
    <row r="92" spans="1:15">
      <c r="A92" t="str">
        <f>IF('ATP Pos'!A92="","",LEFT('ATP Pos'!A92,B92-1))</f>
        <v/>
      </c>
      <c r="B92" t="str">
        <f>IF('ATP Pos'!A92="","",SEARCH("_",'ATP Pos'!A92,1))</f>
        <v/>
      </c>
      <c r="C92" t="str">
        <f>IF(A92="","",IF('ATP Pos'!E92="-","",IF('ATP Pos'!E92&gt;0,"Buy",IF('ATP Pos'!E92&lt;0,"Sell"))))</f>
        <v/>
      </c>
      <c r="D92" t="str">
        <f>IF(A92="","",IF('ATP Pos'!E92="-","",IF('ATP Pos'!E92&gt;0,'ATP Pos'!E92,IF('ATP Pos'!E92&lt;0,-'ATP Pos'!E92))))</f>
        <v/>
      </c>
      <c r="E92" t="str">
        <f>IF(A92="","",LEFT('ATP Pos'!B92,F92-1))</f>
        <v/>
      </c>
      <c r="F92" t="str">
        <f>IF(A92="","",SEARCH("-",'ATP Pos'!B92,1))</f>
        <v/>
      </c>
      <c r="G92" t="str">
        <f>IF(A92="","",RIGHT('ATP Pos'!B92,3))</f>
        <v/>
      </c>
      <c r="H92" t="str">
        <f t="shared" si="5"/>
        <v/>
      </c>
      <c r="I92" t="str">
        <f t="shared" si="6"/>
        <v/>
      </c>
      <c r="J92" t="str">
        <f>IF(H92="","",VLOOKUP(I92,表3_3[],2,0))</f>
        <v/>
      </c>
      <c r="K92" t="str">
        <f>IF(H92="","",VLOOKUP(I92,表3_3[],3,0))</f>
        <v/>
      </c>
      <c r="L92" t="str">
        <f>IF(A92="","",IF(G92="LME","",VLOOKUP(RIGHT(E92,2),Helper1!$O$36:$P$48,2,0)))</f>
        <v/>
      </c>
      <c r="M92" t="str">
        <f t="shared" si="7"/>
        <v/>
      </c>
      <c r="N92" t="str">
        <f t="shared" si="8"/>
        <v/>
      </c>
      <c r="O92" t="str">
        <f t="shared" si="9"/>
        <v/>
      </c>
    </row>
    <row r="93" spans="1:15">
      <c r="A93" t="str">
        <f>IF('ATP Pos'!A93="","",LEFT('ATP Pos'!A93,B93-1))</f>
        <v/>
      </c>
      <c r="B93" t="str">
        <f>IF('ATP Pos'!A93="","",SEARCH("_",'ATP Pos'!A93,1))</f>
        <v/>
      </c>
      <c r="C93" t="str">
        <f>IF(A93="","",IF('ATP Pos'!E93="-","",IF('ATP Pos'!E93&gt;0,"Buy",IF('ATP Pos'!E93&lt;0,"Sell"))))</f>
        <v/>
      </c>
      <c r="D93" t="str">
        <f>IF(A93="","",IF('ATP Pos'!E93="-","",IF('ATP Pos'!E93&gt;0,'ATP Pos'!E93,IF('ATP Pos'!E93&lt;0,-'ATP Pos'!E93))))</f>
        <v/>
      </c>
      <c r="E93" t="str">
        <f>IF(A93="","",LEFT('ATP Pos'!B93,F93-1))</f>
        <v/>
      </c>
      <c r="F93" t="str">
        <f>IF(A93="","",SEARCH("-",'ATP Pos'!B93,1))</f>
        <v/>
      </c>
      <c r="G93" t="str">
        <f>IF(A93="","",RIGHT('ATP Pos'!B93,3))</f>
        <v/>
      </c>
      <c r="H93" t="str">
        <f t="shared" si="5"/>
        <v/>
      </c>
      <c r="I93" t="str">
        <f t="shared" si="6"/>
        <v/>
      </c>
      <c r="J93" t="str">
        <f>IF(H93="","",VLOOKUP(I93,表3_3[],2,0))</f>
        <v/>
      </c>
      <c r="K93" t="str">
        <f>IF(H93="","",VLOOKUP(I93,表3_3[],3,0))</f>
        <v/>
      </c>
      <c r="L93" t="str">
        <f>IF(A93="","",IF(G93="LME","",VLOOKUP(RIGHT(E93,2),Helper1!$O$36:$P$48,2,0)))</f>
        <v/>
      </c>
      <c r="M93" t="str">
        <f t="shared" si="7"/>
        <v/>
      </c>
      <c r="N93" t="str">
        <f t="shared" si="8"/>
        <v/>
      </c>
      <c r="O93" t="str">
        <f t="shared" si="9"/>
        <v/>
      </c>
    </row>
    <row r="94" spans="1:15">
      <c r="A94" t="str">
        <f>IF('ATP Pos'!A94="","",LEFT('ATP Pos'!A94,B94-1))</f>
        <v/>
      </c>
      <c r="B94" t="str">
        <f>IF('ATP Pos'!A94="","",SEARCH("_",'ATP Pos'!A94,1))</f>
        <v/>
      </c>
      <c r="C94" t="str">
        <f>IF(A94="","",IF('ATP Pos'!E94="-","",IF('ATP Pos'!E94&gt;0,"Buy",IF('ATP Pos'!E94&lt;0,"Sell"))))</f>
        <v/>
      </c>
      <c r="D94" t="str">
        <f>IF(A94="","",IF('ATP Pos'!E94="-","",IF('ATP Pos'!E94&gt;0,'ATP Pos'!E94,IF('ATP Pos'!E94&lt;0,-'ATP Pos'!E94))))</f>
        <v/>
      </c>
      <c r="E94" t="str">
        <f>IF(A94="","",LEFT('ATP Pos'!B94,F94-1))</f>
        <v/>
      </c>
      <c r="F94" t="str">
        <f>IF(A94="","",SEARCH("-",'ATP Pos'!B94,1))</f>
        <v/>
      </c>
      <c r="G94" t="str">
        <f>IF(A94="","",RIGHT('ATP Pos'!B94,3))</f>
        <v/>
      </c>
      <c r="H94" t="str">
        <f t="shared" si="5"/>
        <v/>
      </c>
      <c r="I94" t="str">
        <f t="shared" si="6"/>
        <v/>
      </c>
      <c r="J94" t="str">
        <f>IF(H94="","",VLOOKUP(I94,表3_3[],2,0))</f>
        <v/>
      </c>
      <c r="K94" t="str">
        <f>IF(H94="","",VLOOKUP(I94,表3_3[],3,0))</f>
        <v/>
      </c>
      <c r="L94" t="str">
        <f>IF(A94="","",IF(G94="LME","",VLOOKUP(RIGHT(E94,2),Helper1!$O$36:$P$48,2,0)))</f>
        <v/>
      </c>
      <c r="M94" t="str">
        <f t="shared" si="7"/>
        <v/>
      </c>
      <c r="N94" t="str">
        <f t="shared" si="8"/>
        <v/>
      </c>
      <c r="O94" t="str">
        <f t="shared" si="9"/>
        <v/>
      </c>
    </row>
    <row r="95" spans="1:15">
      <c r="A95" t="str">
        <f>IF('ATP Pos'!A95="","",LEFT('ATP Pos'!A95,B95-1))</f>
        <v/>
      </c>
      <c r="B95" t="str">
        <f>IF('ATP Pos'!A95="","",SEARCH("_",'ATP Pos'!A95,1))</f>
        <v/>
      </c>
      <c r="C95" t="str">
        <f>IF(A95="","",IF('ATP Pos'!E95="-","",IF('ATP Pos'!E95&gt;0,"Buy",IF('ATP Pos'!E95&lt;0,"Sell"))))</f>
        <v/>
      </c>
      <c r="D95" t="str">
        <f>IF(A95="","",IF('ATP Pos'!E95="-","",IF('ATP Pos'!E95&gt;0,'ATP Pos'!E95,IF('ATP Pos'!E95&lt;0,-'ATP Pos'!E95))))</f>
        <v/>
      </c>
      <c r="E95" t="str">
        <f>IF(A95="","",LEFT('ATP Pos'!B95,F95-1))</f>
        <v/>
      </c>
      <c r="F95" t="str">
        <f>IF(A95="","",SEARCH("-",'ATP Pos'!B95,1))</f>
        <v/>
      </c>
      <c r="G95" t="str">
        <f>IF(A95="","",RIGHT('ATP Pos'!B95,3))</f>
        <v/>
      </c>
      <c r="H95" t="str">
        <f t="shared" si="5"/>
        <v/>
      </c>
      <c r="I95" t="str">
        <f t="shared" si="6"/>
        <v/>
      </c>
      <c r="J95" t="str">
        <f>IF(H95="","",VLOOKUP(I95,表3_3[],2,0))</f>
        <v/>
      </c>
      <c r="K95" t="str">
        <f>IF(H95="","",VLOOKUP(I95,表3_3[],3,0))</f>
        <v/>
      </c>
      <c r="L95" t="str">
        <f>IF(A95="","",IF(G95="LME","",VLOOKUP(RIGHT(E95,2),Helper1!$O$36:$P$48,2,0)))</f>
        <v/>
      </c>
      <c r="M95" t="str">
        <f t="shared" si="7"/>
        <v/>
      </c>
      <c r="N95" t="str">
        <f t="shared" si="8"/>
        <v/>
      </c>
      <c r="O95" t="str">
        <f t="shared" si="9"/>
        <v/>
      </c>
    </row>
    <row r="96" spans="1:15">
      <c r="A96" t="str">
        <f>IF('ATP Pos'!A96="","",LEFT('ATP Pos'!A96,B96-1))</f>
        <v/>
      </c>
      <c r="B96" t="str">
        <f>IF('ATP Pos'!A96="","",SEARCH("_",'ATP Pos'!A96,1))</f>
        <v/>
      </c>
      <c r="C96" t="str">
        <f>IF(A96="","",IF('ATP Pos'!E96="-","",IF('ATP Pos'!E96&gt;0,"Buy",IF('ATP Pos'!E96&lt;0,"Sell"))))</f>
        <v/>
      </c>
      <c r="D96" t="str">
        <f>IF(A96="","",IF('ATP Pos'!E96="-","",IF('ATP Pos'!E96&gt;0,'ATP Pos'!E96,IF('ATP Pos'!E96&lt;0,-'ATP Pos'!E96))))</f>
        <v/>
      </c>
      <c r="E96" t="str">
        <f>IF(A96="","",LEFT('ATP Pos'!B96,F96-1))</f>
        <v/>
      </c>
      <c r="F96" t="str">
        <f>IF(A96="","",SEARCH("-",'ATP Pos'!B96,1))</f>
        <v/>
      </c>
      <c r="G96" t="str">
        <f>IF(A96="","",RIGHT('ATP Pos'!B96,3))</f>
        <v/>
      </c>
      <c r="H96" t="str">
        <f t="shared" si="5"/>
        <v/>
      </c>
      <c r="I96" t="str">
        <f t="shared" si="6"/>
        <v/>
      </c>
      <c r="J96" t="str">
        <f>IF(H96="","",VLOOKUP(I96,表3_3[],2,0))</f>
        <v/>
      </c>
      <c r="K96" t="str">
        <f>IF(H96="","",VLOOKUP(I96,表3_3[],3,0))</f>
        <v/>
      </c>
      <c r="L96" t="str">
        <f>IF(A96="","",IF(G96="LME","",VLOOKUP(RIGHT(E96,2),Helper1!$O$36:$P$48,2,0)))</f>
        <v/>
      </c>
      <c r="M96" t="str">
        <f t="shared" si="7"/>
        <v/>
      </c>
      <c r="N96" t="str">
        <f t="shared" si="8"/>
        <v/>
      </c>
      <c r="O96" t="str">
        <f t="shared" si="9"/>
        <v/>
      </c>
    </row>
    <row r="97" spans="1:15">
      <c r="A97" t="str">
        <f>IF('ATP Pos'!A97="","",LEFT('ATP Pos'!A97,B97-1))</f>
        <v/>
      </c>
      <c r="B97" t="str">
        <f>IF('ATP Pos'!A97="","",SEARCH("_",'ATP Pos'!A97,1))</f>
        <v/>
      </c>
      <c r="C97" t="str">
        <f>IF(A97="","",IF('ATP Pos'!E97="-","",IF('ATP Pos'!E97&gt;0,"Buy",IF('ATP Pos'!E97&lt;0,"Sell"))))</f>
        <v/>
      </c>
      <c r="D97" t="str">
        <f>IF(A97="","",IF('ATP Pos'!E97="-","",IF('ATP Pos'!E97&gt;0,'ATP Pos'!E97,IF('ATP Pos'!E97&lt;0,-'ATP Pos'!E97))))</f>
        <v/>
      </c>
      <c r="E97" t="str">
        <f>IF(A97="","",LEFT('ATP Pos'!B97,F97-1))</f>
        <v/>
      </c>
      <c r="F97" t="str">
        <f>IF(A97="","",SEARCH("-",'ATP Pos'!B97,1))</f>
        <v/>
      </c>
      <c r="G97" t="str">
        <f>IF(A97="","",RIGHT('ATP Pos'!B97,3))</f>
        <v/>
      </c>
      <c r="H97" t="str">
        <f t="shared" si="5"/>
        <v/>
      </c>
      <c r="I97" t="str">
        <f t="shared" si="6"/>
        <v/>
      </c>
      <c r="J97" t="str">
        <f>IF(H97="","",VLOOKUP(I97,表3_3[],2,0))</f>
        <v/>
      </c>
      <c r="K97" t="str">
        <f>IF(H97="","",VLOOKUP(I97,表3_3[],3,0))</f>
        <v/>
      </c>
      <c r="L97" t="str">
        <f>IF(A97="","",IF(G97="LME","",VLOOKUP(RIGHT(E97,2),Helper1!$O$36:$P$48,2,0)))</f>
        <v/>
      </c>
      <c r="M97" t="str">
        <f t="shared" si="7"/>
        <v/>
      </c>
      <c r="N97" t="str">
        <f t="shared" si="8"/>
        <v/>
      </c>
      <c r="O97" t="str">
        <f t="shared" si="9"/>
        <v/>
      </c>
    </row>
    <row r="98" spans="1:15">
      <c r="A98" t="str">
        <f>IF('ATP Pos'!A98="","",LEFT('ATP Pos'!A98,B98-1))</f>
        <v/>
      </c>
      <c r="B98" t="str">
        <f>IF('ATP Pos'!A98="","",SEARCH("_",'ATP Pos'!A98,1))</f>
        <v/>
      </c>
      <c r="C98" t="str">
        <f>IF(A98="","",IF('ATP Pos'!E98="-","",IF('ATP Pos'!E98&gt;0,"Buy",IF('ATP Pos'!E98&lt;0,"Sell"))))</f>
        <v/>
      </c>
      <c r="D98" t="str">
        <f>IF(A98="","",IF('ATP Pos'!E98="-","",IF('ATP Pos'!E98&gt;0,'ATP Pos'!E98,IF('ATP Pos'!E98&lt;0,-'ATP Pos'!E98))))</f>
        <v/>
      </c>
      <c r="E98" t="str">
        <f>IF(A98="","",LEFT('ATP Pos'!B98,F98-1))</f>
        <v/>
      </c>
      <c r="F98" t="str">
        <f>IF(A98="","",SEARCH("-",'ATP Pos'!B98,1))</f>
        <v/>
      </c>
      <c r="G98" t="str">
        <f>IF(A98="","",RIGHT('ATP Pos'!B98,3))</f>
        <v/>
      </c>
      <c r="H98" t="str">
        <f t="shared" si="5"/>
        <v/>
      </c>
      <c r="I98" t="str">
        <f t="shared" si="6"/>
        <v/>
      </c>
      <c r="J98" t="str">
        <f>IF(H98="","",VLOOKUP(I98,表3_3[],2,0))</f>
        <v/>
      </c>
      <c r="K98" t="str">
        <f>IF(H98="","",VLOOKUP(I98,表3_3[],3,0))</f>
        <v/>
      </c>
      <c r="L98" t="str">
        <f>IF(A98="","",IF(G98="LME","",VLOOKUP(RIGHT(E98,2),Helper1!$O$36:$P$48,2,0)))</f>
        <v/>
      </c>
      <c r="M98" t="str">
        <f t="shared" si="7"/>
        <v/>
      </c>
      <c r="N98" t="str">
        <f t="shared" si="8"/>
        <v/>
      </c>
      <c r="O98" t="str">
        <f t="shared" si="9"/>
        <v/>
      </c>
    </row>
    <row r="99" spans="1:15">
      <c r="A99" t="str">
        <f>IF('ATP Pos'!A99="","",LEFT('ATP Pos'!A99,B99-1))</f>
        <v/>
      </c>
      <c r="B99" t="str">
        <f>IF('ATP Pos'!A99="","",SEARCH("_",'ATP Pos'!A99,1))</f>
        <v/>
      </c>
      <c r="C99" t="str">
        <f>IF(A99="","",IF('ATP Pos'!E99="-","",IF('ATP Pos'!E99&gt;0,"Buy",IF('ATP Pos'!E99&lt;0,"Sell"))))</f>
        <v/>
      </c>
      <c r="D99" t="str">
        <f>IF(A99="","",IF('ATP Pos'!E99="-","",IF('ATP Pos'!E99&gt;0,'ATP Pos'!E99,IF('ATP Pos'!E99&lt;0,-'ATP Pos'!E99))))</f>
        <v/>
      </c>
      <c r="E99" t="str">
        <f>IF(A99="","",LEFT('ATP Pos'!B99,F99-1))</f>
        <v/>
      </c>
      <c r="F99" t="str">
        <f>IF(A99="","",SEARCH("-",'ATP Pos'!B99,1))</f>
        <v/>
      </c>
      <c r="G99" t="str">
        <f>IF(A99="","",RIGHT('ATP Pos'!B99,3))</f>
        <v/>
      </c>
      <c r="H99" t="str">
        <f t="shared" si="5"/>
        <v/>
      </c>
      <c r="I99" t="str">
        <f t="shared" si="6"/>
        <v/>
      </c>
      <c r="J99" t="str">
        <f>IF(H99="","",VLOOKUP(I99,表3_3[],2,0))</f>
        <v/>
      </c>
      <c r="K99" t="str">
        <f>IF(H99="","",VLOOKUP(I99,表3_3[],3,0))</f>
        <v/>
      </c>
      <c r="L99" t="str">
        <f>IF(A99="","",IF(G99="LME","",VLOOKUP(RIGHT(E99,2),Helper1!$O$36:$P$48,2,0)))</f>
        <v/>
      </c>
      <c r="M99" t="str">
        <f t="shared" si="7"/>
        <v/>
      </c>
      <c r="N99" t="str">
        <f t="shared" si="8"/>
        <v/>
      </c>
      <c r="O99" t="str">
        <f t="shared" si="9"/>
        <v/>
      </c>
    </row>
    <row r="100" spans="1:15">
      <c r="A100" t="str">
        <f>IF('ATP Pos'!A100="","",LEFT('ATP Pos'!A100,B100-1))</f>
        <v/>
      </c>
      <c r="B100" t="str">
        <f>IF('ATP Pos'!A100="","",SEARCH("_",'ATP Pos'!A100,1))</f>
        <v/>
      </c>
      <c r="C100" t="str">
        <f>IF(A100="","",IF('ATP Pos'!E100="-","",IF('ATP Pos'!E100&gt;0,"Buy",IF('ATP Pos'!E100&lt;0,"Sell"))))</f>
        <v/>
      </c>
      <c r="D100" t="str">
        <f>IF(A100="","",IF('ATP Pos'!E100="-","",IF('ATP Pos'!E100&gt;0,'ATP Pos'!E100,IF('ATP Pos'!E100&lt;0,-'ATP Pos'!E100))))</f>
        <v/>
      </c>
      <c r="E100" t="str">
        <f>IF(A100="","",LEFT('ATP Pos'!B100,F100-1))</f>
        <v/>
      </c>
      <c r="F100" t="str">
        <f>IF(A100="","",SEARCH("-",'ATP Pos'!B100,1))</f>
        <v/>
      </c>
      <c r="G100" t="str">
        <f>IF(A100="","",RIGHT('ATP Pos'!B100,3))</f>
        <v/>
      </c>
      <c r="H100" t="str">
        <f t="shared" si="5"/>
        <v/>
      </c>
      <c r="I100" t="str">
        <f t="shared" si="6"/>
        <v/>
      </c>
      <c r="J100" t="str">
        <f>IF(H100="","",VLOOKUP(I100,表3_3[],2,0))</f>
        <v/>
      </c>
      <c r="K100" t="str">
        <f>IF(H100="","",VLOOKUP(I100,表3_3[],3,0))</f>
        <v/>
      </c>
      <c r="L100" t="str">
        <f>IF(A100="","",IF(G100="LME","",VLOOKUP(RIGHT(E100,2),Helper1!$O$36:$P$48,2,0)))</f>
        <v/>
      </c>
      <c r="M100" t="str">
        <f t="shared" si="7"/>
        <v/>
      </c>
      <c r="N100" t="str">
        <f t="shared" si="8"/>
        <v/>
      </c>
      <c r="O100" t="str">
        <f t="shared" si="9"/>
        <v/>
      </c>
    </row>
    <row r="101" spans="1:15">
      <c r="A101" t="str">
        <f>IF('ATP Pos'!A101="","",LEFT('ATP Pos'!A101,B101-1))</f>
        <v/>
      </c>
      <c r="B101" t="str">
        <f>IF('ATP Pos'!A101="","",SEARCH("_",'ATP Pos'!A101,1))</f>
        <v/>
      </c>
      <c r="C101" t="str">
        <f>IF(A101="","",IF('ATP Pos'!E101="-","",IF('ATP Pos'!E101&gt;0,"Buy",IF('ATP Pos'!E101&lt;0,"Sell"))))</f>
        <v/>
      </c>
      <c r="D101" t="str">
        <f>IF(A101="","",IF('ATP Pos'!E101="-","",IF('ATP Pos'!E101&gt;0,'ATP Pos'!E101,IF('ATP Pos'!E101&lt;0,-'ATP Pos'!E101))))</f>
        <v/>
      </c>
      <c r="E101" t="str">
        <f>IF(A101="","",LEFT('ATP Pos'!B101,F101-1))</f>
        <v/>
      </c>
      <c r="F101" t="str">
        <f>IF(A101="","",SEARCH("-",'ATP Pos'!B101,1))</f>
        <v/>
      </c>
      <c r="G101" t="str">
        <f>IF(A101="","",RIGHT('ATP Pos'!B101,3))</f>
        <v/>
      </c>
      <c r="H101" t="str">
        <f t="shared" si="5"/>
        <v/>
      </c>
      <c r="I101" t="str">
        <f t="shared" si="6"/>
        <v/>
      </c>
      <c r="J101" t="str">
        <f>IF(H101="","",VLOOKUP(I101,表3_3[],2,0))</f>
        <v/>
      </c>
      <c r="K101" t="str">
        <f>IF(H101="","",VLOOKUP(I101,表3_3[],3,0))</f>
        <v/>
      </c>
      <c r="L101" t="str">
        <f>IF(A101="","",IF(G101="LME","",VLOOKUP(RIGHT(E101,2),Helper1!$O$36:$P$48,2,0)))</f>
        <v/>
      </c>
      <c r="M101" t="str">
        <f t="shared" si="7"/>
        <v/>
      </c>
      <c r="N101" t="str">
        <f t="shared" si="8"/>
        <v/>
      </c>
      <c r="O101" t="str">
        <f t="shared" si="9"/>
        <v/>
      </c>
    </row>
    <row r="102" spans="1:15">
      <c r="A102" t="str">
        <f>IF('ATP Pos'!A102="","",LEFT('ATP Pos'!A102,B102-1))</f>
        <v/>
      </c>
      <c r="B102" t="str">
        <f>IF('ATP Pos'!A102="","",SEARCH("_",'ATP Pos'!A102,1))</f>
        <v/>
      </c>
      <c r="C102" t="str">
        <f>IF(A102="","",IF('ATP Pos'!E102="-","",IF('ATP Pos'!E102&gt;0,"Buy",IF('ATP Pos'!E102&lt;0,"Sell"))))</f>
        <v/>
      </c>
      <c r="D102" t="str">
        <f>IF(A102="","",IF('ATP Pos'!E102="-","",IF('ATP Pos'!E102&gt;0,'ATP Pos'!E102,IF('ATP Pos'!E102&lt;0,-'ATP Pos'!E102))))</f>
        <v/>
      </c>
      <c r="E102" t="str">
        <f>IF(A102="","",LEFT('ATP Pos'!B102,F102-1))</f>
        <v/>
      </c>
      <c r="F102" t="str">
        <f>IF(A102="","",SEARCH("-",'ATP Pos'!B102,1))</f>
        <v/>
      </c>
      <c r="G102" t="str">
        <f>IF(A102="","",RIGHT('ATP Pos'!B102,3))</f>
        <v/>
      </c>
      <c r="H102" t="str">
        <f t="shared" si="5"/>
        <v/>
      </c>
      <c r="I102" t="str">
        <f t="shared" si="6"/>
        <v/>
      </c>
      <c r="J102" t="str">
        <f>IF(H102="","",VLOOKUP(I102,表3_3[],2,0))</f>
        <v/>
      </c>
      <c r="K102" t="str">
        <f>IF(H102="","",VLOOKUP(I102,表3_3[],3,0))</f>
        <v/>
      </c>
      <c r="L102" t="str">
        <f>IF(A102="","",IF(G102="LME","",VLOOKUP(RIGHT(E102,2),Helper1!$O$36:$P$48,2,0)))</f>
        <v/>
      </c>
      <c r="M102" t="str">
        <f t="shared" si="7"/>
        <v/>
      </c>
      <c r="N102" t="str">
        <f t="shared" si="8"/>
        <v/>
      </c>
      <c r="O102" t="str">
        <f t="shared" si="9"/>
        <v/>
      </c>
    </row>
    <row r="103" spans="1:15">
      <c r="A103" t="str">
        <f>IF('ATP Pos'!A103="","",LEFT('ATP Pos'!A103,B103-1))</f>
        <v/>
      </c>
      <c r="B103" t="str">
        <f>IF('ATP Pos'!A103="","",SEARCH("_",'ATP Pos'!A103,1))</f>
        <v/>
      </c>
      <c r="C103" t="str">
        <f>IF(A103="","",IF('ATP Pos'!E103="-","",IF('ATP Pos'!E103&gt;0,"Buy",IF('ATP Pos'!E103&lt;0,"Sell"))))</f>
        <v/>
      </c>
      <c r="D103" t="str">
        <f>IF(A103="","",IF('ATP Pos'!E103="-","",IF('ATP Pos'!E103&gt;0,'ATP Pos'!E103,IF('ATP Pos'!E103&lt;0,-'ATP Pos'!E103))))</f>
        <v/>
      </c>
      <c r="E103" t="str">
        <f>IF(A103="","",LEFT('ATP Pos'!B103,F103-1))</f>
        <v/>
      </c>
      <c r="F103" t="str">
        <f>IF(A103="","",SEARCH("-",'ATP Pos'!B103,1))</f>
        <v/>
      </c>
      <c r="G103" t="str">
        <f>IF(A103="","",RIGHT('ATP Pos'!B103,3))</f>
        <v/>
      </c>
      <c r="H103" t="str">
        <f t="shared" si="5"/>
        <v/>
      </c>
      <c r="I103" t="str">
        <f t="shared" si="6"/>
        <v/>
      </c>
      <c r="J103" t="str">
        <f>IF(H103="","",VLOOKUP(I103,表3_3[],2,0))</f>
        <v/>
      </c>
      <c r="K103" t="str">
        <f>IF(H103="","",VLOOKUP(I103,表3_3[],3,0))</f>
        <v/>
      </c>
      <c r="L103" t="str">
        <f>IF(A103="","",IF(G103="LME","",VLOOKUP(RIGHT(E103,2),Helper1!$O$36:$P$48,2,0)))</f>
        <v/>
      </c>
      <c r="M103" t="str">
        <f t="shared" si="7"/>
        <v/>
      </c>
      <c r="N103" t="str">
        <f t="shared" si="8"/>
        <v/>
      </c>
      <c r="O103" t="str">
        <f t="shared" si="9"/>
        <v/>
      </c>
    </row>
    <row r="104" spans="1:15">
      <c r="A104" t="str">
        <f>IF('ATP Pos'!A104="","",LEFT('ATP Pos'!A104,B104-1))</f>
        <v/>
      </c>
      <c r="B104" t="str">
        <f>IF('ATP Pos'!A104="","",SEARCH("_",'ATP Pos'!A104,1))</f>
        <v/>
      </c>
      <c r="C104" t="str">
        <f>IF(A104="","",IF('ATP Pos'!E104="-","",IF('ATP Pos'!E104&gt;0,"Buy",IF('ATP Pos'!E104&lt;0,"Sell"))))</f>
        <v/>
      </c>
      <c r="D104" t="str">
        <f>IF(A104="","",IF('ATP Pos'!E104="-","",IF('ATP Pos'!E104&gt;0,'ATP Pos'!E104,IF('ATP Pos'!E104&lt;0,-'ATP Pos'!E104))))</f>
        <v/>
      </c>
      <c r="E104" t="str">
        <f>IF(A104="","",LEFT('ATP Pos'!B104,F104-1))</f>
        <v/>
      </c>
      <c r="F104" t="str">
        <f>IF(A104="","",SEARCH("-",'ATP Pos'!B104,1))</f>
        <v/>
      </c>
      <c r="G104" t="str">
        <f>IF(A104="","",RIGHT('ATP Pos'!B104,3))</f>
        <v/>
      </c>
      <c r="H104" t="str">
        <f t="shared" si="5"/>
        <v/>
      </c>
      <c r="I104" t="str">
        <f t="shared" si="6"/>
        <v/>
      </c>
      <c r="J104" t="str">
        <f>IF(H104="","",VLOOKUP(I104,表3_3[],2,0))</f>
        <v/>
      </c>
      <c r="K104" t="str">
        <f>IF(H104="","",VLOOKUP(I104,表3_3[],3,0))</f>
        <v/>
      </c>
      <c r="L104" t="str">
        <f>IF(A104="","",IF(G104="LME","",VLOOKUP(RIGHT(E104,2),Helper1!$O$36:$P$48,2,0)))</f>
        <v/>
      </c>
      <c r="M104" t="str">
        <f t="shared" si="7"/>
        <v/>
      </c>
      <c r="N104" t="str">
        <f t="shared" si="8"/>
        <v/>
      </c>
      <c r="O104" t="str">
        <f t="shared" si="9"/>
        <v/>
      </c>
    </row>
    <row r="105" spans="1:15">
      <c r="A105" t="str">
        <f>IF('ATP Pos'!A105="","",LEFT('ATP Pos'!A105,B105-1))</f>
        <v/>
      </c>
      <c r="B105" t="str">
        <f>IF('ATP Pos'!A105="","",SEARCH("_",'ATP Pos'!A105,1))</f>
        <v/>
      </c>
      <c r="C105" t="str">
        <f>IF(A105="","",IF('ATP Pos'!E105="-","",IF('ATP Pos'!E105&gt;0,"Buy",IF('ATP Pos'!E105&lt;0,"Sell"))))</f>
        <v/>
      </c>
      <c r="D105" t="str">
        <f>IF(A105="","",IF('ATP Pos'!E105="-","",IF('ATP Pos'!E105&gt;0,'ATP Pos'!E105,IF('ATP Pos'!E105&lt;0,-'ATP Pos'!E105))))</f>
        <v/>
      </c>
      <c r="E105" t="str">
        <f>IF(A105="","",LEFT('ATP Pos'!B105,F105-1))</f>
        <v/>
      </c>
      <c r="F105" t="str">
        <f>IF(A105="","",SEARCH("-",'ATP Pos'!B105,1))</f>
        <v/>
      </c>
      <c r="G105" t="str">
        <f>IF(A105="","",RIGHT('ATP Pos'!B105,3))</f>
        <v/>
      </c>
      <c r="H105" t="str">
        <f t="shared" si="5"/>
        <v/>
      </c>
      <c r="I105" t="str">
        <f t="shared" si="6"/>
        <v/>
      </c>
      <c r="J105" t="str">
        <f>IF(H105="","",VLOOKUP(I105,表3_3[],2,0))</f>
        <v/>
      </c>
      <c r="K105" t="str">
        <f>IF(H105="","",VLOOKUP(I105,表3_3[],3,0))</f>
        <v/>
      </c>
      <c r="L105" t="str">
        <f>IF(A105="","",IF(G105="LME","",VLOOKUP(RIGHT(E105,2),Helper1!$O$36:$P$48,2,0)))</f>
        <v/>
      </c>
      <c r="M105" t="str">
        <f t="shared" si="7"/>
        <v/>
      </c>
      <c r="N105" t="str">
        <f t="shared" si="8"/>
        <v/>
      </c>
      <c r="O105" t="str">
        <f t="shared" si="9"/>
        <v/>
      </c>
    </row>
    <row r="106" spans="1:15">
      <c r="A106" t="str">
        <f>IF('ATP Pos'!A106="","",LEFT('ATP Pos'!A106,B106-1))</f>
        <v/>
      </c>
      <c r="B106" t="str">
        <f>IF('ATP Pos'!A106="","",SEARCH("_",'ATP Pos'!A106,1))</f>
        <v/>
      </c>
      <c r="C106" t="str">
        <f>IF(A106="","",IF('ATP Pos'!E106="-","",IF('ATP Pos'!E106&gt;0,"Buy",IF('ATP Pos'!E106&lt;0,"Sell"))))</f>
        <v/>
      </c>
      <c r="D106" t="str">
        <f>IF(A106="","",IF('ATP Pos'!E106="-","",IF('ATP Pos'!E106&gt;0,'ATP Pos'!E106,IF('ATP Pos'!E106&lt;0,-'ATP Pos'!E106))))</f>
        <v/>
      </c>
      <c r="E106" t="str">
        <f>IF(A106="","",LEFT('ATP Pos'!B106,F106-1))</f>
        <v/>
      </c>
      <c r="F106" t="str">
        <f>IF(A106="","",SEARCH("-",'ATP Pos'!B106,1))</f>
        <v/>
      </c>
      <c r="G106" t="str">
        <f>IF(A106="","",RIGHT('ATP Pos'!B106,3))</f>
        <v/>
      </c>
      <c r="H106" t="str">
        <f t="shared" si="5"/>
        <v/>
      </c>
      <c r="I106" t="str">
        <f t="shared" si="6"/>
        <v/>
      </c>
      <c r="J106" t="str">
        <f>IF(H106="","",VLOOKUP(I106,表3_3[],2,0))</f>
        <v/>
      </c>
      <c r="K106" t="str">
        <f>IF(H106="","",VLOOKUP(I106,表3_3[],3,0))</f>
        <v/>
      </c>
      <c r="L106" t="str">
        <f>IF(A106="","",IF(G106="LME","",VLOOKUP(RIGHT(E106,2),Helper1!$O$36:$P$48,2,0)))</f>
        <v/>
      </c>
      <c r="M106" t="str">
        <f t="shared" si="7"/>
        <v/>
      </c>
      <c r="N106" t="str">
        <f t="shared" si="8"/>
        <v/>
      </c>
      <c r="O106" t="str">
        <f t="shared" si="9"/>
        <v/>
      </c>
    </row>
    <row r="107" spans="1:15">
      <c r="A107" t="str">
        <f>IF('ATP Pos'!A107="","",LEFT('ATP Pos'!A107,B107-1))</f>
        <v/>
      </c>
      <c r="B107" t="str">
        <f>IF('ATP Pos'!A107="","",SEARCH("_",'ATP Pos'!A107,1))</f>
        <v/>
      </c>
      <c r="C107" t="str">
        <f>IF(A107="","",IF('ATP Pos'!E107="-","",IF('ATP Pos'!E107&gt;0,"Buy",IF('ATP Pos'!E107&lt;0,"Sell"))))</f>
        <v/>
      </c>
      <c r="D107" t="str">
        <f>IF(A107="","",IF('ATP Pos'!E107="-","",IF('ATP Pos'!E107&gt;0,'ATP Pos'!E107,IF('ATP Pos'!E107&lt;0,-'ATP Pos'!E107))))</f>
        <v/>
      </c>
      <c r="E107" t="str">
        <f>IF(A107="","",LEFT('ATP Pos'!B107,F107-1))</f>
        <v/>
      </c>
      <c r="F107" t="str">
        <f>IF(A107="","",SEARCH("-",'ATP Pos'!B107,1))</f>
        <v/>
      </c>
      <c r="G107" t="str">
        <f>IF(A107="","",RIGHT('ATP Pos'!B107,3))</f>
        <v/>
      </c>
      <c r="H107" t="str">
        <f t="shared" si="5"/>
        <v/>
      </c>
      <c r="I107" t="str">
        <f t="shared" si="6"/>
        <v/>
      </c>
      <c r="J107" t="str">
        <f>IF(H107="","",VLOOKUP(I107,表3_3[],2,0))</f>
        <v/>
      </c>
      <c r="K107" t="str">
        <f>IF(H107="","",VLOOKUP(I107,表3_3[],3,0))</f>
        <v/>
      </c>
      <c r="L107" t="str">
        <f>IF(A107="","",IF(G107="LME","",VLOOKUP(RIGHT(E107,2),Helper1!$O$36:$P$48,2,0)))</f>
        <v/>
      </c>
      <c r="M107" t="str">
        <f t="shared" si="7"/>
        <v/>
      </c>
      <c r="N107" t="str">
        <f t="shared" si="8"/>
        <v/>
      </c>
      <c r="O107" t="str">
        <f t="shared" si="9"/>
        <v/>
      </c>
    </row>
    <row r="108" spans="1:15">
      <c r="A108" t="str">
        <f>IF('ATP Pos'!A108="","",LEFT('ATP Pos'!A108,B108-1))</f>
        <v/>
      </c>
      <c r="B108" t="str">
        <f>IF('ATP Pos'!A108="","",SEARCH("_",'ATP Pos'!A108,1))</f>
        <v/>
      </c>
      <c r="C108" t="str">
        <f>IF(A108="","",IF('ATP Pos'!E108="-","",IF('ATP Pos'!E108&gt;0,"Buy",IF('ATP Pos'!E108&lt;0,"Sell"))))</f>
        <v/>
      </c>
      <c r="D108" t="str">
        <f>IF(A108="","",IF('ATP Pos'!E108="-","",IF('ATP Pos'!E108&gt;0,'ATP Pos'!E108,IF('ATP Pos'!E108&lt;0,-'ATP Pos'!E108))))</f>
        <v/>
      </c>
      <c r="E108" t="str">
        <f>IF(A108="","",LEFT('ATP Pos'!B108,F108-1))</f>
        <v/>
      </c>
      <c r="F108" t="str">
        <f>IF(A108="","",SEARCH("-",'ATP Pos'!B108,1))</f>
        <v/>
      </c>
      <c r="G108" t="str">
        <f>IF(A108="","",RIGHT('ATP Pos'!B108,3))</f>
        <v/>
      </c>
      <c r="H108" t="str">
        <f t="shared" si="5"/>
        <v/>
      </c>
      <c r="I108" t="str">
        <f t="shared" si="6"/>
        <v/>
      </c>
      <c r="J108" t="str">
        <f>IF(H108="","",VLOOKUP(I108,表3_3[],2,0))</f>
        <v/>
      </c>
      <c r="K108" t="str">
        <f>IF(H108="","",VLOOKUP(I108,表3_3[],3,0))</f>
        <v/>
      </c>
      <c r="L108" t="str">
        <f>IF(A108="","",IF(G108="LME","",VLOOKUP(RIGHT(E108,2),Helper1!$O$36:$P$48,2,0)))</f>
        <v/>
      </c>
      <c r="M108" t="str">
        <f t="shared" si="7"/>
        <v/>
      </c>
      <c r="N108" t="str">
        <f t="shared" si="8"/>
        <v/>
      </c>
      <c r="O108" t="str">
        <f t="shared" si="9"/>
        <v/>
      </c>
    </row>
    <row r="109" spans="1:15">
      <c r="A109" t="str">
        <f>IF('ATP Pos'!A109="","",LEFT('ATP Pos'!A109,B109-1))</f>
        <v/>
      </c>
      <c r="B109" t="str">
        <f>IF('ATP Pos'!A109="","",SEARCH("_",'ATP Pos'!A109,1))</f>
        <v/>
      </c>
      <c r="C109" t="str">
        <f>IF(A109="","",IF('ATP Pos'!E109="-","",IF('ATP Pos'!E109&gt;0,"Buy",IF('ATP Pos'!E109&lt;0,"Sell"))))</f>
        <v/>
      </c>
      <c r="D109" t="str">
        <f>IF(A109="","",IF('ATP Pos'!E109="-","",IF('ATP Pos'!E109&gt;0,'ATP Pos'!E109,IF('ATP Pos'!E109&lt;0,-'ATP Pos'!E109))))</f>
        <v/>
      </c>
      <c r="E109" t="str">
        <f>IF(A109="","",LEFT('ATP Pos'!B109,F109-1))</f>
        <v/>
      </c>
      <c r="F109" t="str">
        <f>IF(A109="","",SEARCH("-",'ATP Pos'!B109,1))</f>
        <v/>
      </c>
      <c r="G109" t="str">
        <f>IF(A109="","",RIGHT('ATP Pos'!B109,3))</f>
        <v/>
      </c>
      <c r="H109" t="str">
        <f t="shared" si="5"/>
        <v/>
      </c>
      <c r="I109" t="str">
        <f t="shared" si="6"/>
        <v/>
      </c>
      <c r="J109" t="str">
        <f>IF(H109="","",VLOOKUP(I109,表3_3[],2,0))</f>
        <v/>
      </c>
      <c r="K109" t="str">
        <f>IF(H109="","",VLOOKUP(I109,表3_3[],3,0))</f>
        <v/>
      </c>
      <c r="L109" t="str">
        <f>IF(A109="","",IF(G109="LME","",VLOOKUP(RIGHT(E109,2),Helper1!$O$36:$P$48,2,0)))</f>
        <v/>
      </c>
      <c r="M109" t="str">
        <f t="shared" si="7"/>
        <v/>
      </c>
      <c r="N109" t="str">
        <f t="shared" si="8"/>
        <v/>
      </c>
      <c r="O109" t="str">
        <f t="shared" si="9"/>
        <v/>
      </c>
    </row>
    <row r="110" spans="1:15">
      <c r="A110" t="str">
        <f>IF('ATP Pos'!A110="","",LEFT('ATP Pos'!A110,B110-1))</f>
        <v/>
      </c>
      <c r="B110" t="str">
        <f>IF('ATP Pos'!A110="","",SEARCH("_",'ATP Pos'!A110,1))</f>
        <v/>
      </c>
      <c r="C110" t="str">
        <f>IF(A110="","",IF('ATP Pos'!E110="-","",IF('ATP Pos'!E110&gt;0,"Buy",IF('ATP Pos'!E110&lt;0,"Sell"))))</f>
        <v/>
      </c>
      <c r="D110" t="str">
        <f>IF(A110="","",IF('ATP Pos'!E110="-","",IF('ATP Pos'!E110&gt;0,'ATP Pos'!E110,IF('ATP Pos'!E110&lt;0,-'ATP Pos'!E110))))</f>
        <v/>
      </c>
      <c r="E110" t="str">
        <f>IF(A110="","",LEFT('ATP Pos'!B110,F110-1))</f>
        <v/>
      </c>
      <c r="F110" t="str">
        <f>IF(A110="","",SEARCH("-",'ATP Pos'!B110,1))</f>
        <v/>
      </c>
      <c r="G110" t="str">
        <f>IF(A110="","",RIGHT('ATP Pos'!B110,3))</f>
        <v/>
      </c>
      <c r="H110" t="str">
        <f t="shared" si="5"/>
        <v/>
      </c>
      <c r="I110" t="str">
        <f t="shared" si="6"/>
        <v/>
      </c>
      <c r="J110" t="str">
        <f>IF(H110="","",VLOOKUP(I110,表3_3[],2,0))</f>
        <v/>
      </c>
      <c r="K110" t="str">
        <f>IF(H110="","",VLOOKUP(I110,表3_3[],3,0))</f>
        <v/>
      </c>
      <c r="L110" t="str">
        <f>IF(A110="","",IF(G110="LME","",VLOOKUP(RIGHT(E110,2),Helper1!$O$36:$P$48,2,0)))</f>
        <v/>
      </c>
      <c r="M110" t="str">
        <f t="shared" si="7"/>
        <v/>
      </c>
      <c r="N110" t="str">
        <f t="shared" si="8"/>
        <v/>
      </c>
      <c r="O110" t="str">
        <f t="shared" si="9"/>
        <v/>
      </c>
    </row>
    <row r="111" spans="1:15">
      <c r="A111" t="str">
        <f>IF('ATP Pos'!A111="","",LEFT('ATP Pos'!A111,B111-1))</f>
        <v/>
      </c>
      <c r="B111" t="str">
        <f>IF('ATP Pos'!A111="","",SEARCH("_",'ATP Pos'!A111,1))</f>
        <v/>
      </c>
      <c r="C111" t="str">
        <f>IF(A111="","",IF('ATP Pos'!E111="-","",IF('ATP Pos'!E111&gt;0,"Buy",IF('ATP Pos'!E111&lt;0,"Sell"))))</f>
        <v/>
      </c>
      <c r="D111" t="str">
        <f>IF(A111="","",IF('ATP Pos'!E111="-","",IF('ATP Pos'!E111&gt;0,'ATP Pos'!E111,IF('ATP Pos'!E111&lt;0,-'ATP Pos'!E111))))</f>
        <v/>
      </c>
      <c r="E111" t="str">
        <f>IF(A111="","",LEFT('ATP Pos'!B111,F111-1))</f>
        <v/>
      </c>
      <c r="F111" t="str">
        <f>IF(A111="","",SEARCH("-",'ATP Pos'!B111,1))</f>
        <v/>
      </c>
      <c r="G111" t="str">
        <f>IF(A111="","",RIGHT('ATP Pos'!B111,3))</f>
        <v/>
      </c>
      <c r="H111" t="str">
        <f t="shared" si="5"/>
        <v/>
      </c>
      <c r="I111" t="str">
        <f t="shared" si="6"/>
        <v/>
      </c>
      <c r="J111" t="str">
        <f>IF(H111="","",VLOOKUP(I111,表3_3[],2,0))</f>
        <v/>
      </c>
      <c r="K111" t="str">
        <f>IF(H111="","",VLOOKUP(I111,表3_3[],3,0))</f>
        <v/>
      </c>
      <c r="L111" t="str">
        <f>IF(A111="","",IF(G111="LME","",VLOOKUP(RIGHT(E111,2),Helper1!$O$36:$P$48,2,0)))</f>
        <v/>
      </c>
      <c r="M111" t="str">
        <f t="shared" si="7"/>
        <v/>
      </c>
      <c r="N111" t="str">
        <f t="shared" si="8"/>
        <v/>
      </c>
      <c r="O111" t="str">
        <f t="shared" si="9"/>
        <v/>
      </c>
    </row>
    <row r="112" spans="1:15">
      <c r="A112" t="str">
        <f>IF('ATP Pos'!A112="","",LEFT('ATP Pos'!A112,B112-1))</f>
        <v/>
      </c>
      <c r="B112" t="str">
        <f>IF('ATP Pos'!A112="","",SEARCH("_",'ATP Pos'!A112,1))</f>
        <v/>
      </c>
      <c r="C112" t="str">
        <f>IF(A112="","",IF('ATP Pos'!E112="-","",IF('ATP Pos'!E112&gt;0,"Buy",IF('ATP Pos'!E112&lt;0,"Sell"))))</f>
        <v/>
      </c>
      <c r="D112" t="str">
        <f>IF(A112="","",IF('ATP Pos'!E112="-","",IF('ATP Pos'!E112&gt;0,'ATP Pos'!E112,IF('ATP Pos'!E112&lt;0,-'ATP Pos'!E112))))</f>
        <v/>
      </c>
      <c r="E112" t="str">
        <f>IF(A112="","",LEFT('ATP Pos'!B112,F112-1))</f>
        <v/>
      </c>
      <c r="F112" t="str">
        <f>IF(A112="","",SEARCH("-",'ATP Pos'!B112,1))</f>
        <v/>
      </c>
      <c r="G112" t="str">
        <f>IF(A112="","",RIGHT('ATP Pos'!B112,3))</f>
        <v/>
      </c>
      <c r="H112" t="str">
        <f t="shared" si="5"/>
        <v/>
      </c>
      <c r="I112" t="str">
        <f t="shared" si="6"/>
        <v/>
      </c>
      <c r="J112" t="str">
        <f>IF(H112="","",VLOOKUP(I112,表3_3[],2,0))</f>
        <v/>
      </c>
      <c r="K112" t="str">
        <f>IF(H112="","",VLOOKUP(I112,表3_3[],3,0))</f>
        <v/>
      </c>
      <c r="L112" t="str">
        <f>IF(A112="","",IF(G112="LME","",VLOOKUP(RIGHT(E112,2),Helper1!$O$36:$P$48,2,0)))</f>
        <v/>
      </c>
      <c r="M112" t="str">
        <f t="shared" si="7"/>
        <v/>
      </c>
      <c r="N112" t="str">
        <f t="shared" si="8"/>
        <v/>
      </c>
      <c r="O112" t="str">
        <f t="shared" si="9"/>
        <v/>
      </c>
    </row>
    <row r="113" spans="1:15">
      <c r="A113" t="str">
        <f>IF('ATP Pos'!A113="","",LEFT('ATP Pos'!A113,B113-1))</f>
        <v/>
      </c>
      <c r="B113" t="str">
        <f>IF('ATP Pos'!A113="","",SEARCH("_",'ATP Pos'!A113,1))</f>
        <v/>
      </c>
      <c r="C113" t="str">
        <f>IF(A113="","",IF('ATP Pos'!E113="-","",IF('ATP Pos'!E113&gt;0,"Buy",IF('ATP Pos'!E113&lt;0,"Sell"))))</f>
        <v/>
      </c>
      <c r="D113" t="str">
        <f>IF(A113="","",IF('ATP Pos'!E113="-","",IF('ATP Pos'!E113&gt;0,'ATP Pos'!E113,IF('ATP Pos'!E113&lt;0,-'ATP Pos'!E113))))</f>
        <v/>
      </c>
      <c r="E113" t="str">
        <f>IF(A113="","",LEFT('ATP Pos'!B113,F113-1))</f>
        <v/>
      </c>
      <c r="F113" t="str">
        <f>IF(A113="","",SEARCH("-",'ATP Pos'!B113,1))</f>
        <v/>
      </c>
      <c r="G113" t="str">
        <f>IF(A113="","",RIGHT('ATP Pos'!B113,3))</f>
        <v/>
      </c>
      <c r="H113" t="str">
        <f t="shared" si="5"/>
        <v/>
      </c>
      <c r="I113" t="str">
        <f t="shared" si="6"/>
        <v/>
      </c>
      <c r="J113" t="str">
        <f>IF(H113="","",VLOOKUP(I113,表3_3[],2,0))</f>
        <v/>
      </c>
      <c r="K113" t="str">
        <f>IF(H113="","",VLOOKUP(I113,表3_3[],3,0))</f>
        <v/>
      </c>
      <c r="L113" t="str">
        <f>IF(A113="","",IF(G113="LME","",VLOOKUP(RIGHT(E113,2),Helper1!$O$36:$P$48,2,0)))</f>
        <v/>
      </c>
      <c r="M113" t="str">
        <f t="shared" si="7"/>
        <v/>
      </c>
      <c r="N113" t="str">
        <f t="shared" si="8"/>
        <v/>
      </c>
      <c r="O113" t="str">
        <f t="shared" si="9"/>
        <v/>
      </c>
    </row>
    <row r="114" spans="1:15">
      <c r="A114" t="str">
        <f>IF('ATP Pos'!A114="","",LEFT('ATP Pos'!A114,B114-1))</f>
        <v/>
      </c>
      <c r="B114" t="str">
        <f>IF('ATP Pos'!A114="","",SEARCH("_",'ATP Pos'!A114,1))</f>
        <v/>
      </c>
      <c r="C114" t="str">
        <f>IF(A114="","",IF('ATP Pos'!E114="-","",IF('ATP Pos'!E114&gt;0,"Buy",IF('ATP Pos'!E114&lt;0,"Sell"))))</f>
        <v/>
      </c>
      <c r="D114" t="str">
        <f>IF(A114="","",IF('ATP Pos'!E114="-","",IF('ATP Pos'!E114&gt;0,'ATP Pos'!E114,IF('ATP Pos'!E114&lt;0,-'ATP Pos'!E114))))</f>
        <v/>
      </c>
      <c r="E114" t="str">
        <f>IF(A114="","",LEFT('ATP Pos'!B114,F114-1))</f>
        <v/>
      </c>
      <c r="F114" t="str">
        <f>IF(A114="","",SEARCH("-",'ATP Pos'!B114,1))</f>
        <v/>
      </c>
      <c r="G114" t="str">
        <f>IF(A114="","",RIGHT('ATP Pos'!B114,3))</f>
        <v/>
      </c>
      <c r="H114" t="str">
        <f t="shared" si="5"/>
        <v/>
      </c>
      <c r="I114" t="str">
        <f t="shared" si="6"/>
        <v/>
      </c>
      <c r="J114" t="str">
        <f>IF(H114="","",VLOOKUP(I114,表3_3[],2,0))</f>
        <v/>
      </c>
      <c r="K114" t="str">
        <f>IF(H114="","",VLOOKUP(I114,表3_3[],3,0))</f>
        <v/>
      </c>
      <c r="L114" t="str">
        <f>IF(A114="","",IF(G114="LME","",VLOOKUP(RIGHT(E114,2),Helper1!$O$36:$P$48,2,0)))</f>
        <v/>
      </c>
      <c r="M114" t="str">
        <f t="shared" si="7"/>
        <v/>
      </c>
      <c r="N114" t="str">
        <f t="shared" si="8"/>
        <v/>
      </c>
      <c r="O114" t="str">
        <f t="shared" si="9"/>
        <v/>
      </c>
    </row>
    <row r="115" spans="1:15">
      <c r="A115" t="str">
        <f>IF('ATP Pos'!A115="","",LEFT('ATP Pos'!A115,B115-1))</f>
        <v/>
      </c>
      <c r="B115" t="str">
        <f>IF('ATP Pos'!A115="","",SEARCH("_",'ATP Pos'!A115,1))</f>
        <v/>
      </c>
      <c r="C115" t="str">
        <f>IF(A115="","",IF('ATP Pos'!E115="-","",IF('ATP Pos'!E115&gt;0,"Buy",IF('ATP Pos'!E115&lt;0,"Sell"))))</f>
        <v/>
      </c>
      <c r="D115" t="str">
        <f>IF(A115="","",IF('ATP Pos'!E115="-","",IF('ATP Pos'!E115&gt;0,'ATP Pos'!E115,IF('ATP Pos'!E115&lt;0,-'ATP Pos'!E115))))</f>
        <v/>
      </c>
      <c r="E115" t="str">
        <f>IF(A115="","",LEFT('ATP Pos'!B115,F115-1))</f>
        <v/>
      </c>
      <c r="F115" t="str">
        <f>IF(A115="","",SEARCH("-",'ATP Pos'!B115,1))</f>
        <v/>
      </c>
      <c r="G115" t="str">
        <f>IF(A115="","",RIGHT('ATP Pos'!B115,3))</f>
        <v/>
      </c>
      <c r="H115" t="str">
        <f t="shared" si="5"/>
        <v/>
      </c>
      <c r="I115" t="str">
        <f t="shared" si="6"/>
        <v/>
      </c>
      <c r="J115" t="str">
        <f>IF(H115="","",VLOOKUP(I115,表3_3[],2,0))</f>
        <v/>
      </c>
      <c r="K115" t="str">
        <f>IF(H115="","",VLOOKUP(I115,表3_3[],3,0))</f>
        <v/>
      </c>
      <c r="L115" t="str">
        <f>IF(A115="","",IF(G115="LME","",VLOOKUP(RIGHT(E115,2),Helper1!$O$36:$P$48,2,0)))</f>
        <v/>
      </c>
      <c r="M115" t="str">
        <f t="shared" si="7"/>
        <v/>
      </c>
      <c r="N115" t="str">
        <f t="shared" si="8"/>
        <v/>
      </c>
      <c r="O115" t="str">
        <f t="shared" si="9"/>
        <v/>
      </c>
    </row>
    <row r="116" spans="1:15">
      <c r="A116" t="str">
        <f>IF('ATP Pos'!A116="","",LEFT('ATP Pos'!A116,B116-1))</f>
        <v/>
      </c>
      <c r="B116" t="str">
        <f>IF('ATP Pos'!A116="","",SEARCH("_",'ATP Pos'!A116,1))</f>
        <v/>
      </c>
      <c r="C116" t="str">
        <f>IF(A116="","",IF('ATP Pos'!E116="-","",IF('ATP Pos'!E116&gt;0,"Buy",IF('ATP Pos'!E116&lt;0,"Sell"))))</f>
        <v/>
      </c>
      <c r="D116" t="str">
        <f>IF(A116="","",IF('ATP Pos'!E116="-","",IF('ATP Pos'!E116&gt;0,'ATP Pos'!E116,IF('ATP Pos'!E116&lt;0,-'ATP Pos'!E116))))</f>
        <v/>
      </c>
      <c r="E116" t="str">
        <f>IF(A116="","",LEFT('ATP Pos'!B116,F116-1))</f>
        <v/>
      </c>
      <c r="F116" t="str">
        <f>IF(A116="","",SEARCH("-",'ATP Pos'!B116,1))</f>
        <v/>
      </c>
      <c r="G116" t="str">
        <f>IF(A116="","",RIGHT('ATP Pos'!B116,3))</f>
        <v/>
      </c>
      <c r="H116" t="str">
        <f t="shared" si="5"/>
        <v/>
      </c>
      <c r="I116" t="str">
        <f t="shared" si="6"/>
        <v/>
      </c>
      <c r="J116" t="str">
        <f>IF(H116="","",VLOOKUP(I116,表3_3[],2,0))</f>
        <v/>
      </c>
      <c r="K116" t="str">
        <f>IF(H116="","",VLOOKUP(I116,表3_3[],3,0))</f>
        <v/>
      </c>
      <c r="L116" t="str">
        <f>IF(A116="","",IF(G116="LME","",VLOOKUP(RIGHT(E116,2),Helper1!$O$36:$P$48,2,0)))</f>
        <v/>
      </c>
      <c r="M116" t="str">
        <f t="shared" si="7"/>
        <v/>
      </c>
      <c r="N116" t="str">
        <f t="shared" si="8"/>
        <v/>
      </c>
      <c r="O116" t="str">
        <f t="shared" si="9"/>
        <v/>
      </c>
    </row>
    <row r="117" spans="1:15">
      <c r="A117" t="str">
        <f>IF('ATP Pos'!A117="","",LEFT('ATP Pos'!A117,B117-1))</f>
        <v/>
      </c>
      <c r="B117" t="str">
        <f>IF('ATP Pos'!A117="","",SEARCH("_",'ATP Pos'!A117,1))</f>
        <v/>
      </c>
      <c r="C117" t="str">
        <f>IF(A117="","",IF('ATP Pos'!E117="-","",IF('ATP Pos'!E117&gt;0,"Buy",IF('ATP Pos'!E117&lt;0,"Sell"))))</f>
        <v/>
      </c>
      <c r="D117" t="str">
        <f>IF(A117="","",IF('ATP Pos'!E117="-","",IF('ATP Pos'!E117&gt;0,'ATP Pos'!E117,IF('ATP Pos'!E117&lt;0,-'ATP Pos'!E117))))</f>
        <v/>
      </c>
      <c r="E117" t="str">
        <f>IF(A117="","",LEFT('ATP Pos'!B117,F117-1))</f>
        <v/>
      </c>
      <c r="F117" t="str">
        <f>IF(A117="","",SEARCH("-",'ATP Pos'!B117,1))</f>
        <v/>
      </c>
      <c r="G117" t="str">
        <f>IF(A117="","",RIGHT('ATP Pos'!B117,3))</f>
        <v/>
      </c>
      <c r="H117" t="str">
        <f t="shared" si="5"/>
        <v/>
      </c>
      <c r="I117" t="str">
        <f t="shared" si="6"/>
        <v/>
      </c>
      <c r="J117" t="str">
        <f>IF(H117="","",VLOOKUP(I117,表3_3[],2,0))</f>
        <v/>
      </c>
      <c r="K117" t="str">
        <f>IF(H117="","",VLOOKUP(I117,表3_3[],3,0))</f>
        <v/>
      </c>
      <c r="L117" t="str">
        <f>IF(A117="","",IF(G117="LME","",VLOOKUP(RIGHT(E117,2),Helper1!$O$36:$P$48,2,0)))</f>
        <v/>
      </c>
      <c r="M117" t="str">
        <f t="shared" si="7"/>
        <v/>
      </c>
      <c r="N117" t="str">
        <f t="shared" si="8"/>
        <v/>
      </c>
      <c r="O117" t="str">
        <f t="shared" si="9"/>
        <v/>
      </c>
    </row>
    <row r="118" spans="1:15">
      <c r="A118" t="str">
        <f>IF('ATP Pos'!A118="","",LEFT('ATP Pos'!A118,B118-1))</f>
        <v/>
      </c>
      <c r="B118" t="str">
        <f>IF('ATP Pos'!A118="","",SEARCH("_",'ATP Pos'!A118,1))</f>
        <v/>
      </c>
      <c r="C118" t="str">
        <f>IF(A118="","",IF('ATP Pos'!E118="-","",IF('ATP Pos'!E118&gt;0,"Buy",IF('ATP Pos'!E118&lt;0,"Sell"))))</f>
        <v/>
      </c>
      <c r="D118" t="str">
        <f>IF(A118="","",IF('ATP Pos'!E118="-","",IF('ATP Pos'!E118&gt;0,'ATP Pos'!E118,IF('ATP Pos'!E118&lt;0,-'ATP Pos'!E118))))</f>
        <v/>
      </c>
      <c r="E118" t="str">
        <f>IF(A118="","",LEFT('ATP Pos'!B118,F118-1))</f>
        <v/>
      </c>
      <c r="F118" t="str">
        <f>IF(A118="","",SEARCH("-",'ATP Pos'!B118,1))</f>
        <v/>
      </c>
      <c r="G118" t="str">
        <f>IF(A118="","",RIGHT('ATP Pos'!B118,3))</f>
        <v/>
      </c>
      <c r="H118" t="str">
        <f t="shared" si="5"/>
        <v/>
      </c>
      <c r="I118" t="str">
        <f t="shared" si="6"/>
        <v/>
      </c>
      <c r="J118" t="str">
        <f>IF(H118="","",VLOOKUP(I118,表3_3[],2,0))</f>
        <v/>
      </c>
      <c r="K118" t="str">
        <f>IF(H118="","",VLOOKUP(I118,表3_3[],3,0))</f>
        <v/>
      </c>
      <c r="L118" t="str">
        <f>IF(A118="","",IF(G118="LME","",VLOOKUP(RIGHT(E118,2),Helper1!$O$36:$P$48,2,0)))</f>
        <v/>
      </c>
      <c r="M118" t="str">
        <f t="shared" si="7"/>
        <v/>
      </c>
      <c r="N118" t="str">
        <f t="shared" si="8"/>
        <v/>
      </c>
      <c r="O118" t="str">
        <f t="shared" si="9"/>
        <v/>
      </c>
    </row>
    <row r="119" spans="1:15">
      <c r="A119" t="str">
        <f>IF('ATP Pos'!A119="","",LEFT('ATP Pos'!A119,B119-1))</f>
        <v/>
      </c>
      <c r="B119" t="str">
        <f>IF('ATP Pos'!A119="","",SEARCH("_",'ATP Pos'!A119,1))</f>
        <v/>
      </c>
      <c r="C119" t="str">
        <f>IF(A119="","",IF('ATP Pos'!E119="-","",IF('ATP Pos'!E119&gt;0,"Buy",IF('ATP Pos'!E119&lt;0,"Sell"))))</f>
        <v/>
      </c>
      <c r="D119" t="str">
        <f>IF(A119="","",IF('ATP Pos'!E119="-","",IF('ATP Pos'!E119&gt;0,'ATP Pos'!E119,IF('ATP Pos'!E119&lt;0,-'ATP Pos'!E119))))</f>
        <v/>
      </c>
      <c r="E119" t="str">
        <f>IF(A119="","",LEFT('ATP Pos'!B119,F119-1))</f>
        <v/>
      </c>
      <c r="F119" t="str">
        <f>IF(A119="","",SEARCH("-",'ATP Pos'!B119,1))</f>
        <v/>
      </c>
      <c r="G119" t="str">
        <f>IF(A119="","",RIGHT('ATP Pos'!B119,3))</f>
        <v/>
      </c>
      <c r="H119" t="str">
        <f t="shared" si="5"/>
        <v/>
      </c>
      <c r="I119" t="str">
        <f t="shared" si="6"/>
        <v/>
      </c>
      <c r="J119" t="str">
        <f>IF(H119="","",VLOOKUP(I119,表3_3[],2,0))</f>
        <v/>
      </c>
      <c r="K119" t="str">
        <f>IF(H119="","",VLOOKUP(I119,表3_3[],3,0))</f>
        <v/>
      </c>
      <c r="L119" t="str">
        <f>IF(A119="","",IF(G119="LME","",VLOOKUP(RIGHT(E119,2),Helper1!$O$36:$P$48,2,0)))</f>
        <v/>
      </c>
      <c r="M119" t="str">
        <f t="shared" si="7"/>
        <v/>
      </c>
      <c r="N119" t="str">
        <f t="shared" si="8"/>
        <v/>
      </c>
      <c r="O119" t="str">
        <f t="shared" si="9"/>
        <v/>
      </c>
    </row>
    <row r="120" spans="1:15">
      <c r="A120" t="str">
        <f>IF('ATP Pos'!A120="","",LEFT('ATP Pos'!A120,B120-1))</f>
        <v/>
      </c>
      <c r="B120" t="str">
        <f>IF('ATP Pos'!A120="","",SEARCH("_",'ATP Pos'!A120,1))</f>
        <v/>
      </c>
      <c r="C120" t="str">
        <f>IF(A120="","",IF('ATP Pos'!E120="-","",IF('ATP Pos'!E120&gt;0,"Buy",IF('ATP Pos'!E120&lt;0,"Sell"))))</f>
        <v/>
      </c>
      <c r="D120" t="str">
        <f>IF(A120="","",IF('ATP Pos'!E120="-","",IF('ATP Pos'!E120&gt;0,'ATP Pos'!E120,IF('ATP Pos'!E120&lt;0,-'ATP Pos'!E120))))</f>
        <v/>
      </c>
      <c r="E120" t="str">
        <f>IF(A120="","",LEFT('ATP Pos'!B120,F120-1))</f>
        <v/>
      </c>
      <c r="F120" t="str">
        <f>IF(A120="","",SEARCH("-",'ATP Pos'!B120,1))</f>
        <v/>
      </c>
      <c r="G120" t="str">
        <f>IF(A120="","",RIGHT('ATP Pos'!B120,3))</f>
        <v/>
      </c>
      <c r="H120" t="str">
        <f t="shared" si="5"/>
        <v/>
      </c>
      <c r="I120" t="str">
        <f t="shared" si="6"/>
        <v/>
      </c>
      <c r="J120" t="str">
        <f>IF(H120="","",VLOOKUP(I120,表3_3[],2,0))</f>
        <v/>
      </c>
      <c r="K120" t="str">
        <f>IF(H120="","",VLOOKUP(I120,表3_3[],3,0))</f>
        <v/>
      </c>
      <c r="L120" t="str">
        <f>IF(A120="","",IF(G120="LME","",VLOOKUP(RIGHT(E120,2),Helper1!$O$36:$P$48,2,0)))</f>
        <v/>
      </c>
      <c r="M120" t="str">
        <f t="shared" si="7"/>
        <v/>
      </c>
      <c r="N120" t="str">
        <f t="shared" si="8"/>
        <v/>
      </c>
      <c r="O120" t="str">
        <f t="shared" si="9"/>
        <v/>
      </c>
    </row>
    <row r="121" spans="1:15">
      <c r="A121" t="str">
        <f>IF('ATP Pos'!A121="","",LEFT('ATP Pos'!A121,B121-1))</f>
        <v/>
      </c>
      <c r="B121" t="str">
        <f>IF('ATP Pos'!A121="","",SEARCH("_",'ATP Pos'!A121,1))</f>
        <v/>
      </c>
      <c r="C121" t="str">
        <f>IF(A121="","",IF('ATP Pos'!E121="-","",IF('ATP Pos'!E121&gt;0,"Buy",IF('ATP Pos'!E121&lt;0,"Sell"))))</f>
        <v/>
      </c>
      <c r="D121" t="str">
        <f>IF(A121="","",IF('ATP Pos'!E121="-","",IF('ATP Pos'!E121&gt;0,'ATP Pos'!E121,IF('ATP Pos'!E121&lt;0,-'ATP Pos'!E121))))</f>
        <v/>
      </c>
      <c r="E121" t="str">
        <f>IF(A121="","",LEFT('ATP Pos'!B121,F121-1))</f>
        <v/>
      </c>
      <c r="F121" t="str">
        <f>IF(A121="","",SEARCH("-",'ATP Pos'!B121,1))</f>
        <v/>
      </c>
      <c r="G121" t="str">
        <f>IF(A121="","",RIGHT('ATP Pos'!B121,3))</f>
        <v/>
      </c>
      <c r="H121" t="str">
        <f t="shared" si="5"/>
        <v/>
      </c>
      <c r="I121" t="str">
        <f t="shared" si="6"/>
        <v/>
      </c>
      <c r="J121" t="str">
        <f>IF(H121="","",VLOOKUP(I121,表3_3[],2,0))</f>
        <v/>
      </c>
      <c r="K121" t="str">
        <f>IF(H121="","",VLOOKUP(I121,表3_3[],3,0))</f>
        <v/>
      </c>
      <c r="L121" t="str">
        <f>IF(A121="","",IF(G121="LME","",VLOOKUP(RIGHT(E121,2),Helper1!$O$36:$P$48,2,0)))</f>
        <v/>
      </c>
      <c r="M121" t="str">
        <f t="shared" si="7"/>
        <v/>
      </c>
      <c r="N121" t="str">
        <f t="shared" si="8"/>
        <v/>
      </c>
      <c r="O121" t="str">
        <f t="shared" si="9"/>
        <v/>
      </c>
    </row>
    <row r="122" spans="1:15">
      <c r="A122" t="str">
        <f>IF('ATP Pos'!A122="","",LEFT('ATP Pos'!A122,B122-1))</f>
        <v/>
      </c>
      <c r="B122" t="str">
        <f>IF('ATP Pos'!A122="","",SEARCH("_",'ATP Pos'!A122,1))</f>
        <v/>
      </c>
      <c r="C122" t="str">
        <f>IF(A122="","",IF('ATP Pos'!E122="-","",IF('ATP Pos'!E122&gt;0,"Buy",IF('ATP Pos'!E122&lt;0,"Sell"))))</f>
        <v/>
      </c>
      <c r="D122" t="str">
        <f>IF(A122="","",IF('ATP Pos'!E122="-","",IF('ATP Pos'!E122&gt;0,'ATP Pos'!E122,IF('ATP Pos'!E122&lt;0,-'ATP Pos'!E122))))</f>
        <v/>
      </c>
      <c r="E122" t="str">
        <f>IF(A122="","",LEFT('ATP Pos'!B122,F122-1))</f>
        <v/>
      </c>
      <c r="F122" t="str">
        <f>IF(A122="","",SEARCH("-",'ATP Pos'!B122,1))</f>
        <v/>
      </c>
      <c r="G122" t="str">
        <f>IF(A122="","",RIGHT('ATP Pos'!B122,3))</f>
        <v/>
      </c>
      <c r="H122" t="str">
        <f t="shared" si="5"/>
        <v/>
      </c>
      <c r="I122" t="str">
        <f t="shared" si="6"/>
        <v/>
      </c>
      <c r="J122" t="str">
        <f>IF(H122="","",VLOOKUP(I122,表3_3[],2,0))</f>
        <v/>
      </c>
      <c r="K122" t="str">
        <f>IF(H122="","",VLOOKUP(I122,表3_3[],3,0))</f>
        <v/>
      </c>
      <c r="L122" t="str">
        <f>IF(A122="","",IF(G122="LME","",VLOOKUP(RIGHT(E122,2),Helper1!$O$36:$P$48,2,0)))</f>
        <v/>
      </c>
      <c r="M122" t="str">
        <f t="shared" si="7"/>
        <v/>
      </c>
      <c r="N122" t="str">
        <f t="shared" si="8"/>
        <v/>
      </c>
      <c r="O122" t="str">
        <f t="shared" si="9"/>
        <v/>
      </c>
    </row>
    <row r="123" spans="1:15">
      <c r="A123" t="str">
        <f>IF('ATP Pos'!A123="","",LEFT('ATP Pos'!A123,B123-1))</f>
        <v/>
      </c>
      <c r="B123" t="str">
        <f>IF('ATP Pos'!A123="","",SEARCH("_",'ATP Pos'!A123,1))</f>
        <v/>
      </c>
      <c r="C123" t="str">
        <f>IF(A123="","",IF('ATP Pos'!E123="-","",IF('ATP Pos'!E123&gt;0,"Buy",IF('ATP Pos'!E123&lt;0,"Sell"))))</f>
        <v/>
      </c>
      <c r="D123" t="str">
        <f>IF(A123="","",IF('ATP Pos'!E123="-","",IF('ATP Pos'!E123&gt;0,'ATP Pos'!E123,IF('ATP Pos'!E123&lt;0,-'ATP Pos'!E123))))</f>
        <v/>
      </c>
      <c r="E123" t="str">
        <f>IF(A123="","",LEFT('ATP Pos'!B123,F123-1))</f>
        <v/>
      </c>
      <c r="F123" t="str">
        <f>IF(A123="","",SEARCH("-",'ATP Pos'!B123,1))</f>
        <v/>
      </c>
      <c r="G123" t="str">
        <f>IF(A123="","",RIGHT('ATP Pos'!B123,3))</f>
        <v/>
      </c>
      <c r="H123" t="str">
        <f t="shared" si="5"/>
        <v/>
      </c>
      <c r="I123" t="str">
        <f t="shared" si="6"/>
        <v/>
      </c>
      <c r="J123" t="str">
        <f>IF(H123="","",VLOOKUP(I123,表3_3[],2,0))</f>
        <v/>
      </c>
      <c r="K123" t="str">
        <f>IF(H123="","",VLOOKUP(I123,表3_3[],3,0))</f>
        <v/>
      </c>
      <c r="L123" t="str">
        <f>IF(A123="","",IF(G123="LME","",VLOOKUP(RIGHT(E123,2),Helper1!$O$36:$P$48,2,0)))</f>
        <v/>
      </c>
      <c r="M123" t="str">
        <f t="shared" si="7"/>
        <v/>
      </c>
      <c r="N123" t="str">
        <f t="shared" si="8"/>
        <v/>
      </c>
      <c r="O123" t="str">
        <f t="shared" si="9"/>
        <v/>
      </c>
    </row>
    <row r="124" spans="1:15">
      <c r="A124" t="str">
        <f>IF('ATP Pos'!A124="","",LEFT('ATP Pos'!A124,B124-1))</f>
        <v/>
      </c>
      <c r="B124" t="str">
        <f>IF('ATP Pos'!A124="","",SEARCH("_",'ATP Pos'!A124,1))</f>
        <v/>
      </c>
      <c r="C124" t="str">
        <f>IF(A124="","",IF('ATP Pos'!E124="-","",IF('ATP Pos'!E124&gt;0,"Buy",IF('ATP Pos'!E124&lt;0,"Sell"))))</f>
        <v/>
      </c>
      <c r="D124" t="str">
        <f>IF(A124="","",IF('ATP Pos'!E124="-","",IF('ATP Pos'!E124&gt;0,'ATP Pos'!E124,IF('ATP Pos'!E124&lt;0,-'ATP Pos'!E124))))</f>
        <v/>
      </c>
      <c r="E124" t="str">
        <f>IF(A124="","",LEFT('ATP Pos'!B124,F124-1))</f>
        <v/>
      </c>
      <c r="F124" t="str">
        <f>IF(A124="","",SEARCH("-",'ATP Pos'!B124,1))</f>
        <v/>
      </c>
      <c r="G124" t="str">
        <f>IF(A124="","",RIGHT('ATP Pos'!B124,3))</f>
        <v/>
      </c>
      <c r="H124" t="str">
        <f t="shared" si="5"/>
        <v/>
      </c>
      <c r="I124" t="str">
        <f t="shared" si="6"/>
        <v/>
      </c>
      <c r="J124" t="str">
        <f>IF(H124="","",VLOOKUP(I124,表3_3[],2,0))</f>
        <v/>
      </c>
      <c r="K124" t="str">
        <f>IF(H124="","",VLOOKUP(I124,表3_3[],3,0))</f>
        <v/>
      </c>
      <c r="L124" t="str">
        <f>IF(A124="","",IF(G124="LME","",VLOOKUP(RIGHT(E124,2),Helper1!$O$36:$P$48,2,0)))</f>
        <v/>
      </c>
      <c r="M124" t="str">
        <f t="shared" si="7"/>
        <v/>
      </c>
      <c r="N124" t="str">
        <f t="shared" si="8"/>
        <v/>
      </c>
      <c r="O124" t="str">
        <f t="shared" si="9"/>
        <v/>
      </c>
    </row>
    <row r="125" spans="1:15">
      <c r="A125" t="str">
        <f>IF('ATP Pos'!A125="","",LEFT('ATP Pos'!A125,B125-1))</f>
        <v/>
      </c>
      <c r="B125" t="str">
        <f>IF('ATP Pos'!A125="","",SEARCH("_",'ATP Pos'!A125,1))</f>
        <v/>
      </c>
      <c r="C125" t="str">
        <f>IF(A125="","",IF('ATP Pos'!E125="-","",IF('ATP Pos'!E125&gt;0,"Buy",IF('ATP Pos'!E125&lt;0,"Sell"))))</f>
        <v/>
      </c>
      <c r="D125" t="str">
        <f>IF(A125="","",IF('ATP Pos'!E125="-","",IF('ATP Pos'!E125&gt;0,'ATP Pos'!E125,IF('ATP Pos'!E125&lt;0,-'ATP Pos'!E125))))</f>
        <v/>
      </c>
      <c r="E125" t="str">
        <f>IF(A125="","",LEFT('ATP Pos'!B125,F125-1))</f>
        <v/>
      </c>
      <c r="F125" t="str">
        <f>IF(A125="","",SEARCH("-",'ATP Pos'!B125,1))</f>
        <v/>
      </c>
      <c r="G125" t="str">
        <f>IF(A125="","",RIGHT('ATP Pos'!B125,3))</f>
        <v/>
      </c>
      <c r="H125" t="str">
        <f t="shared" si="5"/>
        <v/>
      </c>
      <c r="I125" t="str">
        <f t="shared" si="6"/>
        <v/>
      </c>
      <c r="J125" t="str">
        <f>IF(H125="","",VLOOKUP(I125,表3_3[],2,0))</f>
        <v/>
      </c>
      <c r="K125" t="str">
        <f>IF(H125="","",VLOOKUP(I125,表3_3[],3,0))</f>
        <v/>
      </c>
      <c r="L125" t="str">
        <f>IF(A125="","",IF(G125="LME","",VLOOKUP(RIGHT(E125,2),Helper1!$O$36:$P$48,2,0)))</f>
        <v/>
      </c>
      <c r="M125" t="str">
        <f t="shared" si="7"/>
        <v/>
      </c>
      <c r="N125" t="str">
        <f t="shared" si="8"/>
        <v/>
      </c>
      <c r="O125" t="str">
        <f t="shared" si="9"/>
        <v/>
      </c>
    </row>
    <row r="126" spans="1:15">
      <c r="A126" t="str">
        <f>IF('ATP Pos'!A126="","",LEFT('ATP Pos'!A126,B126-1))</f>
        <v/>
      </c>
      <c r="B126" t="str">
        <f>IF('ATP Pos'!A126="","",SEARCH("_",'ATP Pos'!A126,1))</f>
        <v/>
      </c>
      <c r="C126" t="str">
        <f>IF(A126="","",IF('ATP Pos'!E126="-","",IF('ATP Pos'!E126&gt;0,"Buy",IF('ATP Pos'!E126&lt;0,"Sell"))))</f>
        <v/>
      </c>
      <c r="D126" t="str">
        <f>IF(A126="","",IF('ATP Pos'!E126="-","",IF('ATP Pos'!E126&gt;0,'ATP Pos'!E126,IF('ATP Pos'!E126&lt;0,-'ATP Pos'!E126))))</f>
        <v/>
      </c>
      <c r="E126" t="str">
        <f>IF(A126="","",LEFT('ATP Pos'!B126,F126-1))</f>
        <v/>
      </c>
      <c r="F126" t="str">
        <f>IF(A126="","",SEARCH("-",'ATP Pos'!B126,1))</f>
        <v/>
      </c>
      <c r="G126" t="str">
        <f>IF(A126="","",RIGHT('ATP Pos'!B126,3))</f>
        <v/>
      </c>
      <c r="H126" t="str">
        <f t="shared" si="5"/>
        <v/>
      </c>
      <c r="I126" t="str">
        <f t="shared" si="6"/>
        <v/>
      </c>
      <c r="J126" t="str">
        <f>IF(H126="","",VLOOKUP(I126,表3_3[],2,0))</f>
        <v/>
      </c>
      <c r="K126" t="str">
        <f>IF(H126="","",VLOOKUP(I126,表3_3[],3,0))</f>
        <v/>
      </c>
      <c r="L126" t="str">
        <f>IF(A126="","",IF(G126="LME","",VLOOKUP(RIGHT(E126,2),Helper1!$O$36:$P$48,2,0)))</f>
        <v/>
      </c>
      <c r="M126" t="str">
        <f t="shared" si="7"/>
        <v/>
      </c>
      <c r="N126" t="str">
        <f t="shared" si="8"/>
        <v/>
      </c>
      <c r="O126" t="str">
        <f t="shared" si="9"/>
        <v/>
      </c>
    </row>
    <row r="127" spans="1:15">
      <c r="A127" t="str">
        <f>IF('ATP Pos'!A127="","",LEFT('ATP Pos'!A127,B127-1))</f>
        <v/>
      </c>
      <c r="B127" t="str">
        <f>IF('ATP Pos'!A127="","",SEARCH("_",'ATP Pos'!A127,1))</f>
        <v/>
      </c>
      <c r="C127" t="str">
        <f>IF(A127="","",IF('ATP Pos'!E127="-","",IF('ATP Pos'!E127&gt;0,"Buy",IF('ATP Pos'!E127&lt;0,"Sell"))))</f>
        <v/>
      </c>
      <c r="D127" t="str">
        <f>IF(A127="","",IF('ATP Pos'!E127="-","",IF('ATP Pos'!E127&gt;0,'ATP Pos'!E127,IF('ATP Pos'!E127&lt;0,-'ATP Pos'!E127))))</f>
        <v/>
      </c>
      <c r="E127" t="str">
        <f>IF(A127="","",LEFT('ATP Pos'!B127,F127-1))</f>
        <v/>
      </c>
      <c r="F127" t="str">
        <f>IF(A127="","",SEARCH("-",'ATP Pos'!B127,1))</f>
        <v/>
      </c>
      <c r="G127" t="str">
        <f>IF(A127="","",RIGHT('ATP Pos'!B127,3))</f>
        <v/>
      </c>
      <c r="H127" t="str">
        <f t="shared" si="5"/>
        <v/>
      </c>
      <c r="I127" t="str">
        <f t="shared" si="6"/>
        <v/>
      </c>
      <c r="J127" t="str">
        <f>IF(H127="","",VLOOKUP(I127,表3_3[],2,0))</f>
        <v/>
      </c>
      <c r="K127" t="str">
        <f>IF(H127="","",VLOOKUP(I127,表3_3[],3,0))</f>
        <v/>
      </c>
      <c r="L127" t="str">
        <f>IF(A127="","",IF(G127="LME","",VLOOKUP(RIGHT(E127,2),Helper1!$O$36:$P$48,2,0)))</f>
        <v/>
      </c>
      <c r="M127" t="str">
        <f t="shared" si="7"/>
        <v/>
      </c>
      <c r="N127" t="str">
        <f t="shared" si="8"/>
        <v/>
      </c>
      <c r="O127" t="str">
        <f t="shared" si="9"/>
        <v/>
      </c>
    </row>
    <row r="128" spans="1:15">
      <c r="A128" t="str">
        <f>IF('ATP Pos'!A128="","",LEFT('ATP Pos'!A128,B128-1))</f>
        <v/>
      </c>
      <c r="B128" t="str">
        <f>IF('ATP Pos'!A128="","",SEARCH("_",'ATP Pos'!A128,1))</f>
        <v/>
      </c>
      <c r="C128" t="str">
        <f>IF(A128="","",IF('ATP Pos'!E128="-","",IF('ATP Pos'!E128&gt;0,"Buy",IF('ATP Pos'!E128&lt;0,"Sell"))))</f>
        <v/>
      </c>
      <c r="D128" t="str">
        <f>IF(A128="","",IF('ATP Pos'!E128="-","",IF('ATP Pos'!E128&gt;0,'ATP Pos'!E128,IF('ATP Pos'!E128&lt;0,-'ATP Pos'!E128))))</f>
        <v/>
      </c>
      <c r="E128" t="str">
        <f>IF(A128="","",LEFT('ATP Pos'!B128,F128-1))</f>
        <v/>
      </c>
      <c r="F128" t="str">
        <f>IF(A128="","",SEARCH("-",'ATP Pos'!B128,1))</f>
        <v/>
      </c>
      <c r="G128" t="str">
        <f>IF(A128="","",RIGHT('ATP Pos'!B128,3))</f>
        <v/>
      </c>
      <c r="H128" t="str">
        <f t="shared" si="5"/>
        <v/>
      </c>
      <c r="I128" t="str">
        <f t="shared" si="6"/>
        <v/>
      </c>
      <c r="J128" t="str">
        <f>IF(H128="","",VLOOKUP(I128,表3_3[],2,0))</f>
        <v/>
      </c>
      <c r="K128" t="str">
        <f>IF(H128="","",VLOOKUP(I128,表3_3[],3,0))</f>
        <v/>
      </c>
      <c r="L128" t="str">
        <f>IF(A128="","",IF(G128="LME","",VLOOKUP(RIGHT(E128,2),Helper1!$O$36:$P$48,2,0)))</f>
        <v/>
      </c>
      <c r="M128" t="str">
        <f t="shared" si="7"/>
        <v/>
      </c>
      <c r="N128" t="str">
        <f t="shared" si="8"/>
        <v/>
      </c>
      <c r="O128" t="str">
        <f t="shared" si="9"/>
        <v/>
      </c>
    </row>
    <row r="129" spans="1:15">
      <c r="A129" t="str">
        <f>IF('ATP Pos'!A129="","",LEFT('ATP Pos'!A129,B129-1))</f>
        <v/>
      </c>
      <c r="B129" t="str">
        <f>IF('ATP Pos'!A129="","",SEARCH("_",'ATP Pos'!A129,1))</f>
        <v/>
      </c>
      <c r="C129" t="str">
        <f>IF(A129="","",IF('ATP Pos'!E129="-","",IF('ATP Pos'!E129&gt;0,"Buy",IF('ATP Pos'!E129&lt;0,"Sell"))))</f>
        <v/>
      </c>
      <c r="D129" t="str">
        <f>IF(A129="","",IF('ATP Pos'!E129="-","",IF('ATP Pos'!E129&gt;0,'ATP Pos'!E129,IF('ATP Pos'!E129&lt;0,-'ATP Pos'!E129))))</f>
        <v/>
      </c>
      <c r="E129" t="str">
        <f>IF(A129="","",LEFT('ATP Pos'!B129,F129-1))</f>
        <v/>
      </c>
      <c r="F129" t="str">
        <f>IF(A129="","",SEARCH("-",'ATP Pos'!B129,1))</f>
        <v/>
      </c>
      <c r="G129" t="str">
        <f>IF(A129="","",RIGHT('ATP Pos'!B129,3))</f>
        <v/>
      </c>
      <c r="H129" t="str">
        <f t="shared" si="5"/>
        <v/>
      </c>
      <c r="I129" t="str">
        <f t="shared" si="6"/>
        <v/>
      </c>
      <c r="J129" t="str">
        <f>IF(H129="","",VLOOKUP(I129,表3_3[],2,0))</f>
        <v/>
      </c>
      <c r="K129" t="str">
        <f>IF(H129="","",VLOOKUP(I129,表3_3[],3,0))</f>
        <v/>
      </c>
      <c r="L129" t="str">
        <f>IF(A129="","",IF(G129="LME","",VLOOKUP(RIGHT(E129,2),Helper1!$O$36:$P$48,2,0)))</f>
        <v/>
      </c>
      <c r="M129" t="str">
        <f t="shared" si="7"/>
        <v/>
      </c>
      <c r="N129" t="str">
        <f t="shared" si="8"/>
        <v/>
      </c>
      <c r="O129" t="str">
        <f t="shared" si="9"/>
        <v/>
      </c>
    </row>
    <row r="130" spans="1:15">
      <c r="A130" t="str">
        <f>IF('ATP Pos'!A130="","",LEFT('ATP Pos'!A130,B130-1))</f>
        <v/>
      </c>
      <c r="B130" t="str">
        <f>IF('ATP Pos'!A130="","",SEARCH("_",'ATP Pos'!A130,1))</f>
        <v/>
      </c>
      <c r="C130" t="str">
        <f>IF(A130="","",IF('ATP Pos'!E130="-","",IF('ATP Pos'!E130&gt;0,"Buy",IF('ATP Pos'!E130&lt;0,"Sell"))))</f>
        <v/>
      </c>
      <c r="D130" t="str">
        <f>IF(A130="","",IF('ATP Pos'!E130="-","",IF('ATP Pos'!E130&gt;0,'ATP Pos'!E130,IF('ATP Pos'!E130&lt;0,-'ATP Pos'!E130))))</f>
        <v/>
      </c>
      <c r="E130" t="str">
        <f>IF(A130="","",LEFT('ATP Pos'!B130,F130-1))</f>
        <v/>
      </c>
      <c r="F130" t="str">
        <f>IF(A130="","",SEARCH("-",'ATP Pos'!B130,1))</f>
        <v/>
      </c>
      <c r="G130" t="str">
        <f>IF(A130="","",RIGHT('ATP Pos'!B130,3))</f>
        <v/>
      </c>
      <c r="H130" t="str">
        <f t="shared" si="5"/>
        <v/>
      </c>
      <c r="I130" t="str">
        <f t="shared" si="6"/>
        <v/>
      </c>
      <c r="J130" t="str">
        <f>IF(H130="","",VLOOKUP(I130,表3_3[],2,0))</f>
        <v/>
      </c>
      <c r="K130" t="str">
        <f>IF(H130="","",VLOOKUP(I130,表3_3[],3,0))</f>
        <v/>
      </c>
      <c r="L130" t="str">
        <f>IF(A130="","",IF(G130="LME","",VLOOKUP(RIGHT(E130,2),Helper1!$O$36:$P$48,2,0)))</f>
        <v/>
      </c>
      <c r="M130" t="str">
        <f t="shared" si="7"/>
        <v/>
      </c>
      <c r="N130" t="str">
        <f t="shared" si="8"/>
        <v/>
      </c>
      <c r="O130" t="str">
        <f t="shared" si="9"/>
        <v/>
      </c>
    </row>
    <row r="131" spans="1:15">
      <c r="A131" t="str">
        <f>IF('ATP Pos'!A131="","",LEFT('ATP Pos'!A131,B131-1))</f>
        <v/>
      </c>
      <c r="B131" t="str">
        <f>IF('ATP Pos'!A131="","",SEARCH("_",'ATP Pos'!A131,1))</f>
        <v/>
      </c>
      <c r="C131" t="str">
        <f>IF(A131="","",IF('ATP Pos'!E131="-","",IF('ATP Pos'!E131&gt;0,"Buy",IF('ATP Pos'!E131&lt;0,"Sell"))))</f>
        <v/>
      </c>
      <c r="D131" t="str">
        <f>IF(A131="","",IF('ATP Pos'!E131="-","",IF('ATP Pos'!E131&gt;0,'ATP Pos'!E131,IF('ATP Pos'!E131&lt;0,-'ATP Pos'!E131))))</f>
        <v/>
      </c>
      <c r="E131" t="str">
        <f>IF(A131="","",LEFT('ATP Pos'!B131,F131-1))</f>
        <v/>
      </c>
      <c r="F131" t="str">
        <f>IF(A131="","",SEARCH("-",'ATP Pos'!B131,1))</f>
        <v/>
      </c>
      <c r="G131" t="str">
        <f>IF(A131="","",RIGHT('ATP Pos'!B131,3))</f>
        <v/>
      </c>
      <c r="H131" t="str">
        <f t="shared" ref="H131:H194" si="10">IF(A131="","",IF(OR(G131="OSE",G131="BMD",,G131="EUREX",G131="SGX",G131="LME",G131="tocom",G131="APEX",G131="cfe",G131="EUX",AND(G131="ice",I131="gls")),G131,""))</f>
        <v/>
      </c>
      <c r="I131" t="str">
        <f t="shared" ref="I131:I194" si="11">IF(A131="","",IF(G131="LME",LEFT(E131,LEN(E131)-6),LEFT(E131,LEN(E131)-4)))</f>
        <v/>
      </c>
      <c r="J131" t="str">
        <f>IF(H131="","",VLOOKUP(I131,表3_3[],2,0))</f>
        <v/>
      </c>
      <c r="K131" t="str">
        <f>IF(H131="","",VLOOKUP(I131,表3_3[],3,0))</f>
        <v/>
      </c>
      <c r="L131" t="str">
        <f>IF(A131="","",IF(G131="LME","",VLOOKUP(RIGHT(E131,2),Helper1!$O$36:$P$48,2,0)))</f>
        <v/>
      </c>
      <c r="M131" t="str">
        <f t="shared" ref="M131:M194" si="12">IF(A131="","",IF(G131="LME","",20&amp;MID(E131,LEN(I131)+1,2)))</f>
        <v/>
      </c>
      <c r="N131" t="str">
        <f t="shared" ref="N131:N194" si="13">IF(A131="","",IF(G131="LME",20&amp;RIGHT(E131,6),""))</f>
        <v/>
      </c>
      <c r="O131" t="str">
        <f t="shared" ref="O131:O194" si="14">IF(H131="","",IF(G131="LME",G131&amp;"-"&amp;K131&amp;"-"&amp;N131,L131&amp;"-"&amp;M131&amp;"-"&amp;K131))</f>
        <v/>
      </c>
    </row>
    <row r="132" spans="1:15">
      <c r="A132" t="str">
        <f>IF('ATP Pos'!A132="","",LEFT('ATP Pos'!A132,B132-1))</f>
        <v/>
      </c>
      <c r="B132" t="str">
        <f>IF('ATP Pos'!A132="","",SEARCH("_",'ATP Pos'!A132,1))</f>
        <v/>
      </c>
      <c r="C132" t="str">
        <f>IF(A132="","",IF('ATP Pos'!E132="-","",IF('ATP Pos'!E132&gt;0,"Buy",IF('ATP Pos'!E132&lt;0,"Sell"))))</f>
        <v/>
      </c>
      <c r="D132" t="str">
        <f>IF(A132="","",IF('ATP Pos'!E132="-","",IF('ATP Pos'!E132&gt;0,'ATP Pos'!E132,IF('ATP Pos'!E132&lt;0,-'ATP Pos'!E132))))</f>
        <v/>
      </c>
      <c r="E132" t="str">
        <f>IF(A132="","",LEFT('ATP Pos'!B132,F132-1))</f>
        <v/>
      </c>
      <c r="F132" t="str">
        <f>IF(A132="","",SEARCH("-",'ATP Pos'!B132,1))</f>
        <v/>
      </c>
      <c r="G132" t="str">
        <f>IF(A132="","",RIGHT('ATP Pos'!B132,3))</f>
        <v/>
      </c>
      <c r="H132" t="str">
        <f t="shared" si="10"/>
        <v/>
      </c>
      <c r="I132" t="str">
        <f t="shared" si="11"/>
        <v/>
      </c>
      <c r="J132" t="str">
        <f>IF(H132="","",VLOOKUP(I132,表3_3[],2,0))</f>
        <v/>
      </c>
      <c r="K132" t="str">
        <f>IF(H132="","",VLOOKUP(I132,表3_3[],3,0))</f>
        <v/>
      </c>
      <c r="L132" t="str">
        <f>IF(A132="","",IF(G132="LME","",VLOOKUP(RIGHT(E132,2),Helper1!$O$36:$P$48,2,0)))</f>
        <v/>
      </c>
      <c r="M132" t="str">
        <f t="shared" si="12"/>
        <v/>
      </c>
      <c r="N132" t="str">
        <f t="shared" si="13"/>
        <v/>
      </c>
      <c r="O132" t="str">
        <f t="shared" si="14"/>
        <v/>
      </c>
    </row>
    <row r="133" spans="1:15">
      <c r="A133" t="str">
        <f>IF('ATP Pos'!A133="","",LEFT('ATP Pos'!A133,B133-1))</f>
        <v/>
      </c>
      <c r="B133" t="str">
        <f>IF('ATP Pos'!A133="","",SEARCH("_",'ATP Pos'!A133,1))</f>
        <v/>
      </c>
      <c r="C133" t="str">
        <f>IF(A133="","",IF('ATP Pos'!E133="-","",IF('ATP Pos'!E133&gt;0,"Buy",IF('ATP Pos'!E133&lt;0,"Sell"))))</f>
        <v/>
      </c>
      <c r="D133" t="str">
        <f>IF(A133="","",IF('ATP Pos'!E133="-","",IF('ATP Pos'!E133&gt;0,'ATP Pos'!E133,IF('ATP Pos'!E133&lt;0,-'ATP Pos'!E133))))</f>
        <v/>
      </c>
      <c r="E133" t="str">
        <f>IF(A133="","",LEFT('ATP Pos'!B133,F133-1))</f>
        <v/>
      </c>
      <c r="F133" t="str">
        <f>IF(A133="","",SEARCH("-",'ATP Pos'!B133,1))</f>
        <v/>
      </c>
      <c r="G133" t="str">
        <f>IF(A133="","",RIGHT('ATP Pos'!B133,3))</f>
        <v/>
      </c>
      <c r="H133" t="str">
        <f t="shared" si="10"/>
        <v/>
      </c>
      <c r="I133" t="str">
        <f t="shared" si="11"/>
        <v/>
      </c>
      <c r="J133" t="str">
        <f>IF(H133="","",VLOOKUP(I133,表3_3[],2,0))</f>
        <v/>
      </c>
      <c r="K133" t="str">
        <f>IF(H133="","",VLOOKUP(I133,表3_3[],3,0))</f>
        <v/>
      </c>
      <c r="L133" t="str">
        <f>IF(A133="","",IF(G133="LME","",VLOOKUP(RIGHT(E133,2),Helper1!$O$36:$P$48,2,0)))</f>
        <v/>
      </c>
      <c r="M133" t="str">
        <f t="shared" si="12"/>
        <v/>
      </c>
      <c r="N133" t="str">
        <f t="shared" si="13"/>
        <v/>
      </c>
      <c r="O133" t="str">
        <f t="shared" si="14"/>
        <v/>
      </c>
    </row>
    <row r="134" spans="1:15">
      <c r="A134" t="str">
        <f>IF('ATP Pos'!A134="","",LEFT('ATP Pos'!A134,B134-1))</f>
        <v/>
      </c>
      <c r="B134" t="str">
        <f>IF('ATP Pos'!A134="","",SEARCH("_",'ATP Pos'!A134,1))</f>
        <v/>
      </c>
      <c r="C134" t="str">
        <f>IF(A134="","",IF('ATP Pos'!E134="-","",IF('ATP Pos'!E134&gt;0,"Buy",IF('ATP Pos'!E134&lt;0,"Sell"))))</f>
        <v/>
      </c>
      <c r="D134" t="str">
        <f>IF(A134="","",IF('ATP Pos'!E134="-","",IF('ATP Pos'!E134&gt;0,'ATP Pos'!E134,IF('ATP Pos'!E134&lt;0,-'ATP Pos'!E134))))</f>
        <v/>
      </c>
      <c r="E134" t="str">
        <f>IF(A134="","",LEFT('ATP Pos'!B134,F134-1))</f>
        <v/>
      </c>
      <c r="F134" t="str">
        <f>IF(A134="","",SEARCH("-",'ATP Pos'!B134,1))</f>
        <v/>
      </c>
      <c r="G134" t="str">
        <f>IF(A134="","",RIGHT('ATP Pos'!B134,3))</f>
        <v/>
      </c>
      <c r="H134" t="str">
        <f t="shared" si="10"/>
        <v/>
      </c>
      <c r="I134" t="str">
        <f t="shared" si="11"/>
        <v/>
      </c>
      <c r="J134" t="str">
        <f>IF(H134="","",VLOOKUP(I134,表3_3[],2,0))</f>
        <v/>
      </c>
      <c r="K134" t="str">
        <f>IF(H134="","",VLOOKUP(I134,表3_3[],3,0))</f>
        <v/>
      </c>
      <c r="L134" t="str">
        <f>IF(A134="","",IF(G134="LME","",VLOOKUP(RIGHT(E134,2),Helper1!$O$36:$P$48,2,0)))</f>
        <v/>
      </c>
      <c r="M134" t="str">
        <f t="shared" si="12"/>
        <v/>
      </c>
      <c r="N134" t="str">
        <f t="shared" si="13"/>
        <v/>
      </c>
      <c r="O134" t="str">
        <f t="shared" si="14"/>
        <v/>
      </c>
    </row>
    <row r="135" spans="1:15">
      <c r="A135" t="str">
        <f>IF('ATP Pos'!A135="","",LEFT('ATP Pos'!A135,B135-1))</f>
        <v/>
      </c>
      <c r="B135" t="str">
        <f>IF('ATP Pos'!A135="","",SEARCH("_",'ATP Pos'!A135,1))</f>
        <v/>
      </c>
      <c r="C135" t="str">
        <f>IF(A135="","",IF('ATP Pos'!E135="-","",IF('ATP Pos'!E135&gt;0,"Buy",IF('ATP Pos'!E135&lt;0,"Sell"))))</f>
        <v/>
      </c>
      <c r="D135" t="str">
        <f>IF(A135="","",IF('ATP Pos'!E135="-","",IF('ATP Pos'!E135&gt;0,'ATP Pos'!E135,IF('ATP Pos'!E135&lt;0,-'ATP Pos'!E135))))</f>
        <v/>
      </c>
      <c r="E135" t="str">
        <f>IF(A135="","",LEFT('ATP Pos'!B135,F135-1))</f>
        <v/>
      </c>
      <c r="F135" t="str">
        <f>IF(A135="","",SEARCH("-",'ATP Pos'!B135,1))</f>
        <v/>
      </c>
      <c r="G135" t="str">
        <f>IF(A135="","",RIGHT('ATP Pos'!B135,3))</f>
        <v/>
      </c>
      <c r="H135" t="str">
        <f t="shared" si="10"/>
        <v/>
      </c>
      <c r="I135" t="str">
        <f t="shared" si="11"/>
        <v/>
      </c>
      <c r="J135" t="str">
        <f>IF(H135="","",VLOOKUP(I135,表3_3[],2,0))</f>
        <v/>
      </c>
      <c r="K135" t="str">
        <f>IF(H135="","",VLOOKUP(I135,表3_3[],3,0))</f>
        <v/>
      </c>
      <c r="L135" t="str">
        <f>IF(A135="","",IF(G135="LME","",VLOOKUP(RIGHT(E135,2),Helper1!$O$36:$P$48,2,0)))</f>
        <v/>
      </c>
      <c r="M135" t="str">
        <f t="shared" si="12"/>
        <v/>
      </c>
      <c r="N135" t="str">
        <f t="shared" si="13"/>
        <v/>
      </c>
      <c r="O135" t="str">
        <f t="shared" si="14"/>
        <v/>
      </c>
    </row>
    <row r="136" spans="1:15">
      <c r="A136" t="str">
        <f>IF('ATP Pos'!A136="","",LEFT('ATP Pos'!A136,B136-1))</f>
        <v/>
      </c>
      <c r="B136" t="str">
        <f>IF('ATP Pos'!A136="","",SEARCH("_",'ATP Pos'!A136,1))</f>
        <v/>
      </c>
      <c r="C136" t="str">
        <f>IF(A136="","",IF('ATP Pos'!E136="-","",IF('ATP Pos'!E136&gt;0,"Buy",IF('ATP Pos'!E136&lt;0,"Sell"))))</f>
        <v/>
      </c>
      <c r="D136" t="str">
        <f>IF(A136="","",IF('ATP Pos'!E136="-","",IF('ATP Pos'!E136&gt;0,'ATP Pos'!E136,IF('ATP Pos'!E136&lt;0,-'ATP Pos'!E136))))</f>
        <v/>
      </c>
      <c r="E136" t="str">
        <f>IF(A136="","",LEFT('ATP Pos'!B136,F136-1))</f>
        <v/>
      </c>
      <c r="F136" t="str">
        <f>IF(A136="","",SEARCH("-",'ATP Pos'!B136,1))</f>
        <v/>
      </c>
      <c r="G136" t="str">
        <f>IF(A136="","",RIGHT('ATP Pos'!B136,3))</f>
        <v/>
      </c>
      <c r="H136" t="str">
        <f t="shared" si="10"/>
        <v/>
      </c>
      <c r="I136" t="str">
        <f t="shared" si="11"/>
        <v/>
      </c>
      <c r="J136" t="str">
        <f>IF(H136="","",VLOOKUP(I136,表3_3[],2,0))</f>
        <v/>
      </c>
      <c r="K136" t="str">
        <f>IF(H136="","",VLOOKUP(I136,表3_3[],3,0))</f>
        <v/>
      </c>
      <c r="L136" t="str">
        <f>IF(A136="","",IF(G136="LME","",VLOOKUP(RIGHT(E136,2),Helper1!$O$36:$P$48,2,0)))</f>
        <v/>
      </c>
      <c r="M136" t="str">
        <f t="shared" si="12"/>
        <v/>
      </c>
      <c r="N136" t="str">
        <f t="shared" si="13"/>
        <v/>
      </c>
      <c r="O136" t="str">
        <f t="shared" si="14"/>
        <v/>
      </c>
    </row>
    <row r="137" spans="1:15">
      <c r="A137" t="str">
        <f>IF('ATP Pos'!A137="","",LEFT('ATP Pos'!A137,B137-1))</f>
        <v/>
      </c>
      <c r="B137" t="str">
        <f>IF('ATP Pos'!A137="","",SEARCH("_",'ATP Pos'!A137,1))</f>
        <v/>
      </c>
      <c r="C137" t="str">
        <f>IF(A137="","",IF('ATP Pos'!E137="-","",IF('ATP Pos'!E137&gt;0,"Buy",IF('ATP Pos'!E137&lt;0,"Sell"))))</f>
        <v/>
      </c>
      <c r="D137" t="str">
        <f>IF(A137="","",IF('ATP Pos'!E137="-","",IF('ATP Pos'!E137&gt;0,'ATP Pos'!E137,IF('ATP Pos'!E137&lt;0,-'ATP Pos'!E137))))</f>
        <v/>
      </c>
      <c r="E137" t="str">
        <f>IF(A137="","",LEFT('ATP Pos'!B137,F137-1))</f>
        <v/>
      </c>
      <c r="F137" t="str">
        <f>IF(A137="","",SEARCH("-",'ATP Pos'!B137,1))</f>
        <v/>
      </c>
      <c r="G137" t="str">
        <f>IF(A137="","",RIGHT('ATP Pos'!B137,3))</f>
        <v/>
      </c>
      <c r="H137" t="str">
        <f t="shared" si="10"/>
        <v/>
      </c>
      <c r="I137" t="str">
        <f t="shared" si="11"/>
        <v/>
      </c>
      <c r="J137" t="str">
        <f>IF(H137="","",VLOOKUP(I137,表3_3[],2,0))</f>
        <v/>
      </c>
      <c r="K137" t="str">
        <f>IF(H137="","",VLOOKUP(I137,表3_3[],3,0))</f>
        <v/>
      </c>
      <c r="L137" t="str">
        <f>IF(A137="","",IF(G137="LME","",VLOOKUP(RIGHT(E137,2),Helper1!$O$36:$P$48,2,0)))</f>
        <v/>
      </c>
      <c r="M137" t="str">
        <f t="shared" si="12"/>
        <v/>
      </c>
      <c r="N137" t="str">
        <f t="shared" si="13"/>
        <v/>
      </c>
      <c r="O137" t="str">
        <f t="shared" si="14"/>
        <v/>
      </c>
    </row>
    <row r="138" spans="1:15">
      <c r="A138" t="str">
        <f>IF('ATP Pos'!A138="","",LEFT('ATP Pos'!A138,B138-1))</f>
        <v/>
      </c>
      <c r="B138" t="str">
        <f>IF('ATP Pos'!A138="","",SEARCH("_",'ATP Pos'!A138,1))</f>
        <v/>
      </c>
      <c r="C138" t="str">
        <f>IF(A138="","",IF('ATP Pos'!E138="-","",IF('ATP Pos'!E138&gt;0,"Buy",IF('ATP Pos'!E138&lt;0,"Sell"))))</f>
        <v/>
      </c>
      <c r="D138" t="str">
        <f>IF(A138="","",IF('ATP Pos'!E138="-","",IF('ATP Pos'!E138&gt;0,'ATP Pos'!E138,IF('ATP Pos'!E138&lt;0,-'ATP Pos'!E138))))</f>
        <v/>
      </c>
      <c r="E138" t="str">
        <f>IF(A138="","",LEFT('ATP Pos'!B138,F138-1))</f>
        <v/>
      </c>
      <c r="F138" t="str">
        <f>IF(A138="","",SEARCH("-",'ATP Pos'!B138,1))</f>
        <v/>
      </c>
      <c r="G138" t="str">
        <f>IF(A138="","",RIGHT('ATP Pos'!B138,3))</f>
        <v/>
      </c>
      <c r="H138" t="str">
        <f t="shared" si="10"/>
        <v/>
      </c>
      <c r="I138" t="str">
        <f t="shared" si="11"/>
        <v/>
      </c>
      <c r="J138" t="str">
        <f>IF(H138="","",VLOOKUP(I138,表3_3[],2,0))</f>
        <v/>
      </c>
      <c r="K138" t="str">
        <f>IF(H138="","",VLOOKUP(I138,表3_3[],3,0))</f>
        <v/>
      </c>
      <c r="L138" t="str">
        <f>IF(A138="","",IF(G138="LME","",VLOOKUP(RIGHT(E138,2),Helper1!$O$36:$P$48,2,0)))</f>
        <v/>
      </c>
      <c r="M138" t="str">
        <f t="shared" si="12"/>
        <v/>
      </c>
      <c r="N138" t="str">
        <f t="shared" si="13"/>
        <v/>
      </c>
      <c r="O138" t="str">
        <f t="shared" si="14"/>
        <v/>
      </c>
    </row>
    <row r="139" spans="1:15">
      <c r="A139" t="str">
        <f>IF('ATP Pos'!A139="","",LEFT('ATP Pos'!A139,B139-1))</f>
        <v/>
      </c>
      <c r="B139" t="str">
        <f>IF('ATP Pos'!A139="","",SEARCH("_",'ATP Pos'!A139,1))</f>
        <v/>
      </c>
      <c r="C139" t="str">
        <f>IF(A139="","",IF('ATP Pos'!E139="-","",IF('ATP Pos'!E139&gt;0,"Buy",IF('ATP Pos'!E139&lt;0,"Sell"))))</f>
        <v/>
      </c>
      <c r="D139" t="str">
        <f>IF(A139="","",IF('ATP Pos'!E139="-","",IF('ATP Pos'!E139&gt;0,'ATP Pos'!E139,IF('ATP Pos'!E139&lt;0,-'ATP Pos'!E139))))</f>
        <v/>
      </c>
      <c r="E139" t="str">
        <f>IF(A139="","",LEFT('ATP Pos'!B139,F139-1))</f>
        <v/>
      </c>
      <c r="F139" t="str">
        <f>IF(A139="","",SEARCH("-",'ATP Pos'!B139,1))</f>
        <v/>
      </c>
      <c r="G139" t="str">
        <f>IF(A139="","",RIGHT('ATP Pos'!B139,3))</f>
        <v/>
      </c>
      <c r="H139" t="str">
        <f t="shared" si="10"/>
        <v/>
      </c>
      <c r="I139" t="str">
        <f t="shared" si="11"/>
        <v/>
      </c>
      <c r="J139" t="str">
        <f>IF(H139="","",VLOOKUP(I139,表3_3[],2,0))</f>
        <v/>
      </c>
      <c r="K139" t="str">
        <f>IF(H139="","",VLOOKUP(I139,表3_3[],3,0))</f>
        <v/>
      </c>
      <c r="L139" t="str">
        <f>IF(A139="","",IF(G139="LME","",VLOOKUP(RIGHT(E139,2),Helper1!$O$36:$P$48,2,0)))</f>
        <v/>
      </c>
      <c r="M139" t="str">
        <f t="shared" si="12"/>
        <v/>
      </c>
      <c r="N139" t="str">
        <f t="shared" si="13"/>
        <v/>
      </c>
      <c r="O139" t="str">
        <f t="shared" si="14"/>
        <v/>
      </c>
    </row>
    <row r="140" spans="1:15">
      <c r="A140" t="str">
        <f>IF('ATP Pos'!A140="","",LEFT('ATP Pos'!A140,B140-1))</f>
        <v/>
      </c>
      <c r="B140" t="str">
        <f>IF('ATP Pos'!A140="","",SEARCH("_",'ATP Pos'!A140,1))</f>
        <v/>
      </c>
      <c r="C140" t="str">
        <f>IF(A140="","",IF('ATP Pos'!E140="-","",IF('ATP Pos'!E140&gt;0,"Buy",IF('ATP Pos'!E140&lt;0,"Sell"))))</f>
        <v/>
      </c>
      <c r="D140" t="str">
        <f>IF(A140="","",IF('ATP Pos'!E140="-","",IF('ATP Pos'!E140&gt;0,'ATP Pos'!E140,IF('ATP Pos'!E140&lt;0,-'ATP Pos'!E140))))</f>
        <v/>
      </c>
      <c r="E140" t="str">
        <f>IF(A140="","",LEFT('ATP Pos'!B140,F140-1))</f>
        <v/>
      </c>
      <c r="F140" t="str">
        <f>IF(A140="","",SEARCH("-",'ATP Pos'!B140,1))</f>
        <v/>
      </c>
      <c r="G140" t="str">
        <f>IF(A140="","",RIGHT('ATP Pos'!B140,3))</f>
        <v/>
      </c>
      <c r="H140" t="str">
        <f t="shared" si="10"/>
        <v/>
      </c>
      <c r="I140" t="str">
        <f t="shared" si="11"/>
        <v/>
      </c>
      <c r="J140" t="str">
        <f>IF(H140="","",VLOOKUP(I140,表3_3[],2,0))</f>
        <v/>
      </c>
      <c r="K140" t="str">
        <f>IF(H140="","",VLOOKUP(I140,表3_3[],3,0))</f>
        <v/>
      </c>
      <c r="L140" t="str">
        <f>IF(A140="","",IF(G140="LME","",VLOOKUP(RIGHT(E140,2),Helper1!$O$36:$P$48,2,0)))</f>
        <v/>
      </c>
      <c r="M140" t="str">
        <f t="shared" si="12"/>
        <v/>
      </c>
      <c r="N140" t="str">
        <f t="shared" si="13"/>
        <v/>
      </c>
      <c r="O140" t="str">
        <f t="shared" si="14"/>
        <v/>
      </c>
    </row>
    <row r="141" spans="1:15">
      <c r="A141" t="str">
        <f>IF('ATP Pos'!A141="","",LEFT('ATP Pos'!A141,B141-1))</f>
        <v/>
      </c>
      <c r="B141" t="str">
        <f>IF('ATP Pos'!A141="","",SEARCH("_",'ATP Pos'!A141,1))</f>
        <v/>
      </c>
      <c r="C141" t="str">
        <f>IF(A141="","",IF('ATP Pos'!E141="-","",IF('ATP Pos'!E141&gt;0,"Buy",IF('ATP Pos'!E141&lt;0,"Sell"))))</f>
        <v/>
      </c>
      <c r="D141" t="str">
        <f>IF(A141="","",IF('ATP Pos'!E141="-","",IF('ATP Pos'!E141&gt;0,'ATP Pos'!E141,IF('ATP Pos'!E141&lt;0,-'ATP Pos'!E141))))</f>
        <v/>
      </c>
      <c r="E141" t="str">
        <f>IF(A141="","",LEFT('ATP Pos'!B141,F141-1))</f>
        <v/>
      </c>
      <c r="F141" t="str">
        <f>IF(A141="","",SEARCH("-",'ATP Pos'!B141,1))</f>
        <v/>
      </c>
      <c r="G141" t="str">
        <f>IF(A141="","",RIGHT('ATP Pos'!B141,3))</f>
        <v/>
      </c>
      <c r="H141" t="str">
        <f t="shared" si="10"/>
        <v/>
      </c>
      <c r="I141" t="str">
        <f t="shared" si="11"/>
        <v/>
      </c>
      <c r="J141" t="str">
        <f>IF(H141="","",VLOOKUP(I141,表3_3[],2,0))</f>
        <v/>
      </c>
      <c r="K141" t="str">
        <f>IF(H141="","",VLOOKUP(I141,表3_3[],3,0))</f>
        <v/>
      </c>
      <c r="L141" t="str">
        <f>IF(A141="","",IF(G141="LME","",VLOOKUP(RIGHT(E141,2),Helper1!$O$36:$P$48,2,0)))</f>
        <v/>
      </c>
      <c r="M141" t="str">
        <f t="shared" si="12"/>
        <v/>
      </c>
      <c r="N141" t="str">
        <f t="shared" si="13"/>
        <v/>
      </c>
      <c r="O141" t="str">
        <f t="shared" si="14"/>
        <v/>
      </c>
    </row>
    <row r="142" spans="1:15">
      <c r="A142" t="str">
        <f>IF('ATP Pos'!A142="","",LEFT('ATP Pos'!A142,B142-1))</f>
        <v/>
      </c>
      <c r="B142" t="str">
        <f>IF('ATP Pos'!A142="","",SEARCH("_",'ATP Pos'!A142,1))</f>
        <v/>
      </c>
      <c r="C142" t="str">
        <f>IF(A142="","",IF('ATP Pos'!E142="-","",IF('ATP Pos'!E142&gt;0,"Buy",IF('ATP Pos'!E142&lt;0,"Sell"))))</f>
        <v/>
      </c>
      <c r="D142" t="str">
        <f>IF(A142="","",IF('ATP Pos'!E142="-","",IF('ATP Pos'!E142&gt;0,'ATP Pos'!E142,IF('ATP Pos'!E142&lt;0,-'ATP Pos'!E142))))</f>
        <v/>
      </c>
      <c r="E142" t="str">
        <f>IF(A142="","",LEFT('ATP Pos'!B142,F142-1))</f>
        <v/>
      </c>
      <c r="F142" t="str">
        <f>IF(A142="","",SEARCH("-",'ATP Pos'!B142,1))</f>
        <v/>
      </c>
      <c r="G142" t="str">
        <f>IF(A142="","",RIGHT('ATP Pos'!B142,3))</f>
        <v/>
      </c>
      <c r="H142" t="str">
        <f t="shared" si="10"/>
        <v/>
      </c>
      <c r="I142" t="str">
        <f t="shared" si="11"/>
        <v/>
      </c>
      <c r="J142" t="str">
        <f>IF(H142="","",VLOOKUP(I142,表3_3[],2,0))</f>
        <v/>
      </c>
      <c r="K142" t="str">
        <f>IF(H142="","",VLOOKUP(I142,表3_3[],3,0))</f>
        <v/>
      </c>
      <c r="L142" t="str">
        <f>IF(A142="","",IF(G142="LME","",VLOOKUP(RIGHT(E142,2),Helper1!$O$36:$P$48,2,0)))</f>
        <v/>
      </c>
      <c r="M142" t="str">
        <f t="shared" si="12"/>
        <v/>
      </c>
      <c r="N142" t="str">
        <f t="shared" si="13"/>
        <v/>
      </c>
      <c r="O142" t="str">
        <f t="shared" si="14"/>
        <v/>
      </c>
    </row>
    <row r="143" spans="1:15">
      <c r="A143" t="str">
        <f>IF('ATP Pos'!A143="","",LEFT('ATP Pos'!A143,B143-1))</f>
        <v/>
      </c>
      <c r="B143" t="str">
        <f>IF('ATP Pos'!A143="","",SEARCH("_",'ATP Pos'!A143,1))</f>
        <v/>
      </c>
      <c r="C143" t="str">
        <f>IF(A143="","",IF('ATP Pos'!E143="-","",IF('ATP Pos'!E143&gt;0,"Buy",IF('ATP Pos'!E143&lt;0,"Sell"))))</f>
        <v/>
      </c>
      <c r="D143" t="str">
        <f>IF(A143="","",IF('ATP Pos'!E143="-","",IF('ATP Pos'!E143&gt;0,'ATP Pos'!E143,IF('ATP Pos'!E143&lt;0,-'ATP Pos'!E143))))</f>
        <v/>
      </c>
      <c r="E143" t="str">
        <f>IF(A143="","",LEFT('ATP Pos'!B143,F143-1))</f>
        <v/>
      </c>
      <c r="F143" t="str">
        <f>IF(A143="","",SEARCH("-",'ATP Pos'!B143,1))</f>
        <v/>
      </c>
      <c r="G143" t="str">
        <f>IF(A143="","",RIGHT('ATP Pos'!B143,3))</f>
        <v/>
      </c>
      <c r="H143" t="str">
        <f t="shared" si="10"/>
        <v/>
      </c>
      <c r="I143" t="str">
        <f t="shared" si="11"/>
        <v/>
      </c>
      <c r="J143" t="str">
        <f>IF(H143="","",VLOOKUP(I143,表3_3[],2,0))</f>
        <v/>
      </c>
      <c r="K143" t="str">
        <f>IF(H143="","",VLOOKUP(I143,表3_3[],3,0))</f>
        <v/>
      </c>
      <c r="L143" t="str">
        <f>IF(A143="","",IF(G143="LME","",VLOOKUP(RIGHT(E143,2),Helper1!$O$36:$P$48,2,0)))</f>
        <v/>
      </c>
      <c r="M143" t="str">
        <f t="shared" si="12"/>
        <v/>
      </c>
      <c r="N143" t="str">
        <f t="shared" si="13"/>
        <v/>
      </c>
      <c r="O143" t="str">
        <f t="shared" si="14"/>
        <v/>
      </c>
    </row>
    <row r="144" spans="1:15">
      <c r="A144" t="str">
        <f>IF('ATP Pos'!A144="","",LEFT('ATP Pos'!A144,B144-1))</f>
        <v/>
      </c>
      <c r="B144" t="str">
        <f>IF('ATP Pos'!A144="","",SEARCH("_",'ATP Pos'!A144,1))</f>
        <v/>
      </c>
      <c r="C144" t="str">
        <f>IF(A144="","",IF('ATP Pos'!E144="-","",IF('ATP Pos'!E144&gt;0,"Buy",IF('ATP Pos'!E144&lt;0,"Sell"))))</f>
        <v/>
      </c>
      <c r="D144" t="str">
        <f>IF(A144="","",IF('ATP Pos'!E144="-","",IF('ATP Pos'!E144&gt;0,'ATP Pos'!E144,IF('ATP Pos'!E144&lt;0,-'ATP Pos'!E144))))</f>
        <v/>
      </c>
      <c r="E144" t="str">
        <f>IF(A144="","",LEFT('ATP Pos'!B144,F144-1))</f>
        <v/>
      </c>
      <c r="F144" t="str">
        <f>IF(A144="","",SEARCH("-",'ATP Pos'!B144,1))</f>
        <v/>
      </c>
      <c r="G144" t="str">
        <f>IF(A144="","",RIGHT('ATP Pos'!B144,3))</f>
        <v/>
      </c>
      <c r="H144" t="str">
        <f t="shared" si="10"/>
        <v/>
      </c>
      <c r="I144" t="str">
        <f t="shared" si="11"/>
        <v/>
      </c>
      <c r="J144" t="str">
        <f>IF(H144="","",VLOOKUP(I144,表3_3[],2,0))</f>
        <v/>
      </c>
      <c r="K144" t="str">
        <f>IF(H144="","",VLOOKUP(I144,表3_3[],3,0))</f>
        <v/>
      </c>
      <c r="L144" t="str">
        <f>IF(A144="","",IF(G144="LME","",VLOOKUP(RIGHT(E144,2),Helper1!$O$36:$P$48,2,0)))</f>
        <v/>
      </c>
      <c r="M144" t="str">
        <f t="shared" si="12"/>
        <v/>
      </c>
      <c r="N144" t="str">
        <f t="shared" si="13"/>
        <v/>
      </c>
      <c r="O144" t="str">
        <f t="shared" si="14"/>
        <v/>
      </c>
    </row>
    <row r="145" spans="1:15">
      <c r="A145" t="str">
        <f>IF('ATP Pos'!A145="","",LEFT('ATP Pos'!A145,B145-1))</f>
        <v/>
      </c>
      <c r="B145" t="str">
        <f>IF('ATP Pos'!A145="","",SEARCH("_",'ATP Pos'!A145,1))</f>
        <v/>
      </c>
      <c r="C145" t="str">
        <f>IF(A145="","",IF('ATP Pos'!E145="-","",IF('ATP Pos'!E145&gt;0,"Buy",IF('ATP Pos'!E145&lt;0,"Sell"))))</f>
        <v/>
      </c>
      <c r="D145" t="str">
        <f>IF(A145="","",IF('ATP Pos'!E145="-","",IF('ATP Pos'!E145&gt;0,'ATP Pos'!E145,IF('ATP Pos'!E145&lt;0,-'ATP Pos'!E145))))</f>
        <v/>
      </c>
      <c r="E145" t="str">
        <f>IF(A145="","",LEFT('ATP Pos'!B145,F145-1))</f>
        <v/>
      </c>
      <c r="F145" t="str">
        <f>IF(A145="","",SEARCH("-",'ATP Pos'!B145,1))</f>
        <v/>
      </c>
      <c r="G145" t="str">
        <f>IF(A145="","",RIGHT('ATP Pos'!B145,3))</f>
        <v/>
      </c>
      <c r="H145" t="str">
        <f t="shared" si="10"/>
        <v/>
      </c>
      <c r="I145" t="str">
        <f t="shared" si="11"/>
        <v/>
      </c>
      <c r="J145" t="str">
        <f>IF(H145="","",VLOOKUP(I145,表3_3[],2,0))</f>
        <v/>
      </c>
      <c r="K145" t="str">
        <f>IF(H145="","",VLOOKUP(I145,表3_3[],3,0))</f>
        <v/>
      </c>
      <c r="L145" t="str">
        <f>IF(A145="","",IF(G145="LME","",VLOOKUP(RIGHT(E145,2),Helper1!$O$36:$P$48,2,0)))</f>
        <v/>
      </c>
      <c r="M145" t="str">
        <f t="shared" si="12"/>
        <v/>
      </c>
      <c r="N145" t="str">
        <f t="shared" si="13"/>
        <v/>
      </c>
      <c r="O145" t="str">
        <f t="shared" si="14"/>
        <v/>
      </c>
    </row>
    <row r="146" spans="1:15">
      <c r="A146" t="str">
        <f>IF('ATP Pos'!A146="","",LEFT('ATP Pos'!A146,B146-1))</f>
        <v/>
      </c>
      <c r="B146" t="str">
        <f>IF('ATP Pos'!A146="","",SEARCH("_",'ATP Pos'!A146,1))</f>
        <v/>
      </c>
      <c r="C146" t="str">
        <f>IF(A146="","",IF('ATP Pos'!E146="-","",IF('ATP Pos'!E146&gt;0,"Buy",IF('ATP Pos'!E146&lt;0,"Sell"))))</f>
        <v/>
      </c>
      <c r="D146" t="str">
        <f>IF(A146="","",IF('ATP Pos'!E146="-","",IF('ATP Pos'!E146&gt;0,'ATP Pos'!E146,IF('ATP Pos'!E146&lt;0,-'ATP Pos'!E146))))</f>
        <v/>
      </c>
      <c r="E146" t="str">
        <f>IF(A146="","",LEFT('ATP Pos'!B146,F146-1))</f>
        <v/>
      </c>
      <c r="F146" t="str">
        <f>IF(A146="","",SEARCH("-",'ATP Pos'!B146,1))</f>
        <v/>
      </c>
      <c r="G146" t="str">
        <f>IF(A146="","",RIGHT('ATP Pos'!B146,3))</f>
        <v/>
      </c>
      <c r="H146" t="str">
        <f t="shared" si="10"/>
        <v/>
      </c>
      <c r="I146" t="str">
        <f t="shared" si="11"/>
        <v/>
      </c>
      <c r="J146" t="str">
        <f>IF(H146="","",VLOOKUP(I146,表3_3[],2,0))</f>
        <v/>
      </c>
      <c r="K146" t="str">
        <f>IF(H146="","",VLOOKUP(I146,表3_3[],3,0))</f>
        <v/>
      </c>
      <c r="L146" t="str">
        <f>IF(A146="","",IF(G146="LME","",VLOOKUP(RIGHT(E146,2),Helper1!$O$36:$P$48,2,0)))</f>
        <v/>
      </c>
      <c r="M146" t="str">
        <f t="shared" si="12"/>
        <v/>
      </c>
      <c r="N146" t="str">
        <f t="shared" si="13"/>
        <v/>
      </c>
      <c r="O146" t="str">
        <f t="shared" si="14"/>
        <v/>
      </c>
    </row>
    <row r="147" spans="1:15">
      <c r="A147" t="str">
        <f>IF('ATP Pos'!A147="","",LEFT('ATP Pos'!A147,B147-1))</f>
        <v/>
      </c>
      <c r="B147" t="str">
        <f>IF('ATP Pos'!A147="","",SEARCH("_",'ATP Pos'!A147,1))</f>
        <v/>
      </c>
      <c r="C147" t="str">
        <f>IF(A147="","",IF('ATP Pos'!E147="-","",IF('ATP Pos'!E147&gt;0,"Buy",IF('ATP Pos'!E147&lt;0,"Sell"))))</f>
        <v/>
      </c>
      <c r="D147" t="str">
        <f>IF(A147="","",IF('ATP Pos'!E147="-","",IF('ATP Pos'!E147&gt;0,'ATP Pos'!E147,IF('ATP Pos'!E147&lt;0,-'ATP Pos'!E147))))</f>
        <v/>
      </c>
      <c r="E147" t="str">
        <f>IF(A147="","",LEFT('ATP Pos'!B147,F147-1))</f>
        <v/>
      </c>
      <c r="F147" t="str">
        <f>IF(A147="","",SEARCH("-",'ATP Pos'!B147,1))</f>
        <v/>
      </c>
      <c r="G147" t="str">
        <f>IF(A147="","",RIGHT('ATP Pos'!B147,3))</f>
        <v/>
      </c>
      <c r="H147" t="str">
        <f t="shared" si="10"/>
        <v/>
      </c>
      <c r="I147" t="str">
        <f t="shared" si="11"/>
        <v/>
      </c>
      <c r="J147" t="str">
        <f>IF(H147="","",VLOOKUP(I147,表3_3[],2,0))</f>
        <v/>
      </c>
      <c r="K147" t="str">
        <f>IF(H147="","",VLOOKUP(I147,表3_3[],3,0))</f>
        <v/>
      </c>
      <c r="L147" t="str">
        <f>IF(A147="","",IF(G147="LME","",VLOOKUP(RIGHT(E147,2),Helper1!$O$36:$P$48,2,0)))</f>
        <v/>
      </c>
      <c r="M147" t="str">
        <f t="shared" si="12"/>
        <v/>
      </c>
      <c r="N147" t="str">
        <f t="shared" si="13"/>
        <v/>
      </c>
      <c r="O147" t="str">
        <f t="shared" si="14"/>
        <v/>
      </c>
    </row>
    <row r="148" spans="1:15">
      <c r="A148" t="str">
        <f>IF('ATP Pos'!A148="","",LEFT('ATP Pos'!A148,B148-1))</f>
        <v/>
      </c>
      <c r="B148" t="str">
        <f>IF('ATP Pos'!A148="","",SEARCH("_",'ATP Pos'!A148,1))</f>
        <v/>
      </c>
      <c r="C148" t="str">
        <f>IF(A148="","",IF('ATP Pos'!E148="-","",IF('ATP Pos'!E148&gt;0,"Buy",IF('ATP Pos'!E148&lt;0,"Sell"))))</f>
        <v/>
      </c>
      <c r="D148" t="str">
        <f>IF(A148="","",IF('ATP Pos'!E148="-","",IF('ATP Pos'!E148&gt;0,'ATP Pos'!E148,IF('ATP Pos'!E148&lt;0,-'ATP Pos'!E148))))</f>
        <v/>
      </c>
      <c r="E148" t="str">
        <f>IF(A148="","",LEFT('ATP Pos'!B148,F148-1))</f>
        <v/>
      </c>
      <c r="F148" t="str">
        <f>IF(A148="","",SEARCH("-",'ATP Pos'!B148,1))</f>
        <v/>
      </c>
      <c r="G148" t="str">
        <f>IF(A148="","",RIGHT('ATP Pos'!B148,3))</f>
        <v/>
      </c>
      <c r="H148" t="str">
        <f t="shared" si="10"/>
        <v/>
      </c>
      <c r="I148" t="str">
        <f t="shared" si="11"/>
        <v/>
      </c>
      <c r="J148" t="str">
        <f>IF(H148="","",VLOOKUP(I148,表3_3[],2,0))</f>
        <v/>
      </c>
      <c r="K148" t="str">
        <f>IF(H148="","",VLOOKUP(I148,表3_3[],3,0))</f>
        <v/>
      </c>
      <c r="L148" t="str">
        <f>IF(A148="","",IF(G148="LME","",VLOOKUP(RIGHT(E148,2),Helper1!$O$36:$P$48,2,0)))</f>
        <v/>
      </c>
      <c r="M148" t="str">
        <f t="shared" si="12"/>
        <v/>
      </c>
      <c r="N148" t="str">
        <f t="shared" si="13"/>
        <v/>
      </c>
      <c r="O148" t="str">
        <f t="shared" si="14"/>
        <v/>
      </c>
    </row>
    <row r="149" spans="1:15">
      <c r="A149" t="str">
        <f>IF('ATP Pos'!A149="","",LEFT('ATP Pos'!A149,B149-1))</f>
        <v/>
      </c>
      <c r="B149" t="str">
        <f>IF('ATP Pos'!A149="","",SEARCH("_",'ATP Pos'!A149,1))</f>
        <v/>
      </c>
      <c r="C149" t="str">
        <f>IF(A149="","",IF('ATP Pos'!E149="-","",IF('ATP Pos'!E149&gt;0,"Buy",IF('ATP Pos'!E149&lt;0,"Sell"))))</f>
        <v/>
      </c>
      <c r="D149" t="str">
        <f>IF(A149="","",IF('ATP Pos'!E149="-","",IF('ATP Pos'!E149&gt;0,'ATP Pos'!E149,IF('ATP Pos'!E149&lt;0,-'ATP Pos'!E149))))</f>
        <v/>
      </c>
      <c r="E149" t="str">
        <f>IF(A149="","",LEFT('ATP Pos'!B149,F149-1))</f>
        <v/>
      </c>
      <c r="F149" t="str">
        <f>IF(A149="","",SEARCH("-",'ATP Pos'!B149,1))</f>
        <v/>
      </c>
      <c r="G149" t="str">
        <f>IF(A149="","",RIGHT('ATP Pos'!B149,3))</f>
        <v/>
      </c>
      <c r="H149" t="str">
        <f t="shared" si="10"/>
        <v/>
      </c>
      <c r="I149" t="str">
        <f t="shared" si="11"/>
        <v/>
      </c>
      <c r="J149" t="str">
        <f>IF(H149="","",VLOOKUP(I149,表3_3[],2,0))</f>
        <v/>
      </c>
      <c r="K149" t="str">
        <f>IF(H149="","",VLOOKUP(I149,表3_3[],3,0))</f>
        <v/>
      </c>
      <c r="L149" t="str">
        <f>IF(A149="","",IF(G149="LME","",VLOOKUP(RIGHT(E149,2),Helper1!$O$36:$P$48,2,0)))</f>
        <v/>
      </c>
      <c r="M149" t="str">
        <f t="shared" si="12"/>
        <v/>
      </c>
      <c r="N149" t="str">
        <f t="shared" si="13"/>
        <v/>
      </c>
      <c r="O149" t="str">
        <f t="shared" si="14"/>
        <v/>
      </c>
    </row>
    <row r="150" spans="1:15">
      <c r="A150" t="str">
        <f>IF('ATP Pos'!A150="","",LEFT('ATP Pos'!A150,B150-1))</f>
        <v/>
      </c>
      <c r="B150" t="str">
        <f>IF('ATP Pos'!A150="","",SEARCH("_",'ATP Pos'!A150,1))</f>
        <v/>
      </c>
      <c r="C150" t="str">
        <f>IF(A150="","",IF('ATP Pos'!E150="-","",IF('ATP Pos'!E150&gt;0,"Buy",IF('ATP Pos'!E150&lt;0,"Sell"))))</f>
        <v/>
      </c>
      <c r="D150" t="str">
        <f>IF(A150="","",IF('ATP Pos'!E150="-","",IF('ATP Pos'!E150&gt;0,'ATP Pos'!E150,IF('ATP Pos'!E150&lt;0,-'ATP Pos'!E150))))</f>
        <v/>
      </c>
      <c r="E150" t="str">
        <f>IF(A150="","",LEFT('ATP Pos'!B150,F150-1))</f>
        <v/>
      </c>
      <c r="F150" t="str">
        <f>IF(A150="","",SEARCH("-",'ATP Pos'!B150,1))</f>
        <v/>
      </c>
      <c r="G150" t="str">
        <f>IF(A150="","",RIGHT('ATP Pos'!B150,3))</f>
        <v/>
      </c>
      <c r="H150" t="str">
        <f t="shared" si="10"/>
        <v/>
      </c>
      <c r="I150" t="str">
        <f t="shared" si="11"/>
        <v/>
      </c>
      <c r="J150" t="str">
        <f>IF(H150="","",VLOOKUP(I150,表3_3[],2,0))</f>
        <v/>
      </c>
      <c r="K150" t="str">
        <f>IF(H150="","",VLOOKUP(I150,表3_3[],3,0))</f>
        <v/>
      </c>
      <c r="L150" t="str">
        <f>IF(A150="","",IF(G150="LME","",VLOOKUP(RIGHT(E150,2),Helper1!$O$36:$P$48,2,0)))</f>
        <v/>
      </c>
      <c r="M150" t="str">
        <f t="shared" si="12"/>
        <v/>
      </c>
      <c r="N150" t="str">
        <f t="shared" si="13"/>
        <v/>
      </c>
      <c r="O150" t="str">
        <f t="shared" si="14"/>
        <v/>
      </c>
    </row>
    <row r="151" spans="1:15">
      <c r="A151" t="str">
        <f>IF('ATP Pos'!A151="","",LEFT('ATP Pos'!A151,B151-1))</f>
        <v/>
      </c>
      <c r="B151" t="str">
        <f>IF('ATP Pos'!A151="","",SEARCH("_",'ATP Pos'!A151,1))</f>
        <v/>
      </c>
      <c r="C151" t="str">
        <f>IF(A151="","",IF('ATP Pos'!E151="-","",IF('ATP Pos'!E151&gt;0,"Buy",IF('ATP Pos'!E151&lt;0,"Sell"))))</f>
        <v/>
      </c>
      <c r="D151" t="str">
        <f>IF(A151="","",IF('ATP Pos'!E151="-","",IF('ATP Pos'!E151&gt;0,'ATP Pos'!E151,IF('ATP Pos'!E151&lt;0,-'ATP Pos'!E151))))</f>
        <v/>
      </c>
      <c r="E151" t="str">
        <f>IF(A151="","",LEFT('ATP Pos'!B151,F151-1))</f>
        <v/>
      </c>
      <c r="F151" t="str">
        <f>IF(A151="","",SEARCH("-",'ATP Pos'!B151,1))</f>
        <v/>
      </c>
      <c r="G151" t="str">
        <f>IF(A151="","",RIGHT('ATP Pos'!B151,3))</f>
        <v/>
      </c>
      <c r="H151" t="str">
        <f t="shared" si="10"/>
        <v/>
      </c>
      <c r="I151" t="str">
        <f t="shared" si="11"/>
        <v/>
      </c>
      <c r="J151" t="str">
        <f>IF(H151="","",VLOOKUP(I151,表3_3[],2,0))</f>
        <v/>
      </c>
      <c r="K151" t="str">
        <f>IF(H151="","",VLOOKUP(I151,表3_3[],3,0))</f>
        <v/>
      </c>
      <c r="L151" t="str">
        <f>IF(A151="","",IF(G151="LME","",VLOOKUP(RIGHT(E151,2),Helper1!$O$36:$P$48,2,0)))</f>
        <v/>
      </c>
      <c r="M151" t="str">
        <f t="shared" si="12"/>
        <v/>
      </c>
      <c r="N151" t="str">
        <f t="shared" si="13"/>
        <v/>
      </c>
      <c r="O151" t="str">
        <f t="shared" si="14"/>
        <v/>
      </c>
    </row>
    <row r="152" spans="1:15">
      <c r="A152" t="str">
        <f>IF('ATP Pos'!A152="","",LEFT('ATP Pos'!A152,B152-1))</f>
        <v/>
      </c>
      <c r="B152" t="str">
        <f>IF('ATP Pos'!A152="","",SEARCH("_",'ATP Pos'!A152,1))</f>
        <v/>
      </c>
      <c r="C152" t="str">
        <f>IF(A152="","",IF('ATP Pos'!E152="-","",IF('ATP Pos'!E152&gt;0,"Buy",IF('ATP Pos'!E152&lt;0,"Sell"))))</f>
        <v/>
      </c>
      <c r="D152" t="str">
        <f>IF(A152="","",IF('ATP Pos'!E152="-","",IF('ATP Pos'!E152&gt;0,'ATP Pos'!E152,IF('ATP Pos'!E152&lt;0,-'ATP Pos'!E152))))</f>
        <v/>
      </c>
      <c r="E152" t="str">
        <f>IF(A152="","",LEFT('ATP Pos'!B152,F152-1))</f>
        <v/>
      </c>
      <c r="F152" t="str">
        <f>IF(A152="","",SEARCH("-",'ATP Pos'!B152,1))</f>
        <v/>
      </c>
      <c r="G152" t="str">
        <f>IF(A152="","",RIGHT('ATP Pos'!B152,3))</f>
        <v/>
      </c>
      <c r="H152" t="str">
        <f t="shared" si="10"/>
        <v/>
      </c>
      <c r="I152" t="str">
        <f t="shared" si="11"/>
        <v/>
      </c>
      <c r="J152" t="str">
        <f>IF(H152="","",VLOOKUP(I152,表3_3[],2,0))</f>
        <v/>
      </c>
      <c r="K152" t="str">
        <f>IF(H152="","",VLOOKUP(I152,表3_3[],3,0))</f>
        <v/>
      </c>
      <c r="L152" t="str">
        <f>IF(A152="","",IF(G152="LME","",VLOOKUP(RIGHT(E152,2),Helper1!$O$36:$P$48,2,0)))</f>
        <v/>
      </c>
      <c r="M152" t="str">
        <f t="shared" si="12"/>
        <v/>
      </c>
      <c r="N152" t="str">
        <f t="shared" si="13"/>
        <v/>
      </c>
      <c r="O152" t="str">
        <f t="shared" si="14"/>
        <v/>
      </c>
    </row>
    <row r="153" spans="1:15">
      <c r="A153" t="str">
        <f>IF('ATP Pos'!A153="","",LEFT('ATP Pos'!A153,B153-1))</f>
        <v/>
      </c>
      <c r="B153" t="str">
        <f>IF('ATP Pos'!A153="","",SEARCH("_",'ATP Pos'!A153,1))</f>
        <v/>
      </c>
      <c r="C153" t="str">
        <f>IF(A153="","",IF('ATP Pos'!E153="-","",IF('ATP Pos'!E153&gt;0,"Buy",IF('ATP Pos'!E153&lt;0,"Sell"))))</f>
        <v/>
      </c>
      <c r="D153" t="str">
        <f>IF(A153="","",IF('ATP Pos'!E153="-","",IF('ATP Pos'!E153&gt;0,'ATP Pos'!E153,IF('ATP Pos'!E153&lt;0,-'ATP Pos'!E153))))</f>
        <v/>
      </c>
      <c r="E153" t="str">
        <f>IF(A153="","",LEFT('ATP Pos'!B153,F153-1))</f>
        <v/>
      </c>
      <c r="F153" t="str">
        <f>IF(A153="","",SEARCH("-",'ATP Pos'!B153,1))</f>
        <v/>
      </c>
      <c r="G153" t="str">
        <f>IF(A153="","",RIGHT('ATP Pos'!B153,3))</f>
        <v/>
      </c>
      <c r="H153" t="str">
        <f t="shared" si="10"/>
        <v/>
      </c>
      <c r="I153" t="str">
        <f t="shared" si="11"/>
        <v/>
      </c>
      <c r="J153" t="str">
        <f>IF(H153="","",VLOOKUP(I153,表3_3[],2,0))</f>
        <v/>
      </c>
      <c r="K153" t="str">
        <f>IF(H153="","",VLOOKUP(I153,表3_3[],3,0))</f>
        <v/>
      </c>
      <c r="L153" t="str">
        <f>IF(A153="","",IF(G153="LME","",VLOOKUP(RIGHT(E153,2),Helper1!$O$36:$P$48,2,0)))</f>
        <v/>
      </c>
      <c r="M153" t="str">
        <f t="shared" si="12"/>
        <v/>
      </c>
      <c r="N153" t="str">
        <f t="shared" si="13"/>
        <v/>
      </c>
      <c r="O153" t="str">
        <f t="shared" si="14"/>
        <v/>
      </c>
    </row>
    <row r="154" spans="1:15">
      <c r="A154" t="str">
        <f>IF('ATP Pos'!A154="","",LEFT('ATP Pos'!A154,B154-1))</f>
        <v/>
      </c>
      <c r="B154" t="str">
        <f>IF('ATP Pos'!A154="","",SEARCH("_",'ATP Pos'!A154,1))</f>
        <v/>
      </c>
      <c r="C154" t="str">
        <f>IF(A154="","",IF('ATP Pos'!E154="-","",IF('ATP Pos'!E154&gt;0,"Buy",IF('ATP Pos'!E154&lt;0,"Sell"))))</f>
        <v/>
      </c>
      <c r="D154" t="str">
        <f>IF(A154="","",IF('ATP Pos'!E154="-","",IF('ATP Pos'!E154&gt;0,'ATP Pos'!E154,IF('ATP Pos'!E154&lt;0,-'ATP Pos'!E154))))</f>
        <v/>
      </c>
      <c r="E154" t="str">
        <f>IF(A154="","",LEFT('ATP Pos'!B154,F154-1))</f>
        <v/>
      </c>
      <c r="F154" t="str">
        <f>IF(A154="","",SEARCH("-",'ATP Pos'!B154,1))</f>
        <v/>
      </c>
      <c r="G154" t="str">
        <f>IF(A154="","",RIGHT('ATP Pos'!B154,3))</f>
        <v/>
      </c>
      <c r="H154" t="str">
        <f t="shared" si="10"/>
        <v/>
      </c>
      <c r="I154" t="str">
        <f t="shared" si="11"/>
        <v/>
      </c>
      <c r="J154" t="str">
        <f>IF(H154="","",VLOOKUP(I154,表3_3[],2,0))</f>
        <v/>
      </c>
      <c r="K154" t="str">
        <f>IF(H154="","",VLOOKUP(I154,表3_3[],3,0))</f>
        <v/>
      </c>
      <c r="L154" t="str">
        <f>IF(A154="","",IF(G154="LME","",VLOOKUP(RIGHT(E154,2),Helper1!$O$36:$P$48,2,0)))</f>
        <v/>
      </c>
      <c r="M154" t="str">
        <f t="shared" si="12"/>
        <v/>
      </c>
      <c r="N154" t="str">
        <f t="shared" si="13"/>
        <v/>
      </c>
      <c r="O154" t="str">
        <f t="shared" si="14"/>
        <v/>
      </c>
    </row>
    <row r="155" spans="1:15">
      <c r="A155" t="str">
        <f>IF('ATP Pos'!A155="","",LEFT('ATP Pos'!A155,B155-1))</f>
        <v/>
      </c>
      <c r="B155" t="str">
        <f>IF('ATP Pos'!A155="","",SEARCH("_",'ATP Pos'!A155,1))</f>
        <v/>
      </c>
      <c r="C155" t="str">
        <f>IF(A155="","",IF('ATP Pos'!E155="-","",IF('ATP Pos'!E155&gt;0,"Buy",IF('ATP Pos'!E155&lt;0,"Sell"))))</f>
        <v/>
      </c>
      <c r="D155" t="str">
        <f>IF(A155="","",IF('ATP Pos'!E155="-","",IF('ATP Pos'!E155&gt;0,'ATP Pos'!E155,IF('ATP Pos'!E155&lt;0,-'ATP Pos'!E155))))</f>
        <v/>
      </c>
      <c r="E155" t="str">
        <f>IF(A155="","",LEFT('ATP Pos'!B155,F155-1))</f>
        <v/>
      </c>
      <c r="F155" t="str">
        <f>IF(A155="","",SEARCH("-",'ATP Pos'!B155,1))</f>
        <v/>
      </c>
      <c r="G155" t="str">
        <f>IF(A155="","",RIGHT('ATP Pos'!B155,3))</f>
        <v/>
      </c>
      <c r="H155" t="str">
        <f t="shared" si="10"/>
        <v/>
      </c>
      <c r="I155" t="str">
        <f t="shared" si="11"/>
        <v/>
      </c>
      <c r="J155" t="str">
        <f>IF(H155="","",VLOOKUP(I155,表3_3[],2,0))</f>
        <v/>
      </c>
      <c r="K155" t="str">
        <f>IF(H155="","",VLOOKUP(I155,表3_3[],3,0))</f>
        <v/>
      </c>
      <c r="L155" t="str">
        <f>IF(A155="","",IF(G155="LME","",VLOOKUP(RIGHT(E155,2),Helper1!$O$36:$P$48,2,0)))</f>
        <v/>
      </c>
      <c r="M155" t="str">
        <f t="shared" si="12"/>
        <v/>
      </c>
      <c r="N155" t="str">
        <f t="shared" si="13"/>
        <v/>
      </c>
      <c r="O155" t="str">
        <f t="shared" si="14"/>
        <v/>
      </c>
    </row>
    <row r="156" spans="1:15">
      <c r="A156" t="str">
        <f>IF('ATP Pos'!A156="","",LEFT('ATP Pos'!A156,B156-1))</f>
        <v/>
      </c>
      <c r="B156" t="str">
        <f>IF('ATP Pos'!A156="","",SEARCH("_",'ATP Pos'!A156,1))</f>
        <v/>
      </c>
      <c r="C156" t="str">
        <f>IF(A156="","",IF('ATP Pos'!E156="-","",IF('ATP Pos'!E156&gt;0,"Buy",IF('ATP Pos'!E156&lt;0,"Sell"))))</f>
        <v/>
      </c>
      <c r="D156" t="str">
        <f>IF(A156="","",IF('ATP Pos'!E156="-","",IF('ATP Pos'!E156&gt;0,'ATP Pos'!E156,IF('ATP Pos'!E156&lt;0,-'ATP Pos'!E156))))</f>
        <v/>
      </c>
      <c r="E156" t="str">
        <f>IF(A156="","",LEFT('ATP Pos'!B156,F156-1))</f>
        <v/>
      </c>
      <c r="F156" t="str">
        <f>IF(A156="","",SEARCH("-",'ATP Pos'!B156,1))</f>
        <v/>
      </c>
      <c r="G156" t="str">
        <f>IF(A156="","",RIGHT('ATP Pos'!B156,3))</f>
        <v/>
      </c>
      <c r="H156" t="str">
        <f t="shared" si="10"/>
        <v/>
      </c>
      <c r="I156" t="str">
        <f t="shared" si="11"/>
        <v/>
      </c>
      <c r="J156" t="str">
        <f>IF(H156="","",VLOOKUP(I156,表3_3[],2,0))</f>
        <v/>
      </c>
      <c r="K156" t="str">
        <f>IF(H156="","",VLOOKUP(I156,表3_3[],3,0))</f>
        <v/>
      </c>
      <c r="L156" t="str">
        <f>IF(A156="","",IF(G156="LME","",VLOOKUP(RIGHT(E156,2),Helper1!$O$36:$P$48,2,0)))</f>
        <v/>
      </c>
      <c r="M156" t="str">
        <f t="shared" si="12"/>
        <v/>
      </c>
      <c r="N156" t="str">
        <f t="shared" si="13"/>
        <v/>
      </c>
      <c r="O156" t="str">
        <f t="shared" si="14"/>
        <v/>
      </c>
    </row>
    <row r="157" spans="1:15">
      <c r="A157" t="str">
        <f>IF('ATP Pos'!A157="","",LEFT('ATP Pos'!A157,B157-1))</f>
        <v/>
      </c>
      <c r="B157" t="str">
        <f>IF('ATP Pos'!A157="","",SEARCH("_",'ATP Pos'!A157,1))</f>
        <v/>
      </c>
      <c r="C157" t="str">
        <f>IF(A157="","",IF('ATP Pos'!E157="-","",IF('ATP Pos'!E157&gt;0,"Buy",IF('ATP Pos'!E157&lt;0,"Sell"))))</f>
        <v/>
      </c>
      <c r="D157" t="str">
        <f>IF(A157="","",IF('ATP Pos'!E157="-","",IF('ATP Pos'!E157&gt;0,'ATP Pos'!E157,IF('ATP Pos'!E157&lt;0,-'ATP Pos'!E157))))</f>
        <v/>
      </c>
      <c r="E157" t="str">
        <f>IF(A157="","",LEFT('ATP Pos'!B157,F157-1))</f>
        <v/>
      </c>
      <c r="F157" t="str">
        <f>IF(A157="","",SEARCH("-",'ATP Pos'!B157,1))</f>
        <v/>
      </c>
      <c r="G157" t="str">
        <f>IF(A157="","",RIGHT('ATP Pos'!B157,3))</f>
        <v/>
      </c>
      <c r="H157" t="str">
        <f t="shared" si="10"/>
        <v/>
      </c>
      <c r="I157" t="str">
        <f t="shared" si="11"/>
        <v/>
      </c>
      <c r="J157" t="str">
        <f>IF(H157="","",VLOOKUP(I157,表3_3[],2,0))</f>
        <v/>
      </c>
      <c r="K157" t="str">
        <f>IF(H157="","",VLOOKUP(I157,表3_3[],3,0))</f>
        <v/>
      </c>
      <c r="L157" t="str">
        <f>IF(A157="","",IF(G157="LME","",VLOOKUP(RIGHT(E157,2),Helper1!$O$36:$P$48,2,0)))</f>
        <v/>
      </c>
      <c r="M157" t="str">
        <f t="shared" si="12"/>
        <v/>
      </c>
      <c r="N157" t="str">
        <f t="shared" si="13"/>
        <v/>
      </c>
      <c r="O157" t="str">
        <f t="shared" si="14"/>
        <v/>
      </c>
    </row>
    <row r="158" spans="1:15">
      <c r="A158" t="str">
        <f>IF('ATP Pos'!A158="","",LEFT('ATP Pos'!A158,B158-1))</f>
        <v/>
      </c>
      <c r="B158" t="str">
        <f>IF('ATP Pos'!A158="","",SEARCH("_",'ATP Pos'!A158,1))</f>
        <v/>
      </c>
      <c r="C158" t="str">
        <f>IF(A158="","",IF('ATP Pos'!E158="-","",IF('ATP Pos'!E158&gt;0,"Buy",IF('ATP Pos'!E158&lt;0,"Sell"))))</f>
        <v/>
      </c>
      <c r="D158" t="str">
        <f>IF(A158="","",IF('ATP Pos'!E158="-","",IF('ATP Pos'!E158&gt;0,'ATP Pos'!E158,IF('ATP Pos'!E158&lt;0,-'ATP Pos'!E158))))</f>
        <v/>
      </c>
      <c r="E158" t="str">
        <f>IF(A158="","",LEFT('ATP Pos'!B158,F158-1))</f>
        <v/>
      </c>
      <c r="F158" t="str">
        <f>IF(A158="","",SEARCH("-",'ATP Pos'!B158,1))</f>
        <v/>
      </c>
      <c r="G158" t="str">
        <f>IF(A158="","",RIGHT('ATP Pos'!B158,3))</f>
        <v/>
      </c>
      <c r="H158" t="str">
        <f t="shared" si="10"/>
        <v/>
      </c>
      <c r="I158" t="str">
        <f t="shared" si="11"/>
        <v/>
      </c>
      <c r="J158" t="str">
        <f>IF(H158="","",VLOOKUP(I158,表3_3[],2,0))</f>
        <v/>
      </c>
      <c r="K158" t="str">
        <f>IF(H158="","",VLOOKUP(I158,表3_3[],3,0))</f>
        <v/>
      </c>
      <c r="L158" t="str">
        <f>IF(A158="","",IF(G158="LME","",VLOOKUP(RIGHT(E158,2),Helper1!$O$36:$P$48,2,0)))</f>
        <v/>
      </c>
      <c r="M158" t="str">
        <f t="shared" si="12"/>
        <v/>
      </c>
      <c r="N158" t="str">
        <f t="shared" si="13"/>
        <v/>
      </c>
      <c r="O158" t="str">
        <f t="shared" si="14"/>
        <v/>
      </c>
    </row>
    <row r="159" spans="1:15">
      <c r="A159" t="str">
        <f>IF('ATP Pos'!A159="","",LEFT('ATP Pos'!A159,B159-1))</f>
        <v/>
      </c>
      <c r="B159" t="str">
        <f>IF('ATP Pos'!A159="","",SEARCH("_",'ATP Pos'!A159,1))</f>
        <v/>
      </c>
      <c r="C159" t="str">
        <f>IF(A159="","",IF('ATP Pos'!E159="-","",IF('ATP Pos'!E159&gt;0,"Buy",IF('ATP Pos'!E159&lt;0,"Sell"))))</f>
        <v/>
      </c>
      <c r="D159" t="str">
        <f>IF(A159="","",IF('ATP Pos'!E159="-","",IF('ATP Pos'!E159&gt;0,'ATP Pos'!E159,IF('ATP Pos'!E159&lt;0,-'ATP Pos'!E159))))</f>
        <v/>
      </c>
      <c r="E159" t="str">
        <f>IF(A159="","",LEFT('ATP Pos'!B159,F159-1))</f>
        <v/>
      </c>
      <c r="F159" t="str">
        <f>IF(A159="","",SEARCH("-",'ATP Pos'!B159,1))</f>
        <v/>
      </c>
      <c r="G159" t="str">
        <f>IF(A159="","",RIGHT('ATP Pos'!B159,3))</f>
        <v/>
      </c>
      <c r="H159" t="str">
        <f t="shared" si="10"/>
        <v/>
      </c>
      <c r="I159" t="str">
        <f t="shared" si="11"/>
        <v/>
      </c>
      <c r="J159" t="str">
        <f>IF(H159="","",VLOOKUP(I159,表3_3[],2,0))</f>
        <v/>
      </c>
      <c r="K159" t="str">
        <f>IF(H159="","",VLOOKUP(I159,表3_3[],3,0))</f>
        <v/>
      </c>
      <c r="L159" t="str">
        <f>IF(A159="","",IF(G159="LME","",VLOOKUP(RIGHT(E159,2),Helper1!$O$36:$P$48,2,0)))</f>
        <v/>
      </c>
      <c r="M159" t="str">
        <f t="shared" si="12"/>
        <v/>
      </c>
      <c r="N159" t="str">
        <f t="shared" si="13"/>
        <v/>
      </c>
      <c r="O159" t="str">
        <f t="shared" si="14"/>
        <v/>
      </c>
    </row>
    <row r="160" spans="1:15">
      <c r="A160" t="str">
        <f>IF('ATP Pos'!A160="","",LEFT('ATP Pos'!A160,B160-1))</f>
        <v/>
      </c>
      <c r="B160" t="str">
        <f>IF('ATP Pos'!A160="","",SEARCH("_",'ATP Pos'!A160,1))</f>
        <v/>
      </c>
      <c r="C160" t="str">
        <f>IF(A160="","",IF('ATP Pos'!E160="-","",IF('ATP Pos'!E160&gt;0,"Buy",IF('ATP Pos'!E160&lt;0,"Sell"))))</f>
        <v/>
      </c>
      <c r="D160" t="str">
        <f>IF(A160="","",IF('ATP Pos'!E160="-","",IF('ATP Pos'!E160&gt;0,'ATP Pos'!E160,IF('ATP Pos'!E160&lt;0,-'ATP Pos'!E160))))</f>
        <v/>
      </c>
      <c r="E160" t="str">
        <f>IF(A160="","",LEFT('ATP Pos'!B160,F160-1))</f>
        <v/>
      </c>
      <c r="F160" t="str">
        <f>IF(A160="","",SEARCH("-",'ATP Pos'!B160,1))</f>
        <v/>
      </c>
      <c r="G160" t="str">
        <f>IF(A160="","",RIGHT('ATP Pos'!B160,3))</f>
        <v/>
      </c>
      <c r="H160" t="str">
        <f t="shared" si="10"/>
        <v/>
      </c>
      <c r="I160" t="str">
        <f t="shared" si="11"/>
        <v/>
      </c>
      <c r="J160" t="str">
        <f>IF(H160="","",VLOOKUP(I160,表3_3[],2,0))</f>
        <v/>
      </c>
      <c r="K160" t="str">
        <f>IF(H160="","",VLOOKUP(I160,表3_3[],3,0))</f>
        <v/>
      </c>
      <c r="L160" t="str">
        <f>IF(A160="","",IF(G160="LME","",VLOOKUP(RIGHT(E160,2),Helper1!$O$36:$P$48,2,0)))</f>
        <v/>
      </c>
      <c r="M160" t="str">
        <f t="shared" si="12"/>
        <v/>
      </c>
      <c r="N160" t="str">
        <f t="shared" si="13"/>
        <v/>
      </c>
      <c r="O160" t="str">
        <f t="shared" si="14"/>
        <v/>
      </c>
    </row>
    <row r="161" spans="1:15">
      <c r="A161" t="str">
        <f>IF('ATP Pos'!A161="","",LEFT('ATP Pos'!A161,B161-1))</f>
        <v/>
      </c>
      <c r="B161" t="str">
        <f>IF('ATP Pos'!A161="","",SEARCH("_",'ATP Pos'!A161,1))</f>
        <v/>
      </c>
      <c r="C161" t="str">
        <f>IF(A161="","",IF('ATP Pos'!E161="-","",IF('ATP Pos'!E161&gt;0,"Buy",IF('ATP Pos'!E161&lt;0,"Sell"))))</f>
        <v/>
      </c>
      <c r="D161" t="str">
        <f>IF(A161="","",IF('ATP Pos'!E161="-","",IF('ATP Pos'!E161&gt;0,'ATP Pos'!E161,IF('ATP Pos'!E161&lt;0,-'ATP Pos'!E161))))</f>
        <v/>
      </c>
      <c r="E161" t="str">
        <f>IF(A161="","",LEFT('ATP Pos'!B161,F161-1))</f>
        <v/>
      </c>
      <c r="F161" t="str">
        <f>IF(A161="","",SEARCH("-",'ATP Pos'!B161,1))</f>
        <v/>
      </c>
      <c r="G161" t="str">
        <f>IF(A161="","",RIGHT('ATP Pos'!B161,3))</f>
        <v/>
      </c>
      <c r="H161" t="str">
        <f t="shared" si="10"/>
        <v/>
      </c>
      <c r="I161" t="str">
        <f t="shared" si="11"/>
        <v/>
      </c>
      <c r="J161" t="str">
        <f>IF(H161="","",VLOOKUP(I161,表3_3[],2,0))</f>
        <v/>
      </c>
      <c r="K161" t="str">
        <f>IF(H161="","",VLOOKUP(I161,表3_3[],3,0))</f>
        <v/>
      </c>
      <c r="L161" t="str">
        <f>IF(A161="","",IF(G161="LME","",VLOOKUP(RIGHT(E161,2),Helper1!$O$36:$P$48,2,0)))</f>
        <v/>
      </c>
      <c r="M161" t="str">
        <f t="shared" si="12"/>
        <v/>
      </c>
      <c r="N161" t="str">
        <f t="shared" si="13"/>
        <v/>
      </c>
      <c r="O161" t="str">
        <f t="shared" si="14"/>
        <v/>
      </c>
    </row>
    <row r="162" spans="1:15">
      <c r="A162" t="str">
        <f>IF('ATP Pos'!A162="","",LEFT('ATP Pos'!A162,B162-1))</f>
        <v/>
      </c>
      <c r="B162" t="str">
        <f>IF('ATP Pos'!A162="","",SEARCH("_",'ATP Pos'!A162,1))</f>
        <v/>
      </c>
      <c r="C162" t="str">
        <f>IF(A162="","",IF('ATP Pos'!E162="-","",IF('ATP Pos'!E162&gt;0,"Buy",IF('ATP Pos'!E162&lt;0,"Sell"))))</f>
        <v/>
      </c>
      <c r="D162" t="str">
        <f>IF(A162="","",IF('ATP Pos'!E162="-","",IF('ATP Pos'!E162&gt;0,'ATP Pos'!E162,IF('ATP Pos'!E162&lt;0,-'ATP Pos'!E162))))</f>
        <v/>
      </c>
      <c r="E162" t="str">
        <f>IF(A162="","",LEFT('ATP Pos'!B162,F162-1))</f>
        <v/>
      </c>
      <c r="F162" t="str">
        <f>IF(A162="","",SEARCH("-",'ATP Pos'!B162,1))</f>
        <v/>
      </c>
      <c r="G162" t="str">
        <f>IF(A162="","",RIGHT('ATP Pos'!B162,3))</f>
        <v/>
      </c>
      <c r="H162" t="str">
        <f t="shared" si="10"/>
        <v/>
      </c>
      <c r="I162" t="str">
        <f t="shared" si="11"/>
        <v/>
      </c>
      <c r="J162" t="str">
        <f>IF(H162="","",VLOOKUP(I162,表3_3[],2,0))</f>
        <v/>
      </c>
      <c r="K162" t="str">
        <f>IF(H162="","",VLOOKUP(I162,表3_3[],3,0))</f>
        <v/>
      </c>
      <c r="L162" t="str">
        <f>IF(A162="","",IF(G162="LME","",VLOOKUP(RIGHT(E162,2),Helper1!$O$36:$P$48,2,0)))</f>
        <v/>
      </c>
      <c r="M162" t="str">
        <f t="shared" si="12"/>
        <v/>
      </c>
      <c r="N162" t="str">
        <f t="shared" si="13"/>
        <v/>
      </c>
      <c r="O162" t="str">
        <f t="shared" si="14"/>
        <v/>
      </c>
    </row>
    <row r="163" spans="1:15">
      <c r="A163" t="str">
        <f>IF('ATP Pos'!A163="","",LEFT('ATP Pos'!A163,B163-1))</f>
        <v/>
      </c>
      <c r="B163" t="str">
        <f>IF('ATP Pos'!A163="","",SEARCH("_",'ATP Pos'!A163,1))</f>
        <v/>
      </c>
      <c r="C163" t="str">
        <f>IF(A163="","",IF('ATP Pos'!E163="-","",IF('ATP Pos'!E163&gt;0,"Buy",IF('ATP Pos'!E163&lt;0,"Sell"))))</f>
        <v/>
      </c>
      <c r="D163" t="str">
        <f>IF(A163="","",IF('ATP Pos'!E163="-","",IF('ATP Pos'!E163&gt;0,'ATP Pos'!E163,IF('ATP Pos'!E163&lt;0,-'ATP Pos'!E163))))</f>
        <v/>
      </c>
      <c r="E163" t="str">
        <f>IF(A163="","",LEFT('ATP Pos'!B163,F163-1))</f>
        <v/>
      </c>
      <c r="F163" t="str">
        <f>IF(A163="","",SEARCH("-",'ATP Pos'!B163,1))</f>
        <v/>
      </c>
      <c r="G163" t="str">
        <f>IF(A163="","",RIGHT('ATP Pos'!B163,3))</f>
        <v/>
      </c>
      <c r="H163" t="str">
        <f t="shared" si="10"/>
        <v/>
      </c>
      <c r="I163" t="str">
        <f t="shared" si="11"/>
        <v/>
      </c>
      <c r="J163" t="str">
        <f>IF(H163="","",VLOOKUP(I163,表3_3[],2,0))</f>
        <v/>
      </c>
      <c r="K163" t="str">
        <f>IF(H163="","",VLOOKUP(I163,表3_3[],3,0))</f>
        <v/>
      </c>
      <c r="L163" t="str">
        <f>IF(A163="","",IF(G163="LME","",VLOOKUP(RIGHT(E163,2),Helper1!$O$36:$P$48,2,0)))</f>
        <v/>
      </c>
      <c r="M163" t="str">
        <f t="shared" si="12"/>
        <v/>
      </c>
      <c r="N163" t="str">
        <f t="shared" si="13"/>
        <v/>
      </c>
      <c r="O163" t="str">
        <f t="shared" si="14"/>
        <v/>
      </c>
    </row>
    <row r="164" spans="1:15">
      <c r="A164" t="str">
        <f>IF('ATP Pos'!A164="","",LEFT('ATP Pos'!A164,B164-1))</f>
        <v/>
      </c>
      <c r="B164" t="str">
        <f>IF('ATP Pos'!A164="","",SEARCH("_",'ATP Pos'!A164,1))</f>
        <v/>
      </c>
      <c r="C164" t="str">
        <f>IF(A164="","",IF('ATP Pos'!E164="-","",IF('ATP Pos'!E164&gt;0,"Buy",IF('ATP Pos'!E164&lt;0,"Sell"))))</f>
        <v/>
      </c>
      <c r="D164" t="str">
        <f>IF(A164="","",IF('ATP Pos'!E164="-","",IF('ATP Pos'!E164&gt;0,'ATP Pos'!E164,IF('ATP Pos'!E164&lt;0,-'ATP Pos'!E164))))</f>
        <v/>
      </c>
      <c r="E164" t="str">
        <f>IF(A164="","",LEFT('ATP Pos'!B164,F164-1))</f>
        <v/>
      </c>
      <c r="F164" t="str">
        <f>IF(A164="","",SEARCH("-",'ATP Pos'!B164,1))</f>
        <v/>
      </c>
      <c r="G164" t="str">
        <f>IF(A164="","",RIGHT('ATP Pos'!B164,3))</f>
        <v/>
      </c>
      <c r="H164" t="str">
        <f t="shared" si="10"/>
        <v/>
      </c>
      <c r="I164" t="str">
        <f t="shared" si="11"/>
        <v/>
      </c>
      <c r="J164" t="str">
        <f>IF(H164="","",VLOOKUP(I164,表3_3[],2,0))</f>
        <v/>
      </c>
      <c r="K164" t="str">
        <f>IF(H164="","",VLOOKUP(I164,表3_3[],3,0))</f>
        <v/>
      </c>
      <c r="L164" t="str">
        <f>IF(A164="","",IF(G164="LME","",VLOOKUP(RIGHT(E164,2),Helper1!$O$36:$P$48,2,0)))</f>
        <v/>
      </c>
      <c r="M164" t="str">
        <f t="shared" si="12"/>
        <v/>
      </c>
      <c r="N164" t="str">
        <f t="shared" si="13"/>
        <v/>
      </c>
      <c r="O164" t="str">
        <f t="shared" si="14"/>
        <v/>
      </c>
    </row>
    <row r="165" spans="1:15">
      <c r="A165" t="str">
        <f>IF('ATP Pos'!A165="","",LEFT('ATP Pos'!A165,B165-1))</f>
        <v/>
      </c>
      <c r="B165" t="str">
        <f>IF('ATP Pos'!A165="","",SEARCH("_",'ATP Pos'!A165,1))</f>
        <v/>
      </c>
      <c r="C165" t="str">
        <f>IF(A165="","",IF('ATP Pos'!E165="-","",IF('ATP Pos'!E165&gt;0,"Buy",IF('ATP Pos'!E165&lt;0,"Sell"))))</f>
        <v/>
      </c>
      <c r="D165" t="str">
        <f>IF(A165="","",IF('ATP Pos'!E165="-","",IF('ATP Pos'!E165&gt;0,'ATP Pos'!E165,IF('ATP Pos'!E165&lt;0,-'ATP Pos'!E165))))</f>
        <v/>
      </c>
      <c r="E165" t="str">
        <f>IF(A165="","",LEFT('ATP Pos'!B165,F165-1))</f>
        <v/>
      </c>
      <c r="F165" t="str">
        <f>IF(A165="","",SEARCH("-",'ATP Pos'!B165,1))</f>
        <v/>
      </c>
      <c r="G165" t="str">
        <f>IF(A165="","",RIGHT('ATP Pos'!B165,3))</f>
        <v/>
      </c>
      <c r="H165" t="str">
        <f t="shared" si="10"/>
        <v/>
      </c>
      <c r="I165" t="str">
        <f t="shared" si="11"/>
        <v/>
      </c>
      <c r="J165" t="str">
        <f>IF(H165="","",VLOOKUP(I165,表3_3[],2,0))</f>
        <v/>
      </c>
      <c r="K165" t="str">
        <f>IF(H165="","",VLOOKUP(I165,表3_3[],3,0))</f>
        <v/>
      </c>
      <c r="L165" t="str">
        <f>IF(A165="","",IF(G165="LME","",VLOOKUP(RIGHT(E165,2),Helper1!$O$36:$P$48,2,0)))</f>
        <v/>
      </c>
      <c r="M165" t="str">
        <f t="shared" si="12"/>
        <v/>
      </c>
      <c r="N165" t="str">
        <f t="shared" si="13"/>
        <v/>
      </c>
      <c r="O165" t="str">
        <f t="shared" si="14"/>
        <v/>
      </c>
    </row>
    <row r="166" spans="1:15">
      <c r="A166" t="str">
        <f>IF('ATP Pos'!A166="","",LEFT('ATP Pos'!A166,B166-1))</f>
        <v/>
      </c>
      <c r="B166" t="str">
        <f>IF('ATP Pos'!A166="","",SEARCH("_",'ATP Pos'!A166,1))</f>
        <v/>
      </c>
      <c r="C166" t="str">
        <f>IF(A166="","",IF('ATP Pos'!E166="-","",IF('ATP Pos'!E166&gt;0,"Buy",IF('ATP Pos'!E166&lt;0,"Sell"))))</f>
        <v/>
      </c>
      <c r="D166" t="str">
        <f>IF(A166="","",IF('ATP Pos'!E166="-","",IF('ATP Pos'!E166&gt;0,'ATP Pos'!E166,IF('ATP Pos'!E166&lt;0,-'ATP Pos'!E166))))</f>
        <v/>
      </c>
      <c r="E166" t="str">
        <f>IF(A166="","",LEFT('ATP Pos'!B166,F166-1))</f>
        <v/>
      </c>
      <c r="F166" t="str">
        <f>IF(A166="","",SEARCH("-",'ATP Pos'!B166,1))</f>
        <v/>
      </c>
      <c r="G166" t="str">
        <f>IF(A166="","",RIGHT('ATP Pos'!B166,3))</f>
        <v/>
      </c>
      <c r="H166" t="str">
        <f t="shared" si="10"/>
        <v/>
      </c>
      <c r="I166" t="str">
        <f t="shared" si="11"/>
        <v/>
      </c>
      <c r="J166" t="str">
        <f>IF(H166="","",VLOOKUP(I166,表3_3[],2,0))</f>
        <v/>
      </c>
      <c r="K166" t="str">
        <f>IF(H166="","",VLOOKUP(I166,表3_3[],3,0))</f>
        <v/>
      </c>
      <c r="L166" t="str">
        <f>IF(A166="","",IF(G166="LME","",VLOOKUP(RIGHT(E166,2),Helper1!$O$36:$P$48,2,0)))</f>
        <v/>
      </c>
      <c r="M166" t="str">
        <f t="shared" si="12"/>
        <v/>
      </c>
      <c r="N166" t="str">
        <f t="shared" si="13"/>
        <v/>
      </c>
      <c r="O166" t="str">
        <f t="shared" si="14"/>
        <v/>
      </c>
    </row>
    <row r="167" spans="1:15">
      <c r="A167" t="str">
        <f>IF('ATP Pos'!A167="","",LEFT('ATP Pos'!A167,B167-1))</f>
        <v/>
      </c>
      <c r="B167" t="str">
        <f>IF('ATP Pos'!A167="","",SEARCH("_",'ATP Pos'!A167,1))</f>
        <v/>
      </c>
      <c r="C167" t="str">
        <f>IF(A167="","",IF('ATP Pos'!E167="-","",IF('ATP Pos'!E167&gt;0,"Buy",IF('ATP Pos'!E167&lt;0,"Sell"))))</f>
        <v/>
      </c>
      <c r="D167" t="str">
        <f>IF(A167="","",IF('ATP Pos'!E167="-","",IF('ATP Pos'!E167&gt;0,'ATP Pos'!E167,IF('ATP Pos'!E167&lt;0,-'ATP Pos'!E167))))</f>
        <v/>
      </c>
      <c r="E167" t="str">
        <f>IF(A167="","",LEFT('ATP Pos'!B167,F167-1))</f>
        <v/>
      </c>
      <c r="F167" t="str">
        <f>IF(A167="","",SEARCH("-",'ATP Pos'!B167,1))</f>
        <v/>
      </c>
      <c r="G167" t="str">
        <f>IF(A167="","",RIGHT('ATP Pos'!B167,3))</f>
        <v/>
      </c>
      <c r="H167" t="str">
        <f t="shared" si="10"/>
        <v/>
      </c>
      <c r="I167" t="str">
        <f t="shared" si="11"/>
        <v/>
      </c>
      <c r="J167" t="str">
        <f>IF(H167="","",VLOOKUP(I167,表3_3[],2,0))</f>
        <v/>
      </c>
      <c r="K167" t="str">
        <f>IF(H167="","",VLOOKUP(I167,表3_3[],3,0))</f>
        <v/>
      </c>
      <c r="L167" t="str">
        <f>IF(A167="","",IF(G167="LME","",VLOOKUP(RIGHT(E167,2),Helper1!$O$36:$P$48,2,0)))</f>
        <v/>
      </c>
      <c r="M167" t="str">
        <f t="shared" si="12"/>
        <v/>
      </c>
      <c r="N167" t="str">
        <f t="shared" si="13"/>
        <v/>
      </c>
      <c r="O167" t="str">
        <f t="shared" si="14"/>
        <v/>
      </c>
    </row>
    <row r="168" spans="1:15">
      <c r="A168" t="str">
        <f>IF('ATP Pos'!A168="","",LEFT('ATP Pos'!A168,B168-1))</f>
        <v/>
      </c>
      <c r="B168" t="str">
        <f>IF('ATP Pos'!A168="","",SEARCH("_",'ATP Pos'!A168,1))</f>
        <v/>
      </c>
      <c r="C168" t="str">
        <f>IF(A168="","",IF('ATP Pos'!E168="-","",IF('ATP Pos'!E168&gt;0,"Buy",IF('ATP Pos'!E168&lt;0,"Sell"))))</f>
        <v/>
      </c>
      <c r="D168" t="str">
        <f>IF(A168="","",IF('ATP Pos'!E168="-","",IF('ATP Pos'!E168&gt;0,'ATP Pos'!E168,IF('ATP Pos'!E168&lt;0,-'ATP Pos'!E168))))</f>
        <v/>
      </c>
      <c r="E168" t="str">
        <f>IF(A168="","",LEFT('ATP Pos'!B168,F168-1))</f>
        <v/>
      </c>
      <c r="F168" t="str">
        <f>IF(A168="","",SEARCH("-",'ATP Pos'!B168,1))</f>
        <v/>
      </c>
      <c r="G168" t="str">
        <f>IF(A168="","",RIGHT('ATP Pos'!B168,3))</f>
        <v/>
      </c>
      <c r="H168" t="str">
        <f t="shared" si="10"/>
        <v/>
      </c>
      <c r="I168" t="str">
        <f t="shared" si="11"/>
        <v/>
      </c>
      <c r="J168" t="str">
        <f>IF(H168="","",VLOOKUP(I168,表3_3[],2,0))</f>
        <v/>
      </c>
      <c r="K168" t="str">
        <f>IF(H168="","",VLOOKUP(I168,表3_3[],3,0))</f>
        <v/>
      </c>
      <c r="L168" t="str">
        <f>IF(A168="","",IF(G168="LME","",VLOOKUP(RIGHT(E168,2),Helper1!$O$36:$P$48,2,0)))</f>
        <v/>
      </c>
      <c r="M168" t="str">
        <f t="shared" si="12"/>
        <v/>
      </c>
      <c r="N168" t="str">
        <f t="shared" si="13"/>
        <v/>
      </c>
      <c r="O168" t="str">
        <f t="shared" si="14"/>
        <v/>
      </c>
    </row>
    <row r="169" spans="1:15">
      <c r="A169" t="str">
        <f>IF('ATP Pos'!A169="","",LEFT('ATP Pos'!A169,B169-1))</f>
        <v/>
      </c>
      <c r="B169" t="str">
        <f>IF('ATP Pos'!A169="","",SEARCH("_",'ATP Pos'!A169,1))</f>
        <v/>
      </c>
      <c r="C169" t="str">
        <f>IF(A169="","",IF('ATP Pos'!E169="-","",IF('ATP Pos'!E169&gt;0,"Buy",IF('ATP Pos'!E169&lt;0,"Sell"))))</f>
        <v/>
      </c>
      <c r="D169" t="str">
        <f>IF(A169="","",IF('ATP Pos'!E169="-","",IF('ATP Pos'!E169&gt;0,'ATP Pos'!E169,IF('ATP Pos'!E169&lt;0,-'ATP Pos'!E169))))</f>
        <v/>
      </c>
      <c r="E169" t="str">
        <f>IF(A169="","",LEFT('ATP Pos'!B169,F169-1))</f>
        <v/>
      </c>
      <c r="F169" t="str">
        <f>IF(A169="","",SEARCH("-",'ATP Pos'!B169,1))</f>
        <v/>
      </c>
      <c r="G169" t="str">
        <f>IF(A169="","",RIGHT('ATP Pos'!B169,3))</f>
        <v/>
      </c>
      <c r="H169" t="str">
        <f t="shared" si="10"/>
        <v/>
      </c>
      <c r="I169" t="str">
        <f t="shared" si="11"/>
        <v/>
      </c>
      <c r="J169" t="str">
        <f>IF(H169="","",VLOOKUP(I169,表3_3[],2,0))</f>
        <v/>
      </c>
      <c r="K169" t="str">
        <f>IF(H169="","",VLOOKUP(I169,表3_3[],3,0))</f>
        <v/>
      </c>
      <c r="L169" t="str">
        <f>IF(A169="","",IF(G169="LME","",VLOOKUP(RIGHT(E169,2),Helper1!$O$36:$P$48,2,0)))</f>
        <v/>
      </c>
      <c r="M169" t="str">
        <f t="shared" si="12"/>
        <v/>
      </c>
      <c r="N169" t="str">
        <f t="shared" si="13"/>
        <v/>
      </c>
      <c r="O169" t="str">
        <f t="shared" si="14"/>
        <v/>
      </c>
    </row>
    <row r="170" spans="1:15">
      <c r="A170" t="str">
        <f>IF('ATP Pos'!A170="","",LEFT('ATP Pos'!A170,B170-1))</f>
        <v/>
      </c>
      <c r="B170" t="str">
        <f>IF('ATP Pos'!A170="","",SEARCH("_",'ATP Pos'!A170,1))</f>
        <v/>
      </c>
      <c r="C170" t="str">
        <f>IF(A170="","",IF('ATP Pos'!E170="-","",IF('ATP Pos'!E170&gt;0,"Buy",IF('ATP Pos'!E170&lt;0,"Sell"))))</f>
        <v/>
      </c>
      <c r="D170" t="str">
        <f>IF(A170="","",IF('ATP Pos'!E170="-","",IF('ATP Pos'!E170&gt;0,'ATP Pos'!E170,IF('ATP Pos'!E170&lt;0,-'ATP Pos'!E170))))</f>
        <v/>
      </c>
      <c r="E170" t="str">
        <f>IF(A170="","",LEFT('ATP Pos'!B170,F170-1))</f>
        <v/>
      </c>
      <c r="F170" t="str">
        <f>IF(A170="","",SEARCH("-",'ATP Pos'!B170,1))</f>
        <v/>
      </c>
      <c r="G170" t="str">
        <f>IF(A170="","",RIGHT('ATP Pos'!B170,3))</f>
        <v/>
      </c>
      <c r="H170" t="str">
        <f t="shared" si="10"/>
        <v/>
      </c>
      <c r="I170" t="str">
        <f t="shared" si="11"/>
        <v/>
      </c>
      <c r="J170" t="str">
        <f>IF(H170="","",VLOOKUP(I170,表3_3[],2,0))</f>
        <v/>
      </c>
      <c r="K170" t="str">
        <f>IF(H170="","",VLOOKUP(I170,表3_3[],3,0))</f>
        <v/>
      </c>
      <c r="L170" t="str">
        <f>IF(A170="","",IF(G170="LME","",VLOOKUP(RIGHT(E170,2),Helper1!$O$36:$P$48,2,0)))</f>
        <v/>
      </c>
      <c r="M170" t="str">
        <f t="shared" si="12"/>
        <v/>
      </c>
      <c r="N170" t="str">
        <f t="shared" si="13"/>
        <v/>
      </c>
      <c r="O170" t="str">
        <f t="shared" si="14"/>
        <v/>
      </c>
    </row>
    <row r="171" spans="1:15">
      <c r="A171" t="str">
        <f>IF('ATP Pos'!A171="","",LEFT('ATP Pos'!A171,B171-1))</f>
        <v/>
      </c>
      <c r="B171" t="str">
        <f>IF('ATP Pos'!A171="","",SEARCH("_",'ATP Pos'!A171,1))</f>
        <v/>
      </c>
      <c r="C171" t="str">
        <f>IF(A171="","",IF('ATP Pos'!E171="-","",IF('ATP Pos'!E171&gt;0,"Buy",IF('ATP Pos'!E171&lt;0,"Sell"))))</f>
        <v/>
      </c>
      <c r="D171" t="str">
        <f>IF(A171="","",IF('ATP Pos'!E171="-","",IF('ATP Pos'!E171&gt;0,'ATP Pos'!E171,IF('ATP Pos'!E171&lt;0,-'ATP Pos'!E171))))</f>
        <v/>
      </c>
      <c r="E171" t="str">
        <f>IF(A171="","",LEFT('ATP Pos'!B171,F171-1))</f>
        <v/>
      </c>
      <c r="F171" t="str">
        <f>IF(A171="","",SEARCH("-",'ATP Pos'!B171,1))</f>
        <v/>
      </c>
      <c r="G171" t="str">
        <f>IF(A171="","",RIGHT('ATP Pos'!B171,3))</f>
        <v/>
      </c>
      <c r="H171" t="str">
        <f t="shared" si="10"/>
        <v/>
      </c>
      <c r="I171" t="str">
        <f t="shared" si="11"/>
        <v/>
      </c>
      <c r="J171" t="str">
        <f>IF(H171="","",VLOOKUP(I171,表3_3[],2,0))</f>
        <v/>
      </c>
      <c r="K171" t="str">
        <f>IF(H171="","",VLOOKUP(I171,表3_3[],3,0))</f>
        <v/>
      </c>
      <c r="L171" t="str">
        <f>IF(A171="","",IF(G171="LME","",VLOOKUP(RIGHT(E171,2),Helper1!$O$36:$P$48,2,0)))</f>
        <v/>
      </c>
      <c r="M171" t="str">
        <f t="shared" si="12"/>
        <v/>
      </c>
      <c r="N171" t="str">
        <f t="shared" si="13"/>
        <v/>
      </c>
      <c r="O171" t="str">
        <f t="shared" si="14"/>
        <v/>
      </c>
    </row>
    <row r="172" spans="1:15">
      <c r="A172" t="str">
        <f>IF('ATP Pos'!A172="","",LEFT('ATP Pos'!A172,B172-1))</f>
        <v/>
      </c>
      <c r="B172" t="str">
        <f>IF('ATP Pos'!A172="","",SEARCH("_",'ATP Pos'!A172,1))</f>
        <v/>
      </c>
      <c r="C172" t="str">
        <f>IF(A172="","",IF('ATP Pos'!E172="-","",IF('ATP Pos'!E172&gt;0,"Buy",IF('ATP Pos'!E172&lt;0,"Sell"))))</f>
        <v/>
      </c>
      <c r="D172" t="str">
        <f>IF(A172="","",IF('ATP Pos'!E172="-","",IF('ATP Pos'!E172&gt;0,'ATP Pos'!E172,IF('ATP Pos'!E172&lt;0,-'ATP Pos'!E172))))</f>
        <v/>
      </c>
      <c r="E172" t="str">
        <f>IF(A172="","",LEFT('ATP Pos'!B172,F172-1))</f>
        <v/>
      </c>
      <c r="F172" t="str">
        <f>IF(A172="","",SEARCH("-",'ATP Pos'!B172,1))</f>
        <v/>
      </c>
      <c r="G172" t="str">
        <f>IF(A172="","",RIGHT('ATP Pos'!B172,3))</f>
        <v/>
      </c>
      <c r="H172" t="str">
        <f t="shared" si="10"/>
        <v/>
      </c>
      <c r="I172" t="str">
        <f t="shared" si="11"/>
        <v/>
      </c>
      <c r="J172" t="str">
        <f>IF(H172="","",VLOOKUP(I172,表3_3[],2,0))</f>
        <v/>
      </c>
      <c r="K172" t="str">
        <f>IF(H172="","",VLOOKUP(I172,表3_3[],3,0))</f>
        <v/>
      </c>
      <c r="L172" t="str">
        <f>IF(A172="","",IF(G172="LME","",VLOOKUP(RIGHT(E172,2),Helper1!$O$36:$P$48,2,0)))</f>
        <v/>
      </c>
      <c r="M172" t="str">
        <f t="shared" si="12"/>
        <v/>
      </c>
      <c r="N172" t="str">
        <f t="shared" si="13"/>
        <v/>
      </c>
      <c r="O172" t="str">
        <f t="shared" si="14"/>
        <v/>
      </c>
    </row>
    <row r="173" spans="1:15">
      <c r="A173" t="str">
        <f>IF('ATP Pos'!A173="","",LEFT('ATP Pos'!A173,B173-1))</f>
        <v/>
      </c>
      <c r="B173" t="str">
        <f>IF('ATP Pos'!A173="","",SEARCH("_",'ATP Pos'!A173,1))</f>
        <v/>
      </c>
      <c r="C173" t="str">
        <f>IF(A173="","",IF('ATP Pos'!E173="-","",IF('ATP Pos'!E173&gt;0,"Buy",IF('ATP Pos'!E173&lt;0,"Sell"))))</f>
        <v/>
      </c>
      <c r="D173" t="str">
        <f>IF(A173="","",IF('ATP Pos'!E173="-","",IF('ATP Pos'!E173&gt;0,'ATP Pos'!E173,IF('ATP Pos'!E173&lt;0,-'ATP Pos'!E173))))</f>
        <v/>
      </c>
      <c r="E173" t="str">
        <f>IF(A173="","",LEFT('ATP Pos'!B173,F173-1))</f>
        <v/>
      </c>
      <c r="F173" t="str">
        <f>IF(A173="","",SEARCH("-",'ATP Pos'!B173,1))</f>
        <v/>
      </c>
      <c r="G173" t="str">
        <f>IF(A173="","",RIGHT('ATP Pos'!B173,3))</f>
        <v/>
      </c>
      <c r="H173" t="str">
        <f t="shared" si="10"/>
        <v/>
      </c>
      <c r="I173" t="str">
        <f t="shared" si="11"/>
        <v/>
      </c>
      <c r="J173" t="str">
        <f>IF(H173="","",VLOOKUP(I173,表3_3[],2,0))</f>
        <v/>
      </c>
      <c r="K173" t="str">
        <f>IF(H173="","",VLOOKUP(I173,表3_3[],3,0))</f>
        <v/>
      </c>
      <c r="L173" t="str">
        <f>IF(A173="","",IF(G173="LME","",VLOOKUP(RIGHT(E173,2),Helper1!$O$36:$P$48,2,0)))</f>
        <v/>
      </c>
      <c r="M173" t="str">
        <f t="shared" si="12"/>
        <v/>
      </c>
      <c r="N173" t="str">
        <f t="shared" si="13"/>
        <v/>
      </c>
      <c r="O173" t="str">
        <f t="shared" si="14"/>
        <v/>
      </c>
    </row>
    <row r="174" spans="1:15">
      <c r="A174" t="str">
        <f>IF('ATP Pos'!A174="","",LEFT('ATP Pos'!A174,B174-1))</f>
        <v/>
      </c>
      <c r="B174" t="str">
        <f>IF('ATP Pos'!A174="","",SEARCH("_",'ATP Pos'!A174,1))</f>
        <v/>
      </c>
      <c r="C174" t="str">
        <f>IF(A174="","",IF('ATP Pos'!E174="-","",IF('ATP Pos'!E174&gt;0,"Buy",IF('ATP Pos'!E174&lt;0,"Sell"))))</f>
        <v/>
      </c>
      <c r="D174" t="str">
        <f>IF(A174="","",IF('ATP Pos'!E174="-","",IF('ATP Pos'!E174&gt;0,'ATP Pos'!E174,IF('ATP Pos'!E174&lt;0,-'ATP Pos'!E174))))</f>
        <v/>
      </c>
      <c r="E174" t="str">
        <f>IF(A174="","",LEFT('ATP Pos'!B174,F174-1))</f>
        <v/>
      </c>
      <c r="F174" t="str">
        <f>IF(A174="","",SEARCH("-",'ATP Pos'!B174,1))</f>
        <v/>
      </c>
      <c r="G174" t="str">
        <f>IF(A174="","",RIGHT('ATP Pos'!B174,3))</f>
        <v/>
      </c>
      <c r="H174" t="str">
        <f t="shared" si="10"/>
        <v/>
      </c>
      <c r="I174" t="str">
        <f t="shared" si="11"/>
        <v/>
      </c>
      <c r="J174" t="str">
        <f>IF(H174="","",VLOOKUP(I174,表3_3[],2,0))</f>
        <v/>
      </c>
      <c r="K174" t="str">
        <f>IF(H174="","",VLOOKUP(I174,表3_3[],3,0))</f>
        <v/>
      </c>
      <c r="L174" t="str">
        <f>IF(A174="","",IF(G174="LME","",VLOOKUP(RIGHT(E174,2),Helper1!$O$36:$P$48,2,0)))</f>
        <v/>
      </c>
      <c r="M174" t="str">
        <f t="shared" si="12"/>
        <v/>
      </c>
      <c r="N174" t="str">
        <f t="shared" si="13"/>
        <v/>
      </c>
      <c r="O174" t="str">
        <f t="shared" si="14"/>
        <v/>
      </c>
    </row>
    <row r="175" spans="1:15">
      <c r="A175" t="str">
        <f>IF('ATP Pos'!A175="","",LEFT('ATP Pos'!A175,B175-1))</f>
        <v/>
      </c>
      <c r="B175" t="str">
        <f>IF('ATP Pos'!A175="","",SEARCH("_",'ATP Pos'!A175,1))</f>
        <v/>
      </c>
      <c r="C175" t="str">
        <f>IF(A175="","",IF('ATP Pos'!E175="-","",IF('ATP Pos'!E175&gt;0,"Buy",IF('ATP Pos'!E175&lt;0,"Sell"))))</f>
        <v/>
      </c>
      <c r="D175" t="str">
        <f>IF(A175="","",IF('ATP Pos'!E175="-","",IF('ATP Pos'!E175&gt;0,'ATP Pos'!E175,IF('ATP Pos'!E175&lt;0,-'ATP Pos'!E175))))</f>
        <v/>
      </c>
      <c r="E175" t="str">
        <f>IF(A175="","",LEFT('ATP Pos'!B175,F175-1))</f>
        <v/>
      </c>
      <c r="F175" t="str">
        <f>IF(A175="","",SEARCH("-",'ATP Pos'!B175,1))</f>
        <v/>
      </c>
      <c r="G175" t="str">
        <f>IF(A175="","",RIGHT('ATP Pos'!B175,3))</f>
        <v/>
      </c>
      <c r="H175" t="str">
        <f t="shared" si="10"/>
        <v/>
      </c>
      <c r="I175" t="str">
        <f t="shared" si="11"/>
        <v/>
      </c>
      <c r="J175" t="str">
        <f>IF(H175="","",VLOOKUP(I175,表3_3[],2,0))</f>
        <v/>
      </c>
      <c r="K175" t="str">
        <f>IF(H175="","",VLOOKUP(I175,表3_3[],3,0))</f>
        <v/>
      </c>
      <c r="L175" t="str">
        <f>IF(A175="","",IF(G175="LME","",VLOOKUP(RIGHT(E175,2),Helper1!$O$36:$P$48,2,0)))</f>
        <v/>
      </c>
      <c r="M175" t="str">
        <f t="shared" si="12"/>
        <v/>
      </c>
      <c r="N175" t="str">
        <f t="shared" si="13"/>
        <v/>
      </c>
      <c r="O175" t="str">
        <f t="shared" si="14"/>
        <v/>
      </c>
    </row>
    <row r="176" spans="1:15">
      <c r="A176" t="str">
        <f>IF('ATP Pos'!A176="","",LEFT('ATP Pos'!A176,B176-1))</f>
        <v/>
      </c>
      <c r="B176" t="str">
        <f>IF('ATP Pos'!A176="","",SEARCH("_",'ATP Pos'!A176,1))</f>
        <v/>
      </c>
      <c r="C176" t="str">
        <f>IF(A176="","",IF('ATP Pos'!E176="-","",IF('ATP Pos'!E176&gt;0,"Buy",IF('ATP Pos'!E176&lt;0,"Sell"))))</f>
        <v/>
      </c>
      <c r="D176" t="str">
        <f>IF(A176="","",IF('ATP Pos'!E176="-","",IF('ATP Pos'!E176&gt;0,'ATP Pos'!E176,IF('ATP Pos'!E176&lt;0,-'ATP Pos'!E176))))</f>
        <v/>
      </c>
      <c r="E176" t="str">
        <f>IF(A176="","",LEFT('ATP Pos'!B176,F176-1))</f>
        <v/>
      </c>
      <c r="F176" t="str">
        <f>IF(A176="","",SEARCH("-",'ATP Pos'!B176,1))</f>
        <v/>
      </c>
      <c r="G176" t="str">
        <f>IF(A176="","",RIGHT('ATP Pos'!B176,3))</f>
        <v/>
      </c>
      <c r="H176" t="str">
        <f t="shared" si="10"/>
        <v/>
      </c>
      <c r="I176" t="str">
        <f t="shared" si="11"/>
        <v/>
      </c>
      <c r="J176" t="str">
        <f>IF(H176="","",VLOOKUP(I176,表3_3[],2,0))</f>
        <v/>
      </c>
      <c r="K176" t="str">
        <f>IF(H176="","",VLOOKUP(I176,表3_3[],3,0))</f>
        <v/>
      </c>
      <c r="L176" t="str">
        <f>IF(A176="","",IF(G176="LME","",VLOOKUP(RIGHT(E176,2),Helper1!$O$36:$P$48,2,0)))</f>
        <v/>
      </c>
      <c r="M176" t="str">
        <f t="shared" si="12"/>
        <v/>
      </c>
      <c r="N176" t="str">
        <f t="shared" si="13"/>
        <v/>
      </c>
      <c r="O176" t="str">
        <f t="shared" si="14"/>
        <v/>
      </c>
    </row>
    <row r="177" spans="1:15">
      <c r="A177" t="str">
        <f>IF('ATP Pos'!A177="","",LEFT('ATP Pos'!A177,B177-1))</f>
        <v/>
      </c>
      <c r="B177" t="str">
        <f>IF('ATP Pos'!A177="","",SEARCH("_",'ATP Pos'!A177,1))</f>
        <v/>
      </c>
      <c r="C177" t="str">
        <f>IF(A177="","",IF('ATP Pos'!E177="-","",IF('ATP Pos'!E177&gt;0,"Buy",IF('ATP Pos'!E177&lt;0,"Sell"))))</f>
        <v/>
      </c>
      <c r="D177" t="str">
        <f>IF(A177="","",IF('ATP Pos'!E177="-","",IF('ATP Pos'!E177&gt;0,'ATP Pos'!E177,IF('ATP Pos'!E177&lt;0,-'ATP Pos'!E177))))</f>
        <v/>
      </c>
      <c r="E177" t="str">
        <f>IF(A177="","",LEFT('ATP Pos'!B177,F177-1))</f>
        <v/>
      </c>
      <c r="F177" t="str">
        <f>IF(A177="","",SEARCH("-",'ATP Pos'!B177,1))</f>
        <v/>
      </c>
      <c r="G177" t="str">
        <f>IF(A177="","",RIGHT('ATP Pos'!B177,3))</f>
        <v/>
      </c>
      <c r="H177" t="str">
        <f t="shared" si="10"/>
        <v/>
      </c>
      <c r="I177" t="str">
        <f t="shared" si="11"/>
        <v/>
      </c>
      <c r="J177" t="str">
        <f>IF(H177="","",VLOOKUP(I177,表3_3[],2,0))</f>
        <v/>
      </c>
      <c r="K177" t="str">
        <f>IF(H177="","",VLOOKUP(I177,表3_3[],3,0))</f>
        <v/>
      </c>
      <c r="L177" t="str">
        <f>IF(A177="","",IF(G177="LME","",VLOOKUP(RIGHT(E177,2),Helper1!$O$36:$P$48,2,0)))</f>
        <v/>
      </c>
      <c r="M177" t="str">
        <f t="shared" si="12"/>
        <v/>
      </c>
      <c r="N177" t="str">
        <f t="shared" si="13"/>
        <v/>
      </c>
      <c r="O177" t="str">
        <f t="shared" si="14"/>
        <v/>
      </c>
    </row>
    <row r="178" spans="1:15">
      <c r="A178" t="str">
        <f>IF('ATP Pos'!A178="","",LEFT('ATP Pos'!A178,B178-1))</f>
        <v/>
      </c>
      <c r="B178" t="str">
        <f>IF('ATP Pos'!A178="","",SEARCH("_",'ATP Pos'!A178,1))</f>
        <v/>
      </c>
      <c r="C178" t="str">
        <f>IF(A178="","",IF('ATP Pos'!E178="-","",IF('ATP Pos'!E178&gt;0,"Buy",IF('ATP Pos'!E178&lt;0,"Sell"))))</f>
        <v/>
      </c>
      <c r="D178" t="str">
        <f>IF(A178="","",IF('ATP Pos'!E178="-","",IF('ATP Pos'!E178&gt;0,'ATP Pos'!E178,IF('ATP Pos'!E178&lt;0,-'ATP Pos'!E178))))</f>
        <v/>
      </c>
      <c r="E178" t="str">
        <f>IF(A178="","",LEFT('ATP Pos'!B178,F178-1))</f>
        <v/>
      </c>
      <c r="F178" t="str">
        <f>IF(A178="","",SEARCH("-",'ATP Pos'!B178,1))</f>
        <v/>
      </c>
      <c r="G178" t="str">
        <f>IF(A178="","",RIGHT('ATP Pos'!B178,3))</f>
        <v/>
      </c>
      <c r="H178" t="str">
        <f t="shared" si="10"/>
        <v/>
      </c>
      <c r="I178" t="str">
        <f t="shared" si="11"/>
        <v/>
      </c>
      <c r="J178" t="str">
        <f>IF(H178="","",VLOOKUP(I178,表3_3[],2,0))</f>
        <v/>
      </c>
      <c r="K178" t="str">
        <f>IF(H178="","",VLOOKUP(I178,表3_3[],3,0))</f>
        <v/>
      </c>
      <c r="L178" t="str">
        <f>IF(A178="","",IF(G178="LME","",VLOOKUP(RIGHT(E178,2),Helper1!$O$36:$P$48,2,0)))</f>
        <v/>
      </c>
      <c r="M178" t="str">
        <f t="shared" si="12"/>
        <v/>
      </c>
      <c r="N178" t="str">
        <f t="shared" si="13"/>
        <v/>
      </c>
      <c r="O178" t="str">
        <f t="shared" si="14"/>
        <v/>
      </c>
    </row>
    <row r="179" spans="1:15">
      <c r="A179" t="str">
        <f>IF('ATP Pos'!A179="","",LEFT('ATP Pos'!A179,B179-1))</f>
        <v/>
      </c>
      <c r="B179" t="str">
        <f>IF('ATP Pos'!A179="","",SEARCH("_",'ATP Pos'!A179,1))</f>
        <v/>
      </c>
      <c r="C179" t="str">
        <f>IF(A179="","",IF('ATP Pos'!E179="-","",IF('ATP Pos'!E179&gt;0,"Buy",IF('ATP Pos'!E179&lt;0,"Sell"))))</f>
        <v/>
      </c>
      <c r="D179" t="str">
        <f>IF(A179="","",IF('ATP Pos'!E179="-","",IF('ATP Pos'!E179&gt;0,'ATP Pos'!E179,IF('ATP Pos'!E179&lt;0,-'ATP Pos'!E179))))</f>
        <v/>
      </c>
      <c r="E179" t="str">
        <f>IF(A179="","",LEFT('ATP Pos'!B179,F179-1))</f>
        <v/>
      </c>
      <c r="F179" t="str">
        <f>IF(A179="","",SEARCH("-",'ATP Pos'!B179,1))</f>
        <v/>
      </c>
      <c r="G179" t="str">
        <f>IF(A179="","",RIGHT('ATP Pos'!B179,3))</f>
        <v/>
      </c>
      <c r="H179" t="str">
        <f t="shared" si="10"/>
        <v/>
      </c>
      <c r="I179" t="str">
        <f t="shared" si="11"/>
        <v/>
      </c>
      <c r="J179" t="str">
        <f>IF(H179="","",VLOOKUP(I179,表3_3[],2,0))</f>
        <v/>
      </c>
      <c r="K179" t="str">
        <f>IF(H179="","",VLOOKUP(I179,表3_3[],3,0))</f>
        <v/>
      </c>
      <c r="L179" t="str">
        <f>IF(A179="","",IF(G179="LME","",VLOOKUP(RIGHT(E179,2),Helper1!$O$36:$P$48,2,0)))</f>
        <v/>
      </c>
      <c r="M179" t="str">
        <f t="shared" si="12"/>
        <v/>
      </c>
      <c r="N179" t="str">
        <f t="shared" si="13"/>
        <v/>
      </c>
      <c r="O179" t="str">
        <f t="shared" si="14"/>
        <v/>
      </c>
    </row>
    <row r="180" spans="1:15">
      <c r="A180" t="str">
        <f>IF('ATP Pos'!A180="","",LEFT('ATP Pos'!A180,B180-1))</f>
        <v/>
      </c>
      <c r="B180" t="str">
        <f>IF('ATP Pos'!A180="","",SEARCH("_",'ATP Pos'!A180,1))</f>
        <v/>
      </c>
      <c r="C180" t="str">
        <f>IF(A180="","",IF('ATP Pos'!E180="-","",IF('ATP Pos'!E180&gt;0,"Buy",IF('ATP Pos'!E180&lt;0,"Sell"))))</f>
        <v/>
      </c>
      <c r="D180" t="str">
        <f>IF(A180="","",IF('ATP Pos'!E180="-","",IF('ATP Pos'!E180&gt;0,'ATP Pos'!E180,IF('ATP Pos'!E180&lt;0,-'ATP Pos'!E180))))</f>
        <v/>
      </c>
      <c r="E180" t="str">
        <f>IF(A180="","",LEFT('ATP Pos'!B180,F180-1))</f>
        <v/>
      </c>
      <c r="F180" t="str">
        <f>IF(A180="","",SEARCH("-",'ATP Pos'!B180,1))</f>
        <v/>
      </c>
      <c r="G180" t="str">
        <f>IF(A180="","",RIGHT('ATP Pos'!B180,3))</f>
        <v/>
      </c>
      <c r="H180" t="str">
        <f t="shared" si="10"/>
        <v/>
      </c>
      <c r="I180" t="str">
        <f t="shared" si="11"/>
        <v/>
      </c>
      <c r="J180" t="str">
        <f>IF(H180="","",VLOOKUP(I180,表3_3[],2,0))</f>
        <v/>
      </c>
      <c r="K180" t="str">
        <f>IF(H180="","",VLOOKUP(I180,表3_3[],3,0))</f>
        <v/>
      </c>
      <c r="L180" t="str">
        <f>IF(A180="","",IF(G180="LME","",VLOOKUP(RIGHT(E180,2),Helper1!$O$36:$P$48,2,0)))</f>
        <v/>
      </c>
      <c r="M180" t="str">
        <f t="shared" si="12"/>
        <v/>
      </c>
      <c r="N180" t="str">
        <f t="shared" si="13"/>
        <v/>
      </c>
      <c r="O180" t="str">
        <f t="shared" si="14"/>
        <v/>
      </c>
    </row>
    <row r="181" spans="1:15">
      <c r="A181" t="str">
        <f>IF('ATP Pos'!A181="","",LEFT('ATP Pos'!A181,B181-1))</f>
        <v/>
      </c>
      <c r="B181" t="str">
        <f>IF('ATP Pos'!A181="","",SEARCH("_",'ATP Pos'!A181,1))</f>
        <v/>
      </c>
      <c r="C181" t="str">
        <f>IF(A181="","",IF('ATP Pos'!E181="-","",IF('ATP Pos'!E181&gt;0,"Buy",IF('ATP Pos'!E181&lt;0,"Sell"))))</f>
        <v/>
      </c>
      <c r="D181" t="str">
        <f>IF(A181="","",IF('ATP Pos'!E181="-","",IF('ATP Pos'!E181&gt;0,'ATP Pos'!E181,IF('ATP Pos'!E181&lt;0,-'ATP Pos'!E181))))</f>
        <v/>
      </c>
      <c r="E181" t="str">
        <f>IF(A181="","",LEFT('ATP Pos'!B181,F181-1))</f>
        <v/>
      </c>
      <c r="F181" t="str">
        <f>IF(A181="","",SEARCH("-",'ATP Pos'!B181,1))</f>
        <v/>
      </c>
      <c r="G181" t="str">
        <f>IF(A181="","",RIGHT('ATP Pos'!B181,3))</f>
        <v/>
      </c>
      <c r="H181" t="str">
        <f t="shared" si="10"/>
        <v/>
      </c>
      <c r="I181" t="str">
        <f t="shared" si="11"/>
        <v/>
      </c>
      <c r="J181" t="str">
        <f>IF(H181="","",VLOOKUP(I181,表3_3[],2,0))</f>
        <v/>
      </c>
      <c r="K181" t="str">
        <f>IF(H181="","",VLOOKUP(I181,表3_3[],3,0))</f>
        <v/>
      </c>
      <c r="L181" t="str">
        <f>IF(A181="","",IF(G181="LME","",VLOOKUP(RIGHT(E181,2),Helper1!$O$36:$P$48,2,0)))</f>
        <v/>
      </c>
      <c r="M181" t="str">
        <f t="shared" si="12"/>
        <v/>
      </c>
      <c r="N181" t="str">
        <f t="shared" si="13"/>
        <v/>
      </c>
      <c r="O181" t="str">
        <f t="shared" si="14"/>
        <v/>
      </c>
    </row>
    <row r="182" spans="1:15">
      <c r="A182" t="str">
        <f>IF('ATP Pos'!A182="","",LEFT('ATP Pos'!A182,B182-1))</f>
        <v/>
      </c>
      <c r="B182" t="str">
        <f>IF('ATP Pos'!A182="","",SEARCH("_",'ATP Pos'!A182,1))</f>
        <v/>
      </c>
      <c r="C182" t="str">
        <f>IF(A182="","",IF('ATP Pos'!E182="-","",IF('ATP Pos'!E182&gt;0,"Buy",IF('ATP Pos'!E182&lt;0,"Sell"))))</f>
        <v/>
      </c>
      <c r="D182" t="str">
        <f>IF(A182="","",IF('ATP Pos'!E182="-","",IF('ATP Pos'!E182&gt;0,'ATP Pos'!E182,IF('ATP Pos'!E182&lt;0,-'ATP Pos'!E182))))</f>
        <v/>
      </c>
      <c r="E182" t="str">
        <f>IF(A182="","",LEFT('ATP Pos'!B182,F182-1))</f>
        <v/>
      </c>
      <c r="F182" t="str">
        <f>IF(A182="","",SEARCH("-",'ATP Pos'!B182,1))</f>
        <v/>
      </c>
      <c r="G182" t="str">
        <f>IF(A182="","",RIGHT('ATP Pos'!B182,3))</f>
        <v/>
      </c>
      <c r="H182" t="str">
        <f t="shared" si="10"/>
        <v/>
      </c>
      <c r="I182" t="str">
        <f t="shared" si="11"/>
        <v/>
      </c>
      <c r="J182" t="str">
        <f>IF(H182="","",VLOOKUP(I182,表3_3[],2,0))</f>
        <v/>
      </c>
      <c r="K182" t="str">
        <f>IF(H182="","",VLOOKUP(I182,表3_3[],3,0))</f>
        <v/>
      </c>
      <c r="L182" t="str">
        <f>IF(A182="","",IF(G182="LME","",VLOOKUP(RIGHT(E182,2),Helper1!$O$36:$P$48,2,0)))</f>
        <v/>
      </c>
      <c r="M182" t="str">
        <f t="shared" si="12"/>
        <v/>
      </c>
      <c r="N182" t="str">
        <f t="shared" si="13"/>
        <v/>
      </c>
      <c r="O182" t="str">
        <f t="shared" si="14"/>
        <v/>
      </c>
    </row>
    <row r="183" spans="1:15">
      <c r="A183" t="str">
        <f>IF('ATP Pos'!A183="","",LEFT('ATP Pos'!A183,B183-1))</f>
        <v/>
      </c>
      <c r="B183" t="str">
        <f>IF('ATP Pos'!A183="","",SEARCH("_",'ATP Pos'!A183,1))</f>
        <v/>
      </c>
      <c r="C183" t="str">
        <f>IF(A183="","",IF('ATP Pos'!E183="-","",IF('ATP Pos'!E183&gt;0,"Buy",IF('ATP Pos'!E183&lt;0,"Sell"))))</f>
        <v/>
      </c>
      <c r="D183" t="str">
        <f>IF(A183="","",IF('ATP Pos'!E183="-","",IF('ATP Pos'!E183&gt;0,'ATP Pos'!E183,IF('ATP Pos'!E183&lt;0,-'ATP Pos'!E183))))</f>
        <v/>
      </c>
      <c r="E183" t="str">
        <f>IF(A183="","",LEFT('ATP Pos'!B183,F183-1))</f>
        <v/>
      </c>
      <c r="F183" t="str">
        <f>IF(A183="","",SEARCH("-",'ATP Pos'!B183,1))</f>
        <v/>
      </c>
      <c r="G183" t="str">
        <f>IF(A183="","",RIGHT('ATP Pos'!B183,3))</f>
        <v/>
      </c>
      <c r="H183" t="str">
        <f t="shared" si="10"/>
        <v/>
      </c>
      <c r="I183" t="str">
        <f t="shared" si="11"/>
        <v/>
      </c>
      <c r="J183" t="str">
        <f>IF(H183="","",VLOOKUP(I183,表3_3[],2,0))</f>
        <v/>
      </c>
      <c r="K183" t="str">
        <f>IF(H183="","",VLOOKUP(I183,表3_3[],3,0))</f>
        <v/>
      </c>
      <c r="L183" t="str">
        <f>IF(A183="","",IF(G183="LME","",VLOOKUP(RIGHT(E183,2),Helper1!$O$36:$P$48,2,0)))</f>
        <v/>
      </c>
      <c r="M183" t="str">
        <f t="shared" si="12"/>
        <v/>
      </c>
      <c r="N183" t="str">
        <f t="shared" si="13"/>
        <v/>
      </c>
      <c r="O183" t="str">
        <f t="shared" si="14"/>
        <v/>
      </c>
    </row>
    <row r="184" spans="1:15">
      <c r="A184" t="str">
        <f>IF('ATP Pos'!A184="","",LEFT('ATP Pos'!A184,B184-1))</f>
        <v/>
      </c>
      <c r="B184" t="str">
        <f>IF('ATP Pos'!A184="","",SEARCH("_",'ATP Pos'!A184,1))</f>
        <v/>
      </c>
      <c r="C184" t="str">
        <f>IF(A184="","",IF('ATP Pos'!E184="-","",IF('ATP Pos'!E184&gt;0,"Buy",IF('ATP Pos'!E184&lt;0,"Sell"))))</f>
        <v/>
      </c>
      <c r="D184" t="str">
        <f>IF(A184="","",IF('ATP Pos'!E184="-","",IF('ATP Pos'!E184&gt;0,'ATP Pos'!E184,IF('ATP Pos'!E184&lt;0,-'ATP Pos'!E184))))</f>
        <v/>
      </c>
      <c r="E184" t="str">
        <f>IF(A184="","",LEFT('ATP Pos'!B184,F184-1))</f>
        <v/>
      </c>
      <c r="F184" t="str">
        <f>IF(A184="","",SEARCH("-",'ATP Pos'!B184,1))</f>
        <v/>
      </c>
      <c r="G184" t="str">
        <f>IF(A184="","",RIGHT('ATP Pos'!B184,3))</f>
        <v/>
      </c>
      <c r="H184" t="str">
        <f t="shared" si="10"/>
        <v/>
      </c>
      <c r="I184" t="str">
        <f t="shared" si="11"/>
        <v/>
      </c>
      <c r="J184" t="str">
        <f>IF(H184="","",VLOOKUP(I184,表3_3[],2,0))</f>
        <v/>
      </c>
      <c r="K184" t="str">
        <f>IF(H184="","",VLOOKUP(I184,表3_3[],3,0))</f>
        <v/>
      </c>
      <c r="L184" t="str">
        <f>IF(A184="","",IF(G184="LME","",VLOOKUP(RIGHT(E184,2),Helper1!$O$36:$P$48,2,0)))</f>
        <v/>
      </c>
      <c r="M184" t="str">
        <f t="shared" si="12"/>
        <v/>
      </c>
      <c r="N184" t="str">
        <f t="shared" si="13"/>
        <v/>
      </c>
      <c r="O184" t="str">
        <f t="shared" si="14"/>
        <v/>
      </c>
    </row>
    <row r="185" spans="1:15">
      <c r="A185" t="str">
        <f>IF('ATP Pos'!A185="","",LEFT('ATP Pos'!A185,B185-1))</f>
        <v/>
      </c>
      <c r="B185" t="str">
        <f>IF('ATP Pos'!A185="","",SEARCH("_",'ATP Pos'!A185,1))</f>
        <v/>
      </c>
      <c r="C185" t="str">
        <f>IF(A185="","",IF('ATP Pos'!E185="-","",IF('ATP Pos'!E185&gt;0,"Buy",IF('ATP Pos'!E185&lt;0,"Sell"))))</f>
        <v/>
      </c>
      <c r="D185" t="str">
        <f>IF(A185="","",IF('ATP Pos'!E185="-","",IF('ATP Pos'!E185&gt;0,'ATP Pos'!E185,IF('ATP Pos'!E185&lt;0,-'ATP Pos'!E185))))</f>
        <v/>
      </c>
      <c r="E185" t="str">
        <f>IF(A185="","",LEFT('ATP Pos'!B185,F185-1))</f>
        <v/>
      </c>
      <c r="F185" t="str">
        <f>IF(A185="","",SEARCH("-",'ATP Pos'!B185,1))</f>
        <v/>
      </c>
      <c r="G185" t="str">
        <f>IF(A185="","",RIGHT('ATP Pos'!B185,3))</f>
        <v/>
      </c>
      <c r="H185" t="str">
        <f t="shared" si="10"/>
        <v/>
      </c>
      <c r="I185" t="str">
        <f t="shared" si="11"/>
        <v/>
      </c>
      <c r="J185" t="str">
        <f>IF(H185="","",VLOOKUP(I185,表3_3[],2,0))</f>
        <v/>
      </c>
      <c r="K185" t="str">
        <f>IF(H185="","",VLOOKUP(I185,表3_3[],3,0))</f>
        <v/>
      </c>
      <c r="L185" t="str">
        <f>IF(A185="","",IF(G185="LME","",VLOOKUP(RIGHT(E185,2),Helper1!$O$36:$P$48,2,0)))</f>
        <v/>
      </c>
      <c r="M185" t="str">
        <f t="shared" si="12"/>
        <v/>
      </c>
      <c r="N185" t="str">
        <f t="shared" si="13"/>
        <v/>
      </c>
      <c r="O185" t="str">
        <f t="shared" si="14"/>
        <v/>
      </c>
    </row>
    <row r="186" spans="1:15">
      <c r="A186" t="str">
        <f>IF('ATP Pos'!A186="","",LEFT('ATP Pos'!A186,B186-1))</f>
        <v/>
      </c>
      <c r="B186" t="str">
        <f>IF('ATP Pos'!A186="","",SEARCH("_",'ATP Pos'!A186,1))</f>
        <v/>
      </c>
      <c r="C186" t="str">
        <f>IF(A186="","",IF('ATP Pos'!E186="-","",IF('ATP Pos'!E186&gt;0,"Buy",IF('ATP Pos'!E186&lt;0,"Sell"))))</f>
        <v/>
      </c>
      <c r="D186" t="str">
        <f>IF(A186="","",IF('ATP Pos'!E186="-","",IF('ATP Pos'!E186&gt;0,'ATP Pos'!E186,IF('ATP Pos'!E186&lt;0,-'ATP Pos'!E186))))</f>
        <v/>
      </c>
      <c r="E186" t="str">
        <f>IF(A186="","",LEFT('ATP Pos'!B186,F186-1))</f>
        <v/>
      </c>
      <c r="F186" t="str">
        <f>IF(A186="","",SEARCH("-",'ATP Pos'!B186,1))</f>
        <v/>
      </c>
      <c r="G186" t="str">
        <f>IF(A186="","",RIGHT('ATP Pos'!B186,3))</f>
        <v/>
      </c>
      <c r="H186" t="str">
        <f t="shared" si="10"/>
        <v/>
      </c>
      <c r="I186" t="str">
        <f t="shared" si="11"/>
        <v/>
      </c>
      <c r="J186" t="str">
        <f>IF(H186="","",VLOOKUP(I186,表3_3[],2,0))</f>
        <v/>
      </c>
      <c r="K186" t="str">
        <f>IF(H186="","",VLOOKUP(I186,表3_3[],3,0))</f>
        <v/>
      </c>
      <c r="L186" t="str">
        <f>IF(A186="","",IF(G186="LME","",VLOOKUP(RIGHT(E186,2),Helper1!$O$36:$P$48,2,0)))</f>
        <v/>
      </c>
      <c r="M186" t="str">
        <f t="shared" si="12"/>
        <v/>
      </c>
      <c r="N186" t="str">
        <f t="shared" si="13"/>
        <v/>
      </c>
      <c r="O186" t="str">
        <f t="shared" si="14"/>
        <v/>
      </c>
    </row>
    <row r="187" spans="1:15">
      <c r="A187" t="str">
        <f>IF('ATP Pos'!A187="","",LEFT('ATP Pos'!A187,B187-1))</f>
        <v/>
      </c>
      <c r="B187" t="str">
        <f>IF('ATP Pos'!A187="","",SEARCH("_",'ATP Pos'!A187,1))</f>
        <v/>
      </c>
      <c r="C187" t="str">
        <f>IF(A187="","",IF('ATP Pos'!E187="-","",IF('ATP Pos'!E187&gt;0,"Buy",IF('ATP Pos'!E187&lt;0,"Sell"))))</f>
        <v/>
      </c>
      <c r="D187" t="str">
        <f>IF(A187="","",IF('ATP Pos'!E187="-","",IF('ATP Pos'!E187&gt;0,'ATP Pos'!E187,IF('ATP Pos'!E187&lt;0,-'ATP Pos'!E187))))</f>
        <v/>
      </c>
      <c r="E187" t="str">
        <f>IF(A187="","",LEFT('ATP Pos'!B187,F187-1))</f>
        <v/>
      </c>
      <c r="F187" t="str">
        <f>IF(A187="","",SEARCH("-",'ATP Pos'!B187,1))</f>
        <v/>
      </c>
      <c r="G187" t="str">
        <f>IF(A187="","",RIGHT('ATP Pos'!B187,3))</f>
        <v/>
      </c>
      <c r="H187" t="str">
        <f t="shared" si="10"/>
        <v/>
      </c>
      <c r="I187" t="str">
        <f t="shared" si="11"/>
        <v/>
      </c>
      <c r="J187" t="str">
        <f>IF(H187="","",VLOOKUP(I187,表3_3[],2,0))</f>
        <v/>
      </c>
      <c r="K187" t="str">
        <f>IF(H187="","",VLOOKUP(I187,表3_3[],3,0))</f>
        <v/>
      </c>
      <c r="L187" t="str">
        <f>IF(A187="","",IF(G187="LME","",VLOOKUP(RIGHT(E187,2),Helper1!$O$36:$P$48,2,0)))</f>
        <v/>
      </c>
      <c r="M187" t="str">
        <f t="shared" si="12"/>
        <v/>
      </c>
      <c r="N187" t="str">
        <f t="shared" si="13"/>
        <v/>
      </c>
      <c r="O187" t="str">
        <f t="shared" si="14"/>
        <v/>
      </c>
    </row>
    <row r="188" spans="1:15">
      <c r="A188" t="str">
        <f>IF('ATP Pos'!A188="","",LEFT('ATP Pos'!A188,B188-1))</f>
        <v/>
      </c>
      <c r="B188" t="str">
        <f>IF('ATP Pos'!A188="","",SEARCH("_",'ATP Pos'!A188,1))</f>
        <v/>
      </c>
      <c r="C188" t="str">
        <f>IF(A188="","",IF('ATP Pos'!E188="-","",IF('ATP Pos'!E188&gt;0,"Buy",IF('ATP Pos'!E188&lt;0,"Sell"))))</f>
        <v/>
      </c>
      <c r="D188" t="str">
        <f>IF(A188="","",IF('ATP Pos'!E188="-","",IF('ATP Pos'!E188&gt;0,'ATP Pos'!E188,IF('ATP Pos'!E188&lt;0,-'ATP Pos'!E188))))</f>
        <v/>
      </c>
      <c r="E188" t="str">
        <f>IF(A188="","",LEFT('ATP Pos'!B188,F188-1))</f>
        <v/>
      </c>
      <c r="F188" t="str">
        <f>IF(A188="","",SEARCH("-",'ATP Pos'!B188,1))</f>
        <v/>
      </c>
      <c r="G188" t="str">
        <f>IF(A188="","",RIGHT('ATP Pos'!B188,3))</f>
        <v/>
      </c>
      <c r="H188" t="str">
        <f t="shared" si="10"/>
        <v/>
      </c>
      <c r="I188" t="str">
        <f t="shared" si="11"/>
        <v/>
      </c>
      <c r="J188" t="str">
        <f>IF(H188="","",VLOOKUP(I188,表3_3[],2,0))</f>
        <v/>
      </c>
      <c r="K188" t="str">
        <f>IF(H188="","",VLOOKUP(I188,表3_3[],3,0))</f>
        <v/>
      </c>
      <c r="L188" t="str">
        <f>IF(A188="","",IF(G188="LME","",VLOOKUP(RIGHT(E188,2),Helper1!$O$36:$P$48,2,0)))</f>
        <v/>
      </c>
      <c r="M188" t="str">
        <f t="shared" si="12"/>
        <v/>
      </c>
      <c r="N188" t="str">
        <f t="shared" si="13"/>
        <v/>
      </c>
      <c r="O188" t="str">
        <f t="shared" si="14"/>
        <v/>
      </c>
    </row>
    <row r="189" spans="1:15">
      <c r="A189" t="str">
        <f>IF('ATP Pos'!A189="","",LEFT('ATP Pos'!A189,B189-1))</f>
        <v/>
      </c>
      <c r="B189" t="str">
        <f>IF('ATP Pos'!A189="","",SEARCH("_",'ATP Pos'!A189,1))</f>
        <v/>
      </c>
      <c r="C189" t="str">
        <f>IF(A189="","",IF('ATP Pos'!E189="-","",IF('ATP Pos'!E189&gt;0,"Buy",IF('ATP Pos'!E189&lt;0,"Sell"))))</f>
        <v/>
      </c>
      <c r="D189" t="str">
        <f>IF(A189="","",IF('ATP Pos'!E189="-","",IF('ATP Pos'!E189&gt;0,'ATP Pos'!E189,IF('ATP Pos'!E189&lt;0,-'ATP Pos'!E189))))</f>
        <v/>
      </c>
      <c r="E189" t="str">
        <f>IF(A189="","",LEFT('ATP Pos'!B189,F189-1))</f>
        <v/>
      </c>
      <c r="F189" t="str">
        <f>IF(A189="","",SEARCH("-",'ATP Pos'!B189,1))</f>
        <v/>
      </c>
      <c r="G189" t="str">
        <f>IF(A189="","",RIGHT('ATP Pos'!B189,3))</f>
        <v/>
      </c>
      <c r="H189" t="str">
        <f t="shared" si="10"/>
        <v/>
      </c>
      <c r="I189" t="str">
        <f t="shared" si="11"/>
        <v/>
      </c>
      <c r="J189" t="str">
        <f>IF(H189="","",VLOOKUP(I189,表3_3[],2,0))</f>
        <v/>
      </c>
      <c r="K189" t="str">
        <f>IF(H189="","",VLOOKUP(I189,表3_3[],3,0))</f>
        <v/>
      </c>
      <c r="L189" t="str">
        <f>IF(A189="","",IF(G189="LME","",VLOOKUP(RIGHT(E189,2),Helper1!$O$36:$P$48,2,0)))</f>
        <v/>
      </c>
      <c r="M189" t="str">
        <f t="shared" si="12"/>
        <v/>
      </c>
      <c r="N189" t="str">
        <f t="shared" si="13"/>
        <v/>
      </c>
      <c r="O189" t="str">
        <f t="shared" si="14"/>
        <v/>
      </c>
    </row>
    <row r="190" spans="1:15">
      <c r="A190" t="str">
        <f>IF('ATP Pos'!A190="","",LEFT('ATP Pos'!A190,B190-1))</f>
        <v/>
      </c>
      <c r="B190" t="str">
        <f>IF('ATP Pos'!A190="","",SEARCH("_",'ATP Pos'!A190,1))</f>
        <v/>
      </c>
      <c r="C190" t="str">
        <f>IF(A190="","",IF('ATP Pos'!E190="-","",IF('ATP Pos'!E190&gt;0,"Buy",IF('ATP Pos'!E190&lt;0,"Sell"))))</f>
        <v/>
      </c>
      <c r="D190" t="str">
        <f>IF(A190="","",IF('ATP Pos'!E190="-","",IF('ATP Pos'!E190&gt;0,'ATP Pos'!E190,IF('ATP Pos'!E190&lt;0,-'ATP Pos'!E190))))</f>
        <v/>
      </c>
      <c r="E190" t="str">
        <f>IF(A190="","",LEFT('ATP Pos'!B190,F190-1))</f>
        <v/>
      </c>
      <c r="F190" t="str">
        <f>IF(A190="","",SEARCH("-",'ATP Pos'!B190,1))</f>
        <v/>
      </c>
      <c r="G190" t="str">
        <f>IF(A190="","",RIGHT('ATP Pos'!B190,3))</f>
        <v/>
      </c>
      <c r="H190" t="str">
        <f t="shared" si="10"/>
        <v/>
      </c>
      <c r="I190" t="str">
        <f t="shared" si="11"/>
        <v/>
      </c>
      <c r="J190" t="str">
        <f>IF(H190="","",VLOOKUP(I190,表3_3[],2,0))</f>
        <v/>
      </c>
      <c r="K190" t="str">
        <f>IF(H190="","",VLOOKUP(I190,表3_3[],3,0))</f>
        <v/>
      </c>
      <c r="L190" t="str">
        <f>IF(A190="","",IF(G190="LME","",VLOOKUP(RIGHT(E190,2),Helper1!$O$36:$P$48,2,0)))</f>
        <v/>
      </c>
      <c r="M190" t="str">
        <f t="shared" si="12"/>
        <v/>
      </c>
      <c r="N190" t="str">
        <f t="shared" si="13"/>
        <v/>
      </c>
      <c r="O190" t="str">
        <f t="shared" si="14"/>
        <v/>
      </c>
    </row>
    <row r="191" spans="1:15">
      <c r="A191" t="str">
        <f>IF('ATP Pos'!A191="","",LEFT('ATP Pos'!A191,B191-1))</f>
        <v/>
      </c>
      <c r="B191" t="str">
        <f>IF('ATP Pos'!A191="","",SEARCH("_",'ATP Pos'!A191,1))</f>
        <v/>
      </c>
      <c r="C191" t="str">
        <f>IF(A191="","",IF('ATP Pos'!E191="-","",IF('ATP Pos'!E191&gt;0,"Buy",IF('ATP Pos'!E191&lt;0,"Sell"))))</f>
        <v/>
      </c>
      <c r="D191" t="str">
        <f>IF(A191="","",IF('ATP Pos'!E191="-","",IF('ATP Pos'!E191&gt;0,'ATP Pos'!E191,IF('ATP Pos'!E191&lt;0,-'ATP Pos'!E191))))</f>
        <v/>
      </c>
      <c r="E191" t="str">
        <f>IF(A191="","",LEFT('ATP Pos'!B191,F191-1))</f>
        <v/>
      </c>
      <c r="F191" t="str">
        <f>IF(A191="","",SEARCH("-",'ATP Pos'!B191,1))</f>
        <v/>
      </c>
      <c r="G191" t="str">
        <f>IF(A191="","",RIGHT('ATP Pos'!B191,3))</f>
        <v/>
      </c>
      <c r="H191" t="str">
        <f t="shared" si="10"/>
        <v/>
      </c>
      <c r="I191" t="str">
        <f t="shared" si="11"/>
        <v/>
      </c>
      <c r="J191" t="str">
        <f>IF(H191="","",VLOOKUP(I191,表3_3[],2,0))</f>
        <v/>
      </c>
      <c r="K191" t="str">
        <f>IF(H191="","",VLOOKUP(I191,表3_3[],3,0))</f>
        <v/>
      </c>
      <c r="L191" t="str">
        <f>IF(A191="","",IF(G191="LME","",VLOOKUP(RIGHT(E191,2),Helper1!$O$36:$P$48,2,0)))</f>
        <v/>
      </c>
      <c r="M191" t="str">
        <f t="shared" si="12"/>
        <v/>
      </c>
      <c r="N191" t="str">
        <f t="shared" si="13"/>
        <v/>
      </c>
      <c r="O191" t="str">
        <f t="shared" si="14"/>
        <v/>
      </c>
    </row>
    <row r="192" spans="1:15">
      <c r="A192" t="str">
        <f>IF('ATP Pos'!A192="","",LEFT('ATP Pos'!A192,B192-1))</f>
        <v/>
      </c>
      <c r="B192" t="str">
        <f>IF('ATP Pos'!A192="","",SEARCH("_",'ATP Pos'!A192,1))</f>
        <v/>
      </c>
      <c r="C192" t="str">
        <f>IF(A192="","",IF('ATP Pos'!E192="-","",IF('ATP Pos'!E192&gt;0,"Buy",IF('ATP Pos'!E192&lt;0,"Sell"))))</f>
        <v/>
      </c>
      <c r="D192" t="str">
        <f>IF(A192="","",IF('ATP Pos'!E192="-","",IF('ATP Pos'!E192&gt;0,'ATP Pos'!E192,IF('ATP Pos'!E192&lt;0,-'ATP Pos'!E192))))</f>
        <v/>
      </c>
      <c r="E192" t="str">
        <f>IF(A192="","",LEFT('ATP Pos'!B192,F192-1))</f>
        <v/>
      </c>
      <c r="F192" t="str">
        <f>IF(A192="","",SEARCH("-",'ATP Pos'!B192,1))</f>
        <v/>
      </c>
      <c r="G192" t="str">
        <f>IF(A192="","",RIGHT('ATP Pos'!B192,3))</f>
        <v/>
      </c>
      <c r="H192" t="str">
        <f t="shared" si="10"/>
        <v/>
      </c>
      <c r="I192" t="str">
        <f t="shared" si="11"/>
        <v/>
      </c>
      <c r="J192" t="str">
        <f>IF(H192="","",VLOOKUP(I192,表3_3[],2,0))</f>
        <v/>
      </c>
      <c r="K192" t="str">
        <f>IF(H192="","",VLOOKUP(I192,表3_3[],3,0))</f>
        <v/>
      </c>
      <c r="L192" t="str">
        <f>IF(A192="","",IF(G192="LME","",VLOOKUP(RIGHT(E192,2),Helper1!$O$36:$P$48,2,0)))</f>
        <v/>
      </c>
      <c r="M192" t="str">
        <f t="shared" si="12"/>
        <v/>
      </c>
      <c r="N192" t="str">
        <f t="shared" si="13"/>
        <v/>
      </c>
      <c r="O192" t="str">
        <f t="shared" si="14"/>
        <v/>
      </c>
    </row>
    <row r="193" spans="1:15">
      <c r="A193" t="str">
        <f>IF('ATP Pos'!A193="","",LEFT('ATP Pos'!A193,B193-1))</f>
        <v/>
      </c>
      <c r="B193" t="str">
        <f>IF('ATP Pos'!A193="","",SEARCH("_",'ATP Pos'!A193,1))</f>
        <v/>
      </c>
      <c r="C193" t="str">
        <f>IF(A193="","",IF('ATP Pos'!E193="-","",IF('ATP Pos'!E193&gt;0,"Buy",IF('ATP Pos'!E193&lt;0,"Sell"))))</f>
        <v/>
      </c>
      <c r="D193" t="str">
        <f>IF(A193="","",IF('ATP Pos'!E193="-","",IF('ATP Pos'!E193&gt;0,'ATP Pos'!E193,IF('ATP Pos'!E193&lt;0,-'ATP Pos'!E193))))</f>
        <v/>
      </c>
      <c r="E193" t="str">
        <f>IF(A193="","",LEFT('ATP Pos'!B193,F193-1))</f>
        <v/>
      </c>
      <c r="F193" t="str">
        <f>IF(A193="","",SEARCH("-",'ATP Pos'!B193,1))</f>
        <v/>
      </c>
      <c r="G193" t="str">
        <f>IF(A193="","",RIGHT('ATP Pos'!B193,3))</f>
        <v/>
      </c>
      <c r="H193" t="str">
        <f t="shared" si="10"/>
        <v/>
      </c>
      <c r="I193" t="str">
        <f t="shared" si="11"/>
        <v/>
      </c>
      <c r="J193" t="str">
        <f>IF(H193="","",VLOOKUP(I193,表3_3[],2,0))</f>
        <v/>
      </c>
      <c r="K193" t="str">
        <f>IF(H193="","",VLOOKUP(I193,表3_3[],3,0))</f>
        <v/>
      </c>
      <c r="L193" t="str">
        <f>IF(A193="","",IF(G193="LME","",VLOOKUP(RIGHT(E193,2),Helper1!$O$36:$P$48,2,0)))</f>
        <v/>
      </c>
      <c r="M193" t="str">
        <f t="shared" si="12"/>
        <v/>
      </c>
      <c r="N193" t="str">
        <f t="shared" si="13"/>
        <v/>
      </c>
      <c r="O193" t="str">
        <f t="shared" si="14"/>
        <v/>
      </c>
    </row>
    <row r="194" spans="1:15">
      <c r="A194" t="str">
        <f>IF('ATP Pos'!A194="","",LEFT('ATP Pos'!A194,B194-1))</f>
        <v/>
      </c>
      <c r="B194" t="str">
        <f>IF('ATP Pos'!A194="","",SEARCH("_",'ATP Pos'!A194,1))</f>
        <v/>
      </c>
      <c r="C194" t="str">
        <f>IF(A194="","",IF('ATP Pos'!E194="-","",IF('ATP Pos'!E194&gt;0,"Buy",IF('ATP Pos'!E194&lt;0,"Sell"))))</f>
        <v/>
      </c>
      <c r="D194" t="str">
        <f>IF(A194="","",IF('ATP Pos'!E194="-","",IF('ATP Pos'!E194&gt;0,'ATP Pos'!E194,IF('ATP Pos'!E194&lt;0,-'ATP Pos'!E194))))</f>
        <v/>
      </c>
      <c r="E194" t="str">
        <f>IF(A194="","",LEFT('ATP Pos'!B194,F194-1))</f>
        <v/>
      </c>
      <c r="F194" t="str">
        <f>IF(A194="","",SEARCH("-",'ATP Pos'!B194,1))</f>
        <v/>
      </c>
      <c r="G194" t="str">
        <f>IF(A194="","",RIGHT('ATP Pos'!B194,3))</f>
        <v/>
      </c>
      <c r="H194" t="str">
        <f t="shared" si="10"/>
        <v/>
      </c>
      <c r="I194" t="str">
        <f t="shared" si="11"/>
        <v/>
      </c>
      <c r="J194" t="str">
        <f>IF(H194="","",VLOOKUP(I194,表3_3[],2,0))</f>
        <v/>
      </c>
      <c r="K194" t="str">
        <f>IF(H194="","",VLOOKUP(I194,表3_3[],3,0))</f>
        <v/>
      </c>
      <c r="L194" t="str">
        <f>IF(A194="","",IF(G194="LME","",VLOOKUP(RIGHT(E194,2),Helper1!$O$36:$P$48,2,0)))</f>
        <v/>
      </c>
      <c r="M194" t="str">
        <f t="shared" si="12"/>
        <v/>
      </c>
      <c r="N194" t="str">
        <f t="shared" si="13"/>
        <v/>
      </c>
      <c r="O194" t="str">
        <f t="shared" si="14"/>
        <v/>
      </c>
    </row>
    <row r="195" spans="1:15">
      <c r="A195" t="str">
        <f>IF('ATP Pos'!A195="","",LEFT('ATP Pos'!A195,B195-1))</f>
        <v/>
      </c>
      <c r="B195" t="str">
        <f>IF('ATP Pos'!A195="","",SEARCH("_",'ATP Pos'!A195,1))</f>
        <v/>
      </c>
      <c r="C195" t="str">
        <f>IF(A195="","",IF('ATP Pos'!E195="-","",IF('ATP Pos'!E195&gt;0,"Buy",IF('ATP Pos'!E195&lt;0,"Sell"))))</f>
        <v/>
      </c>
      <c r="D195" t="str">
        <f>IF(A195="","",IF('ATP Pos'!E195="-","",IF('ATP Pos'!E195&gt;0,'ATP Pos'!E195,IF('ATP Pos'!E195&lt;0,-'ATP Pos'!E195))))</f>
        <v/>
      </c>
      <c r="E195" t="str">
        <f>IF(A195="","",LEFT('ATP Pos'!B195,F195-1))</f>
        <v/>
      </c>
      <c r="F195" t="str">
        <f>IF(A195="","",SEARCH("-",'ATP Pos'!B195,1))</f>
        <v/>
      </c>
      <c r="G195" t="str">
        <f>IF(A195="","",RIGHT('ATP Pos'!B195,3))</f>
        <v/>
      </c>
      <c r="H195" t="str">
        <f t="shared" ref="H195:H258" si="15">IF(A195="","",IF(OR(G195="OSE",G195="BMD",,G195="EUREX",G195="SGX",G195="LME",G195="tocom",G195="APEX",G195="cfe",G195="EUX",AND(G195="ice",I195="gls")),G195,""))</f>
        <v/>
      </c>
      <c r="I195" t="str">
        <f t="shared" ref="I195:I258" si="16">IF(A195="","",IF(G195="LME",LEFT(E195,LEN(E195)-6),LEFT(E195,LEN(E195)-4)))</f>
        <v/>
      </c>
      <c r="J195" t="str">
        <f>IF(H195="","",VLOOKUP(I195,表3_3[],2,0))</f>
        <v/>
      </c>
      <c r="K195" t="str">
        <f>IF(H195="","",VLOOKUP(I195,表3_3[],3,0))</f>
        <v/>
      </c>
      <c r="L195" t="str">
        <f>IF(A195="","",IF(G195="LME","",VLOOKUP(RIGHT(E195,2),Helper1!$O$36:$P$48,2,0)))</f>
        <v/>
      </c>
      <c r="M195" t="str">
        <f t="shared" ref="M195:M258" si="17">IF(A195="","",IF(G195="LME","",20&amp;MID(E195,LEN(I195)+1,2)))</f>
        <v/>
      </c>
      <c r="N195" t="str">
        <f t="shared" ref="N195:N258" si="18">IF(A195="","",IF(G195="LME",20&amp;RIGHT(E195,6),""))</f>
        <v/>
      </c>
      <c r="O195" t="str">
        <f t="shared" ref="O195:O258" si="19">IF(H195="","",IF(G195="LME",G195&amp;"-"&amp;K195&amp;"-"&amp;N195,L195&amp;"-"&amp;M195&amp;"-"&amp;K195))</f>
        <v/>
      </c>
    </row>
    <row r="196" spans="1:15">
      <c r="A196" t="str">
        <f>IF('ATP Pos'!A196="","",LEFT('ATP Pos'!A196,B196-1))</f>
        <v/>
      </c>
      <c r="B196" t="str">
        <f>IF('ATP Pos'!A196="","",SEARCH("_",'ATP Pos'!A196,1))</f>
        <v/>
      </c>
      <c r="C196" t="str">
        <f>IF(A196="","",IF('ATP Pos'!E196="-","",IF('ATP Pos'!E196&gt;0,"Buy",IF('ATP Pos'!E196&lt;0,"Sell"))))</f>
        <v/>
      </c>
      <c r="D196" t="str">
        <f>IF(A196="","",IF('ATP Pos'!E196="-","",IF('ATP Pos'!E196&gt;0,'ATP Pos'!E196,IF('ATP Pos'!E196&lt;0,-'ATP Pos'!E196))))</f>
        <v/>
      </c>
      <c r="E196" t="str">
        <f>IF(A196="","",LEFT('ATP Pos'!B196,F196-1))</f>
        <v/>
      </c>
      <c r="F196" t="str">
        <f>IF(A196="","",SEARCH("-",'ATP Pos'!B196,1))</f>
        <v/>
      </c>
      <c r="G196" t="str">
        <f>IF(A196="","",RIGHT('ATP Pos'!B196,3))</f>
        <v/>
      </c>
      <c r="H196" t="str">
        <f t="shared" si="15"/>
        <v/>
      </c>
      <c r="I196" t="str">
        <f t="shared" si="16"/>
        <v/>
      </c>
      <c r="J196" t="str">
        <f>IF(H196="","",VLOOKUP(I196,表3_3[],2,0))</f>
        <v/>
      </c>
      <c r="K196" t="str">
        <f>IF(H196="","",VLOOKUP(I196,表3_3[],3,0))</f>
        <v/>
      </c>
      <c r="L196" t="str">
        <f>IF(A196="","",IF(G196="LME","",VLOOKUP(RIGHT(E196,2),Helper1!$O$36:$P$48,2,0)))</f>
        <v/>
      </c>
      <c r="M196" t="str">
        <f t="shared" si="17"/>
        <v/>
      </c>
      <c r="N196" t="str">
        <f t="shared" si="18"/>
        <v/>
      </c>
      <c r="O196" t="str">
        <f t="shared" si="19"/>
        <v/>
      </c>
    </row>
    <row r="197" spans="1:15">
      <c r="A197" t="str">
        <f>IF('ATP Pos'!A197="","",LEFT('ATP Pos'!A197,B197-1))</f>
        <v/>
      </c>
      <c r="B197" t="str">
        <f>IF('ATP Pos'!A197="","",SEARCH("_",'ATP Pos'!A197,1))</f>
        <v/>
      </c>
      <c r="C197" t="str">
        <f>IF(A197="","",IF('ATP Pos'!E197="-","",IF('ATP Pos'!E197&gt;0,"Buy",IF('ATP Pos'!E197&lt;0,"Sell"))))</f>
        <v/>
      </c>
      <c r="D197" t="str">
        <f>IF(A197="","",IF('ATP Pos'!E197="-","",IF('ATP Pos'!E197&gt;0,'ATP Pos'!E197,IF('ATP Pos'!E197&lt;0,-'ATP Pos'!E197))))</f>
        <v/>
      </c>
      <c r="E197" t="str">
        <f>IF(A197="","",LEFT('ATP Pos'!B197,F197-1))</f>
        <v/>
      </c>
      <c r="F197" t="str">
        <f>IF(A197="","",SEARCH("-",'ATP Pos'!B197,1))</f>
        <v/>
      </c>
      <c r="G197" t="str">
        <f>IF(A197="","",RIGHT('ATP Pos'!B197,3))</f>
        <v/>
      </c>
      <c r="H197" t="str">
        <f t="shared" si="15"/>
        <v/>
      </c>
      <c r="I197" t="str">
        <f t="shared" si="16"/>
        <v/>
      </c>
      <c r="J197" t="str">
        <f>IF(H197="","",VLOOKUP(I197,表3_3[],2,0))</f>
        <v/>
      </c>
      <c r="K197" t="str">
        <f>IF(H197="","",VLOOKUP(I197,表3_3[],3,0))</f>
        <v/>
      </c>
      <c r="L197" t="str">
        <f>IF(A197="","",IF(G197="LME","",VLOOKUP(RIGHT(E197,2),Helper1!$O$36:$P$48,2,0)))</f>
        <v/>
      </c>
      <c r="M197" t="str">
        <f t="shared" si="17"/>
        <v/>
      </c>
      <c r="N197" t="str">
        <f t="shared" si="18"/>
        <v/>
      </c>
      <c r="O197" t="str">
        <f t="shared" si="19"/>
        <v/>
      </c>
    </row>
    <row r="198" spans="1:15">
      <c r="A198" t="str">
        <f>IF('ATP Pos'!A198="","",LEFT('ATP Pos'!A198,B198-1))</f>
        <v/>
      </c>
      <c r="B198" t="str">
        <f>IF('ATP Pos'!A198="","",SEARCH("_",'ATP Pos'!A198,1))</f>
        <v/>
      </c>
      <c r="C198" t="str">
        <f>IF(A198="","",IF('ATP Pos'!E198="-","",IF('ATP Pos'!E198&gt;0,"Buy",IF('ATP Pos'!E198&lt;0,"Sell"))))</f>
        <v/>
      </c>
      <c r="D198" t="str">
        <f>IF(A198="","",IF('ATP Pos'!E198="-","",IF('ATP Pos'!E198&gt;0,'ATP Pos'!E198,IF('ATP Pos'!E198&lt;0,-'ATP Pos'!E198))))</f>
        <v/>
      </c>
      <c r="E198" t="str">
        <f>IF(A198="","",LEFT('ATP Pos'!B198,F198-1))</f>
        <v/>
      </c>
      <c r="F198" t="str">
        <f>IF(A198="","",SEARCH("-",'ATP Pos'!B198,1))</f>
        <v/>
      </c>
      <c r="G198" t="str">
        <f>IF(A198="","",RIGHT('ATP Pos'!B198,3))</f>
        <v/>
      </c>
      <c r="H198" t="str">
        <f t="shared" si="15"/>
        <v/>
      </c>
      <c r="I198" t="str">
        <f t="shared" si="16"/>
        <v/>
      </c>
      <c r="J198" t="str">
        <f>IF(H198="","",VLOOKUP(I198,表3_3[],2,0))</f>
        <v/>
      </c>
      <c r="K198" t="str">
        <f>IF(H198="","",VLOOKUP(I198,表3_3[],3,0))</f>
        <v/>
      </c>
      <c r="L198" t="str">
        <f>IF(A198="","",IF(G198="LME","",VLOOKUP(RIGHT(E198,2),Helper1!$O$36:$P$48,2,0)))</f>
        <v/>
      </c>
      <c r="M198" t="str">
        <f t="shared" si="17"/>
        <v/>
      </c>
      <c r="N198" t="str">
        <f t="shared" si="18"/>
        <v/>
      </c>
      <c r="O198" t="str">
        <f t="shared" si="19"/>
        <v/>
      </c>
    </row>
    <row r="199" spans="1:15">
      <c r="A199" t="str">
        <f>IF('ATP Pos'!A199="","",LEFT('ATP Pos'!A199,B199-1))</f>
        <v/>
      </c>
      <c r="B199" t="str">
        <f>IF('ATP Pos'!A199="","",SEARCH("_",'ATP Pos'!A199,1))</f>
        <v/>
      </c>
      <c r="C199" t="str">
        <f>IF(A199="","",IF('ATP Pos'!E199="-","",IF('ATP Pos'!E199&gt;0,"Buy",IF('ATP Pos'!E199&lt;0,"Sell"))))</f>
        <v/>
      </c>
      <c r="D199" t="str">
        <f>IF(A199="","",IF('ATP Pos'!E199="-","",IF('ATP Pos'!E199&gt;0,'ATP Pos'!E199,IF('ATP Pos'!E199&lt;0,-'ATP Pos'!E199))))</f>
        <v/>
      </c>
      <c r="E199" t="str">
        <f>IF(A199="","",LEFT('ATP Pos'!B199,F199-1))</f>
        <v/>
      </c>
      <c r="F199" t="str">
        <f>IF(A199="","",SEARCH("-",'ATP Pos'!B199,1))</f>
        <v/>
      </c>
      <c r="G199" t="str">
        <f>IF(A199="","",RIGHT('ATP Pos'!B199,3))</f>
        <v/>
      </c>
      <c r="H199" t="str">
        <f t="shared" si="15"/>
        <v/>
      </c>
      <c r="I199" t="str">
        <f t="shared" si="16"/>
        <v/>
      </c>
      <c r="J199" t="str">
        <f>IF(H199="","",VLOOKUP(I199,表3_3[],2,0))</f>
        <v/>
      </c>
      <c r="K199" t="str">
        <f>IF(H199="","",VLOOKUP(I199,表3_3[],3,0))</f>
        <v/>
      </c>
      <c r="L199" t="str">
        <f>IF(A199="","",IF(G199="LME","",VLOOKUP(RIGHT(E199,2),Helper1!$O$36:$P$48,2,0)))</f>
        <v/>
      </c>
      <c r="M199" t="str">
        <f t="shared" si="17"/>
        <v/>
      </c>
      <c r="N199" t="str">
        <f t="shared" si="18"/>
        <v/>
      </c>
      <c r="O199" t="str">
        <f t="shared" si="19"/>
        <v/>
      </c>
    </row>
    <row r="200" spans="1:15">
      <c r="A200" t="str">
        <f>IF('ATP Pos'!A200="","",LEFT('ATP Pos'!A200,B200-1))</f>
        <v/>
      </c>
      <c r="B200" t="str">
        <f>IF('ATP Pos'!A200="","",SEARCH("_",'ATP Pos'!A200,1))</f>
        <v/>
      </c>
      <c r="C200" t="str">
        <f>IF(A200="","",IF('ATP Pos'!E200="-","",IF('ATP Pos'!E200&gt;0,"Buy",IF('ATP Pos'!E200&lt;0,"Sell"))))</f>
        <v/>
      </c>
      <c r="D200" t="str">
        <f>IF(A200="","",IF('ATP Pos'!E200="-","",IF('ATP Pos'!E200&gt;0,'ATP Pos'!E200,IF('ATP Pos'!E200&lt;0,-'ATP Pos'!E200))))</f>
        <v/>
      </c>
      <c r="E200" t="str">
        <f>IF(A200="","",LEFT('ATP Pos'!B200,F200-1))</f>
        <v/>
      </c>
      <c r="F200" t="str">
        <f>IF(A200="","",SEARCH("-",'ATP Pos'!B200,1))</f>
        <v/>
      </c>
      <c r="G200" t="str">
        <f>IF(A200="","",RIGHT('ATP Pos'!B200,3))</f>
        <v/>
      </c>
      <c r="H200" t="str">
        <f t="shared" si="15"/>
        <v/>
      </c>
      <c r="I200" t="str">
        <f t="shared" si="16"/>
        <v/>
      </c>
      <c r="J200" t="str">
        <f>IF(H200="","",VLOOKUP(I200,表3_3[],2,0))</f>
        <v/>
      </c>
      <c r="K200" t="str">
        <f>IF(H200="","",VLOOKUP(I200,表3_3[],3,0))</f>
        <v/>
      </c>
      <c r="L200" t="str">
        <f>IF(A200="","",IF(G200="LME","",VLOOKUP(RIGHT(E200,2),Helper1!$O$36:$P$48,2,0)))</f>
        <v/>
      </c>
      <c r="M200" t="str">
        <f t="shared" si="17"/>
        <v/>
      </c>
      <c r="N200" t="str">
        <f t="shared" si="18"/>
        <v/>
      </c>
      <c r="O200" t="str">
        <f t="shared" si="19"/>
        <v/>
      </c>
    </row>
    <row r="201" spans="1:15">
      <c r="A201" t="str">
        <f>IF('ATP Pos'!A201="","",LEFT('ATP Pos'!A201,B201-1))</f>
        <v/>
      </c>
      <c r="B201" t="str">
        <f>IF('ATP Pos'!A201="","",SEARCH("_",'ATP Pos'!A201,1))</f>
        <v/>
      </c>
      <c r="C201" t="str">
        <f>IF(A201="","",IF('ATP Pos'!E201="-","",IF('ATP Pos'!E201&gt;0,"Buy",IF('ATP Pos'!E201&lt;0,"Sell"))))</f>
        <v/>
      </c>
      <c r="D201" t="str">
        <f>IF(A201="","",IF('ATP Pos'!E201="-","",IF('ATP Pos'!E201&gt;0,'ATP Pos'!E201,IF('ATP Pos'!E201&lt;0,-'ATP Pos'!E201))))</f>
        <v/>
      </c>
      <c r="E201" t="str">
        <f>IF(A201="","",LEFT('ATP Pos'!B201,F201-1))</f>
        <v/>
      </c>
      <c r="F201" t="str">
        <f>IF(A201="","",SEARCH("-",'ATP Pos'!B201,1))</f>
        <v/>
      </c>
      <c r="G201" t="str">
        <f>IF(A201="","",RIGHT('ATP Pos'!B201,3))</f>
        <v/>
      </c>
      <c r="H201" t="str">
        <f t="shared" si="15"/>
        <v/>
      </c>
      <c r="I201" t="str">
        <f t="shared" si="16"/>
        <v/>
      </c>
      <c r="J201" t="str">
        <f>IF(H201="","",VLOOKUP(I201,表3_3[],2,0))</f>
        <v/>
      </c>
      <c r="K201" t="str">
        <f>IF(H201="","",VLOOKUP(I201,表3_3[],3,0))</f>
        <v/>
      </c>
      <c r="L201" t="str">
        <f>IF(A201="","",IF(G201="LME","",VLOOKUP(RIGHT(E201,2),Helper1!$O$36:$P$48,2,0)))</f>
        <v/>
      </c>
      <c r="M201" t="str">
        <f t="shared" si="17"/>
        <v/>
      </c>
      <c r="N201" t="str">
        <f t="shared" si="18"/>
        <v/>
      </c>
      <c r="O201" t="str">
        <f t="shared" si="19"/>
        <v/>
      </c>
    </row>
    <row r="202" spans="1:15">
      <c r="A202" t="str">
        <f>IF('ATP Pos'!A202="","",LEFT('ATP Pos'!A202,B202-1))</f>
        <v/>
      </c>
      <c r="B202" t="str">
        <f>IF('ATP Pos'!A202="","",SEARCH("_",'ATP Pos'!A202,1))</f>
        <v/>
      </c>
      <c r="C202" t="str">
        <f>IF(A202="","",IF('ATP Pos'!E202="-","",IF('ATP Pos'!E202&gt;0,"Buy",IF('ATP Pos'!E202&lt;0,"Sell"))))</f>
        <v/>
      </c>
      <c r="D202" t="str">
        <f>IF(A202="","",IF('ATP Pos'!E202="-","",IF('ATP Pos'!E202&gt;0,'ATP Pos'!E202,IF('ATP Pos'!E202&lt;0,-'ATP Pos'!E202))))</f>
        <v/>
      </c>
      <c r="E202" t="str">
        <f>IF(A202="","",LEFT('ATP Pos'!B202,F202-1))</f>
        <v/>
      </c>
      <c r="F202" t="str">
        <f>IF(A202="","",SEARCH("-",'ATP Pos'!B202,1))</f>
        <v/>
      </c>
      <c r="G202" t="str">
        <f>IF(A202="","",RIGHT('ATP Pos'!B202,3))</f>
        <v/>
      </c>
      <c r="H202" t="str">
        <f t="shared" si="15"/>
        <v/>
      </c>
      <c r="I202" t="str">
        <f t="shared" si="16"/>
        <v/>
      </c>
      <c r="J202" t="str">
        <f>IF(H202="","",VLOOKUP(I202,表3_3[],2,0))</f>
        <v/>
      </c>
      <c r="K202" t="str">
        <f>IF(H202="","",VLOOKUP(I202,表3_3[],3,0))</f>
        <v/>
      </c>
      <c r="L202" t="str">
        <f>IF(A202="","",IF(G202="LME","",VLOOKUP(RIGHT(E202,2),Helper1!$O$36:$P$48,2,0)))</f>
        <v/>
      </c>
      <c r="M202" t="str">
        <f t="shared" si="17"/>
        <v/>
      </c>
      <c r="N202" t="str">
        <f t="shared" si="18"/>
        <v/>
      </c>
      <c r="O202" t="str">
        <f t="shared" si="19"/>
        <v/>
      </c>
    </row>
    <row r="203" spans="1:15">
      <c r="A203" t="str">
        <f>IF('ATP Pos'!A203="","",LEFT('ATP Pos'!A203,B203-1))</f>
        <v/>
      </c>
      <c r="B203" t="str">
        <f>IF('ATP Pos'!A203="","",SEARCH("_",'ATP Pos'!A203,1))</f>
        <v/>
      </c>
      <c r="C203" t="str">
        <f>IF(A203="","",IF('ATP Pos'!E203="-","",IF('ATP Pos'!E203&gt;0,"Buy",IF('ATP Pos'!E203&lt;0,"Sell"))))</f>
        <v/>
      </c>
      <c r="D203" t="str">
        <f>IF(A203="","",IF('ATP Pos'!E203="-","",IF('ATP Pos'!E203&gt;0,'ATP Pos'!E203,IF('ATP Pos'!E203&lt;0,-'ATP Pos'!E203))))</f>
        <v/>
      </c>
      <c r="E203" t="str">
        <f>IF(A203="","",LEFT('ATP Pos'!B203,F203-1))</f>
        <v/>
      </c>
      <c r="F203" t="str">
        <f>IF(A203="","",SEARCH("-",'ATP Pos'!B203,1))</f>
        <v/>
      </c>
      <c r="G203" t="str">
        <f>IF(A203="","",RIGHT('ATP Pos'!B203,3))</f>
        <v/>
      </c>
      <c r="H203" t="str">
        <f t="shared" si="15"/>
        <v/>
      </c>
      <c r="I203" t="str">
        <f t="shared" si="16"/>
        <v/>
      </c>
      <c r="J203" t="str">
        <f>IF(H203="","",VLOOKUP(I203,表3_3[],2,0))</f>
        <v/>
      </c>
      <c r="K203" t="str">
        <f>IF(H203="","",VLOOKUP(I203,表3_3[],3,0))</f>
        <v/>
      </c>
      <c r="L203" t="str">
        <f>IF(A203="","",IF(G203="LME","",VLOOKUP(RIGHT(E203,2),Helper1!$O$36:$P$48,2,0)))</f>
        <v/>
      </c>
      <c r="M203" t="str">
        <f t="shared" si="17"/>
        <v/>
      </c>
      <c r="N203" t="str">
        <f t="shared" si="18"/>
        <v/>
      </c>
      <c r="O203" t="str">
        <f t="shared" si="19"/>
        <v/>
      </c>
    </row>
    <row r="204" spans="1:15">
      <c r="A204" t="str">
        <f>IF('ATP Pos'!A204="","",LEFT('ATP Pos'!A204,B204-1))</f>
        <v/>
      </c>
      <c r="B204" t="str">
        <f>IF('ATP Pos'!A204="","",SEARCH("_",'ATP Pos'!A204,1))</f>
        <v/>
      </c>
      <c r="C204" t="str">
        <f>IF(A204="","",IF('ATP Pos'!E204="-","",IF('ATP Pos'!E204&gt;0,"Buy",IF('ATP Pos'!E204&lt;0,"Sell"))))</f>
        <v/>
      </c>
      <c r="D204" t="str">
        <f>IF(A204="","",IF('ATP Pos'!E204="-","",IF('ATP Pos'!E204&gt;0,'ATP Pos'!E204,IF('ATP Pos'!E204&lt;0,-'ATP Pos'!E204))))</f>
        <v/>
      </c>
      <c r="E204" t="str">
        <f>IF(A204="","",LEFT('ATP Pos'!B204,F204-1))</f>
        <v/>
      </c>
      <c r="F204" t="str">
        <f>IF(A204="","",SEARCH("-",'ATP Pos'!B204,1))</f>
        <v/>
      </c>
      <c r="G204" t="str">
        <f>IF(A204="","",RIGHT('ATP Pos'!B204,3))</f>
        <v/>
      </c>
      <c r="H204" t="str">
        <f t="shared" si="15"/>
        <v/>
      </c>
      <c r="I204" t="str">
        <f t="shared" si="16"/>
        <v/>
      </c>
      <c r="J204" t="str">
        <f>IF(H204="","",VLOOKUP(I204,表3_3[],2,0))</f>
        <v/>
      </c>
      <c r="K204" t="str">
        <f>IF(H204="","",VLOOKUP(I204,表3_3[],3,0))</f>
        <v/>
      </c>
      <c r="L204" t="str">
        <f>IF(A204="","",IF(G204="LME","",VLOOKUP(RIGHT(E204,2),Helper1!$O$36:$P$48,2,0)))</f>
        <v/>
      </c>
      <c r="M204" t="str">
        <f t="shared" si="17"/>
        <v/>
      </c>
      <c r="N204" t="str">
        <f t="shared" si="18"/>
        <v/>
      </c>
      <c r="O204" t="str">
        <f t="shared" si="19"/>
        <v/>
      </c>
    </row>
    <row r="205" spans="1:15">
      <c r="A205" t="str">
        <f>IF('ATP Pos'!A205="","",LEFT('ATP Pos'!A205,B205-1))</f>
        <v/>
      </c>
      <c r="B205" t="str">
        <f>IF('ATP Pos'!A205="","",SEARCH("_",'ATP Pos'!A205,1))</f>
        <v/>
      </c>
      <c r="C205" t="str">
        <f>IF(A205="","",IF('ATP Pos'!E205="-","",IF('ATP Pos'!E205&gt;0,"Buy",IF('ATP Pos'!E205&lt;0,"Sell"))))</f>
        <v/>
      </c>
      <c r="D205" t="str">
        <f>IF(A205="","",IF('ATP Pos'!E205="-","",IF('ATP Pos'!E205&gt;0,'ATP Pos'!E205,IF('ATP Pos'!E205&lt;0,-'ATP Pos'!E205))))</f>
        <v/>
      </c>
      <c r="E205" t="str">
        <f>IF(A205="","",LEFT('ATP Pos'!B205,F205-1))</f>
        <v/>
      </c>
      <c r="F205" t="str">
        <f>IF(A205="","",SEARCH("-",'ATP Pos'!B205,1))</f>
        <v/>
      </c>
      <c r="G205" t="str">
        <f>IF(A205="","",RIGHT('ATP Pos'!B205,3))</f>
        <v/>
      </c>
      <c r="H205" t="str">
        <f t="shared" si="15"/>
        <v/>
      </c>
      <c r="I205" t="str">
        <f t="shared" si="16"/>
        <v/>
      </c>
      <c r="J205" t="str">
        <f>IF(H205="","",VLOOKUP(I205,表3_3[],2,0))</f>
        <v/>
      </c>
      <c r="K205" t="str">
        <f>IF(H205="","",VLOOKUP(I205,表3_3[],3,0))</f>
        <v/>
      </c>
      <c r="L205" t="str">
        <f>IF(A205="","",IF(G205="LME","",VLOOKUP(RIGHT(E205,2),Helper1!$O$36:$P$48,2,0)))</f>
        <v/>
      </c>
      <c r="M205" t="str">
        <f t="shared" si="17"/>
        <v/>
      </c>
      <c r="N205" t="str">
        <f t="shared" si="18"/>
        <v/>
      </c>
      <c r="O205" t="str">
        <f t="shared" si="19"/>
        <v/>
      </c>
    </row>
    <row r="206" spans="1:15">
      <c r="A206" t="str">
        <f>IF('ATP Pos'!A206="","",LEFT('ATP Pos'!A206,B206-1))</f>
        <v/>
      </c>
      <c r="B206" t="str">
        <f>IF('ATP Pos'!A206="","",SEARCH("_",'ATP Pos'!A206,1))</f>
        <v/>
      </c>
      <c r="C206" t="str">
        <f>IF(A206="","",IF('ATP Pos'!E206="-","",IF('ATP Pos'!E206&gt;0,"Buy",IF('ATP Pos'!E206&lt;0,"Sell"))))</f>
        <v/>
      </c>
      <c r="D206" t="str">
        <f>IF(A206="","",IF('ATP Pos'!E206="-","",IF('ATP Pos'!E206&gt;0,'ATP Pos'!E206,IF('ATP Pos'!E206&lt;0,-'ATP Pos'!E206))))</f>
        <v/>
      </c>
      <c r="E206" t="str">
        <f>IF(A206="","",LEFT('ATP Pos'!B206,F206-1))</f>
        <v/>
      </c>
      <c r="F206" t="str">
        <f>IF(A206="","",SEARCH("-",'ATP Pos'!B206,1))</f>
        <v/>
      </c>
      <c r="G206" t="str">
        <f>IF(A206="","",RIGHT('ATP Pos'!B206,3))</f>
        <v/>
      </c>
      <c r="H206" t="str">
        <f t="shared" si="15"/>
        <v/>
      </c>
      <c r="I206" t="str">
        <f t="shared" si="16"/>
        <v/>
      </c>
      <c r="J206" t="str">
        <f>IF(H206="","",VLOOKUP(I206,表3_3[],2,0))</f>
        <v/>
      </c>
      <c r="K206" t="str">
        <f>IF(H206="","",VLOOKUP(I206,表3_3[],3,0))</f>
        <v/>
      </c>
      <c r="L206" t="str">
        <f>IF(A206="","",IF(G206="LME","",VLOOKUP(RIGHT(E206,2),Helper1!$O$36:$P$48,2,0)))</f>
        <v/>
      </c>
      <c r="M206" t="str">
        <f t="shared" si="17"/>
        <v/>
      </c>
      <c r="N206" t="str">
        <f t="shared" si="18"/>
        <v/>
      </c>
      <c r="O206" t="str">
        <f t="shared" si="19"/>
        <v/>
      </c>
    </row>
    <row r="207" spans="1:15">
      <c r="A207" t="str">
        <f>IF('ATP Pos'!A207="","",LEFT('ATP Pos'!A207,B207-1))</f>
        <v/>
      </c>
      <c r="B207" t="str">
        <f>IF('ATP Pos'!A207="","",SEARCH("_",'ATP Pos'!A207,1))</f>
        <v/>
      </c>
      <c r="C207" t="str">
        <f>IF(A207="","",IF('ATP Pos'!E207="-","",IF('ATP Pos'!E207&gt;0,"Buy",IF('ATP Pos'!E207&lt;0,"Sell"))))</f>
        <v/>
      </c>
      <c r="D207" t="str">
        <f>IF(A207="","",IF('ATP Pos'!E207="-","",IF('ATP Pos'!E207&gt;0,'ATP Pos'!E207,IF('ATP Pos'!E207&lt;0,-'ATP Pos'!E207))))</f>
        <v/>
      </c>
      <c r="E207" t="str">
        <f>IF(A207="","",LEFT('ATP Pos'!B207,F207-1))</f>
        <v/>
      </c>
      <c r="F207" t="str">
        <f>IF(A207="","",SEARCH("-",'ATP Pos'!B207,1))</f>
        <v/>
      </c>
      <c r="G207" t="str">
        <f>IF(A207="","",RIGHT('ATP Pos'!B207,3))</f>
        <v/>
      </c>
      <c r="H207" t="str">
        <f t="shared" si="15"/>
        <v/>
      </c>
      <c r="I207" t="str">
        <f t="shared" si="16"/>
        <v/>
      </c>
      <c r="J207" t="str">
        <f>IF(H207="","",VLOOKUP(I207,表3_3[],2,0))</f>
        <v/>
      </c>
      <c r="K207" t="str">
        <f>IF(H207="","",VLOOKUP(I207,表3_3[],3,0))</f>
        <v/>
      </c>
      <c r="L207" t="str">
        <f>IF(A207="","",IF(G207="LME","",VLOOKUP(RIGHT(E207,2),Helper1!$O$36:$P$48,2,0)))</f>
        <v/>
      </c>
      <c r="M207" t="str">
        <f t="shared" si="17"/>
        <v/>
      </c>
      <c r="N207" t="str">
        <f t="shared" si="18"/>
        <v/>
      </c>
      <c r="O207" t="str">
        <f t="shared" si="19"/>
        <v/>
      </c>
    </row>
    <row r="208" spans="1:15">
      <c r="A208" t="str">
        <f>IF('ATP Pos'!A208="","",LEFT('ATP Pos'!A208,B208-1))</f>
        <v/>
      </c>
      <c r="B208" t="str">
        <f>IF('ATP Pos'!A208="","",SEARCH("_",'ATP Pos'!A208,1))</f>
        <v/>
      </c>
      <c r="C208" t="str">
        <f>IF(A208="","",IF('ATP Pos'!E208="-","",IF('ATP Pos'!E208&gt;0,"Buy",IF('ATP Pos'!E208&lt;0,"Sell"))))</f>
        <v/>
      </c>
      <c r="D208" t="str">
        <f>IF(A208="","",IF('ATP Pos'!E208="-","",IF('ATP Pos'!E208&gt;0,'ATP Pos'!E208,IF('ATP Pos'!E208&lt;0,-'ATP Pos'!E208))))</f>
        <v/>
      </c>
      <c r="E208" t="str">
        <f>IF(A208="","",LEFT('ATP Pos'!B208,F208-1))</f>
        <v/>
      </c>
      <c r="F208" t="str">
        <f>IF(A208="","",SEARCH("-",'ATP Pos'!B208,1))</f>
        <v/>
      </c>
      <c r="G208" t="str">
        <f>IF(A208="","",RIGHT('ATP Pos'!B208,3))</f>
        <v/>
      </c>
      <c r="H208" t="str">
        <f t="shared" si="15"/>
        <v/>
      </c>
      <c r="I208" t="str">
        <f t="shared" si="16"/>
        <v/>
      </c>
      <c r="J208" t="str">
        <f>IF(H208="","",VLOOKUP(I208,表3_3[],2,0))</f>
        <v/>
      </c>
      <c r="K208" t="str">
        <f>IF(H208="","",VLOOKUP(I208,表3_3[],3,0))</f>
        <v/>
      </c>
      <c r="L208" t="str">
        <f>IF(A208="","",IF(G208="LME","",VLOOKUP(RIGHT(E208,2),Helper1!$O$36:$P$48,2,0)))</f>
        <v/>
      </c>
      <c r="M208" t="str">
        <f t="shared" si="17"/>
        <v/>
      </c>
      <c r="N208" t="str">
        <f t="shared" si="18"/>
        <v/>
      </c>
      <c r="O208" t="str">
        <f t="shared" si="19"/>
        <v/>
      </c>
    </row>
    <row r="209" spans="1:15">
      <c r="A209" t="str">
        <f>IF('ATP Pos'!A209="","",LEFT('ATP Pos'!A209,B209-1))</f>
        <v/>
      </c>
      <c r="B209" t="str">
        <f>IF('ATP Pos'!A209="","",SEARCH("_",'ATP Pos'!A209,1))</f>
        <v/>
      </c>
      <c r="C209" t="str">
        <f>IF(A209="","",IF('ATP Pos'!E209="-","",IF('ATP Pos'!E209&gt;0,"Buy",IF('ATP Pos'!E209&lt;0,"Sell"))))</f>
        <v/>
      </c>
      <c r="D209" t="str">
        <f>IF(A209="","",IF('ATP Pos'!E209="-","",IF('ATP Pos'!E209&gt;0,'ATP Pos'!E209,IF('ATP Pos'!E209&lt;0,-'ATP Pos'!E209))))</f>
        <v/>
      </c>
      <c r="E209" t="str">
        <f>IF(A209="","",LEFT('ATP Pos'!B209,F209-1))</f>
        <v/>
      </c>
      <c r="F209" t="str">
        <f>IF(A209="","",SEARCH("-",'ATP Pos'!B209,1))</f>
        <v/>
      </c>
      <c r="G209" t="str">
        <f>IF(A209="","",RIGHT('ATP Pos'!B209,3))</f>
        <v/>
      </c>
      <c r="H209" t="str">
        <f t="shared" si="15"/>
        <v/>
      </c>
      <c r="I209" t="str">
        <f t="shared" si="16"/>
        <v/>
      </c>
      <c r="J209" t="str">
        <f>IF(H209="","",VLOOKUP(I209,表3_3[],2,0))</f>
        <v/>
      </c>
      <c r="K209" t="str">
        <f>IF(H209="","",VLOOKUP(I209,表3_3[],3,0))</f>
        <v/>
      </c>
      <c r="L209" t="str">
        <f>IF(A209="","",IF(G209="LME","",VLOOKUP(RIGHT(E209,2),Helper1!$O$36:$P$48,2,0)))</f>
        <v/>
      </c>
      <c r="M209" t="str">
        <f t="shared" si="17"/>
        <v/>
      </c>
      <c r="N209" t="str">
        <f t="shared" si="18"/>
        <v/>
      </c>
      <c r="O209" t="str">
        <f t="shared" si="19"/>
        <v/>
      </c>
    </row>
    <row r="210" spans="1:15">
      <c r="A210" t="str">
        <f>IF('ATP Pos'!A210="","",LEFT('ATP Pos'!A210,B210-1))</f>
        <v/>
      </c>
      <c r="B210" t="str">
        <f>IF('ATP Pos'!A210="","",SEARCH("_",'ATP Pos'!A210,1))</f>
        <v/>
      </c>
      <c r="C210" t="str">
        <f>IF(A210="","",IF('ATP Pos'!E210="-","",IF('ATP Pos'!E210&gt;0,"Buy",IF('ATP Pos'!E210&lt;0,"Sell"))))</f>
        <v/>
      </c>
      <c r="D210" t="str">
        <f>IF(A210="","",IF('ATP Pos'!E210="-","",IF('ATP Pos'!E210&gt;0,'ATP Pos'!E210,IF('ATP Pos'!E210&lt;0,-'ATP Pos'!E210))))</f>
        <v/>
      </c>
      <c r="E210" t="str">
        <f>IF(A210="","",LEFT('ATP Pos'!B210,F210-1))</f>
        <v/>
      </c>
      <c r="F210" t="str">
        <f>IF(A210="","",SEARCH("-",'ATP Pos'!B210,1))</f>
        <v/>
      </c>
      <c r="G210" t="str">
        <f>IF(A210="","",RIGHT('ATP Pos'!B210,3))</f>
        <v/>
      </c>
      <c r="H210" t="str">
        <f t="shared" si="15"/>
        <v/>
      </c>
      <c r="I210" t="str">
        <f t="shared" si="16"/>
        <v/>
      </c>
      <c r="J210" t="str">
        <f>IF(H210="","",VLOOKUP(I210,表3_3[],2,0))</f>
        <v/>
      </c>
      <c r="K210" t="str">
        <f>IF(H210="","",VLOOKUP(I210,表3_3[],3,0))</f>
        <v/>
      </c>
      <c r="L210" t="str">
        <f>IF(A210="","",IF(G210="LME","",VLOOKUP(RIGHT(E210,2),Helper1!$O$36:$P$48,2,0)))</f>
        <v/>
      </c>
      <c r="M210" t="str">
        <f t="shared" si="17"/>
        <v/>
      </c>
      <c r="N210" t="str">
        <f t="shared" si="18"/>
        <v/>
      </c>
      <c r="O210" t="str">
        <f t="shared" si="19"/>
        <v/>
      </c>
    </row>
    <row r="211" spans="1:15">
      <c r="A211" t="str">
        <f>IF('ATP Pos'!A211="","",LEFT('ATP Pos'!A211,B211-1))</f>
        <v/>
      </c>
      <c r="B211" t="str">
        <f>IF('ATP Pos'!A211="","",SEARCH("_",'ATP Pos'!A211,1))</f>
        <v/>
      </c>
      <c r="C211" t="str">
        <f>IF(A211="","",IF('ATP Pos'!E211="-","",IF('ATP Pos'!E211&gt;0,"Buy",IF('ATP Pos'!E211&lt;0,"Sell"))))</f>
        <v/>
      </c>
      <c r="D211" t="str">
        <f>IF(A211="","",IF('ATP Pos'!E211="-","",IF('ATP Pos'!E211&gt;0,'ATP Pos'!E211,IF('ATP Pos'!E211&lt;0,-'ATP Pos'!E211))))</f>
        <v/>
      </c>
      <c r="E211" t="str">
        <f>IF(A211="","",LEFT('ATP Pos'!B211,F211-1))</f>
        <v/>
      </c>
      <c r="F211" t="str">
        <f>IF(A211="","",SEARCH("-",'ATP Pos'!B211,1))</f>
        <v/>
      </c>
      <c r="G211" t="str">
        <f>IF(A211="","",RIGHT('ATP Pos'!B211,3))</f>
        <v/>
      </c>
      <c r="H211" t="str">
        <f t="shared" si="15"/>
        <v/>
      </c>
      <c r="I211" t="str">
        <f t="shared" si="16"/>
        <v/>
      </c>
      <c r="J211" t="str">
        <f>IF(H211="","",VLOOKUP(I211,表3_3[],2,0))</f>
        <v/>
      </c>
      <c r="K211" t="str">
        <f>IF(H211="","",VLOOKUP(I211,表3_3[],3,0))</f>
        <v/>
      </c>
      <c r="L211" t="str">
        <f>IF(A211="","",IF(G211="LME","",VLOOKUP(RIGHT(E211,2),Helper1!$O$36:$P$48,2,0)))</f>
        <v/>
      </c>
      <c r="M211" t="str">
        <f t="shared" si="17"/>
        <v/>
      </c>
      <c r="N211" t="str">
        <f t="shared" si="18"/>
        <v/>
      </c>
      <c r="O211" t="str">
        <f t="shared" si="19"/>
        <v/>
      </c>
    </row>
    <row r="212" spans="1:15">
      <c r="A212" t="str">
        <f>IF('ATP Pos'!A212="","",LEFT('ATP Pos'!A212,B212-1))</f>
        <v/>
      </c>
      <c r="B212" t="str">
        <f>IF('ATP Pos'!A212="","",SEARCH("_",'ATP Pos'!A212,1))</f>
        <v/>
      </c>
      <c r="C212" t="str">
        <f>IF(A212="","",IF('ATP Pos'!E212="-","",IF('ATP Pos'!E212&gt;0,"Buy",IF('ATP Pos'!E212&lt;0,"Sell"))))</f>
        <v/>
      </c>
      <c r="D212" t="str">
        <f>IF(A212="","",IF('ATP Pos'!E212="-","",IF('ATP Pos'!E212&gt;0,'ATP Pos'!E212,IF('ATP Pos'!E212&lt;0,-'ATP Pos'!E212))))</f>
        <v/>
      </c>
      <c r="E212" t="str">
        <f>IF(A212="","",LEFT('ATP Pos'!B212,F212-1))</f>
        <v/>
      </c>
      <c r="F212" t="str">
        <f>IF(A212="","",SEARCH("-",'ATP Pos'!B212,1))</f>
        <v/>
      </c>
      <c r="G212" t="str">
        <f>IF(A212="","",RIGHT('ATP Pos'!B212,3))</f>
        <v/>
      </c>
      <c r="H212" t="str">
        <f t="shared" si="15"/>
        <v/>
      </c>
      <c r="I212" t="str">
        <f t="shared" si="16"/>
        <v/>
      </c>
      <c r="J212" t="str">
        <f>IF(H212="","",VLOOKUP(I212,表3_3[],2,0))</f>
        <v/>
      </c>
      <c r="K212" t="str">
        <f>IF(H212="","",VLOOKUP(I212,表3_3[],3,0))</f>
        <v/>
      </c>
      <c r="L212" t="str">
        <f>IF(A212="","",IF(G212="LME","",VLOOKUP(RIGHT(E212,2),Helper1!$O$36:$P$48,2,0)))</f>
        <v/>
      </c>
      <c r="M212" t="str">
        <f t="shared" si="17"/>
        <v/>
      </c>
      <c r="N212" t="str">
        <f t="shared" si="18"/>
        <v/>
      </c>
      <c r="O212" t="str">
        <f t="shared" si="19"/>
        <v/>
      </c>
    </row>
    <row r="213" spans="1:15">
      <c r="A213" t="str">
        <f>IF('ATP Pos'!A213="","",LEFT('ATP Pos'!A213,B213-1))</f>
        <v/>
      </c>
      <c r="B213" t="str">
        <f>IF('ATP Pos'!A213="","",SEARCH("_",'ATP Pos'!A213,1))</f>
        <v/>
      </c>
      <c r="C213" t="str">
        <f>IF(A213="","",IF('ATP Pos'!E213="-","",IF('ATP Pos'!E213&gt;0,"Buy",IF('ATP Pos'!E213&lt;0,"Sell"))))</f>
        <v/>
      </c>
      <c r="D213" t="str">
        <f>IF(A213="","",IF('ATP Pos'!E213="-","",IF('ATP Pos'!E213&gt;0,'ATP Pos'!E213,IF('ATP Pos'!E213&lt;0,-'ATP Pos'!E213))))</f>
        <v/>
      </c>
      <c r="E213" t="str">
        <f>IF(A213="","",LEFT('ATP Pos'!B213,F213-1))</f>
        <v/>
      </c>
      <c r="F213" t="str">
        <f>IF(A213="","",SEARCH("-",'ATP Pos'!B213,1))</f>
        <v/>
      </c>
      <c r="G213" t="str">
        <f>IF(A213="","",RIGHT('ATP Pos'!B213,3))</f>
        <v/>
      </c>
      <c r="H213" t="str">
        <f t="shared" si="15"/>
        <v/>
      </c>
      <c r="I213" t="str">
        <f t="shared" si="16"/>
        <v/>
      </c>
      <c r="J213" t="str">
        <f>IF(H213="","",VLOOKUP(I213,表3_3[],2,0))</f>
        <v/>
      </c>
      <c r="K213" t="str">
        <f>IF(H213="","",VLOOKUP(I213,表3_3[],3,0))</f>
        <v/>
      </c>
      <c r="L213" t="str">
        <f>IF(A213="","",IF(G213="LME","",VLOOKUP(RIGHT(E213,2),Helper1!$O$36:$P$48,2,0)))</f>
        <v/>
      </c>
      <c r="M213" t="str">
        <f t="shared" si="17"/>
        <v/>
      </c>
      <c r="N213" t="str">
        <f t="shared" si="18"/>
        <v/>
      </c>
      <c r="O213" t="str">
        <f t="shared" si="19"/>
        <v/>
      </c>
    </row>
    <row r="214" spans="1:15">
      <c r="A214" t="str">
        <f>IF('ATP Pos'!A214="","",LEFT('ATP Pos'!A214,B214-1))</f>
        <v/>
      </c>
      <c r="B214" t="str">
        <f>IF('ATP Pos'!A214="","",SEARCH("_",'ATP Pos'!A214,1))</f>
        <v/>
      </c>
      <c r="C214" t="str">
        <f>IF(A214="","",IF('ATP Pos'!E214="-","",IF('ATP Pos'!E214&gt;0,"Buy",IF('ATP Pos'!E214&lt;0,"Sell"))))</f>
        <v/>
      </c>
      <c r="D214" t="str">
        <f>IF(A214="","",IF('ATP Pos'!E214="-","",IF('ATP Pos'!E214&gt;0,'ATP Pos'!E214,IF('ATP Pos'!E214&lt;0,-'ATP Pos'!E214))))</f>
        <v/>
      </c>
      <c r="E214" t="str">
        <f>IF(A214="","",LEFT('ATP Pos'!B214,F214-1))</f>
        <v/>
      </c>
      <c r="F214" t="str">
        <f>IF(A214="","",SEARCH("-",'ATP Pos'!B214,1))</f>
        <v/>
      </c>
      <c r="G214" t="str">
        <f>IF(A214="","",RIGHT('ATP Pos'!B214,3))</f>
        <v/>
      </c>
      <c r="H214" t="str">
        <f t="shared" si="15"/>
        <v/>
      </c>
      <c r="I214" t="str">
        <f t="shared" si="16"/>
        <v/>
      </c>
      <c r="J214" t="str">
        <f>IF(H214="","",VLOOKUP(I214,表3_3[],2,0))</f>
        <v/>
      </c>
      <c r="K214" t="str">
        <f>IF(H214="","",VLOOKUP(I214,表3_3[],3,0))</f>
        <v/>
      </c>
      <c r="L214" t="str">
        <f>IF(A214="","",IF(G214="LME","",VLOOKUP(RIGHT(E214,2),Helper1!$O$36:$P$48,2,0)))</f>
        <v/>
      </c>
      <c r="M214" t="str">
        <f t="shared" si="17"/>
        <v/>
      </c>
      <c r="N214" t="str">
        <f t="shared" si="18"/>
        <v/>
      </c>
      <c r="O214" t="str">
        <f t="shared" si="19"/>
        <v/>
      </c>
    </row>
    <row r="215" spans="1:15">
      <c r="A215" t="str">
        <f>IF('ATP Pos'!A215="","",LEFT('ATP Pos'!A215,B215-1))</f>
        <v/>
      </c>
      <c r="B215" t="str">
        <f>IF('ATP Pos'!A215="","",SEARCH("_",'ATP Pos'!A215,1))</f>
        <v/>
      </c>
      <c r="C215" t="str">
        <f>IF(A215="","",IF('ATP Pos'!E215="-","",IF('ATP Pos'!E215&gt;0,"Buy",IF('ATP Pos'!E215&lt;0,"Sell"))))</f>
        <v/>
      </c>
      <c r="D215" t="str">
        <f>IF(A215="","",IF('ATP Pos'!E215="-","",IF('ATP Pos'!E215&gt;0,'ATP Pos'!E215,IF('ATP Pos'!E215&lt;0,-'ATP Pos'!E215))))</f>
        <v/>
      </c>
      <c r="E215" t="str">
        <f>IF(A215="","",LEFT('ATP Pos'!B215,F215-1))</f>
        <v/>
      </c>
      <c r="F215" t="str">
        <f>IF(A215="","",SEARCH("-",'ATP Pos'!B215,1))</f>
        <v/>
      </c>
      <c r="G215" t="str">
        <f>IF(A215="","",RIGHT('ATP Pos'!B215,3))</f>
        <v/>
      </c>
      <c r="H215" t="str">
        <f t="shared" si="15"/>
        <v/>
      </c>
      <c r="I215" t="str">
        <f t="shared" si="16"/>
        <v/>
      </c>
      <c r="J215" t="str">
        <f>IF(H215="","",VLOOKUP(I215,表3_3[],2,0))</f>
        <v/>
      </c>
      <c r="K215" t="str">
        <f>IF(H215="","",VLOOKUP(I215,表3_3[],3,0))</f>
        <v/>
      </c>
      <c r="L215" t="str">
        <f>IF(A215="","",IF(G215="LME","",VLOOKUP(RIGHT(E215,2),Helper1!$O$36:$P$48,2,0)))</f>
        <v/>
      </c>
      <c r="M215" t="str">
        <f t="shared" si="17"/>
        <v/>
      </c>
      <c r="N215" t="str">
        <f t="shared" si="18"/>
        <v/>
      </c>
      <c r="O215" t="str">
        <f t="shared" si="19"/>
        <v/>
      </c>
    </row>
    <row r="216" spans="1:15">
      <c r="A216" t="str">
        <f>IF('ATP Pos'!A216="","",LEFT('ATP Pos'!A216,B216-1))</f>
        <v/>
      </c>
      <c r="B216" t="str">
        <f>IF('ATP Pos'!A216="","",SEARCH("_",'ATP Pos'!A216,1))</f>
        <v/>
      </c>
      <c r="C216" t="str">
        <f>IF(A216="","",IF('ATP Pos'!E216="-","",IF('ATP Pos'!E216&gt;0,"Buy",IF('ATP Pos'!E216&lt;0,"Sell"))))</f>
        <v/>
      </c>
      <c r="D216" t="str">
        <f>IF(A216="","",IF('ATP Pos'!E216="-","",IF('ATP Pos'!E216&gt;0,'ATP Pos'!E216,IF('ATP Pos'!E216&lt;0,-'ATP Pos'!E216))))</f>
        <v/>
      </c>
      <c r="E216" t="str">
        <f>IF(A216="","",LEFT('ATP Pos'!B216,F216-1))</f>
        <v/>
      </c>
      <c r="F216" t="str">
        <f>IF(A216="","",SEARCH("-",'ATP Pos'!B216,1))</f>
        <v/>
      </c>
      <c r="G216" t="str">
        <f>IF(A216="","",RIGHT('ATP Pos'!B216,3))</f>
        <v/>
      </c>
      <c r="H216" t="str">
        <f t="shared" si="15"/>
        <v/>
      </c>
      <c r="I216" t="str">
        <f t="shared" si="16"/>
        <v/>
      </c>
      <c r="J216" t="str">
        <f>IF(H216="","",VLOOKUP(I216,表3_3[],2,0))</f>
        <v/>
      </c>
      <c r="K216" t="str">
        <f>IF(H216="","",VLOOKUP(I216,表3_3[],3,0))</f>
        <v/>
      </c>
      <c r="L216" t="str">
        <f>IF(A216="","",IF(G216="LME","",VLOOKUP(RIGHT(E216,2),Helper1!$O$36:$P$48,2,0)))</f>
        <v/>
      </c>
      <c r="M216" t="str">
        <f t="shared" si="17"/>
        <v/>
      </c>
      <c r="N216" t="str">
        <f t="shared" si="18"/>
        <v/>
      </c>
      <c r="O216" t="str">
        <f t="shared" si="19"/>
        <v/>
      </c>
    </row>
    <row r="217" spans="1:15">
      <c r="A217" t="str">
        <f>IF('ATP Pos'!A217="","",LEFT('ATP Pos'!A217,B217-1))</f>
        <v/>
      </c>
      <c r="B217" t="str">
        <f>IF('ATP Pos'!A217="","",SEARCH("_",'ATP Pos'!A217,1))</f>
        <v/>
      </c>
      <c r="C217" t="str">
        <f>IF(A217="","",IF('ATP Pos'!E217="-","",IF('ATP Pos'!E217&gt;0,"Buy",IF('ATP Pos'!E217&lt;0,"Sell"))))</f>
        <v/>
      </c>
      <c r="D217" t="str">
        <f>IF(A217="","",IF('ATP Pos'!E217="-","",IF('ATP Pos'!E217&gt;0,'ATP Pos'!E217,IF('ATP Pos'!E217&lt;0,-'ATP Pos'!E217))))</f>
        <v/>
      </c>
      <c r="E217" t="str">
        <f>IF(A217="","",LEFT('ATP Pos'!B217,F217-1))</f>
        <v/>
      </c>
      <c r="F217" t="str">
        <f>IF(A217="","",SEARCH("-",'ATP Pos'!B217,1))</f>
        <v/>
      </c>
      <c r="G217" t="str">
        <f>IF(A217="","",RIGHT('ATP Pos'!B217,3))</f>
        <v/>
      </c>
      <c r="H217" t="str">
        <f t="shared" si="15"/>
        <v/>
      </c>
      <c r="I217" t="str">
        <f t="shared" si="16"/>
        <v/>
      </c>
      <c r="J217" t="str">
        <f>IF(H217="","",VLOOKUP(I217,表3_3[],2,0))</f>
        <v/>
      </c>
      <c r="K217" t="str">
        <f>IF(H217="","",VLOOKUP(I217,表3_3[],3,0))</f>
        <v/>
      </c>
      <c r="L217" t="str">
        <f>IF(A217="","",IF(G217="LME","",VLOOKUP(RIGHT(E217,2),Helper1!$O$36:$P$48,2,0)))</f>
        <v/>
      </c>
      <c r="M217" t="str">
        <f t="shared" si="17"/>
        <v/>
      </c>
      <c r="N217" t="str">
        <f t="shared" si="18"/>
        <v/>
      </c>
      <c r="O217" t="str">
        <f t="shared" si="19"/>
        <v/>
      </c>
    </row>
    <row r="218" spans="1:15">
      <c r="A218" t="str">
        <f>IF('ATP Pos'!A218="","",LEFT('ATP Pos'!A218,B218-1))</f>
        <v/>
      </c>
      <c r="B218" t="str">
        <f>IF('ATP Pos'!A218="","",SEARCH("_",'ATP Pos'!A218,1))</f>
        <v/>
      </c>
      <c r="C218" t="str">
        <f>IF(A218="","",IF('ATP Pos'!E218="-","",IF('ATP Pos'!E218&gt;0,"Buy",IF('ATP Pos'!E218&lt;0,"Sell"))))</f>
        <v/>
      </c>
      <c r="D218" t="str">
        <f>IF(A218="","",IF('ATP Pos'!E218="-","",IF('ATP Pos'!E218&gt;0,'ATP Pos'!E218,IF('ATP Pos'!E218&lt;0,-'ATP Pos'!E218))))</f>
        <v/>
      </c>
      <c r="E218" t="str">
        <f>IF(A218="","",LEFT('ATP Pos'!B218,F218-1))</f>
        <v/>
      </c>
      <c r="F218" t="str">
        <f>IF(A218="","",SEARCH("-",'ATP Pos'!B218,1))</f>
        <v/>
      </c>
      <c r="G218" t="str">
        <f>IF(A218="","",RIGHT('ATP Pos'!B218,3))</f>
        <v/>
      </c>
      <c r="H218" t="str">
        <f t="shared" si="15"/>
        <v/>
      </c>
      <c r="I218" t="str">
        <f t="shared" si="16"/>
        <v/>
      </c>
      <c r="J218" t="str">
        <f>IF(H218="","",VLOOKUP(I218,表3_3[],2,0))</f>
        <v/>
      </c>
      <c r="K218" t="str">
        <f>IF(H218="","",VLOOKUP(I218,表3_3[],3,0))</f>
        <v/>
      </c>
      <c r="L218" t="str">
        <f>IF(A218="","",IF(G218="LME","",VLOOKUP(RIGHT(E218,2),Helper1!$O$36:$P$48,2,0)))</f>
        <v/>
      </c>
      <c r="M218" t="str">
        <f t="shared" si="17"/>
        <v/>
      </c>
      <c r="N218" t="str">
        <f t="shared" si="18"/>
        <v/>
      </c>
      <c r="O218" t="str">
        <f t="shared" si="19"/>
        <v/>
      </c>
    </row>
    <row r="219" spans="1:15">
      <c r="A219" t="str">
        <f>IF('ATP Pos'!A219="","",LEFT('ATP Pos'!A219,B219-1))</f>
        <v/>
      </c>
      <c r="B219" t="str">
        <f>IF('ATP Pos'!A219="","",SEARCH("_",'ATP Pos'!A219,1))</f>
        <v/>
      </c>
      <c r="C219" t="str">
        <f>IF(A219="","",IF('ATP Pos'!E219="-","",IF('ATP Pos'!E219&gt;0,"Buy",IF('ATP Pos'!E219&lt;0,"Sell"))))</f>
        <v/>
      </c>
      <c r="D219" t="str">
        <f>IF(A219="","",IF('ATP Pos'!E219="-","",IF('ATP Pos'!E219&gt;0,'ATP Pos'!E219,IF('ATP Pos'!E219&lt;0,-'ATP Pos'!E219))))</f>
        <v/>
      </c>
      <c r="E219" t="str">
        <f>IF(A219="","",LEFT('ATP Pos'!B219,F219-1))</f>
        <v/>
      </c>
      <c r="F219" t="str">
        <f>IF(A219="","",SEARCH("-",'ATP Pos'!B219,1))</f>
        <v/>
      </c>
      <c r="G219" t="str">
        <f>IF(A219="","",RIGHT('ATP Pos'!B219,3))</f>
        <v/>
      </c>
      <c r="H219" t="str">
        <f t="shared" si="15"/>
        <v/>
      </c>
      <c r="I219" t="str">
        <f t="shared" si="16"/>
        <v/>
      </c>
      <c r="J219" t="str">
        <f>IF(H219="","",VLOOKUP(I219,表3_3[],2,0))</f>
        <v/>
      </c>
      <c r="K219" t="str">
        <f>IF(H219="","",VLOOKUP(I219,表3_3[],3,0))</f>
        <v/>
      </c>
      <c r="L219" t="str">
        <f>IF(A219="","",IF(G219="LME","",VLOOKUP(RIGHT(E219,2),Helper1!$O$36:$P$48,2,0)))</f>
        <v/>
      </c>
      <c r="M219" t="str">
        <f t="shared" si="17"/>
        <v/>
      </c>
      <c r="N219" t="str">
        <f t="shared" si="18"/>
        <v/>
      </c>
      <c r="O219" t="str">
        <f t="shared" si="19"/>
        <v/>
      </c>
    </row>
    <row r="220" spans="1:15">
      <c r="A220" t="str">
        <f>IF('ATP Pos'!A220="","",LEFT('ATP Pos'!A220,B220-1))</f>
        <v/>
      </c>
      <c r="B220" t="str">
        <f>IF('ATP Pos'!A220="","",SEARCH("_",'ATP Pos'!A220,1))</f>
        <v/>
      </c>
      <c r="C220" t="str">
        <f>IF(A220="","",IF('ATP Pos'!E220="-","",IF('ATP Pos'!E220&gt;0,"Buy",IF('ATP Pos'!E220&lt;0,"Sell"))))</f>
        <v/>
      </c>
      <c r="D220" t="str">
        <f>IF(A220="","",IF('ATP Pos'!E220="-","",IF('ATP Pos'!E220&gt;0,'ATP Pos'!E220,IF('ATP Pos'!E220&lt;0,-'ATP Pos'!E220))))</f>
        <v/>
      </c>
      <c r="E220" t="str">
        <f>IF(A220="","",LEFT('ATP Pos'!B220,F220-1))</f>
        <v/>
      </c>
      <c r="F220" t="str">
        <f>IF(A220="","",SEARCH("-",'ATP Pos'!B220,1))</f>
        <v/>
      </c>
      <c r="G220" t="str">
        <f>IF(A220="","",RIGHT('ATP Pos'!B220,3))</f>
        <v/>
      </c>
      <c r="H220" t="str">
        <f t="shared" si="15"/>
        <v/>
      </c>
      <c r="I220" t="str">
        <f t="shared" si="16"/>
        <v/>
      </c>
      <c r="J220" t="str">
        <f>IF(H220="","",VLOOKUP(I220,表3_3[],2,0))</f>
        <v/>
      </c>
      <c r="K220" t="str">
        <f>IF(H220="","",VLOOKUP(I220,表3_3[],3,0))</f>
        <v/>
      </c>
      <c r="L220" t="str">
        <f>IF(A220="","",IF(G220="LME","",VLOOKUP(RIGHT(E220,2),Helper1!$O$36:$P$48,2,0)))</f>
        <v/>
      </c>
      <c r="M220" t="str">
        <f t="shared" si="17"/>
        <v/>
      </c>
      <c r="N220" t="str">
        <f t="shared" si="18"/>
        <v/>
      </c>
      <c r="O220" t="str">
        <f t="shared" si="19"/>
        <v/>
      </c>
    </row>
    <row r="221" spans="1:15">
      <c r="A221" t="str">
        <f>IF('ATP Pos'!A221="","",LEFT('ATP Pos'!A221,B221-1))</f>
        <v/>
      </c>
      <c r="B221" t="str">
        <f>IF('ATP Pos'!A221="","",SEARCH("_",'ATP Pos'!A221,1))</f>
        <v/>
      </c>
      <c r="C221" t="str">
        <f>IF(A221="","",IF('ATP Pos'!E221="-","",IF('ATP Pos'!E221&gt;0,"Buy",IF('ATP Pos'!E221&lt;0,"Sell"))))</f>
        <v/>
      </c>
      <c r="D221" t="str">
        <f>IF(A221="","",IF('ATP Pos'!E221="-","",IF('ATP Pos'!E221&gt;0,'ATP Pos'!E221,IF('ATP Pos'!E221&lt;0,-'ATP Pos'!E221))))</f>
        <v/>
      </c>
      <c r="E221" t="str">
        <f>IF(A221="","",LEFT('ATP Pos'!B221,F221-1))</f>
        <v/>
      </c>
      <c r="F221" t="str">
        <f>IF(A221="","",SEARCH("-",'ATP Pos'!B221,1))</f>
        <v/>
      </c>
      <c r="G221" t="str">
        <f>IF(A221="","",RIGHT('ATP Pos'!B221,3))</f>
        <v/>
      </c>
      <c r="H221" t="str">
        <f t="shared" si="15"/>
        <v/>
      </c>
      <c r="I221" t="str">
        <f t="shared" si="16"/>
        <v/>
      </c>
      <c r="J221" t="str">
        <f>IF(H221="","",VLOOKUP(I221,表3_3[],2,0))</f>
        <v/>
      </c>
      <c r="K221" t="str">
        <f>IF(H221="","",VLOOKUP(I221,表3_3[],3,0))</f>
        <v/>
      </c>
      <c r="L221" t="str">
        <f>IF(A221="","",IF(G221="LME","",VLOOKUP(RIGHT(E221,2),Helper1!$O$36:$P$48,2,0)))</f>
        <v/>
      </c>
      <c r="M221" t="str">
        <f t="shared" si="17"/>
        <v/>
      </c>
      <c r="N221" t="str">
        <f t="shared" si="18"/>
        <v/>
      </c>
      <c r="O221" t="str">
        <f t="shared" si="19"/>
        <v/>
      </c>
    </row>
    <row r="222" spans="1:15">
      <c r="A222" t="str">
        <f>IF('ATP Pos'!A222="","",LEFT('ATP Pos'!A222,B222-1))</f>
        <v/>
      </c>
      <c r="B222" t="str">
        <f>IF('ATP Pos'!A222="","",SEARCH("_",'ATP Pos'!A222,1))</f>
        <v/>
      </c>
      <c r="C222" t="str">
        <f>IF(A222="","",IF('ATP Pos'!E222="-","",IF('ATP Pos'!E222&gt;0,"Buy",IF('ATP Pos'!E222&lt;0,"Sell"))))</f>
        <v/>
      </c>
      <c r="D222" t="str">
        <f>IF(A222="","",IF('ATP Pos'!E222="-","",IF('ATP Pos'!E222&gt;0,'ATP Pos'!E222,IF('ATP Pos'!E222&lt;0,-'ATP Pos'!E222))))</f>
        <v/>
      </c>
      <c r="E222" t="str">
        <f>IF(A222="","",LEFT('ATP Pos'!B222,F222-1))</f>
        <v/>
      </c>
      <c r="F222" t="str">
        <f>IF(A222="","",SEARCH("-",'ATP Pos'!B222,1))</f>
        <v/>
      </c>
      <c r="G222" t="str">
        <f>IF(A222="","",RIGHT('ATP Pos'!B222,3))</f>
        <v/>
      </c>
      <c r="H222" t="str">
        <f t="shared" si="15"/>
        <v/>
      </c>
      <c r="I222" t="str">
        <f t="shared" si="16"/>
        <v/>
      </c>
      <c r="J222" t="str">
        <f>IF(H222="","",VLOOKUP(I222,表3_3[],2,0))</f>
        <v/>
      </c>
      <c r="K222" t="str">
        <f>IF(H222="","",VLOOKUP(I222,表3_3[],3,0))</f>
        <v/>
      </c>
      <c r="L222" t="str">
        <f>IF(A222="","",IF(G222="LME","",VLOOKUP(RIGHT(E222,2),Helper1!$O$36:$P$48,2,0)))</f>
        <v/>
      </c>
      <c r="M222" t="str">
        <f t="shared" si="17"/>
        <v/>
      </c>
      <c r="N222" t="str">
        <f t="shared" si="18"/>
        <v/>
      </c>
      <c r="O222" t="str">
        <f t="shared" si="19"/>
        <v/>
      </c>
    </row>
    <row r="223" spans="1:15">
      <c r="A223" t="str">
        <f>IF('ATP Pos'!A223="","",LEFT('ATP Pos'!A223,B223-1))</f>
        <v/>
      </c>
      <c r="B223" t="str">
        <f>IF('ATP Pos'!A223="","",SEARCH("_",'ATP Pos'!A223,1))</f>
        <v/>
      </c>
      <c r="C223" t="str">
        <f>IF(A223="","",IF('ATP Pos'!E223="-","",IF('ATP Pos'!E223&gt;0,"Buy",IF('ATP Pos'!E223&lt;0,"Sell"))))</f>
        <v/>
      </c>
      <c r="D223" t="str">
        <f>IF(A223="","",IF('ATP Pos'!E223="-","",IF('ATP Pos'!E223&gt;0,'ATP Pos'!E223,IF('ATP Pos'!E223&lt;0,-'ATP Pos'!E223))))</f>
        <v/>
      </c>
      <c r="E223" t="str">
        <f>IF(A223="","",LEFT('ATP Pos'!B223,F223-1))</f>
        <v/>
      </c>
      <c r="F223" t="str">
        <f>IF(A223="","",SEARCH("-",'ATP Pos'!B223,1))</f>
        <v/>
      </c>
      <c r="G223" t="str">
        <f>IF(A223="","",RIGHT('ATP Pos'!B223,3))</f>
        <v/>
      </c>
      <c r="H223" t="str">
        <f t="shared" si="15"/>
        <v/>
      </c>
      <c r="I223" t="str">
        <f t="shared" si="16"/>
        <v/>
      </c>
      <c r="J223" t="str">
        <f>IF(H223="","",VLOOKUP(I223,表3_3[],2,0))</f>
        <v/>
      </c>
      <c r="K223" t="str">
        <f>IF(H223="","",VLOOKUP(I223,表3_3[],3,0))</f>
        <v/>
      </c>
      <c r="L223" t="str">
        <f>IF(A223="","",IF(G223="LME","",VLOOKUP(RIGHT(E223,2),Helper1!$O$36:$P$48,2,0)))</f>
        <v/>
      </c>
      <c r="M223" t="str">
        <f t="shared" si="17"/>
        <v/>
      </c>
      <c r="N223" t="str">
        <f t="shared" si="18"/>
        <v/>
      </c>
      <c r="O223" t="str">
        <f t="shared" si="19"/>
        <v/>
      </c>
    </row>
    <row r="224" spans="1:15">
      <c r="A224" t="str">
        <f>IF('ATP Pos'!A224="","",LEFT('ATP Pos'!A224,B224-1))</f>
        <v/>
      </c>
      <c r="B224" t="str">
        <f>IF('ATP Pos'!A224="","",SEARCH("_",'ATP Pos'!A224,1))</f>
        <v/>
      </c>
      <c r="C224" t="str">
        <f>IF(A224="","",IF('ATP Pos'!E224="-","",IF('ATP Pos'!E224&gt;0,"Buy",IF('ATP Pos'!E224&lt;0,"Sell"))))</f>
        <v/>
      </c>
      <c r="D224" t="str">
        <f>IF(A224="","",IF('ATP Pos'!E224="-","",IF('ATP Pos'!E224&gt;0,'ATP Pos'!E224,IF('ATP Pos'!E224&lt;0,-'ATP Pos'!E224))))</f>
        <v/>
      </c>
      <c r="E224" t="str">
        <f>IF(A224="","",LEFT('ATP Pos'!B224,F224-1))</f>
        <v/>
      </c>
      <c r="F224" t="str">
        <f>IF(A224="","",SEARCH("-",'ATP Pos'!B224,1))</f>
        <v/>
      </c>
      <c r="G224" t="str">
        <f>IF(A224="","",RIGHT('ATP Pos'!B224,3))</f>
        <v/>
      </c>
      <c r="H224" t="str">
        <f t="shared" si="15"/>
        <v/>
      </c>
      <c r="I224" t="str">
        <f t="shared" si="16"/>
        <v/>
      </c>
      <c r="J224" t="str">
        <f>IF(H224="","",VLOOKUP(I224,表3_3[],2,0))</f>
        <v/>
      </c>
      <c r="K224" t="str">
        <f>IF(H224="","",VLOOKUP(I224,表3_3[],3,0))</f>
        <v/>
      </c>
      <c r="L224" t="str">
        <f>IF(A224="","",IF(G224="LME","",VLOOKUP(RIGHT(E224,2),Helper1!$O$36:$P$48,2,0)))</f>
        <v/>
      </c>
      <c r="M224" t="str">
        <f t="shared" si="17"/>
        <v/>
      </c>
      <c r="N224" t="str">
        <f t="shared" si="18"/>
        <v/>
      </c>
      <c r="O224" t="str">
        <f t="shared" si="19"/>
        <v/>
      </c>
    </row>
    <row r="225" spans="1:15">
      <c r="A225" t="str">
        <f>IF('ATP Pos'!A225="","",LEFT('ATP Pos'!A225,B225-1))</f>
        <v/>
      </c>
      <c r="B225" t="str">
        <f>IF('ATP Pos'!A225="","",SEARCH("_",'ATP Pos'!A225,1))</f>
        <v/>
      </c>
      <c r="C225" t="str">
        <f>IF(A225="","",IF('ATP Pos'!E225="-","",IF('ATP Pos'!E225&gt;0,"Buy",IF('ATP Pos'!E225&lt;0,"Sell"))))</f>
        <v/>
      </c>
      <c r="D225" t="str">
        <f>IF(A225="","",IF('ATP Pos'!E225="-","",IF('ATP Pos'!E225&gt;0,'ATP Pos'!E225,IF('ATP Pos'!E225&lt;0,-'ATP Pos'!E225))))</f>
        <v/>
      </c>
      <c r="E225" t="str">
        <f>IF(A225="","",LEFT('ATP Pos'!B225,F225-1))</f>
        <v/>
      </c>
      <c r="F225" t="str">
        <f>IF(A225="","",SEARCH("-",'ATP Pos'!B225,1))</f>
        <v/>
      </c>
      <c r="G225" t="str">
        <f>IF(A225="","",RIGHT('ATP Pos'!B225,3))</f>
        <v/>
      </c>
      <c r="H225" t="str">
        <f t="shared" si="15"/>
        <v/>
      </c>
      <c r="I225" t="str">
        <f t="shared" si="16"/>
        <v/>
      </c>
      <c r="J225" t="str">
        <f>IF(H225="","",VLOOKUP(I225,表3_3[],2,0))</f>
        <v/>
      </c>
      <c r="K225" t="str">
        <f>IF(H225="","",VLOOKUP(I225,表3_3[],3,0))</f>
        <v/>
      </c>
      <c r="L225" t="str">
        <f>IF(A225="","",IF(G225="LME","",VLOOKUP(RIGHT(E225,2),Helper1!$O$36:$P$48,2,0)))</f>
        <v/>
      </c>
      <c r="M225" t="str">
        <f t="shared" si="17"/>
        <v/>
      </c>
      <c r="N225" t="str">
        <f t="shared" si="18"/>
        <v/>
      </c>
      <c r="O225" t="str">
        <f t="shared" si="19"/>
        <v/>
      </c>
    </row>
    <row r="226" spans="1:15">
      <c r="A226" t="str">
        <f>IF('ATP Pos'!A226="","",LEFT('ATP Pos'!A226,B226-1))</f>
        <v/>
      </c>
      <c r="B226" t="str">
        <f>IF('ATP Pos'!A226="","",SEARCH("_",'ATP Pos'!A226,1))</f>
        <v/>
      </c>
      <c r="C226" t="str">
        <f>IF(A226="","",IF('ATP Pos'!E226="-","",IF('ATP Pos'!E226&gt;0,"Buy",IF('ATP Pos'!E226&lt;0,"Sell"))))</f>
        <v/>
      </c>
      <c r="D226" t="str">
        <f>IF(A226="","",IF('ATP Pos'!E226="-","",IF('ATP Pos'!E226&gt;0,'ATP Pos'!E226,IF('ATP Pos'!E226&lt;0,-'ATP Pos'!E226))))</f>
        <v/>
      </c>
      <c r="E226" t="str">
        <f>IF(A226="","",LEFT('ATP Pos'!B226,F226-1))</f>
        <v/>
      </c>
      <c r="F226" t="str">
        <f>IF(A226="","",SEARCH("-",'ATP Pos'!B226,1))</f>
        <v/>
      </c>
      <c r="G226" t="str">
        <f>IF(A226="","",RIGHT('ATP Pos'!B226,3))</f>
        <v/>
      </c>
      <c r="H226" t="str">
        <f t="shared" si="15"/>
        <v/>
      </c>
      <c r="I226" t="str">
        <f t="shared" si="16"/>
        <v/>
      </c>
      <c r="J226" t="str">
        <f>IF(H226="","",VLOOKUP(I226,表3_3[],2,0))</f>
        <v/>
      </c>
      <c r="K226" t="str">
        <f>IF(H226="","",VLOOKUP(I226,表3_3[],3,0))</f>
        <v/>
      </c>
      <c r="L226" t="str">
        <f>IF(A226="","",IF(G226="LME","",VLOOKUP(RIGHT(E226,2),Helper1!$O$36:$P$48,2,0)))</f>
        <v/>
      </c>
      <c r="M226" t="str">
        <f t="shared" si="17"/>
        <v/>
      </c>
      <c r="N226" t="str">
        <f t="shared" si="18"/>
        <v/>
      </c>
      <c r="O226" t="str">
        <f t="shared" si="19"/>
        <v/>
      </c>
    </row>
    <row r="227" spans="1:15">
      <c r="A227" t="str">
        <f>IF('ATP Pos'!A227="","",LEFT('ATP Pos'!A227,B227-1))</f>
        <v/>
      </c>
      <c r="B227" t="str">
        <f>IF('ATP Pos'!A227="","",SEARCH("_",'ATP Pos'!A227,1))</f>
        <v/>
      </c>
      <c r="C227" t="str">
        <f>IF(A227="","",IF('ATP Pos'!E227="-","",IF('ATP Pos'!E227&gt;0,"Buy",IF('ATP Pos'!E227&lt;0,"Sell"))))</f>
        <v/>
      </c>
      <c r="D227" t="str">
        <f>IF(A227="","",IF('ATP Pos'!E227="-","",IF('ATP Pos'!E227&gt;0,'ATP Pos'!E227,IF('ATP Pos'!E227&lt;0,-'ATP Pos'!E227))))</f>
        <v/>
      </c>
      <c r="E227" t="str">
        <f>IF(A227="","",LEFT('ATP Pos'!B227,F227-1))</f>
        <v/>
      </c>
      <c r="F227" t="str">
        <f>IF(A227="","",SEARCH("-",'ATP Pos'!B227,1))</f>
        <v/>
      </c>
      <c r="G227" t="str">
        <f>IF(A227="","",RIGHT('ATP Pos'!B227,3))</f>
        <v/>
      </c>
      <c r="H227" t="str">
        <f t="shared" si="15"/>
        <v/>
      </c>
      <c r="I227" t="str">
        <f t="shared" si="16"/>
        <v/>
      </c>
      <c r="J227" t="str">
        <f>IF(H227="","",VLOOKUP(I227,表3_3[],2,0))</f>
        <v/>
      </c>
      <c r="K227" t="str">
        <f>IF(H227="","",VLOOKUP(I227,表3_3[],3,0))</f>
        <v/>
      </c>
      <c r="L227" t="str">
        <f>IF(A227="","",IF(G227="LME","",VLOOKUP(RIGHT(E227,2),Helper1!$O$36:$P$48,2,0)))</f>
        <v/>
      </c>
      <c r="M227" t="str">
        <f t="shared" si="17"/>
        <v/>
      </c>
      <c r="N227" t="str">
        <f t="shared" si="18"/>
        <v/>
      </c>
      <c r="O227" t="str">
        <f t="shared" si="19"/>
        <v/>
      </c>
    </row>
    <row r="228" spans="1:15">
      <c r="A228" t="str">
        <f>IF('ATP Pos'!A228="","",LEFT('ATP Pos'!A228,B228-1))</f>
        <v/>
      </c>
      <c r="B228" t="str">
        <f>IF('ATP Pos'!A228="","",SEARCH("_",'ATP Pos'!A228,1))</f>
        <v/>
      </c>
      <c r="C228" t="str">
        <f>IF(A228="","",IF('ATP Pos'!E228="-","",IF('ATP Pos'!E228&gt;0,"Buy",IF('ATP Pos'!E228&lt;0,"Sell"))))</f>
        <v/>
      </c>
      <c r="D228" t="str">
        <f>IF(A228="","",IF('ATP Pos'!E228="-","",IF('ATP Pos'!E228&gt;0,'ATP Pos'!E228,IF('ATP Pos'!E228&lt;0,-'ATP Pos'!E228))))</f>
        <v/>
      </c>
      <c r="E228" t="str">
        <f>IF(A228="","",LEFT('ATP Pos'!B228,F228-1))</f>
        <v/>
      </c>
      <c r="F228" t="str">
        <f>IF(A228="","",SEARCH("-",'ATP Pos'!B228,1))</f>
        <v/>
      </c>
      <c r="G228" t="str">
        <f>IF(A228="","",RIGHT('ATP Pos'!B228,3))</f>
        <v/>
      </c>
      <c r="H228" t="str">
        <f t="shared" si="15"/>
        <v/>
      </c>
      <c r="I228" t="str">
        <f t="shared" si="16"/>
        <v/>
      </c>
      <c r="J228" t="str">
        <f>IF(H228="","",VLOOKUP(I228,表3_3[],2,0))</f>
        <v/>
      </c>
      <c r="K228" t="str">
        <f>IF(H228="","",VLOOKUP(I228,表3_3[],3,0))</f>
        <v/>
      </c>
      <c r="L228" t="str">
        <f>IF(A228="","",IF(G228="LME","",VLOOKUP(RIGHT(E228,2),Helper1!$O$36:$P$48,2,0)))</f>
        <v/>
      </c>
      <c r="M228" t="str">
        <f t="shared" si="17"/>
        <v/>
      </c>
      <c r="N228" t="str">
        <f t="shared" si="18"/>
        <v/>
      </c>
      <c r="O228" t="str">
        <f t="shared" si="19"/>
        <v/>
      </c>
    </row>
    <row r="229" spans="1:15">
      <c r="A229" t="str">
        <f>IF('ATP Pos'!A229="","",LEFT('ATP Pos'!A229,B229-1))</f>
        <v/>
      </c>
      <c r="B229" t="str">
        <f>IF('ATP Pos'!A229="","",SEARCH("_",'ATP Pos'!A229,1))</f>
        <v/>
      </c>
      <c r="C229" t="str">
        <f>IF(A229="","",IF('ATP Pos'!E229="-","",IF('ATP Pos'!E229&gt;0,"Buy",IF('ATP Pos'!E229&lt;0,"Sell"))))</f>
        <v/>
      </c>
      <c r="D229" t="str">
        <f>IF(A229="","",IF('ATP Pos'!E229="-","",IF('ATP Pos'!E229&gt;0,'ATP Pos'!E229,IF('ATP Pos'!E229&lt;0,-'ATP Pos'!E229))))</f>
        <v/>
      </c>
      <c r="E229" t="str">
        <f>IF(A229="","",LEFT('ATP Pos'!B229,F229-1))</f>
        <v/>
      </c>
      <c r="F229" t="str">
        <f>IF(A229="","",SEARCH("-",'ATP Pos'!B229,1))</f>
        <v/>
      </c>
      <c r="G229" t="str">
        <f>IF(A229="","",RIGHT('ATP Pos'!B229,3))</f>
        <v/>
      </c>
      <c r="H229" t="str">
        <f t="shared" si="15"/>
        <v/>
      </c>
      <c r="I229" t="str">
        <f t="shared" si="16"/>
        <v/>
      </c>
      <c r="J229" t="str">
        <f>IF(H229="","",VLOOKUP(I229,表3_3[],2,0))</f>
        <v/>
      </c>
      <c r="K229" t="str">
        <f>IF(H229="","",VLOOKUP(I229,表3_3[],3,0))</f>
        <v/>
      </c>
      <c r="L229" t="str">
        <f>IF(A229="","",IF(G229="LME","",VLOOKUP(RIGHT(E229,2),Helper1!$O$36:$P$48,2,0)))</f>
        <v/>
      </c>
      <c r="M229" t="str">
        <f t="shared" si="17"/>
        <v/>
      </c>
      <c r="N229" t="str">
        <f t="shared" si="18"/>
        <v/>
      </c>
      <c r="O229" t="str">
        <f t="shared" si="19"/>
        <v/>
      </c>
    </row>
    <row r="230" spans="1:15">
      <c r="A230" t="str">
        <f>IF('ATP Pos'!A230="","",LEFT('ATP Pos'!A230,B230-1))</f>
        <v/>
      </c>
      <c r="B230" t="str">
        <f>IF('ATP Pos'!A230="","",SEARCH("_",'ATP Pos'!A230,1))</f>
        <v/>
      </c>
      <c r="C230" t="str">
        <f>IF(A230="","",IF('ATP Pos'!E230="-","",IF('ATP Pos'!E230&gt;0,"Buy",IF('ATP Pos'!E230&lt;0,"Sell"))))</f>
        <v/>
      </c>
      <c r="D230" t="str">
        <f>IF(A230="","",IF('ATP Pos'!E230="-","",IF('ATP Pos'!E230&gt;0,'ATP Pos'!E230,IF('ATP Pos'!E230&lt;0,-'ATP Pos'!E230))))</f>
        <v/>
      </c>
      <c r="E230" t="str">
        <f>IF(A230="","",LEFT('ATP Pos'!B230,F230-1))</f>
        <v/>
      </c>
      <c r="F230" t="str">
        <f>IF(A230="","",SEARCH("-",'ATP Pos'!B230,1))</f>
        <v/>
      </c>
      <c r="G230" t="str">
        <f>IF(A230="","",RIGHT('ATP Pos'!B230,3))</f>
        <v/>
      </c>
      <c r="H230" t="str">
        <f t="shared" si="15"/>
        <v/>
      </c>
      <c r="I230" t="str">
        <f t="shared" si="16"/>
        <v/>
      </c>
      <c r="J230" t="str">
        <f>IF(H230="","",VLOOKUP(I230,表3_3[],2,0))</f>
        <v/>
      </c>
      <c r="K230" t="str">
        <f>IF(H230="","",VLOOKUP(I230,表3_3[],3,0))</f>
        <v/>
      </c>
      <c r="L230" t="str">
        <f>IF(A230="","",IF(G230="LME","",VLOOKUP(RIGHT(E230,2),Helper1!$O$36:$P$48,2,0)))</f>
        <v/>
      </c>
      <c r="M230" t="str">
        <f t="shared" si="17"/>
        <v/>
      </c>
      <c r="N230" t="str">
        <f t="shared" si="18"/>
        <v/>
      </c>
      <c r="O230" t="str">
        <f t="shared" si="19"/>
        <v/>
      </c>
    </row>
    <row r="231" spans="1:15">
      <c r="A231" t="str">
        <f>IF('ATP Pos'!A231="","",LEFT('ATP Pos'!A231,B231-1))</f>
        <v/>
      </c>
      <c r="B231" t="str">
        <f>IF('ATP Pos'!A231="","",SEARCH("_",'ATP Pos'!A231,1))</f>
        <v/>
      </c>
      <c r="C231" t="str">
        <f>IF(A231="","",IF('ATP Pos'!E231="-","",IF('ATP Pos'!E231&gt;0,"Buy",IF('ATP Pos'!E231&lt;0,"Sell"))))</f>
        <v/>
      </c>
      <c r="D231" t="str">
        <f>IF(A231="","",IF('ATP Pos'!E231="-","",IF('ATP Pos'!E231&gt;0,'ATP Pos'!E231,IF('ATP Pos'!E231&lt;0,-'ATP Pos'!E231))))</f>
        <v/>
      </c>
      <c r="E231" t="str">
        <f>IF(A231="","",LEFT('ATP Pos'!B231,F231-1))</f>
        <v/>
      </c>
      <c r="F231" t="str">
        <f>IF(A231="","",SEARCH("-",'ATP Pos'!B231,1))</f>
        <v/>
      </c>
      <c r="G231" t="str">
        <f>IF(A231="","",RIGHT('ATP Pos'!B231,3))</f>
        <v/>
      </c>
      <c r="H231" t="str">
        <f t="shared" si="15"/>
        <v/>
      </c>
      <c r="I231" t="str">
        <f t="shared" si="16"/>
        <v/>
      </c>
      <c r="J231" t="str">
        <f>IF(H231="","",VLOOKUP(I231,表3_3[],2,0))</f>
        <v/>
      </c>
      <c r="K231" t="str">
        <f>IF(H231="","",VLOOKUP(I231,表3_3[],3,0))</f>
        <v/>
      </c>
      <c r="L231" t="str">
        <f>IF(A231="","",IF(G231="LME","",VLOOKUP(RIGHT(E231,2),Helper1!$O$36:$P$48,2,0)))</f>
        <v/>
      </c>
      <c r="M231" t="str">
        <f t="shared" si="17"/>
        <v/>
      </c>
      <c r="N231" t="str">
        <f t="shared" si="18"/>
        <v/>
      </c>
      <c r="O231" t="str">
        <f t="shared" si="19"/>
        <v/>
      </c>
    </row>
    <row r="232" spans="1:15">
      <c r="A232" t="str">
        <f>IF('ATP Pos'!A232="","",LEFT('ATP Pos'!A232,B232-1))</f>
        <v/>
      </c>
      <c r="B232" t="str">
        <f>IF('ATP Pos'!A232="","",SEARCH("_",'ATP Pos'!A232,1))</f>
        <v/>
      </c>
      <c r="C232" t="str">
        <f>IF(A232="","",IF('ATP Pos'!E232="-","",IF('ATP Pos'!E232&gt;0,"Buy",IF('ATP Pos'!E232&lt;0,"Sell"))))</f>
        <v/>
      </c>
      <c r="D232" t="str">
        <f>IF(A232="","",IF('ATP Pos'!E232="-","",IF('ATP Pos'!E232&gt;0,'ATP Pos'!E232,IF('ATP Pos'!E232&lt;0,-'ATP Pos'!E232))))</f>
        <v/>
      </c>
      <c r="E232" t="str">
        <f>IF(A232="","",LEFT('ATP Pos'!B232,F232-1))</f>
        <v/>
      </c>
      <c r="F232" t="str">
        <f>IF(A232="","",SEARCH("-",'ATP Pos'!B232,1))</f>
        <v/>
      </c>
      <c r="G232" t="str">
        <f>IF(A232="","",RIGHT('ATP Pos'!B232,3))</f>
        <v/>
      </c>
      <c r="H232" t="str">
        <f t="shared" si="15"/>
        <v/>
      </c>
      <c r="I232" t="str">
        <f t="shared" si="16"/>
        <v/>
      </c>
      <c r="J232" t="str">
        <f>IF(H232="","",VLOOKUP(I232,表3_3[],2,0))</f>
        <v/>
      </c>
      <c r="K232" t="str">
        <f>IF(H232="","",VLOOKUP(I232,表3_3[],3,0))</f>
        <v/>
      </c>
      <c r="L232" t="str">
        <f>IF(A232="","",IF(G232="LME","",VLOOKUP(RIGHT(E232,2),Helper1!$O$36:$P$48,2,0)))</f>
        <v/>
      </c>
      <c r="M232" t="str">
        <f t="shared" si="17"/>
        <v/>
      </c>
      <c r="N232" t="str">
        <f t="shared" si="18"/>
        <v/>
      </c>
      <c r="O232" t="str">
        <f t="shared" si="19"/>
        <v/>
      </c>
    </row>
    <row r="233" spans="1:15">
      <c r="A233" t="str">
        <f>IF('ATP Pos'!A233="","",LEFT('ATP Pos'!A233,B233-1))</f>
        <v/>
      </c>
      <c r="B233" t="str">
        <f>IF('ATP Pos'!A233="","",SEARCH("_",'ATP Pos'!A233,1))</f>
        <v/>
      </c>
      <c r="C233" t="str">
        <f>IF(A233="","",IF('ATP Pos'!E233="-","",IF('ATP Pos'!E233&gt;0,"Buy",IF('ATP Pos'!E233&lt;0,"Sell"))))</f>
        <v/>
      </c>
      <c r="D233" t="str">
        <f>IF(A233="","",IF('ATP Pos'!E233="-","",IF('ATP Pos'!E233&gt;0,'ATP Pos'!E233,IF('ATP Pos'!E233&lt;0,-'ATP Pos'!E233))))</f>
        <v/>
      </c>
      <c r="E233" t="str">
        <f>IF(A233="","",LEFT('ATP Pos'!B233,F233-1))</f>
        <v/>
      </c>
      <c r="F233" t="str">
        <f>IF(A233="","",SEARCH("-",'ATP Pos'!B233,1))</f>
        <v/>
      </c>
      <c r="G233" t="str">
        <f>IF(A233="","",RIGHT('ATP Pos'!B233,3))</f>
        <v/>
      </c>
      <c r="H233" t="str">
        <f t="shared" si="15"/>
        <v/>
      </c>
      <c r="I233" t="str">
        <f t="shared" si="16"/>
        <v/>
      </c>
      <c r="J233" t="str">
        <f>IF(H233="","",VLOOKUP(I233,表3_3[],2,0))</f>
        <v/>
      </c>
      <c r="K233" t="str">
        <f>IF(H233="","",VLOOKUP(I233,表3_3[],3,0))</f>
        <v/>
      </c>
      <c r="L233" t="str">
        <f>IF(A233="","",IF(G233="LME","",VLOOKUP(RIGHT(E233,2),Helper1!$O$36:$P$48,2,0)))</f>
        <v/>
      </c>
      <c r="M233" t="str">
        <f t="shared" si="17"/>
        <v/>
      </c>
      <c r="N233" t="str">
        <f t="shared" si="18"/>
        <v/>
      </c>
      <c r="O233" t="str">
        <f t="shared" si="19"/>
        <v/>
      </c>
    </row>
    <row r="234" spans="1:15">
      <c r="A234" t="str">
        <f>IF('ATP Pos'!A234="","",LEFT('ATP Pos'!A234,B234-1))</f>
        <v/>
      </c>
      <c r="B234" t="str">
        <f>IF('ATP Pos'!A234="","",SEARCH("_",'ATP Pos'!A234,1))</f>
        <v/>
      </c>
      <c r="C234" t="str">
        <f>IF(A234="","",IF('ATP Pos'!E234="-","",IF('ATP Pos'!E234&gt;0,"Buy",IF('ATP Pos'!E234&lt;0,"Sell"))))</f>
        <v/>
      </c>
      <c r="D234" t="str">
        <f>IF(A234="","",IF('ATP Pos'!E234="-","",IF('ATP Pos'!E234&gt;0,'ATP Pos'!E234,IF('ATP Pos'!E234&lt;0,-'ATP Pos'!E234))))</f>
        <v/>
      </c>
      <c r="E234" t="str">
        <f>IF(A234="","",LEFT('ATP Pos'!B234,F234-1))</f>
        <v/>
      </c>
      <c r="F234" t="str">
        <f>IF(A234="","",SEARCH("-",'ATP Pos'!B234,1))</f>
        <v/>
      </c>
      <c r="G234" t="str">
        <f>IF(A234="","",RIGHT('ATP Pos'!B234,3))</f>
        <v/>
      </c>
      <c r="H234" t="str">
        <f t="shared" si="15"/>
        <v/>
      </c>
      <c r="I234" t="str">
        <f t="shared" si="16"/>
        <v/>
      </c>
      <c r="J234" t="str">
        <f>IF(H234="","",VLOOKUP(I234,表3_3[],2,0))</f>
        <v/>
      </c>
      <c r="K234" t="str">
        <f>IF(H234="","",VLOOKUP(I234,表3_3[],3,0))</f>
        <v/>
      </c>
      <c r="L234" t="str">
        <f>IF(A234="","",IF(G234="LME","",VLOOKUP(RIGHT(E234,2),Helper1!$O$36:$P$48,2,0)))</f>
        <v/>
      </c>
      <c r="M234" t="str">
        <f t="shared" si="17"/>
        <v/>
      </c>
      <c r="N234" t="str">
        <f t="shared" si="18"/>
        <v/>
      </c>
      <c r="O234" t="str">
        <f t="shared" si="19"/>
        <v/>
      </c>
    </row>
    <row r="235" spans="1:15">
      <c r="A235" t="str">
        <f>IF('ATP Pos'!A235="","",LEFT('ATP Pos'!A235,B235-1))</f>
        <v/>
      </c>
      <c r="B235" t="str">
        <f>IF('ATP Pos'!A235="","",SEARCH("_",'ATP Pos'!A235,1))</f>
        <v/>
      </c>
      <c r="C235" t="str">
        <f>IF(A235="","",IF('ATP Pos'!E235="-","",IF('ATP Pos'!E235&gt;0,"Buy",IF('ATP Pos'!E235&lt;0,"Sell"))))</f>
        <v/>
      </c>
      <c r="D235" t="str">
        <f>IF(A235="","",IF('ATP Pos'!E235="-","",IF('ATP Pos'!E235&gt;0,'ATP Pos'!E235,IF('ATP Pos'!E235&lt;0,-'ATP Pos'!E235))))</f>
        <v/>
      </c>
      <c r="E235" t="str">
        <f>IF(A235="","",LEFT('ATP Pos'!B235,F235-1))</f>
        <v/>
      </c>
      <c r="F235" t="str">
        <f>IF(A235="","",SEARCH("-",'ATP Pos'!B235,1))</f>
        <v/>
      </c>
      <c r="G235" t="str">
        <f>IF(A235="","",RIGHT('ATP Pos'!B235,3))</f>
        <v/>
      </c>
      <c r="H235" t="str">
        <f t="shared" si="15"/>
        <v/>
      </c>
      <c r="I235" t="str">
        <f t="shared" si="16"/>
        <v/>
      </c>
      <c r="J235" t="str">
        <f>IF(H235="","",VLOOKUP(I235,表3_3[],2,0))</f>
        <v/>
      </c>
      <c r="K235" t="str">
        <f>IF(H235="","",VLOOKUP(I235,表3_3[],3,0))</f>
        <v/>
      </c>
      <c r="L235" t="str">
        <f>IF(A235="","",IF(G235="LME","",VLOOKUP(RIGHT(E235,2),Helper1!$O$36:$P$48,2,0)))</f>
        <v/>
      </c>
      <c r="M235" t="str">
        <f t="shared" si="17"/>
        <v/>
      </c>
      <c r="N235" t="str">
        <f t="shared" si="18"/>
        <v/>
      </c>
      <c r="O235" t="str">
        <f t="shared" si="19"/>
        <v/>
      </c>
    </row>
    <row r="236" spans="1:15">
      <c r="A236" t="str">
        <f>IF('ATP Pos'!A236="","",LEFT('ATP Pos'!A236,B236-1))</f>
        <v/>
      </c>
      <c r="B236" t="str">
        <f>IF('ATP Pos'!A236="","",SEARCH("_",'ATP Pos'!A236,1))</f>
        <v/>
      </c>
      <c r="C236" t="str">
        <f>IF(A236="","",IF('ATP Pos'!E236="-","",IF('ATP Pos'!E236&gt;0,"Buy",IF('ATP Pos'!E236&lt;0,"Sell"))))</f>
        <v/>
      </c>
      <c r="D236" t="str">
        <f>IF(A236="","",IF('ATP Pos'!E236="-","",IF('ATP Pos'!E236&gt;0,'ATP Pos'!E236,IF('ATP Pos'!E236&lt;0,-'ATP Pos'!E236))))</f>
        <v/>
      </c>
      <c r="E236" t="str">
        <f>IF(A236="","",LEFT('ATP Pos'!B236,F236-1))</f>
        <v/>
      </c>
      <c r="F236" t="str">
        <f>IF(A236="","",SEARCH("-",'ATP Pos'!B236,1))</f>
        <v/>
      </c>
      <c r="G236" t="str">
        <f>IF(A236="","",RIGHT('ATP Pos'!B236,3))</f>
        <v/>
      </c>
      <c r="H236" t="str">
        <f t="shared" si="15"/>
        <v/>
      </c>
      <c r="I236" t="str">
        <f t="shared" si="16"/>
        <v/>
      </c>
      <c r="J236" t="str">
        <f>IF(H236="","",VLOOKUP(I236,表3_3[],2,0))</f>
        <v/>
      </c>
      <c r="K236" t="str">
        <f>IF(H236="","",VLOOKUP(I236,表3_3[],3,0))</f>
        <v/>
      </c>
      <c r="L236" t="str">
        <f>IF(A236="","",IF(G236="LME","",VLOOKUP(RIGHT(E236,2),Helper1!$O$36:$P$48,2,0)))</f>
        <v/>
      </c>
      <c r="M236" t="str">
        <f t="shared" si="17"/>
        <v/>
      </c>
      <c r="N236" t="str">
        <f t="shared" si="18"/>
        <v/>
      </c>
      <c r="O236" t="str">
        <f t="shared" si="19"/>
        <v/>
      </c>
    </row>
    <row r="237" spans="1:15">
      <c r="A237" t="str">
        <f>IF('ATP Pos'!A237="","",LEFT('ATP Pos'!A237,B237-1))</f>
        <v/>
      </c>
      <c r="B237" t="str">
        <f>IF('ATP Pos'!A237="","",SEARCH("_",'ATP Pos'!A237,1))</f>
        <v/>
      </c>
      <c r="C237" t="str">
        <f>IF(A237="","",IF('ATP Pos'!E237="-","",IF('ATP Pos'!E237&gt;0,"Buy",IF('ATP Pos'!E237&lt;0,"Sell"))))</f>
        <v/>
      </c>
      <c r="D237" t="str">
        <f>IF(A237="","",IF('ATP Pos'!E237="-","",IF('ATP Pos'!E237&gt;0,'ATP Pos'!E237,IF('ATP Pos'!E237&lt;0,-'ATP Pos'!E237))))</f>
        <v/>
      </c>
      <c r="E237" t="str">
        <f>IF(A237="","",LEFT('ATP Pos'!B237,F237-1))</f>
        <v/>
      </c>
      <c r="F237" t="str">
        <f>IF(A237="","",SEARCH("-",'ATP Pos'!B237,1))</f>
        <v/>
      </c>
      <c r="G237" t="str">
        <f>IF(A237="","",RIGHT('ATP Pos'!B237,3))</f>
        <v/>
      </c>
      <c r="H237" t="str">
        <f t="shared" si="15"/>
        <v/>
      </c>
      <c r="I237" t="str">
        <f t="shared" si="16"/>
        <v/>
      </c>
      <c r="J237" t="str">
        <f>IF(H237="","",VLOOKUP(I237,表3_3[],2,0))</f>
        <v/>
      </c>
      <c r="K237" t="str">
        <f>IF(H237="","",VLOOKUP(I237,表3_3[],3,0))</f>
        <v/>
      </c>
      <c r="L237" t="str">
        <f>IF(A237="","",IF(G237="LME","",VLOOKUP(RIGHT(E237,2),Helper1!$O$36:$P$48,2,0)))</f>
        <v/>
      </c>
      <c r="M237" t="str">
        <f t="shared" si="17"/>
        <v/>
      </c>
      <c r="N237" t="str">
        <f t="shared" si="18"/>
        <v/>
      </c>
      <c r="O237" t="str">
        <f t="shared" si="19"/>
        <v/>
      </c>
    </row>
    <row r="238" spans="1:15">
      <c r="A238" t="str">
        <f>IF('ATP Pos'!A238="","",LEFT('ATP Pos'!A238,B238-1))</f>
        <v/>
      </c>
      <c r="B238" t="str">
        <f>IF('ATP Pos'!A238="","",SEARCH("_",'ATP Pos'!A238,1))</f>
        <v/>
      </c>
      <c r="C238" t="str">
        <f>IF(A238="","",IF('ATP Pos'!E238="-","",IF('ATP Pos'!E238&gt;0,"Buy",IF('ATP Pos'!E238&lt;0,"Sell"))))</f>
        <v/>
      </c>
      <c r="D238" t="str">
        <f>IF(A238="","",IF('ATP Pos'!E238="-","",IF('ATP Pos'!E238&gt;0,'ATP Pos'!E238,IF('ATP Pos'!E238&lt;0,-'ATP Pos'!E238))))</f>
        <v/>
      </c>
      <c r="E238" t="str">
        <f>IF(A238="","",LEFT('ATP Pos'!B238,F238-1))</f>
        <v/>
      </c>
      <c r="F238" t="str">
        <f>IF(A238="","",SEARCH("-",'ATP Pos'!B238,1))</f>
        <v/>
      </c>
      <c r="G238" t="str">
        <f>IF(A238="","",RIGHT('ATP Pos'!B238,3))</f>
        <v/>
      </c>
      <c r="H238" t="str">
        <f t="shared" si="15"/>
        <v/>
      </c>
      <c r="I238" t="str">
        <f t="shared" si="16"/>
        <v/>
      </c>
      <c r="J238" t="str">
        <f>IF(H238="","",VLOOKUP(I238,表3_3[],2,0))</f>
        <v/>
      </c>
      <c r="K238" t="str">
        <f>IF(H238="","",VLOOKUP(I238,表3_3[],3,0))</f>
        <v/>
      </c>
      <c r="L238" t="str">
        <f>IF(A238="","",IF(G238="LME","",VLOOKUP(RIGHT(E238,2),Helper1!$O$36:$P$48,2,0)))</f>
        <v/>
      </c>
      <c r="M238" t="str">
        <f t="shared" si="17"/>
        <v/>
      </c>
      <c r="N238" t="str">
        <f t="shared" si="18"/>
        <v/>
      </c>
      <c r="O238" t="str">
        <f t="shared" si="19"/>
        <v/>
      </c>
    </row>
    <row r="239" spans="1:15">
      <c r="A239" t="str">
        <f>IF('ATP Pos'!A239="","",LEFT('ATP Pos'!A239,B239-1))</f>
        <v/>
      </c>
      <c r="B239" t="str">
        <f>IF('ATP Pos'!A239="","",SEARCH("_",'ATP Pos'!A239,1))</f>
        <v/>
      </c>
      <c r="C239" t="str">
        <f>IF(A239="","",IF('ATP Pos'!E239="-","",IF('ATP Pos'!E239&gt;0,"Buy",IF('ATP Pos'!E239&lt;0,"Sell"))))</f>
        <v/>
      </c>
      <c r="D239" t="str">
        <f>IF(A239="","",IF('ATP Pos'!E239="-","",IF('ATP Pos'!E239&gt;0,'ATP Pos'!E239,IF('ATP Pos'!E239&lt;0,-'ATP Pos'!E239))))</f>
        <v/>
      </c>
      <c r="E239" t="str">
        <f>IF(A239="","",LEFT('ATP Pos'!B239,F239-1))</f>
        <v/>
      </c>
      <c r="F239" t="str">
        <f>IF(A239="","",SEARCH("-",'ATP Pos'!B239,1))</f>
        <v/>
      </c>
      <c r="G239" t="str">
        <f>IF(A239="","",RIGHT('ATP Pos'!B239,3))</f>
        <v/>
      </c>
      <c r="H239" t="str">
        <f t="shared" si="15"/>
        <v/>
      </c>
      <c r="I239" t="str">
        <f t="shared" si="16"/>
        <v/>
      </c>
      <c r="J239" t="str">
        <f>IF(H239="","",VLOOKUP(I239,表3_3[],2,0))</f>
        <v/>
      </c>
      <c r="K239" t="str">
        <f>IF(H239="","",VLOOKUP(I239,表3_3[],3,0))</f>
        <v/>
      </c>
      <c r="L239" t="str">
        <f>IF(A239="","",IF(G239="LME","",VLOOKUP(RIGHT(E239,2),Helper1!$O$36:$P$48,2,0)))</f>
        <v/>
      </c>
      <c r="M239" t="str">
        <f t="shared" si="17"/>
        <v/>
      </c>
      <c r="N239" t="str">
        <f t="shared" si="18"/>
        <v/>
      </c>
      <c r="O239" t="str">
        <f t="shared" si="19"/>
        <v/>
      </c>
    </row>
    <row r="240" spans="1:15">
      <c r="A240" t="str">
        <f>IF('ATP Pos'!A240="","",LEFT('ATP Pos'!A240,B240-1))</f>
        <v/>
      </c>
      <c r="B240" t="str">
        <f>IF('ATP Pos'!A240="","",SEARCH("_",'ATP Pos'!A240,1))</f>
        <v/>
      </c>
      <c r="C240" t="str">
        <f>IF(A240="","",IF('ATP Pos'!E240="-","",IF('ATP Pos'!E240&gt;0,"Buy",IF('ATP Pos'!E240&lt;0,"Sell"))))</f>
        <v/>
      </c>
      <c r="D240" t="str">
        <f>IF(A240="","",IF('ATP Pos'!E240="-","",IF('ATP Pos'!E240&gt;0,'ATP Pos'!E240,IF('ATP Pos'!E240&lt;0,-'ATP Pos'!E240))))</f>
        <v/>
      </c>
      <c r="E240" t="str">
        <f>IF(A240="","",LEFT('ATP Pos'!B240,F240-1))</f>
        <v/>
      </c>
      <c r="F240" t="str">
        <f>IF(A240="","",SEARCH("-",'ATP Pos'!B240,1))</f>
        <v/>
      </c>
      <c r="G240" t="str">
        <f>IF(A240="","",RIGHT('ATP Pos'!B240,3))</f>
        <v/>
      </c>
      <c r="H240" t="str">
        <f t="shared" si="15"/>
        <v/>
      </c>
      <c r="I240" t="str">
        <f t="shared" si="16"/>
        <v/>
      </c>
      <c r="J240" t="str">
        <f>IF(H240="","",VLOOKUP(I240,表3_3[],2,0))</f>
        <v/>
      </c>
      <c r="K240" t="str">
        <f>IF(H240="","",VLOOKUP(I240,表3_3[],3,0))</f>
        <v/>
      </c>
      <c r="L240" t="str">
        <f>IF(A240="","",IF(G240="LME","",VLOOKUP(RIGHT(E240,2),Helper1!$O$36:$P$48,2,0)))</f>
        <v/>
      </c>
      <c r="M240" t="str">
        <f t="shared" si="17"/>
        <v/>
      </c>
      <c r="N240" t="str">
        <f t="shared" si="18"/>
        <v/>
      </c>
      <c r="O240" t="str">
        <f t="shared" si="19"/>
        <v/>
      </c>
    </row>
    <row r="241" spans="1:15">
      <c r="A241" t="str">
        <f>IF('ATP Pos'!A241="","",LEFT('ATP Pos'!A241,B241-1))</f>
        <v/>
      </c>
      <c r="B241" t="str">
        <f>IF('ATP Pos'!A241="","",SEARCH("_",'ATP Pos'!A241,1))</f>
        <v/>
      </c>
      <c r="C241" t="str">
        <f>IF(A241="","",IF('ATP Pos'!E241="-","",IF('ATP Pos'!E241&gt;0,"Buy",IF('ATP Pos'!E241&lt;0,"Sell"))))</f>
        <v/>
      </c>
      <c r="D241" t="str">
        <f>IF(A241="","",IF('ATP Pos'!E241="-","",IF('ATP Pos'!E241&gt;0,'ATP Pos'!E241,IF('ATP Pos'!E241&lt;0,-'ATP Pos'!E241))))</f>
        <v/>
      </c>
      <c r="E241" t="str">
        <f>IF(A241="","",LEFT('ATP Pos'!B241,F241-1))</f>
        <v/>
      </c>
      <c r="F241" t="str">
        <f>IF(A241="","",SEARCH("-",'ATP Pos'!B241,1))</f>
        <v/>
      </c>
      <c r="G241" t="str">
        <f>IF(A241="","",RIGHT('ATP Pos'!B241,3))</f>
        <v/>
      </c>
      <c r="H241" t="str">
        <f t="shared" si="15"/>
        <v/>
      </c>
      <c r="I241" t="str">
        <f t="shared" si="16"/>
        <v/>
      </c>
      <c r="J241" t="str">
        <f>IF(H241="","",VLOOKUP(I241,表3_3[],2,0))</f>
        <v/>
      </c>
      <c r="K241" t="str">
        <f>IF(H241="","",VLOOKUP(I241,表3_3[],3,0))</f>
        <v/>
      </c>
      <c r="L241" t="str">
        <f>IF(A241="","",IF(G241="LME","",VLOOKUP(RIGHT(E241,2),Helper1!$O$36:$P$48,2,0)))</f>
        <v/>
      </c>
      <c r="M241" t="str">
        <f t="shared" si="17"/>
        <v/>
      </c>
      <c r="N241" t="str">
        <f t="shared" si="18"/>
        <v/>
      </c>
      <c r="O241" t="str">
        <f t="shared" si="19"/>
        <v/>
      </c>
    </row>
    <row r="242" spans="1:15">
      <c r="A242" t="str">
        <f>IF('ATP Pos'!A242="","",LEFT('ATP Pos'!A242,B242-1))</f>
        <v/>
      </c>
      <c r="B242" t="str">
        <f>IF('ATP Pos'!A242="","",SEARCH("_",'ATP Pos'!A242,1))</f>
        <v/>
      </c>
      <c r="C242" t="str">
        <f>IF(A242="","",IF('ATP Pos'!E242="-","",IF('ATP Pos'!E242&gt;0,"Buy",IF('ATP Pos'!E242&lt;0,"Sell"))))</f>
        <v/>
      </c>
      <c r="D242" t="str">
        <f>IF(A242="","",IF('ATP Pos'!E242="-","",IF('ATP Pos'!E242&gt;0,'ATP Pos'!E242,IF('ATP Pos'!E242&lt;0,-'ATP Pos'!E242))))</f>
        <v/>
      </c>
      <c r="E242" t="str">
        <f>IF(A242="","",LEFT('ATP Pos'!B242,F242-1))</f>
        <v/>
      </c>
      <c r="F242" t="str">
        <f>IF(A242="","",SEARCH("-",'ATP Pos'!B242,1))</f>
        <v/>
      </c>
      <c r="G242" t="str">
        <f>IF(A242="","",RIGHT('ATP Pos'!B242,3))</f>
        <v/>
      </c>
      <c r="H242" t="str">
        <f t="shared" si="15"/>
        <v/>
      </c>
      <c r="I242" t="str">
        <f t="shared" si="16"/>
        <v/>
      </c>
      <c r="J242" t="str">
        <f>IF(H242="","",VLOOKUP(I242,表3_3[],2,0))</f>
        <v/>
      </c>
      <c r="K242" t="str">
        <f>IF(H242="","",VLOOKUP(I242,表3_3[],3,0))</f>
        <v/>
      </c>
      <c r="L242" t="str">
        <f>IF(A242="","",IF(G242="LME","",VLOOKUP(RIGHT(E242,2),Helper1!$O$36:$P$48,2,0)))</f>
        <v/>
      </c>
      <c r="M242" t="str">
        <f t="shared" si="17"/>
        <v/>
      </c>
      <c r="N242" t="str">
        <f t="shared" si="18"/>
        <v/>
      </c>
      <c r="O242" t="str">
        <f t="shared" si="19"/>
        <v/>
      </c>
    </row>
    <row r="243" spans="1:15">
      <c r="A243" t="str">
        <f>IF('ATP Pos'!A243="","",LEFT('ATP Pos'!A243,B243-1))</f>
        <v/>
      </c>
      <c r="B243" t="str">
        <f>IF('ATP Pos'!A243="","",SEARCH("_",'ATP Pos'!A243,1))</f>
        <v/>
      </c>
      <c r="C243" t="str">
        <f>IF(A243="","",IF('ATP Pos'!E243="-","",IF('ATP Pos'!E243&gt;0,"Buy",IF('ATP Pos'!E243&lt;0,"Sell"))))</f>
        <v/>
      </c>
      <c r="D243" t="str">
        <f>IF(A243="","",IF('ATP Pos'!E243="-","",IF('ATP Pos'!E243&gt;0,'ATP Pos'!E243,IF('ATP Pos'!E243&lt;0,-'ATP Pos'!E243))))</f>
        <v/>
      </c>
      <c r="E243" t="str">
        <f>IF(A243="","",LEFT('ATP Pos'!B243,F243-1))</f>
        <v/>
      </c>
      <c r="F243" t="str">
        <f>IF(A243="","",SEARCH("-",'ATP Pos'!B243,1))</f>
        <v/>
      </c>
      <c r="G243" t="str">
        <f>IF(A243="","",RIGHT('ATP Pos'!B243,3))</f>
        <v/>
      </c>
      <c r="H243" t="str">
        <f t="shared" si="15"/>
        <v/>
      </c>
      <c r="I243" t="str">
        <f t="shared" si="16"/>
        <v/>
      </c>
      <c r="J243" t="str">
        <f>IF(H243="","",VLOOKUP(I243,表3_3[],2,0))</f>
        <v/>
      </c>
      <c r="K243" t="str">
        <f>IF(H243="","",VLOOKUP(I243,表3_3[],3,0))</f>
        <v/>
      </c>
      <c r="L243" t="str">
        <f>IF(A243="","",IF(G243="LME","",VLOOKUP(RIGHT(E243,2),Helper1!$O$36:$P$48,2,0)))</f>
        <v/>
      </c>
      <c r="M243" t="str">
        <f t="shared" si="17"/>
        <v/>
      </c>
      <c r="N243" t="str">
        <f t="shared" si="18"/>
        <v/>
      </c>
      <c r="O243" t="str">
        <f t="shared" si="19"/>
        <v/>
      </c>
    </row>
    <row r="244" spans="1:15">
      <c r="A244" t="str">
        <f>IF('ATP Pos'!A244="","",LEFT('ATP Pos'!A244,B244-1))</f>
        <v/>
      </c>
      <c r="B244" t="str">
        <f>IF('ATP Pos'!A244="","",SEARCH("_",'ATP Pos'!A244,1))</f>
        <v/>
      </c>
      <c r="C244" t="str">
        <f>IF(A244="","",IF('ATP Pos'!E244="-","",IF('ATP Pos'!E244&gt;0,"Buy",IF('ATP Pos'!E244&lt;0,"Sell"))))</f>
        <v/>
      </c>
      <c r="D244" t="str">
        <f>IF(A244="","",IF('ATP Pos'!E244="-","",IF('ATP Pos'!E244&gt;0,'ATP Pos'!E244,IF('ATP Pos'!E244&lt;0,-'ATP Pos'!E244))))</f>
        <v/>
      </c>
      <c r="E244" t="str">
        <f>IF(A244="","",LEFT('ATP Pos'!B244,F244-1))</f>
        <v/>
      </c>
      <c r="F244" t="str">
        <f>IF(A244="","",SEARCH("-",'ATP Pos'!B244,1))</f>
        <v/>
      </c>
      <c r="G244" t="str">
        <f>IF(A244="","",RIGHT('ATP Pos'!B244,3))</f>
        <v/>
      </c>
      <c r="H244" t="str">
        <f t="shared" si="15"/>
        <v/>
      </c>
      <c r="I244" t="str">
        <f t="shared" si="16"/>
        <v/>
      </c>
      <c r="J244" t="str">
        <f>IF(H244="","",VLOOKUP(I244,表3_3[],2,0))</f>
        <v/>
      </c>
      <c r="K244" t="str">
        <f>IF(H244="","",VLOOKUP(I244,表3_3[],3,0))</f>
        <v/>
      </c>
      <c r="L244" t="str">
        <f>IF(A244="","",IF(G244="LME","",VLOOKUP(RIGHT(E244,2),Helper1!$O$36:$P$48,2,0)))</f>
        <v/>
      </c>
      <c r="M244" t="str">
        <f t="shared" si="17"/>
        <v/>
      </c>
      <c r="N244" t="str">
        <f t="shared" si="18"/>
        <v/>
      </c>
      <c r="O244" t="str">
        <f t="shared" si="19"/>
        <v/>
      </c>
    </row>
    <row r="245" spans="1:15">
      <c r="A245" t="str">
        <f>IF('ATP Pos'!A245="","",LEFT('ATP Pos'!A245,B245-1))</f>
        <v/>
      </c>
      <c r="B245" t="str">
        <f>IF('ATP Pos'!A245="","",SEARCH("_",'ATP Pos'!A245,1))</f>
        <v/>
      </c>
      <c r="C245" t="str">
        <f>IF(A245="","",IF('ATP Pos'!E245="-","",IF('ATP Pos'!E245&gt;0,"Buy",IF('ATP Pos'!E245&lt;0,"Sell"))))</f>
        <v/>
      </c>
      <c r="D245" t="str">
        <f>IF(A245="","",IF('ATP Pos'!E245="-","",IF('ATP Pos'!E245&gt;0,'ATP Pos'!E245,IF('ATP Pos'!E245&lt;0,-'ATP Pos'!E245))))</f>
        <v/>
      </c>
      <c r="E245" t="str">
        <f>IF(A245="","",LEFT('ATP Pos'!B245,F245-1))</f>
        <v/>
      </c>
      <c r="F245" t="str">
        <f>IF(A245="","",SEARCH("-",'ATP Pos'!B245,1))</f>
        <v/>
      </c>
      <c r="G245" t="str">
        <f>IF(A245="","",RIGHT('ATP Pos'!B245,3))</f>
        <v/>
      </c>
      <c r="H245" t="str">
        <f t="shared" si="15"/>
        <v/>
      </c>
      <c r="I245" t="str">
        <f t="shared" si="16"/>
        <v/>
      </c>
      <c r="J245" t="str">
        <f>IF(H245="","",VLOOKUP(I245,表3_3[],2,0))</f>
        <v/>
      </c>
      <c r="K245" t="str">
        <f>IF(H245="","",VLOOKUP(I245,表3_3[],3,0))</f>
        <v/>
      </c>
      <c r="L245" t="str">
        <f>IF(A245="","",IF(G245="LME","",VLOOKUP(RIGHT(E245,2),Helper1!$O$36:$P$48,2,0)))</f>
        <v/>
      </c>
      <c r="M245" t="str">
        <f t="shared" si="17"/>
        <v/>
      </c>
      <c r="N245" t="str">
        <f t="shared" si="18"/>
        <v/>
      </c>
      <c r="O245" t="str">
        <f t="shared" si="19"/>
        <v/>
      </c>
    </row>
    <row r="246" spans="1:15">
      <c r="A246" t="str">
        <f>IF('ATP Pos'!A246="","",LEFT('ATP Pos'!A246,B246-1))</f>
        <v/>
      </c>
      <c r="B246" t="str">
        <f>IF('ATP Pos'!A246="","",SEARCH("_",'ATP Pos'!A246,1))</f>
        <v/>
      </c>
      <c r="C246" t="str">
        <f>IF(A246="","",IF('ATP Pos'!E246="-","",IF('ATP Pos'!E246&gt;0,"Buy",IF('ATP Pos'!E246&lt;0,"Sell"))))</f>
        <v/>
      </c>
      <c r="D246" t="str">
        <f>IF(A246="","",IF('ATP Pos'!E246="-","",IF('ATP Pos'!E246&gt;0,'ATP Pos'!E246,IF('ATP Pos'!E246&lt;0,-'ATP Pos'!E246))))</f>
        <v/>
      </c>
      <c r="E246" t="str">
        <f>IF(A246="","",LEFT('ATP Pos'!B246,F246-1))</f>
        <v/>
      </c>
      <c r="F246" t="str">
        <f>IF(A246="","",SEARCH("-",'ATP Pos'!B246,1))</f>
        <v/>
      </c>
      <c r="G246" t="str">
        <f>IF(A246="","",RIGHT('ATP Pos'!B246,3))</f>
        <v/>
      </c>
      <c r="H246" t="str">
        <f t="shared" si="15"/>
        <v/>
      </c>
      <c r="I246" t="str">
        <f t="shared" si="16"/>
        <v/>
      </c>
      <c r="J246" t="str">
        <f>IF(H246="","",VLOOKUP(I246,表3_3[],2,0))</f>
        <v/>
      </c>
      <c r="K246" t="str">
        <f>IF(H246="","",VLOOKUP(I246,表3_3[],3,0))</f>
        <v/>
      </c>
      <c r="L246" t="str">
        <f>IF(A246="","",IF(G246="LME","",VLOOKUP(RIGHT(E246,2),Helper1!$O$36:$P$48,2,0)))</f>
        <v/>
      </c>
      <c r="M246" t="str">
        <f t="shared" si="17"/>
        <v/>
      </c>
      <c r="N246" t="str">
        <f t="shared" si="18"/>
        <v/>
      </c>
      <c r="O246" t="str">
        <f t="shared" si="19"/>
        <v/>
      </c>
    </row>
    <row r="247" spans="1:15">
      <c r="A247" t="str">
        <f>IF('ATP Pos'!A247="","",LEFT('ATP Pos'!A247,B247-1))</f>
        <v/>
      </c>
      <c r="B247" t="str">
        <f>IF('ATP Pos'!A247="","",SEARCH("_",'ATP Pos'!A247,1))</f>
        <v/>
      </c>
      <c r="C247" t="str">
        <f>IF(A247="","",IF('ATP Pos'!E247="-","",IF('ATP Pos'!E247&gt;0,"Buy",IF('ATP Pos'!E247&lt;0,"Sell"))))</f>
        <v/>
      </c>
      <c r="D247" t="str">
        <f>IF(A247="","",IF('ATP Pos'!E247="-","",IF('ATP Pos'!E247&gt;0,'ATP Pos'!E247,IF('ATP Pos'!E247&lt;0,-'ATP Pos'!E247))))</f>
        <v/>
      </c>
      <c r="E247" t="str">
        <f>IF(A247="","",LEFT('ATP Pos'!B247,F247-1))</f>
        <v/>
      </c>
      <c r="F247" t="str">
        <f>IF(A247="","",SEARCH("-",'ATP Pos'!B247,1))</f>
        <v/>
      </c>
      <c r="G247" t="str">
        <f>IF(A247="","",RIGHT('ATP Pos'!B247,3))</f>
        <v/>
      </c>
      <c r="H247" t="str">
        <f t="shared" si="15"/>
        <v/>
      </c>
      <c r="I247" t="str">
        <f t="shared" si="16"/>
        <v/>
      </c>
      <c r="J247" t="str">
        <f>IF(H247="","",VLOOKUP(I247,表3_3[],2,0))</f>
        <v/>
      </c>
      <c r="K247" t="str">
        <f>IF(H247="","",VLOOKUP(I247,表3_3[],3,0))</f>
        <v/>
      </c>
      <c r="L247" t="str">
        <f>IF(A247="","",IF(G247="LME","",VLOOKUP(RIGHT(E247,2),Helper1!$O$36:$P$48,2,0)))</f>
        <v/>
      </c>
      <c r="M247" t="str">
        <f t="shared" si="17"/>
        <v/>
      </c>
      <c r="N247" t="str">
        <f t="shared" si="18"/>
        <v/>
      </c>
      <c r="O247" t="str">
        <f t="shared" si="19"/>
        <v/>
      </c>
    </row>
    <row r="248" spans="1:15">
      <c r="A248" t="str">
        <f>IF('ATP Pos'!A248="","",LEFT('ATP Pos'!A248,B248-1))</f>
        <v/>
      </c>
      <c r="B248" t="str">
        <f>IF('ATP Pos'!A248="","",SEARCH("_",'ATP Pos'!A248,1))</f>
        <v/>
      </c>
      <c r="C248" t="str">
        <f>IF(A248="","",IF('ATP Pos'!E248="-","",IF('ATP Pos'!E248&gt;0,"Buy",IF('ATP Pos'!E248&lt;0,"Sell"))))</f>
        <v/>
      </c>
      <c r="D248" t="str">
        <f>IF(A248="","",IF('ATP Pos'!E248="-","",IF('ATP Pos'!E248&gt;0,'ATP Pos'!E248,IF('ATP Pos'!E248&lt;0,-'ATP Pos'!E248))))</f>
        <v/>
      </c>
      <c r="E248" t="str">
        <f>IF(A248="","",LEFT('ATP Pos'!B248,F248-1))</f>
        <v/>
      </c>
      <c r="F248" t="str">
        <f>IF(A248="","",SEARCH("-",'ATP Pos'!B248,1))</f>
        <v/>
      </c>
      <c r="G248" t="str">
        <f>IF(A248="","",RIGHT('ATP Pos'!B248,3))</f>
        <v/>
      </c>
      <c r="H248" t="str">
        <f t="shared" si="15"/>
        <v/>
      </c>
      <c r="I248" t="str">
        <f t="shared" si="16"/>
        <v/>
      </c>
      <c r="J248" t="str">
        <f>IF(H248="","",VLOOKUP(I248,表3_3[],2,0))</f>
        <v/>
      </c>
      <c r="K248" t="str">
        <f>IF(H248="","",VLOOKUP(I248,表3_3[],3,0))</f>
        <v/>
      </c>
      <c r="L248" t="str">
        <f>IF(A248="","",IF(G248="LME","",VLOOKUP(RIGHT(E248,2),Helper1!$O$36:$P$48,2,0)))</f>
        <v/>
      </c>
      <c r="M248" t="str">
        <f t="shared" si="17"/>
        <v/>
      </c>
      <c r="N248" t="str">
        <f t="shared" si="18"/>
        <v/>
      </c>
      <c r="O248" t="str">
        <f t="shared" si="19"/>
        <v/>
      </c>
    </row>
    <row r="249" spans="1:15">
      <c r="A249" t="str">
        <f>IF('ATP Pos'!A249="","",LEFT('ATP Pos'!A249,B249-1))</f>
        <v/>
      </c>
      <c r="B249" t="str">
        <f>IF('ATP Pos'!A249="","",SEARCH("_",'ATP Pos'!A249,1))</f>
        <v/>
      </c>
      <c r="C249" t="str">
        <f>IF(A249="","",IF('ATP Pos'!E249="-","",IF('ATP Pos'!E249&gt;0,"Buy",IF('ATP Pos'!E249&lt;0,"Sell"))))</f>
        <v/>
      </c>
      <c r="D249" t="str">
        <f>IF(A249="","",IF('ATP Pos'!E249="-","",IF('ATP Pos'!E249&gt;0,'ATP Pos'!E249,IF('ATP Pos'!E249&lt;0,-'ATP Pos'!E249))))</f>
        <v/>
      </c>
      <c r="E249" t="str">
        <f>IF(A249="","",LEFT('ATP Pos'!B249,F249-1))</f>
        <v/>
      </c>
      <c r="F249" t="str">
        <f>IF(A249="","",SEARCH("-",'ATP Pos'!B249,1))</f>
        <v/>
      </c>
      <c r="G249" t="str">
        <f>IF(A249="","",RIGHT('ATP Pos'!B249,3))</f>
        <v/>
      </c>
      <c r="H249" t="str">
        <f t="shared" si="15"/>
        <v/>
      </c>
      <c r="I249" t="str">
        <f t="shared" si="16"/>
        <v/>
      </c>
      <c r="J249" t="str">
        <f>IF(H249="","",VLOOKUP(I249,表3_3[],2,0))</f>
        <v/>
      </c>
      <c r="K249" t="str">
        <f>IF(H249="","",VLOOKUP(I249,表3_3[],3,0))</f>
        <v/>
      </c>
      <c r="L249" t="str">
        <f>IF(A249="","",IF(G249="LME","",VLOOKUP(RIGHT(E249,2),Helper1!$O$36:$P$48,2,0)))</f>
        <v/>
      </c>
      <c r="M249" t="str">
        <f t="shared" si="17"/>
        <v/>
      </c>
      <c r="N249" t="str">
        <f t="shared" si="18"/>
        <v/>
      </c>
      <c r="O249" t="str">
        <f t="shared" si="19"/>
        <v/>
      </c>
    </row>
    <row r="250" spans="1:15">
      <c r="A250" t="str">
        <f>IF('ATP Pos'!A250="","",LEFT('ATP Pos'!A250,B250-1))</f>
        <v/>
      </c>
      <c r="B250" t="str">
        <f>IF('ATP Pos'!A250="","",SEARCH("_",'ATP Pos'!A250,1))</f>
        <v/>
      </c>
      <c r="C250" t="str">
        <f>IF(A250="","",IF('ATP Pos'!E250="-","",IF('ATP Pos'!E250&gt;0,"Buy",IF('ATP Pos'!E250&lt;0,"Sell"))))</f>
        <v/>
      </c>
      <c r="D250" t="str">
        <f>IF(A250="","",IF('ATP Pos'!E250="-","",IF('ATP Pos'!E250&gt;0,'ATP Pos'!E250,IF('ATP Pos'!E250&lt;0,-'ATP Pos'!E250))))</f>
        <v/>
      </c>
      <c r="E250" t="str">
        <f>IF(A250="","",LEFT('ATP Pos'!B250,F250-1))</f>
        <v/>
      </c>
      <c r="F250" t="str">
        <f>IF(A250="","",SEARCH("-",'ATP Pos'!B250,1))</f>
        <v/>
      </c>
      <c r="G250" t="str">
        <f>IF(A250="","",RIGHT('ATP Pos'!B250,3))</f>
        <v/>
      </c>
      <c r="H250" t="str">
        <f t="shared" si="15"/>
        <v/>
      </c>
      <c r="I250" t="str">
        <f t="shared" si="16"/>
        <v/>
      </c>
      <c r="J250" t="str">
        <f>IF(H250="","",VLOOKUP(I250,表3_3[],2,0))</f>
        <v/>
      </c>
      <c r="K250" t="str">
        <f>IF(H250="","",VLOOKUP(I250,表3_3[],3,0))</f>
        <v/>
      </c>
      <c r="L250" t="str">
        <f>IF(A250="","",IF(G250="LME","",VLOOKUP(RIGHT(E250,2),Helper1!$O$36:$P$48,2,0)))</f>
        <v/>
      </c>
      <c r="M250" t="str">
        <f t="shared" si="17"/>
        <v/>
      </c>
      <c r="N250" t="str">
        <f t="shared" si="18"/>
        <v/>
      </c>
      <c r="O250" t="str">
        <f t="shared" si="19"/>
        <v/>
      </c>
    </row>
    <row r="251" spans="1:15">
      <c r="A251" t="str">
        <f>IF('ATP Pos'!A251="","",LEFT('ATP Pos'!A251,B251-1))</f>
        <v/>
      </c>
      <c r="B251" t="str">
        <f>IF('ATP Pos'!A251="","",SEARCH("_",'ATP Pos'!A251,1))</f>
        <v/>
      </c>
      <c r="C251" t="str">
        <f>IF(A251="","",IF('ATP Pos'!E251="-","",IF('ATP Pos'!E251&gt;0,"Buy",IF('ATP Pos'!E251&lt;0,"Sell"))))</f>
        <v/>
      </c>
      <c r="D251" t="str">
        <f>IF(A251="","",IF('ATP Pos'!E251="-","",IF('ATP Pos'!E251&gt;0,'ATP Pos'!E251,IF('ATP Pos'!E251&lt;0,-'ATP Pos'!E251))))</f>
        <v/>
      </c>
      <c r="E251" t="str">
        <f>IF(A251="","",LEFT('ATP Pos'!B251,F251-1))</f>
        <v/>
      </c>
      <c r="F251" t="str">
        <f>IF(A251="","",SEARCH("-",'ATP Pos'!B251,1))</f>
        <v/>
      </c>
      <c r="G251" t="str">
        <f>IF(A251="","",RIGHT('ATP Pos'!B251,3))</f>
        <v/>
      </c>
      <c r="H251" t="str">
        <f t="shared" si="15"/>
        <v/>
      </c>
      <c r="I251" t="str">
        <f t="shared" si="16"/>
        <v/>
      </c>
      <c r="J251" t="str">
        <f>IF(H251="","",VLOOKUP(I251,表3_3[],2,0))</f>
        <v/>
      </c>
      <c r="K251" t="str">
        <f>IF(H251="","",VLOOKUP(I251,表3_3[],3,0))</f>
        <v/>
      </c>
      <c r="L251" t="str">
        <f>IF(A251="","",IF(G251="LME","",VLOOKUP(RIGHT(E251,2),Helper1!$O$36:$P$48,2,0)))</f>
        <v/>
      </c>
      <c r="M251" t="str">
        <f t="shared" si="17"/>
        <v/>
      </c>
      <c r="N251" t="str">
        <f t="shared" si="18"/>
        <v/>
      </c>
      <c r="O251" t="str">
        <f t="shared" si="19"/>
        <v/>
      </c>
    </row>
    <row r="252" spans="1:15">
      <c r="A252" t="str">
        <f>IF('ATP Pos'!A252="","",LEFT('ATP Pos'!A252,B252-1))</f>
        <v/>
      </c>
      <c r="B252" t="str">
        <f>IF('ATP Pos'!A252="","",SEARCH("_",'ATP Pos'!A252,1))</f>
        <v/>
      </c>
      <c r="C252" t="str">
        <f>IF(A252="","",IF('ATP Pos'!E252="-","",IF('ATP Pos'!E252&gt;0,"Buy",IF('ATP Pos'!E252&lt;0,"Sell"))))</f>
        <v/>
      </c>
      <c r="D252" t="str">
        <f>IF(A252="","",IF('ATP Pos'!E252="-","",IF('ATP Pos'!E252&gt;0,'ATP Pos'!E252,IF('ATP Pos'!E252&lt;0,-'ATP Pos'!E252))))</f>
        <v/>
      </c>
      <c r="E252" t="str">
        <f>IF(A252="","",LEFT('ATP Pos'!B252,F252-1))</f>
        <v/>
      </c>
      <c r="F252" t="str">
        <f>IF(A252="","",SEARCH("-",'ATP Pos'!B252,1))</f>
        <v/>
      </c>
      <c r="G252" t="str">
        <f>IF(A252="","",RIGHT('ATP Pos'!B252,3))</f>
        <v/>
      </c>
      <c r="H252" t="str">
        <f t="shared" si="15"/>
        <v/>
      </c>
      <c r="I252" t="str">
        <f t="shared" si="16"/>
        <v/>
      </c>
      <c r="J252" t="str">
        <f>IF(H252="","",VLOOKUP(I252,表3_3[],2,0))</f>
        <v/>
      </c>
      <c r="K252" t="str">
        <f>IF(H252="","",VLOOKUP(I252,表3_3[],3,0))</f>
        <v/>
      </c>
      <c r="L252" t="str">
        <f>IF(A252="","",IF(G252="LME","",VLOOKUP(RIGHT(E252,2),Helper1!$O$36:$P$48,2,0)))</f>
        <v/>
      </c>
      <c r="M252" t="str">
        <f t="shared" si="17"/>
        <v/>
      </c>
      <c r="N252" t="str">
        <f t="shared" si="18"/>
        <v/>
      </c>
      <c r="O252" t="str">
        <f t="shared" si="19"/>
        <v/>
      </c>
    </row>
    <row r="253" spans="1:15">
      <c r="A253" t="str">
        <f>IF('ATP Pos'!A253="","",LEFT('ATP Pos'!A253,B253-1))</f>
        <v/>
      </c>
      <c r="B253" t="str">
        <f>IF('ATP Pos'!A253="","",SEARCH("_",'ATP Pos'!A253,1))</f>
        <v/>
      </c>
      <c r="C253" t="str">
        <f>IF(A253="","",IF('ATP Pos'!E253="-","",IF('ATP Pos'!E253&gt;0,"Buy",IF('ATP Pos'!E253&lt;0,"Sell"))))</f>
        <v/>
      </c>
      <c r="D253" t="str">
        <f>IF(A253="","",IF('ATP Pos'!E253="-","",IF('ATP Pos'!E253&gt;0,'ATP Pos'!E253,IF('ATP Pos'!E253&lt;0,-'ATP Pos'!E253))))</f>
        <v/>
      </c>
      <c r="E253" t="str">
        <f>IF(A253="","",LEFT('ATP Pos'!B253,F253-1))</f>
        <v/>
      </c>
      <c r="F253" t="str">
        <f>IF(A253="","",SEARCH("-",'ATP Pos'!B253,1))</f>
        <v/>
      </c>
      <c r="G253" t="str">
        <f>IF(A253="","",RIGHT('ATP Pos'!B253,3))</f>
        <v/>
      </c>
      <c r="H253" t="str">
        <f t="shared" si="15"/>
        <v/>
      </c>
      <c r="I253" t="str">
        <f t="shared" si="16"/>
        <v/>
      </c>
      <c r="J253" t="str">
        <f>IF(H253="","",VLOOKUP(I253,表3_3[],2,0))</f>
        <v/>
      </c>
      <c r="K253" t="str">
        <f>IF(H253="","",VLOOKUP(I253,表3_3[],3,0))</f>
        <v/>
      </c>
      <c r="L253" t="str">
        <f>IF(A253="","",IF(G253="LME","",VLOOKUP(RIGHT(E253,2),Helper1!$O$36:$P$48,2,0)))</f>
        <v/>
      </c>
      <c r="M253" t="str">
        <f t="shared" si="17"/>
        <v/>
      </c>
      <c r="N253" t="str">
        <f t="shared" si="18"/>
        <v/>
      </c>
      <c r="O253" t="str">
        <f t="shared" si="19"/>
        <v/>
      </c>
    </row>
    <row r="254" spans="1:15">
      <c r="A254" t="str">
        <f>IF('ATP Pos'!A254="","",LEFT('ATP Pos'!A254,B254-1))</f>
        <v/>
      </c>
      <c r="B254" t="str">
        <f>IF('ATP Pos'!A254="","",SEARCH("_",'ATP Pos'!A254,1))</f>
        <v/>
      </c>
      <c r="C254" t="str">
        <f>IF(A254="","",IF('ATP Pos'!E254="-","",IF('ATP Pos'!E254&gt;0,"Buy",IF('ATP Pos'!E254&lt;0,"Sell"))))</f>
        <v/>
      </c>
      <c r="D254" t="str">
        <f>IF(A254="","",IF('ATP Pos'!E254="-","",IF('ATP Pos'!E254&gt;0,'ATP Pos'!E254,IF('ATP Pos'!E254&lt;0,-'ATP Pos'!E254))))</f>
        <v/>
      </c>
      <c r="E254" t="str">
        <f>IF(A254="","",LEFT('ATP Pos'!B254,F254-1))</f>
        <v/>
      </c>
      <c r="F254" t="str">
        <f>IF(A254="","",SEARCH("-",'ATP Pos'!B254,1))</f>
        <v/>
      </c>
      <c r="G254" t="str">
        <f>IF(A254="","",RIGHT('ATP Pos'!B254,3))</f>
        <v/>
      </c>
      <c r="H254" t="str">
        <f t="shared" si="15"/>
        <v/>
      </c>
      <c r="I254" t="str">
        <f t="shared" si="16"/>
        <v/>
      </c>
      <c r="J254" t="str">
        <f>IF(H254="","",VLOOKUP(I254,表3_3[],2,0))</f>
        <v/>
      </c>
      <c r="K254" t="str">
        <f>IF(H254="","",VLOOKUP(I254,表3_3[],3,0))</f>
        <v/>
      </c>
      <c r="L254" t="str">
        <f>IF(A254="","",IF(G254="LME","",VLOOKUP(RIGHT(E254,2),Helper1!$O$36:$P$48,2,0)))</f>
        <v/>
      </c>
      <c r="M254" t="str">
        <f t="shared" si="17"/>
        <v/>
      </c>
      <c r="N254" t="str">
        <f t="shared" si="18"/>
        <v/>
      </c>
      <c r="O254" t="str">
        <f t="shared" si="19"/>
        <v/>
      </c>
    </row>
    <row r="255" spans="1:15">
      <c r="A255" t="str">
        <f>IF('ATP Pos'!A255="","",LEFT('ATP Pos'!A255,B255-1))</f>
        <v/>
      </c>
      <c r="B255" t="str">
        <f>IF('ATP Pos'!A255="","",SEARCH("_",'ATP Pos'!A255,1))</f>
        <v/>
      </c>
      <c r="C255" t="str">
        <f>IF(A255="","",IF('ATP Pos'!E255="-","",IF('ATP Pos'!E255&gt;0,"Buy",IF('ATP Pos'!E255&lt;0,"Sell"))))</f>
        <v/>
      </c>
      <c r="D255" t="str">
        <f>IF(A255="","",IF('ATP Pos'!E255="-","",IF('ATP Pos'!E255&gt;0,'ATP Pos'!E255,IF('ATP Pos'!E255&lt;0,-'ATP Pos'!E255))))</f>
        <v/>
      </c>
      <c r="E255" t="str">
        <f>IF(A255="","",LEFT('ATP Pos'!B255,F255-1))</f>
        <v/>
      </c>
      <c r="F255" t="str">
        <f>IF(A255="","",SEARCH("-",'ATP Pos'!B255,1))</f>
        <v/>
      </c>
      <c r="G255" t="str">
        <f>IF(A255="","",RIGHT('ATP Pos'!B255,3))</f>
        <v/>
      </c>
      <c r="H255" t="str">
        <f t="shared" si="15"/>
        <v/>
      </c>
      <c r="I255" t="str">
        <f t="shared" si="16"/>
        <v/>
      </c>
      <c r="J255" t="str">
        <f>IF(H255="","",VLOOKUP(I255,表3_3[],2,0))</f>
        <v/>
      </c>
      <c r="K255" t="str">
        <f>IF(H255="","",VLOOKUP(I255,表3_3[],3,0))</f>
        <v/>
      </c>
      <c r="L255" t="str">
        <f>IF(A255="","",IF(G255="LME","",VLOOKUP(RIGHT(E255,2),Helper1!$O$36:$P$48,2,0)))</f>
        <v/>
      </c>
      <c r="M255" t="str">
        <f t="shared" si="17"/>
        <v/>
      </c>
      <c r="N255" t="str">
        <f t="shared" si="18"/>
        <v/>
      </c>
      <c r="O255" t="str">
        <f t="shared" si="19"/>
        <v/>
      </c>
    </row>
    <row r="256" spans="1:15">
      <c r="A256" t="str">
        <f>IF('ATP Pos'!A256="","",LEFT('ATP Pos'!A256,B256-1))</f>
        <v/>
      </c>
      <c r="B256" t="str">
        <f>IF('ATP Pos'!A256="","",SEARCH("_",'ATP Pos'!A256,1))</f>
        <v/>
      </c>
      <c r="C256" t="str">
        <f>IF(A256="","",IF('ATP Pos'!E256="-","",IF('ATP Pos'!E256&gt;0,"Buy",IF('ATP Pos'!E256&lt;0,"Sell"))))</f>
        <v/>
      </c>
      <c r="D256" t="str">
        <f>IF(A256="","",IF('ATP Pos'!E256="-","",IF('ATP Pos'!E256&gt;0,'ATP Pos'!E256,IF('ATP Pos'!E256&lt;0,-'ATP Pos'!E256))))</f>
        <v/>
      </c>
      <c r="E256" t="str">
        <f>IF(A256="","",LEFT('ATP Pos'!B256,F256-1))</f>
        <v/>
      </c>
      <c r="F256" t="str">
        <f>IF(A256="","",SEARCH("-",'ATP Pos'!B256,1))</f>
        <v/>
      </c>
      <c r="G256" t="str">
        <f>IF(A256="","",RIGHT('ATP Pos'!B256,3))</f>
        <v/>
      </c>
      <c r="H256" t="str">
        <f t="shared" si="15"/>
        <v/>
      </c>
      <c r="I256" t="str">
        <f t="shared" si="16"/>
        <v/>
      </c>
      <c r="J256" t="str">
        <f>IF(H256="","",VLOOKUP(I256,表3_3[],2,0))</f>
        <v/>
      </c>
      <c r="K256" t="str">
        <f>IF(H256="","",VLOOKUP(I256,表3_3[],3,0))</f>
        <v/>
      </c>
      <c r="L256" t="str">
        <f>IF(A256="","",IF(G256="LME","",VLOOKUP(RIGHT(E256,2),Helper1!$O$36:$P$48,2,0)))</f>
        <v/>
      </c>
      <c r="M256" t="str">
        <f t="shared" si="17"/>
        <v/>
      </c>
      <c r="N256" t="str">
        <f t="shared" si="18"/>
        <v/>
      </c>
      <c r="O256" t="str">
        <f t="shared" si="19"/>
        <v/>
      </c>
    </row>
    <row r="257" spans="1:15">
      <c r="A257" t="str">
        <f>IF('ATP Pos'!A257="","",LEFT('ATP Pos'!A257,B257-1))</f>
        <v/>
      </c>
      <c r="B257" t="str">
        <f>IF('ATP Pos'!A257="","",SEARCH("_",'ATP Pos'!A257,1))</f>
        <v/>
      </c>
      <c r="C257" t="str">
        <f>IF(A257="","",IF('ATP Pos'!E257="-","",IF('ATP Pos'!E257&gt;0,"Buy",IF('ATP Pos'!E257&lt;0,"Sell"))))</f>
        <v/>
      </c>
      <c r="D257" t="str">
        <f>IF(A257="","",IF('ATP Pos'!E257="-","",IF('ATP Pos'!E257&gt;0,'ATP Pos'!E257,IF('ATP Pos'!E257&lt;0,-'ATP Pos'!E257))))</f>
        <v/>
      </c>
      <c r="E257" t="str">
        <f>IF(A257="","",LEFT('ATP Pos'!B257,F257-1))</f>
        <v/>
      </c>
      <c r="F257" t="str">
        <f>IF(A257="","",SEARCH("-",'ATP Pos'!B257,1))</f>
        <v/>
      </c>
      <c r="G257" t="str">
        <f>IF(A257="","",RIGHT('ATP Pos'!B257,3))</f>
        <v/>
      </c>
      <c r="H257" t="str">
        <f t="shared" si="15"/>
        <v/>
      </c>
      <c r="I257" t="str">
        <f t="shared" si="16"/>
        <v/>
      </c>
      <c r="J257" t="str">
        <f>IF(H257="","",VLOOKUP(I257,表3_3[],2,0))</f>
        <v/>
      </c>
      <c r="K257" t="str">
        <f>IF(H257="","",VLOOKUP(I257,表3_3[],3,0))</f>
        <v/>
      </c>
      <c r="L257" t="str">
        <f>IF(A257="","",IF(G257="LME","",VLOOKUP(RIGHT(E257,2),Helper1!$O$36:$P$48,2,0)))</f>
        <v/>
      </c>
      <c r="M257" t="str">
        <f t="shared" si="17"/>
        <v/>
      </c>
      <c r="N257" t="str">
        <f t="shared" si="18"/>
        <v/>
      </c>
      <c r="O257" t="str">
        <f t="shared" si="19"/>
        <v/>
      </c>
    </row>
    <row r="258" spans="1:15">
      <c r="A258" t="str">
        <f>IF('ATP Pos'!A258="","",LEFT('ATP Pos'!A258,B258-1))</f>
        <v/>
      </c>
      <c r="B258" t="str">
        <f>IF('ATP Pos'!A258="","",SEARCH("_",'ATP Pos'!A258,1))</f>
        <v/>
      </c>
      <c r="C258" t="str">
        <f>IF(A258="","",IF('ATP Pos'!E258="-","",IF('ATP Pos'!E258&gt;0,"Buy",IF('ATP Pos'!E258&lt;0,"Sell"))))</f>
        <v/>
      </c>
      <c r="D258" t="str">
        <f>IF(A258="","",IF('ATP Pos'!E258="-","",IF('ATP Pos'!E258&gt;0,'ATP Pos'!E258,IF('ATP Pos'!E258&lt;0,-'ATP Pos'!E258))))</f>
        <v/>
      </c>
      <c r="E258" t="str">
        <f>IF(A258="","",LEFT('ATP Pos'!B258,F258-1))</f>
        <v/>
      </c>
      <c r="F258" t="str">
        <f>IF(A258="","",SEARCH("-",'ATP Pos'!B258,1))</f>
        <v/>
      </c>
      <c r="G258" t="str">
        <f>IF(A258="","",RIGHT('ATP Pos'!B258,3))</f>
        <v/>
      </c>
      <c r="H258" t="str">
        <f t="shared" si="15"/>
        <v/>
      </c>
      <c r="I258" t="str">
        <f t="shared" si="16"/>
        <v/>
      </c>
      <c r="J258" t="str">
        <f>IF(H258="","",VLOOKUP(I258,表3_3[],2,0))</f>
        <v/>
      </c>
      <c r="K258" t="str">
        <f>IF(H258="","",VLOOKUP(I258,表3_3[],3,0))</f>
        <v/>
      </c>
      <c r="L258" t="str">
        <f>IF(A258="","",IF(G258="LME","",VLOOKUP(RIGHT(E258,2),Helper1!$O$36:$P$48,2,0)))</f>
        <v/>
      </c>
      <c r="M258" t="str">
        <f t="shared" si="17"/>
        <v/>
      </c>
      <c r="N258" t="str">
        <f t="shared" si="18"/>
        <v/>
      </c>
      <c r="O258" t="str">
        <f t="shared" si="19"/>
        <v/>
      </c>
    </row>
    <row r="259" spans="1:15">
      <c r="A259" t="str">
        <f>IF('ATP Pos'!A259="","",LEFT('ATP Pos'!A259,B259-1))</f>
        <v/>
      </c>
      <c r="B259" t="str">
        <f>IF('ATP Pos'!A259="","",SEARCH("_",'ATP Pos'!A259,1))</f>
        <v/>
      </c>
      <c r="C259" t="str">
        <f>IF(A259="","",IF('ATP Pos'!E259="-","",IF('ATP Pos'!E259&gt;0,"Buy",IF('ATP Pos'!E259&lt;0,"Sell"))))</f>
        <v/>
      </c>
      <c r="D259" t="str">
        <f>IF(A259="","",IF('ATP Pos'!E259="-","",IF('ATP Pos'!E259&gt;0,'ATP Pos'!E259,IF('ATP Pos'!E259&lt;0,-'ATP Pos'!E259))))</f>
        <v/>
      </c>
      <c r="E259" t="str">
        <f>IF(A259="","",LEFT('ATP Pos'!B259,F259-1))</f>
        <v/>
      </c>
      <c r="F259" t="str">
        <f>IF(A259="","",SEARCH("-",'ATP Pos'!B259,1))</f>
        <v/>
      </c>
      <c r="G259" t="str">
        <f>IF(A259="","",RIGHT('ATP Pos'!B259,3))</f>
        <v/>
      </c>
      <c r="H259" t="str">
        <f t="shared" ref="H259:H322" si="20">IF(A259="","",IF(OR(G259="OSE",G259="BMD",,G259="EUREX",G259="SGX",G259="LME",G259="tocom",G259="APEX",G259="cfe",G259="EUX",AND(G259="ice",I259="gls")),G259,""))</f>
        <v/>
      </c>
      <c r="I259" t="str">
        <f t="shared" ref="I259:I322" si="21">IF(A259="","",IF(G259="LME",LEFT(E259,LEN(E259)-6),LEFT(E259,LEN(E259)-4)))</f>
        <v/>
      </c>
      <c r="J259" t="str">
        <f>IF(H259="","",VLOOKUP(I259,表3_3[],2,0))</f>
        <v/>
      </c>
      <c r="K259" t="str">
        <f>IF(H259="","",VLOOKUP(I259,表3_3[],3,0))</f>
        <v/>
      </c>
      <c r="L259" t="str">
        <f>IF(A259="","",IF(G259="LME","",VLOOKUP(RIGHT(E259,2),Helper1!$O$36:$P$48,2,0)))</f>
        <v/>
      </c>
      <c r="M259" t="str">
        <f t="shared" ref="M259:M322" si="22">IF(A259="","",IF(G259="LME","",20&amp;MID(E259,LEN(I259)+1,2)))</f>
        <v/>
      </c>
      <c r="N259" t="str">
        <f t="shared" ref="N259:N322" si="23">IF(A259="","",IF(G259="LME",20&amp;RIGHT(E259,6),""))</f>
        <v/>
      </c>
      <c r="O259" t="str">
        <f t="shared" ref="O259:O322" si="24">IF(H259="","",IF(G259="LME",G259&amp;"-"&amp;K259&amp;"-"&amp;N259,L259&amp;"-"&amp;M259&amp;"-"&amp;K259))</f>
        <v/>
      </c>
    </row>
    <row r="260" spans="1:15">
      <c r="A260" t="str">
        <f>IF('ATP Pos'!A260="","",LEFT('ATP Pos'!A260,B260-1))</f>
        <v/>
      </c>
      <c r="B260" t="str">
        <f>IF('ATP Pos'!A260="","",SEARCH("_",'ATP Pos'!A260,1))</f>
        <v/>
      </c>
      <c r="C260" t="str">
        <f>IF(A260="","",IF('ATP Pos'!E260="-","",IF('ATP Pos'!E260&gt;0,"Buy",IF('ATP Pos'!E260&lt;0,"Sell"))))</f>
        <v/>
      </c>
      <c r="D260" t="str">
        <f>IF(A260="","",IF('ATP Pos'!E260="-","",IF('ATP Pos'!E260&gt;0,'ATP Pos'!E260,IF('ATP Pos'!E260&lt;0,-'ATP Pos'!E260))))</f>
        <v/>
      </c>
      <c r="E260" t="str">
        <f>IF(A260="","",LEFT('ATP Pos'!B260,F260-1))</f>
        <v/>
      </c>
      <c r="F260" t="str">
        <f>IF(A260="","",SEARCH("-",'ATP Pos'!B260,1))</f>
        <v/>
      </c>
      <c r="G260" t="str">
        <f>IF(A260="","",RIGHT('ATP Pos'!B260,3))</f>
        <v/>
      </c>
      <c r="H260" t="str">
        <f t="shared" si="20"/>
        <v/>
      </c>
      <c r="I260" t="str">
        <f t="shared" si="21"/>
        <v/>
      </c>
      <c r="J260" t="str">
        <f>IF(H260="","",VLOOKUP(I260,表3_3[],2,0))</f>
        <v/>
      </c>
      <c r="K260" t="str">
        <f>IF(H260="","",VLOOKUP(I260,表3_3[],3,0))</f>
        <v/>
      </c>
      <c r="L260" t="str">
        <f>IF(A260="","",IF(G260="LME","",VLOOKUP(RIGHT(E260,2),Helper1!$O$36:$P$48,2,0)))</f>
        <v/>
      </c>
      <c r="M260" t="str">
        <f t="shared" si="22"/>
        <v/>
      </c>
      <c r="N260" t="str">
        <f t="shared" si="23"/>
        <v/>
      </c>
      <c r="O260" t="str">
        <f t="shared" si="24"/>
        <v/>
      </c>
    </row>
    <row r="261" spans="1:15">
      <c r="A261" t="str">
        <f>IF('ATP Pos'!A261="","",LEFT('ATP Pos'!A261,B261-1))</f>
        <v/>
      </c>
      <c r="B261" t="str">
        <f>IF('ATP Pos'!A261="","",SEARCH("_",'ATP Pos'!A261,1))</f>
        <v/>
      </c>
      <c r="C261" t="str">
        <f>IF(A261="","",IF('ATP Pos'!E261="-","",IF('ATP Pos'!E261&gt;0,"Buy",IF('ATP Pos'!E261&lt;0,"Sell"))))</f>
        <v/>
      </c>
      <c r="D261" t="str">
        <f>IF(A261="","",IF('ATP Pos'!E261="-","",IF('ATP Pos'!E261&gt;0,'ATP Pos'!E261,IF('ATP Pos'!E261&lt;0,-'ATP Pos'!E261))))</f>
        <v/>
      </c>
      <c r="E261" t="str">
        <f>IF(A261="","",LEFT('ATP Pos'!B261,F261-1))</f>
        <v/>
      </c>
      <c r="F261" t="str">
        <f>IF(A261="","",SEARCH("-",'ATP Pos'!B261,1))</f>
        <v/>
      </c>
      <c r="G261" t="str">
        <f>IF(A261="","",RIGHT('ATP Pos'!B261,3))</f>
        <v/>
      </c>
      <c r="H261" t="str">
        <f t="shared" si="20"/>
        <v/>
      </c>
      <c r="I261" t="str">
        <f t="shared" si="21"/>
        <v/>
      </c>
      <c r="J261" t="str">
        <f>IF(H261="","",VLOOKUP(I261,表3_3[],2,0))</f>
        <v/>
      </c>
      <c r="K261" t="str">
        <f>IF(H261="","",VLOOKUP(I261,表3_3[],3,0))</f>
        <v/>
      </c>
      <c r="L261" t="str">
        <f>IF(A261="","",IF(G261="LME","",VLOOKUP(RIGHT(E261,2),Helper1!$O$36:$P$48,2,0)))</f>
        <v/>
      </c>
      <c r="M261" t="str">
        <f t="shared" si="22"/>
        <v/>
      </c>
      <c r="N261" t="str">
        <f t="shared" si="23"/>
        <v/>
      </c>
      <c r="O261" t="str">
        <f t="shared" si="24"/>
        <v/>
      </c>
    </row>
    <row r="262" spans="1:15">
      <c r="A262" t="str">
        <f>IF('ATP Pos'!A262="","",LEFT('ATP Pos'!A262,B262-1))</f>
        <v/>
      </c>
      <c r="B262" t="str">
        <f>IF('ATP Pos'!A262="","",SEARCH("_",'ATP Pos'!A262,1))</f>
        <v/>
      </c>
      <c r="C262" t="str">
        <f>IF(A262="","",IF('ATP Pos'!E262="-","",IF('ATP Pos'!E262&gt;0,"Buy",IF('ATP Pos'!E262&lt;0,"Sell"))))</f>
        <v/>
      </c>
      <c r="D262" t="str">
        <f>IF(A262="","",IF('ATP Pos'!E262="-","",IF('ATP Pos'!E262&gt;0,'ATP Pos'!E262,IF('ATP Pos'!E262&lt;0,-'ATP Pos'!E262))))</f>
        <v/>
      </c>
      <c r="E262" t="str">
        <f>IF(A262="","",LEFT('ATP Pos'!B262,F262-1))</f>
        <v/>
      </c>
      <c r="F262" t="str">
        <f>IF(A262="","",SEARCH("-",'ATP Pos'!B262,1))</f>
        <v/>
      </c>
      <c r="G262" t="str">
        <f>IF(A262="","",RIGHT('ATP Pos'!B262,3))</f>
        <v/>
      </c>
      <c r="H262" t="str">
        <f t="shared" si="20"/>
        <v/>
      </c>
      <c r="I262" t="str">
        <f t="shared" si="21"/>
        <v/>
      </c>
      <c r="J262" t="str">
        <f>IF(H262="","",VLOOKUP(I262,表3_3[],2,0))</f>
        <v/>
      </c>
      <c r="K262" t="str">
        <f>IF(H262="","",VLOOKUP(I262,表3_3[],3,0))</f>
        <v/>
      </c>
      <c r="L262" t="str">
        <f>IF(A262="","",IF(G262="LME","",VLOOKUP(RIGHT(E262,2),Helper1!$O$36:$P$48,2,0)))</f>
        <v/>
      </c>
      <c r="M262" t="str">
        <f t="shared" si="22"/>
        <v/>
      </c>
      <c r="N262" t="str">
        <f t="shared" si="23"/>
        <v/>
      </c>
      <c r="O262" t="str">
        <f t="shared" si="24"/>
        <v/>
      </c>
    </row>
    <row r="263" spans="1:15">
      <c r="A263" t="str">
        <f>IF('ATP Pos'!A263="","",LEFT('ATP Pos'!A263,B263-1))</f>
        <v/>
      </c>
      <c r="B263" t="str">
        <f>IF('ATP Pos'!A263="","",SEARCH("_",'ATP Pos'!A263,1))</f>
        <v/>
      </c>
      <c r="C263" t="str">
        <f>IF(A263="","",IF('ATP Pos'!E263="-","",IF('ATP Pos'!E263&gt;0,"Buy",IF('ATP Pos'!E263&lt;0,"Sell"))))</f>
        <v/>
      </c>
      <c r="D263" t="str">
        <f>IF(A263="","",IF('ATP Pos'!E263="-","",IF('ATP Pos'!E263&gt;0,'ATP Pos'!E263,IF('ATP Pos'!E263&lt;0,-'ATP Pos'!E263))))</f>
        <v/>
      </c>
      <c r="E263" t="str">
        <f>IF(A263="","",LEFT('ATP Pos'!B263,F263-1))</f>
        <v/>
      </c>
      <c r="F263" t="str">
        <f>IF(A263="","",SEARCH("-",'ATP Pos'!B263,1))</f>
        <v/>
      </c>
      <c r="G263" t="str">
        <f>IF(A263="","",RIGHT('ATP Pos'!B263,3))</f>
        <v/>
      </c>
      <c r="H263" t="str">
        <f t="shared" si="20"/>
        <v/>
      </c>
      <c r="I263" t="str">
        <f t="shared" si="21"/>
        <v/>
      </c>
      <c r="J263" t="str">
        <f>IF(H263="","",VLOOKUP(I263,表3_3[],2,0))</f>
        <v/>
      </c>
      <c r="K263" t="str">
        <f>IF(H263="","",VLOOKUP(I263,表3_3[],3,0))</f>
        <v/>
      </c>
      <c r="L263" t="str">
        <f>IF(A263="","",IF(G263="LME","",VLOOKUP(RIGHT(E263,2),Helper1!$O$36:$P$48,2,0)))</f>
        <v/>
      </c>
      <c r="M263" t="str">
        <f t="shared" si="22"/>
        <v/>
      </c>
      <c r="N263" t="str">
        <f t="shared" si="23"/>
        <v/>
      </c>
      <c r="O263" t="str">
        <f t="shared" si="24"/>
        <v/>
      </c>
    </row>
    <row r="264" spans="1:15">
      <c r="A264" t="str">
        <f>IF('ATP Pos'!A264="","",LEFT('ATP Pos'!A264,B264-1))</f>
        <v/>
      </c>
      <c r="B264" t="str">
        <f>IF('ATP Pos'!A264="","",SEARCH("_",'ATP Pos'!A264,1))</f>
        <v/>
      </c>
      <c r="C264" t="str">
        <f>IF(A264="","",IF('ATP Pos'!E264="-","",IF('ATP Pos'!E264&gt;0,"Buy",IF('ATP Pos'!E264&lt;0,"Sell"))))</f>
        <v/>
      </c>
      <c r="D264" t="str">
        <f>IF(A264="","",IF('ATP Pos'!E264="-","",IF('ATP Pos'!E264&gt;0,'ATP Pos'!E264,IF('ATP Pos'!E264&lt;0,-'ATP Pos'!E264))))</f>
        <v/>
      </c>
      <c r="E264" t="str">
        <f>IF(A264="","",LEFT('ATP Pos'!B264,F264-1))</f>
        <v/>
      </c>
      <c r="F264" t="str">
        <f>IF(A264="","",SEARCH("-",'ATP Pos'!B264,1))</f>
        <v/>
      </c>
      <c r="G264" t="str">
        <f>IF(A264="","",RIGHT('ATP Pos'!B264,3))</f>
        <v/>
      </c>
      <c r="H264" t="str">
        <f t="shared" si="20"/>
        <v/>
      </c>
      <c r="I264" t="str">
        <f t="shared" si="21"/>
        <v/>
      </c>
      <c r="J264" t="str">
        <f>IF(H264="","",VLOOKUP(I264,表3_3[],2,0))</f>
        <v/>
      </c>
      <c r="K264" t="str">
        <f>IF(H264="","",VLOOKUP(I264,表3_3[],3,0))</f>
        <v/>
      </c>
      <c r="L264" t="str">
        <f>IF(A264="","",IF(G264="LME","",VLOOKUP(RIGHT(E264,2),Helper1!$O$36:$P$48,2,0)))</f>
        <v/>
      </c>
      <c r="M264" t="str">
        <f t="shared" si="22"/>
        <v/>
      </c>
      <c r="N264" t="str">
        <f t="shared" si="23"/>
        <v/>
      </c>
      <c r="O264" t="str">
        <f t="shared" si="24"/>
        <v/>
      </c>
    </row>
    <row r="265" spans="1:15">
      <c r="A265" t="str">
        <f>IF('ATP Pos'!A265="","",LEFT('ATP Pos'!A265,B265-1))</f>
        <v/>
      </c>
      <c r="B265" t="str">
        <f>IF('ATP Pos'!A265="","",SEARCH("_",'ATP Pos'!A265,1))</f>
        <v/>
      </c>
      <c r="C265" t="str">
        <f>IF(A265="","",IF('ATP Pos'!E265="-","",IF('ATP Pos'!E265&gt;0,"Buy",IF('ATP Pos'!E265&lt;0,"Sell"))))</f>
        <v/>
      </c>
      <c r="D265" t="str">
        <f>IF(A265="","",IF('ATP Pos'!E265="-","",IF('ATP Pos'!E265&gt;0,'ATP Pos'!E265,IF('ATP Pos'!E265&lt;0,-'ATP Pos'!E265))))</f>
        <v/>
      </c>
      <c r="E265" t="str">
        <f>IF(A265="","",LEFT('ATP Pos'!B265,F265-1))</f>
        <v/>
      </c>
      <c r="F265" t="str">
        <f>IF(A265="","",SEARCH("-",'ATP Pos'!B265,1))</f>
        <v/>
      </c>
      <c r="G265" t="str">
        <f>IF(A265="","",RIGHT('ATP Pos'!B265,3))</f>
        <v/>
      </c>
      <c r="H265" t="str">
        <f t="shared" si="20"/>
        <v/>
      </c>
      <c r="I265" t="str">
        <f t="shared" si="21"/>
        <v/>
      </c>
      <c r="J265" t="str">
        <f>IF(H265="","",VLOOKUP(I265,表3_3[],2,0))</f>
        <v/>
      </c>
      <c r="K265" t="str">
        <f>IF(H265="","",VLOOKUP(I265,表3_3[],3,0))</f>
        <v/>
      </c>
      <c r="L265" t="str">
        <f>IF(A265="","",IF(G265="LME","",VLOOKUP(RIGHT(E265,2),Helper1!$O$36:$P$48,2,0)))</f>
        <v/>
      </c>
      <c r="M265" t="str">
        <f t="shared" si="22"/>
        <v/>
      </c>
      <c r="N265" t="str">
        <f t="shared" si="23"/>
        <v/>
      </c>
      <c r="O265" t="str">
        <f t="shared" si="24"/>
        <v/>
      </c>
    </row>
    <row r="266" spans="1:15">
      <c r="A266" t="str">
        <f>IF('ATP Pos'!A266="","",LEFT('ATP Pos'!A266,B266-1))</f>
        <v/>
      </c>
      <c r="B266" t="str">
        <f>IF('ATP Pos'!A266="","",SEARCH("_",'ATP Pos'!A266,1))</f>
        <v/>
      </c>
      <c r="C266" t="str">
        <f>IF(A266="","",IF('ATP Pos'!E266="-","",IF('ATP Pos'!E266&gt;0,"Buy",IF('ATP Pos'!E266&lt;0,"Sell"))))</f>
        <v/>
      </c>
      <c r="D266" t="str">
        <f>IF(A266="","",IF('ATP Pos'!E266="-","",IF('ATP Pos'!E266&gt;0,'ATP Pos'!E266,IF('ATP Pos'!E266&lt;0,-'ATP Pos'!E266))))</f>
        <v/>
      </c>
      <c r="E266" t="str">
        <f>IF(A266="","",LEFT('ATP Pos'!B266,F266-1))</f>
        <v/>
      </c>
      <c r="F266" t="str">
        <f>IF(A266="","",SEARCH("-",'ATP Pos'!B266,1))</f>
        <v/>
      </c>
      <c r="G266" t="str">
        <f>IF(A266="","",RIGHT('ATP Pos'!B266,3))</f>
        <v/>
      </c>
      <c r="H266" t="str">
        <f t="shared" si="20"/>
        <v/>
      </c>
      <c r="I266" t="str">
        <f t="shared" si="21"/>
        <v/>
      </c>
      <c r="J266" t="str">
        <f>IF(H266="","",VLOOKUP(I266,表3_3[],2,0))</f>
        <v/>
      </c>
      <c r="K266" t="str">
        <f>IF(H266="","",VLOOKUP(I266,表3_3[],3,0))</f>
        <v/>
      </c>
      <c r="L266" t="str">
        <f>IF(A266="","",IF(G266="LME","",VLOOKUP(RIGHT(E266,2),Helper1!$O$36:$P$48,2,0)))</f>
        <v/>
      </c>
      <c r="M266" t="str">
        <f t="shared" si="22"/>
        <v/>
      </c>
      <c r="N266" t="str">
        <f t="shared" si="23"/>
        <v/>
      </c>
      <c r="O266" t="str">
        <f t="shared" si="24"/>
        <v/>
      </c>
    </row>
    <row r="267" spans="1:15">
      <c r="A267" t="str">
        <f>IF('ATP Pos'!A267="","",LEFT('ATP Pos'!A267,B267-1))</f>
        <v/>
      </c>
      <c r="B267" t="str">
        <f>IF('ATP Pos'!A267="","",SEARCH("_",'ATP Pos'!A267,1))</f>
        <v/>
      </c>
      <c r="C267" t="str">
        <f>IF(A267="","",IF('ATP Pos'!E267="-","",IF('ATP Pos'!E267&gt;0,"Buy",IF('ATP Pos'!E267&lt;0,"Sell"))))</f>
        <v/>
      </c>
      <c r="D267" t="str">
        <f>IF(A267="","",IF('ATP Pos'!E267="-","",IF('ATP Pos'!E267&gt;0,'ATP Pos'!E267,IF('ATP Pos'!E267&lt;0,-'ATP Pos'!E267))))</f>
        <v/>
      </c>
      <c r="E267" t="str">
        <f>IF(A267="","",LEFT('ATP Pos'!B267,F267-1))</f>
        <v/>
      </c>
      <c r="F267" t="str">
        <f>IF(A267="","",SEARCH("-",'ATP Pos'!B267,1))</f>
        <v/>
      </c>
      <c r="G267" t="str">
        <f>IF(A267="","",RIGHT('ATP Pos'!B267,3))</f>
        <v/>
      </c>
      <c r="H267" t="str">
        <f t="shared" si="20"/>
        <v/>
      </c>
      <c r="I267" t="str">
        <f t="shared" si="21"/>
        <v/>
      </c>
      <c r="J267" t="str">
        <f>IF(H267="","",VLOOKUP(I267,表3_3[],2,0))</f>
        <v/>
      </c>
      <c r="K267" t="str">
        <f>IF(H267="","",VLOOKUP(I267,表3_3[],3,0))</f>
        <v/>
      </c>
      <c r="L267" t="str">
        <f>IF(A267="","",IF(G267="LME","",VLOOKUP(RIGHT(E267,2),Helper1!$O$36:$P$48,2,0)))</f>
        <v/>
      </c>
      <c r="M267" t="str">
        <f t="shared" si="22"/>
        <v/>
      </c>
      <c r="N267" t="str">
        <f t="shared" si="23"/>
        <v/>
      </c>
      <c r="O267" t="str">
        <f t="shared" si="24"/>
        <v/>
      </c>
    </row>
    <row r="268" spans="1:15">
      <c r="A268" t="str">
        <f>IF('ATP Pos'!A268="","",LEFT('ATP Pos'!A268,B268-1))</f>
        <v/>
      </c>
      <c r="B268" t="str">
        <f>IF('ATP Pos'!A268="","",SEARCH("_",'ATP Pos'!A268,1))</f>
        <v/>
      </c>
      <c r="C268" t="str">
        <f>IF(A268="","",IF('ATP Pos'!E268="-","",IF('ATP Pos'!E268&gt;0,"Buy",IF('ATP Pos'!E268&lt;0,"Sell"))))</f>
        <v/>
      </c>
      <c r="D268" t="str">
        <f>IF(A268="","",IF('ATP Pos'!E268="-","",IF('ATP Pos'!E268&gt;0,'ATP Pos'!E268,IF('ATP Pos'!E268&lt;0,-'ATP Pos'!E268))))</f>
        <v/>
      </c>
      <c r="E268" t="str">
        <f>IF(A268="","",LEFT('ATP Pos'!B268,F268-1))</f>
        <v/>
      </c>
      <c r="F268" t="str">
        <f>IF(A268="","",SEARCH("-",'ATP Pos'!B268,1))</f>
        <v/>
      </c>
      <c r="G268" t="str">
        <f>IF(A268="","",RIGHT('ATP Pos'!B268,3))</f>
        <v/>
      </c>
      <c r="H268" t="str">
        <f t="shared" si="20"/>
        <v/>
      </c>
      <c r="I268" t="str">
        <f t="shared" si="21"/>
        <v/>
      </c>
      <c r="J268" t="str">
        <f>IF(H268="","",VLOOKUP(I268,表3_3[],2,0))</f>
        <v/>
      </c>
      <c r="K268" t="str">
        <f>IF(H268="","",VLOOKUP(I268,表3_3[],3,0))</f>
        <v/>
      </c>
      <c r="L268" t="str">
        <f>IF(A268="","",IF(G268="LME","",VLOOKUP(RIGHT(E268,2),Helper1!$O$36:$P$48,2,0)))</f>
        <v/>
      </c>
      <c r="M268" t="str">
        <f t="shared" si="22"/>
        <v/>
      </c>
      <c r="N268" t="str">
        <f t="shared" si="23"/>
        <v/>
      </c>
      <c r="O268" t="str">
        <f t="shared" si="24"/>
        <v/>
      </c>
    </row>
    <row r="269" spans="1:15">
      <c r="A269" t="str">
        <f>IF('ATP Pos'!A269="","",LEFT('ATP Pos'!A269,B269-1))</f>
        <v/>
      </c>
      <c r="B269" t="str">
        <f>IF('ATP Pos'!A269="","",SEARCH("_",'ATP Pos'!A269,1))</f>
        <v/>
      </c>
      <c r="C269" t="str">
        <f>IF(A269="","",IF('ATP Pos'!E269="-","",IF('ATP Pos'!E269&gt;0,"Buy",IF('ATP Pos'!E269&lt;0,"Sell"))))</f>
        <v/>
      </c>
      <c r="D269" t="str">
        <f>IF(A269="","",IF('ATP Pos'!E269="-","",IF('ATP Pos'!E269&gt;0,'ATP Pos'!E269,IF('ATP Pos'!E269&lt;0,-'ATP Pos'!E269))))</f>
        <v/>
      </c>
      <c r="E269" t="str">
        <f>IF(A269="","",LEFT('ATP Pos'!B269,F269-1))</f>
        <v/>
      </c>
      <c r="F269" t="str">
        <f>IF(A269="","",SEARCH("-",'ATP Pos'!B269,1))</f>
        <v/>
      </c>
      <c r="G269" t="str">
        <f>IF(A269="","",RIGHT('ATP Pos'!B269,3))</f>
        <v/>
      </c>
      <c r="H269" t="str">
        <f t="shared" si="20"/>
        <v/>
      </c>
      <c r="I269" t="str">
        <f t="shared" si="21"/>
        <v/>
      </c>
      <c r="J269" t="str">
        <f>IF(H269="","",VLOOKUP(I269,表3_3[],2,0))</f>
        <v/>
      </c>
      <c r="K269" t="str">
        <f>IF(H269="","",VLOOKUP(I269,表3_3[],3,0))</f>
        <v/>
      </c>
      <c r="L269" t="str">
        <f>IF(A269="","",IF(G269="LME","",VLOOKUP(RIGHT(E269,2),Helper1!$O$36:$P$48,2,0)))</f>
        <v/>
      </c>
      <c r="M269" t="str">
        <f t="shared" si="22"/>
        <v/>
      </c>
      <c r="N269" t="str">
        <f t="shared" si="23"/>
        <v/>
      </c>
      <c r="O269" t="str">
        <f t="shared" si="24"/>
        <v/>
      </c>
    </row>
    <row r="270" spans="1:15">
      <c r="A270" t="str">
        <f>IF('ATP Pos'!A270="","",LEFT('ATP Pos'!A270,B270-1))</f>
        <v/>
      </c>
      <c r="B270" t="str">
        <f>IF('ATP Pos'!A270="","",SEARCH("_",'ATP Pos'!A270,1))</f>
        <v/>
      </c>
      <c r="C270" t="str">
        <f>IF(A270="","",IF('ATP Pos'!E270="-","",IF('ATP Pos'!E270&gt;0,"Buy",IF('ATP Pos'!E270&lt;0,"Sell"))))</f>
        <v/>
      </c>
      <c r="D270" t="str">
        <f>IF(A270="","",IF('ATP Pos'!E270="-","",IF('ATP Pos'!E270&gt;0,'ATP Pos'!E270,IF('ATP Pos'!E270&lt;0,-'ATP Pos'!E270))))</f>
        <v/>
      </c>
      <c r="E270" t="str">
        <f>IF(A270="","",LEFT('ATP Pos'!B270,F270-1))</f>
        <v/>
      </c>
      <c r="F270" t="str">
        <f>IF(A270="","",SEARCH("-",'ATP Pos'!B270,1))</f>
        <v/>
      </c>
      <c r="G270" t="str">
        <f>IF(A270="","",RIGHT('ATP Pos'!B270,3))</f>
        <v/>
      </c>
      <c r="H270" t="str">
        <f t="shared" si="20"/>
        <v/>
      </c>
      <c r="I270" t="str">
        <f t="shared" si="21"/>
        <v/>
      </c>
      <c r="J270" t="str">
        <f>IF(H270="","",VLOOKUP(I270,表3_3[],2,0))</f>
        <v/>
      </c>
      <c r="K270" t="str">
        <f>IF(H270="","",VLOOKUP(I270,表3_3[],3,0))</f>
        <v/>
      </c>
      <c r="L270" t="str">
        <f>IF(A270="","",IF(G270="LME","",VLOOKUP(RIGHT(E270,2),Helper1!$O$36:$P$48,2,0)))</f>
        <v/>
      </c>
      <c r="M270" t="str">
        <f t="shared" si="22"/>
        <v/>
      </c>
      <c r="N270" t="str">
        <f t="shared" si="23"/>
        <v/>
      </c>
      <c r="O270" t="str">
        <f t="shared" si="24"/>
        <v/>
      </c>
    </row>
    <row r="271" spans="1:15">
      <c r="A271" t="str">
        <f>IF('ATP Pos'!A271="","",LEFT('ATP Pos'!A271,B271-1))</f>
        <v/>
      </c>
      <c r="B271" t="str">
        <f>IF('ATP Pos'!A271="","",SEARCH("_",'ATP Pos'!A271,1))</f>
        <v/>
      </c>
      <c r="C271" t="str">
        <f>IF(A271="","",IF('ATP Pos'!E271="-","",IF('ATP Pos'!E271&gt;0,"Buy",IF('ATP Pos'!E271&lt;0,"Sell"))))</f>
        <v/>
      </c>
      <c r="D271" t="str">
        <f>IF(A271="","",IF('ATP Pos'!E271="-","",IF('ATP Pos'!E271&gt;0,'ATP Pos'!E271,IF('ATP Pos'!E271&lt;0,-'ATP Pos'!E271))))</f>
        <v/>
      </c>
      <c r="E271" t="str">
        <f>IF(A271="","",LEFT('ATP Pos'!B271,F271-1))</f>
        <v/>
      </c>
      <c r="F271" t="str">
        <f>IF(A271="","",SEARCH("-",'ATP Pos'!B271,1))</f>
        <v/>
      </c>
      <c r="G271" t="str">
        <f>IF(A271="","",RIGHT('ATP Pos'!B271,3))</f>
        <v/>
      </c>
      <c r="H271" t="str">
        <f t="shared" si="20"/>
        <v/>
      </c>
      <c r="I271" t="str">
        <f t="shared" si="21"/>
        <v/>
      </c>
      <c r="J271" t="str">
        <f>IF(H271="","",VLOOKUP(I271,表3_3[],2,0))</f>
        <v/>
      </c>
      <c r="K271" t="str">
        <f>IF(H271="","",VLOOKUP(I271,表3_3[],3,0))</f>
        <v/>
      </c>
      <c r="L271" t="str">
        <f>IF(A271="","",IF(G271="LME","",VLOOKUP(RIGHT(E271,2),Helper1!$O$36:$P$48,2,0)))</f>
        <v/>
      </c>
      <c r="M271" t="str">
        <f t="shared" si="22"/>
        <v/>
      </c>
      <c r="N271" t="str">
        <f t="shared" si="23"/>
        <v/>
      </c>
      <c r="O271" t="str">
        <f t="shared" si="24"/>
        <v/>
      </c>
    </row>
    <row r="272" spans="1:15">
      <c r="A272" t="str">
        <f>IF('ATP Pos'!A272="","",LEFT('ATP Pos'!A272,B272-1))</f>
        <v/>
      </c>
      <c r="B272" t="str">
        <f>IF('ATP Pos'!A272="","",SEARCH("_",'ATP Pos'!A272,1))</f>
        <v/>
      </c>
      <c r="C272" t="str">
        <f>IF(A272="","",IF('ATP Pos'!E272="-","",IF('ATP Pos'!E272&gt;0,"Buy",IF('ATP Pos'!E272&lt;0,"Sell"))))</f>
        <v/>
      </c>
      <c r="D272" t="str">
        <f>IF(A272="","",IF('ATP Pos'!E272="-","",IF('ATP Pos'!E272&gt;0,'ATP Pos'!E272,IF('ATP Pos'!E272&lt;0,-'ATP Pos'!E272))))</f>
        <v/>
      </c>
      <c r="E272" t="str">
        <f>IF(A272="","",LEFT('ATP Pos'!B272,F272-1))</f>
        <v/>
      </c>
      <c r="F272" t="str">
        <f>IF(A272="","",SEARCH("-",'ATP Pos'!B272,1))</f>
        <v/>
      </c>
      <c r="G272" t="str">
        <f>IF(A272="","",RIGHT('ATP Pos'!B272,3))</f>
        <v/>
      </c>
      <c r="H272" t="str">
        <f t="shared" si="20"/>
        <v/>
      </c>
      <c r="I272" t="str">
        <f t="shared" si="21"/>
        <v/>
      </c>
      <c r="J272" t="str">
        <f>IF(H272="","",VLOOKUP(I272,表3_3[],2,0))</f>
        <v/>
      </c>
      <c r="K272" t="str">
        <f>IF(H272="","",VLOOKUP(I272,表3_3[],3,0))</f>
        <v/>
      </c>
      <c r="L272" t="str">
        <f>IF(A272="","",IF(G272="LME","",VLOOKUP(RIGHT(E272,2),Helper1!$O$36:$P$48,2,0)))</f>
        <v/>
      </c>
      <c r="M272" t="str">
        <f t="shared" si="22"/>
        <v/>
      </c>
      <c r="N272" t="str">
        <f t="shared" si="23"/>
        <v/>
      </c>
      <c r="O272" t="str">
        <f t="shared" si="24"/>
        <v/>
      </c>
    </row>
    <row r="273" spans="1:15">
      <c r="A273" t="str">
        <f>IF('ATP Pos'!A273="","",LEFT('ATP Pos'!A273,B273-1))</f>
        <v/>
      </c>
      <c r="B273" t="str">
        <f>IF('ATP Pos'!A273="","",SEARCH("_",'ATP Pos'!A273,1))</f>
        <v/>
      </c>
      <c r="C273" t="str">
        <f>IF(A273="","",IF('ATP Pos'!E273="-","",IF('ATP Pos'!E273&gt;0,"Buy",IF('ATP Pos'!E273&lt;0,"Sell"))))</f>
        <v/>
      </c>
      <c r="D273" t="str">
        <f>IF(A273="","",IF('ATP Pos'!E273="-","",IF('ATP Pos'!E273&gt;0,'ATP Pos'!E273,IF('ATP Pos'!E273&lt;0,-'ATP Pos'!E273))))</f>
        <v/>
      </c>
      <c r="E273" t="str">
        <f>IF(A273="","",LEFT('ATP Pos'!B273,F273-1))</f>
        <v/>
      </c>
      <c r="F273" t="str">
        <f>IF(A273="","",SEARCH("-",'ATP Pos'!B273,1))</f>
        <v/>
      </c>
      <c r="G273" t="str">
        <f>IF(A273="","",RIGHT('ATP Pos'!B273,3))</f>
        <v/>
      </c>
      <c r="H273" t="str">
        <f t="shared" si="20"/>
        <v/>
      </c>
      <c r="I273" t="str">
        <f t="shared" si="21"/>
        <v/>
      </c>
      <c r="J273" t="str">
        <f>IF(H273="","",VLOOKUP(I273,表3_3[],2,0))</f>
        <v/>
      </c>
      <c r="K273" t="str">
        <f>IF(H273="","",VLOOKUP(I273,表3_3[],3,0))</f>
        <v/>
      </c>
      <c r="L273" t="str">
        <f>IF(A273="","",IF(G273="LME","",VLOOKUP(RIGHT(E273,2),Helper1!$O$36:$P$48,2,0)))</f>
        <v/>
      </c>
      <c r="M273" t="str">
        <f t="shared" si="22"/>
        <v/>
      </c>
      <c r="N273" t="str">
        <f t="shared" si="23"/>
        <v/>
      </c>
      <c r="O273" t="str">
        <f t="shared" si="24"/>
        <v/>
      </c>
    </row>
    <row r="274" spans="1:15">
      <c r="A274" t="str">
        <f>IF('ATP Pos'!A274="","",LEFT('ATP Pos'!A274,B274-1))</f>
        <v/>
      </c>
      <c r="B274" t="str">
        <f>IF('ATP Pos'!A274="","",SEARCH("_",'ATP Pos'!A274,1))</f>
        <v/>
      </c>
      <c r="C274" t="str">
        <f>IF(A274="","",IF('ATP Pos'!E274="-","",IF('ATP Pos'!E274&gt;0,"Buy",IF('ATP Pos'!E274&lt;0,"Sell"))))</f>
        <v/>
      </c>
      <c r="D274" t="str">
        <f>IF(A274="","",IF('ATP Pos'!E274="-","",IF('ATP Pos'!E274&gt;0,'ATP Pos'!E274,IF('ATP Pos'!E274&lt;0,-'ATP Pos'!E274))))</f>
        <v/>
      </c>
      <c r="E274" t="str">
        <f>IF(A274="","",LEFT('ATP Pos'!B274,F274-1))</f>
        <v/>
      </c>
      <c r="F274" t="str">
        <f>IF(A274="","",SEARCH("-",'ATP Pos'!B274,1))</f>
        <v/>
      </c>
      <c r="G274" t="str">
        <f>IF(A274="","",RIGHT('ATP Pos'!B274,3))</f>
        <v/>
      </c>
      <c r="H274" t="str">
        <f t="shared" si="20"/>
        <v/>
      </c>
      <c r="I274" t="str">
        <f t="shared" si="21"/>
        <v/>
      </c>
      <c r="J274" t="str">
        <f>IF(H274="","",VLOOKUP(I274,表3_3[],2,0))</f>
        <v/>
      </c>
      <c r="K274" t="str">
        <f>IF(H274="","",VLOOKUP(I274,表3_3[],3,0))</f>
        <v/>
      </c>
      <c r="L274" t="str">
        <f>IF(A274="","",IF(G274="LME","",VLOOKUP(RIGHT(E274,2),Helper1!$O$36:$P$48,2,0)))</f>
        <v/>
      </c>
      <c r="M274" t="str">
        <f t="shared" si="22"/>
        <v/>
      </c>
      <c r="N274" t="str">
        <f t="shared" si="23"/>
        <v/>
      </c>
      <c r="O274" t="str">
        <f t="shared" si="24"/>
        <v/>
      </c>
    </row>
    <row r="275" spans="1:15">
      <c r="A275" t="str">
        <f>IF('ATP Pos'!A275="","",LEFT('ATP Pos'!A275,B275-1))</f>
        <v/>
      </c>
      <c r="B275" t="str">
        <f>IF('ATP Pos'!A275="","",SEARCH("_",'ATP Pos'!A275,1))</f>
        <v/>
      </c>
      <c r="C275" t="str">
        <f>IF(A275="","",IF('ATP Pos'!E275="-","",IF('ATP Pos'!E275&gt;0,"Buy",IF('ATP Pos'!E275&lt;0,"Sell"))))</f>
        <v/>
      </c>
      <c r="D275" t="str">
        <f>IF(A275="","",IF('ATP Pos'!E275="-","",IF('ATP Pos'!E275&gt;0,'ATP Pos'!E275,IF('ATP Pos'!E275&lt;0,-'ATP Pos'!E275))))</f>
        <v/>
      </c>
      <c r="E275" t="str">
        <f>IF(A275="","",LEFT('ATP Pos'!B275,F275-1))</f>
        <v/>
      </c>
      <c r="F275" t="str">
        <f>IF(A275="","",SEARCH("-",'ATP Pos'!B275,1))</f>
        <v/>
      </c>
      <c r="G275" t="str">
        <f>IF(A275="","",RIGHT('ATP Pos'!B275,3))</f>
        <v/>
      </c>
      <c r="H275" t="str">
        <f t="shared" si="20"/>
        <v/>
      </c>
      <c r="I275" t="str">
        <f t="shared" si="21"/>
        <v/>
      </c>
      <c r="J275" t="str">
        <f>IF(H275="","",VLOOKUP(I275,表3_3[],2,0))</f>
        <v/>
      </c>
      <c r="K275" t="str">
        <f>IF(H275="","",VLOOKUP(I275,表3_3[],3,0))</f>
        <v/>
      </c>
      <c r="L275" t="str">
        <f>IF(A275="","",IF(G275="LME","",VLOOKUP(RIGHT(E275,2),Helper1!$O$36:$P$48,2,0)))</f>
        <v/>
      </c>
      <c r="M275" t="str">
        <f t="shared" si="22"/>
        <v/>
      </c>
      <c r="N275" t="str">
        <f t="shared" si="23"/>
        <v/>
      </c>
      <c r="O275" t="str">
        <f t="shared" si="24"/>
        <v/>
      </c>
    </row>
    <row r="276" spans="1:15">
      <c r="A276" t="str">
        <f>IF('ATP Pos'!A276="","",LEFT('ATP Pos'!A276,B276-1))</f>
        <v/>
      </c>
      <c r="B276" t="str">
        <f>IF('ATP Pos'!A276="","",SEARCH("_",'ATP Pos'!A276,1))</f>
        <v/>
      </c>
      <c r="C276" t="str">
        <f>IF(A276="","",IF('ATP Pos'!E276="-","",IF('ATP Pos'!E276&gt;0,"Buy",IF('ATP Pos'!E276&lt;0,"Sell"))))</f>
        <v/>
      </c>
      <c r="D276" t="str">
        <f>IF(A276="","",IF('ATP Pos'!E276="-","",IF('ATP Pos'!E276&gt;0,'ATP Pos'!E276,IF('ATP Pos'!E276&lt;0,-'ATP Pos'!E276))))</f>
        <v/>
      </c>
      <c r="E276" t="str">
        <f>IF(A276="","",LEFT('ATP Pos'!B276,F276-1))</f>
        <v/>
      </c>
      <c r="F276" t="str">
        <f>IF(A276="","",SEARCH("-",'ATP Pos'!B276,1))</f>
        <v/>
      </c>
      <c r="G276" t="str">
        <f>IF(A276="","",RIGHT('ATP Pos'!B276,3))</f>
        <v/>
      </c>
      <c r="H276" t="str">
        <f t="shared" si="20"/>
        <v/>
      </c>
      <c r="I276" t="str">
        <f t="shared" si="21"/>
        <v/>
      </c>
      <c r="J276" t="str">
        <f>IF(H276="","",VLOOKUP(I276,表3_3[],2,0))</f>
        <v/>
      </c>
      <c r="K276" t="str">
        <f>IF(H276="","",VLOOKUP(I276,表3_3[],3,0))</f>
        <v/>
      </c>
      <c r="L276" t="str">
        <f>IF(A276="","",IF(G276="LME","",VLOOKUP(RIGHT(E276,2),Helper1!$O$36:$P$48,2,0)))</f>
        <v/>
      </c>
      <c r="M276" t="str">
        <f t="shared" si="22"/>
        <v/>
      </c>
      <c r="N276" t="str">
        <f t="shared" si="23"/>
        <v/>
      </c>
      <c r="O276" t="str">
        <f t="shared" si="24"/>
        <v/>
      </c>
    </row>
    <row r="277" spans="1:15">
      <c r="A277" t="str">
        <f>IF('ATP Pos'!A277="","",LEFT('ATP Pos'!A277,B277-1))</f>
        <v/>
      </c>
      <c r="B277" t="str">
        <f>IF('ATP Pos'!A277="","",SEARCH("_",'ATP Pos'!A277,1))</f>
        <v/>
      </c>
      <c r="C277" t="str">
        <f>IF(A277="","",IF('ATP Pos'!E277="-","",IF('ATP Pos'!E277&gt;0,"Buy",IF('ATP Pos'!E277&lt;0,"Sell"))))</f>
        <v/>
      </c>
      <c r="D277" t="str">
        <f>IF(A277="","",IF('ATP Pos'!E277="-","",IF('ATP Pos'!E277&gt;0,'ATP Pos'!E277,IF('ATP Pos'!E277&lt;0,-'ATP Pos'!E277))))</f>
        <v/>
      </c>
      <c r="E277" t="str">
        <f>IF(A277="","",LEFT('ATP Pos'!B277,F277-1))</f>
        <v/>
      </c>
      <c r="F277" t="str">
        <f>IF(A277="","",SEARCH("-",'ATP Pos'!B277,1))</f>
        <v/>
      </c>
      <c r="G277" t="str">
        <f>IF(A277="","",RIGHT('ATP Pos'!B277,3))</f>
        <v/>
      </c>
      <c r="H277" t="str">
        <f t="shared" si="20"/>
        <v/>
      </c>
      <c r="I277" t="str">
        <f t="shared" si="21"/>
        <v/>
      </c>
      <c r="J277" t="str">
        <f>IF(H277="","",VLOOKUP(I277,表3_3[],2,0))</f>
        <v/>
      </c>
      <c r="K277" t="str">
        <f>IF(H277="","",VLOOKUP(I277,表3_3[],3,0))</f>
        <v/>
      </c>
      <c r="L277" t="str">
        <f>IF(A277="","",IF(G277="LME","",VLOOKUP(RIGHT(E277,2),Helper1!$O$36:$P$48,2,0)))</f>
        <v/>
      </c>
      <c r="M277" t="str">
        <f t="shared" si="22"/>
        <v/>
      </c>
      <c r="N277" t="str">
        <f t="shared" si="23"/>
        <v/>
      </c>
      <c r="O277" t="str">
        <f t="shared" si="24"/>
        <v/>
      </c>
    </row>
    <row r="278" spans="1:15">
      <c r="A278" t="str">
        <f>IF('ATP Pos'!A278="","",LEFT('ATP Pos'!A278,B278-1))</f>
        <v/>
      </c>
      <c r="B278" t="str">
        <f>IF('ATP Pos'!A278="","",SEARCH("_",'ATP Pos'!A278,1))</f>
        <v/>
      </c>
      <c r="C278" t="str">
        <f>IF(A278="","",IF('ATP Pos'!E278="-","",IF('ATP Pos'!E278&gt;0,"Buy",IF('ATP Pos'!E278&lt;0,"Sell"))))</f>
        <v/>
      </c>
      <c r="D278" t="str">
        <f>IF(A278="","",IF('ATP Pos'!E278="-","",IF('ATP Pos'!E278&gt;0,'ATP Pos'!E278,IF('ATP Pos'!E278&lt;0,-'ATP Pos'!E278))))</f>
        <v/>
      </c>
      <c r="E278" t="str">
        <f>IF(A278="","",LEFT('ATP Pos'!B278,F278-1))</f>
        <v/>
      </c>
      <c r="F278" t="str">
        <f>IF(A278="","",SEARCH("-",'ATP Pos'!B278,1))</f>
        <v/>
      </c>
      <c r="G278" t="str">
        <f>IF(A278="","",RIGHT('ATP Pos'!B278,3))</f>
        <v/>
      </c>
      <c r="H278" t="str">
        <f t="shared" si="20"/>
        <v/>
      </c>
      <c r="I278" t="str">
        <f t="shared" si="21"/>
        <v/>
      </c>
      <c r="J278" t="str">
        <f>IF(H278="","",VLOOKUP(I278,表3_3[],2,0))</f>
        <v/>
      </c>
      <c r="K278" t="str">
        <f>IF(H278="","",VLOOKUP(I278,表3_3[],3,0))</f>
        <v/>
      </c>
      <c r="L278" t="str">
        <f>IF(A278="","",IF(G278="LME","",VLOOKUP(RIGHT(E278,2),Helper1!$O$36:$P$48,2,0)))</f>
        <v/>
      </c>
      <c r="M278" t="str">
        <f t="shared" si="22"/>
        <v/>
      </c>
      <c r="N278" t="str">
        <f t="shared" si="23"/>
        <v/>
      </c>
      <c r="O278" t="str">
        <f t="shared" si="24"/>
        <v/>
      </c>
    </row>
    <row r="279" spans="1:15">
      <c r="A279" t="str">
        <f>IF('ATP Pos'!A279="","",LEFT('ATP Pos'!A279,B279-1))</f>
        <v/>
      </c>
      <c r="B279" t="str">
        <f>IF('ATP Pos'!A279="","",SEARCH("_",'ATP Pos'!A279,1))</f>
        <v/>
      </c>
      <c r="C279" t="str">
        <f>IF(A279="","",IF('ATP Pos'!E279="-","",IF('ATP Pos'!E279&gt;0,"Buy",IF('ATP Pos'!E279&lt;0,"Sell"))))</f>
        <v/>
      </c>
      <c r="D279" t="str">
        <f>IF(A279="","",IF('ATP Pos'!E279="-","",IF('ATP Pos'!E279&gt;0,'ATP Pos'!E279,IF('ATP Pos'!E279&lt;0,-'ATP Pos'!E279))))</f>
        <v/>
      </c>
      <c r="E279" t="str">
        <f>IF(A279="","",LEFT('ATP Pos'!B279,F279-1))</f>
        <v/>
      </c>
      <c r="F279" t="str">
        <f>IF(A279="","",SEARCH("-",'ATP Pos'!B279,1))</f>
        <v/>
      </c>
      <c r="G279" t="str">
        <f>IF(A279="","",RIGHT('ATP Pos'!B279,3))</f>
        <v/>
      </c>
      <c r="H279" t="str">
        <f t="shared" si="20"/>
        <v/>
      </c>
      <c r="I279" t="str">
        <f t="shared" si="21"/>
        <v/>
      </c>
      <c r="J279" t="str">
        <f>IF(H279="","",VLOOKUP(I279,表3_3[],2,0))</f>
        <v/>
      </c>
      <c r="K279" t="str">
        <f>IF(H279="","",VLOOKUP(I279,表3_3[],3,0))</f>
        <v/>
      </c>
      <c r="L279" t="str">
        <f>IF(A279="","",IF(G279="LME","",VLOOKUP(RIGHT(E279,2),Helper1!$O$36:$P$48,2,0)))</f>
        <v/>
      </c>
      <c r="M279" t="str">
        <f t="shared" si="22"/>
        <v/>
      </c>
      <c r="N279" t="str">
        <f t="shared" si="23"/>
        <v/>
      </c>
      <c r="O279" t="str">
        <f t="shared" si="24"/>
        <v/>
      </c>
    </row>
    <row r="280" spans="1:15">
      <c r="A280" t="str">
        <f>IF('ATP Pos'!A280="","",LEFT('ATP Pos'!A280,B280-1))</f>
        <v/>
      </c>
      <c r="B280" t="str">
        <f>IF('ATP Pos'!A280="","",SEARCH("_",'ATP Pos'!A280,1))</f>
        <v/>
      </c>
      <c r="C280" t="str">
        <f>IF(A280="","",IF('ATP Pos'!E280="-","",IF('ATP Pos'!E280&gt;0,"Buy",IF('ATP Pos'!E280&lt;0,"Sell"))))</f>
        <v/>
      </c>
      <c r="D280" t="str">
        <f>IF(A280="","",IF('ATP Pos'!E280="-","",IF('ATP Pos'!E280&gt;0,'ATP Pos'!E280,IF('ATP Pos'!E280&lt;0,-'ATP Pos'!E280))))</f>
        <v/>
      </c>
      <c r="E280" t="str">
        <f>IF(A280="","",LEFT('ATP Pos'!B280,F280-1))</f>
        <v/>
      </c>
      <c r="F280" t="str">
        <f>IF(A280="","",SEARCH("-",'ATP Pos'!B280,1))</f>
        <v/>
      </c>
      <c r="G280" t="str">
        <f>IF(A280="","",RIGHT('ATP Pos'!B280,3))</f>
        <v/>
      </c>
      <c r="H280" t="str">
        <f t="shared" si="20"/>
        <v/>
      </c>
      <c r="I280" t="str">
        <f t="shared" si="21"/>
        <v/>
      </c>
      <c r="J280" t="str">
        <f>IF(H280="","",VLOOKUP(I280,表3_3[],2,0))</f>
        <v/>
      </c>
      <c r="K280" t="str">
        <f>IF(H280="","",VLOOKUP(I280,表3_3[],3,0))</f>
        <v/>
      </c>
      <c r="L280" t="str">
        <f>IF(A280="","",IF(G280="LME","",VLOOKUP(RIGHT(E280,2),Helper1!$O$36:$P$48,2,0)))</f>
        <v/>
      </c>
      <c r="M280" t="str">
        <f t="shared" si="22"/>
        <v/>
      </c>
      <c r="N280" t="str">
        <f t="shared" si="23"/>
        <v/>
      </c>
      <c r="O280" t="str">
        <f t="shared" si="24"/>
        <v/>
      </c>
    </row>
    <row r="281" spans="1:15">
      <c r="A281" t="str">
        <f>IF('ATP Pos'!A281="","",LEFT('ATP Pos'!A281,B281-1))</f>
        <v/>
      </c>
      <c r="B281" t="str">
        <f>IF('ATP Pos'!A281="","",SEARCH("_",'ATP Pos'!A281,1))</f>
        <v/>
      </c>
      <c r="C281" t="str">
        <f>IF(A281="","",IF('ATP Pos'!E281="-","",IF('ATP Pos'!E281&gt;0,"Buy",IF('ATP Pos'!E281&lt;0,"Sell"))))</f>
        <v/>
      </c>
      <c r="D281" t="str">
        <f>IF(A281="","",IF('ATP Pos'!E281="-","",IF('ATP Pos'!E281&gt;0,'ATP Pos'!E281,IF('ATP Pos'!E281&lt;0,-'ATP Pos'!E281))))</f>
        <v/>
      </c>
      <c r="E281" t="str">
        <f>IF(A281="","",LEFT('ATP Pos'!B281,F281-1))</f>
        <v/>
      </c>
      <c r="F281" t="str">
        <f>IF(A281="","",SEARCH("-",'ATP Pos'!B281,1))</f>
        <v/>
      </c>
      <c r="G281" t="str">
        <f>IF(A281="","",RIGHT('ATP Pos'!B281,3))</f>
        <v/>
      </c>
      <c r="H281" t="str">
        <f t="shared" si="20"/>
        <v/>
      </c>
      <c r="I281" t="str">
        <f t="shared" si="21"/>
        <v/>
      </c>
      <c r="J281" t="str">
        <f>IF(H281="","",VLOOKUP(I281,表3_3[],2,0))</f>
        <v/>
      </c>
      <c r="K281" t="str">
        <f>IF(H281="","",VLOOKUP(I281,表3_3[],3,0))</f>
        <v/>
      </c>
      <c r="L281" t="str">
        <f>IF(A281="","",IF(G281="LME","",VLOOKUP(RIGHT(E281,2),Helper1!$O$36:$P$48,2,0)))</f>
        <v/>
      </c>
      <c r="M281" t="str">
        <f t="shared" si="22"/>
        <v/>
      </c>
      <c r="N281" t="str">
        <f t="shared" si="23"/>
        <v/>
      </c>
      <c r="O281" t="str">
        <f t="shared" si="24"/>
        <v/>
      </c>
    </row>
    <row r="282" spans="1:15">
      <c r="A282" t="str">
        <f>IF('ATP Pos'!A282="","",LEFT('ATP Pos'!A282,B282-1))</f>
        <v/>
      </c>
      <c r="B282" t="str">
        <f>IF('ATP Pos'!A282="","",SEARCH("_",'ATP Pos'!A282,1))</f>
        <v/>
      </c>
      <c r="C282" t="str">
        <f>IF(A282="","",IF('ATP Pos'!E282="-","",IF('ATP Pos'!E282&gt;0,"Buy",IF('ATP Pos'!E282&lt;0,"Sell"))))</f>
        <v/>
      </c>
      <c r="D282" t="str">
        <f>IF(A282="","",IF('ATP Pos'!E282="-","",IF('ATP Pos'!E282&gt;0,'ATP Pos'!E282,IF('ATP Pos'!E282&lt;0,-'ATP Pos'!E282))))</f>
        <v/>
      </c>
      <c r="E282" t="str">
        <f>IF(A282="","",LEFT('ATP Pos'!B282,F282-1))</f>
        <v/>
      </c>
      <c r="F282" t="str">
        <f>IF(A282="","",SEARCH("-",'ATP Pos'!B282,1))</f>
        <v/>
      </c>
      <c r="G282" t="str">
        <f>IF(A282="","",RIGHT('ATP Pos'!B282,3))</f>
        <v/>
      </c>
      <c r="H282" t="str">
        <f t="shared" si="20"/>
        <v/>
      </c>
      <c r="I282" t="str">
        <f t="shared" si="21"/>
        <v/>
      </c>
      <c r="J282" t="str">
        <f>IF(H282="","",VLOOKUP(I282,表3_3[],2,0))</f>
        <v/>
      </c>
      <c r="K282" t="str">
        <f>IF(H282="","",VLOOKUP(I282,表3_3[],3,0))</f>
        <v/>
      </c>
      <c r="L282" t="str">
        <f>IF(A282="","",IF(G282="LME","",VLOOKUP(RIGHT(E282,2),Helper1!$O$36:$P$48,2,0)))</f>
        <v/>
      </c>
      <c r="M282" t="str">
        <f t="shared" si="22"/>
        <v/>
      </c>
      <c r="N282" t="str">
        <f t="shared" si="23"/>
        <v/>
      </c>
      <c r="O282" t="str">
        <f t="shared" si="24"/>
        <v/>
      </c>
    </row>
    <row r="283" spans="1:15">
      <c r="A283" t="str">
        <f>IF('ATP Pos'!A283="","",LEFT('ATP Pos'!A283,B283-1))</f>
        <v/>
      </c>
      <c r="B283" t="str">
        <f>IF('ATP Pos'!A283="","",SEARCH("_",'ATP Pos'!A283,1))</f>
        <v/>
      </c>
      <c r="C283" t="str">
        <f>IF(A283="","",IF('ATP Pos'!E283="-","",IF('ATP Pos'!E283&gt;0,"Buy",IF('ATP Pos'!E283&lt;0,"Sell"))))</f>
        <v/>
      </c>
      <c r="D283" t="str">
        <f>IF(A283="","",IF('ATP Pos'!E283="-","",IF('ATP Pos'!E283&gt;0,'ATP Pos'!E283,IF('ATP Pos'!E283&lt;0,-'ATP Pos'!E283))))</f>
        <v/>
      </c>
      <c r="E283" t="str">
        <f>IF(A283="","",LEFT('ATP Pos'!B283,F283-1))</f>
        <v/>
      </c>
      <c r="F283" t="str">
        <f>IF(A283="","",SEARCH("-",'ATP Pos'!B283,1))</f>
        <v/>
      </c>
      <c r="G283" t="str">
        <f>IF(A283="","",RIGHT('ATP Pos'!B283,3))</f>
        <v/>
      </c>
      <c r="H283" t="str">
        <f t="shared" si="20"/>
        <v/>
      </c>
      <c r="I283" t="str">
        <f t="shared" si="21"/>
        <v/>
      </c>
      <c r="J283" t="str">
        <f>IF(H283="","",VLOOKUP(I283,表3_3[],2,0))</f>
        <v/>
      </c>
      <c r="K283" t="str">
        <f>IF(H283="","",VLOOKUP(I283,表3_3[],3,0))</f>
        <v/>
      </c>
      <c r="L283" t="str">
        <f>IF(A283="","",IF(G283="LME","",VLOOKUP(RIGHT(E283,2),Helper1!$O$36:$P$48,2,0)))</f>
        <v/>
      </c>
      <c r="M283" t="str">
        <f t="shared" si="22"/>
        <v/>
      </c>
      <c r="N283" t="str">
        <f t="shared" si="23"/>
        <v/>
      </c>
      <c r="O283" t="str">
        <f t="shared" si="24"/>
        <v/>
      </c>
    </row>
    <row r="284" spans="1:15">
      <c r="A284" t="str">
        <f>IF('ATP Pos'!A284="","",LEFT('ATP Pos'!A284,B284-1))</f>
        <v/>
      </c>
      <c r="B284" t="str">
        <f>IF('ATP Pos'!A284="","",SEARCH("_",'ATP Pos'!A284,1))</f>
        <v/>
      </c>
      <c r="C284" t="str">
        <f>IF(A284="","",IF('ATP Pos'!E284="-","",IF('ATP Pos'!E284&gt;0,"Buy",IF('ATP Pos'!E284&lt;0,"Sell"))))</f>
        <v/>
      </c>
      <c r="D284" t="str">
        <f>IF(A284="","",IF('ATP Pos'!E284="-","",IF('ATP Pos'!E284&gt;0,'ATP Pos'!E284,IF('ATP Pos'!E284&lt;0,-'ATP Pos'!E284))))</f>
        <v/>
      </c>
      <c r="E284" t="str">
        <f>IF(A284="","",LEFT('ATP Pos'!B284,F284-1))</f>
        <v/>
      </c>
      <c r="F284" t="str">
        <f>IF(A284="","",SEARCH("-",'ATP Pos'!B284,1))</f>
        <v/>
      </c>
      <c r="G284" t="str">
        <f>IF(A284="","",RIGHT('ATP Pos'!B284,3))</f>
        <v/>
      </c>
      <c r="H284" t="str">
        <f t="shared" si="20"/>
        <v/>
      </c>
      <c r="I284" t="str">
        <f t="shared" si="21"/>
        <v/>
      </c>
      <c r="J284" t="str">
        <f>IF(H284="","",VLOOKUP(I284,表3_3[],2,0))</f>
        <v/>
      </c>
      <c r="K284" t="str">
        <f>IF(H284="","",VLOOKUP(I284,表3_3[],3,0))</f>
        <v/>
      </c>
      <c r="L284" t="str">
        <f>IF(A284="","",IF(G284="LME","",VLOOKUP(RIGHT(E284,2),Helper1!$O$36:$P$48,2,0)))</f>
        <v/>
      </c>
      <c r="M284" t="str">
        <f t="shared" si="22"/>
        <v/>
      </c>
      <c r="N284" t="str">
        <f t="shared" si="23"/>
        <v/>
      </c>
      <c r="O284" t="str">
        <f t="shared" si="24"/>
        <v/>
      </c>
    </row>
    <row r="285" spans="1:15">
      <c r="A285" t="str">
        <f>IF('ATP Pos'!A285="","",LEFT('ATP Pos'!A285,B285-1))</f>
        <v/>
      </c>
      <c r="B285" t="str">
        <f>IF('ATP Pos'!A285="","",SEARCH("_",'ATP Pos'!A285,1))</f>
        <v/>
      </c>
      <c r="C285" t="str">
        <f>IF(A285="","",IF('ATP Pos'!E285="-","",IF('ATP Pos'!E285&gt;0,"Buy",IF('ATP Pos'!E285&lt;0,"Sell"))))</f>
        <v/>
      </c>
      <c r="D285" t="str">
        <f>IF(A285="","",IF('ATP Pos'!E285="-","",IF('ATP Pos'!E285&gt;0,'ATP Pos'!E285,IF('ATP Pos'!E285&lt;0,-'ATP Pos'!E285))))</f>
        <v/>
      </c>
      <c r="E285" t="str">
        <f>IF(A285="","",LEFT('ATP Pos'!B285,F285-1))</f>
        <v/>
      </c>
      <c r="F285" t="str">
        <f>IF(A285="","",SEARCH("-",'ATP Pos'!B285,1))</f>
        <v/>
      </c>
      <c r="G285" t="str">
        <f>IF(A285="","",RIGHT('ATP Pos'!B285,3))</f>
        <v/>
      </c>
      <c r="H285" t="str">
        <f t="shared" si="20"/>
        <v/>
      </c>
      <c r="I285" t="str">
        <f t="shared" si="21"/>
        <v/>
      </c>
      <c r="J285" t="str">
        <f>IF(H285="","",VLOOKUP(I285,表3_3[],2,0))</f>
        <v/>
      </c>
      <c r="K285" t="str">
        <f>IF(H285="","",VLOOKUP(I285,表3_3[],3,0))</f>
        <v/>
      </c>
      <c r="L285" t="str">
        <f>IF(A285="","",IF(G285="LME","",VLOOKUP(RIGHT(E285,2),Helper1!$O$36:$P$48,2,0)))</f>
        <v/>
      </c>
      <c r="M285" t="str">
        <f t="shared" si="22"/>
        <v/>
      </c>
      <c r="N285" t="str">
        <f t="shared" si="23"/>
        <v/>
      </c>
      <c r="O285" t="str">
        <f t="shared" si="24"/>
        <v/>
      </c>
    </row>
    <row r="286" spans="1:15">
      <c r="A286" t="str">
        <f>IF('ATP Pos'!A286="","",LEFT('ATP Pos'!A286,B286-1))</f>
        <v/>
      </c>
      <c r="B286" t="str">
        <f>IF('ATP Pos'!A286="","",SEARCH("_",'ATP Pos'!A286,1))</f>
        <v/>
      </c>
      <c r="C286" t="str">
        <f>IF(A286="","",IF('ATP Pos'!E286="-","",IF('ATP Pos'!E286&gt;0,"Buy",IF('ATP Pos'!E286&lt;0,"Sell"))))</f>
        <v/>
      </c>
      <c r="D286" t="str">
        <f>IF(A286="","",IF('ATP Pos'!E286="-","",IF('ATP Pos'!E286&gt;0,'ATP Pos'!E286,IF('ATP Pos'!E286&lt;0,-'ATP Pos'!E286))))</f>
        <v/>
      </c>
      <c r="E286" t="str">
        <f>IF(A286="","",LEFT('ATP Pos'!B286,F286-1))</f>
        <v/>
      </c>
      <c r="F286" t="str">
        <f>IF(A286="","",SEARCH("-",'ATP Pos'!B286,1))</f>
        <v/>
      </c>
      <c r="G286" t="str">
        <f>IF(A286="","",RIGHT('ATP Pos'!B286,3))</f>
        <v/>
      </c>
      <c r="H286" t="str">
        <f t="shared" si="20"/>
        <v/>
      </c>
      <c r="I286" t="str">
        <f t="shared" si="21"/>
        <v/>
      </c>
      <c r="J286" t="str">
        <f>IF(H286="","",VLOOKUP(I286,表3_3[],2,0))</f>
        <v/>
      </c>
      <c r="K286" t="str">
        <f>IF(H286="","",VLOOKUP(I286,表3_3[],3,0))</f>
        <v/>
      </c>
      <c r="L286" t="str">
        <f>IF(A286="","",IF(G286="LME","",VLOOKUP(RIGHT(E286,2),Helper1!$O$36:$P$48,2,0)))</f>
        <v/>
      </c>
      <c r="M286" t="str">
        <f t="shared" si="22"/>
        <v/>
      </c>
      <c r="N286" t="str">
        <f t="shared" si="23"/>
        <v/>
      </c>
      <c r="O286" t="str">
        <f t="shared" si="24"/>
        <v/>
      </c>
    </row>
    <row r="287" spans="1:15">
      <c r="A287" t="str">
        <f>IF('ATP Pos'!A287="","",LEFT('ATP Pos'!A287,B287-1))</f>
        <v/>
      </c>
      <c r="B287" t="str">
        <f>IF('ATP Pos'!A287="","",SEARCH("_",'ATP Pos'!A287,1))</f>
        <v/>
      </c>
      <c r="C287" t="str">
        <f>IF(A287="","",IF('ATP Pos'!E287="-","",IF('ATP Pos'!E287&gt;0,"Buy",IF('ATP Pos'!E287&lt;0,"Sell"))))</f>
        <v/>
      </c>
      <c r="D287" t="str">
        <f>IF(A287="","",IF('ATP Pos'!E287="-","",IF('ATP Pos'!E287&gt;0,'ATP Pos'!E287,IF('ATP Pos'!E287&lt;0,-'ATP Pos'!E287))))</f>
        <v/>
      </c>
      <c r="E287" t="str">
        <f>IF(A287="","",LEFT('ATP Pos'!B287,F287-1))</f>
        <v/>
      </c>
      <c r="F287" t="str">
        <f>IF(A287="","",SEARCH("-",'ATP Pos'!B287,1))</f>
        <v/>
      </c>
      <c r="G287" t="str">
        <f>IF(A287="","",RIGHT('ATP Pos'!B287,3))</f>
        <v/>
      </c>
      <c r="H287" t="str">
        <f t="shared" si="20"/>
        <v/>
      </c>
      <c r="I287" t="str">
        <f t="shared" si="21"/>
        <v/>
      </c>
      <c r="J287" t="str">
        <f>IF(H287="","",VLOOKUP(I287,表3_3[],2,0))</f>
        <v/>
      </c>
      <c r="K287" t="str">
        <f>IF(H287="","",VLOOKUP(I287,表3_3[],3,0))</f>
        <v/>
      </c>
      <c r="L287" t="str">
        <f>IF(A287="","",IF(G287="LME","",VLOOKUP(RIGHT(E287,2),Helper1!$O$36:$P$48,2,0)))</f>
        <v/>
      </c>
      <c r="M287" t="str">
        <f t="shared" si="22"/>
        <v/>
      </c>
      <c r="N287" t="str">
        <f t="shared" si="23"/>
        <v/>
      </c>
      <c r="O287" t="str">
        <f t="shared" si="24"/>
        <v/>
      </c>
    </row>
    <row r="288" spans="1:15">
      <c r="A288" t="str">
        <f>IF('ATP Pos'!A288="","",LEFT('ATP Pos'!A288,B288-1))</f>
        <v/>
      </c>
      <c r="B288" t="str">
        <f>IF('ATP Pos'!A288="","",SEARCH("_",'ATP Pos'!A288,1))</f>
        <v/>
      </c>
      <c r="C288" t="str">
        <f>IF(A288="","",IF('ATP Pos'!E288="-","",IF('ATP Pos'!E288&gt;0,"Buy",IF('ATP Pos'!E288&lt;0,"Sell"))))</f>
        <v/>
      </c>
      <c r="D288" t="str">
        <f>IF(A288="","",IF('ATP Pos'!E288="-","",IF('ATP Pos'!E288&gt;0,'ATP Pos'!E288,IF('ATP Pos'!E288&lt;0,-'ATP Pos'!E288))))</f>
        <v/>
      </c>
      <c r="E288" t="str">
        <f>IF(A288="","",LEFT('ATP Pos'!B288,F288-1))</f>
        <v/>
      </c>
      <c r="F288" t="str">
        <f>IF(A288="","",SEARCH("-",'ATP Pos'!B288,1))</f>
        <v/>
      </c>
      <c r="G288" t="str">
        <f>IF(A288="","",RIGHT('ATP Pos'!B288,3))</f>
        <v/>
      </c>
      <c r="H288" t="str">
        <f t="shared" si="20"/>
        <v/>
      </c>
      <c r="I288" t="str">
        <f t="shared" si="21"/>
        <v/>
      </c>
      <c r="J288" t="str">
        <f>IF(H288="","",VLOOKUP(I288,表3_3[],2,0))</f>
        <v/>
      </c>
      <c r="K288" t="str">
        <f>IF(H288="","",VLOOKUP(I288,表3_3[],3,0))</f>
        <v/>
      </c>
      <c r="L288" t="str">
        <f>IF(A288="","",IF(G288="LME","",VLOOKUP(RIGHT(E288,2),Helper1!$O$36:$P$48,2,0)))</f>
        <v/>
      </c>
      <c r="M288" t="str">
        <f t="shared" si="22"/>
        <v/>
      </c>
      <c r="N288" t="str">
        <f t="shared" si="23"/>
        <v/>
      </c>
      <c r="O288" t="str">
        <f t="shared" si="24"/>
        <v/>
      </c>
    </row>
    <row r="289" spans="1:15">
      <c r="A289" t="str">
        <f>IF('ATP Pos'!A289="","",LEFT('ATP Pos'!A289,B289-1))</f>
        <v/>
      </c>
      <c r="B289" t="str">
        <f>IF('ATP Pos'!A289="","",SEARCH("_",'ATP Pos'!A289,1))</f>
        <v/>
      </c>
      <c r="C289" t="str">
        <f>IF(A289="","",IF('ATP Pos'!E289="-","",IF('ATP Pos'!E289&gt;0,"Buy",IF('ATP Pos'!E289&lt;0,"Sell"))))</f>
        <v/>
      </c>
      <c r="D289" t="str">
        <f>IF(A289="","",IF('ATP Pos'!E289="-","",IF('ATP Pos'!E289&gt;0,'ATP Pos'!E289,IF('ATP Pos'!E289&lt;0,-'ATP Pos'!E289))))</f>
        <v/>
      </c>
      <c r="E289" t="str">
        <f>IF(A289="","",LEFT('ATP Pos'!B289,F289-1))</f>
        <v/>
      </c>
      <c r="F289" t="str">
        <f>IF(A289="","",SEARCH("-",'ATP Pos'!B289,1))</f>
        <v/>
      </c>
      <c r="G289" t="str">
        <f>IF(A289="","",RIGHT('ATP Pos'!B289,3))</f>
        <v/>
      </c>
      <c r="H289" t="str">
        <f t="shared" si="20"/>
        <v/>
      </c>
      <c r="I289" t="str">
        <f t="shared" si="21"/>
        <v/>
      </c>
      <c r="J289" t="str">
        <f>IF(H289="","",VLOOKUP(I289,表3_3[],2,0))</f>
        <v/>
      </c>
      <c r="K289" t="str">
        <f>IF(H289="","",VLOOKUP(I289,表3_3[],3,0))</f>
        <v/>
      </c>
      <c r="L289" t="str">
        <f>IF(A289="","",IF(G289="LME","",VLOOKUP(RIGHT(E289,2),Helper1!$O$36:$P$48,2,0)))</f>
        <v/>
      </c>
      <c r="M289" t="str">
        <f t="shared" si="22"/>
        <v/>
      </c>
      <c r="N289" t="str">
        <f t="shared" si="23"/>
        <v/>
      </c>
      <c r="O289" t="str">
        <f t="shared" si="24"/>
        <v/>
      </c>
    </row>
    <row r="290" spans="1:15">
      <c r="A290" t="str">
        <f>IF('ATP Pos'!A290="","",LEFT('ATP Pos'!A290,B290-1))</f>
        <v/>
      </c>
      <c r="B290" t="str">
        <f>IF('ATP Pos'!A290="","",SEARCH("_",'ATP Pos'!A290,1))</f>
        <v/>
      </c>
      <c r="C290" t="str">
        <f>IF(A290="","",IF('ATP Pos'!E290="-","",IF('ATP Pos'!E290&gt;0,"Buy",IF('ATP Pos'!E290&lt;0,"Sell"))))</f>
        <v/>
      </c>
      <c r="D290" t="str">
        <f>IF(A290="","",IF('ATP Pos'!E290="-","",IF('ATP Pos'!E290&gt;0,'ATP Pos'!E290,IF('ATP Pos'!E290&lt;0,-'ATP Pos'!E290))))</f>
        <v/>
      </c>
      <c r="E290" t="str">
        <f>IF(A290="","",LEFT('ATP Pos'!B290,F290-1))</f>
        <v/>
      </c>
      <c r="F290" t="str">
        <f>IF(A290="","",SEARCH("-",'ATP Pos'!B290,1))</f>
        <v/>
      </c>
      <c r="G290" t="str">
        <f>IF(A290="","",RIGHT('ATP Pos'!B290,3))</f>
        <v/>
      </c>
      <c r="H290" t="str">
        <f t="shared" si="20"/>
        <v/>
      </c>
      <c r="I290" t="str">
        <f t="shared" si="21"/>
        <v/>
      </c>
      <c r="J290" t="str">
        <f>IF(H290="","",VLOOKUP(I290,表3_3[],2,0))</f>
        <v/>
      </c>
      <c r="K290" t="str">
        <f>IF(H290="","",VLOOKUP(I290,表3_3[],3,0))</f>
        <v/>
      </c>
      <c r="L290" t="str">
        <f>IF(A290="","",IF(G290="LME","",VLOOKUP(RIGHT(E290,2),Helper1!$O$36:$P$48,2,0)))</f>
        <v/>
      </c>
      <c r="M290" t="str">
        <f t="shared" si="22"/>
        <v/>
      </c>
      <c r="N290" t="str">
        <f t="shared" si="23"/>
        <v/>
      </c>
      <c r="O290" t="str">
        <f t="shared" si="24"/>
        <v/>
      </c>
    </row>
    <row r="291" spans="1:15">
      <c r="A291" t="str">
        <f>IF('ATP Pos'!A291="","",LEFT('ATP Pos'!A291,B291-1))</f>
        <v/>
      </c>
      <c r="B291" t="str">
        <f>IF('ATP Pos'!A291="","",SEARCH("_",'ATP Pos'!A291,1))</f>
        <v/>
      </c>
      <c r="C291" t="str">
        <f>IF(A291="","",IF('ATP Pos'!E291="-","",IF('ATP Pos'!E291&gt;0,"Buy",IF('ATP Pos'!E291&lt;0,"Sell"))))</f>
        <v/>
      </c>
      <c r="D291" t="str">
        <f>IF(A291="","",IF('ATP Pos'!E291="-","",IF('ATP Pos'!E291&gt;0,'ATP Pos'!E291,IF('ATP Pos'!E291&lt;0,-'ATP Pos'!E291))))</f>
        <v/>
      </c>
      <c r="E291" t="str">
        <f>IF(A291="","",LEFT('ATP Pos'!B291,F291-1))</f>
        <v/>
      </c>
      <c r="F291" t="str">
        <f>IF(A291="","",SEARCH("-",'ATP Pos'!B291,1))</f>
        <v/>
      </c>
      <c r="G291" t="str">
        <f>IF(A291="","",RIGHT('ATP Pos'!B291,3))</f>
        <v/>
      </c>
      <c r="H291" t="str">
        <f t="shared" si="20"/>
        <v/>
      </c>
      <c r="I291" t="str">
        <f t="shared" si="21"/>
        <v/>
      </c>
      <c r="J291" t="str">
        <f>IF(H291="","",VLOOKUP(I291,表3_3[],2,0))</f>
        <v/>
      </c>
      <c r="K291" t="str">
        <f>IF(H291="","",VLOOKUP(I291,表3_3[],3,0))</f>
        <v/>
      </c>
      <c r="L291" t="str">
        <f>IF(A291="","",IF(G291="LME","",VLOOKUP(RIGHT(E291,2),Helper1!$O$36:$P$48,2,0)))</f>
        <v/>
      </c>
      <c r="M291" t="str">
        <f t="shared" si="22"/>
        <v/>
      </c>
      <c r="N291" t="str">
        <f t="shared" si="23"/>
        <v/>
      </c>
      <c r="O291" t="str">
        <f t="shared" si="24"/>
        <v/>
      </c>
    </row>
    <row r="292" spans="1:15">
      <c r="A292" t="str">
        <f>IF('ATP Pos'!A292="","",LEFT('ATP Pos'!A292,B292-1))</f>
        <v/>
      </c>
      <c r="B292" t="str">
        <f>IF('ATP Pos'!A292="","",SEARCH("_",'ATP Pos'!A292,1))</f>
        <v/>
      </c>
      <c r="C292" t="str">
        <f>IF(A292="","",IF('ATP Pos'!E292="-","",IF('ATP Pos'!E292&gt;0,"Buy",IF('ATP Pos'!E292&lt;0,"Sell"))))</f>
        <v/>
      </c>
      <c r="D292" t="str">
        <f>IF(A292="","",IF('ATP Pos'!E292="-","",IF('ATP Pos'!E292&gt;0,'ATP Pos'!E292,IF('ATP Pos'!E292&lt;0,-'ATP Pos'!E292))))</f>
        <v/>
      </c>
      <c r="E292" t="str">
        <f>IF(A292="","",LEFT('ATP Pos'!B292,F292-1))</f>
        <v/>
      </c>
      <c r="F292" t="str">
        <f>IF(A292="","",SEARCH("-",'ATP Pos'!B292,1))</f>
        <v/>
      </c>
      <c r="G292" t="str">
        <f>IF(A292="","",RIGHT('ATP Pos'!B292,3))</f>
        <v/>
      </c>
      <c r="H292" t="str">
        <f t="shared" si="20"/>
        <v/>
      </c>
      <c r="I292" t="str">
        <f t="shared" si="21"/>
        <v/>
      </c>
      <c r="J292" t="str">
        <f>IF(H292="","",VLOOKUP(I292,表3_3[],2,0))</f>
        <v/>
      </c>
      <c r="K292" t="str">
        <f>IF(H292="","",VLOOKUP(I292,表3_3[],3,0))</f>
        <v/>
      </c>
      <c r="L292" t="str">
        <f>IF(A292="","",IF(G292="LME","",VLOOKUP(RIGHT(E292,2),Helper1!$O$36:$P$48,2,0)))</f>
        <v/>
      </c>
      <c r="M292" t="str">
        <f t="shared" si="22"/>
        <v/>
      </c>
      <c r="N292" t="str">
        <f t="shared" si="23"/>
        <v/>
      </c>
      <c r="O292" t="str">
        <f t="shared" si="24"/>
        <v/>
      </c>
    </row>
    <row r="293" spans="1:15">
      <c r="A293" t="str">
        <f>IF('ATP Pos'!A293="","",LEFT('ATP Pos'!A293,B293-1))</f>
        <v/>
      </c>
      <c r="B293" t="str">
        <f>IF('ATP Pos'!A293="","",SEARCH("_",'ATP Pos'!A293,1))</f>
        <v/>
      </c>
      <c r="C293" t="str">
        <f>IF(A293="","",IF('ATP Pos'!E293="-","",IF('ATP Pos'!E293&gt;0,"Buy",IF('ATP Pos'!E293&lt;0,"Sell"))))</f>
        <v/>
      </c>
      <c r="D293" t="str">
        <f>IF(A293="","",IF('ATP Pos'!E293="-","",IF('ATP Pos'!E293&gt;0,'ATP Pos'!E293,IF('ATP Pos'!E293&lt;0,-'ATP Pos'!E293))))</f>
        <v/>
      </c>
      <c r="E293" t="str">
        <f>IF(A293="","",LEFT('ATP Pos'!B293,F293-1))</f>
        <v/>
      </c>
      <c r="F293" t="str">
        <f>IF(A293="","",SEARCH("-",'ATP Pos'!B293,1))</f>
        <v/>
      </c>
      <c r="G293" t="str">
        <f>IF(A293="","",RIGHT('ATP Pos'!B293,3))</f>
        <v/>
      </c>
      <c r="H293" t="str">
        <f t="shared" si="20"/>
        <v/>
      </c>
      <c r="I293" t="str">
        <f t="shared" si="21"/>
        <v/>
      </c>
      <c r="J293" t="str">
        <f>IF(H293="","",VLOOKUP(I293,表3_3[],2,0))</f>
        <v/>
      </c>
      <c r="K293" t="str">
        <f>IF(H293="","",VLOOKUP(I293,表3_3[],3,0))</f>
        <v/>
      </c>
      <c r="L293" t="str">
        <f>IF(A293="","",IF(G293="LME","",VLOOKUP(RIGHT(E293,2),Helper1!$O$36:$P$48,2,0)))</f>
        <v/>
      </c>
      <c r="M293" t="str">
        <f t="shared" si="22"/>
        <v/>
      </c>
      <c r="N293" t="str">
        <f t="shared" si="23"/>
        <v/>
      </c>
      <c r="O293" t="str">
        <f t="shared" si="24"/>
        <v/>
      </c>
    </row>
    <row r="294" spans="1:15">
      <c r="A294" t="str">
        <f>IF('ATP Pos'!A294="","",LEFT('ATP Pos'!A294,B294-1))</f>
        <v/>
      </c>
      <c r="B294" t="str">
        <f>IF('ATP Pos'!A294="","",SEARCH("_",'ATP Pos'!A294,1))</f>
        <v/>
      </c>
      <c r="C294" t="str">
        <f>IF(A294="","",IF('ATP Pos'!E294="-","",IF('ATP Pos'!E294&gt;0,"Buy",IF('ATP Pos'!E294&lt;0,"Sell"))))</f>
        <v/>
      </c>
      <c r="D294" t="str">
        <f>IF(A294="","",IF('ATP Pos'!E294="-","",IF('ATP Pos'!E294&gt;0,'ATP Pos'!E294,IF('ATP Pos'!E294&lt;0,-'ATP Pos'!E294))))</f>
        <v/>
      </c>
      <c r="E294" t="str">
        <f>IF(A294="","",LEFT('ATP Pos'!B294,F294-1))</f>
        <v/>
      </c>
      <c r="F294" t="str">
        <f>IF(A294="","",SEARCH("-",'ATP Pos'!B294,1))</f>
        <v/>
      </c>
      <c r="G294" t="str">
        <f>IF(A294="","",RIGHT('ATP Pos'!B294,3))</f>
        <v/>
      </c>
      <c r="H294" t="str">
        <f t="shared" si="20"/>
        <v/>
      </c>
      <c r="I294" t="str">
        <f t="shared" si="21"/>
        <v/>
      </c>
      <c r="J294" t="str">
        <f>IF(H294="","",VLOOKUP(I294,表3_3[],2,0))</f>
        <v/>
      </c>
      <c r="K294" t="str">
        <f>IF(H294="","",VLOOKUP(I294,表3_3[],3,0))</f>
        <v/>
      </c>
      <c r="L294" t="str">
        <f>IF(A294="","",IF(G294="LME","",VLOOKUP(RIGHT(E294,2),Helper1!$O$36:$P$48,2,0)))</f>
        <v/>
      </c>
      <c r="M294" t="str">
        <f t="shared" si="22"/>
        <v/>
      </c>
      <c r="N294" t="str">
        <f t="shared" si="23"/>
        <v/>
      </c>
      <c r="O294" t="str">
        <f t="shared" si="24"/>
        <v/>
      </c>
    </row>
    <row r="295" spans="1:15">
      <c r="A295" t="str">
        <f>IF('ATP Pos'!A295="","",LEFT('ATP Pos'!A295,B295-1))</f>
        <v/>
      </c>
      <c r="B295" t="str">
        <f>IF('ATP Pos'!A295="","",SEARCH("_",'ATP Pos'!A295,1))</f>
        <v/>
      </c>
      <c r="C295" t="str">
        <f>IF(A295="","",IF('ATP Pos'!E295="-","",IF('ATP Pos'!E295&gt;0,"Buy",IF('ATP Pos'!E295&lt;0,"Sell"))))</f>
        <v/>
      </c>
      <c r="D295" t="str">
        <f>IF(A295="","",IF('ATP Pos'!E295="-","",IF('ATP Pos'!E295&gt;0,'ATP Pos'!E295,IF('ATP Pos'!E295&lt;0,-'ATP Pos'!E295))))</f>
        <v/>
      </c>
      <c r="E295" t="str">
        <f>IF(A295="","",LEFT('ATP Pos'!B295,F295-1))</f>
        <v/>
      </c>
      <c r="F295" t="str">
        <f>IF(A295="","",SEARCH("-",'ATP Pos'!B295,1))</f>
        <v/>
      </c>
      <c r="G295" t="str">
        <f>IF(A295="","",RIGHT('ATP Pos'!B295,3))</f>
        <v/>
      </c>
      <c r="H295" t="str">
        <f t="shared" si="20"/>
        <v/>
      </c>
      <c r="I295" t="str">
        <f t="shared" si="21"/>
        <v/>
      </c>
      <c r="J295" t="str">
        <f>IF(H295="","",VLOOKUP(I295,表3_3[],2,0))</f>
        <v/>
      </c>
      <c r="K295" t="str">
        <f>IF(H295="","",VLOOKUP(I295,表3_3[],3,0))</f>
        <v/>
      </c>
      <c r="L295" t="str">
        <f>IF(A295="","",IF(G295="LME","",VLOOKUP(RIGHT(E295,2),Helper1!$O$36:$P$48,2,0)))</f>
        <v/>
      </c>
      <c r="M295" t="str">
        <f t="shared" si="22"/>
        <v/>
      </c>
      <c r="N295" t="str">
        <f t="shared" si="23"/>
        <v/>
      </c>
      <c r="O295" t="str">
        <f t="shared" si="24"/>
        <v/>
      </c>
    </row>
    <row r="296" spans="1:15">
      <c r="A296" t="str">
        <f>IF('ATP Pos'!A296="","",LEFT('ATP Pos'!A296,B296-1))</f>
        <v/>
      </c>
      <c r="B296" t="str">
        <f>IF('ATP Pos'!A296="","",SEARCH("_",'ATP Pos'!A296,1))</f>
        <v/>
      </c>
      <c r="C296" t="str">
        <f>IF(A296="","",IF('ATP Pos'!E296="-","",IF('ATP Pos'!E296&gt;0,"Buy",IF('ATP Pos'!E296&lt;0,"Sell"))))</f>
        <v/>
      </c>
      <c r="D296" t="str">
        <f>IF(A296="","",IF('ATP Pos'!E296="-","",IF('ATP Pos'!E296&gt;0,'ATP Pos'!E296,IF('ATP Pos'!E296&lt;0,-'ATP Pos'!E296))))</f>
        <v/>
      </c>
      <c r="E296" t="str">
        <f>IF(A296="","",LEFT('ATP Pos'!B296,F296-1))</f>
        <v/>
      </c>
      <c r="F296" t="str">
        <f>IF(A296="","",SEARCH("-",'ATP Pos'!B296,1))</f>
        <v/>
      </c>
      <c r="G296" t="str">
        <f>IF(A296="","",RIGHT('ATP Pos'!B296,3))</f>
        <v/>
      </c>
      <c r="H296" t="str">
        <f t="shared" si="20"/>
        <v/>
      </c>
      <c r="I296" t="str">
        <f t="shared" si="21"/>
        <v/>
      </c>
      <c r="J296" t="str">
        <f>IF(H296="","",VLOOKUP(I296,表3_3[],2,0))</f>
        <v/>
      </c>
      <c r="K296" t="str">
        <f>IF(H296="","",VLOOKUP(I296,表3_3[],3,0))</f>
        <v/>
      </c>
      <c r="L296" t="str">
        <f>IF(A296="","",IF(G296="LME","",VLOOKUP(RIGHT(E296,2),Helper1!$O$36:$P$48,2,0)))</f>
        <v/>
      </c>
      <c r="M296" t="str">
        <f t="shared" si="22"/>
        <v/>
      </c>
      <c r="N296" t="str">
        <f t="shared" si="23"/>
        <v/>
      </c>
      <c r="O296" t="str">
        <f t="shared" si="24"/>
        <v/>
      </c>
    </row>
    <row r="297" spans="1:15">
      <c r="A297" t="str">
        <f>IF('ATP Pos'!A297="","",LEFT('ATP Pos'!A297,B297-1))</f>
        <v/>
      </c>
      <c r="B297" t="str">
        <f>IF('ATP Pos'!A297="","",SEARCH("_",'ATP Pos'!A297,1))</f>
        <v/>
      </c>
      <c r="C297" t="str">
        <f>IF(A297="","",IF('ATP Pos'!E297="-","",IF('ATP Pos'!E297&gt;0,"Buy",IF('ATP Pos'!E297&lt;0,"Sell"))))</f>
        <v/>
      </c>
      <c r="D297" t="str">
        <f>IF(A297="","",IF('ATP Pos'!E297="-","",IF('ATP Pos'!E297&gt;0,'ATP Pos'!E297,IF('ATP Pos'!E297&lt;0,-'ATP Pos'!E297))))</f>
        <v/>
      </c>
      <c r="E297" t="str">
        <f>IF(A297="","",LEFT('ATP Pos'!B297,F297-1))</f>
        <v/>
      </c>
      <c r="F297" t="str">
        <f>IF(A297="","",SEARCH("-",'ATP Pos'!B297,1))</f>
        <v/>
      </c>
      <c r="G297" t="str">
        <f>IF(A297="","",RIGHT('ATP Pos'!B297,3))</f>
        <v/>
      </c>
      <c r="H297" t="str">
        <f t="shared" si="20"/>
        <v/>
      </c>
      <c r="I297" t="str">
        <f t="shared" si="21"/>
        <v/>
      </c>
      <c r="J297" t="str">
        <f>IF(H297="","",VLOOKUP(I297,表3_3[],2,0))</f>
        <v/>
      </c>
      <c r="K297" t="str">
        <f>IF(H297="","",VLOOKUP(I297,表3_3[],3,0))</f>
        <v/>
      </c>
      <c r="L297" t="str">
        <f>IF(A297="","",IF(G297="LME","",VLOOKUP(RIGHT(E297,2),Helper1!$O$36:$P$48,2,0)))</f>
        <v/>
      </c>
      <c r="M297" t="str">
        <f t="shared" si="22"/>
        <v/>
      </c>
      <c r="N297" t="str">
        <f t="shared" si="23"/>
        <v/>
      </c>
      <c r="O297" t="str">
        <f t="shared" si="24"/>
        <v/>
      </c>
    </row>
    <row r="298" spans="1:15">
      <c r="A298" t="str">
        <f>IF('ATP Pos'!A298="","",LEFT('ATP Pos'!A298,B298-1))</f>
        <v/>
      </c>
      <c r="B298" t="str">
        <f>IF('ATP Pos'!A298="","",SEARCH("_",'ATP Pos'!A298,1))</f>
        <v/>
      </c>
      <c r="C298" t="str">
        <f>IF(A298="","",IF('ATP Pos'!E298="-","",IF('ATP Pos'!E298&gt;0,"Buy",IF('ATP Pos'!E298&lt;0,"Sell"))))</f>
        <v/>
      </c>
      <c r="D298" t="str">
        <f>IF(A298="","",IF('ATP Pos'!E298="-","",IF('ATP Pos'!E298&gt;0,'ATP Pos'!E298,IF('ATP Pos'!E298&lt;0,-'ATP Pos'!E298))))</f>
        <v/>
      </c>
      <c r="E298" t="str">
        <f>IF(A298="","",LEFT('ATP Pos'!B298,F298-1))</f>
        <v/>
      </c>
      <c r="F298" t="str">
        <f>IF(A298="","",SEARCH("-",'ATP Pos'!B298,1))</f>
        <v/>
      </c>
      <c r="G298" t="str">
        <f>IF(A298="","",RIGHT('ATP Pos'!B298,3))</f>
        <v/>
      </c>
      <c r="H298" t="str">
        <f t="shared" si="20"/>
        <v/>
      </c>
      <c r="I298" t="str">
        <f t="shared" si="21"/>
        <v/>
      </c>
      <c r="J298" t="str">
        <f>IF(H298="","",VLOOKUP(I298,表3_3[],2,0))</f>
        <v/>
      </c>
      <c r="K298" t="str">
        <f>IF(H298="","",VLOOKUP(I298,表3_3[],3,0))</f>
        <v/>
      </c>
      <c r="L298" t="str">
        <f>IF(A298="","",IF(G298="LME","",VLOOKUP(RIGHT(E298,2),Helper1!$O$36:$P$48,2,0)))</f>
        <v/>
      </c>
      <c r="M298" t="str">
        <f t="shared" si="22"/>
        <v/>
      </c>
      <c r="N298" t="str">
        <f t="shared" si="23"/>
        <v/>
      </c>
      <c r="O298" t="str">
        <f t="shared" si="24"/>
        <v/>
      </c>
    </row>
    <row r="299" spans="1:15">
      <c r="A299" t="str">
        <f>IF('ATP Pos'!A299="","",LEFT('ATP Pos'!A299,B299-1))</f>
        <v/>
      </c>
      <c r="B299" t="str">
        <f>IF('ATP Pos'!A299="","",SEARCH("_",'ATP Pos'!A299,1))</f>
        <v/>
      </c>
      <c r="C299" t="str">
        <f>IF(A299="","",IF('ATP Pos'!E299="-","",IF('ATP Pos'!E299&gt;0,"Buy",IF('ATP Pos'!E299&lt;0,"Sell"))))</f>
        <v/>
      </c>
      <c r="D299" t="str">
        <f>IF(A299="","",IF('ATP Pos'!E299="-","",IF('ATP Pos'!E299&gt;0,'ATP Pos'!E299,IF('ATP Pos'!E299&lt;0,-'ATP Pos'!E299))))</f>
        <v/>
      </c>
      <c r="E299" t="str">
        <f>IF(A299="","",LEFT('ATP Pos'!B299,F299-1))</f>
        <v/>
      </c>
      <c r="F299" t="str">
        <f>IF(A299="","",SEARCH("-",'ATP Pos'!B299,1))</f>
        <v/>
      </c>
      <c r="G299" t="str">
        <f>IF(A299="","",RIGHT('ATP Pos'!B299,3))</f>
        <v/>
      </c>
      <c r="H299" t="str">
        <f t="shared" si="20"/>
        <v/>
      </c>
      <c r="I299" t="str">
        <f t="shared" si="21"/>
        <v/>
      </c>
      <c r="J299" t="str">
        <f>IF(H299="","",VLOOKUP(I299,表3_3[],2,0))</f>
        <v/>
      </c>
      <c r="K299" t="str">
        <f>IF(H299="","",VLOOKUP(I299,表3_3[],3,0))</f>
        <v/>
      </c>
      <c r="L299" t="str">
        <f>IF(A299="","",IF(G299="LME","",VLOOKUP(RIGHT(E299,2),Helper1!$O$36:$P$48,2,0)))</f>
        <v/>
      </c>
      <c r="M299" t="str">
        <f t="shared" si="22"/>
        <v/>
      </c>
      <c r="N299" t="str">
        <f t="shared" si="23"/>
        <v/>
      </c>
      <c r="O299" t="str">
        <f t="shared" si="24"/>
        <v/>
      </c>
    </row>
    <row r="300" spans="1:15">
      <c r="A300" t="str">
        <f>IF('ATP Pos'!A300="","",LEFT('ATP Pos'!A300,B300-1))</f>
        <v/>
      </c>
      <c r="B300" t="str">
        <f>IF('ATP Pos'!A300="","",SEARCH("_",'ATP Pos'!A300,1))</f>
        <v/>
      </c>
      <c r="C300" t="str">
        <f>IF(A300="","",IF('ATP Pos'!E300="-","",IF('ATP Pos'!E300&gt;0,"Buy",IF('ATP Pos'!E300&lt;0,"Sell"))))</f>
        <v/>
      </c>
      <c r="D300" t="str">
        <f>IF(A300="","",IF('ATP Pos'!E300="-","",IF('ATP Pos'!E300&gt;0,'ATP Pos'!E300,IF('ATP Pos'!E300&lt;0,-'ATP Pos'!E300))))</f>
        <v/>
      </c>
      <c r="E300" t="str">
        <f>IF(A300="","",LEFT('ATP Pos'!B300,F300-1))</f>
        <v/>
      </c>
      <c r="F300" t="str">
        <f>IF(A300="","",SEARCH("-",'ATP Pos'!B300,1))</f>
        <v/>
      </c>
      <c r="G300" t="str">
        <f>IF(A300="","",RIGHT('ATP Pos'!B300,3))</f>
        <v/>
      </c>
      <c r="H300" t="str">
        <f t="shared" si="20"/>
        <v/>
      </c>
      <c r="I300" t="str">
        <f t="shared" si="21"/>
        <v/>
      </c>
      <c r="J300" t="str">
        <f>IF(H300="","",VLOOKUP(I300,表3_3[],2,0))</f>
        <v/>
      </c>
      <c r="K300" t="str">
        <f>IF(H300="","",VLOOKUP(I300,表3_3[],3,0))</f>
        <v/>
      </c>
      <c r="L300" t="str">
        <f>IF(A300="","",IF(G300="LME","",VLOOKUP(RIGHT(E300,2),Helper1!$O$36:$P$48,2,0)))</f>
        <v/>
      </c>
      <c r="M300" t="str">
        <f t="shared" si="22"/>
        <v/>
      </c>
      <c r="N300" t="str">
        <f t="shared" si="23"/>
        <v/>
      </c>
      <c r="O300" t="str">
        <f t="shared" si="24"/>
        <v/>
      </c>
    </row>
    <row r="301" spans="1:15">
      <c r="A301" t="str">
        <f>IF('ATP Pos'!A301="","",LEFT('ATP Pos'!A301,B301-1))</f>
        <v/>
      </c>
      <c r="B301" t="str">
        <f>IF('ATP Pos'!A301="","",SEARCH("_",'ATP Pos'!A301,1))</f>
        <v/>
      </c>
      <c r="C301" t="str">
        <f>IF(A301="","",IF('ATP Pos'!E301="-","",IF('ATP Pos'!E301&gt;0,"Buy",IF('ATP Pos'!E301&lt;0,"Sell"))))</f>
        <v/>
      </c>
      <c r="D301" t="str">
        <f>IF(A301="","",IF('ATP Pos'!E301="-","",IF('ATP Pos'!E301&gt;0,'ATP Pos'!E301,IF('ATP Pos'!E301&lt;0,-'ATP Pos'!E301))))</f>
        <v/>
      </c>
      <c r="E301" t="str">
        <f>IF(A301="","",LEFT('ATP Pos'!B301,F301-1))</f>
        <v/>
      </c>
      <c r="F301" t="str">
        <f>IF(A301="","",SEARCH("-",'ATP Pos'!B301,1))</f>
        <v/>
      </c>
      <c r="G301" t="str">
        <f>IF(A301="","",RIGHT('ATP Pos'!B301,3))</f>
        <v/>
      </c>
      <c r="H301" t="str">
        <f t="shared" si="20"/>
        <v/>
      </c>
      <c r="I301" t="str">
        <f t="shared" si="21"/>
        <v/>
      </c>
      <c r="J301" t="str">
        <f>IF(H301="","",VLOOKUP(I301,表3_3[],2,0))</f>
        <v/>
      </c>
      <c r="K301" t="str">
        <f>IF(H301="","",VLOOKUP(I301,表3_3[],3,0))</f>
        <v/>
      </c>
      <c r="L301" t="str">
        <f>IF(A301="","",IF(G301="LME","",VLOOKUP(RIGHT(E301,2),Helper1!$O$36:$P$48,2,0)))</f>
        <v/>
      </c>
      <c r="M301" t="str">
        <f t="shared" si="22"/>
        <v/>
      </c>
      <c r="N301" t="str">
        <f t="shared" si="23"/>
        <v/>
      </c>
      <c r="O301" t="str">
        <f t="shared" si="24"/>
        <v/>
      </c>
    </row>
    <row r="302" spans="1:15">
      <c r="A302" t="str">
        <f>IF('ATP Pos'!A302="","",LEFT('ATP Pos'!A302,B302-1))</f>
        <v/>
      </c>
      <c r="B302" t="str">
        <f>IF('ATP Pos'!A302="","",SEARCH("_",'ATP Pos'!A302,1))</f>
        <v/>
      </c>
      <c r="C302" t="str">
        <f>IF(A302="","",IF('ATP Pos'!E302="-","",IF('ATP Pos'!E302&gt;0,"Buy",IF('ATP Pos'!E302&lt;0,"Sell"))))</f>
        <v/>
      </c>
      <c r="D302" t="str">
        <f>IF(A302="","",IF('ATP Pos'!E302="-","",IF('ATP Pos'!E302&gt;0,'ATP Pos'!E302,IF('ATP Pos'!E302&lt;0,-'ATP Pos'!E302))))</f>
        <v/>
      </c>
      <c r="E302" t="str">
        <f>IF(A302="","",LEFT('ATP Pos'!B302,F302-1))</f>
        <v/>
      </c>
      <c r="F302" t="str">
        <f>IF(A302="","",SEARCH("-",'ATP Pos'!B302,1))</f>
        <v/>
      </c>
      <c r="G302" t="str">
        <f>IF(A302="","",RIGHT('ATP Pos'!B302,3))</f>
        <v/>
      </c>
      <c r="H302" t="str">
        <f t="shared" si="20"/>
        <v/>
      </c>
      <c r="I302" t="str">
        <f t="shared" si="21"/>
        <v/>
      </c>
      <c r="J302" t="str">
        <f>IF(H302="","",VLOOKUP(I302,表3_3[],2,0))</f>
        <v/>
      </c>
      <c r="K302" t="str">
        <f>IF(H302="","",VLOOKUP(I302,表3_3[],3,0))</f>
        <v/>
      </c>
      <c r="L302" t="str">
        <f>IF(A302="","",IF(G302="LME","",VLOOKUP(RIGHT(E302,2),Helper1!$O$36:$P$48,2,0)))</f>
        <v/>
      </c>
      <c r="M302" t="str">
        <f t="shared" si="22"/>
        <v/>
      </c>
      <c r="N302" t="str">
        <f t="shared" si="23"/>
        <v/>
      </c>
      <c r="O302" t="str">
        <f t="shared" si="24"/>
        <v/>
      </c>
    </row>
    <row r="303" spans="1:15">
      <c r="A303" t="str">
        <f>IF('ATP Pos'!A303="","",LEFT('ATP Pos'!A303,B303-1))</f>
        <v/>
      </c>
      <c r="B303" t="str">
        <f>IF('ATP Pos'!A303="","",SEARCH("_",'ATP Pos'!A303,1))</f>
        <v/>
      </c>
      <c r="C303" t="str">
        <f>IF(A303="","",IF('ATP Pos'!E303="-","",IF('ATP Pos'!E303&gt;0,"Buy",IF('ATP Pos'!E303&lt;0,"Sell"))))</f>
        <v/>
      </c>
      <c r="D303" t="str">
        <f>IF(A303="","",IF('ATP Pos'!E303="-","",IF('ATP Pos'!E303&gt;0,'ATP Pos'!E303,IF('ATP Pos'!E303&lt;0,-'ATP Pos'!E303))))</f>
        <v/>
      </c>
      <c r="E303" t="str">
        <f>IF(A303="","",LEFT('ATP Pos'!B303,F303-1))</f>
        <v/>
      </c>
      <c r="F303" t="str">
        <f>IF(A303="","",SEARCH("-",'ATP Pos'!B303,1))</f>
        <v/>
      </c>
      <c r="G303" t="str">
        <f>IF(A303="","",RIGHT('ATP Pos'!B303,3))</f>
        <v/>
      </c>
      <c r="H303" t="str">
        <f t="shared" si="20"/>
        <v/>
      </c>
      <c r="I303" t="str">
        <f t="shared" si="21"/>
        <v/>
      </c>
      <c r="J303" t="str">
        <f>IF(H303="","",VLOOKUP(I303,表3_3[],2,0))</f>
        <v/>
      </c>
      <c r="K303" t="str">
        <f>IF(H303="","",VLOOKUP(I303,表3_3[],3,0))</f>
        <v/>
      </c>
      <c r="L303" t="str">
        <f>IF(A303="","",IF(G303="LME","",VLOOKUP(RIGHT(E303,2),Helper1!$O$36:$P$48,2,0)))</f>
        <v/>
      </c>
      <c r="M303" t="str">
        <f t="shared" si="22"/>
        <v/>
      </c>
      <c r="N303" t="str">
        <f t="shared" si="23"/>
        <v/>
      </c>
      <c r="O303" t="str">
        <f t="shared" si="24"/>
        <v/>
      </c>
    </row>
    <row r="304" spans="1:15">
      <c r="A304" t="str">
        <f>IF('ATP Pos'!A304="","",LEFT('ATP Pos'!A304,B304-1))</f>
        <v/>
      </c>
      <c r="B304" t="str">
        <f>IF('ATP Pos'!A304="","",SEARCH("_",'ATP Pos'!A304,1))</f>
        <v/>
      </c>
      <c r="C304" t="str">
        <f>IF(A304="","",IF('ATP Pos'!E304="-","",IF('ATP Pos'!E304&gt;0,"Buy",IF('ATP Pos'!E304&lt;0,"Sell"))))</f>
        <v/>
      </c>
      <c r="D304" t="str">
        <f>IF(A304="","",IF('ATP Pos'!E304="-","",IF('ATP Pos'!E304&gt;0,'ATP Pos'!E304,IF('ATP Pos'!E304&lt;0,-'ATP Pos'!E304))))</f>
        <v/>
      </c>
      <c r="E304" t="str">
        <f>IF(A304="","",LEFT('ATP Pos'!B304,F304-1))</f>
        <v/>
      </c>
      <c r="F304" t="str">
        <f>IF(A304="","",SEARCH("-",'ATP Pos'!B304,1))</f>
        <v/>
      </c>
      <c r="G304" t="str">
        <f>IF(A304="","",RIGHT('ATP Pos'!B304,3))</f>
        <v/>
      </c>
      <c r="H304" t="str">
        <f t="shared" si="20"/>
        <v/>
      </c>
      <c r="I304" t="str">
        <f t="shared" si="21"/>
        <v/>
      </c>
      <c r="J304" t="str">
        <f>IF(H304="","",VLOOKUP(I304,表3_3[],2,0))</f>
        <v/>
      </c>
      <c r="K304" t="str">
        <f>IF(H304="","",VLOOKUP(I304,表3_3[],3,0))</f>
        <v/>
      </c>
      <c r="L304" t="str">
        <f>IF(A304="","",IF(G304="LME","",VLOOKUP(RIGHT(E304,2),Helper1!$O$36:$P$48,2,0)))</f>
        <v/>
      </c>
      <c r="M304" t="str">
        <f t="shared" si="22"/>
        <v/>
      </c>
      <c r="N304" t="str">
        <f t="shared" si="23"/>
        <v/>
      </c>
      <c r="O304" t="str">
        <f t="shared" si="24"/>
        <v/>
      </c>
    </row>
    <row r="305" spans="1:15">
      <c r="A305" t="str">
        <f>IF('ATP Pos'!A305="","",LEFT('ATP Pos'!A305,B305-1))</f>
        <v/>
      </c>
      <c r="B305" t="str">
        <f>IF('ATP Pos'!A305="","",SEARCH("_",'ATP Pos'!A305,1))</f>
        <v/>
      </c>
      <c r="C305" t="str">
        <f>IF(A305="","",IF('ATP Pos'!E305="-","",IF('ATP Pos'!E305&gt;0,"Buy",IF('ATP Pos'!E305&lt;0,"Sell"))))</f>
        <v/>
      </c>
      <c r="D305" t="str">
        <f>IF(A305="","",IF('ATP Pos'!E305="-","",IF('ATP Pos'!E305&gt;0,'ATP Pos'!E305,IF('ATP Pos'!E305&lt;0,-'ATP Pos'!E305))))</f>
        <v/>
      </c>
      <c r="E305" t="str">
        <f>IF(A305="","",LEFT('ATP Pos'!B305,F305-1))</f>
        <v/>
      </c>
      <c r="F305" t="str">
        <f>IF(A305="","",SEARCH("-",'ATP Pos'!B305,1))</f>
        <v/>
      </c>
      <c r="G305" t="str">
        <f>IF(A305="","",RIGHT('ATP Pos'!B305,3))</f>
        <v/>
      </c>
      <c r="H305" t="str">
        <f t="shared" si="20"/>
        <v/>
      </c>
      <c r="I305" t="str">
        <f t="shared" si="21"/>
        <v/>
      </c>
      <c r="J305" t="str">
        <f>IF(H305="","",VLOOKUP(I305,表3_3[],2,0))</f>
        <v/>
      </c>
      <c r="K305" t="str">
        <f>IF(H305="","",VLOOKUP(I305,表3_3[],3,0))</f>
        <v/>
      </c>
      <c r="L305" t="str">
        <f>IF(A305="","",IF(G305="LME","",VLOOKUP(RIGHT(E305,2),Helper1!$O$36:$P$48,2,0)))</f>
        <v/>
      </c>
      <c r="M305" t="str">
        <f t="shared" si="22"/>
        <v/>
      </c>
      <c r="N305" t="str">
        <f t="shared" si="23"/>
        <v/>
      </c>
      <c r="O305" t="str">
        <f t="shared" si="24"/>
        <v/>
      </c>
    </row>
    <row r="306" spans="1:15">
      <c r="A306" t="str">
        <f>IF('ATP Pos'!A306="","",LEFT('ATP Pos'!A306,B306-1))</f>
        <v/>
      </c>
      <c r="B306" t="str">
        <f>IF('ATP Pos'!A306="","",SEARCH("_",'ATP Pos'!A306,1))</f>
        <v/>
      </c>
      <c r="C306" t="str">
        <f>IF(A306="","",IF('ATP Pos'!E306="-","",IF('ATP Pos'!E306&gt;0,"Buy",IF('ATP Pos'!E306&lt;0,"Sell"))))</f>
        <v/>
      </c>
      <c r="D306" t="str">
        <f>IF(A306="","",IF('ATP Pos'!E306="-","",IF('ATP Pos'!E306&gt;0,'ATP Pos'!E306,IF('ATP Pos'!E306&lt;0,-'ATP Pos'!E306))))</f>
        <v/>
      </c>
      <c r="E306" t="str">
        <f>IF(A306="","",LEFT('ATP Pos'!B306,F306-1))</f>
        <v/>
      </c>
      <c r="F306" t="str">
        <f>IF(A306="","",SEARCH("-",'ATP Pos'!B306,1))</f>
        <v/>
      </c>
      <c r="G306" t="str">
        <f>IF(A306="","",RIGHT('ATP Pos'!B306,3))</f>
        <v/>
      </c>
      <c r="H306" t="str">
        <f t="shared" si="20"/>
        <v/>
      </c>
      <c r="I306" t="str">
        <f t="shared" si="21"/>
        <v/>
      </c>
      <c r="J306" t="str">
        <f>IF(H306="","",VLOOKUP(I306,表3_3[],2,0))</f>
        <v/>
      </c>
      <c r="K306" t="str">
        <f>IF(H306="","",VLOOKUP(I306,表3_3[],3,0))</f>
        <v/>
      </c>
      <c r="L306" t="str">
        <f>IF(A306="","",IF(G306="LME","",VLOOKUP(RIGHT(E306,2),Helper1!$O$36:$P$48,2,0)))</f>
        <v/>
      </c>
      <c r="M306" t="str">
        <f t="shared" si="22"/>
        <v/>
      </c>
      <c r="N306" t="str">
        <f t="shared" si="23"/>
        <v/>
      </c>
      <c r="O306" t="str">
        <f t="shared" si="24"/>
        <v/>
      </c>
    </row>
    <row r="307" spans="1:15">
      <c r="A307" t="str">
        <f>IF('ATP Pos'!A307="","",LEFT('ATP Pos'!A307,B307-1))</f>
        <v/>
      </c>
      <c r="B307" t="str">
        <f>IF('ATP Pos'!A307="","",SEARCH("_",'ATP Pos'!A307,1))</f>
        <v/>
      </c>
      <c r="C307" t="str">
        <f>IF(A307="","",IF('ATP Pos'!E307="-","",IF('ATP Pos'!E307&gt;0,"Buy",IF('ATP Pos'!E307&lt;0,"Sell"))))</f>
        <v/>
      </c>
      <c r="D307" t="str">
        <f>IF(A307="","",IF('ATP Pos'!E307="-","",IF('ATP Pos'!E307&gt;0,'ATP Pos'!E307,IF('ATP Pos'!E307&lt;0,-'ATP Pos'!E307))))</f>
        <v/>
      </c>
      <c r="E307" t="str">
        <f>IF(A307="","",LEFT('ATP Pos'!B307,F307-1))</f>
        <v/>
      </c>
      <c r="F307" t="str">
        <f>IF(A307="","",SEARCH("-",'ATP Pos'!B307,1))</f>
        <v/>
      </c>
      <c r="G307" t="str">
        <f>IF(A307="","",RIGHT('ATP Pos'!B307,3))</f>
        <v/>
      </c>
      <c r="H307" t="str">
        <f t="shared" si="20"/>
        <v/>
      </c>
      <c r="I307" t="str">
        <f t="shared" si="21"/>
        <v/>
      </c>
      <c r="J307" t="str">
        <f>IF(H307="","",VLOOKUP(I307,表3_3[],2,0))</f>
        <v/>
      </c>
      <c r="K307" t="str">
        <f>IF(H307="","",VLOOKUP(I307,表3_3[],3,0))</f>
        <v/>
      </c>
      <c r="L307" t="str">
        <f>IF(A307="","",IF(G307="LME","",VLOOKUP(RIGHT(E307,2),Helper1!$O$36:$P$48,2,0)))</f>
        <v/>
      </c>
      <c r="M307" t="str">
        <f t="shared" si="22"/>
        <v/>
      </c>
      <c r="N307" t="str">
        <f t="shared" si="23"/>
        <v/>
      </c>
      <c r="O307" t="str">
        <f t="shared" si="24"/>
        <v/>
      </c>
    </row>
    <row r="308" spans="1:15">
      <c r="A308" t="str">
        <f>IF('ATP Pos'!A308="","",LEFT('ATP Pos'!A308,B308-1))</f>
        <v/>
      </c>
      <c r="B308" t="str">
        <f>IF('ATP Pos'!A308="","",SEARCH("_",'ATP Pos'!A308,1))</f>
        <v/>
      </c>
      <c r="C308" t="str">
        <f>IF(A308="","",IF('ATP Pos'!E308="-","",IF('ATP Pos'!E308&gt;0,"Buy",IF('ATP Pos'!E308&lt;0,"Sell"))))</f>
        <v/>
      </c>
      <c r="D308" t="str">
        <f>IF(A308="","",IF('ATP Pos'!E308="-","",IF('ATP Pos'!E308&gt;0,'ATP Pos'!E308,IF('ATP Pos'!E308&lt;0,-'ATP Pos'!E308))))</f>
        <v/>
      </c>
      <c r="E308" t="str">
        <f>IF(A308="","",LEFT('ATP Pos'!B308,F308-1))</f>
        <v/>
      </c>
      <c r="F308" t="str">
        <f>IF(A308="","",SEARCH("-",'ATP Pos'!B308,1))</f>
        <v/>
      </c>
      <c r="G308" t="str">
        <f>IF(A308="","",RIGHT('ATP Pos'!B308,3))</f>
        <v/>
      </c>
      <c r="H308" t="str">
        <f t="shared" si="20"/>
        <v/>
      </c>
      <c r="I308" t="str">
        <f t="shared" si="21"/>
        <v/>
      </c>
      <c r="J308" t="str">
        <f>IF(H308="","",VLOOKUP(I308,表3_3[],2,0))</f>
        <v/>
      </c>
      <c r="K308" t="str">
        <f>IF(H308="","",VLOOKUP(I308,表3_3[],3,0))</f>
        <v/>
      </c>
      <c r="L308" t="str">
        <f>IF(A308="","",IF(G308="LME","",VLOOKUP(RIGHT(E308,2),Helper1!$O$36:$P$48,2,0)))</f>
        <v/>
      </c>
      <c r="M308" t="str">
        <f t="shared" si="22"/>
        <v/>
      </c>
      <c r="N308" t="str">
        <f t="shared" si="23"/>
        <v/>
      </c>
      <c r="O308" t="str">
        <f t="shared" si="24"/>
        <v/>
      </c>
    </row>
    <row r="309" spans="1:15">
      <c r="A309" t="str">
        <f>IF('ATP Pos'!A309="","",LEFT('ATP Pos'!A309,B309-1))</f>
        <v/>
      </c>
      <c r="B309" t="str">
        <f>IF('ATP Pos'!A309="","",SEARCH("_",'ATP Pos'!A309,1))</f>
        <v/>
      </c>
      <c r="C309" t="str">
        <f>IF(A309="","",IF('ATP Pos'!E309="-","",IF('ATP Pos'!E309&gt;0,"Buy",IF('ATP Pos'!E309&lt;0,"Sell"))))</f>
        <v/>
      </c>
      <c r="D309" t="str">
        <f>IF(A309="","",IF('ATP Pos'!E309="-","",IF('ATP Pos'!E309&gt;0,'ATP Pos'!E309,IF('ATP Pos'!E309&lt;0,-'ATP Pos'!E309))))</f>
        <v/>
      </c>
      <c r="E309" t="str">
        <f>IF(A309="","",LEFT('ATP Pos'!B309,F309-1))</f>
        <v/>
      </c>
      <c r="F309" t="str">
        <f>IF(A309="","",SEARCH("-",'ATP Pos'!B309,1))</f>
        <v/>
      </c>
      <c r="G309" t="str">
        <f>IF(A309="","",RIGHT('ATP Pos'!B309,3))</f>
        <v/>
      </c>
      <c r="H309" t="str">
        <f t="shared" si="20"/>
        <v/>
      </c>
      <c r="I309" t="str">
        <f t="shared" si="21"/>
        <v/>
      </c>
      <c r="J309" t="str">
        <f>IF(H309="","",VLOOKUP(I309,表3_3[],2,0))</f>
        <v/>
      </c>
      <c r="K309" t="str">
        <f>IF(H309="","",VLOOKUP(I309,表3_3[],3,0))</f>
        <v/>
      </c>
      <c r="L309" t="str">
        <f>IF(A309="","",IF(G309="LME","",VLOOKUP(RIGHT(E309,2),Helper1!$O$36:$P$48,2,0)))</f>
        <v/>
      </c>
      <c r="M309" t="str">
        <f t="shared" si="22"/>
        <v/>
      </c>
      <c r="N309" t="str">
        <f t="shared" si="23"/>
        <v/>
      </c>
      <c r="O309" t="str">
        <f t="shared" si="24"/>
        <v/>
      </c>
    </row>
    <row r="310" spans="1:15">
      <c r="A310" t="str">
        <f>IF('ATP Pos'!A310="","",LEFT('ATP Pos'!A310,B310-1))</f>
        <v/>
      </c>
      <c r="B310" t="str">
        <f>IF('ATP Pos'!A310="","",SEARCH("_",'ATP Pos'!A310,1))</f>
        <v/>
      </c>
      <c r="C310" t="str">
        <f>IF(A310="","",IF('ATP Pos'!E310="-","",IF('ATP Pos'!E310&gt;0,"Buy",IF('ATP Pos'!E310&lt;0,"Sell"))))</f>
        <v/>
      </c>
      <c r="D310" t="str">
        <f>IF(A310="","",IF('ATP Pos'!E310="-","",IF('ATP Pos'!E310&gt;0,'ATP Pos'!E310,IF('ATP Pos'!E310&lt;0,-'ATP Pos'!E310))))</f>
        <v/>
      </c>
      <c r="E310" t="str">
        <f>IF(A310="","",LEFT('ATP Pos'!B310,F310-1))</f>
        <v/>
      </c>
      <c r="F310" t="str">
        <f>IF(A310="","",SEARCH("-",'ATP Pos'!B310,1))</f>
        <v/>
      </c>
      <c r="G310" t="str">
        <f>IF(A310="","",RIGHT('ATP Pos'!B310,3))</f>
        <v/>
      </c>
      <c r="H310" t="str">
        <f t="shared" si="20"/>
        <v/>
      </c>
      <c r="I310" t="str">
        <f t="shared" si="21"/>
        <v/>
      </c>
      <c r="J310" t="str">
        <f>IF(H310="","",VLOOKUP(I310,表3_3[],2,0))</f>
        <v/>
      </c>
      <c r="K310" t="str">
        <f>IF(H310="","",VLOOKUP(I310,表3_3[],3,0))</f>
        <v/>
      </c>
      <c r="L310" t="str">
        <f>IF(A310="","",IF(G310="LME","",VLOOKUP(RIGHT(E310,2),Helper1!$O$36:$P$48,2,0)))</f>
        <v/>
      </c>
      <c r="M310" t="str">
        <f t="shared" si="22"/>
        <v/>
      </c>
      <c r="N310" t="str">
        <f t="shared" si="23"/>
        <v/>
      </c>
      <c r="O310" t="str">
        <f t="shared" si="24"/>
        <v/>
      </c>
    </row>
    <row r="311" spans="1:15">
      <c r="A311" t="str">
        <f>IF('ATP Pos'!A311="","",LEFT('ATP Pos'!A311,B311-1))</f>
        <v/>
      </c>
      <c r="B311" t="str">
        <f>IF('ATP Pos'!A311="","",SEARCH("_",'ATP Pos'!A311,1))</f>
        <v/>
      </c>
      <c r="C311" t="str">
        <f>IF(A311="","",IF('ATP Pos'!E311="-","",IF('ATP Pos'!E311&gt;0,"Buy",IF('ATP Pos'!E311&lt;0,"Sell"))))</f>
        <v/>
      </c>
      <c r="D311" t="str">
        <f>IF(A311="","",IF('ATP Pos'!E311="-","",IF('ATP Pos'!E311&gt;0,'ATP Pos'!E311,IF('ATP Pos'!E311&lt;0,-'ATP Pos'!E311))))</f>
        <v/>
      </c>
      <c r="E311" t="str">
        <f>IF(A311="","",LEFT('ATP Pos'!B311,F311-1))</f>
        <v/>
      </c>
      <c r="F311" t="str">
        <f>IF(A311="","",SEARCH("-",'ATP Pos'!B311,1))</f>
        <v/>
      </c>
      <c r="G311" t="str">
        <f>IF(A311="","",RIGHT('ATP Pos'!B311,3))</f>
        <v/>
      </c>
      <c r="H311" t="str">
        <f t="shared" si="20"/>
        <v/>
      </c>
      <c r="I311" t="str">
        <f t="shared" si="21"/>
        <v/>
      </c>
      <c r="J311" t="str">
        <f>IF(H311="","",VLOOKUP(I311,表3_3[],2,0))</f>
        <v/>
      </c>
      <c r="K311" t="str">
        <f>IF(H311="","",VLOOKUP(I311,表3_3[],3,0))</f>
        <v/>
      </c>
      <c r="L311" t="str">
        <f>IF(A311="","",IF(G311="LME","",VLOOKUP(RIGHT(E311,2),Helper1!$O$36:$P$48,2,0)))</f>
        <v/>
      </c>
      <c r="M311" t="str">
        <f t="shared" si="22"/>
        <v/>
      </c>
      <c r="N311" t="str">
        <f t="shared" si="23"/>
        <v/>
      </c>
      <c r="O311" t="str">
        <f t="shared" si="24"/>
        <v/>
      </c>
    </row>
    <row r="312" spans="1:15">
      <c r="A312" t="str">
        <f>IF('ATP Pos'!A312="","",LEFT('ATP Pos'!A312,B312-1))</f>
        <v/>
      </c>
      <c r="B312" t="str">
        <f>IF('ATP Pos'!A312="","",SEARCH("_",'ATP Pos'!A312,1))</f>
        <v/>
      </c>
      <c r="C312" t="str">
        <f>IF(A312="","",IF('ATP Pos'!E312="-","",IF('ATP Pos'!E312&gt;0,"Buy",IF('ATP Pos'!E312&lt;0,"Sell"))))</f>
        <v/>
      </c>
      <c r="D312" t="str">
        <f>IF(A312="","",IF('ATP Pos'!E312="-","",IF('ATP Pos'!E312&gt;0,'ATP Pos'!E312,IF('ATP Pos'!E312&lt;0,-'ATP Pos'!E312))))</f>
        <v/>
      </c>
      <c r="E312" t="str">
        <f>IF(A312="","",LEFT('ATP Pos'!B312,F312-1))</f>
        <v/>
      </c>
      <c r="F312" t="str">
        <f>IF(A312="","",SEARCH("-",'ATP Pos'!B312,1))</f>
        <v/>
      </c>
      <c r="G312" t="str">
        <f>IF(A312="","",RIGHT('ATP Pos'!B312,3))</f>
        <v/>
      </c>
      <c r="H312" t="str">
        <f t="shared" si="20"/>
        <v/>
      </c>
      <c r="I312" t="str">
        <f t="shared" si="21"/>
        <v/>
      </c>
      <c r="J312" t="str">
        <f>IF(H312="","",VLOOKUP(I312,表3_3[],2,0))</f>
        <v/>
      </c>
      <c r="K312" t="str">
        <f>IF(H312="","",VLOOKUP(I312,表3_3[],3,0))</f>
        <v/>
      </c>
      <c r="L312" t="str">
        <f>IF(A312="","",IF(G312="LME","",VLOOKUP(RIGHT(E312,2),Helper1!$O$36:$P$48,2,0)))</f>
        <v/>
      </c>
      <c r="M312" t="str">
        <f t="shared" si="22"/>
        <v/>
      </c>
      <c r="N312" t="str">
        <f t="shared" si="23"/>
        <v/>
      </c>
      <c r="O312" t="str">
        <f t="shared" si="24"/>
        <v/>
      </c>
    </row>
    <row r="313" spans="1:15">
      <c r="A313" t="str">
        <f>IF('ATP Pos'!A313="","",LEFT('ATP Pos'!A313,B313-1))</f>
        <v/>
      </c>
      <c r="B313" t="str">
        <f>IF('ATP Pos'!A313="","",SEARCH("_",'ATP Pos'!A313,1))</f>
        <v/>
      </c>
      <c r="C313" t="str">
        <f>IF(A313="","",IF('ATP Pos'!E313="-","",IF('ATP Pos'!E313&gt;0,"Buy",IF('ATP Pos'!E313&lt;0,"Sell"))))</f>
        <v/>
      </c>
      <c r="D313" t="str">
        <f>IF(A313="","",IF('ATP Pos'!E313="-","",IF('ATP Pos'!E313&gt;0,'ATP Pos'!E313,IF('ATP Pos'!E313&lt;0,-'ATP Pos'!E313))))</f>
        <v/>
      </c>
      <c r="E313" t="str">
        <f>IF(A313="","",LEFT('ATP Pos'!B313,F313-1))</f>
        <v/>
      </c>
      <c r="F313" t="str">
        <f>IF(A313="","",SEARCH("-",'ATP Pos'!B313,1))</f>
        <v/>
      </c>
      <c r="G313" t="str">
        <f>IF(A313="","",RIGHT('ATP Pos'!B313,3))</f>
        <v/>
      </c>
      <c r="H313" t="str">
        <f t="shared" si="20"/>
        <v/>
      </c>
      <c r="I313" t="str">
        <f t="shared" si="21"/>
        <v/>
      </c>
      <c r="J313" t="str">
        <f>IF(H313="","",VLOOKUP(I313,表3_3[],2,0))</f>
        <v/>
      </c>
      <c r="K313" t="str">
        <f>IF(H313="","",VLOOKUP(I313,表3_3[],3,0))</f>
        <v/>
      </c>
      <c r="L313" t="str">
        <f>IF(A313="","",IF(G313="LME","",VLOOKUP(RIGHT(E313,2),Helper1!$O$36:$P$48,2,0)))</f>
        <v/>
      </c>
      <c r="M313" t="str">
        <f t="shared" si="22"/>
        <v/>
      </c>
      <c r="N313" t="str">
        <f t="shared" si="23"/>
        <v/>
      </c>
      <c r="O313" t="str">
        <f t="shared" si="24"/>
        <v/>
      </c>
    </row>
    <row r="314" spans="1:15">
      <c r="A314" t="str">
        <f>IF('ATP Pos'!A314="","",LEFT('ATP Pos'!A314,B314-1))</f>
        <v/>
      </c>
      <c r="B314" t="str">
        <f>IF('ATP Pos'!A314="","",SEARCH("_",'ATP Pos'!A314,1))</f>
        <v/>
      </c>
      <c r="C314" t="str">
        <f>IF(A314="","",IF('ATP Pos'!E314="-","",IF('ATP Pos'!E314&gt;0,"Buy",IF('ATP Pos'!E314&lt;0,"Sell"))))</f>
        <v/>
      </c>
      <c r="D314" t="str">
        <f>IF(A314="","",IF('ATP Pos'!E314="-","",IF('ATP Pos'!E314&gt;0,'ATP Pos'!E314,IF('ATP Pos'!E314&lt;0,-'ATP Pos'!E314))))</f>
        <v/>
      </c>
      <c r="E314" t="str">
        <f>IF(A314="","",LEFT('ATP Pos'!B314,F314-1))</f>
        <v/>
      </c>
      <c r="F314" t="str">
        <f>IF(A314="","",SEARCH("-",'ATP Pos'!B314,1))</f>
        <v/>
      </c>
      <c r="G314" t="str">
        <f>IF(A314="","",RIGHT('ATP Pos'!B314,3))</f>
        <v/>
      </c>
      <c r="H314" t="str">
        <f t="shared" si="20"/>
        <v/>
      </c>
      <c r="I314" t="str">
        <f t="shared" si="21"/>
        <v/>
      </c>
      <c r="J314" t="str">
        <f>IF(H314="","",VLOOKUP(I314,表3_3[],2,0))</f>
        <v/>
      </c>
      <c r="K314" t="str">
        <f>IF(H314="","",VLOOKUP(I314,表3_3[],3,0))</f>
        <v/>
      </c>
      <c r="L314" t="str">
        <f>IF(A314="","",IF(G314="LME","",VLOOKUP(RIGHT(E314,2),Helper1!$O$36:$P$48,2,0)))</f>
        <v/>
      </c>
      <c r="M314" t="str">
        <f t="shared" si="22"/>
        <v/>
      </c>
      <c r="N314" t="str">
        <f t="shared" si="23"/>
        <v/>
      </c>
      <c r="O314" t="str">
        <f t="shared" si="24"/>
        <v/>
      </c>
    </row>
    <row r="315" spans="1:15">
      <c r="A315" t="str">
        <f>IF('ATP Pos'!A315="","",LEFT('ATP Pos'!A315,B315-1))</f>
        <v/>
      </c>
      <c r="B315" t="str">
        <f>IF('ATP Pos'!A315="","",SEARCH("_",'ATP Pos'!A315,1))</f>
        <v/>
      </c>
      <c r="C315" t="str">
        <f>IF(A315="","",IF('ATP Pos'!E315="-","",IF('ATP Pos'!E315&gt;0,"Buy",IF('ATP Pos'!E315&lt;0,"Sell"))))</f>
        <v/>
      </c>
      <c r="D315" t="str">
        <f>IF(A315="","",IF('ATP Pos'!E315="-","",IF('ATP Pos'!E315&gt;0,'ATP Pos'!E315,IF('ATP Pos'!E315&lt;0,-'ATP Pos'!E315))))</f>
        <v/>
      </c>
      <c r="E315" t="str">
        <f>IF(A315="","",LEFT('ATP Pos'!B315,F315-1))</f>
        <v/>
      </c>
      <c r="F315" t="str">
        <f>IF(A315="","",SEARCH("-",'ATP Pos'!B315,1))</f>
        <v/>
      </c>
      <c r="G315" t="str">
        <f>IF(A315="","",RIGHT('ATP Pos'!B315,3))</f>
        <v/>
      </c>
      <c r="H315" t="str">
        <f t="shared" si="20"/>
        <v/>
      </c>
      <c r="I315" t="str">
        <f t="shared" si="21"/>
        <v/>
      </c>
      <c r="J315" t="str">
        <f>IF(H315="","",VLOOKUP(I315,表3_3[],2,0))</f>
        <v/>
      </c>
      <c r="K315" t="str">
        <f>IF(H315="","",VLOOKUP(I315,表3_3[],3,0))</f>
        <v/>
      </c>
      <c r="L315" t="str">
        <f>IF(A315="","",IF(G315="LME","",VLOOKUP(RIGHT(E315,2),Helper1!$O$36:$P$48,2,0)))</f>
        <v/>
      </c>
      <c r="M315" t="str">
        <f t="shared" si="22"/>
        <v/>
      </c>
      <c r="N315" t="str">
        <f t="shared" si="23"/>
        <v/>
      </c>
      <c r="O315" t="str">
        <f t="shared" si="24"/>
        <v/>
      </c>
    </row>
    <row r="316" spans="1:15">
      <c r="A316" t="str">
        <f>IF('ATP Pos'!A316="","",LEFT('ATP Pos'!A316,B316-1))</f>
        <v/>
      </c>
      <c r="B316" t="str">
        <f>IF('ATP Pos'!A316="","",SEARCH("_",'ATP Pos'!A316,1))</f>
        <v/>
      </c>
      <c r="C316" t="str">
        <f>IF(A316="","",IF('ATP Pos'!E316="-","",IF('ATP Pos'!E316&gt;0,"Buy",IF('ATP Pos'!E316&lt;0,"Sell"))))</f>
        <v/>
      </c>
      <c r="D316" t="str">
        <f>IF(A316="","",IF('ATP Pos'!E316="-","",IF('ATP Pos'!E316&gt;0,'ATP Pos'!E316,IF('ATP Pos'!E316&lt;0,-'ATP Pos'!E316))))</f>
        <v/>
      </c>
      <c r="E316" t="str">
        <f>IF(A316="","",LEFT('ATP Pos'!B316,F316-1))</f>
        <v/>
      </c>
      <c r="F316" t="str">
        <f>IF(A316="","",SEARCH("-",'ATP Pos'!B316,1))</f>
        <v/>
      </c>
      <c r="G316" t="str">
        <f>IF(A316="","",RIGHT('ATP Pos'!B316,3))</f>
        <v/>
      </c>
      <c r="H316" t="str">
        <f t="shared" si="20"/>
        <v/>
      </c>
      <c r="I316" t="str">
        <f t="shared" si="21"/>
        <v/>
      </c>
      <c r="J316" t="str">
        <f>IF(H316="","",VLOOKUP(I316,表3_3[],2,0))</f>
        <v/>
      </c>
      <c r="K316" t="str">
        <f>IF(H316="","",VLOOKUP(I316,表3_3[],3,0))</f>
        <v/>
      </c>
      <c r="L316" t="str">
        <f>IF(A316="","",IF(G316="LME","",VLOOKUP(RIGHT(E316,2),Helper1!$O$36:$P$48,2,0)))</f>
        <v/>
      </c>
      <c r="M316" t="str">
        <f t="shared" si="22"/>
        <v/>
      </c>
      <c r="N316" t="str">
        <f t="shared" si="23"/>
        <v/>
      </c>
      <c r="O316" t="str">
        <f t="shared" si="24"/>
        <v/>
      </c>
    </row>
    <row r="317" spans="1:15">
      <c r="A317" t="str">
        <f>IF('ATP Pos'!A317="","",LEFT('ATP Pos'!A317,B317-1))</f>
        <v/>
      </c>
      <c r="B317" t="str">
        <f>IF('ATP Pos'!A317="","",SEARCH("_",'ATP Pos'!A317,1))</f>
        <v/>
      </c>
      <c r="C317" t="str">
        <f>IF(A317="","",IF('ATP Pos'!E317="-","",IF('ATP Pos'!E317&gt;0,"Buy",IF('ATP Pos'!E317&lt;0,"Sell"))))</f>
        <v/>
      </c>
      <c r="D317" t="str">
        <f>IF(A317="","",IF('ATP Pos'!E317="-","",IF('ATP Pos'!E317&gt;0,'ATP Pos'!E317,IF('ATP Pos'!E317&lt;0,-'ATP Pos'!E317))))</f>
        <v/>
      </c>
      <c r="E317" t="str">
        <f>IF(A317="","",LEFT('ATP Pos'!B317,F317-1))</f>
        <v/>
      </c>
      <c r="F317" t="str">
        <f>IF(A317="","",SEARCH("-",'ATP Pos'!B317,1))</f>
        <v/>
      </c>
      <c r="G317" t="str">
        <f>IF(A317="","",RIGHT('ATP Pos'!B317,3))</f>
        <v/>
      </c>
      <c r="H317" t="str">
        <f t="shared" si="20"/>
        <v/>
      </c>
      <c r="I317" t="str">
        <f t="shared" si="21"/>
        <v/>
      </c>
      <c r="J317" t="str">
        <f>IF(H317="","",VLOOKUP(I317,表3_3[],2,0))</f>
        <v/>
      </c>
      <c r="K317" t="str">
        <f>IF(H317="","",VLOOKUP(I317,表3_3[],3,0))</f>
        <v/>
      </c>
      <c r="L317" t="str">
        <f>IF(A317="","",IF(G317="LME","",VLOOKUP(RIGHT(E317,2),Helper1!$O$36:$P$48,2,0)))</f>
        <v/>
      </c>
      <c r="M317" t="str">
        <f t="shared" si="22"/>
        <v/>
      </c>
      <c r="N317" t="str">
        <f t="shared" si="23"/>
        <v/>
      </c>
      <c r="O317" t="str">
        <f t="shared" si="24"/>
        <v/>
      </c>
    </row>
    <row r="318" spans="1:15">
      <c r="A318" t="str">
        <f>IF('ATP Pos'!A318="","",LEFT('ATP Pos'!A318,B318-1))</f>
        <v/>
      </c>
      <c r="B318" t="str">
        <f>IF('ATP Pos'!A318="","",SEARCH("_",'ATP Pos'!A318,1))</f>
        <v/>
      </c>
      <c r="C318" t="str">
        <f>IF(A318="","",IF('ATP Pos'!E318="-","",IF('ATP Pos'!E318&gt;0,"Buy",IF('ATP Pos'!E318&lt;0,"Sell"))))</f>
        <v/>
      </c>
      <c r="D318" t="str">
        <f>IF(A318="","",IF('ATP Pos'!E318="-","",IF('ATP Pos'!E318&gt;0,'ATP Pos'!E318,IF('ATP Pos'!E318&lt;0,-'ATP Pos'!E318))))</f>
        <v/>
      </c>
      <c r="E318" t="str">
        <f>IF(A318="","",LEFT('ATP Pos'!B318,F318-1))</f>
        <v/>
      </c>
      <c r="F318" t="str">
        <f>IF(A318="","",SEARCH("-",'ATP Pos'!B318,1))</f>
        <v/>
      </c>
      <c r="G318" t="str">
        <f>IF(A318="","",RIGHT('ATP Pos'!B318,3))</f>
        <v/>
      </c>
      <c r="H318" t="str">
        <f t="shared" si="20"/>
        <v/>
      </c>
      <c r="I318" t="str">
        <f t="shared" si="21"/>
        <v/>
      </c>
      <c r="J318" t="str">
        <f>IF(H318="","",VLOOKUP(I318,表3_3[],2,0))</f>
        <v/>
      </c>
      <c r="K318" t="str">
        <f>IF(H318="","",VLOOKUP(I318,表3_3[],3,0))</f>
        <v/>
      </c>
      <c r="L318" t="str">
        <f>IF(A318="","",IF(G318="LME","",VLOOKUP(RIGHT(E318,2),Helper1!$O$36:$P$48,2,0)))</f>
        <v/>
      </c>
      <c r="M318" t="str">
        <f t="shared" si="22"/>
        <v/>
      </c>
      <c r="N318" t="str">
        <f t="shared" si="23"/>
        <v/>
      </c>
      <c r="O318" t="str">
        <f t="shared" si="24"/>
        <v/>
      </c>
    </row>
    <row r="319" spans="1:15">
      <c r="A319" t="str">
        <f>IF('ATP Pos'!A319="","",LEFT('ATP Pos'!A319,B319-1))</f>
        <v/>
      </c>
      <c r="B319" t="str">
        <f>IF('ATP Pos'!A319="","",SEARCH("_",'ATP Pos'!A319,1))</f>
        <v/>
      </c>
      <c r="C319" t="str">
        <f>IF(A319="","",IF('ATP Pos'!E319="-","",IF('ATP Pos'!E319&gt;0,"Buy",IF('ATP Pos'!E319&lt;0,"Sell"))))</f>
        <v/>
      </c>
      <c r="D319" t="str">
        <f>IF(A319="","",IF('ATP Pos'!E319="-","",IF('ATP Pos'!E319&gt;0,'ATP Pos'!E319,IF('ATP Pos'!E319&lt;0,-'ATP Pos'!E319))))</f>
        <v/>
      </c>
      <c r="E319" t="str">
        <f>IF(A319="","",LEFT('ATP Pos'!B319,F319-1))</f>
        <v/>
      </c>
      <c r="F319" t="str">
        <f>IF(A319="","",SEARCH("-",'ATP Pos'!B319,1))</f>
        <v/>
      </c>
      <c r="G319" t="str">
        <f>IF(A319="","",RIGHT('ATP Pos'!B319,3))</f>
        <v/>
      </c>
      <c r="H319" t="str">
        <f t="shared" si="20"/>
        <v/>
      </c>
      <c r="I319" t="str">
        <f t="shared" si="21"/>
        <v/>
      </c>
      <c r="J319" t="str">
        <f>IF(H319="","",VLOOKUP(I319,表3_3[],2,0))</f>
        <v/>
      </c>
      <c r="K319" t="str">
        <f>IF(H319="","",VLOOKUP(I319,表3_3[],3,0))</f>
        <v/>
      </c>
      <c r="L319" t="str">
        <f>IF(A319="","",IF(G319="LME","",VLOOKUP(RIGHT(E319,2),Helper1!$O$36:$P$48,2,0)))</f>
        <v/>
      </c>
      <c r="M319" t="str">
        <f t="shared" si="22"/>
        <v/>
      </c>
      <c r="N319" t="str">
        <f t="shared" si="23"/>
        <v/>
      </c>
      <c r="O319" t="str">
        <f t="shared" si="24"/>
        <v/>
      </c>
    </row>
    <row r="320" spans="1:15">
      <c r="A320" t="str">
        <f>IF('ATP Pos'!A320="","",LEFT('ATP Pos'!A320,B320-1))</f>
        <v/>
      </c>
      <c r="B320" t="str">
        <f>IF('ATP Pos'!A320="","",SEARCH("_",'ATP Pos'!A320,1))</f>
        <v/>
      </c>
      <c r="C320" t="str">
        <f>IF(A320="","",IF('ATP Pos'!E320="-","",IF('ATP Pos'!E320&gt;0,"Buy",IF('ATP Pos'!E320&lt;0,"Sell"))))</f>
        <v/>
      </c>
      <c r="D320" t="str">
        <f>IF(A320="","",IF('ATP Pos'!E320="-","",IF('ATP Pos'!E320&gt;0,'ATP Pos'!E320,IF('ATP Pos'!E320&lt;0,-'ATP Pos'!E320))))</f>
        <v/>
      </c>
      <c r="E320" t="str">
        <f>IF(A320="","",LEFT('ATP Pos'!B320,F320-1))</f>
        <v/>
      </c>
      <c r="F320" t="str">
        <f>IF(A320="","",SEARCH("-",'ATP Pos'!B320,1))</f>
        <v/>
      </c>
      <c r="G320" t="str">
        <f>IF(A320="","",RIGHT('ATP Pos'!B320,3))</f>
        <v/>
      </c>
      <c r="H320" t="str">
        <f t="shared" si="20"/>
        <v/>
      </c>
      <c r="I320" t="str">
        <f t="shared" si="21"/>
        <v/>
      </c>
      <c r="J320" t="str">
        <f>IF(H320="","",VLOOKUP(I320,表3_3[],2,0))</f>
        <v/>
      </c>
      <c r="K320" t="str">
        <f>IF(H320="","",VLOOKUP(I320,表3_3[],3,0))</f>
        <v/>
      </c>
      <c r="L320" t="str">
        <f>IF(A320="","",IF(G320="LME","",VLOOKUP(RIGHT(E320,2),Helper1!$O$36:$P$48,2,0)))</f>
        <v/>
      </c>
      <c r="M320" t="str">
        <f t="shared" si="22"/>
        <v/>
      </c>
      <c r="N320" t="str">
        <f t="shared" si="23"/>
        <v/>
      </c>
      <c r="O320" t="str">
        <f t="shared" si="24"/>
        <v/>
      </c>
    </row>
    <row r="321" spans="1:15">
      <c r="A321" t="str">
        <f>IF('ATP Pos'!A321="","",LEFT('ATP Pos'!A321,B321-1))</f>
        <v/>
      </c>
      <c r="B321" t="str">
        <f>IF('ATP Pos'!A321="","",SEARCH("_",'ATP Pos'!A321,1))</f>
        <v/>
      </c>
      <c r="C321" t="str">
        <f>IF(A321="","",IF('ATP Pos'!E321="-","",IF('ATP Pos'!E321&gt;0,"Buy",IF('ATP Pos'!E321&lt;0,"Sell"))))</f>
        <v/>
      </c>
      <c r="D321" t="str">
        <f>IF(A321="","",IF('ATP Pos'!E321="-","",IF('ATP Pos'!E321&gt;0,'ATP Pos'!E321,IF('ATP Pos'!E321&lt;0,-'ATP Pos'!E321))))</f>
        <v/>
      </c>
      <c r="E321" t="str">
        <f>IF(A321="","",LEFT('ATP Pos'!B321,F321-1))</f>
        <v/>
      </c>
      <c r="F321" t="str">
        <f>IF(A321="","",SEARCH("-",'ATP Pos'!B321,1))</f>
        <v/>
      </c>
      <c r="G321" t="str">
        <f>IF(A321="","",RIGHT('ATP Pos'!B321,3))</f>
        <v/>
      </c>
      <c r="H321" t="str">
        <f t="shared" si="20"/>
        <v/>
      </c>
      <c r="I321" t="str">
        <f t="shared" si="21"/>
        <v/>
      </c>
      <c r="J321" t="str">
        <f>IF(H321="","",VLOOKUP(I321,表3_3[],2,0))</f>
        <v/>
      </c>
      <c r="K321" t="str">
        <f>IF(H321="","",VLOOKUP(I321,表3_3[],3,0))</f>
        <v/>
      </c>
      <c r="L321" t="str">
        <f>IF(A321="","",IF(G321="LME","",VLOOKUP(RIGHT(E321,2),Helper1!$O$36:$P$48,2,0)))</f>
        <v/>
      </c>
      <c r="M321" t="str">
        <f t="shared" si="22"/>
        <v/>
      </c>
      <c r="N321" t="str">
        <f t="shared" si="23"/>
        <v/>
      </c>
      <c r="O321" t="str">
        <f t="shared" si="24"/>
        <v/>
      </c>
    </row>
    <row r="322" spans="1:15">
      <c r="A322" t="str">
        <f>IF('ATP Pos'!A322="","",LEFT('ATP Pos'!A322,B322-1))</f>
        <v/>
      </c>
      <c r="B322" t="str">
        <f>IF('ATP Pos'!A322="","",SEARCH("_",'ATP Pos'!A322,1))</f>
        <v/>
      </c>
      <c r="C322" t="str">
        <f>IF(A322="","",IF('ATP Pos'!E322="-","",IF('ATP Pos'!E322&gt;0,"Buy",IF('ATP Pos'!E322&lt;0,"Sell"))))</f>
        <v/>
      </c>
      <c r="D322" t="str">
        <f>IF(A322="","",IF('ATP Pos'!E322="-","",IF('ATP Pos'!E322&gt;0,'ATP Pos'!E322,IF('ATP Pos'!E322&lt;0,-'ATP Pos'!E322))))</f>
        <v/>
      </c>
      <c r="E322" t="str">
        <f>IF(A322="","",LEFT('ATP Pos'!B322,F322-1))</f>
        <v/>
      </c>
      <c r="F322" t="str">
        <f>IF(A322="","",SEARCH("-",'ATP Pos'!B322,1))</f>
        <v/>
      </c>
      <c r="G322" t="str">
        <f>IF(A322="","",RIGHT('ATP Pos'!B322,3))</f>
        <v/>
      </c>
      <c r="H322" t="str">
        <f t="shared" si="20"/>
        <v/>
      </c>
      <c r="I322" t="str">
        <f t="shared" si="21"/>
        <v/>
      </c>
      <c r="J322" t="str">
        <f>IF(H322="","",VLOOKUP(I322,表3_3[],2,0))</f>
        <v/>
      </c>
      <c r="K322" t="str">
        <f>IF(H322="","",VLOOKUP(I322,表3_3[],3,0))</f>
        <v/>
      </c>
      <c r="L322" t="str">
        <f>IF(A322="","",IF(G322="LME","",VLOOKUP(RIGHT(E322,2),Helper1!$O$36:$P$48,2,0)))</f>
        <v/>
      </c>
      <c r="M322" t="str">
        <f t="shared" si="22"/>
        <v/>
      </c>
      <c r="N322" t="str">
        <f t="shared" si="23"/>
        <v/>
      </c>
      <c r="O322" t="str">
        <f t="shared" si="24"/>
        <v/>
      </c>
    </row>
    <row r="323" spans="1:15">
      <c r="A323" t="str">
        <f>IF('ATP Pos'!A323="","",LEFT('ATP Pos'!A323,B323-1))</f>
        <v/>
      </c>
      <c r="B323" t="str">
        <f>IF('ATP Pos'!A323="","",SEARCH("_",'ATP Pos'!A323,1))</f>
        <v/>
      </c>
      <c r="C323" t="str">
        <f>IF(A323="","",IF('ATP Pos'!E323="-","",IF('ATP Pos'!E323&gt;0,"Buy",IF('ATP Pos'!E323&lt;0,"Sell"))))</f>
        <v/>
      </c>
      <c r="D323" t="str">
        <f>IF(A323="","",IF('ATP Pos'!E323="-","",IF('ATP Pos'!E323&gt;0,'ATP Pos'!E323,IF('ATP Pos'!E323&lt;0,-'ATP Pos'!E323))))</f>
        <v/>
      </c>
      <c r="E323" t="str">
        <f>IF(A323="","",LEFT('ATP Pos'!B323,F323-1))</f>
        <v/>
      </c>
      <c r="F323" t="str">
        <f>IF(A323="","",SEARCH("-",'ATP Pos'!B323,1))</f>
        <v/>
      </c>
      <c r="G323" t="str">
        <f>IF(A323="","",RIGHT('ATP Pos'!B323,3))</f>
        <v/>
      </c>
      <c r="H323" t="str">
        <f t="shared" ref="H323:H386" si="25">IF(A323="","",IF(OR(G323="OSE",G323="BMD",,G323="EUREX",G323="SGX",G323="LME",G323="tocom",G323="APEX",G323="cfe",G323="EUX",AND(G323="ice",I323="gls")),G323,""))</f>
        <v/>
      </c>
      <c r="I323" t="str">
        <f t="shared" ref="I323:I386" si="26">IF(A323="","",IF(G323="LME",LEFT(E323,LEN(E323)-6),LEFT(E323,LEN(E323)-4)))</f>
        <v/>
      </c>
      <c r="J323" t="str">
        <f>IF(H323="","",VLOOKUP(I323,表3_3[],2,0))</f>
        <v/>
      </c>
      <c r="K323" t="str">
        <f>IF(H323="","",VLOOKUP(I323,表3_3[],3,0))</f>
        <v/>
      </c>
      <c r="L323" t="str">
        <f>IF(A323="","",IF(G323="LME","",VLOOKUP(RIGHT(E323,2),Helper1!$O$36:$P$48,2,0)))</f>
        <v/>
      </c>
      <c r="M323" t="str">
        <f t="shared" ref="M323:M386" si="27">IF(A323="","",IF(G323="LME","",20&amp;MID(E323,LEN(I323)+1,2)))</f>
        <v/>
      </c>
      <c r="N323" t="str">
        <f t="shared" ref="N323:N386" si="28">IF(A323="","",IF(G323="LME",20&amp;RIGHT(E323,6),""))</f>
        <v/>
      </c>
      <c r="O323" t="str">
        <f t="shared" ref="O323:O386" si="29">IF(H323="","",IF(G323="LME",G323&amp;"-"&amp;K323&amp;"-"&amp;N323,L323&amp;"-"&amp;M323&amp;"-"&amp;K323))</f>
        <v/>
      </c>
    </row>
    <row r="324" spans="1:15">
      <c r="A324" t="str">
        <f>IF('ATP Pos'!A324="","",LEFT('ATP Pos'!A324,B324-1))</f>
        <v/>
      </c>
      <c r="B324" t="str">
        <f>IF('ATP Pos'!A324="","",SEARCH("_",'ATP Pos'!A324,1))</f>
        <v/>
      </c>
      <c r="C324" t="str">
        <f>IF(A324="","",IF('ATP Pos'!E324="-","",IF('ATP Pos'!E324&gt;0,"Buy",IF('ATP Pos'!E324&lt;0,"Sell"))))</f>
        <v/>
      </c>
      <c r="D324" t="str">
        <f>IF(A324="","",IF('ATP Pos'!E324="-","",IF('ATP Pos'!E324&gt;0,'ATP Pos'!E324,IF('ATP Pos'!E324&lt;0,-'ATP Pos'!E324))))</f>
        <v/>
      </c>
      <c r="E324" t="str">
        <f>IF(A324="","",LEFT('ATP Pos'!B324,F324-1))</f>
        <v/>
      </c>
      <c r="F324" t="str">
        <f>IF(A324="","",SEARCH("-",'ATP Pos'!B324,1))</f>
        <v/>
      </c>
      <c r="G324" t="str">
        <f>IF(A324="","",RIGHT('ATP Pos'!B324,3))</f>
        <v/>
      </c>
      <c r="H324" t="str">
        <f t="shared" si="25"/>
        <v/>
      </c>
      <c r="I324" t="str">
        <f t="shared" si="26"/>
        <v/>
      </c>
      <c r="J324" t="str">
        <f>IF(H324="","",VLOOKUP(I324,表3_3[],2,0))</f>
        <v/>
      </c>
      <c r="K324" t="str">
        <f>IF(H324="","",VLOOKUP(I324,表3_3[],3,0))</f>
        <v/>
      </c>
      <c r="L324" t="str">
        <f>IF(A324="","",IF(G324="LME","",VLOOKUP(RIGHT(E324,2),Helper1!$O$36:$P$48,2,0)))</f>
        <v/>
      </c>
      <c r="M324" t="str">
        <f t="shared" si="27"/>
        <v/>
      </c>
      <c r="N324" t="str">
        <f t="shared" si="28"/>
        <v/>
      </c>
      <c r="O324" t="str">
        <f t="shared" si="29"/>
        <v/>
      </c>
    </row>
    <row r="325" spans="1:15">
      <c r="A325" t="str">
        <f>IF('ATP Pos'!A325="","",LEFT('ATP Pos'!A325,B325-1))</f>
        <v/>
      </c>
      <c r="B325" t="str">
        <f>IF('ATP Pos'!A325="","",SEARCH("_",'ATP Pos'!A325,1))</f>
        <v/>
      </c>
      <c r="C325" t="str">
        <f>IF(A325="","",IF('ATP Pos'!E325="-","",IF('ATP Pos'!E325&gt;0,"Buy",IF('ATP Pos'!E325&lt;0,"Sell"))))</f>
        <v/>
      </c>
      <c r="D325" t="str">
        <f>IF(A325="","",IF('ATP Pos'!E325="-","",IF('ATP Pos'!E325&gt;0,'ATP Pos'!E325,IF('ATP Pos'!E325&lt;0,-'ATP Pos'!E325))))</f>
        <v/>
      </c>
      <c r="E325" t="str">
        <f>IF(A325="","",LEFT('ATP Pos'!B325,F325-1))</f>
        <v/>
      </c>
      <c r="F325" t="str">
        <f>IF(A325="","",SEARCH("-",'ATP Pos'!B325,1))</f>
        <v/>
      </c>
      <c r="G325" t="str">
        <f>IF(A325="","",RIGHT('ATP Pos'!B325,3))</f>
        <v/>
      </c>
      <c r="H325" t="str">
        <f t="shared" si="25"/>
        <v/>
      </c>
      <c r="I325" t="str">
        <f t="shared" si="26"/>
        <v/>
      </c>
      <c r="J325" t="str">
        <f>IF(H325="","",VLOOKUP(I325,表3_3[],2,0))</f>
        <v/>
      </c>
      <c r="K325" t="str">
        <f>IF(H325="","",VLOOKUP(I325,表3_3[],3,0))</f>
        <v/>
      </c>
      <c r="L325" t="str">
        <f>IF(A325="","",IF(G325="LME","",VLOOKUP(RIGHT(E325,2),Helper1!$O$36:$P$48,2,0)))</f>
        <v/>
      </c>
      <c r="M325" t="str">
        <f t="shared" si="27"/>
        <v/>
      </c>
      <c r="N325" t="str">
        <f t="shared" si="28"/>
        <v/>
      </c>
      <c r="O325" t="str">
        <f t="shared" si="29"/>
        <v/>
      </c>
    </row>
    <row r="326" spans="1:15">
      <c r="A326" t="str">
        <f>IF('ATP Pos'!A326="","",LEFT('ATP Pos'!A326,B326-1))</f>
        <v/>
      </c>
      <c r="B326" t="str">
        <f>IF('ATP Pos'!A326="","",SEARCH("_",'ATP Pos'!A326,1))</f>
        <v/>
      </c>
      <c r="C326" t="str">
        <f>IF(A326="","",IF('ATP Pos'!E326="-","",IF('ATP Pos'!E326&gt;0,"Buy",IF('ATP Pos'!E326&lt;0,"Sell"))))</f>
        <v/>
      </c>
      <c r="D326" t="str">
        <f>IF(A326="","",IF('ATP Pos'!E326="-","",IF('ATP Pos'!E326&gt;0,'ATP Pos'!E326,IF('ATP Pos'!E326&lt;0,-'ATP Pos'!E326))))</f>
        <v/>
      </c>
      <c r="E326" t="str">
        <f>IF(A326="","",LEFT('ATP Pos'!B326,F326-1))</f>
        <v/>
      </c>
      <c r="F326" t="str">
        <f>IF(A326="","",SEARCH("-",'ATP Pos'!B326,1))</f>
        <v/>
      </c>
      <c r="G326" t="str">
        <f>IF(A326="","",RIGHT('ATP Pos'!B326,3))</f>
        <v/>
      </c>
      <c r="H326" t="str">
        <f t="shared" si="25"/>
        <v/>
      </c>
      <c r="I326" t="str">
        <f t="shared" si="26"/>
        <v/>
      </c>
      <c r="J326" t="str">
        <f>IF(H326="","",VLOOKUP(I326,表3_3[],2,0))</f>
        <v/>
      </c>
      <c r="K326" t="str">
        <f>IF(H326="","",VLOOKUP(I326,表3_3[],3,0))</f>
        <v/>
      </c>
      <c r="L326" t="str">
        <f>IF(A326="","",IF(G326="LME","",VLOOKUP(RIGHT(E326,2),Helper1!$O$36:$P$48,2,0)))</f>
        <v/>
      </c>
      <c r="M326" t="str">
        <f t="shared" si="27"/>
        <v/>
      </c>
      <c r="N326" t="str">
        <f t="shared" si="28"/>
        <v/>
      </c>
      <c r="O326" t="str">
        <f t="shared" si="29"/>
        <v/>
      </c>
    </row>
    <row r="327" spans="1:15">
      <c r="A327" t="str">
        <f>IF('ATP Pos'!A327="","",LEFT('ATP Pos'!A327,B327-1))</f>
        <v/>
      </c>
      <c r="B327" t="str">
        <f>IF('ATP Pos'!A327="","",SEARCH("_",'ATP Pos'!A327,1))</f>
        <v/>
      </c>
      <c r="C327" t="str">
        <f>IF(A327="","",IF('ATP Pos'!E327="-","",IF('ATP Pos'!E327&gt;0,"Buy",IF('ATP Pos'!E327&lt;0,"Sell"))))</f>
        <v/>
      </c>
      <c r="D327" t="str">
        <f>IF(A327="","",IF('ATP Pos'!E327="-","",IF('ATP Pos'!E327&gt;0,'ATP Pos'!E327,IF('ATP Pos'!E327&lt;0,-'ATP Pos'!E327))))</f>
        <v/>
      </c>
      <c r="E327" t="str">
        <f>IF(A327="","",LEFT('ATP Pos'!B327,F327-1))</f>
        <v/>
      </c>
      <c r="F327" t="str">
        <f>IF(A327="","",SEARCH("-",'ATP Pos'!B327,1))</f>
        <v/>
      </c>
      <c r="G327" t="str">
        <f>IF(A327="","",RIGHT('ATP Pos'!B327,3))</f>
        <v/>
      </c>
      <c r="H327" t="str">
        <f t="shared" si="25"/>
        <v/>
      </c>
      <c r="I327" t="str">
        <f t="shared" si="26"/>
        <v/>
      </c>
      <c r="J327" t="str">
        <f>IF(H327="","",VLOOKUP(I327,表3_3[],2,0))</f>
        <v/>
      </c>
      <c r="K327" t="str">
        <f>IF(H327="","",VLOOKUP(I327,表3_3[],3,0))</f>
        <v/>
      </c>
      <c r="L327" t="str">
        <f>IF(A327="","",IF(G327="LME","",VLOOKUP(RIGHT(E327,2),Helper1!$O$36:$P$48,2,0)))</f>
        <v/>
      </c>
      <c r="M327" t="str">
        <f t="shared" si="27"/>
        <v/>
      </c>
      <c r="N327" t="str">
        <f t="shared" si="28"/>
        <v/>
      </c>
      <c r="O327" t="str">
        <f t="shared" si="29"/>
        <v/>
      </c>
    </row>
    <row r="328" spans="1:15">
      <c r="A328" t="str">
        <f>IF('ATP Pos'!A328="","",LEFT('ATP Pos'!A328,B328-1))</f>
        <v/>
      </c>
      <c r="B328" t="str">
        <f>IF('ATP Pos'!A328="","",SEARCH("_",'ATP Pos'!A328,1))</f>
        <v/>
      </c>
      <c r="C328" t="str">
        <f>IF(A328="","",IF('ATP Pos'!E328="-","",IF('ATP Pos'!E328&gt;0,"Buy",IF('ATP Pos'!E328&lt;0,"Sell"))))</f>
        <v/>
      </c>
      <c r="D328" t="str">
        <f>IF(A328="","",IF('ATP Pos'!E328="-","",IF('ATP Pos'!E328&gt;0,'ATP Pos'!E328,IF('ATP Pos'!E328&lt;0,-'ATP Pos'!E328))))</f>
        <v/>
      </c>
      <c r="E328" t="str">
        <f>IF(A328="","",LEFT('ATP Pos'!B328,F328-1))</f>
        <v/>
      </c>
      <c r="F328" t="str">
        <f>IF(A328="","",SEARCH("-",'ATP Pos'!B328,1))</f>
        <v/>
      </c>
      <c r="G328" t="str">
        <f>IF(A328="","",RIGHT('ATP Pos'!B328,3))</f>
        <v/>
      </c>
      <c r="H328" t="str">
        <f t="shared" si="25"/>
        <v/>
      </c>
      <c r="I328" t="str">
        <f t="shared" si="26"/>
        <v/>
      </c>
      <c r="J328" t="str">
        <f>IF(H328="","",VLOOKUP(I328,表3_3[],2,0))</f>
        <v/>
      </c>
      <c r="K328" t="str">
        <f>IF(H328="","",VLOOKUP(I328,表3_3[],3,0))</f>
        <v/>
      </c>
      <c r="L328" t="str">
        <f>IF(A328="","",IF(G328="LME","",VLOOKUP(RIGHT(E328,2),Helper1!$O$36:$P$48,2,0)))</f>
        <v/>
      </c>
      <c r="M328" t="str">
        <f t="shared" si="27"/>
        <v/>
      </c>
      <c r="N328" t="str">
        <f t="shared" si="28"/>
        <v/>
      </c>
      <c r="O328" t="str">
        <f t="shared" si="29"/>
        <v/>
      </c>
    </row>
    <row r="329" spans="1:15">
      <c r="A329" t="str">
        <f>IF('ATP Pos'!A329="","",LEFT('ATP Pos'!A329,B329-1))</f>
        <v/>
      </c>
      <c r="B329" t="str">
        <f>IF('ATP Pos'!A329="","",SEARCH("_",'ATP Pos'!A329,1))</f>
        <v/>
      </c>
      <c r="C329" t="str">
        <f>IF(A329="","",IF('ATP Pos'!E329="-","",IF('ATP Pos'!E329&gt;0,"Buy",IF('ATP Pos'!E329&lt;0,"Sell"))))</f>
        <v/>
      </c>
      <c r="D329" t="str">
        <f>IF(A329="","",IF('ATP Pos'!E329="-","",IF('ATP Pos'!E329&gt;0,'ATP Pos'!E329,IF('ATP Pos'!E329&lt;0,-'ATP Pos'!E329))))</f>
        <v/>
      </c>
      <c r="E329" t="str">
        <f>IF(A329="","",LEFT('ATP Pos'!B329,F329-1))</f>
        <v/>
      </c>
      <c r="F329" t="str">
        <f>IF(A329="","",SEARCH("-",'ATP Pos'!B329,1))</f>
        <v/>
      </c>
      <c r="G329" t="str">
        <f>IF(A329="","",RIGHT('ATP Pos'!B329,3))</f>
        <v/>
      </c>
      <c r="H329" t="str">
        <f t="shared" si="25"/>
        <v/>
      </c>
      <c r="I329" t="str">
        <f t="shared" si="26"/>
        <v/>
      </c>
      <c r="J329" t="str">
        <f>IF(H329="","",VLOOKUP(I329,表3_3[],2,0))</f>
        <v/>
      </c>
      <c r="K329" t="str">
        <f>IF(H329="","",VLOOKUP(I329,表3_3[],3,0))</f>
        <v/>
      </c>
      <c r="L329" t="str">
        <f>IF(A329="","",IF(G329="LME","",VLOOKUP(RIGHT(E329,2),Helper1!$O$36:$P$48,2,0)))</f>
        <v/>
      </c>
      <c r="M329" t="str">
        <f t="shared" si="27"/>
        <v/>
      </c>
      <c r="N329" t="str">
        <f t="shared" si="28"/>
        <v/>
      </c>
      <c r="O329" t="str">
        <f t="shared" si="29"/>
        <v/>
      </c>
    </row>
    <row r="330" spans="1:15">
      <c r="A330" t="str">
        <f>IF('ATP Pos'!A330="","",LEFT('ATP Pos'!A330,B330-1))</f>
        <v/>
      </c>
      <c r="B330" t="str">
        <f>IF('ATP Pos'!A330="","",SEARCH("_",'ATP Pos'!A330,1))</f>
        <v/>
      </c>
      <c r="C330" t="str">
        <f>IF(A330="","",IF('ATP Pos'!E330="-","",IF('ATP Pos'!E330&gt;0,"Buy",IF('ATP Pos'!E330&lt;0,"Sell"))))</f>
        <v/>
      </c>
      <c r="D330" t="str">
        <f>IF(A330="","",IF('ATP Pos'!E330="-","",IF('ATP Pos'!E330&gt;0,'ATP Pos'!E330,IF('ATP Pos'!E330&lt;0,-'ATP Pos'!E330))))</f>
        <v/>
      </c>
      <c r="E330" t="str">
        <f>IF(A330="","",LEFT('ATP Pos'!B330,F330-1))</f>
        <v/>
      </c>
      <c r="F330" t="str">
        <f>IF(A330="","",SEARCH("-",'ATP Pos'!B330,1))</f>
        <v/>
      </c>
      <c r="G330" t="str">
        <f>IF(A330="","",RIGHT('ATP Pos'!B330,3))</f>
        <v/>
      </c>
      <c r="H330" t="str">
        <f t="shared" si="25"/>
        <v/>
      </c>
      <c r="I330" t="str">
        <f t="shared" si="26"/>
        <v/>
      </c>
      <c r="J330" t="str">
        <f>IF(H330="","",VLOOKUP(I330,表3_3[],2,0))</f>
        <v/>
      </c>
      <c r="K330" t="str">
        <f>IF(H330="","",VLOOKUP(I330,表3_3[],3,0))</f>
        <v/>
      </c>
      <c r="L330" t="str">
        <f>IF(A330="","",IF(G330="LME","",VLOOKUP(RIGHT(E330,2),Helper1!$O$36:$P$48,2,0)))</f>
        <v/>
      </c>
      <c r="M330" t="str">
        <f t="shared" si="27"/>
        <v/>
      </c>
      <c r="N330" t="str">
        <f t="shared" si="28"/>
        <v/>
      </c>
      <c r="O330" t="str">
        <f t="shared" si="29"/>
        <v/>
      </c>
    </row>
    <row r="331" spans="1:15">
      <c r="A331" t="str">
        <f>IF('ATP Pos'!A331="","",LEFT('ATP Pos'!A331,B331-1))</f>
        <v/>
      </c>
      <c r="B331" t="str">
        <f>IF('ATP Pos'!A331="","",SEARCH("_",'ATP Pos'!A331,1))</f>
        <v/>
      </c>
      <c r="C331" t="str">
        <f>IF(A331="","",IF('ATP Pos'!E331="-","",IF('ATP Pos'!E331&gt;0,"Buy",IF('ATP Pos'!E331&lt;0,"Sell"))))</f>
        <v/>
      </c>
      <c r="D331" t="str">
        <f>IF(A331="","",IF('ATP Pos'!E331="-","",IF('ATP Pos'!E331&gt;0,'ATP Pos'!E331,IF('ATP Pos'!E331&lt;0,-'ATP Pos'!E331))))</f>
        <v/>
      </c>
      <c r="E331" t="str">
        <f>IF(A331="","",LEFT('ATP Pos'!B331,F331-1))</f>
        <v/>
      </c>
      <c r="F331" t="str">
        <f>IF(A331="","",SEARCH("-",'ATP Pos'!B331,1))</f>
        <v/>
      </c>
      <c r="G331" t="str">
        <f>IF(A331="","",RIGHT('ATP Pos'!B331,3))</f>
        <v/>
      </c>
      <c r="H331" t="str">
        <f t="shared" si="25"/>
        <v/>
      </c>
      <c r="I331" t="str">
        <f t="shared" si="26"/>
        <v/>
      </c>
      <c r="J331" t="str">
        <f>IF(H331="","",VLOOKUP(I331,表3_3[],2,0))</f>
        <v/>
      </c>
      <c r="K331" t="str">
        <f>IF(H331="","",VLOOKUP(I331,表3_3[],3,0))</f>
        <v/>
      </c>
      <c r="L331" t="str">
        <f>IF(A331="","",IF(G331="LME","",VLOOKUP(RIGHT(E331,2),Helper1!$O$36:$P$48,2,0)))</f>
        <v/>
      </c>
      <c r="M331" t="str">
        <f t="shared" si="27"/>
        <v/>
      </c>
      <c r="N331" t="str">
        <f t="shared" si="28"/>
        <v/>
      </c>
      <c r="O331" t="str">
        <f t="shared" si="29"/>
        <v/>
      </c>
    </row>
    <row r="332" spans="1:15">
      <c r="A332" t="str">
        <f>IF('ATP Pos'!A332="","",LEFT('ATP Pos'!A332,B332-1))</f>
        <v/>
      </c>
      <c r="B332" t="str">
        <f>IF('ATP Pos'!A332="","",SEARCH("_",'ATP Pos'!A332,1))</f>
        <v/>
      </c>
      <c r="C332" t="str">
        <f>IF(A332="","",IF('ATP Pos'!E332="-","",IF('ATP Pos'!E332&gt;0,"Buy",IF('ATP Pos'!E332&lt;0,"Sell"))))</f>
        <v/>
      </c>
      <c r="D332" t="str">
        <f>IF(A332="","",IF('ATP Pos'!E332="-","",IF('ATP Pos'!E332&gt;0,'ATP Pos'!E332,IF('ATP Pos'!E332&lt;0,-'ATP Pos'!E332))))</f>
        <v/>
      </c>
      <c r="E332" t="str">
        <f>IF(A332="","",LEFT('ATP Pos'!B332,F332-1))</f>
        <v/>
      </c>
      <c r="F332" t="str">
        <f>IF(A332="","",SEARCH("-",'ATP Pos'!B332,1))</f>
        <v/>
      </c>
      <c r="G332" t="str">
        <f>IF(A332="","",RIGHT('ATP Pos'!B332,3))</f>
        <v/>
      </c>
      <c r="H332" t="str">
        <f t="shared" si="25"/>
        <v/>
      </c>
      <c r="I332" t="str">
        <f t="shared" si="26"/>
        <v/>
      </c>
      <c r="J332" t="str">
        <f>IF(H332="","",VLOOKUP(I332,表3_3[],2,0))</f>
        <v/>
      </c>
      <c r="K332" t="str">
        <f>IF(H332="","",VLOOKUP(I332,表3_3[],3,0))</f>
        <v/>
      </c>
      <c r="L332" t="str">
        <f>IF(A332="","",IF(G332="LME","",VLOOKUP(RIGHT(E332,2),Helper1!$O$36:$P$48,2,0)))</f>
        <v/>
      </c>
      <c r="M332" t="str">
        <f t="shared" si="27"/>
        <v/>
      </c>
      <c r="N332" t="str">
        <f t="shared" si="28"/>
        <v/>
      </c>
      <c r="O332" t="str">
        <f t="shared" si="29"/>
        <v/>
      </c>
    </row>
    <row r="333" spans="1:15">
      <c r="A333" t="str">
        <f>IF('ATP Pos'!A333="","",LEFT('ATP Pos'!A333,B333-1))</f>
        <v/>
      </c>
      <c r="B333" t="str">
        <f>IF('ATP Pos'!A333="","",SEARCH("_",'ATP Pos'!A333,1))</f>
        <v/>
      </c>
      <c r="C333" t="str">
        <f>IF(A333="","",IF('ATP Pos'!E333="-","",IF('ATP Pos'!E333&gt;0,"Buy",IF('ATP Pos'!E333&lt;0,"Sell"))))</f>
        <v/>
      </c>
      <c r="D333" t="str">
        <f>IF(A333="","",IF('ATP Pos'!E333="-","",IF('ATP Pos'!E333&gt;0,'ATP Pos'!E333,IF('ATP Pos'!E333&lt;0,-'ATP Pos'!E333))))</f>
        <v/>
      </c>
      <c r="E333" t="str">
        <f>IF(A333="","",LEFT('ATP Pos'!B333,F333-1))</f>
        <v/>
      </c>
      <c r="F333" t="str">
        <f>IF(A333="","",SEARCH("-",'ATP Pos'!B333,1))</f>
        <v/>
      </c>
      <c r="G333" t="str">
        <f>IF(A333="","",RIGHT('ATP Pos'!B333,3))</f>
        <v/>
      </c>
      <c r="H333" t="str">
        <f t="shared" si="25"/>
        <v/>
      </c>
      <c r="I333" t="str">
        <f t="shared" si="26"/>
        <v/>
      </c>
      <c r="J333" t="str">
        <f>IF(H333="","",VLOOKUP(I333,表3_3[],2,0))</f>
        <v/>
      </c>
      <c r="K333" t="str">
        <f>IF(H333="","",VLOOKUP(I333,表3_3[],3,0))</f>
        <v/>
      </c>
      <c r="L333" t="str">
        <f>IF(A333="","",IF(G333="LME","",VLOOKUP(RIGHT(E333,2),Helper1!$O$36:$P$48,2,0)))</f>
        <v/>
      </c>
      <c r="M333" t="str">
        <f t="shared" si="27"/>
        <v/>
      </c>
      <c r="N333" t="str">
        <f t="shared" si="28"/>
        <v/>
      </c>
      <c r="O333" t="str">
        <f t="shared" si="29"/>
        <v/>
      </c>
    </row>
    <row r="334" spans="1:15">
      <c r="A334" t="str">
        <f>IF('ATP Pos'!A334="","",LEFT('ATP Pos'!A334,B334-1))</f>
        <v/>
      </c>
      <c r="B334" t="str">
        <f>IF('ATP Pos'!A334="","",SEARCH("_",'ATP Pos'!A334,1))</f>
        <v/>
      </c>
      <c r="C334" t="str">
        <f>IF(A334="","",IF('ATP Pos'!E334="-","",IF('ATP Pos'!E334&gt;0,"Buy",IF('ATP Pos'!E334&lt;0,"Sell"))))</f>
        <v/>
      </c>
      <c r="D334" t="str">
        <f>IF(A334="","",IF('ATP Pos'!E334="-","",IF('ATP Pos'!E334&gt;0,'ATP Pos'!E334,IF('ATP Pos'!E334&lt;0,-'ATP Pos'!E334))))</f>
        <v/>
      </c>
      <c r="E334" t="str">
        <f>IF(A334="","",LEFT('ATP Pos'!B334,F334-1))</f>
        <v/>
      </c>
      <c r="F334" t="str">
        <f>IF(A334="","",SEARCH("-",'ATP Pos'!B334,1))</f>
        <v/>
      </c>
      <c r="G334" t="str">
        <f>IF(A334="","",RIGHT('ATP Pos'!B334,3))</f>
        <v/>
      </c>
      <c r="H334" t="str">
        <f t="shared" si="25"/>
        <v/>
      </c>
      <c r="I334" t="str">
        <f t="shared" si="26"/>
        <v/>
      </c>
      <c r="J334" t="str">
        <f>IF(H334="","",VLOOKUP(I334,表3_3[],2,0))</f>
        <v/>
      </c>
      <c r="K334" t="str">
        <f>IF(H334="","",VLOOKUP(I334,表3_3[],3,0))</f>
        <v/>
      </c>
      <c r="L334" t="str">
        <f>IF(A334="","",IF(G334="LME","",VLOOKUP(RIGHT(E334,2),Helper1!$O$36:$P$48,2,0)))</f>
        <v/>
      </c>
      <c r="M334" t="str">
        <f t="shared" si="27"/>
        <v/>
      </c>
      <c r="N334" t="str">
        <f t="shared" si="28"/>
        <v/>
      </c>
      <c r="O334" t="str">
        <f t="shared" si="29"/>
        <v/>
      </c>
    </row>
    <row r="335" spans="1:15">
      <c r="A335" t="str">
        <f>IF('ATP Pos'!A335="","",LEFT('ATP Pos'!A335,B335-1))</f>
        <v/>
      </c>
      <c r="B335" t="str">
        <f>IF('ATP Pos'!A335="","",SEARCH("_",'ATP Pos'!A335,1))</f>
        <v/>
      </c>
      <c r="C335" t="str">
        <f>IF(A335="","",IF('ATP Pos'!E335="-","",IF('ATP Pos'!E335&gt;0,"Buy",IF('ATP Pos'!E335&lt;0,"Sell"))))</f>
        <v/>
      </c>
      <c r="D335" t="str">
        <f>IF(A335="","",IF('ATP Pos'!E335="-","",IF('ATP Pos'!E335&gt;0,'ATP Pos'!E335,IF('ATP Pos'!E335&lt;0,-'ATP Pos'!E335))))</f>
        <v/>
      </c>
      <c r="E335" t="str">
        <f>IF(A335="","",LEFT('ATP Pos'!B335,F335-1))</f>
        <v/>
      </c>
      <c r="F335" t="str">
        <f>IF(A335="","",SEARCH("-",'ATP Pos'!B335,1))</f>
        <v/>
      </c>
      <c r="G335" t="str">
        <f>IF(A335="","",RIGHT('ATP Pos'!B335,3))</f>
        <v/>
      </c>
      <c r="H335" t="str">
        <f t="shared" si="25"/>
        <v/>
      </c>
      <c r="I335" t="str">
        <f t="shared" si="26"/>
        <v/>
      </c>
      <c r="J335" t="str">
        <f>IF(H335="","",VLOOKUP(I335,表3_3[],2,0))</f>
        <v/>
      </c>
      <c r="K335" t="str">
        <f>IF(H335="","",VLOOKUP(I335,表3_3[],3,0))</f>
        <v/>
      </c>
      <c r="L335" t="str">
        <f>IF(A335="","",IF(G335="LME","",VLOOKUP(RIGHT(E335,2),Helper1!$O$36:$P$48,2,0)))</f>
        <v/>
      </c>
      <c r="M335" t="str">
        <f t="shared" si="27"/>
        <v/>
      </c>
      <c r="N335" t="str">
        <f t="shared" si="28"/>
        <v/>
      </c>
      <c r="O335" t="str">
        <f t="shared" si="29"/>
        <v/>
      </c>
    </row>
    <row r="336" spans="1:15">
      <c r="A336" t="str">
        <f>IF('ATP Pos'!A336="","",LEFT('ATP Pos'!A336,B336-1))</f>
        <v/>
      </c>
      <c r="B336" t="str">
        <f>IF('ATP Pos'!A336="","",SEARCH("_",'ATP Pos'!A336,1))</f>
        <v/>
      </c>
      <c r="C336" t="str">
        <f>IF(A336="","",IF('ATP Pos'!E336="-","",IF('ATP Pos'!E336&gt;0,"Buy",IF('ATP Pos'!E336&lt;0,"Sell"))))</f>
        <v/>
      </c>
      <c r="D336" t="str">
        <f>IF(A336="","",IF('ATP Pos'!E336="-","",IF('ATP Pos'!E336&gt;0,'ATP Pos'!E336,IF('ATP Pos'!E336&lt;0,-'ATP Pos'!E336))))</f>
        <v/>
      </c>
      <c r="E336" t="str">
        <f>IF(A336="","",LEFT('ATP Pos'!B336,F336-1))</f>
        <v/>
      </c>
      <c r="F336" t="str">
        <f>IF(A336="","",SEARCH("-",'ATP Pos'!B336,1))</f>
        <v/>
      </c>
      <c r="G336" t="str">
        <f>IF(A336="","",RIGHT('ATP Pos'!B336,3))</f>
        <v/>
      </c>
      <c r="H336" t="str">
        <f t="shared" si="25"/>
        <v/>
      </c>
      <c r="I336" t="str">
        <f t="shared" si="26"/>
        <v/>
      </c>
      <c r="J336" t="str">
        <f>IF(H336="","",VLOOKUP(I336,表3_3[],2,0))</f>
        <v/>
      </c>
      <c r="K336" t="str">
        <f>IF(H336="","",VLOOKUP(I336,表3_3[],3,0))</f>
        <v/>
      </c>
      <c r="L336" t="str">
        <f>IF(A336="","",IF(G336="LME","",VLOOKUP(RIGHT(E336,2),Helper1!$O$36:$P$48,2,0)))</f>
        <v/>
      </c>
      <c r="M336" t="str">
        <f t="shared" si="27"/>
        <v/>
      </c>
      <c r="N336" t="str">
        <f t="shared" si="28"/>
        <v/>
      </c>
      <c r="O336" t="str">
        <f t="shared" si="29"/>
        <v/>
      </c>
    </row>
    <row r="337" spans="1:15">
      <c r="A337" t="str">
        <f>IF('ATP Pos'!A337="","",LEFT('ATP Pos'!A337,B337-1))</f>
        <v/>
      </c>
      <c r="B337" t="str">
        <f>IF('ATP Pos'!A337="","",SEARCH("_",'ATP Pos'!A337,1))</f>
        <v/>
      </c>
      <c r="C337" t="str">
        <f>IF(A337="","",IF('ATP Pos'!E337="-","",IF('ATP Pos'!E337&gt;0,"Buy",IF('ATP Pos'!E337&lt;0,"Sell"))))</f>
        <v/>
      </c>
      <c r="D337" t="str">
        <f>IF(A337="","",IF('ATP Pos'!E337="-","",IF('ATP Pos'!E337&gt;0,'ATP Pos'!E337,IF('ATP Pos'!E337&lt;0,-'ATP Pos'!E337))))</f>
        <v/>
      </c>
      <c r="E337" t="str">
        <f>IF(A337="","",LEFT('ATP Pos'!B337,F337-1))</f>
        <v/>
      </c>
      <c r="F337" t="str">
        <f>IF(A337="","",SEARCH("-",'ATP Pos'!B337,1))</f>
        <v/>
      </c>
      <c r="G337" t="str">
        <f>IF(A337="","",RIGHT('ATP Pos'!B337,3))</f>
        <v/>
      </c>
      <c r="H337" t="str">
        <f t="shared" si="25"/>
        <v/>
      </c>
      <c r="I337" t="str">
        <f t="shared" si="26"/>
        <v/>
      </c>
      <c r="J337" t="str">
        <f>IF(H337="","",VLOOKUP(I337,表3_3[],2,0))</f>
        <v/>
      </c>
      <c r="K337" t="str">
        <f>IF(H337="","",VLOOKUP(I337,表3_3[],3,0))</f>
        <v/>
      </c>
      <c r="L337" t="str">
        <f>IF(A337="","",IF(G337="LME","",VLOOKUP(RIGHT(E337,2),Helper1!$O$36:$P$48,2,0)))</f>
        <v/>
      </c>
      <c r="M337" t="str">
        <f t="shared" si="27"/>
        <v/>
      </c>
      <c r="N337" t="str">
        <f t="shared" si="28"/>
        <v/>
      </c>
      <c r="O337" t="str">
        <f t="shared" si="29"/>
        <v/>
      </c>
    </row>
    <row r="338" spans="1:15">
      <c r="A338" t="str">
        <f>IF('ATP Pos'!A338="","",LEFT('ATP Pos'!A338,B338-1))</f>
        <v/>
      </c>
      <c r="B338" t="str">
        <f>IF('ATP Pos'!A338="","",SEARCH("_",'ATP Pos'!A338,1))</f>
        <v/>
      </c>
      <c r="C338" t="str">
        <f>IF(A338="","",IF('ATP Pos'!E338="-","",IF('ATP Pos'!E338&gt;0,"Buy",IF('ATP Pos'!E338&lt;0,"Sell"))))</f>
        <v/>
      </c>
      <c r="D338" t="str">
        <f>IF(A338="","",IF('ATP Pos'!E338="-","",IF('ATP Pos'!E338&gt;0,'ATP Pos'!E338,IF('ATP Pos'!E338&lt;0,-'ATP Pos'!E338))))</f>
        <v/>
      </c>
      <c r="E338" t="str">
        <f>IF(A338="","",LEFT('ATP Pos'!B338,F338-1))</f>
        <v/>
      </c>
      <c r="F338" t="str">
        <f>IF(A338="","",SEARCH("-",'ATP Pos'!B338,1))</f>
        <v/>
      </c>
      <c r="G338" t="str">
        <f>IF(A338="","",RIGHT('ATP Pos'!B338,3))</f>
        <v/>
      </c>
      <c r="H338" t="str">
        <f t="shared" si="25"/>
        <v/>
      </c>
      <c r="I338" t="str">
        <f t="shared" si="26"/>
        <v/>
      </c>
      <c r="J338" t="str">
        <f>IF(H338="","",VLOOKUP(I338,表3_3[],2,0))</f>
        <v/>
      </c>
      <c r="K338" t="str">
        <f>IF(H338="","",VLOOKUP(I338,表3_3[],3,0))</f>
        <v/>
      </c>
      <c r="L338" t="str">
        <f>IF(A338="","",IF(G338="LME","",VLOOKUP(RIGHT(E338,2),Helper1!$O$36:$P$48,2,0)))</f>
        <v/>
      </c>
      <c r="M338" t="str">
        <f t="shared" si="27"/>
        <v/>
      </c>
      <c r="N338" t="str">
        <f t="shared" si="28"/>
        <v/>
      </c>
      <c r="O338" t="str">
        <f t="shared" si="29"/>
        <v/>
      </c>
    </row>
    <row r="339" spans="1:15">
      <c r="A339" t="str">
        <f>IF('ATP Pos'!A339="","",LEFT('ATP Pos'!A339,B339-1))</f>
        <v/>
      </c>
      <c r="B339" t="str">
        <f>IF('ATP Pos'!A339="","",SEARCH("_",'ATP Pos'!A339,1))</f>
        <v/>
      </c>
      <c r="C339" t="str">
        <f>IF(A339="","",IF('ATP Pos'!E339="-","",IF('ATP Pos'!E339&gt;0,"Buy",IF('ATP Pos'!E339&lt;0,"Sell"))))</f>
        <v/>
      </c>
      <c r="D339" t="str">
        <f>IF(A339="","",IF('ATP Pos'!E339="-","",IF('ATP Pos'!E339&gt;0,'ATP Pos'!E339,IF('ATP Pos'!E339&lt;0,-'ATP Pos'!E339))))</f>
        <v/>
      </c>
      <c r="E339" t="str">
        <f>IF(A339="","",LEFT('ATP Pos'!B339,F339-1))</f>
        <v/>
      </c>
      <c r="F339" t="str">
        <f>IF(A339="","",SEARCH("-",'ATP Pos'!B339,1))</f>
        <v/>
      </c>
      <c r="G339" t="str">
        <f>IF(A339="","",RIGHT('ATP Pos'!B339,3))</f>
        <v/>
      </c>
      <c r="H339" t="str">
        <f t="shared" si="25"/>
        <v/>
      </c>
      <c r="I339" t="str">
        <f t="shared" si="26"/>
        <v/>
      </c>
      <c r="J339" t="str">
        <f>IF(H339="","",VLOOKUP(I339,表3_3[],2,0))</f>
        <v/>
      </c>
      <c r="K339" t="str">
        <f>IF(H339="","",VLOOKUP(I339,表3_3[],3,0))</f>
        <v/>
      </c>
      <c r="L339" t="str">
        <f>IF(A339="","",IF(G339="LME","",VLOOKUP(RIGHT(E339,2),Helper1!$O$36:$P$48,2,0)))</f>
        <v/>
      </c>
      <c r="M339" t="str">
        <f t="shared" si="27"/>
        <v/>
      </c>
      <c r="N339" t="str">
        <f t="shared" si="28"/>
        <v/>
      </c>
      <c r="O339" t="str">
        <f t="shared" si="29"/>
        <v/>
      </c>
    </row>
    <row r="340" spans="1:15">
      <c r="A340" t="str">
        <f>IF('ATP Pos'!A340="","",LEFT('ATP Pos'!A340,B340-1))</f>
        <v/>
      </c>
      <c r="B340" t="str">
        <f>IF('ATP Pos'!A340="","",SEARCH("_",'ATP Pos'!A340,1))</f>
        <v/>
      </c>
      <c r="C340" t="str">
        <f>IF(A340="","",IF('ATP Pos'!E340="-","",IF('ATP Pos'!E340&gt;0,"Buy",IF('ATP Pos'!E340&lt;0,"Sell"))))</f>
        <v/>
      </c>
      <c r="D340" t="str">
        <f>IF(A340="","",IF('ATP Pos'!E340="-","",IF('ATP Pos'!E340&gt;0,'ATP Pos'!E340,IF('ATP Pos'!E340&lt;0,-'ATP Pos'!E340))))</f>
        <v/>
      </c>
      <c r="E340" t="str">
        <f>IF(A340="","",LEFT('ATP Pos'!B340,F340-1))</f>
        <v/>
      </c>
      <c r="F340" t="str">
        <f>IF(A340="","",SEARCH("-",'ATP Pos'!B340,1))</f>
        <v/>
      </c>
      <c r="G340" t="str">
        <f>IF(A340="","",RIGHT('ATP Pos'!B340,3))</f>
        <v/>
      </c>
      <c r="H340" t="str">
        <f t="shared" si="25"/>
        <v/>
      </c>
      <c r="I340" t="str">
        <f t="shared" si="26"/>
        <v/>
      </c>
      <c r="J340" t="str">
        <f>IF(H340="","",VLOOKUP(I340,表3_3[],2,0))</f>
        <v/>
      </c>
      <c r="K340" t="str">
        <f>IF(H340="","",VLOOKUP(I340,表3_3[],3,0))</f>
        <v/>
      </c>
      <c r="L340" t="str">
        <f>IF(A340="","",IF(G340="LME","",VLOOKUP(RIGHT(E340,2),Helper1!$O$36:$P$48,2,0)))</f>
        <v/>
      </c>
      <c r="M340" t="str">
        <f t="shared" si="27"/>
        <v/>
      </c>
      <c r="N340" t="str">
        <f t="shared" si="28"/>
        <v/>
      </c>
      <c r="O340" t="str">
        <f t="shared" si="29"/>
        <v/>
      </c>
    </row>
    <row r="341" spans="1:15">
      <c r="A341" t="str">
        <f>IF('ATP Pos'!A341="","",LEFT('ATP Pos'!A341,B341-1))</f>
        <v/>
      </c>
      <c r="B341" t="str">
        <f>IF('ATP Pos'!A341="","",SEARCH("_",'ATP Pos'!A341,1))</f>
        <v/>
      </c>
      <c r="C341" t="str">
        <f>IF(A341="","",IF('ATP Pos'!E341="-","",IF('ATP Pos'!E341&gt;0,"Buy",IF('ATP Pos'!E341&lt;0,"Sell"))))</f>
        <v/>
      </c>
      <c r="D341" t="str">
        <f>IF(A341="","",IF('ATP Pos'!E341="-","",IF('ATP Pos'!E341&gt;0,'ATP Pos'!E341,IF('ATP Pos'!E341&lt;0,-'ATP Pos'!E341))))</f>
        <v/>
      </c>
      <c r="E341" t="str">
        <f>IF(A341="","",LEFT('ATP Pos'!B341,F341-1))</f>
        <v/>
      </c>
      <c r="F341" t="str">
        <f>IF(A341="","",SEARCH("-",'ATP Pos'!B341,1))</f>
        <v/>
      </c>
      <c r="G341" t="str">
        <f>IF(A341="","",RIGHT('ATP Pos'!B341,3))</f>
        <v/>
      </c>
      <c r="H341" t="str">
        <f t="shared" si="25"/>
        <v/>
      </c>
      <c r="I341" t="str">
        <f t="shared" si="26"/>
        <v/>
      </c>
      <c r="J341" t="str">
        <f>IF(H341="","",VLOOKUP(I341,表3_3[],2,0))</f>
        <v/>
      </c>
      <c r="K341" t="str">
        <f>IF(H341="","",VLOOKUP(I341,表3_3[],3,0))</f>
        <v/>
      </c>
      <c r="L341" t="str">
        <f>IF(A341="","",IF(G341="LME","",VLOOKUP(RIGHT(E341,2),Helper1!$O$36:$P$48,2,0)))</f>
        <v/>
      </c>
      <c r="M341" t="str">
        <f t="shared" si="27"/>
        <v/>
      </c>
      <c r="N341" t="str">
        <f t="shared" si="28"/>
        <v/>
      </c>
      <c r="O341" t="str">
        <f t="shared" si="29"/>
        <v/>
      </c>
    </row>
    <row r="342" spans="1:15">
      <c r="A342" t="str">
        <f>IF('ATP Pos'!A342="","",LEFT('ATP Pos'!A342,B342-1))</f>
        <v/>
      </c>
      <c r="B342" t="str">
        <f>IF('ATP Pos'!A342="","",SEARCH("_",'ATP Pos'!A342,1))</f>
        <v/>
      </c>
      <c r="C342" t="str">
        <f>IF(A342="","",IF('ATP Pos'!E342="-","",IF('ATP Pos'!E342&gt;0,"Buy",IF('ATP Pos'!E342&lt;0,"Sell"))))</f>
        <v/>
      </c>
      <c r="D342" t="str">
        <f>IF(A342="","",IF('ATP Pos'!E342="-","",IF('ATP Pos'!E342&gt;0,'ATP Pos'!E342,IF('ATP Pos'!E342&lt;0,-'ATP Pos'!E342))))</f>
        <v/>
      </c>
      <c r="E342" t="str">
        <f>IF(A342="","",LEFT('ATP Pos'!B342,F342-1))</f>
        <v/>
      </c>
      <c r="F342" t="str">
        <f>IF(A342="","",SEARCH("-",'ATP Pos'!B342,1))</f>
        <v/>
      </c>
      <c r="G342" t="str">
        <f>IF(A342="","",RIGHT('ATP Pos'!B342,3))</f>
        <v/>
      </c>
      <c r="H342" t="str">
        <f t="shared" si="25"/>
        <v/>
      </c>
      <c r="I342" t="str">
        <f t="shared" si="26"/>
        <v/>
      </c>
      <c r="J342" t="str">
        <f>IF(H342="","",VLOOKUP(I342,表3_3[],2,0))</f>
        <v/>
      </c>
      <c r="K342" t="str">
        <f>IF(H342="","",VLOOKUP(I342,表3_3[],3,0))</f>
        <v/>
      </c>
      <c r="L342" t="str">
        <f>IF(A342="","",IF(G342="LME","",VLOOKUP(RIGHT(E342,2),Helper1!$O$36:$P$48,2,0)))</f>
        <v/>
      </c>
      <c r="M342" t="str">
        <f t="shared" si="27"/>
        <v/>
      </c>
      <c r="N342" t="str">
        <f t="shared" si="28"/>
        <v/>
      </c>
      <c r="O342" t="str">
        <f t="shared" si="29"/>
        <v/>
      </c>
    </row>
    <row r="343" spans="1:15">
      <c r="A343" t="str">
        <f>IF('ATP Pos'!A343="","",LEFT('ATP Pos'!A343,B343-1))</f>
        <v/>
      </c>
      <c r="B343" t="str">
        <f>IF('ATP Pos'!A343="","",SEARCH("_",'ATP Pos'!A343,1))</f>
        <v/>
      </c>
      <c r="C343" t="str">
        <f>IF(A343="","",IF('ATP Pos'!E343="-","",IF('ATP Pos'!E343&gt;0,"Buy",IF('ATP Pos'!E343&lt;0,"Sell"))))</f>
        <v/>
      </c>
      <c r="D343" t="str">
        <f>IF(A343="","",IF('ATP Pos'!E343="-","",IF('ATP Pos'!E343&gt;0,'ATP Pos'!E343,IF('ATP Pos'!E343&lt;0,-'ATP Pos'!E343))))</f>
        <v/>
      </c>
      <c r="E343" t="str">
        <f>IF(A343="","",LEFT('ATP Pos'!B343,F343-1))</f>
        <v/>
      </c>
      <c r="F343" t="str">
        <f>IF(A343="","",SEARCH("-",'ATP Pos'!B343,1))</f>
        <v/>
      </c>
      <c r="G343" t="str">
        <f>IF(A343="","",RIGHT('ATP Pos'!B343,3))</f>
        <v/>
      </c>
      <c r="H343" t="str">
        <f t="shared" si="25"/>
        <v/>
      </c>
      <c r="I343" t="str">
        <f t="shared" si="26"/>
        <v/>
      </c>
      <c r="J343" t="str">
        <f>IF(H343="","",VLOOKUP(I343,表3_3[],2,0))</f>
        <v/>
      </c>
      <c r="K343" t="str">
        <f>IF(H343="","",VLOOKUP(I343,表3_3[],3,0))</f>
        <v/>
      </c>
      <c r="L343" t="str">
        <f>IF(A343="","",IF(G343="LME","",VLOOKUP(RIGHT(E343,2),Helper1!$O$36:$P$48,2,0)))</f>
        <v/>
      </c>
      <c r="M343" t="str">
        <f t="shared" si="27"/>
        <v/>
      </c>
      <c r="N343" t="str">
        <f t="shared" si="28"/>
        <v/>
      </c>
      <c r="O343" t="str">
        <f t="shared" si="29"/>
        <v/>
      </c>
    </row>
    <row r="344" spans="1:15">
      <c r="A344" t="str">
        <f>IF('ATP Pos'!A344="","",LEFT('ATP Pos'!A344,B344-1))</f>
        <v/>
      </c>
      <c r="B344" t="str">
        <f>IF('ATP Pos'!A344="","",SEARCH("_",'ATP Pos'!A344,1))</f>
        <v/>
      </c>
      <c r="C344" t="str">
        <f>IF(A344="","",IF('ATP Pos'!E344="-","",IF('ATP Pos'!E344&gt;0,"Buy",IF('ATP Pos'!E344&lt;0,"Sell"))))</f>
        <v/>
      </c>
      <c r="D344" t="str">
        <f>IF(A344="","",IF('ATP Pos'!E344="-","",IF('ATP Pos'!E344&gt;0,'ATP Pos'!E344,IF('ATP Pos'!E344&lt;0,-'ATP Pos'!E344))))</f>
        <v/>
      </c>
      <c r="E344" t="str">
        <f>IF(A344="","",LEFT('ATP Pos'!B344,F344-1))</f>
        <v/>
      </c>
      <c r="F344" t="str">
        <f>IF(A344="","",SEARCH("-",'ATP Pos'!B344,1))</f>
        <v/>
      </c>
      <c r="G344" t="str">
        <f>IF(A344="","",RIGHT('ATP Pos'!B344,3))</f>
        <v/>
      </c>
      <c r="H344" t="str">
        <f t="shared" si="25"/>
        <v/>
      </c>
      <c r="I344" t="str">
        <f t="shared" si="26"/>
        <v/>
      </c>
      <c r="J344" t="str">
        <f>IF(H344="","",VLOOKUP(I344,表3_3[],2,0))</f>
        <v/>
      </c>
      <c r="K344" t="str">
        <f>IF(H344="","",VLOOKUP(I344,表3_3[],3,0))</f>
        <v/>
      </c>
      <c r="L344" t="str">
        <f>IF(A344="","",IF(G344="LME","",VLOOKUP(RIGHT(E344,2),Helper1!$O$36:$P$48,2,0)))</f>
        <v/>
      </c>
      <c r="M344" t="str">
        <f t="shared" si="27"/>
        <v/>
      </c>
      <c r="N344" t="str">
        <f t="shared" si="28"/>
        <v/>
      </c>
      <c r="O344" t="str">
        <f t="shared" si="29"/>
        <v/>
      </c>
    </row>
    <row r="345" spans="1:15">
      <c r="A345" t="str">
        <f>IF('ATP Pos'!A345="","",LEFT('ATP Pos'!A345,B345-1))</f>
        <v/>
      </c>
      <c r="B345" t="str">
        <f>IF('ATP Pos'!A345="","",SEARCH("_",'ATP Pos'!A345,1))</f>
        <v/>
      </c>
      <c r="C345" t="str">
        <f>IF(A345="","",IF('ATP Pos'!E345="-","",IF('ATP Pos'!E345&gt;0,"Buy",IF('ATP Pos'!E345&lt;0,"Sell"))))</f>
        <v/>
      </c>
      <c r="D345" t="str">
        <f>IF(A345="","",IF('ATP Pos'!E345="-","",IF('ATP Pos'!E345&gt;0,'ATP Pos'!E345,IF('ATP Pos'!E345&lt;0,-'ATP Pos'!E345))))</f>
        <v/>
      </c>
      <c r="E345" t="str">
        <f>IF(A345="","",LEFT('ATP Pos'!B345,F345-1))</f>
        <v/>
      </c>
      <c r="F345" t="str">
        <f>IF(A345="","",SEARCH("-",'ATP Pos'!B345,1))</f>
        <v/>
      </c>
      <c r="G345" t="str">
        <f>IF(A345="","",RIGHT('ATP Pos'!B345,3))</f>
        <v/>
      </c>
      <c r="H345" t="str">
        <f t="shared" si="25"/>
        <v/>
      </c>
      <c r="I345" t="str">
        <f t="shared" si="26"/>
        <v/>
      </c>
      <c r="J345" t="str">
        <f>IF(H345="","",VLOOKUP(I345,表3_3[],2,0))</f>
        <v/>
      </c>
      <c r="K345" t="str">
        <f>IF(H345="","",VLOOKUP(I345,表3_3[],3,0))</f>
        <v/>
      </c>
      <c r="L345" t="str">
        <f>IF(A345="","",IF(G345="LME","",VLOOKUP(RIGHT(E345,2),Helper1!$O$36:$P$48,2,0)))</f>
        <v/>
      </c>
      <c r="M345" t="str">
        <f t="shared" si="27"/>
        <v/>
      </c>
      <c r="N345" t="str">
        <f t="shared" si="28"/>
        <v/>
      </c>
      <c r="O345" t="str">
        <f t="shared" si="29"/>
        <v/>
      </c>
    </row>
    <row r="346" spans="1:15">
      <c r="A346" t="str">
        <f>IF('ATP Pos'!A346="","",LEFT('ATP Pos'!A346,B346-1))</f>
        <v/>
      </c>
      <c r="B346" t="str">
        <f>IF('ATP Pos'!A346="","",SEARCH("_",'ATP Pos'!A346,1))</f>
        <v/>
      </c>
      <c r="C346" t="str">
        <f>IF(A346="","",IF('ATP Pos'!E346="-","",IF('ATP Pos'!E346&gt;0,"Buy",IF('ATP Pos'!E346&lt;0,"Sell"))))</f>
        <v/>
      </c>
      <c r="D346" t="str">
        <f>IF(A346="","",IF('ATP Pos'!E346="-","",IF('ATP Pos'!E346&gt;0,'ATP Pos'!E346,IF('ATP Pos'!E346&lt;0,-'ATP Pos'!E346))))</f>
        <v/>
      </c>
      <c r="E346" t="str">
        <f>IF(A346="","",LEFT('ATP Pos'!B346,F346-1))</f>
        <v/>
      </c>
      <c r="F346" t="str">
        <f>IF(A346="","",SEARCH("-",'ATP Pos'!B346,1))</f>
        <v/>
      </c>
      <c r="G346" t="str">
        <f>IF(A346="","",RIGHT('ATP Pos'!B346,3))</f>
        <v/>
      </c>
      <c r="H346" t="str">
        <f t="shared" si="25"/>
        <v/>
      </c>
      <c r="I346" t="str">
        <f t="shared" si="26"/>
        <v/>
      </c>
      <c r="J346" t="str">
        <f>IF(H346="","",VLOOKUP(I346,表3_3[],2,0))</f>
        <v/>
      </c>
      <c r="K346" t="str">
        <f>IF(H346="","",VLOOKUP(I346,表3_3[],3,0))</f>
        <v/>
      </c>
      <c r="L346" t="str">
        <f>IF(A346="","",IF(G346="LME","",VLOOKUP(RIGHT(E346,2),Helper1!$O$36:$P$48,2,0)))</f>
        <v/>
      </c>
      <c r="M346" t="str">
        <f t="shared" si="27"/>
        <v/>
      </c>
      <c r="N346" t="str">
        <f t="shared" si="28"/>
        <v/>
      </c>
      <c r="O346" t="str">
        <f t="shared" si="29"/>
        <v/>
      </c>
    </row>
    <row r="347" spans="1:15">
      <c r="A347" t="str">
        <f>IF('ATP Pos'!A347="","",LEFT('ATP Pos'!A347,B347-1))</f>
        <v/>
      </c>
      <c r="B347" t="str">
        <f>IF('ATP Pos'!A347="","",SEARCH("_",'ATP Pos'!A347,1))</f>
        <v/>
      </c>
      <c r="C347" t="str">
        <f>IF(A347="","",IF('ATP Pos'!E347="-","",IF('ATP Pos'!E347&gt;0,"Buy",IF('ATP Pos'!E347&lt;0,"Sell"))))</f>
        <v/>
      </c>
      <c r="D347" t="str">
        <f>IF(A347="","",IF('ATP Pos'!E347="-","",IF('ATP Pos'!E347&gt;0,'ATP Pos'!E347,IF('ATP Pos'!E347&lt;0,-'ATP Pos'!E347))))</f>
        <v/>
      </c>
      <c r="E347" t="str">
        <f>IF(A347="","",LEFT('ATP Pos'!B347,F347-1))</f>
        <v/>
      </c>
      <c r="F347" t="str">
        <f>IF(A347="","",SEARCH("-",'ATP Pos'!B347,1))</f>
        <v/>
      </c>
      <c r="G347" t="str">
        <f>IF(A347="","",RIGHT('ATP Pos'!B347,3))</f>
        <v/>
      </c>
      <c r="H347" t="str">
        <f t="shared" si="25"/>
        <v/>
      </c>
      <c r="I347" t="str">
        <f t="shared" si="26"/>
        <v/>
      </c>
      <c r="J347" t="str">
        <f>IF(H347="","",VLOOKUP(I347,表3_3[],2,0))</f>
        <v/>
      </c>
      <c r="K347" t="str">
        <f>IF(H347="","",VLOOKUP(I347,表3_3[],3,0))</f>
        <v/>
      </c>
      <c r="L347" t="str">
        <f>IF(A347="","",IF(G347="LME","",VLOOKUP(RIGHT(E347,2),Helper1!$O$36:$P$48,2,0)))</f>
        <v/>
      </c>
      <c r="M347" t="str">
        <f t="shared" si="27"/>
        <v/>
      </c>
      <c r="N347" t="str">
        <f t="shared" si="28"/>
        <v/>
      </c>
      <c r="O347" t="str">
        <f t="shared" si="29"/>
        <v/>
      </c>
    </row>
    <row r="348" spans="1:15">
      <c r="A348" t="str">
        <f>IF('ATP Pos'!A348="","",LEFT('ATP Pos'!A348,B348-1))</f>
        <v/>
      </c>
      <c r="B348" t="str">
        <f>IF('ATP Pos'!A348="","",SEARCH("_",'ATP Pos'!A348,1))</f>
        <v/>
      </c>
      <c r="C348" t="str">
        <f>IF(A348="","",IF('ATP Pos'!E348="-","",IF('ATP Pos'!E348&gt;0,"Buy",IF('ATP Pos'!E348&lt;0,"Sell"))))</f>
        <v/>
      </c>
      <c r="D348" t="str">
        <f>IF(A348="","",IF('ATP Pos'!E348="-","",IF('ATP Pos'!E348&gt;0,'ATP Pos'!E348,IF('ATP Pos'!E348&lt;0,-'ATP Pos'!E348))))</f>
        <v/>
      </c>
      <c r="E348" t="str">
        <f>IF(A348="","",LEFT('ATP Pos'!B348,F348-1))</f>
        <v/>
      </c>
      <c r="F348" t="str">
        <f>IF(A348="","",SEARCH("-",'ATP Pos'!B348,1))</f>
        <v/>
      </c>
      <c r="G348" t="str">
        <f>IF(A348="","",RIGHT('ATP Pos'!B348,3))</f>
        <v/>
      </c>
      <c r="H348" t="str">
        <f t="shared" si="25"/>
        <v/>
      </c>
      <c r="I348" t="str">
        <f t="shared" si="26"/>
        <v/>
      </c>
      <c r="J348" t="str">
        <f>IF(H348="","",VLOOKUP(I348,表3_3[],2,0))</f>
        <v/>
      </c>
      <c r="K348" t="str">
        <f>IF(H348="","",VLOOKUP(I348,表3_3[],3,0))</f>
        <v/>
      </c>
      <c r="L348" t="str">
        <f>IF(A348="","",IF(G348="LME","",VLOOKUP(RIGHT(E348,2),Helper1!$O$36:$P$48,2,0)))</f>
        <v/>
      </c>
      <c r="M348" t="str">
        <f t="shared" si="27"/>
        <v/>
      </c>
      <c r="N348" t="str">
        <f t="shared" si="28"/>
        <v/>
      </c>
      <c r="O348" t="str">
        <f t="shared" si="29"/>
        <v/>
      </c>
    </row>
    <row r="349" spans="1:15">
      <c r="A349" t="str">
        <f>IF('ATP Pos'!A349="","",LEFT('ATP Pos'!A349,B349-1))</f>
        <v/>
      </c>
      <c r="B349" t="str">
        <f>IF('ATP Pos'!A349="","",SEARCH("_",'ATP Pos'!A349,1))</f>
        <v/>
      </c>
      <c r="C349" t="str">
        <f>IF(A349="","",IF('ATP Pos'!E349="-","",IF('ATP Pos'!E349&gt;0,"Buy",IF('ATP Pos'!E349&lt;0,"Sell"))))</f>
        <v/>
      </c>
      <c r="D349" t="str">
        <f>IF(A349="","",IF('ATP Pos'!E349="-","",IF('ATP Pos'!E349&gt;0,'ATP Pos'!E349,IF('ATP Pos'!E349&lt;0,-'ATP Pos'!E349))))</f>
        <v/>
      </c>
      <c r="E349" t="str">
        <f>IF(A349="","",LEFT('ATP Pos'!B349,F349-1))</f>
        <v/>
      </c>
      <c r="F349" t="str">
        <f>IF(A349="","",SEARCH("-",'ATP Pos'!B349,1))</f>
        <v/>
      </c>
      <c r="G349" t="str">
        <f>IF(A349="","",RIGHT('ATP Pos'!B349,3))</f>
        <v/>
      </c>
      <c r="H349" t="str">
        <f t="shared" si="25"/>
        <v/>
      </c>
      <c r="I349" t="str">
        <f t="shared" si="26"/>
        <v/>
      </c>
      <c r="J349" t="str">
        <f>IF(H349="","",VLOOKUP(I349,表3_3[],2,0))</f>
        <v/>
      </c>
      <c r="K349" t="str">
        <f>IF(H349="","",VLOOKUP(I349,表3_3[],3,0))</f>
        <v/>
      </c>
      <c r="L349" t="str">
        <f>IF(A349="","",IF(G349="LME","",VLOOKUP(RIGHT(E349,2),Helper1!$O$36:$P$48,2,0)))</f>
        <v/>
      </c>
      <c r="M349" t="str">
        <f t="shared" si="27"/>
        <v/>
      </c>
      <c r="N349" t="str">
        <f t="shared" si="28"/>
        <v/>
      </c>
      <c r="O349" t="str">
        <f t="shared" si="29"/>
        <v/>
      </c>
    </row>
    <row r="350" spans="1:15">
      <c r="A350" t="str">
        <f>IF('ATP Pos'!A350="","",LEFT('ATP Pos'!A350,B350-1))</f>
        <v/>
      </c>
      <c r="B350" t="str">
        <f>IF('ATP Pos'!A350="","",SEARCH("_",'ATP Pos'!A350,1))</f>
        <v/>
      </c>
      <c r="C350" t="str">
        <f>IF(A350="","",IF('ATP Pos'!E350="-","",IF('ATP Pos'!E350&gt;0,"Buy",IF('ATP Pos'!E350&lt;0,"Sell"))))</f>
        <v/>
      </c>
      <c r="D350" t="str">
        <f>IF(A350="","",IF('ATP Pos'!E350="-","",IF('ATP Pos'!E350&gt;0,'ATP Pos'!E350,IF('ATP Pos'!E350&lt;0,-'ATP Pos'!E350))))</f>
        <v/>
      </c>
      <c r="E350" t="str">
        <f>IF(A350="","",LEFT('ATP Pos'!B350,F350-1))</f>
        <v/>
      </c>
      <c r="F350" t="str">
        <f>IF(A350="","",SEARCH("-",'ATP Pos'!B350,1))</f>
        <v/>
      </c>
      <c r="G350" t="str">
        <f>IF(A350="","",RIGHT('ATP Pos'!B350,3))</f>
        <v/>
      </c>
      <c r="H350" t="str">
        <f t="shared" si="25"/>
        <v/>
      </c>
      <c r="I350" t="str">
        <f t="shared" si="26"/>
        <v/>
      </c>
      <c r="J350" t="str">
        <f>IF(H350="","",VLOOKUP(I350,表3_3[],2,0))</f>
        <v/>
      </c>
      <c r="K350" t="str">
        <f>IF(H350="","",VLOOKUP(I350,表3_3[],3,0))</f>
        <v/>
      </c>
      <c r="L350" t="str">
        <f>IF(A350="","",IF(G350="LME","",VLOOKUP(RIGHT(E350,2),Helper1!$O$36:$P$48,2,0)))</f>
        <v/>
      </c>
      <c r="M350" t="str">
        <f t="shared" si="27"/>
        <v/>
      </c>
      <c r="N350" t="str">
        <f t="shared" si="28"/>
        <v/>
      </c>
      <c r="O350" t="str">
        <f t="shared" si="29"/>
        <v/>
      </c>
    </row>
    <row r="351" spans="1:15">
      <c r="A351" t="str">
        <f>IF('ATP Pos'!A351="","",LEFT('ATP Pos'!A351,B351-1))</f>
        <v/>
      </c>
      <c r="B351" t="str">
        <f>IF('ATP Pos'!A351="","",SEARCH("_",'ATP Pos'!A351,1))</f>
        <v/>
      </c>
      <c r="C351" t="str">
        <f>IF(A351="","",IF('ATP Pos'!E351="-","",IF('ATP Pos'!E351&gt;0,"Buy",IF('ATP Pos'!E351&lt;0,"Sell"))))</f>
        <v/>
      </c>
      <c r="D351" t="str">
        <f>IF(A351="","",IF('ATP Pos'!E351="-","",IF('ATP Pos'!E351&gt;0,'ATP Pos'!E351,IF('ATP Pos'!E351&lt;0,-'ATP Pos'!E351))))</f>
        <v/>
      </c>
      <c r="E351" t="str">
        <f>IF(A351="","",LEFT('ATP Pos'!B351,F351-1))</f>
        <v/>
      </c>
      <c r="F351" t="str">
        <f>IF(A351="","",SEARCH("-",'ATP Pos'!B351,1))</f>
        <v/>
      </c>
      <c r="G351" t="str">
        <f>IF(A351="","",RIGHT('ATP Pos'!B351,3))</f>
        <v/>
      </c>
      <c r="H351" t="str">
        <f t="shared" si="25"/>
        <v/>
      </c>
      <c r="I351" t="str">
        <f t="shared" si="26"/>
        <v/>
      </c>
      <c r="J351" t="str">
        <f>IF(H351="","",VLOOKUP(I351,表3_3[],2,0))</f>
        <v/>
      </c>
      <c r="K351" t="str">
        <f>IF(H351="","",VLOOKUP(I351,表3_3[],3,0))</f>
        <v/>
      </c>
      <c r="L351" t="str">
        <f>IF(A351="","",IF(G351="LME","",VLOOKUP(RIGHT(E351,2),Helper1!$O$36:$P$48,2,0)))</f>
        <v/>
      </c>
      <c r="M351" t="str">
        <f t="shared" si="27"/>
        <v/>
      </c>
      <c r="N351" t="str">
        <f t="shared" si="28"/>
        <v/>
      </c>
      <c r="O351" t="str">
        <f t="shared" si="29"/>
        <v/>
      </c>
    </row>
    <row r="352" spans="1:15">
      <c r="A352" t="str">
        <f>IF('ATP Pos'!A352="","",LEFT('ATP Pos'!A352,B352-1))</f>
        <v/>
      </c>
      <c r="B352" t="str">
        <f>IF('ATP Pos'!A352="","",SEARCH("_",'ATP Pos'!A352,1))</f>
        <v/>
      </c>
      <c r="C352" t="str">
        <f>IF(A352="","",IF('ATP Pos'!E352="-","",IF('ATP Pos'!E352&gt;0,"Buy",IF('ATP Pos'!E352&lt;0,"Sell"))))</f>
        <v/>
      </c>
      <c r="D352" t="str">
        <f>IF(A352="","",IF('ATP Pos'!E352="-","",IF('ATP Pos'!E352&gt;0,'ATP Pos'!E352,IF('ATP Pos'!E352&lt;0,-'ATP Pos'!E352))))</f>
        <v/>
      </c>
      <c r="E352" t="str">
        <f>IF(A352="","",LEFT('ATP Pos'!B352,F352-1))</f>
        <v/>
      </c>
      <c r="F352" t="str">
        <f>IF(A352="","",SEARCH("-",'ATP Pos'!B352,1))</f>
        <v/>
      </c>
      <c r="G352" t="str">
        <f>IF(A352="","",RIGHT('ATP Pos'!B352,3))</f>
        <v/>
      </c>
      <c r="H352" t="str">
        <f t="shared" si="25"/>
        <v/>
      </c>
      <c r="I352" t="str">
        <f t="shared" si="26"/>
        <v/>
      </c>
      <c r="J352" t="str">
        <f>IF(H352="","",VLOOKUP(I352,表3_3[],2,0))</f>
        <v/>
      </c>
      <c r="K352" t="str">
        <f>IF(H352="","",VLOOKUP(I352,表3_3[],3,0))</f>
        <v/>
      </c>
      <c r="L352" t="str">
        <f>IF(A352="","",IF(G352="LME","",VLOOKUP(RIGHT(E352,2),Helper1!$O$36:$P$48,2,0)))</f>
        <v/>
      </c>
      <c r="M352" t="str">
        <f t="shared" si="27"/>
        <v/>
      </c>
      <c r="N352" t="str">
        <f t="shared" si="28"/>
        <v/>
      </c>
      <c r="O352" t="str">
        <f t="shared" si="29"/>
        <v/>
      </c>
    </row>
    <row r="353" spans="1:15">
      <c r="A353" t="str">
        <f>IF('ATP Pos'!A353="","",LEFT('ATP Pos'!A353,B353-1))</f>
        <v/>
      </c>
      <c r="B353" t="str">
        <f>IF('ATP Pos'!A353="","",SEARCH("_",'ATP Pos'!A353,1))</f>
        <v/>
      </c>
      <c r="C353" t="str">
        <f>IF(A353="","",IF('ATP Pos'!E353="-","",IF('ATP Pos'!E353&gt;0,"Buy",IF('ATP Pos'!E353&lt;0,"Sell"))))</f>
        <v/>
      </c>
      <c r="D353" t="str">
        <f>IF(A353="","",IF('ATP Pos'!E353="-","",IF('ATP Pos'!E353&gt;0,'ATP Pos'!E353,IF('ATP Pos'!E353&lt;0,-'ATP Pos'!E353))))</f>
        <v/>
      </c>
      <c r="E353" t="str">
        <f>IF(A353="","",LEFT('ATP Pos'!B353,F353-1))</f>
        <v/>
      </c>
      <c r="F353" t="str">
        <f>IF(A353="","",SEARCH("-",'ATP Pos'!B353,1))</f>
        <v/>
      </c>
      <c r="G353" t="str">
        <f>IF(A353="","",RIGHT('ATP Pos'!B353,3))</f>
        <v/>
      </c>
      <c r="H353" t="str">
        <f t="shared" si="25"/>
        <v/>
      </c>
      <c r="I353" t="str">
        <f t="shared" si="26"/>
        <v/>
      </c>
      <c r="J353" t="str">
        <f>IF(H353="","",VLOOKUP(I353,表3_3[],2,0))</f>
        <v/>
      </c>
      <c r="K353" t="str">
        <f>IF(H353="","",VLOOKUP(I353,表3_3[],3,0))</f>
        <v/>
      </c>
      <c r="L353" t="str">
        <f>IF(A353="","",IF(G353="LME","",VLOOKUP(RIGHT(E353,2),Helper1!$O$36:$P$48,2,0)))</f>
        <v/>
      </c>
      <c r="M353" t="str">
        <f t="shared" si="27"/>
        <v/>
      </c>
      <c r="N353" t="str">
        <f t="shared" si="28"/>
        <v/>
      </c>
      <c r="O353" t="str">
        <f t="shared" si="29"/>
        <v/>
      </c>
    </row>
    <row r="354" spans="1:15">
      <c r="A354" t="str">
        <f>IF('ATP Pos'!A354="","",LEFT('ATP Pos'!A354,B354-1))</f>
        <v/>
      </c>
      <c r="B354" t="str">
        <f>IF('ATP Pos'!A354="","",SEARCH("_",'ATP Pos'!A354,1))</f>
        <v/>
      </c>
      <c r="C354" t="str">
        <f>IF(A354="","",IF('ATP Pos'!E354="-","",IF('ATP Pos'!E354&gt;0,"Buy",IF('ATP Pos'!E354&lt;0,"Sell"))))</f>
        <v/>
      </c>
      <c r="D354" t="str">
        <f>IF(A354="","",IF('ATP Pos'!E354="-","",IF('ATP Pos'!E354&gt;0,'ATP Pos'!E354,IF('ATP Pos'!E354&lt;0,-'ATP Pos'!E354))))</f>
        <v/>
      </c>
      <c r="E354" t="str">
        <f>IF(A354="","",LEFT('ATP Pos'!B354,F354-1))</f>
        <v/>
      </c>
      <c r="F354" t="str">
        <f>IF(A354="","",SEARCH("-",'ATP Pos'!B354,1))</f>
        <v/>
      </c>
      <c r="G354" t="str">
        <f>IF(A354="","",RIGHT('ATP Pos'!B354,3))</f>
        <v/>
      </c>
      <c r="H354" t="str">
        <f t="shared" si="25"/>
        <v/>
      </c>
      <c r="I354" t="str">
        <f t="shared" si="26"/>
        <v/>
      </c>
      <c r="J354" t="str">
        <f>IF(H354="","",VLOOKUP(I354,表3_3[],2,0))</f>
        <v/>
      </c>
      <c r="K354" t="str">
        <f>IF(H354="","",VLOOKUP(I354,表3_3[],3,0))</f>
        <v/>
      </c>
      <c r="L354" t="str">
        <f>IF(A354="","",IF(G354="LME","",VLOOKUP(RIGHT(E354,2),Helper1!$O$36:$P$48,2,0)))</f>
        <v/>
      </c>
      <c r="M354" t="str">
        <f t="shared" si="27"/>
        <v/>
      </c>
      <c r="N354" t="str">
        <f t="shared" si="28"/>
        <v/>
      </c>
      <c r="O354" t="str">
        <f t="shared" si="29"/>
        <v/>
      </c>
    </row>
    <row r="355" spans="1:15">
      <c r="A355" t="str">
        <f>IF('ATP Pos'!A355="","",LEFT('ATP Pos'!A355,B355-1))</f>
        <v/>
      </c>
      <c r="B355" t="str">
        <f>IF('ATP Pos'!A355="","",SEARCH("_",'ATP Pos'!A355,1))</f>
        <v/>
      </c>
      <c r="C355" t="str">
        <f>IF(A355="","",IF('ATP Pos'!E355="-","",IF('ATP Pos'!E355&gt;0,"Buy",IF('ATP Pos'!E355&lt;0,"Sell"))))</f>
        <v/>
      </c>
      <c r="D355" t="str">
        <f>IF(A355="","",IF('ATP Pos'!E355="-","",IF('ATP Pos'!E355&gt;0,'ATP Pos'!E355,IF('ATP Pos'!E355&lt;0,-'ATP Pos'!E355))))</f>
        <v/>
      </c>
      <c r="E355" t="str">
        <f>IF(A355="","",LEFT('ATP Pos'!B355,F355-1))</f>
        <v/>
      </c>
      <c r="F355" t="str">
        <f>IF(A355="","",SEARCH("-",'ATP Pos'!B355,1))</f>
        <v/>
      </c>
      <c r="G355" t="str">
        <f>IF(A355="","",RIGHT('ATP Pos'!B355,3))</f>
        <v/>
      </c>
      <c r="H355" t="str">
        <f t="shared" si="25"/>
        <v/>
      </c>
      <c r="I355" t="str">
        <f t="shared" si="26"/>
        <v/>
      </c>
      <c r="J355" t="str">
        <f>IF(H355="","",VLOOKUP(I355,表3_3[],2,0))</f>
        <v/>
      </c>
      <c r="K355" t="str">
        <f>IF(H355="","",VLOOKUP(I355,表3_3[],3,0))</f>
        <v/>
      </c>
      <c r="L355" t="str">
        <f>IF(A355="","",IF(G355="LME","",VLOOKUP(RIGHT(E355,2),Helper1!$O$36:$P$48,2,0)))</f>
        <v/>
      </c>
      <c r="M355" t="str">
        <f t="shared" si="27"/>
        <v/>
      </c>
      <c r="N355" t="str">
        <f t="shared" si="28"/>
        <v/>
      </c>
      <c r="O355" t="str">
        <f t="shared" si="29"/>
        <v/>
      </c>
    </row>
    <row r="356" spans="1:15">
      <c r="A356" t="str">
        <f>IF('ATP Pos'!A356="","",LEFT('ATP Pos'!A356,B356-1))</f>
        <v/>
      </c>
      <c r="B356" t="str">
        <f>IF('ATP Pos'!A356="","",SEARCH("_",'ATP Pos'!A356,1))</f>
        <v/>
      </c>
      <c r="C356" t="str">
        <f>IF(A356="","",IF('ATP Pos'!E356="-","",IF('ATP Pos'!E356&gt;0,"Buy",IF('ATP Pos'!E356&lt;0,"Sell"))))</f>
        <v/>
      </c>
      <c r="D356" t="str">
        <f>IF(A356="","",IF('ATP Pos'!E356="-","",IF('ATP Pos'!E356&gt;0,'ATP Pos'!E356,IF('ATP Pos'!E356&lt;0,-'ATP Pos'!E356))))</f>
        <v/>
      </c>
      <c r="E356" t="str">
        <f>IF(A356="","",LEFT('ATP Pos'!B356,F356-1))</f>
        <v/>
      </c>
      <c r="F356" t="str">
        <f>IF(A356="","",SEARCH("-",'ATP Pos'!B356,1))</f>
        <v/>
      </c>
      <c r="G356" t="str">
        <f>IF(A356="","",RIGHT('ATP Pos'!B356,3))</f>
        <v/>
      </c>
      <c r="H356" t="str">
        <f t="shared" si="25"/>
        <v/>
      </c>
      <c r="I356" t="str">
        <f t="shared" si="26"/>
        <v/>
      </c>
      <c r="J356" t="str">
        <f>IF(H356="","",VLOOKUP(I356,表3_3[],2,0))</f>
        <v/>
      </c>
      <c r="K356" t="str">
        <f>IF(H356="","",VLOOKUP(I356,表3_3[],3,0))</f>
        <v/>
      </c>
      <c r="L356" t="str">
        <f>IF(A356="","",IF(G356="LME","",VLOOKUP(RIGHT(E356,2),Helper1!$O$36:$P$48,2,0)))</f>
        <v/>
      </c>
      <c r="M356" t="str">
        <f t="shared" si="27"/>
        <v/>
      </c>
      <c r="N356" t="str">
        <f t="shared" si="28"/>
        <v/>
      </c>
      <c r="O356" t="str">
        <f t="shared" si="29"/>
        <v/>
      </c>
    </row>
    <row r="357" spans="1:15">
      <c r="A357" t="str">
        <f>IF('ATP Pos'!A357="","",LEFT('ATP Pos'!A357,B357-1))</f>
        <v/>
      </c>
      <c r="B357" t="str">
        <f>IF('ATP Pos'!A357="","",SEARCH("_",'ATP Pos'!A357,1))</f>
        <v/>
      </c>
      <c r="C357" t="str">
        <f>IF(A357="","",IF('ATP Pos'!E357="-","",IF('ATP Pos'!E357&gt;0,"Buy",IF('ATP Pos'!E357&lt;0,"Sell"))))</f>
        <v/>
      </c>
      <c r="D357" t="str">
        <f>IF(A357="","",IF('ATP Pos'!E357="-","",IF('ATP Pos'!E357&gt;0,'ATP Pos'!E357,IF('ATP Pos'!E357&lt;0,-'ATP Pos'!E357))))</f>
        <v/>
      </c>
      <c r="E357" t="str">
        <f>IF(A357="","",LEFT('ATP Pos'!B357,F357-1))</f>
        <v/>
      </c>
      <c r="F357" t="str">
        <f>IF(A357="","",SEARCH("-",'ATP Pos'!B357,1))</f>
        <v/>
      </c>
      <c r="G357" t="str">
        <f>IF(A357="","",RIGHT('ATP Pos'!B357,3))</f>
        <v/>
      </c>
      <c r="H357" t="str">
        <f t="shared" si="25"/>
        <v/>
      </c>
      <c r="I357" t="str">
        <f t="shared" si="26"/>
        <v/>
      </c>
      <c r="J357" t="str">
        <f>IF(H357="","",VLOOKUP(I357,表3_3[],2,0))</f>
        <v/>
      </c>
      <c r="K357" t="str">
        <f>IF(H357="","",VLOOKUP(I357,表3_3[],3,0))</f>
        <v/>
      </c>
      <c r="L357" t="str">
        <f>IF(A357="","",IF(G357="LME","",VLOOKUP(RIGHT(E357,2),Helper1!$O$36:$P$48,2,0)))</f>
        <v/>
      </c>
      <c r="M357" t="str">
        <f t="shared" si="27"/>
        <v/>
      </c>
      <c r="N357" t="str">
        <f t="shared" si="28"/>
        <v/>
      </c>
      <c r="O357" t="str">
        <f t="shared" si="29"/>
        <v/>
      </c>
    </row>
    <row r="358" spans="1:15">
      <c r="A358" t="str">
        <f>IF('ATP Pos'!A358="","",LEFT('ATP Pos'!A358,B358-1))</f>
        <v/>
      </c>
      <c r="B358" t="str">
        <f>IF('ATP Pos'!A358="","",SEARCH("_",'ATP Pos'!A358,1))</f>
        <v/>
      </c>
      <c r="C358" t="str">
        <f>IF(A358="","",IF('ATP Pos'!E358="-","",IF('ATP Pos'!E358&gt;0,"Buy",IF('ATP Pos'!E358&lt;0,"Sell"))))</f>
        <v/>
      </c>
      <c r="D358" t="str">
        <f>IF(A358="","",IF('ATP Pos'!E358="-","",IF('ATP Pos'!E358&gt;0,'ATP Pos'!E358,IF('ATP Pos'!E358&lt;0,-'ATP Pos'!E358))))</f>
        <v/>
      </c>
      <c r="E358" t="str">
        <f>IF(A358="","",LEFT('ATP Pos'!B358,F358-1))</f>
        <v/>
      </c>
      <c r="F358" t="str">
        <f>IF(A358="","",SEARCH("-",'ATP Pos'!B358,1))</f>
        <v/>
      </c>
      <c r="G358" t="str">
        <f>IF(A358="","",RIGHT('ATP Pos'!B358,3))</f>
        <v/>
      </c>
      <c r="H358" t="str">
        <f t="shared" si="25"/>
        <v/>
      </c>
      <c r="I358" t="str">
        <f t="shared" si="26"/>
        <v/>
      </c>
      <c r="J358" t="str">
        <f>IF(H358="","",VLOOKUP(I358,表3_3[],2,0))</f>
        <v/>
      </c>
      <c r="K358" t="str">
        <f>IF(H358="","",VLOOKUP(I358,表3_3[],3,0))</f>
        <v/>
      </c>
      <c r="L358" t="str">
        <f>IF(A358="","",IF(G358="LME","",VLOOKUP(RIGHT(E358,2),Helper1!$O$36:$P$48,2,0)))</f>
        <v/>
      </c>
      <c r="M358" t="str">
        <f t="shared" si="27"/>
        <v/>
      </c>
      <c r="N358" t="str">
        <f t="shared" si="28"/>
        <v/>
      </c>
      <c r="O358" t="str">
        <f t="shared" si="29"/>
        <v/>
      </c>
    </row>
    <row r="359" spans="1:15">
      <c r="A359" t="str">
        <f>IF('ATP Pos'!A359="","",LEFT('ATP Pos'!A359,B359-1))</f>
        <v/>
      </c>
      <c r="B359" t="str">
        <f>IF('ATP Pos'!A359="","",SEARCH("_",'ATP Pos'!A359,1))</f>
        <v/>
      </c>
      <c r="C359" t="str">
        <f>IF(A359="","",IF('ATP Pos'!E359="-","",IF('ATP Pos'!E359&gt;0,"Buy",IF('ATP Pos'!E359&lt;0,"Sell"))))</f>
        <v/>
      </c>
      <c r="D359" t="str">
        <f>IF(A359="","",IF('ATP Pos'!E359="-","",IF('ATP Pos'!E359&gt;0,'ATP Pos'!E359,IF('ATP Pos'!E359&lt;0,-'ATP Pos'!E359))))</f>
        <v/>
      </c>
      <c r="E359" t="str">
        <f>IF(A359="","",LEFT('ATP Pos'!B359,F359-1))</f>
        <v/>
      </c>
      <c r="F359" t="str">
        <f>IF(A359="","",SEARCH("-",'ATP Pos'!B359,1))</f>
        <v/>
      </c>
      <c r="G359" t="str">
        <f>IF(A359="","",RIGHT('ATP Pos'!B359,3))</f>
        <v/>
      </c>
      <c r="H359" t="str">
        <f t="shared" si="25"/>
        <v/>
      </c>
      <c r="I359" t="str">
        <f t="shared" si="26"/>
        <v/>
      </c>
      <c r="J359" t="str">
        <f>IF(H359="","",VLOOKUP(I359,表3_3[],2,0))</f>
        <v/>
      </c>
      <c r="K359" t="str">
        <f>IF(H359="","",VLOOKUP(I359,表3_3[],3,0))</f>
        <v/>
      </c>
      <c r="L359" t="str">
        <f>IF(A359="","",IF(G359="LME","",VLOOKUP(RIGHT(E359,2),Helper1!$O$36:$P$48,2,0)))</f>
        <v/>
      </c>
      <c r="M359" t="str">
        <f t="shared" si="27"/>
        <v/>
      </c>
      <c r="N359" t="str">
        <f t="shared" si="28"/>
        <v/>
      </c>
      <c r="O359" t="str">
        <f t="shared" si="29"/>
        <v/>
      </c>
    </row>
    <row r="360" spans="1:15">
      <c r="A360" t="str">
        <f>IF('ATP Pos'!A360="","",LEFT('ATP Pos'!A360,B360-1))</f>
        <v/>
      </c>
      <c r="B360" t="str">
        <f>IF('ATP Pos'!A360="","",SEARCH("_",'ATP Pos'!A360,1))</f>
        <v/>
      </c>
      <c r="C360" t="str">
        <f>IF(A360="","",IF('ATP Pos'!E360="-","",IF('ATP Pos'!E360&gt;0,"Buy",IF('ATP Pos'!E360&lt;0,"Sell"))))</f>
        <v/>
      </c>
      <c r="D360" t="str">
        <f>IF(A360="","",IF('ATP Pos'!E360="-","",IF('ATP Pos'!E360&gt;0,'ATP Pos'!E360,IF('ATP Pos'!E360&lt;0,-'ATP Pos'!E360))))</f>
        <v/>
      </c>
      <c r="E360" t="str">
        <f>IF(A360="","",LEFT('ATP Pos'!B360,F360-1))</f>
        <v/>
      </c>
      <c r="F360" t="str">
        <f>IF(A360="","",SEARCH("-",'ATP Pos'!B360,1))</f>
        <v/>
      </c>
      <c r="G360" t="str">
        <f>IF(A360="","",RIGHT('ATP Pos'!B360,3))</f>
        <v/>
      </c>
      <c r="H360" t="str">
        <f t="shared" si="25"/>
        <v/>
      </c>
      <c r="I360" t="str">
        <f t="shared" si="26"/>
        <v/>
      </c>
      <c r="J360" t="str">
        <f>IF(H360="","",VLOOKUP(I360,表3_3[],2,0))</f>
        <v/>
      </c>
      <c r="K360" t="str">
        <f>IF(H360="","",VLOOKUP(I360,表3_3[],3,0))</f>
        <v/>
      </c>
      <c r="L360" t="str">
        <f>IF(A360="","",IF(G360="LME","",VLOOKUP(RIGHT(E360,2),Helper1!$O$36:$P$48,2,0)))</f>
        <v/>
      </c>
      <c r="M360" t="str">
        <f t="shared" si="27"/>
        <v/>
      </c>
      <c r="N360" t="str">
        <f t="shared" si="28"/>
        <v/>
      </c>
      <c r="O360" t="str">
        <f t="shared" si="29"/>
        <v/>
      </c>
    </row>
    <row r="361" spans="1:15">
      <c r="A361" t="str">
        <f>IF('ATP Pos'!A361="","",LEFT('ATP Pos'!A361,B361-1))</f>
        <v/>
      </c>
      <c r="B361" t="str">
        <f>IF('ATP Pos'!A361="","",SEARCH("_",'ATP Pos'!A361,1))</f>
        <v/>
      </c>
      <c r="C361" t="str">
        <f>IF(A361="","",IF('ATP Pos'!E361="-","",IF('ATP Pos'!E361&gt;0,"Buy",IF('ATP Pos'!E361&lt;0,"Sell"))))</f>
        <v/>
      </c>
      <c r="D361" t="str">
        <f>IF(A361="","",IF('ATP Pos'!E361="-","",IF('ATP Pos'!E361&gt;0,'ATP Pos'!E361,IF('ATP Pos'!E361&lt;0,-'ATP Pos'!E361))))</f>
        <v/>
      </c>
      <c r="E361" t="str">
        <f>IF(A361="","",LEFT('ATP Pos'!B361,F361-1))</f>
        <v/>
      </c>
      <c r="F361" t="str">
        <f>IF(A361="","",SEARCH("-",'ATP Pos'!B361,1))</f>
        <v/>
      </c>
      <c r="G361" t="str">
        <f>IF(A361="","",RIGHT('ATP Pos'!B361,3))</f>
        <v/>
      </c>
      <c r="H361" t="str">
        <f t="shared" si="25"/>
        <v/>
      </c>
      <c r="I361" t="str">
        <f t="shared" si="26"/>
        <v/>
      </c>
      <c r="J361" t="str">
        <f>IF(H361="","",VLOOKUP(I361,表3_3[],2,0))</f>
        <v/>
      </c>
      <c r="K361" t="str">
        <f>IF(H361="","",VLOOKUP(I361,表3_3[],3,0))</f>
        <v/>
      </c>
      <c r="L361" t="str">
        <f>IF(A361="","",IF(G361="LME","",VLOOKUP(RIGHT(E361,2),Helper1!$O$36:$P$48,2,0)))</f>
        <v/>
      </c>
      <c r="M361" t="str">
        <f t="shared" si="27"/>
        <v/>
      </c>
      <c r="N361" t="str">
        <f t="shared" si="28"/>
        <v/>
      </c>
      <c r="O361" t="str">
        <f t="shared" si="29"/>
        <v/>
      </c>
    </row>
    <row r="362" spans="1:15">
      <c r="A362" t="str">
        <f>IF('ATP Pos'!A362="","",LEFT('ATP Pos'!A362,B362-1))</f>
        <v/>
      </c>
      <c r="B362" t="str">
        <f>IF('ATP Pos'!A362="","",SEARCH("_",'ATP Pos'!A362,1))</f>
        <v/>
      </c>
      <c r="C362" t="str">
        <f>IF(A362="","",IF('ATP Pos'!E362="-","",IF('ATP Pos'!E362&gt;0,"Buy",IF('ATP Pos'!E362&lt;0,"Sell"))))</f>
        <v/>
      </c>
      <c r="D362" t="str">
        <f>IF(A362="","",IF('ATP Pos'!E362="-","",IF('ATP Pos'!E362&gt;0,'ATP Pos'!E362,IF('ATP Pos'!E362&lt;0,-'ATP Pos'!E362))))</f>
        <v/>
      </c>
      <c r="E362" t="str">
        <f>IF(A362="","",LEFT('ATP Pos'!B362,F362-1))</f>
        <v/>
      </c>
      <c r="F362" t="str">
        <f>IF(A362="","",SEARCH("-",'ATP Pos'!B362,1))</f>
        <v/>
      </c>
      <c r="G362" t="str">
        <f>IF(A362="","",RIGHT('ATP Pos'!B362,3))</f>
        <v/>
      </c>
      <c r="H362" t="str">
        <f t="shared" si="25"/>
        <v/>
      </c>
      <c r="I362" t="str">
        <f t="shared" si="26"/>
        <v/>
      </c>
      <c r="J362" t="str">
        <f>IF(H362="","",VLOOKUP(I362,表3_3[],2,0))</f>
        <v/>
      </c>
      <c r="K362" t="str">
        <f>IF(H362="","",VLOOKUP(I362,表3_3[],3,0))</f>
        <v/>
      </c>
      <c r="L362" t="str">
        <f>IF(A362="","",IF(G362="LME","",VLOOKUP(RIGHT(E362,2),Helper1!$O$36:$P$48,2,0)))</f>
        <v/>
      </c>
      <c r="M362" t="str">
        <f t="shared" si="27"/>
        <v/>
      </c>
      <c r="N362" t="str">
        <f t="shared" si="28"/>
        <v/>
      </c>
      <c r="O362" t="str">
        <f t="shared" si="29"/>
        <v/>
      </c>
    </row>
    <row r="363" spans="1:15">
      <c r="A363" t="str">
        <f>IF('ATP Pos'!A363="","",LEFT('ATP Pos'!A363,B363-1))</f>
        <v/>
      </c>
      <c r="B363" t="str">
        <f>IF('ATP Pos'!A363="","",SEARCH("_",'ATP Pos'!A363,1))</f>
        <v/>
      </c>
      <c r="C363" t="str">
        <f>IF(A363="","",IF('ATP Pos'!E363="-","",IF('ATP Pos'!E363&gt;0,"Buy",IF('ATP Pos'!E363&lt;0,"Sell"))))</f>
        <v/>
      </c>
      <c r="D363" t="str">
        <f>IF(A363="","",IF('ATP Pos'!E363="-","",IF('ATP Pos'!E363&gt;0,'ATP Pos'!E363,IF('ATP Pos'!E363&lt;0,-'ATP Pos'!E363))))</f>
        <v/>
      </c>
      <c r="E363" t="str">
        <f>IF(A363="","",LEFT('ATP Pos'!B363,F363-1))</f>
        <v/>
      </c>
      <c r="F363" t="str">
        <f>IF(A363="","",SEARCH("-",'ATP Pos'!B363,1))</f>
        <v/>
      </c>
      <c r="G363" t="str">
        <f>IF(A363="","",RIGHT('ATP Pos'!B363,3))</f>
        <v/>
      </c>
      <c r="H363" t="str">
        <f t="shared" si="25"/>
        <v/>
      </c>
      <c r="I363" t="str">
        <f t="shared" si="26"/>
        <v/>
      </c>
      <c r="J363" t="str">
        <f>IF(H363="","",VLOOKUP(I363,表3_3[],2,0))</f>
        <v/>
      </c>
      <c r="K363" t="str">
        <f>IF(H363="","",VLOOKUP(I363,表3_3[],3,0))</f>
        <v/>
      </c>
      <c r="L363" t="str">
        <f>IF(A363="","",IF(G363="LME","",VLOOKUP(RIGHT(E363,2),Helper1!$O$36:$P$48,2,0)))</f>
        <v/>
      </c>
      <c r="M363" t="str">
        <f t="shared" si="27"/>
        <v/>
      </c>
      <c r="N363" t="str">
        <f t="shared" si="28"/>
        <v/>
      </c>
      <c r="O363" t="str">
        <f t="shared" si="29"/>
        <v/>
      </c>
    </row>
    <row r="364" spans="1:15">
      <c r="A364" t="str">
        <f>IF('ATP Pos'!A364="","",LEFT('ATP Pos'!A364,B364-1))</f>
        <v/>
      </c>
      <c r="B364" t="str">
        <f>IF('ATP Pos'!A364="","",SEARCH("_",'ATP Pos'!A364,1))</f>
        <v/>
      </c>
      <c r="C364" t="str">
        <f>IF(A364="","",IF('ATP Pos'!E364="-","",IF('ATP Pos'!E364&gt;0,"Buy",IF('ATP Pos'!E364&lt;0,"Sell"))))</f>
        <v/>
      </c>
      <c r="D364" t="str">
        <f>IF(A364="","",IF('ATP Pos'!E364="-","",IF('ATP Pos'!E364&gt;0,'ATP Pos'!E364,IF('ATP Pos'!E364&lt;0,-'ATP Pos'!E364))))</f>
        <v/>
      </c>
      <c r="E364" t="str">
        <f>IF(A364="","",LEFT('ATP Pos'!B364,F364-1))</f>
        <v/>
      </c>
      <c r="F364" t="str">
        <f>IF(A364="","",SEARCH("-",'ATP Pos'!B364,1))</f>
        <v/>
      </c>
      <c r="G364" t="str">
        <f>IF(A364="","",RIGHT('ATP Pos'!B364,3))</f>
        <v/>
      </c>
      <c r="H364" t="str">
        <f t="shared" si="25"/>
        <v/>
      </c>
      <c r="I364" t="str">
        <f t="shared" si="26"/>
        <v/>
      </c>
      <c r="J364" t="str">
        <f>IF(H364="","",VLOOKUP(I364,表3_3[],2,0))</f>
        <v/>
      </c>
      <c r="K364" t="str">
        <f>IF(H364="","",VLOOKUP(I364,表3_3[],3,0))</f>
        <v/>
      </c>
      <c r="L364" t="str">
        <f>IF(A364="","",IF(G364="LME","",VLOOKUP(RIGHT(E364,2),Helper1!$O$36:$P$48,2,0)))</f>
        <v/>
      </c>
      <c r="M364" t="str">
        <f t="shared" si="27"/>
        <v/>
      </c>
      <c r="N364" t="str">
        <f t="shared" si="28"/>
        <v/>
      </c>
      <c r="O364" t="str">
        <f t="shared" si="29"/>
        <v/>
      </c>
    </row>
    <row r="365" spans="1:15">
      <c r="A365" t="str">
        <f>IF('ATP Pos'!A365="","",LEFT('ATP Pos'!A365,B365-1))</f>
        <v/>
      </c>
      <c r="B365" t="str">
        <f>IF('ATP Pos'!A365="","",SEARCH("_",'ATP Pos'!A365,1))</f>
        <v/>
      </c>
      <c r="C365" t="str">
        <f>IF(A365="","",IF('ATP Pos'!E365="-","",IF('ATP Pos'!E365&gt;0,"Buy",IF('ATP Pos'!E365&lt;0,"Sell"))))</f>
        <v/>
      </c>
      <c r="D365" t="str">
        <f>IF(A365="","",IF('ATP Pos'!E365="-","",IF('ATP Pos'!E365&gt;0,'ATP Pos'!E365,IF('ATP Pos'!E365&lt;0,-'ATP Pos'!E365))))</f>
        <v/>
      </c>
      <c r="E365" t="str">
        <f>IF(A365="","",LEFT('ATP Pos'!B365,F365-1))</f>
        <v/>
      </c>
      <c r="F365" t="str">
        <f>IF(A365="","",SEARCH("-",'ATP Pos'!B365,1))</f>
        <v/>
      </c>
      <c r="G365" t="str">
        <f>IF(A365="","",RIGHT('ATP Pos'!B365,3))</f>
        <v/>
      </c>
      <c r="H365" t="str">
        <f t="shared" si="25"/>
        <v/>
      </c>
      <c r="I365" t="str">
        <f t="shared" si="26"/>
        <v/>
      </c>
      <c r="J365" t="str">
        <f>IF(H365="","",VLOOKUP(I365,表3_3[],2,0))</f>
        <v/>
      </c>
      <c r="K365" t="str">
        <f>IF(H365="","",VLOOKUP(I365,表3_3[],3,0))</f>
        <v/>
      </c>
      <c r="L365" t="str">
        <f>IF(A365="","",IF(G365="LME","",VLOOKUP(RIGHT(E365,2),Helper1!$O$36:$P$48,2,0)))</f>
        <v/>
      </c>
      <c r="M365" t="str">
        <f t="shared" si="27"/>
        <v/>
      </c>
      <c r="N365" t="str">
        <f t="shared" si="28"/>
        <v/>
      </c>
      <c r="O365" t="str">
        <f t="shared" si="29"/>
        <v/>
      </c>
    </row>
    <row r="366" spans="1:15">
      <c r="A366" t="str">
        <f>IF('ATP Pos'!A366="","",LEFT('ATP Pos'!A366,B366-1))</f>
        <v/>
      </c>
      <c r="B366" t="str">
        <f>IF('ATP Pos'!A366="","",SEARCH("_",'ATP Pos'!A366,1))</f>
        <v/>
      </c>
      <c r="C366" t="str">
        <f>IF(A366="","",IF('ATP Pos'!E366="-","",IF('ATP Pos'!E366&gt;0,"Buy",IF('ATP Pos'!E366&lt;0,"Sell"))))</f>
        <v/>
      </c>
      <c r="D366" t="str">
        <f>IF(A366="","",IF('ATP Pos'!E366="-","",IF('ATP Pos'!E366&gt;0,'ATP Pos'!E366,IF('ATP Pos'!E366&lt;0,-'ATP Pos'!E366))))</f>
        <v/>
      </c>
      <c r="E366" t="str">
        <f>IF(A366="","",LEFT('ATP Pos'!B366,F366-1))</f>
        <v/>
      </c>
      <c r="F366" t="str">
        <f>IF(A366="","",SEARCH("-",'ATP Pos'!B366,1))</f>
        <v/>
      </c>
      <c r="G366" t="str">
        <f>IF(A366="","",RIGHT('ATP Pos'!B366,3))</f>
        <v/>
      </c>
      <c r="H366" t="str">
        <f t="shared" si="25"/>
        <v/>
      </c>
      <c r="I366" t="str">
        <f t="shared" si="26"/>
        <v/>
      </c>
      <c r="J366" t="str">
        <f>IF(H366="","",VLOOKUP(I366,表3_3[],2,0))</f>
        <v/>
      </c>
      <c r="K366" t="str">
        <f>IF(H366="","",VLOOKUP(I366,表3_3[],3,0))</f>
        <v/>
      </c>
      <c r="L366" t="str">
        <f>IF(A366="","",IF(G366="LME","",VLOOKUP(RIGHT(E366,2),Helper1!$O$36:$P$48,2,0)))</f>
        <v/>
      </c>
      <c r="M366" t="str">
        <f t="shared" si="27"/>
        <v/>
      </c>
      <c r="N366" t="str">
        <f t="shared" si="28"/>
        <v/>
      </c>
      <c r="O366" t="str">
        <f t="shared" si="29"/>
        <v/>
      </c>
    </row>
    <row r="367" spans="1:15">
      <c r="A367" t="str">
        <f>IF('ATP Pos'!A367="","",LEFT('ATP Pos'!A367,B367-1))</f>
        <v/>
      </c>
      <c r="B367" t="str">
        <f>IF('ATP Pos'!A367="","",SEARCH("_",'ATP Pos'!A367,1))</f>
        <v/>
      </c>
      <c r="C367" t="str">
        <f>IF(A367="","",IF('ATP Pos'!E367="-","",IF('ATP Pos'!E367&gt;0,"Buy",IF('ATP Pos'!E367&lt;0,"Sell"))))</f>
        <v/>
      </c>
      <c r="D367" t="str">
        <f>IF(A367="","",IF('ATP Pos'!E367="-","",IF('ATP Pos'!E367&gt;0,'ATP Pos'!E367,IF('ATP Pos'!E367&lt;0,-'ATP Pos'!E367))))</f>
        <v/>
      </c>
      <c r="E367" t="str">
        <f>IF(A367="","",LEFT('ATP Pos'!B367,F367-1))</f>
        <v/>
      </c>
      <c r="F367" t="str">
        <f>IF(A367="","",SEARCH("-",'ATP Pos'!B367,1))</f>
        <v/>
      </c>
      <c r="G367" t="str">
        <f>IF(A367="","",RIGHT('ATP Pos'!B367,3))</f>
        <v/>
      </c>
      <c r="H367" t="str">
        <f t="shared" si="25"/>
        <v/>
      </c>
      <c r="I367" t="str">
        <f t="shared" si="26"/>
        <v/>
      </c>
      <c r="J367" t="str">
        <f>IF(H367="","",VLOOKUP(I367,表3_3[],2,0))</f>
        <v/>
      </c>
      <c r="K367" t="str">
        <f>IF(H367="","",VLOOKUP(I367,表3_3[],3,0))</f>
        <v/>
      </c>
      <c r="L367" t="str">
        <f>IF(A367="","",IF(G367="LME","",VLOOKUP(RIGHT(E367,2),Helper1!$O$36:$P$48,2,0)))</f>
        <v/>
      </c>
      <c r="M367" t="str">
        <f t="shared" si="27"/>
        <v/>
      </c>
      <c r="N367" t="str">
        <f t="shared" si="28"/>
        <v/>
      </c>
      <c r="O367" t="str">
        <f t="shared" si="29"/>
        <v/>
      </c>
    </row>
    <row r="368" spans="1:15">
      <c r="A368" t="str">
        <f>IF('ATP Pos'!A368="","",LEFT('ATP Pos'!A368,B368-1))</f>
        <v/>
      </c>
      <c r="B368" t="str">
        <f>IF('ATP Pos'!A368="","",SEARCH("_",'ATP Pos'!A368,1))</f>
        <v/>
      </c>
      <c r="C368" t="str">
        <f>IF(A368="","",IF('ATP Pos'!E368="-","",IF('ATP Pos'!E368&gt;0,"Buy",IF('ATP Pos'!E368&lt;0,"Sell"))))</f>
        <v/>
      </c>
      <c r="D368" t="str">
        <f>IF(A368="","",IF('ATP Pos'!E368="-","",IF('ATP Pos'!E368&gt;0,'ATP Pos'!E368,IF('ATP Pos'!E368&lt;0,-'ATP Pos'!E368))))</f>
        <v/>
      </c>
      <c r="E368" t="str">
        <f>IF(A368="","",LEFT('ATP Pos'!B368,F368-1))</f>
        <v/>
      </c>
      <c r="F368" t="str">
        <f>IF(A368="","",SEARCH("-",'ATP Pos'!B368,1))</f>
        <v/>
      </c>
      <c r="G368" t="str">
        <f>IF(A368="","",RIGHT('ATP Pos'!B368,3))</f>
        <v/>
      </c>
      <c r="H368" t="str">
        <f t="shared" si="25"/>
        <v/>
      </c>
      <c r="I368" t="str">
        <f t="shared" si="26"/>
        <v/>
      </c>
      <c r="J368" t="str">
        <f>IF(H368="","",VLOOKUP(I368,表3_3[],2,0))</f>
        <v/>
      </c>
      <c r="K368" t="str">
        <f>IF(H368="","",VLOOKUP(I368,表3_3[],3,0))</f>
        <v/>
      </c>
      <c r="L368" t="str">
        <f>IF(A368="","",IF(G368="LME","",VLOOKUP(RIGHT(E368,2),Helper1!$O$36:$P$48,2,0)))</f>
        <v/>
      </c>
      <c r="M368" t="str">
        <f t="shared" si="27"/>
        <v/>
      </c>
      <c r="N368" t="str">
        <f t="shared" si="28"/>
        <v/>
      </c>
      <c r="O368" t="str">
        <f t="shared" si="29"/>
        <v/>
      </c>
    </row>
    <row r="369" spans="1:15">
      <c r="A369" t="str">
        <f>IF('ATP Pos'!A369="","",LEFT('ATP Pos'!A369,B369-1))</f>
        <v/>
      </c>
      <c r="B369" t="str">
        <f>IF('ATP Pos'!A369="","",SEARCH("_",'ATP Pos'!A369,1))</f>
        <v/>
      </c>
      <c r="C369" t="str">
        <f>IF(A369="","",IF('ATP Pos'!E369="-","",IF('ATP Pos'!E369&gt;0,"Buy",IF('ATP Pos'!E369&lt;0,"Sell"))))</f>
        <v/>
      </c>
      <c r="D369" t="str">
        <f>IF(A369="","",IF('ATP Pos'!E369="-","",IF('ATP Pos'!E369&gt;0,'ATP Pos'!E369,IF('ATP Pos'!E369&lt;0,-'ATP Pos'!E369))))</f>
        <v/>
      </c>
      <c r="E369" t="str">
        <f>IF(A369="","",LEFT('ATP Pos'!B369,F369-1))</f>
        <v/>
      </c>
      <c r="F369" t="str">
        <f>IF(A369="","",SEARCH("-",'ATP Pos'!B369,1))</f>
        <v/>
      </c>
      <c r="G369" t="str">
        <f>IF(A369="","",RIGHT('ATP Pos'!B369,3))</f>
        <v/>
      </c>
      <c r="H369" t="str">
        <f t="shared" si="25"/>
        <v/>
      </c>
      <c r="I369" t="str">
        <f t="shared" si="26"/>
        <v/>
      </c>
      <c r="J369" t="str">
        <f>IF(H369="","",VLOOKUP(I369,表3_3[],2,0))</f>
        <v/>
      </c>
      <c r="K369" t="str">
        <f>IF(H369="","",VLOOKUP(I369,表3_3[],3,0))</f>
        <v/>
      </c>
      <c r="L369" t="str">
        <f>IF(A369="","",IF(G369="LME","",VLOOKUP(RIGHT(E369,2),Helper1!$O$36:$P$48,2,0)))</f>
        <v/>
      </c>
      <c r="M369" t="str">
        <f t="shared" si="27"/>
        <v/>
      </c>
      <c r="N369" t="str">
        <f t="shared" si="28"/>
        <v/>
      </c>
      <c r="O369" t="str">
        <f t="shared" si="29"/>
        <v/>
      </c>
    </row>
    <row r="370" spans="1:15">
      <c r="A370" t="str">
        <f>IF('ATP Pos'!A370="","",LEFT('ATP Pos'!A370,B370-1))</f>
        <v/>
      </c>
      <c r="B370" t="str">
        <f>IF('ATP Pos'!A370="","",SEARCH("_",'ATP Pos'!A370,1))</f>
        <v/>
      </c>
      <c r="C370" t="str">
        <f>IF(A370="","",IF('ATP Pos'!E370="-","",IF('ATP Pos'!E370&gt;0,"Buy",IF('ATP Pos'!E370&lt;0,"Sell"))))</f>
        <v/>
      </c>
      <c r="D370" t="str">
        <f>IF(A370="","",IF('ATP Pos'!E370="-","",IF('ATP Pos'!E370&gt;0,'ATP Pos'!E370,IF('ATP Pos'!E370&lt;0,-'ATP Pos'!E370))))</f>
        <v/>
      </c>
      <c r="E370" t="str">
        <f>IF(A370="","",LEFT('ATP Pos'!B370,F370-1))</f>
        <v/>
      </c>
      <c r="F370" t="str">
        <f>IF(A370="","",SEARCH("-",'ATP Pos'!B370,1))</f>
        <v/>
      </c>
      <c r="G370" t="str">
        <f>IF(A370="","",RIGHT('ATP Pos'!B370,3))</f>
        <v/>
      </c>
      <c r="H370" t="str">
        <f t="shared" si="25"/>
        <v/>
      </c>
      <c r="I370" t="str">
        <f t="shared" si="26"/>
        <v/>
      </c>
      <c r="J370" t="str">
        <f>IF(H370="","",VLOOKUP(I370,表3_3[],2,0))</f>
        <v/>
      </c>
      <c r="K370" t="str">
        <f>IF(H370="","",VLOOKUP(I370,表3_3[],3,0))</f>
        <v/>
      </c>
      <c r="L370" t="str">
        <f>IF(A370="","",IF(G370="LME","",VLOOKUP(RIGHT(E370,2),Helper1!$O$36:$P$48,2,0)))</f>
        <v/>
      </c>
      <c r="M370" t="str">
        <f t="shared" si="27"/>
        <v/>
      </c>
      <c r="N370" t="str">
        <f t="shared" si="28"/>
        <v/>
      </c>
      <c r="O370" t="str">
        <f t="shared" si="29"/>
        <v/>
      </c>
    </row>
    <row r="371" spans="1:15">
      <c r="A371" t="str">
        <f>IF('ATP Pos'!A371="","",LEFT('ATP Pos'!A371,B371-1))</f>
        <v/>
      </c>
      <c r="B371" t="str">
        <f>IF('ATP Pos'!A371="","",SEARCH("_",'ATP Pos'!A371,1))</f>
        <v/>
      </c>
      <c r="C371" t="str">
        <f>IF(A371="","",IF('ATP Pos'!E371="-","",IF('ATP Pos'!E371&gt;0,"Buy",IF('ATP Pos'!E371&lt;0,"Sell"))))</f>
        <v/>
      </c>
      <c r="D371" t="str">
        <f>IF(A371="","",IF('ATP Pos'!E371="-","",IF('ATP Pos'!E371&gt;0,'ATP Pos'!E371,IF('ATP Pos'!E371&lt;0,-'ATP Pos'!E371))))</f>
        <v/>
      </c>
      <c r="E371" t="str">
        <f>IF(A371="","",LEFT('ATP Pos'!B371,F371-1))</f>
        <v/>
      </c>
      <c r="F371" t="str">
        <f>IF(A371="","",SEARCH("-",'ATP Pos'!B371,1))</f>
        <v/>
      </c>
      <c r="G371" t="str">
        <f>IF(A371="","",RIGHT('ATP Pos'!B371,3))</f>
        <v/>
      </c>
      <c r="H371" t="str">
        <f t="shared" si="25"/>
        <v/>
      </c>
      <c r="I371" t="str">
        <f t="shared" si="26"/>
        <v/>
      </c>
      <c r="J371" t="str">
        <f>IF(H371="","",VLOOKUP(I371,表3_3[],2,0))</f>
        <v/>
      </c>
      <c r="K371" t="str">
        <f>IF(H371="","",VLOOKUP(I371,表3_3[],3,0))</f>
        <v/>
      </c>
      <c r="L371" t="str">
        <f>IF(A371="","",IF(G371="LME","",VLOOKUP(RIGHT(E371,2),Helper1!$O$36:$P$48,2,0)))</f>
        <v/>
      </c>
      <c r="M371" t="str">
        <f t="shared" si="27"/>
        <v/>
      </c>
      <c r="N371" t="str">
        <f t="shared" si="28"/>
        <v/>
      </c>
      <c r="O371" t="str">
        <f t="shared" si="29"/>
        <v/>
      </c>
    </row>
    <row r="372" spans="1:15">
      <c r="A372" t="str">
        <f>IF('ATP Pos'!A372="","",LEFT('ATP Pos'!A372,B372-1))</f>
        <v/>
      </c>
      <c r="B372" t="str">
        <f>IF('ATP Pos'!A372="","",SEARCH("_",'ATP Pos'!A372,1))</f>
        <v/>
      </c>
      <c r="C372" t="str">
        <f>IF(A372="","",IF('ATP Pos'!E372="-","",IF('ATP Pos'!E372&gt;0,"Buy",IF('ATP Pos'!E372&lt;0,"Sell"))))</f>
        <v/>
      </c>
      <c r="D372" t="str">
        <f>IF(A372="","",IF('ATP Pos'!E372="-","",IF('ATP Pos'!E372&gt;0,'ATP Pos'!E372,IF('ATP Pos'!E372&lt;0,-'ATP Pos'!E372))))</f>
        <v/>
      </c>
      <c r="E372" t="str">
        <f>IF(A372="","",LEFT('ATP Pos'!B372,F372-1))</f>
        <v/>
      </c>
      <c r="F372" t="str">
        <f>IF(A372="","",SEARCH("-",'ATP Pos'!B372,1))</f>
        <v/>
      </c>
      <c r="G372" t="str">
        <f>IF(A372="","",RIGHT('ATP Pos'!B372,3))</f>
        <v/>
      </c>
      <c r="H372" t="str">
        <f t="shared" si="25"/>
        <v/>
      </c>
      <c r="I372" t="str">
        <f t="shared" si="26"/>
        <v/>
      </c>
      <c r="J372" t="str">
        <f>IF(H372="","",VLOOKUP(I372,表3_3[],2,0))</f>
        <v/>
      </c>
      <c r="K372" t="str">
        <f>IF(H372="","",VLOOKUP(I372,表3_3[],3,0))</f>
        <v/>
      </c>
      <c r="L372" t="str">
        <f>IF(A372="","",IF(G372="LME","",VLOOKUP(RIGHT(E372,2),Helper1!$O$36:$P$48,2,0)))</f>
        <v/>
      </c>
      <c r="M372" t="str">
        <f t="shared" si="27"/>
        <v/>
      </c>
      <c r="N372" t="str">
        <f t="shared" si="28"/>
        <v/>
      </c>
      <c r="O372" t="str">
        <f t="shared" si="29"/>
        <v/>
      </c>
    </row>
    <row r="373" spans="1:15">
      <c r="A373" t="str">
        <f>IF('ATP Pos'!A373="","",LEFT('ATP Pos'!A373,B373-1))</f>
        <v/>
      </c>
      <c r="B373" t="str">
        <f>IF('ATP Pos'!A373="","",SEARCH("_",'ATP Pos'!A373,1))</f>
        <v/>
      </c>
      <c r="C373" t="str">
        <f>IF(A373="","",IF('ATP Pos'!E373="-","",IF('ATP Pos'!E373&gt;0,"Buy",IF('ATP Pos'!E373&lt;0,"Sell"))))</f>
        <v/>
      </c>
      <c r="D373" t="str">
        <f>IF(A373="","",IF('ATP Pos'!E373="-","",IF('ATP Pos'!E373&gt;0,'ATP Pos'!E373,IF('ATP Pos'!E373&lt;0,-'ATP Pos'!E373))))</f>
        <v/>
      </c>
      <c r="E373" t="str">
        <f>IF(A373="","",LEFT('ATP Pos'!B373,F373-1))</f>
        <v/>
      </c>
      <c r="F373" t="str">
        <f>IF(A373="","",SEARCH("-",'ATP Pos'!B373,1))</f>
        <v/>
      </c>
      <c r="G373" t="str">
        <f>IF(A373="","",RIGHT('ATP Pos'!B373,3))</f>
        <v/>
      </c>
      <c r="H373" t="str">
        <f t="shared" si="25"/>
        <v/>
      </c>
      <c r="I373" t="str">
        <f t="shared" si="26"/>
        <v/>
      </c>
      <c r="J373" t="str">
        <f>IF(H373="","",VLOOKUP(I373,表3_3[],2,0))</f>
        <v/>
      </c>
      <c r="K373" t="str">
        <f>IF(H373="","",VLOOKUP(I373,表3_3[],3,0))</f>
        <v/>
      </c>
      <c r="L373" t="str">
        <f>IF(A373="","",IF(G373="LME","",VLOOKUP(RIGHT(E373,2),Helper1!$O$36:$P$48,2,0)))</f>
        <v/>
      </c>
      <c r="M373" t="str">
        <f t="shared" si="27"/>
        <v/>
      </c>
      <c r="N373" t="str">
        <f t="shared" si="28"/>
        <v/>
      </c>
      <c r="O373" t="str">
        <f t="shared" si="29"/>
        <v/>
      </c>
    </row>
    <row r="374" spans="1:15">
      <c r="A374" t="str">
        <f>IF('ATP Pos'!A374="","",LEFT('ATP Pos'!A374,B374-1))</f>
        <v/>
      </c>
      <c r="B374" t="str">
        <f>IF('ATP Pos'!A374="","",SEARCH("_",'ATP Pos'!A374,1))</f>
        <v/>
      </c>
      <c r="C374" t="str">
        <f>IF(A374="","",IF('ATP Pos'!E374="-","",IF('ATP Pos'!E374&gt;0,"Buy",IF('ATP Pos'!E374&lt;0,"Sell"))))</f>
        <v/>
      </c>
      <c r="D374" t="str">
        <f>IF(A374="","",IF('ATP Pos'!E374="-","",IF('ATP Pos'!E374&gt;0,'ATP Pos'!E374,IF('ATP Pos'!E374&lt;0,-'ATP Pos'!E374))))</f>
        <v/>
      </c>
      <c r="E374" t="str">
        <f>IF(A374="","",LEFT('ATP Pos'!B374,F374-1))</f>
        <v/>
      </c>
      <c r="F374" t="str">
        <f>IF(A374="","",SEARCH("-",'ATP Pos'!B374,1))</f>
        <v/>
      </c>
      <c r="G374" t="str">
        <f>IF(A374="","",RIGHT('ATP Pos'!B374,3))</f>
        <v/>
      </c>
      <c r="H374" t="str">
        <f t="shared" si="25"/>
        <v/>
      </c>
      <c r="I374" t="str">
        <f t="shared" si="26"/>
        <v/>
      </c>
      <c r="J374" t="str">
        <f>IF(H374="","",VLOOKUP(I374,表3_3[],2,0))</f>
        <v/>
      </c>
      <c r="K374" t="str">
        <f>IF(H374="","",VLOOKUP(I374,表3_3[],3,0))</f>
        <v/>
      </c>
      <c r="L374" t="str">
        <f>IF(A374="","",IF(G374="LME","",VLOOKUP(RIGHT(E374,2),Helper1!$O$36:$P$48,2,0)))</f>
        <v/>
      </c>
      <c r="M374" t="str">
        <f t="shared" si="27"/>
        <v/>
      </c>
      <c r="N374" t="str">
        <f t="shared" si="28"/>
        <v/>
      </c>
      <c r="O374" t="str">
        <f t="shared" si="29"/>
        <v/>
      </c>
    </row>
    <row r="375" spans="1:15">
      <c r="A375" t="str">
        <f>IF('ATP Pos'!A375="","",LEFT('ATP Pos'!A375,B375-1))</f>
        <v/>
      </c>
      <c r="B375" t="str">
        <f>IF('ATP Pos'!A375="","",SEARCH("_",'ATP Pos'!A375,1))</f>
        <v/>
      </c>
      <c r="C375" t="str">
        <f>IF(A375="","",IF('ATP Pos'!E375="-","",IF('ATP Pos'!E375&gt;0,"Buy",IF('ATP Pos'!E375&lt;0,"Sell"))))</f>
        <v/>
      </c>
      <c r="D375" t="str">
        <f>IF(A375="","",IF('ATP Pos'!E375="-","",IF('ATP Pos'!E375&gt;0,'ATP Pos'!E375,IF('ATP Pos'!E375&lt;0,-'ATP Pos'!E375))))</f>
        <v/>
      </c>
      <c r="E375" t="str">
        <f>IF(A375="","",LEFT('ATP Pos'!B375,F375-1))</f>
        <v/>
      </c>
      <c r="F375" t="str">
        <f>IF(A375="","",SEARCH("-",'ATP Pos'!B375,1))</f>
        <v/>
      </c>
      <c r="G375" t="str">
        <f>IF(A375="","",RIGHT('ATP Pos'!B375,3))</f>
        <v/>
      </c>
      <c r="H375" t="str">
        <f t="shared" si="25"/>
        <v/>
      </c>
      <c r="I375" t="str">
        <f t="shared" si="26"/>
        <v/>
      </c>
      <c r="J375" t="str">
        <f>IF(H375="","",VLOOKUP(I375,表3_3[],2,0))</f>
        <v/>
      </c>
      <c r="K375" t="str">
        <f>IF(H375="","",VLOOKUP(I375,表3_3[],3,0))</f>
        <v/>
      </c>
      <c r="L375" t="str">
        <f>IF(A375="","",IF(G375="LME","",VLOOKUP(RIGHT(E375,2),Helper1!$O$36:$P$48,2,0)))</f>
        <v/>
      </c>
      <c r="M375" t="str">
        <f t="shared" si="27"/>
        <v/>
      </c>
      <c r="N375" t="str">
        <f t="shared" si="28"/>
        <v/>
      </c>
      <c r="O375" t="str">
        <f t="shared" si="29"/>
        <v/>
      </c>
    </row>
    <row r="376" spans="1:15">
      <c r="A376" t="str">
        <f>IF('ATP Pos'!A376="","",LEFT('ATP Pos'!A376,B376-1))</f>
        <v/>
      </c>
      <c r="B376" t="str">
        <f>IF('ATP Pos'!A376="","",SEARCH("_",'ATP Pos'!A376,1))</f>
        <v/>
      </c>
      <c r="C376" t="str">
        <f>IF(A376="","",IF('ATP Pos'!E376="-","",IF('ATP Pos'!E376&gt;0,"Buy",IF('ATP Pos'!E376&lt;0,"Sell"))))</f>
        <v/>
      </c>
      <c r="D376" t="str">
        <f>IF(A376="","",IF('ATP Pos'!E376="-","",IF('ATP Pos'!E376&gt;0,'ATP Pos'!E376,IF('ATP Pos'!E376&lt;0,-'ATP Pos'!E376))))</f>
        <v/>
      </c>
      <c r="E376" t="str">
        <f>IF(A376="","",LEFT('ATP Pos'!B376,F376-1))</f>
        <v/>
      </c>
      <c r="F376" t="str">
        <f>IF(A376="","",SEARCH("-",'ATP Pos'!B376,1))</f>
        <v/>
      </c>
      <c r="G376" t="str">
        <f>IF(A376="","",RIGHT('ATP Pos'!B376,3))</f>
        <v/>
      </c>
      <c r="H376" t="str">
        <f t="shared" si="25"/>
        <v/>
      </c>
      <c r="I376" t="str">
        <f t="shared" si="26"/>
        <v/>
      </c>
      <c r="J376" t="str">
        <f>IF(H376="","",VLOOKUP(I376,表3_3[],2,0))</f>
        <v/>
      </c>
      <c r="K376" t="str">
        <f>IF(H376="","",VLOOKUP(I376,表3_3[],3,0))</f>
        <v/>
      </c>
      <c r="L376" t="str">
        <f>IF(A376="","",IF(G376="LME","",VLOOKUP(RIGHT(E376,2),Helper1!$O$36:$P$48,2,0)))</f>
        <v/>
      </c>
      <c r="M376" t="str">
        <f t="shared" si="27"/>
        <v/>
      </c>
      <c r="N376" t="str">
        <f t="shared" si="28"/>
        <v/>
      </c>
      <c r="O376" t="str">
        <f t="shared" si="29"/>
        <v/>
      </c>
    </row>
    <row r="377" spans="1:15">
      <c r="A377" t="str">
        <f>IF('ATP Pos'!A377="","",LEFT('ATP Pos'!A377,B377-1))</f>
        <v/>
      </c>
      <c r="B377" t="str">
        <f>IF('ATP Pos'!A377="","",SEARCH("_",'ATP Pos'!A377,1))</f>
        <v/>
      </c>
      <c r="C377" t="str">
        <f>IF(A377="","",IF('ATP Pos'!E377="-","",IF('ATP Pos'!E377&gt;0,"Buy",IF('ATP Pos'!E377&lt;0,"Sell"))))</f>
        <v/>
      </c>
      <c r="D377" t="str">
        <f>IF(A377="","",IF('ATP Pos'!E377="-","",IF('ATP Pos'!E377&gt;0,'ATP Pos'!E377,IF('ATP Pos'!E377&lt;0,-'ATP Pos'!E377))))</f>
        <v/>
      </c>
      <c r="E377" t="str">
        <f>IF(A377="","",LEFT('ATP Pos'!B377,F377-1))</f>
        <v/>
      </c>
      <c r="F377" t="str">
        <f>IF(A377="","",SEARCH("-",'ATP Pos'!B377,1))</f>
        <v/>
      </c>
      <c r="G377" t="str">
        <f>IF(A377="","",RIGHT('ATP Pos'!B377,3))</f>
        <v/>
      </c>
      <c r="H377" t="str">
        <f t="shared" si="25"/>
        <v/>
      </c>
      <c r="I377" t="str">
        <f t="shared" si="26"/>
        <v/>
      </c>
      <c r="J377" t="str">
        <f>IF(H377="","",VLOOKUP(I377,表3_3[],2,0))</f>
        <v/>
      </c>
      <c r="K377" t="str">
        <f>IF(H377="","",VLOOKUP(I377,表3_3[],3,0))</f>
        <v/>
      </c>
      <c r="L377" t="str">
        <f>IF(A377="","",IF(G377="LME","",VLOOKUP(RIGHT(E377,2),Helper1!$O$36:$P$48,2,0)))</f>
        <v/>
      </c>
      <c r="M377" t="str">
        <f t="shared" si="27"/>
        <v/>
      </c>
      <c r="N377" t="str">
        <f t="shared" si="28"/>
        <v/>
      </c>
      <c r="O377" t="str">
        <f t="shared" si="29"/>
        <v/>
      </c>
    </row>
    <row r="378" spans="1:15">
      <c r="A378" t="str">
        <f>IF('ATP Pos'!A378="","",LEFT('ATP Pos'!A378,B378-1))</f>
        <v/>
      </c>
      <c r="B378" t="str">
        <f>IF('ATP Pos'!A378="","",SEARCH("_",'ATP Pos'!A378,1))</f>
        <v/>
      </c>
      <c r="C378" t="str">
        <f>IF(A378="","",IF('ATP Pos'!E378="-","",IF('ATP Pos'!E378&gt;0,"Buy",IF('ATP Pos'!E378&lt;0,"Sell"))))</f>
        <v/>
      </c>
      <c r="D378" t="str">
        <f>IF(A378="","",IF('ATP Pos'!E378="-","",IF('ATP Pos'!E378&gt;0,'ATP Pos'!E378,IF('ATP Pos'!E378&lt;0,-'ATP Pos'!E378))))</f>
        <v/>
      </c>
      <c r="E378" t="str">
        <f>IF(A378="","",LEFT('ATP Pos'!B378,F378-1))</f>
        <v/>
      </c>
      <c r="F378" t="str">
        <f>IF(A378="","",SEARCH("-",'ATP Pos'!B378,1))</f>
        <v/>
      </c>
      <c r="G378" t="str">
        <f>IF(A378="","",RIGHT('ATP Pos'!B378,3))</f>
        <v/>
      </c>
      <c r="H378" t="str">
        <f t="shared" si="25"/>
        <v/>
      </c>
      <c r="I378" t="str">
        <f t="shared" si="26"/>
        <v/>
      </c>
      <c r="J378" t="str">
        <f>IF(H378="","",VLOOKUP(I378,表3_3[],2,0))</f>
        <v/>
      </c>
      <c r="K378" t="str">
        <f>IF(H378="","",VLOOKUP(I378,表3_3[],3,0))</f>
        <v/>
      </c>
      <c r="L378" t="str">
        <f>IF(A378="","",IF(G378="LME","",VLOOKUP(RIGHT(E378,2),Helper1!$O$36:$P$48,2,0)))</f>
        <v/>
      </c>
      <c r="M378" t="str">
        <f t="shared" si="27"/>
        <v/>
      </c>
      <c r="N378" t="str">
        <f t="shared" si="28"/>
        <v/>
      </c>
      <c r="O378" t="str">
        <f t="shared" si="29"/>
        <v/>
      </c>
    </row>
    <row r="379" spans="1:15">
      <c r="A379" t="str">
        <f>IF('ATP Pos'!A379="","",LEFT('ATP Pos'!A379,B379-1))</f>
        <v/>
      </c>
      <c r="B379" t="str">
        <f>IF('ATP Pos'!A379="","",SEARCH("_",'ATP Pos'!A379,1))</f>
        <v/>
      </c>
      <c r="C379" t="str">
        <f>IF(A379="","",IF('ATP Pos'!E379="-","",IF('ATP Pos'!E379&gt;0,"Buy",IF('ATP Pos'!E379&lt;0,"Sell"))))</f>
        <v/>
      </c>
      <c r="D379" t="str">
        <f>IF(A379="","",IF('ATP Pos'!E379="-","",IF('ATP Pos'!E379&gt;0,'ATP Pos'!E379,IF('ATP Pos'!E379&lt;0,-'ATP Pos'!E379))))</f>
        <v/>
      </c>
      <c r="E379" t="str">
        <f>IF(A379="","",LEFT('ATP Pos'!B379,F379-1))</f>
        <v/>
      </c>
      <c r="F379" t="str">
        <f>IF(A379="","",SEARCH("-",'ATP Pos'!B379,1))</f>
        <v/>
      </c>
      <c r="G379" t="str">
        <f>IF(A379="","",RIGHT('ATP Pos'!B379,3))</f>
        <v/>
      </c>
      <c r="H379" t="str">
        <f t="shared" si="25"/>
        <v/>
      </c>
      <c r="I379" t="str">
        <f t="shared" si="26"/>
        <v/>
      </c>
      <c r="J379" t="str">
        <f>IF(H379="","",VLOOKUP(I379,表3_3[],2,0))</f>
        <v/>
      </c>
      <c r="K379" t="str">
        <f>IF(H379="","",VLOOKUP(I379,表3_3[],3,0))</f>
        <v/>
      </c>
      <c r="L379" t="str">
        <f>IF(A379="","",IF(G379="LME","",VLOOKUP(RIGHT(E379,2),Helper1!$O$36:$P$48,2,0)))</f>
        <v/>
      </c>
      <c r="M379" t="str">
        <f t="shared" si="27"/>
        <v/>
      </c>
      <c r="N379" t="str">
        <f t="shared" si="28"/>
        <v/>
      </c>
      <c r="O379" t="str">
        <f t="shared" si="29"/>
        <v/>
      </c>
    </row>
    <row r="380" spans="1:15">
      <c r="A380" t="str">
        <f>IF('ATP Pos'!A380="","",LEFT('ATP Pos'!A380,B380-1))</f>
        <v/>
      </c>
      <c r="B380" t="str">
        <f>IF('ATP Pos'!A380="","",SEARCH("_",'ATP Pos'!A380,1))</f>
        <v/>
      </c>
      <c r="C380" t="str">
        <f>IF(A380="","",IF('ATP Pos'!E380="-","",IF('ATP Pos'!E380&gt;0,"Buy",IF('ATP Pos'!E380&lt;0,"Sell"))))</f>
        <v/>
      </c>
      <c r="D380" t="str">
        <f>IF(A380="","",IF('ATP Pos'!E380="-","",IF('ATP Pos'!E380&gt;0,'ATP Pos'!E380,IF('ATP Pos'!E380&lt;0,-'ATP Pos'!E380))))</f>
        <v/>
      </c>
      <c r="E380" t="str">
        <f>IF(A380="","",LEFT('ATP Pos'!B380,F380-1))</f>
        <v/>
      </c>
      <c r="F380" t="str">
        <f>IF(A380="","",SEARCH("-",'ATP Pos'!B380,1))</f>
        <v/>
      </c>
      <c r="G380" t="str">
        <f>IF(A380="","",RIGHT('ATP Pos'!B380,3))</f>
        <v/>
      </c>
      <c r="H380" t="str">
        <f t="shared" si="25"/>
        <v/>
      </c>
      <c r="I380" t="str">
        <f t="shared" si="26"/>
        <v/>
      </c>
      <c r="J380" t="str">
        <f>IF(H380="","",VLOOKUP(I380,表3_3[],2,0))</f>
        <v/>
      </c>
      <c r="K380" t="str">
        <f>IF(H380="","",VLOOKUP(I380,表3_3[],3,0))</f>
        <v/>
      </c>
      <c r="L380" t="str">
        <f>IF(A380="","",IF(G380="LME","",VLOOKUP(RIGHT(E380,2),Helper1!$O$36:$P$48,2,0)))</f>
        <v/>
      </c>
      <c r="M380" t="str">
        <f t="shared" si="27"/>
        <v/>
      </c>
      <c r="N380" t="str">
        <f t="shared" si="28"/>
        <v/>
      </c>
      <c r="O380" t="str">
        <f t="shared" si="29"/>
        <v/>
      </c>
    </row>
    <row r="381" spans="1:15">
      <c r="A381" t="str">
        <f>IF('ATP Pos'!A381="","",LEFT('ATP Pos'!A381,B381-1))</f>
        <v/>
      </c>
      <c r="B381" t="str">
        <f>IF('ATP Pos'!A381="","",SEARCH("_",'ATP Pos'!A381,1))</f>
        <v/>
      </c>
      <c r="C381" t="str">
        <f>IF(A381="","",IF('ATP Pos'!E381="-","",IF('ATP Pos'!E381&gt;0,"Buy",IF('ATP Pos'!E381&lt;0,"Sell"))))</f>
        <v/>
      </c>
      <c r="D381" t="str">
        <f>IF(A381="","",IF('ATP Pos'!E381="-","",IF('ATP Pos'!E381&gt;0,'ATP Pos'!E381,IF('ATP Pos'!E381&lt;0,-'ATP Pos'!E381))))</f>
        <v/>
      </c>
      <c r="E381" t="str">
        <f>IF(A381="","",LEFT('ATP Pos'!B381,F381-1))</f>
        <v/>
      </c>
      <c r="F381" t="str">
        <f>IF(A381="","",SEARCH("-",'ATP Pos'!B381,1))</f>
        <v/>
      </c>
      <c r="G381" t="str">
        <f>IF(A381="","",RIGHT('ATP Pos'!B381,3))</f>
        <v/>
      </c>
      <c r="H381" t="str">
        <f t="shared" si="25"/>
        <v/>
      </c>
      <c r="I381" t="str">
        <f t="shared" si="26"/>
        <v/>
      </c>
      <c r="J381" t="str">
        <f>IF(H381="","",VLOOKUP(I381,表3_3[],2,0))</f>
        <v/>
      </c>
      <c r="K381" t="str">
        <f>IF(H381="","",VLOOKUP(I381,表3_3[],3,0))</f>
        <v/>
      </c>
      <c r="L381" t="str">
        <f>IF(A381="","",IF(G381="LME","",VLOOKUP(RIGHT(E381,2),Helper1!$O$36:$P$48,2,0)))</f>
        <v/>
      </c>
      <c r="M381" t="str">
        <f t="shared" si="27"/>
        <v/>
      </c>
      <c r="N381" t="str">
        <f t="shared" si="28"/>
        <v/>
      </c>
      <c r="O381" t="str">
        <f t="shared" si="29"/>
        <v/>
      </c>
    </row>
    <row r="382" spans="1:15">
      <c r="A382" t="str">
        <f>IF('ATP Pos'!A382="","",LEFT('ATP Pos'!A382,B382-1))</f>
        <v/>
      </c>
      <c r="B382" t="str">
        <f>IF('ATP Pos'!A382="","",SEARCH("_",'ATP Pos'!A382,1))</f>
        <v/>
      </c>
      <c r="C382" t="str">
        <f>IF(A382="","",IF('ATP Pos'!E382="-","",IF('ATP Pos'!E382&gt;0,"Buy",IF('ATP Pos'!E382&lt;0,"Sell"))))</f>
        <v/>
      </c>
      <c r="D382" t="str">
        <f>IF(A382="","",IF('ATP Pos'!E382="-","",IF('ATP Pos'!E382&gt;0,'ATP Pos'!E382,IF('ATP Pos'!E382&lt;0,-'ATP Pos'!E382))))</f>
        <v/>
      </c>
      <c r="E382" t="str">
        <f>IF(A382="","",LEFT('ATP Pos'!B382,F382-1))</f>
        <v/>
      </c>
      <c r="F382" t="str">
        <f>IF(A382="","",SEARCH("-",'ATP Pos'!B382,1))</f>
        <v/>
      </c>
      <c r="G382" t="str">
        <f>IF(A382="","",RIGHT('ATP Pos'!B382,3))</f>
        <v/>
      </c>
      <c r="H382" t="str">
        <f t="shared" si="25"/>
        <v/>
      </c>
      <c r="I382" t="str">
        <f t="shared" si="26"/>
        <v/>
      </c>
      <c r="J382" t="str">
        <f>IF(H382="","",VLOOKUP(I382,表3_3[],2,0))</f>
        <v/>
      </c>
      <c r="K382" t="str">
        <f>IF(H382="","",VLOOKUP(I382,表3_3[],3,0))</f>
        <v/>
      </c>
      <c r="L382" t="str">
        <f>IF(A382="","",IF(G382="LME","",VLOOKUP(RIGHT(E382,2),Helper1!$O$36:$P$48,2,0)))</f>
        <v/>
      </c>
      <c r="M382" t="str">
        <f t="shared" si="27"/>
        <v/>
      </c>
      <c r="N382" t="str">
        <f t="shared" si="28"/>
        <v/>
      </c>
      <c r="O382" t="str">
        <f t="shared" si="29"/>
        <v/>
      </c>
    </row>
    <row r="383" spans="1:15">
      <c r="A383" t="str">
        <f>IF('ATP Pos'!A383="","",LEFT('ATP Pos'!A383,B383-1))</f>
        <v/>
      </c>
      <c r="B383" t="str">
        <f>IF('ATP Pos'!A383="","",SEARCH("_",'ATP Pos'!A383,1))</f>
        <v/>
      </c>
      <c r="C383" t="str">
        <f>IF(A383="","",IF('ATP Pos'!E383="-","",IF('ATP Pos'!E383&gt;0,"Buy",IF('ATP Pos'!E383&lt;0,"Sell"))))</f>
        <v/>
      </c>
      <c r="D383" t="str">
        <f>IF(A383="","",IF('ATP Pos'!E383="-","",IF('ATP Pos'!E383&gt;0,'ATP Pos'!E383,IF('ATP Pos'!E383&lt;0,-'ATP Pos'!E383))))</f>
        <v/>
      </c>
      <c r="E383" t="str">
        <f>IF(A383="","",LEFT('ATP Pos'!B383,F383-1))</f>
        <v/>
      </c>
      <c r="F383" t="str">
        <f>IF(A383="","",SEARCH("-",'ATP Pos'!B383,1))</f>
        <v/>
      </c>
      <c r="G383" t="str">
        <f>IF(A383="","",RIGHT('ATP Pos'!B383,3))</f>
        <v/>
      </c>
      <c r="H383" t="str">
        <f t="shared" si="25"/>
        <v/>
      </c>
      <c r="I383" t="str">
        <f t="shared" si="26"/>
        <v/>
      </c>
      <c r="J383" t="str">
        <f>IF(H383="","",VLOOKUP(I383,表3_3[],2,0))</f>
        <v/>
      </c>
      <c r="K383" t="str">
        <f>IF(H383="","",VLOOKUP(I383,表3_3[],3,0))</f>
        <v/>
      </c>
      <c r="L383" t="str">
        <f>IF(A383="","",IF(G383="LME","",VLOOKUP(RIGHT(E383,2),Helper1!$O$36:$P$48,2,0)))</f>
        <v/>
      </c>
      <c r="M383" t="str">
        <f t="shared" si="27"/>
        <v/>
      </c>
      <c r="N383" t="str">
        <f t="shared" si="28"/>
        <v/>
      </c>
      <c r="O383" t="str">
        <f t="shared" si="29"/>
        <v/>
      </c>
    </row>
    <row r="384" spans="1:15">
      <c r="A384" t="str">
        <f>IF('ATP Pos'!A384="","",LEFT('ATP Pos'!A384,B384-1))</f>
        <v/>
      </c>
      <c r="B384" t="str">
        <f>IF('ATP Pos'!A384="","",SEARCH("_",'ATP Pos'!A384,1))</f>
        <v/>
      </c>
      <c r="C384" t="str">
        <f>IF(A384="","",IF('ATP Pos'!E384="-","",IF('ATP Pos'!E384&gt;0,"Buy",IF('ATP Pos'!E384&lt;0,"Sell"))))</f>
        <v/>
      </c>
      <c r="D384" t="str">
        <f>IF(A384="","",IF('ATP Pos'!E384="-","",IF('ATP Pos'!E384&gt;0,'ATP Pos'!E384,IF('ATP Pos'!E384&lt;0,-'ATP Pos'!E384))))</f>
        <v/>
      </c>
      <c r="E384" t="str">
        <f>IF(A384="","",LEFT('ATP Pos'!B384,F384-1))</f>
        <v/>
      </c>
      <c r="F384" t="str">
        <f>IF(A384="","",SEARCH("-",'ATP Pos'!B384,1))</f>
        <v/>
      </c>
      <c r="G384" t="str">
        <f>IF(A384="","",RIGHT('ATP Pos'!B384,3))</f>
        <v/>
      </c>
      <c r="H384" t="str">
        <f t="shared" si="25"/>
        <v/>
      </c>
      <c r="I384" t="str">
        <f t="shared" si="26"/>
        <v/>
      </c>
      <c r="J384" t="str">
        <f>IF(H384="","",VLOOKUP(I384,表3_3[],2,0))</f>
        <v/>
      </c>
      <c r="K384" t="str">
        <f>IF(H384="","",VLOOKUP(I384,表3_3[],3,0))</f>
        <v/>
      </c>
      <c r="L384" t="str">
        <f>IF(A384="","",IF(G384="LME","",VLOOKUP(RIGHT(E384,2),Helper1!$O$36:$P$48,2,0)))</f>
        <v/>
      </c>
      <c r="M384" t="str">
        <f t="shared" si="27"/>
        <v/>
      </c>
      <c r="N384" t="str">
        <f t="shared" si="28"/>
        <v/>
      </c>
      <c r="O384" t="str">
        <f t="shared" si="29"/>
        <v/>
      </c>
    </row>
    <row r="385" spans="1:15">
      <c r="A385" t="str">
        <f>IF('ATP Pos'!A385="","",LEFT('ATP Pos'!A385,B385-1))</f>
        <v/>
      </c>
      <c r="B385" t="str">
        <f>IF('ATP Pos'!A385="","",SEARCH("_",'ATP Pos'!A385,1))</f>
        <v/>
      </c>
      <c r="C385" t="str">
        <f>IF(A385="","",IF('ATP Pos'!E385="-","",IF('ATP Pos'!E385&gt;0,"Buy",IF('ATP Pos'!E385&lt;0,"Sell"))))</f>
        <v/>
      </c>
      <c r="D385" t="str">
        <f>IF(A385="","",IF('ATP Pos'!E385="-","",IF('ATP Pos'!E385&gt;0,'ATP Pos'!E385,IF('ATP Pos'!E385&lt;0,-'ATP Pos'!E385))))</f>
        <v/>
      </c>
      <c r="E385" t="str">
        <f>IF(A385="","",LEFT('ATP Pos'!B385,F385-1))</f>
        <v/>
      </c>
      <c r="F385" t="str">
        <f>IF(A385="","",SEARCH("-",'ATP Pos'!B385,1))</f>
        <v/>
      </c>
      <c r="G385" t="str">
        <f>IF(A385="","",RIGHT('ATP Pos'!B385,3))</f>
        <v/>
      </c>
      <c r="H385" t="str">
        <f t="shared" si="25"/>
        <v/>
      </c>
      <c r="I385" t="str">
        <f t="shared" si="26"/>
        <v/>
      </c>
      <c r="J385" t="str">
        <f>IF(H385="","",VLOOKUP(I385,表3_3[],2,0))</f>
        <v/>
      </c>
      <c r="K385" t="str">
        <f>IF(H385="","",VLOOKUP(I385,表3_3[],3,0))</f>
        <v/>
      </c>
      <c r="L385" t="str">
        <f>IF(A385="","",IF(G385="LME","",VLOOKUP(RIGHT(E385,2),Helper1!$O$36:$P$48,2,0)))</f>
        <v/>
      </c>
      <c r="M385" t="str">
        <f t="shared" si="27"/>
        <v/>
      </c>
      <c r="N385" t="str">
        <f t="shared" si="28"/>
        <v/>
      </c>
      <c r="O385" t="str">
        <f t="shared" si="29"/>
        <v/>
      </c>
    </row>
    <row r="386" spans="1:15">
      <c r="A386" t="str">
        <f>IF('ATP Pos'!A386="","",LEFT('ATP Pos'!A386,B386-1))</f>
        <v/>
      </c>
      <c r="B386" t="str">
        <f>IF('ATP Pos'!A386="","",SEARCH("_",'ATP Pos'!A386,1))</f>
        <v/>
      </c>
      <c r="C386" t="str">
        <f>IF(A386="","",IF('ATP Pos'!E386="-","",IF('ATP Pos'!E386&gt;0,"Buy",IF('ATP Pos'!E386&lt;0,"Sell"))))</f>
        <v/>
      </c>
      <c r="D386" t="str">
        <f>IF(A386="","",IF('ATP Pos'!E386="-","",IF('ATP Pos'!E386&gt;0,'ATP Pos'!E386,IF('ATP Pos'!E386&lt;0,-'ATP Pos'!E386))))</f>
        <v/>
      </c>
      <c r="E386" t="str">
        <f>IF(A386="","",LEFT('ATP Pos'!B386,F386-1))</f>
        <v/>
      </c>
      <c r="F386" t="str">
        <f>IF(A386="","",SEARCH("-",'ATP Pos'!B386,1))</f>
        <v/>
      </c>
      <c r="G386" t="str">
        <f>IF(A386="","",RIGHT('ATP Pos'!B386,3))</f>
        <v/>
      </c>
      <c r="H386" t="str">
        <f t="shared" si="25"/>
        <v/>
      </c>
      <c r="I386" t="str">
        <f t="shared" si="26"/>
        <v/>
      </c>
      <c r="J386" t="str">
        <f>IF(H386="","",VLOOKUP(I386,表3_3[],2,0))</f>
        <v/>
      </c>
      <c r="K386" t="str">
        <f>IF(H386="","",VLOOKUP(I386,表3_3[],3,0))</f>
        <v/>
      </c>
      <c r="L386" t="str">
        <f>IF(A386="","",IF(G386="LME","",VLOOKUP(RIGHT(E386,2),Helper1!$O$36:$P$48,2,0)))</f>
        <v/>
      </c>
      <c r="M386" t="str">
        <f t="shared" si="27"/>
        <v/>
      </c>
      <c r="N386" t="str">
        <f t="shared" si="28"/>
        <v/>
      </c>
      <c r="O386" t="str">
        <f t="shared" si="29"/>
        <v/>
      </c>
    </row>
    <row r="387" spans="1:15">
      <c r="A387" t="str">
        <f>IF('ATP Pos'!A387="","",LEFT('ATP Pos'!A387,B387-1))</f>
        <v/>
      </c>
      <c r="B387" t="str">
        <f>IF('ATP Pos'!A387="","",SEARCH("_",'ATP Pos'!A387,1))</f>
        <v/>
      </c>
      <c r="C387" t="str">
        <f>IF(A387="","",IF('ATP Pos'!E387="-","",IF('ATP Pos'!E387&gt;0,"Buy",IF('ATP Pos'!E387&lt;0,"Sell"))))</f>
        <v/>
      </c>
      <c r="D387" t="str">
        <f>IF(A387="","",IF('ATP Pos'!E387="-","",IF('ATP Pos'!E387&gt;0,'ATP Pos'!E387,IF('ATP Pos'!E387&lt;0,-'ATP Pos'!E387))))</f>
        <v/>
      </c>
      <c r="E387" t="str">
        <f>IF(A387="","",LEFT('ATP Pos'!B387,F387-1))</f>
        <v/>
      </c>
      <c r="F387" t="str">
        <f>IF(A387="","",SEARCH("-",'ATP Pos'!B387,1))</f>
        <v/>
      </c>
      <c r="G387" t="str">
        <f>IF(A387="","",RIGHT('ATP Pos'!B387,3))</f>
        <v/>
      </c>
      <c r="H387" t="str">
        <f t="shared" ref="H387:H450" si="30">IF(A387="","",IF(OR(G387="OSE",G387="BMD",,G387="EUREX",G387="SGX",G387="LME",G387="tocom",G387="APEX",G387="cfe",G387="EUX",AND(G387="ice",I387="gls")),G387,""))</f>
        <v/>
      </c>
      <c r="I387" t="str">
        <f t="shared" ref="I387:I450" si="31">IF(A387="","",IF(G387="LME",LEFT(E387,LEN(E387)-6),LEFT(E387,LEN(E387)-4)))</f>
        <v/>
      </c>
      <c r="J387" t="str">
        <f>IF(H387="","",VLOOKUP(I387,表3_3[],2,0))</f>
        <v/>
      </c>
      <c r="K387" t="str">
        <f>IF(H387="","",VLOOKUP(I387,表3_3[],3,0))</f>
        <v/>
      </c>
      <c r="L387" t="str">
        <f>IF(A387="","",IF(G387="LME","",VLOOKUP(RIGHT(E387,2),Helper1!$O$36:$P$48,2,0)))</f>
        <v/>
      </c>
      <c r="M387" t="str">
        <f t="shared" ref="M387:M450" si="32">IF(A387="","",IF(G387="LME","",20&amp;MID(E387,LEN(I387)+1,2)))</f>
        <v/>
      </c>
      <c r="N387" t="str">
        <f t="shared" ref="N387:N450" si="33">IF(A387="","",IF(G387="LME",20&amp;RIGHT(E387,6),""))</f>
        <v/>
      </c>
      <c r="O387" t="str">
        <f t="shared" ref="O387:O450" si="34">IF(H387="","",IF(G387="LME",G387&amp;"-"&amp;K387&amp;"-"&amp;N387,L387&amp;"-"&amp;M387&amp;"-"&amp;K387))</f>
        <v/>
      </c>
    </row>
    <row r="388" spans="1:15">
      <c r="A388" t="str">
        <f>IF('ATP Pos'!A388="","",LEFT('ATP Pos'!A388,B388-1))</f>
        <v/>
      </c>
      <c r="B388" t="str">
        <f>IF('ATP Pos'!A388="","",SEARCH("_",'ATP Pos'!A388,1))</f>
        <v/>
      </c>
      <c r="C388" t="str">
        <f>IF(A388="","",IF('ATP Pos'!E388="-","",IF('ATP Pos'!E388&gt;0,"Buy",IF('ATP Pos'!E388&lt;0,"Sell"))))</f>
        <v/>
      </c>
      <c r="D388" t="str">
        <f>IF(A388="","",IF('ATP Pos'!E388="-","",IF('ATP Pos'!E388&gt;0,'ATP Pos'!E388,IF('ATP Pos'!E388&lt;0,-'ATP Pos'!E388))))</f>
        <v/>
      </c>
      <c r="E388" t="str">
        <f>IF(A388="","",LEFT('ATP Pos'!B388,F388-1))</f>
        <v/>
      </c>
      <c r="F388" t="str">
        <f>IF(A388="","",SEARCH("-",'ATP Pos'!B388,1))</f>
        <v/>
      </c>
      <c r="G388" t="str">
        <f>IF(A388="","",RIGHT('ATP Pos'!B388,3))</f>
        <v/>
      </c>
      <c r="H388" t="str">
        <f t="shared" si="30"/>
        <v/>
      </c>
      <c r="I388" t="str">
        <f t="shared" si="31"/>
        <v/>
      </c>
      <c r="J388" t="str">
        <f>IF(H388="","",VLOOKUP(I388,表3_3[],2,0))</f>
        <v/>
      </c>
      <c r="K388" t="str">
        <f>IF(H388="","",VLOOKUP(I388,表3_3[],3,0))</f>
        <v/>
      </c>
      <c r="L388" t="str">
        <f>IF(A388="","",IF(G388="LME","",VLOOKUP(RIGHT(E388,2),Helper1!$O$36:$P$48,2,0)))</f>
        <v/>
      </c>
      <c r="M388" t="str">
        <f t="shared" si="32"/>
        <v/>
      </c>
      <c r="N388" t="str">
        <f t="shared" si="33"/>
        <v/>
      </c>
      <c r="O388" t="str">
        <f t="shared" si="34"/>
        <v/>
      </c>
    </row>
    <row r="389" spans="1:15">
      <c r="A389" t="str">
        <f>IF('ATP Pos'!A389="","",LEFT('ATP Pos'!A389,B389-1))</f>
        <v/>
      </c>
      <c r="B389" t="str">
        <f>IF('ATP Pos'!A389="","",SEARCH("_",'ATP Pos'!A389,1))</f>
        <v/>
      </c>
      <c r="C389" t="str">
        <f>IF(A389="","",IF('ATP Pos'!E389="-","",IF('ATP Pos'!E389&gt;0,"Buy",IF('ATP Pos'!E389&lt;0,"Sell"))))</f>
        <v/>
      </c>
      <c r="D389" t="str">
        <f>IF(A389="","",IF('ATP Pos'!E389="-","",IF('ATP Pos'!E389&gt;0,'ATP Pos'!E389,IF('ATP Pos'!E389&lt;0,-'ATP Pos'!E389))))</f>
        <v/>
      </c>
      <c r="E389" t="str">
        <f>IF(A389="","",LEFT('ATP Pos'!B389,F389-1))</f>
        <v/>
      </c>
      <c r="F389" t="str">
        <f>IF(A389="","",SEARCH("-",'ATP Pos'!B389,1))</f>
        <v/>
      </c>
      <c r="G389" t="str">
        <f>IF(A389="","",RIGHT('ATP Pos'!B389,3))</f>
        <v/>
      </c>
      <c r="H389" t="str">
        <f t="shared" si="30"/>
        <v/>
      </c>
      <c r="I389" t="str">
        <f t="shared" si="31"/>
        <v/>
      </c>
      <c r="J389" t="str">
        <f>IF(H389="","",VLOOKUP(I389,表3_3[],2,0))</f>
        <v/>
      </c>
      <c r="K389" t="str">
        <f>IF(H389="","",VLOOKUP(I389,表3_3[],3,0))</f>
        <v/>
      </c>
      <c r="L389" t="str">
        <f>IF(A389="","",IF(G389="LME","",VLOOKUP(RIGHT(E389,2),Helper1!$O$36:$P$48,2,0)))</f>
        <v/>
      </c>
      <c r="M389" t="str">
        <f t="shared" si="32"/>
        <v/>
      </c>
      <c r="N389" t="str">
        <f t="shared" si="33"/>
        <v/>
      </c>
      <c r="O389" t="str">
        <f t="shared" si="34"/>
        <v/>
      </c>
    </row>
    <row r="390" spans="1:15">
      <c r="A390" t="str">
        <f>IF('ATP Pos'!A390="","",LEFT('ATP Pos'!A390,B390-1))</f>
        <v/>
      </c>
      <c r="B390" t="str">
        <f>IF('ATP Pos'!A390="","",SEARCH("_",'ATP Pos'!A390,1))</f>
        <v/>
      </c>
      <c r="C390" t="str">
        <f>IF(A390="","",IF('ATP Pos'!E390="-","",IF('ATP Pos'!E390&gt;0,"Buy",IF('ATP Pos'!E390&lt;0,"Sell"))))</f>
        <v/>
      </c>
      <c r="D390" t="str">
        <f>IF(A390="","",IF('ATP Pos'!E390="-","",IF('ATP Pos'!E390&gt;0,'ATP Pos'!E390,IF('ATP Pos'!E390&lt;0,-'ATP Pos'!E390))))</f>
        <v/>
      </c>
      <c r="E390" t="str">
        <f>IF(A390="","",LEFT('ATP Pos'!B390,F390-1))</f>
        <v/>
      </c>
      <c r="F390" t="str">
        <f>IF(A390="","",SEARCH("-",'ATP Pos'!B390,1))</f>
        <v/>
      </c>
      <c r="G390" t="str">
        <f>IF(A390="","",RIGHT('ATP Pos'!B390,3))</f>
        <v/>
      </c>
      <c r="H390" t="str">
        <f t="shared" si="30"/>
        <v/>
      </c>
      <c r="I390" t="str">
        <f t="shared" si="31"/>
        <v/>
      </c>
      <c r="J390" t="str">
        <f>IF(H390="","",VLOOKUP(I390,表3_3[],2,0))</f>
        <v/>
      </c>
      <c r="K390" t="str">
        <f>IF(H390="","",VLOOKUP(I390,表3_3[],3,0))</f>
        <v/>
      </c>
      <c r="L390" t="str">
        <f>IF(A390="","",IF(G390="LME","",VLOOKUP(RIGHT(E390,2),Helper1!$O$36:$P$48,2,0)))</f>
        <v/>
      </c>
      <c r="M390" t="str">
        <f t="shared" si="32"/>
        <v/>
      </c>
      <c r="N390" t="str">
        <f t="shared" si="33"/>
        <v/>
      </c>
      <c r="O390" t="str">
        <f t="shared" si="34"/>
        <v/>
      </c>
    </row>
    <row r="391" spans="1:15">
      <c r="A391" t="str">
        <f>IF('ATP Pos'!A391="","",LEFT('ATP Pos'!A391,B391-1))</f>
        <v/>
      </c>
      <c r="B391" t="str">
        <f>IF('ATP Pos'!A391="","",SEARCH("_",'ATP Pos'!A391,1))</f>
        <v/>
      </c>
      <c r="C391" t="str">
        <f>IF(A391="","",IF('ATP Pos'!E391="-","",IF('ATP Pos'!E391&gt;0,"Buy",IF('ATP Pos'!E391&lt;0,"Sell"))))</f>
        <v/>
      </c>
      <c r="D391" t="str">
        <f>IF(A391="","",IF('ATP Pos'!E391="-","",IF('ATP Pos'!E391&gt;0,'ATP Pos'!E391,IF('ATP Pos'!E391&lt;0,-'ATP Pos'!E391))))</f>
        <v/>
      </c>
      <c r="E391" t="str">
        <f>IF(A391="","",LEFT('ATP Pos'!B391,F391-1))</f>
        <v/>
      </c>
      <c r="F391" t="str">
        <f>IF(A391="","",SEARCH("-",'ATP Pos'!B391,1))</f>
        <v/>
      </c>
      <c r="G391" t="str">
        <f>IF(A391="","",RIGHT('ATP Pos'!B391,3))</f>
        <v/>
      </c>
      <c r="H391" t="str">
        <f t="shared" si="30"/>
        <v/>
      </c>
      <c r="I391" t="str">
        <f t="shared" si="31"/>
        <v/>
      </c>
      <c r="J391" t="str">
        <f>IF(H391="","",VLOOKUP(I391,表3_3[],2,0))</f>
        <v/>
      </c>
      <c r="K391" t="str">
        <f>IF(H391="","",VLOOKUP(I391,表3_3[],3,0))</f>
        <v/>
      </c>
      <c r="L391" t="str">
        <f>IF(A391="","",IF(G391="LME","",VLOOKUP(RIGHT(E391,2),Helper1!$O$36:$P$48,2,0)))</f>
        <v/>
      </c>
      <c r="M391" t="str">
        <f t="shared" si="32"/>
        <v/>
      </c>
      <c r="N391" t="str">
        <f t="shared" si="33"/>
        <v/>
      </c>
      <c r="O391" t="str">
        <f t="shared" si="34"/>
        <v/>
      </c>
    </row>
    <row r="392" spans="1:15">
      <c r="A392" t="str">
        <f>IF('ATP Pos'!A392="","",LEFT('ATP Pos'!A392,B392-1))</f>
        <v/>
      </c>
      <c r="B392" t="str">
        <f>IF('ATP Pos'!A392="","",SEARCH("_",'ATP Pos'!A392,1))</f>
        <v/>
      </c>
      <c r="C392" t="str">
        <f>IF(A392="","",IF('ATP Pos'!E392="-","",IF('ATP Pos'!E392&gt;0,"Buy",IF('ATP Pos'!E392&lt;0,"Sell"))))</f>
        <v/>
      </c>
      <c r="D392" t="str">
        <f>IF(A392="","",IF('ATP Pos'!E392="-","",IF('ATP Pos'!E392&gt;0,'ATP Pos'!E392,IF('ATP Pos'!E392&lt;0,-'ATP Pos'!E392))))</f>
        <v/>
      </c>
      <c r="E392" t="str">
        <f>IF(A392="","",LEFT('ATP Pos'!B392,F392-1))</f>
        <v/>
      </c>
      <c r="F392" t="str">
        <f>IF(A392="","",SEARCH("-",'ATP Pos'!B392,1))</f>
        <v/>
      </c>
      <c r="G392" t="str">
        <f>IF(A392="","",RIGHT('ATP Pos'!B392,3))</f>
        <v/>
      </c>
      <c r="H392" t="str">
        <f t="shared" si="30"/>
        <v/>
      </c>
      <c r="I392" t="str">
        <f t="shared" si="31"/>
        <v/>
      </c>
      <c r="J392" t="str">
        <f>IF(H392="","",VLOOKUP(I392,表3_3[],2,0))</f>
        <v/>
      </c>
      <c r="K392" t="str">
        <f>IF(H392="","",VLOOKUP(I392,表3_3[],3,0))</f>
        <v/>
      </c>
      <c r="L392" t="str">
        <f>IF(A392="","",IF(G392="LME","",VLOOKUP(RIGHT(E392,2),Helper1!$O$36:$P$48,2,0)))</f>
        <v/>
      </c>
      <c r="M392" t="str">
        <f t="shared" si="32"/>
        <v/>
      </c>
      <c r="N392" t="str">
        <f t="shared" si="33"/>
        <v/>
      </c>
      <c r="O392" t="str">
        <f t="shared" si="34"/>
        <v/>
      </c>
    </row>
    <row r="393" spans="1:15">
      <c r="A393" t="str">
        <f>IF('ATP Pos'!A393="","",LEFT('ATP Pos'!A393,B393-1))</f>
        <v/>
      </c>
      <c r="B393" t="str">
        <f>IF('ATP Pos'!A393="","",SEARCH("_",'ATP Pos'!A393,1))</f>
        <v/>
      </c>
      <c r="C393" t="str">
        <f>IF(A393="","",IF('ATP Pos'!E393="-","",IF('ATP Pos'!E393&gt;0,"Buy",IF('ATP Pos'!E393&lt;0,"Sell"))))</f>
        <v/>
      </c>
      <c r="D393" t="str">
        <f>IF(A393="","",IF('ATP Pos'!E393="-","",IF('ATP Pos'!E393&gt;0,'ATP Pos'!E393,IF('ATP Pos'!E393&lt;0,-'ATP Pos'!E393))))</f>
        <v/>
      </c>
      <c r="E393" t="str">
        <f>IF(A393="","",LEFT('ATP Pos'!B393,F393-1))</f>
        <v/>
      </c>
      <c r="F393" t="str">
        <f>IF(A393="","",SEARCH("-",'ATP Pos'!B393,1))</f>
        <v/>
      </c>
      <c r="G393" t="str">
        <f>IF(A393="","",RIGHT('ATP Pos'!B393,3))</f>
        <v/>
      </c>
      <c r="H393" t="str">
        <f t="shared" si="30"/>
        <v/>
      </c>
      <c r="I393" t="str">
        <f t="shared" si="31"/>
        <v/>
      </c>
      <c r="J393" t="str">
        <f>IF(H393="","",VLOOKUP(I393,表3_3[],2,0))</f>
        <v/>
      </c>
      <c r="K393" t="str">
        <f>IF(H393="","",VLOOKUP(I393,表3_3[],3,0))</f>
        <v/>
      </c>
      <c r="L393" t="str">
        <f>IF(A393="","",IF(G393="LME","",VLOOKUP(RIGHT(E393,2),Helper1!$O$36:$P$48,2,0)))</f>
        <v/>
      </c>
      <c r="M393" t="str">
        <f t="shared" si="32"/>
        <v/>
      </c>
      <c r="N393" t="str">
        <f t="shared" si="33"/>
        <v/>
      </c>
      <c r="O393" t="str">
        <f t="shared" si="34"/>
        <v/>
      </c>
    </row>
    <row r="394" spans="1:15">
      <c r="A394" t="str">
        <f>IF('ATP Pos'!A394="","",LEFT('ATP Pos'!A394,B394-1))</f>
        <v/>
      </c>
      <c r="B394" t="str">
        <f>IF('ATP Pos'!A394="","",SEARCH("_",'ATP Pos'!A394,1))</f>
        <v/>
      </c>
      <c r="C394" t="str">
        <f>IF(A394="","",IF('ATP Pos'!E394="-","",IF('ATP Pos'!E394&gt;0,"Buy",IF('ATP Pos'!E394&lt;0,"Sell"))))</f>
        <v/>
      </c>
      <c r="D394" t="str">
        <f>IF(A394="","",IF('ATP Pos'!E394="-","",IF('ATP Pos'!E394&gt;0,'ATP Pos'!E394,IF('ATP Pos'!E394&lt;0,-'ATP Pos'!E394))))</f>
        <v/>
      </c>
      <c r="E394" t="str">
        <f>IF(A394="","",LEFT('ATP Pos'!B394,F394-1))</f>
        <v/>
      </c>
      <c r="F394" t="str">
        <f>IF(A394="","",SEARCH("-",'ATP Pos'!B394,1))</f>
        <v/>
      </c>
      <c r="G394" t="str">
        <f>IF(A394="","",RIGHT('ATP Pos'!B394,3))</f>
        <v/>
      </c>
      <c r="H394" t="str">
        <f t="shared" si="30"/>
        <v/>
      </c>
      <c r="I394" t="str">
        <f t="shared" si="31"/>
        <v/>
      </c>
      <c r="J394" t="str">
        <f>IF(H394="","",VLOOKUP(I394,表3_3[],2,0))</f>
        <v/>
      </c>
      <c r="K394" t="str">
        <f>IF(H394="","",VLOOKUP(I394,表3_3[],3,0))</f>
        <v/>
      </c>
      <c r="L394" t="str">
        <f>IF(A394="","",IF(G394="LME","",VLOOKUP(RIGHT(E394,2),Helper1!$O$36:$P$48,2,0)))</f>
        <v/>
      </c>
      <c r="M394" t="str">
        <f t="shared" si="32"/>
        <v/>
      </c>
      <c r="N394" t="str">
        <f t="shared" si="33"/>
        <v/>
      </c>
      <c r="O394" t="str">
        <f t="shared" si="34"/>
        <v/>
      </c>
    </row>
    <row r="395" spans="1:15">
      <c r="A395" t="str">
        <f>IF('ATP Pos'!A395="","",LEFT('ATP Pos'!A395,B395-1))</f>
        <v/>
      </c>
      <c r="B395" t="str">
        <f>IF('ATP Pos'!A395="","",SEARCH("_",'ATP Pos'!A395,1))</f>
        <v/>
      </c>
      <c r="C395" t="str">
        <f>IF(A395="","",IF('ATP Pos'!E395="-","",IF('ATP Pos'!E395&gt;0,"Buy",IF('ATP Pos'!E395&lt;0,"Sell"))))</f>
        <v/>
      </c>
      <c r="D395" t="str">
        <f>IF(A395="","",IF('ATP Pos'!E395="-","",IF('ATP Pos'!E395&gt;0,'ATP Pos'!E395,IF('ATP Pos'!E395&lt;0,-'ATP Pos'!E395))))</f>
        <v/>
      </c>
      <c r="E395" t="str">
        <f>IF(A395="","",LEFT('ATP Pos'!B395,F395-1))</f>
        <v/>
      </c>
      <c r="F395" t="str">
        <f>IF(A395="","",SEARCH("-",'ATP Pos'!B395,1))</f>
        <v/>
      </c>
      <c r="G395" t="str">
        <f>IF(A395="","",RIGHT('ATP Pos'!B395,3))</f>
        <v/>
      </c>
      <c r="H395" t="str">
        <f t="shared" si="30"/>
        <v/>
      </c>
      <c r="I395" t="str">
        <f t="shared" si="31"/>
        <v/>
      </c>
      <c r="J395" t="str">
        <f>IF(H395="","",VLOOKUP(I395,表3_3[],2,0))</f>
        <v/>
      </c>
      <c r="K395" t="str">
        <f>IF(H395="","",VLOOKUP(I395,表3_3[],3,0))</f>
        <v/>
      </c>
      <c r="L395" t="str">
        <f>IF(A395="","",IF(G395="LME","",VLOOKUP(RIGHT(E395,2),Helper1!$O$36:$P$48,2,0)))</f>
        <v/>
      </c>
      <c r="M395" t="str">
        <f t="shared" si="32"/>
        <v/>
      </c>
      <c r="N395" t="str">
        <f t="shared" si="33"/>
        <v/>
      </c>
      <c r="O395" t="str">
        <f t="shared" si="34"/>
        <v/>
      </c>
    </row>
    <row r="396" spans="1:15">
      <c r="A396" t="str">
        <f>IF('ATP Pos'!A396="","",LEFT('ATP Pos'!A396,B396-1))</f>
        <v/>
      </c>
      <c r="B396" t="str">
        <f>IF('ATP Pos'!A396="","",SEARCH("_",'ATP Pos'!A396,1))</f>
        <v/>
      </c>
      <c r="C396" t="str">
        <f>IF(A396="","",IF('ATP Pos'!E396="-","",IF('ATP Pos'!E396&gt;0,"Buy",IF('ATP Pos'!E396&lt;0,"Sell"))))</f>
        <v/>
      </c>
      <c r="D396" t="str">
        <f>IF(A396="","",IF('ATP Pos'!E396="-","",IF('ATP Pos'!E396&gt;0,'ATP Pos'!E396,IF('ATP Pos'!E396&lt;0,-'ATP Pos'!E396))))</f>
        <v/>
      </c>
      <c r="E396" t="str">
        <f>IF(A396="","",LEFT('ATP Pos'!B396,F396-1))</f>
        <v/>
      </c>
      <c r="F396" t="str">
        <f>IF(A396="","",SEARCH("-",'ATP Pos'!B396,1))</f>
        <v/>
      </c>
      <c r="G396" t="str">
        <f>IF(A396="","",RIGHT('ATP Pos'!B396,3))</f>
        <v/>
      </c>
      <c r="H396" t="str">
        <f t="shared" si="30"/>
        <v/>
      </c>
      <c r="I396" t="str">
        <f t="shared" si="31"/>
        <v/>
      </c>
      <c r="J396" t="str">
        <f>IF(H396="","",VLOOKUP(I396,表3_3[],2,0))</f>
        <v/>
      </c>
      <c r="K396" t="str">
        <f>IF(H396="","",VLOOKUP(I396,表3_3[],3,0))</f>
        <v/>
      </c>
      <c r="L396" t="str">
        <f>IF(A396="","",IF(G396="LME","",VLOOKUP(RIGHT(E396,2),Helper1!$O$36:$P$48,2,0)))</f>
        <v/>
      </c>
      <c r="M396" t="str">
        <f t="shared" si="32"/>
        <v/>
      </c>
      <c r="N396" t="str">
        <f t="shared" si="33"/>
        <v/>
      </c>
      <c r="O396" t="str">
        <f t="shared" si="34"/>
        <v/>
      </c>
    </row>
    <row r="397" spans="1:15">
      <c r="A397" t="str">
        <f>IF('ATP Pos'!A397="","",LEFT('ATP Pos'!A397,B397-1))</f>
        <v/>
      </c>
      <c r="B397" t="str">
        <f>IF('ATP Pos'!A397="","",SEARCH("_",'ATP Pos'!A397,1))</f>
        <v/>
      </c>
      <c r="C397" t="str">
        <f>IF(A397="","",IF('ATP Pos'!E397="-","",IF('ATP Pos'!E397&gt;0,"Buy",IF('ATP Pos'!E397&lt;0,"Sell"))))</f>
        <v/>
      </c>
      <c r="D397" t="str">
        <f>IF(A397="","",IF('ATP Pos'!E397="-","",IF('ATP Pos'!E397&gt;0,'ATP Pos'!E397,IF('ATP Pos'!E397&lt;0,-'ATP Pos'!E397))))</f>
        <v/>
      </c>
      <c r="E397" t="str">
        <f>IF(A397="","",LEFT('ATP Pos'!B397,F397-1))</f>
        <v/>
      </c>
      <c r="F397" t="str">
        <f>IF(A397="","",SEARCH("-",'ATP Pos'!B397,1))</f>
        <v/>
      </c>
      <c r="G397" t="str">
        <f>IF(A397="","",RIGHT('ATP Pos'!B397,3))</f>
        <v/>
      </c>
      <c r="H397" t="str">
        <f t="shared" si="30"/>
        <v/>
      </c>
      <c r="I397" t="str">
        <f t="shared" si="31"/>
        <v/>
      </c>
      <c r="J397" t="str">
        <f>IF(H397="","",VLOOKUP(I397,表3_3[],2,0))</f>
        <v/>
      </c>
      <c r="K397" t="str">
        <f>IF(H397="","",VLOOKUP(I397,表3_3[],3,0))</f>
        <v/>
      </c>
      <c r="L397" t="str">
        <f>IF(A397="","",IF(G397="LME","",VLOOKUP(RIGHT(E397,2),Helper1!$O$36:$P$48,2,0)))</f>
        <v/>
      </c>
      <c r="M397" t="str">
        <f t="shared" si="32"/>
        <v/>
      </c>
      <c r="N397" t="str">
        <f t="shared" si="33"/>
        <v/>
      </c>
      <c r="O397" t="str">
        <f t="shared" si="34"/>
        <v/>
      </c>
    </row>
    <row r="398" spans="1:15">
      <c r="A398" t="str">
        <f>IF('ATP Pos'!A398="","",LEFT('ATP Pos'!A398,B398-1))</f>
        <v/>
      </c>
      <c r="B398" t="str">
        <f>IF('ATP Pos'!A398="","",SEARCH("_",'ATP Pos'!A398,1))</f>
        <v/>
      </c>
      <c r="C398" t="str">
        <f>IF(A398="","",IF('ATP Pos'!E398="-","",IF('ATP Pos'!E398&gt;0,"Buy",IF('ATP Pos'!E398&lt;0,"Sell"))))</f>
        <v/>
      </c>
      <c r="D398" t="str">
        <f>IF(A398="","",IF('ATP Pos'!E398="-","",IF('ATP Pos'!E398&gt;0,'ATP Pos'!E398,IF('ATP Pos'!E398&lt;0,-'ATP Pos'!E398))))</f>
        <v/>
      </c>
      <c r="E398" t="str">
        <f>IF(A398="","",LEFT('ATP Pos'!B398,F398-1))</f>
        <v/>
      </c>
      <c r="F398" t="str">
        <f>IF(A398="","",SEARCH("-",'ATP Pos'!B398,1))</f>
        <v/>
      </c>
      <c r="G398" t="str">
        <f>IF(A398="","",RIGHT('ATP Pos'!B398,3))</f>
        <v/>
      </c>
      <c r="H398" t="str">
        <f t="shared" si="30"/>
        <v/>
      </c>
      <c r="I398" t="str">
        <f t="shared" si="31"/>
        <v/>
      </c>
      <c r="J398" t="str">
        <f>IF(H398="","",VLOOKUP(I398,表3_3[],2,0))</f>
        <v/>
      </c>
      <c r="K398" t="str">
        <f>IF(H398="","",VLOOKUP(I398,表3_3[],3,0))</f>
        <v/>
      </c>
      <c r="L398" t="str">
        <f>IF(A398="","",IF(G398="LME","",VLOOKUP(RIGHT(E398,2),Helper1!$O$36:$P$48,2,0)))</f>
        <v/>
      </c>
      <c r="M398" t="str">
        <f t="shared" si="32"/>
        <v/>
      </c>
      <c r="N398" t="str">
        <f t="shared" si="33"/>
        <v/>
      </c>
      <c r="O398" t="str">
        <f t="shared" si="34"/>
        <v/>
      </c>
    </row>
    <row r="399" spans="1:15">
      <c r="A399" t="str">
        <f>IF('ATP Pos'!A399="","",LEFT('ATP Pos'!A399,B399-1))</f>
        <v/>
      </c>
      <c r="B399" t="str">
        <f>IF('ATP Pos'!A399="","",SEARCH("_",'ATP Pos'!A399,1))</f>
        <v/>
      </c>
      <c r="C399" t="str">
        <f>IF(A399="","",IF('ATP Pos'!E399="-","",IF('ATP Pos'!E399&gt;0,"Buy",IF('ATP Pos'!E399&lt;0,"Sell"))))</f>
        <v/>
      </c>
      <c r="D399" t="str">
        <f>IF(A399="","",IF('ATP Pos'!E399="-","",IF('ATP Pos'!E399&gt;0,'ATP Pos'!E399,IF('ATP Pos'!E399&lt;0,-'ATP Pos'!E399))))</f>
        <v/>
      </c>
      <c r="E399" t="str">
        <f>IF(A399="","",LEFT('ATP Pos'!B399,F399-1))</f>
        <v/>
      </c>
      <c r="F399" t="str">
        <f>IF(A399="","",SEARCH("-",'ATP Pos'!B399,1))</f>
        <v/>
      </c>
      <c r="G399" t="str">
        <f>IF(A399="","",RIGHT('ATP Pos'!B399,3))</f>
        <v/>
      </c>
      <c r="H399" t="str">
        <f t="shared" si="30"/>
        <v/>
      </c>
      <c r="I399" t="str">
        <f t="shared" si="31"/>
        <v/>
      </c>
      <c r="J399" t="str">
        <f>IF(H399="","",VLOOKUP(I399,表3_3[],2,0))</f>
        <v/>
      </c>
      <c r="K399" t="str">
        <f>IF(H399="","",VLOOKUP(I399,表3_3[],3,0))</f>
        <v/>
      </c>
      <c r="L399" t="str">
        <f>IF(A399="","",IF(G399="LME","",VLOOKUP(RIGHT(E399,2),Helper1!$O$36:$P$48,2,0)))</f>
        <v/>
      </c>
      <c r="M399" t="str">
        <f t="shared" si="32"/>
        <v/>
      </c>
      <c r="N399" t="str">
        <f t="shared" si="33"/>
        <v/>
      </c>
      <c r="O399" t="str">
        <f t="shared" si="34"/>
        <v/>
      </c>
    </row>
    <row r="400" spans="1:15">
      <c r="A400" t="str">
        <f>IF('ATP Pos'!A400="","",LEFT('ATP Pos'!A400,B400-1))</f>
        <v/>
      </c>
      <c r="B400" t="str">
        <f>IF('ATP Pos'!A400="","",SEARCH("_",'ATP Pos'!A400,1))</f>
        <v/>
      </c>
      <c r="C400" t="str">
        <f>IF(A400="","",IF('ATP Pos'!E400="-","",IF('ATP Pos'!E400&gt;0,"Buy",IF('ATP Pos'!E400&lt;0,"Sell"))))</f>
        <v/>
      </c>
      <c r="D400" t="str">
        <f>IF(A400="","",IF('ATP Pos'!E400="-","",IF('ATP Pos'!E400&gt;0,'ATP Pos'!E400,IF('ATP Pos'!E400&lt;0,-'ATP Pos'!E400))))</f>
        <v/>
      </c>
      <c r="E400" t="str">
        <f>IF(A400="","",LEFT('ATP Pos'!B400,F400-1))</f>
        <v/>
      </c>
      <c r="F400" t="str">
        <f>IF(A400="","",SEARCH("-",'ATP Pos'!B400,1))</f>
        <v/>
      </c>
      <c r="G400" t="str">
        <f>IF(A400="","",RIGHT('ATP Pos'!B400,3))</f>
        <v/>
      </c>
      <c r="H400" t="str">
        <f t="shared" si="30"/>
        <v/>
      </c>
      <c r="I400" t="str">
        <f t="shared" si="31"/>
        <v/>
      </c>
      <c r="J400" t="str">
        <f>IF(H400="","",VLOOKUP(I400,表3_3[],2,0))</f>
        <v/>
      </c>
      <c r="K400" t="str">
        <f>IF(H400="","",VLOOKUP(I400,表3_3[],3,0))</f>
        <v/>
      </c>
      <c r="L400" t="str">
        <f>IF(A400="","",IF(G400="LME","",VLOOKUP(RIGHT(E400,2),Helper1!$O$36:$P$48,2,0)))</f>
        <v/>
      </c>
      <c r="M400" t="str">
        <f t="shared" si="32"/>
        <v/>
      </c>
      <c r="N400" t="str">
        <f t="shared" si="33"/>
        <v/>
      </c>
      <c r="O400" t="str">
        <f t="shared" si="34"/>
        <v/>
      </c>
    </row>
    <row r="401" spans="1:15">
      <c r="A401" t="str">
        <f>IF('ATP Pos'!A401="","",LEFT('ATP Pos'!A401,B401-1))</f>
        <v/>
      </c>
      <c r="B401" t="str">
        <f>IF('ATP Pos'!A401="","",SEARCH("_",'ATP Pos'!A401,1))</f>
        <v/>
      </c>
      <c r="C401" t="str">
        <f>IF(A401="","",IF('ATP Pos'!E401="-","",IF('ATP Pos'!E401&gt;0,"Buy",IF('ATP Pos'!E401&lt;0,"Sell"))))</f>
        <v/>
      </c>
      <c r="D401" t="str">
        <f>IF(A401="","",IF('ATP Pos'!E401="-","",IF('ATP Pos'!E401&gt;0,'ATP Pos'!E401,IF('ATP Pos'!E401&lt;0,-'ATP Pos'!E401))))</f>
        <v/>
      </c>
      <c r="E401" t="str">
        <f>IF(A401="","",LEFT('ATP Pos'!B401,F401-1))</f>
        <v/>
      </c>
      <c r="F401" t="str">
        <f>IF(A401="","",SEARCH("-",'ATP Pos'!B401,1))</f>
        <v/>
      </c>
      <c r="G401" t="str">
        <f>IF(A401="","",RIGHT('ATP Pos'!B401,3))</f>
        <v/>
      </c>
      <c r="H401" t="str">
        <f t="shared" si="30"/>
        <v/>
      </c>
      <c r="I401" t="str">
        <f t="shared" si="31"/>
        <v/>
      </c>
      <c r="J401" t="str">
        <f>IF(H401="","",VLOOKUP(I401,表3_3[],2,0))</f>
        <v/>
      </c>
      <c r="K401" t="str">
        <f>IF(H401="","",VLOOKUP(I401,表3_3[],3,0))</f>
        <v/>
      </c>
      <c r="L401" t="str">
        <f>IF(A401="","",IF(G401="LME","",VLOOKUP(RIGHT(E401,2),Helper1!$O$36:$P$48,2,0)))</f>
        <v/>
      </c>
      <c r="M401" t="str">
        <f t="shared" si="32"/>
        <v/>
      </c>
      <c r="N401" t="str">
        <f t="shared" si="33"/>
        <v/>
      </c>
      <c r="O401" t="str">
        <f t="shared" si="34"/>
        <v/>
      </c>
    </row>
    <row r="402" spans="1:15">
      <c r="A402" t="str">
        <f>IF('ATP Pos'!A402="","",LEFT('ATP Pos'!A402,B402-1))</f>
        <v/>
      </c>
      <c r="B402" t="str">
        <f>IF('ATP Pos'!A402="","",SEARCH("_",'ATP Pos'!A402,1))</f>
        <v/>
      </c>
      <c r="C402" t="str">
        <f>IF(A402="","",IF('ATP Pos'!E402="-","",IF('ATP Pos'!E402&gt;0,"Buy",IF('ATP Pos'!E402&lt;0,"Sell"))))</f>
        <v/>
      </c>
      <c r="D402" t="str">
        <f>IF(A402="","",IF('ATP Pos'!E402="-","",IF('ATP Pos'!E402&gt;0,'ATP Pos'!E402,IF('ATP Pos'!E402&lt;0,-'ATP Pos'!E402))))</f>
        <v/>
      </c>
      <c r="E402" t="str">
        <f>IF(A402="","",LEFT('ATP Pos'!B402,F402-1))</f>
        <v/>
      </c>
      <c r="F402" t="str">
        <f>IF(A402="","",SEARCH("-",'ATP Pos'!B402,1))</f>
        <v/>
      </c>
      <c r="G402" t="str">
        <f>IF(A402="","",RIGHT('ATP Pos'!B402,3))</f>
        <v/>
      </c>
      <c r="H402" t="str">
        <f t="shared" si="30"/>
        <v/>
      </c>
      <c r="I402" t="str">
        <f t="shared" si="31"/>
        <v/>
      </c>
      <c r="J402" t="str">
        <f>IF(H402="","",VLOOKUP(I402,表3_3[],2,0))</f>
        <v/>
      </c>
      <c r="K402" t="str">
        <f>IF(H402="","",VLOOKUP(I402,表3_3[],3,0))</f>
        <v/>
      </c>
      <c r="L402" t="str">
        <f>IF(A402="","",IF(G402="LME","",VLOOKUP(RIGHT(E402,2),Helper1!$O$36:$P$48,2,0)))</f>
        <v/>
      </c>
      <c r="M402" t="str">
        <f t="shared" si="32"/>
        <v/>
      </c>
      <c r="N402" t="str">
        <f t="shared" si="33"/>
        <v/>
      </c>
      <c r="O402" t="str">
        <f t="shared" si="34"/>
        <v/>
      </c>
    </row>
    <row r="403" spans="1:15">
      <c r="A403" t="str">
        <f>IF('ATP Pos'!A403="","",LEFT('ATP Pos'!A403,B403-1))</f>
        <v/>
      </c>
      <c r="B403" t="str">
        <f>IF('ATP Pos'!A403="","",SEARCH("_",'ATP Pos'!A403,1))</f>
        <v/>
      </c>
      <c r="C403" t="str">
        <f>IF(A403="","",IF('ATP Pos'!E403="-","",IF('ATP Pos'!E403&gt;0,"Buy",IF('ATP Pos'!E403&lt;0,"Sell"))))</f>
        <v/>
      </c>
      <c r="D403" t="str">
        <f>IF(A403="","",IF('ATP Pos'!E403="-","",IF('ATP Pos'!E403&gt;0,'ATP Pos'!E403,IF('ATP Pos'!E403&lt;0,-'ATP Pos'!E403))))</f>
        <v/>
      </c>
      <c r="E403" t="str">
        <f>IF(A403="","",LEFT('ATP Pos'!B403,F403-1))</f>
        <v/>
      </c>
      <c r="F403" t="str">
        <f>IF(A403="","",SEARCH("-",'ATP Pos'!B403,1))</f>
        <v/>
      </c>
      <c r="G403" t="str">
        <f>IF(A403="","",RIGHT('ATP Pos'!B403,3))</f>
        <v/>
      </c>
      <c r="H403" t="str">
        <f t="shared" si="30"/>
        <v/>
      </c>
      <c r="I403" t="str">
        <f t="shared" si="31"/>
        <v/>
      </c>
      <c r="J403" t="str">
        <f>IF(H403="","",VLOOKUP(I403,表3_3[],2,0))</f>
        <v/>
      </c>
      <c r="K403" t="str">
        <f>IF(H403="","",VLOOKUP(I403,表3_3[],3,0))</f>
        <v/>
      </c>
      <c r="L403" t="str">
        <f>IF(A403="","",IF(G403="LME","",VLOOKUP(RIGHT(E403,2),Helper1!$O$36:$P$48,2,0)))</f>
        <v/>
      </c>
      <c r="M403" t="str">
        <f t="shared" si="32"/>
        <v/>
      </c>
      <c r="N403" t="str">
        <f t="shared" si="33"/>
        <v/>
      </c>
      <c r="O403" t="str">
        <f t="shared" si="34"/>
        <v/>
      </c>
    </row>
    <row r="404" spans="1:15">
      <c r="A404" t="str">
        <f>IF('ATP Pos'!A404="","",LEFT('ATP Pos'!A404,B404-1))</f>
        <v/>
      </c>
      <c r="B404" t="str">
        <f>IF('ATP Pos'!A404="","",SEARCH("_",'ATP Pos'!A404,1))</f>
        <v/>
      </c>
      <c r="C404" t="str">
        <f>IF(A404="","",IF('ATP Pos'!E404="-","",IF('ATP Pos'!E404&gt;0,"Buy",IF('ATP Pos'!E404&lt;0,"Sell"))))</f>
        <v/>
      </c>
      <c r="D404" t="str">
        <f>IF(A404="","",IF('ATP Pos'!E404="-","",IF('ATP Pos'!E404&gt;0,'ATP Pos'!E404,IF('ATP Pos'!E404&lt;0,-'ATP Pos'!E404))))</f>
        <v/>
      </c>
      <c r="E404" t="str">
        <f>IF(A404="","",LEFT('ATP Pos'!B404,F404-1))</f>
        <v/>
      </c>
      <c r="F404" t="str">
        <f>IF(A404="","",SEARCH("-",'ATP Pos'!B404,1))</f>
        <v/>
      </c>
      <c r="G404" t="str">
        <f>IF(A404="","",RIGHT('ATP Pos'!B404,3))</f>
        <v/>
      </c>
      <c r="H404" t="str">
        <f t="shared" si="30"/>
        <v/>
      </c>
      <c r="I404" t="str">
        <f t="shared" si="31"/>
        <v/>
      </c>
      <c r="J404" t="str">
        <f>IF(H404="","",VLOOKUP(I404,表3_3[],2,0))</f>
        <v/>
      </c>
      <c r="K404" t="str">
        <f>IF(H404="","",VLOOKUP(I404,表3_3[],3,0))</f>
        <v/>
      </c>
      <c r="L404" t="str">
        <f>IF(A404="","",IF(G404="LME","",VLOOKUP(RIGHT(E404,2),Helper1!$O$36:$P$48,2,0)))</f>
        <v/>
      </c>
      <c r="M404" t="str">
        <f t="shared" si="32"/>
        <v/>
      </c>
      <c r="N404" t="str">
        <f t="shared" si="33"/>
        <v/>
      </c>
      <c r="O404" t="str">
        <f t="shared" si="34"/>
        <v/>
      </c>
    </row>
    <row r="405" spans="1:15">
      <c r="A405" t="str">
        <f>IF('ATP Pos'!A405="","",LEFT('ATP Pos'!A405,B405-1))</f>
        <v/>
      </c>
      <c r="B405" t="str">
        <f>IF('ATP Pos'!A405="","",SEARCH("_",'ATP Pos'!A405,1))</f>
        <v/>
      </c>
      <c r="C405" t="str">
        <f>IF(A405="","",IF('ATP Pos'!E405="-","",IF('ATP Pos'!E405&gt;0,"Buy",IF('ATP Pos'!E405&lt;0,"Sell"))))</f>
        <v/>
      </c>
      <c r="D405" t="str">
        <f>IF(A405="","",IF('ATP Pos'!E405="-","",IF('ATP Pos'!E405&gt;0,'ATP Pos'!E405,IF('ATP Pos'!E405&lt;0,-'ATP Pos'!E405))))</f>
        <v/>
      </c>
      <c r="E405" t="str">
        <f>IF(A405="","",LEFT('ATP Pos'!B405,F405-1))</f>
        <v/>
      </c>
      <c r="F405" t="str">
        <f>IF(A405="","",SEARCH("-",'ATP Pos'!B405,1))</f>
        <v/>
      </c>
      <c r="G405" t="str">
        <f>IF(A405="","",RIGHT('ATP Pos'!B405,3))</f>
        <v/>
      </c>
      <c r="H405" t="str">
        <f t="shared" si="30"/>
        <v/>
      </c>
      <c r="I405" t="str">
        <f t="shared" si="31"/>
        <v/>
      </c>
      <c r="J405" t="str">
        <f>IF(H405="","",VLOOKUP(I405,表3_3[],2,0))</f>
        <v/>
      </c>
      <c r="K405" t="str">
        <f>IF(H405="","",VLOOKUP(I405,表3_3[],3,0))</f>
        <v/>
      </c>
      <c r="L405" t="str">
        <f>IF(A405="","",IF(G405="LME","",VLOOKUP(RIGHT(E405,2),Helper1!$O$36:$P$48,2,0)))</f>
        <v/>
      </c>
      <c r="M405" t="str">
        <f t="shared" si="32"/>
        <v/>
      </c>
      <c r="N405" t="str">
        <f t="shared" si="33"/>
        <v/>
      </c>
      <c r="O405" t="str">
        <f t="shared" si="34"/>
        <v/>
      </c>
    </row>
    <row r="406" spans="1:15">
      <c r="A406" t="str">
        <f>IF('ATP Pos'!A406="","",LEFT('ATP Pos'!A406,B406-1))</f>
        <v/>
      </c>
      <c r="B406" t="str">
        <f>IF('ATP Pos'!A406="","",SEARCH("_",'ATP Pos'!A406,1))</f>
        <v/>
      </c>
      <c r="C406" t="str">
        <f>IF(A406="","",IF('ATP Pos'!E406="-","",IF('ATP Pos'!E406&gt;0,"Buy",IF('ATP Pos'!E406&lt;0,"Sell"))))</f>
        <v/>
      </c>
      <c r="D406" t="str">
        <f>IF(A406="","",IF('ATP Pos'!E406="-","",IF('ATP Pos'!E406&gt;0,'ATP Pos'!E406,IF('ATP Pos'!E406&lt;0,-'ATP Pos'!E406))))</f>
        <v/>
      </c>
      <c r="E406" t="str">
        <f>IF(A406="","",LEFT('ATP Pos'!B406,F406-1))</f>
        <v/>
      </c>
      <c r="F406" t="str">
        <f>IF(A406="","",SEARCH("-",'ATP Pos'!B406,1))</f>
        <v/>
      </c>
      <c r="G406" t="str">
        <f>IF(A406="","",RIGHT('ATP Pos'!B406,3))</f>
        <v/>
      </c>
      <c r="H406" t="str">
        <f t="shared" si="30"/>
        <v/>
      </c>
      <c r="I406" t="str">
        <f t="shared" si="31"/>
        <v/>
      </c>
      <c r="J406" t="str">
        <f>IF(H406="","",VLOOKUP(I406,表3_3[],2,0))</f>
        <v/>
      </c>
      <c r="K406" t="str">
        <f>IF(H406="","",VLOOKUP(I406,表3_3[],3,0))</f>
        <v/>
      </c>
      <c r="L406" t="str">
        <f>IF(A406="","",IF(G406="LME","",VLOOKUP(RIGHT(E406,2),Helper1!$O$36:$P$48,2,0)))</f>
        <v/>
      </c>
      <c r="M406" t="str">
        <f t="shared" si="32"/>
        <v/>
      </c>
      <c r="N406" t="str">
        <f t="shared" si="33"/>
        <v/>
      </c>
      <c r="O406" t="str">
        <f t="shared" si="34"/>
        <v/>
      </c>
    </row>
    <row r="407" spans="1:15">
      <c r="A407" t="str">
        <f>IF('ATP Pos'!A407="","",LEFT('ATP Pos'!A407,B407-1))</f>
        <v/>
      </c>
      <c r="B407" t="str">
        <f>IF('ATP Pos'!A407="","",SEARCH("_",'ATP Pos'!A407,1))</f>
        <v/>
      </c>
      <c r="C407" t="str">
        <f>IF(A407="","",IF('ATP Pos'!E407="-","",IF('ATP Pos'!E407&gt;0,"Buy",IF('ATP Pos'!E407&lt;0,"Sell"))))</f>
        <v/>
      </c>
      <c r="D407" t="str">
        <f>IF(A407="","",IF('ATP Pos'!E407="-","",IF('ATP Pos'!E407&gt;0,'ATP Pos'!E407,IF('ATP Pos'!E407&lt;0,-'ATP Pos'!E407))))</f>
        <v/>
      </c>
      <c r="E407" t="str">
        <f>IF(A407="","",LEFT('ATP Pos'!B407,F407-1))</f>
        <v/>
      </c>
      <c r="F407" t="str">
        <f>IF(A407="","",SEARCH("-",'ATP Pos'!B407,1))</f>
        <v/>
      </c>
      <c r="G407" t="str">
        <f>IF(A407="","",RIGHT('ATP Pos'!B407,3))</f>
        <v/>
      </c>
      <c r="H407" t="str">
        <f t="shared" si="30"/>
        <v/>
      </c>
      <c r="I407" t="str">
        <f t="shared" si="31"/>
        <v/>
      </c>
      <c r="J407" t="str">
        <f>IF(H407="","",VLOOKUP(I407,表3_3[],2,0))</f>
        <v/>
      </c>
      <c r="K407" t="str">
        <f>IF(H407="","",VLOOKUP(I407,表3_3[],3,0))</f>
        <v/>
      </c>
      <c r="L407" t="str">
        <f>IF(A407="","",IF(G407="LME","",VLOOKUP(RIGHT(E407,2),Helper1!$O$36:$P$48,2,0)))</f>
        <v/>
      </c>
      <c r="M407" t="str">
        <f t="shared" si="32"/>
        <v/>
      </c>
      <c r="N407" t="str">
        <f t="shared" si="33"/>
        <v/>
      </c>
      <c r="O407" t="str">
        <f t="shared" si="34"/>
        <v/>
      </c>
    </row>
    <row r="408" spans="1:15">
      <c r="A408" t="str">
        <f>IF('ATP Pos'!A408="","",LEFT('ATP Pos'!A408,B408-1))</f>
        <v/>
      </c>
      <c r="B408" t="str">
        <f>IF('ATP Pos'!A408="","",SEARCH("_",'ATP Pos'!A408,1))</f>
        <v/>
      </c>
      <c r="C408" t="str">
        <f>IF(A408="","",IF('ATP Pos'!E408="-","",IF('ATP Pos'!E408&gt;0,"Buy",IF('ATP Pos'!E408&lt;0,"Sell"))))</f>
        <v/>
      </c>
      <c r="D408" t="str">
        <f>IF(A408="","",IF('ATP Pos'!E408="-","",IF('ATP Pos'!E408&gt;0,'ATP Pos'!E408,IF('ATP Pos'!E408&lt;0,-'ATP Pos'!E408))))</f>
        <v/>
      </c>
      <c r="E408" t="str">
        <f>IF(A408="","",LEFT('ATP Pos'!B408,F408-1))</f>
        <v/>
      </c>
      <c r="F408" t="str">
        <f>IF(A408="","",SEARCH("-",'ATP Pos'!B408,1))</f>
        <v/>
      </c>
      <c r="G408" t="str">
        <f>IF(A408="","",RIGHT('ATP Pos'!B408,3))</f>
        <v/>
      </c>
      <c r="H408" t="str">
        <f t="shared" si="30"/>
        <v/>
      </c>
      <c r="I408" t="str">
        <f t="shared" si="31"/>
        <v/>
      </c>
      <c r="J408" t="str">
        <f>IF(H408="","",VLOOKUP(I408,表3_3[],2,0))</f>
        <v/>
      </c>
      <c r="K408" t="str">
        <f>IF(H408="","",VLOOKUP(I408,表3_3[],3,0))</f>
        <v/>
      </c>
      <c r="L408" t="str">
        <f>IF(A408="","",IF(G408="LME","",VLOOKUP(RIGHT(E408,2),Helper1!$O$36:$P$48,2,0)))</f>
        <v/>
      </c>
      <c r="M408" t="str">
        <f t="shared" si="32"/>
        <v/>
      </c>
      <c r="N408" t="str">
        <f t="shared" si="33"/>
        <v/>
      </c>
      <c r="O408" t="str">
        <f t="shared" si="34"/>
        <v/>
      </c>
    </row>
    <row r="409" spans="1:15">
      <c r="A409" t="str">
        <f>IF('ATP Pos'!A409="","",LEFT('ATP Pos'!A409,B409-1))</f>
        <v/>
      </c>
      <c r="B409" t="str">
        <f>IF('ATP Pos'!A409="","",SEARCH("_",'ATP Pos'!A409,1))</f>
        <v/>
      </c>
      <c r="C409" t="str">
        <f>IF(A409="","",IF('ATP Pos'!E409="-","",IF('ATP Pos'!E409&gt;0,"Buy",IF('ATP Pos'!E409&lt;0,"Sell"))))</f>
        <v/>
      </c>
      <c r="D409" t="str">
        <f>IF(A409="","",IF('ATP Pos'!E409="-","",IF('ATP Pos'!E409&gt;0,'ATP Pos'!E409,IF('ATP Pos'!E409&lt;0,-'ATP Pos'!E409))))</f>
        <v/>
      </c>
      <c r="E409" t="str">
        <f>IF(A409="","",LEFT('ATP Pos'!B409,F409-1))</f>
        <v/>
      </c>
      <c r="F409" t="str">
        <f>IF(A409="","",SEARCH("-",'ATP Pos'!B409,1))</f>
        <v/>
      </c>
      <c r="G409" t="str">
        <f>IF(A409="","",RIGHT('ATP Pos'!B409,3))</f>
        <v/>
      </c>
      <c r="H409" t="str">
        <f t="shared" si="30"/>
        <v/>
      </c>
      <c r="I409" t="str">
        <f t="shared" si="31"/>
        <v/>
      </c>
      <c r="J409" t="str">
        <f>IF(H409="","",VLOOKUP(I409,表3_3[],2,0))</f>
        <v/>
      </c>
      <c r="K409" t="str">
        <f>IF(H409="","",VLOOKUP(I409,表3_3[],3,0))</f>
        <v/>
      </c>
      <c r="L409" t="str">
        <f>IF(A409="","",IF(G409="LME","",VLOOKUP(RIGHT(E409,2),Helper1!$O$36:$P$48,2,0)))</f>
        <v/>
      </c>
      <c r="M409" t="str">
        <f t="shared" si="32"/>
        <v/>
      </c>
      <c r="N409" t="str">
        <f t="shared" si="33"/>
        <v/>
      </c>
      <c r="O409" t="str">
        <f t="shared" si="34"/>
        <v/>
      </c>
    </row>
    <row r="410" spans="1:15">
      <c r="A410" t="str">
        <f>IF('ATP Pos'!A410="","",LEFT('ATP Pos'!A410,B410-1))</f>
        <v/>
      </c>
      <c r="B410" t="str">
        <f>IF('ATP Pos'!A410="","",SEARCH("_",'ATP Pos'!A410,1))</f>
        <v/>
      </c>
      <c r="C410" t="str">
        <f>IF(A410="","",IF('ATP Pos'!E410="-","",IF('ATP Pos'!E410&gt;0,"Buy",IF('ATP Pos'!E410&lt;0,"Sell"))))</f>
        <v/>
      </c>
      <c r="D410" t="str">
        <f>IF(A410="","",IF('ATP Pos'!E410="-","",IF('ATP Pos'!E410&gt;0,'ATP Pos'!E410,IF('ATP Pos'!E410&lt;0,-'ATP Pos'!E410))))</f>
        <v/>
      </c>
      <c r="E410" t="str">
        <f>IF(A410="","",LEFT('ATP Pos'!B410,F410-1))</f>
        <v/>
      </c>
      <c r="F410" t="str">
        <f>IF(A410="","",SEARCH("-",'ATP Pos'!B410,1))</f>
        <v/>
      </c>
      <c r="G410" t="str">
        <f>IF(A410="","",RIGHT('ATP Pos'!B410,3))</f>
        <v/>
      </c>
      <c r="H410" t="str">
        <f t="shared" si="30"/>
        <v/>
      </c>
      <c r="I410" t="str">
        <f t="shared" si="31"/>
        <v/>
      </c>
      <c r="J410" t="str">
        <f>IF(H410="","",VLOOKUP(I410,表3_3[],2,0))</f>
        <v/>
      </c>
      <c r="K410" t="str">
        <f>IF(H410="","",VLOOKUP(I410,表3_3[],3,0))</f>
        <v/>
      </c>
      <c r="L410" t="str">
        <f>IF(A410="","",IF(G410="LME","",VLOOKUP(RIGHT(E410,2),Helper1!$O$36:$P$48,2,0)))</f>
        <v/>
      </c>
      <c r="M410" t="str">
        <f t="shared" si="32"/>
        <v/>
      </c>
      <c r="N410" t="str">
        <f t="shared" si="33"/>
        <v/>
      </c>
      <c r="O410" t="str">
        <f t="shared" si="34"/>
        <v/>
      </c>
    </row>
    <row r="411" spans="1:15">
      <c r="A411" t="str">
        <f>IF('ATP Pos'!A411="","",LEFT('ATP Pos'!A411,B411-1))</f>
        <v/>
      </c>
      <c r="B411" t="str">
        <f>IF('ATP Pos'!A411="","",SEARCH("_",'ATP Pos'!A411,1))</f>
        <v/>
      </c>
      <c r="C411" t="str">
        <f>IF(A411="","",IF('ATP Pos'!E411="-","",IF('ATP Pos'!E411&gt;0,"Buy",IF('ATP Pos'!E411&lt;0,"Sell"))))</f>
        <v/>
      </c>
      <c r="D411" t="str">
        <f>IF(A411="","",IF('ATP Pos'!E411="-","",IF('ATP Pos'!E411&gt;0,'ATP Pos'!E411,IF('ATP Pos'!E411&lt;0,-'ATP Pos'!E411))))</f>
        <v/>
      </c>
      <c r="E411" t="str">
        <f>IF(A411="","",LEFT('ATP Pos'!B411,F411-1))</f>
        <v/>
      </c>
      <c r="F411" t="str">
        <f>IF(A411="","",SEARCH("-",'ATP Pos'!B411,1))</f>
        <v/>
      </c>
      <c r="G411" t="str">
        <f>IF(A411="","",RIGHT('ATP Pos'!B411,3))</f>
        <v/>
      </c>
      <c r="H411" t="str">
        <f t="shared" si="30"/>
        <v/>
      </c>
      <c r="I411" t="str">
        <f t="shared" si="31"/>
        <v/>
      </c>
      <c r="J411" t="str">
        <f>IF(H411="","",VLOOKUP(I411,表3_3[],2,0))</f>
        <v/>
      </c>
      <c r="K411" t="str">
        <f>IF(H411="","",VLOOKUP(I411,表3_3[],3,0))</f>
        <v/>
      </c>
      <c r="L411" t="str">
        <f>IF(A411="","",IF(G411="LME","",VLOOKUP(RIGHT(E411,2),Helper1!$O$36:$P$48,2,0)))</f>
        <v/>
      </c>
      <c r="M411" t="str">
        <f t="shared" si="32"/>
        <v/>
      </c>
      <c r="N411" t="str">
        <f t="shared" si="33"/>
        <v/>
      </c>
      <c r="O411" t="str">
        <f t="shared" si="34"/>
        <v/>
      </c>
    </row>
    <row r="412" spans="1:15">
      <c r="A412" t="str">
        <f>IF('ATP Pos'!A412="","",LEFT('ATP Pos'!A412,B412-1))</f>
        <v/>
      </c>
      <c r="B412" t="str">
        <f>IF('ATP Pos'!A412="","",SEARCH("_",'ATP Pos'!A412,1))</f>
        <v/>
      </c>
      <c r="C412" t="str">
        <f>IF(A412="","",IF('ATP Pos'!E412="-","",IF('ATP Pos'!E412&gt;0,"Buy",IF('ATP Pos'!E412&lt;0,"Sell"))))</f>
        <v/>
      </c>
      <c r="D412" t="str">
        <f>IF(A412="","",IF('ATP Pos'!E412="-","",IF('ATP Pos'!E412&gt;0,'ATP Pos'!E412,IF('ATP Pos'!E412&lt;0,-'ATP Pos'!E412))))</f>
        <v/>
      </c>
      <c r="E412" t="str">
        <f>IF(A412="","",LEFT('ATP Pos'!B412,F412-1))</f>
        <v/>
      </c>
      <c r="F412" t="str">
        <f>IF(A412="","",SEARCH("-",'ATP Pos'!B412,1))</f>
        <v/>
      </c>
      <c r="G412" t="str">
        <f>IF(A412="","",RIGHT('ATP Pos'!B412,3))</f>
        <v/>
      </c>
      <c r="H412" t="str">
        <f t="shared" si="30"/>
        <v/>
      </c>
      <c r="I412" t="str">
        <f t="shared" si="31"/>
        <v/>
      </c>
      <c r="J412" t="str">
        <f>IF(H412="","",VLOOKUP(I412,表3_3[],2,0))</f>
        <v/>
      </c>
      <c r="K412" t="str">
        <f>IF(H412="","",VLOOKUP(I412,表3_3[],3,0))</f>
        <v/>
      </c>
      <c r="L412" t="str">
        <f>IF(A412="","",IF(G412="LME","",VLOOKUP(RIGHT(E412,2),Helper1!$O$36:$P$48,2,0)))</f>
        <v/>
      </c>
      <c r="M412" t="str">
        <f t="shared" si="32"/>
        <v/>
      </c>
      <c r="N412" t="str">
        <f t="shared" si="33"/>
        <v/>
      </c>
      <c r="O412" t="str">
        <f t="shared" si="34"/>
        <v/>
      </c>
    </row>
    <row r="413" spans="1:15">
      <c r="A413" t="str">
        <f>IF('ATP Pos'!A413="","",LEFT('ATP Pos'!A413,B413-1))</f>
        <v/>
      </c>
      <c r="B413" t="str">
        <f>IF('ATP Pos'!A413="","",SEARCH("_",'ATP Pos'!A413,1))</f>
        <v/>
      </c>
      <c r="C413" t="str">
        <f>IF(A413="","",IF('ATP Pos'!E413="-","",IF('ATP Pos'!E413&gt;0,"Buy",IF('ATP Pos'!E413&lt;0,"Sell"))))</f>
        <v/>
      </c>
      <c r="D413" t="str">
        <f>IF(A413="","",IF('ATP Pos'!E413="-","",IF('ATP Pos'!E413&gt;0,'ATP Pos'!E413,IF('ATP Pos'!E413&lt;0,-'ATP Pos'!E413))))</f>
        <v/>
      </c>
      <c r="E413" t="str">
        <f>IF(A413="","",LEFT('ATP Pos'!B413,F413-1))</f>
        <v/>
      </c>
      <c r="F413" t="str">
        <f>IF(A413="","",SEARCH("-",'ATP Pos'!B413,1))</f>
        <v/>
      </c>
      <c r="G413" t="str">
        <f>IF(A413="","",RIGHT('ATP Pos'!B413,3))</f>
        <v/>
      </c>
      <c r="H413" t="str">
        <f t="shared" si="30"/>
        <v/>
      </c>
      <c r="I413" t="str">
        <f t="shared" si="31"/>
        <v/>
      </c>
      <c r="J413" t="str">
        <f>IF(H413="","",VLOOKUP(I413,表3_3[],2,0))</f>
        <v/>
      </c>
      <c r="K413" t="str">
        <f>IF(H413="","",VLOOKUP(I413,表3_3[],3,0))</f>
        <v/>
      </c>
      <c r="L413" t="str">
        <f>IF(A413="","",IF(G413="LME","",VLOOKUP(RIGHT(E413,2),Helper1!$O$36:$P$48,2,0)))</f>
        <v/>
      </c>
      <c r="M413" t="str">
        <f t="shared" si="32"/>
        <v/>
      </c>
      <c r="N413" t="str">
        <f t="shared" si="33"/>
        <v/>
      </c>
      <c r="O413" t="str">
        <f t="shared" si="34"/>
        <v/>
      </c>
    </row>
    <row r="414" spans="1:15">
      <c r="A414" t="str">
        <f>IF('ATP Pos'!A414="","",LEFT('ATP Pos'!A414,B414-1))</f>
        <v/>
      </c>
      <c r="B414" t="str">
        <f>IF('ATP Pos'!A414="","",SEARCH("_",'ATP Pos'!A414,1))</f>
        <v/>
      </c>
      <c r="C414" t="str">
        <f>IF(A414="","",IF('ATP Pos'!E414="-","",IF('ATP Pos'!E414&gt;0,"Buy",IF('ATP Pos'!E414&lt;0,"Sell"))))</f>
        <v/>
      </c>
      <c r="D414" t="str">
        <f>IF(A414="","",IF('ATP Pos'!E414="-","",IF('ATP Pos'!E414&gt;0,'ATP Pos'!E414,IF('ATP Pos'!E414&lt;0,-'ATP Pos'!E414))))</f>
        <v/>
      </c>
      <c r="E414" t="str">
        <f>IF(A414="","",LEFT('ATP Pos'!B414,F414-1))</f>
        <v/>
      </c>
      <c r="F414" t="str">
        <f>IF(A414="","",SEARCH("-",'ATP Pos'!B414,1))</f>
        <v/>
      </c>
      <c r="G414" t="str">
        <f>IF(A414="","",RIGHT('ATP Pos'!B414,3))</f>
        <v/>
      </c>
      <c r="H414" t="str">
        <f t="shared" si="30"/>
        <v/>
      </c>
      <c r="I414" t="str">
        <f t="shared" si="31"/>
        <v/>
      </c>
      <c r="J414" t="str">
        <f>IF(H414="","",VLOOKUP(I414,表3_3[],2,0))</f>
        <v/>
      </c>
      <c r="K414" t="str">
        <f>IF(H414="","",VLOOKUP(I414,表3_3[],3,0))</f>
        <v/>
      </c>
      <c r="L414" t="str">
        <f>IF(A414="","",IF(G414="LME","",VLOOKUP(RIGHT(E414,2),Helper1!$O$36:$P$48,2,0)))</f>
        <v/>
      </c>
      <c r="M414" t="str">
        <f t="shared" si="32"/>
        <v/>
      </c>
      <c r="N414" t="str">
        <f t="shared" si="33"/>
        <v/>
      </c>
      <c r="O414" t="str">
        <f t="shared" si="34"/>
        <v/>
      </c>
    </row>
    <row r="415" spans="1:15">
      <c r="A415" t="str">
        <f>IF('ATP Pos'!A415="","",LEFT('ATP Pos'!A415,B415-1))</f>
        <v/>
      </c>
      <c r="B415" t="str">
        <f>IF('ATP Pos'!A415="","",SEARCH("_",'ATP Pos'!A415,1))</f>
        <v/>
      </c>
      <c r="C415" t="str">
        <f>IF(A415="","",IF('ATP Pos'!E415="-","",IF('ATP Pos'!E415&gt;0,"Buy",IF('ATP Pos'!E415&lt;0,"Sell"))))</f>
        <v/>
      </c>
      <c r="D415" t="str">
        <f>IF(A415="","",IF('ATP Pos'!E415="-","",IF('ATP Pos'!E415&gt;0,'ATP Pos'!E415,IF('ATP Pos'!E415&lt;0,-'ATP Pos'!E415))))</f>
        <v/>
      </c>
      <c r="E415" t="str">
        <f>IF(A415="","",LEFT('ATP Pos'!B415,F415-1))</f>
        <v/>
      </c>
      <c r="F415" t="str">
        <f>IF(A415="","",SEARCH("-",'ATP Pos'!B415,1))</f>
        <v/>
      </c>
      <c r="G415" t="str">
        <f>IF(A415="","",RIGHT('ATP Pos'!B415,3))</f>
        <v/>
      </c>
      <c r="H415" t="str">
        <f t="shared" si="30"/>
        <v/>
      </c>
      <c r="I415" t="str">
        <f t="shared" si="31"/>
        <v/>
      </c>
      <c r="J415" t="str">
        <f>IF(H415="","",VLOOKUP(I415,表3_3[],2,0))</f>
        <v/>
      </c>
      <c r="K415" t="str">
        <f>IF(H415="","",VLOOKUP(I415,表3_3[],3,0))</f>
        <v/>
      </c>
      <c r="L415" t="str">
        <f>IF(A415="","",IF(G415="LME","",VLOOKUP(RIGHT(E415,2),Helper1!$O$36:$P$48,2,0)))</f>
        <v/>
      </c>
      <c r="M415" t="str">
        <f t="shared" si="32"/>
        <v/>
      </c>
      <c r="N415" t="str">
        <f t="shared" si="33"/>
        <v/>
      </c>
      <c r="O415" t="str">
        <f t="shared" si="34"/>
        <v/>
      </c>
    </row>
    <row r="416" spans="1:15">
      <c r="A416" t="str">
        <f>IF('ATP Pos'!A416="","",LEFT('ATP Pos'!A416,B416-1))</f>
        <v/>
      </c>
      <c r="B416" t="str">
        <f>IF('ATP Pos'!A416="","",SEARCH("_",'ATP Pos'!A416,1))</f>
        <v/>
      </c>
      <c r="C416" t="str">
        <f>IF(A416="","",IF('ATP Pos'!E416="-","",IF('ATP Pos'!E416&gt;0,"Buy",IF('ATP Pos'!E416&lt;0,"Sell"))))</f>
        <v/>
      </c>
      <c r="D416" t="str">
        <f>IF(A416="","",IF('ATP Pos'!E416="-","",IF('ATP Pos'!E416&gt;0,'ATP Pos'!E416,IF('ATP Pos'!E416&lt;0,-'ATP Pos'!E416))))</f>
        <v/>
      </c>
      <c r="E416" t="str">
        <f>IF(A416="","",LEFT('ATP Pos'!B416,F416-1))</f>
        <v/>
      </c>
      <c r="F416" t="str">
        <f>IF(A416="","",SEARCH("-",'ATP Pos'!B416,1))</f>
        <v/>
      </c>
      <c r="G416" t="str">
        <f>IF(A416="","",RIGHT('ATP Pos'!B416,3))</f>
        <v/>
      </c>
      <c r="H416" t="str">
        <f t="shared" si="30"/>
        <v/>
      </c>
      <c r="I416" t="str">
        <f t="shared" si="31"/>
        <v/>
      </c>
      <c r="J416" t="str">
        <f>IF(H416="","",VLOOKUP(I416,表3_3[],2,0))</f>
        <v/>
      </c>
      <c r="K416" t="str">
        <f>IF(H416="","",VLOOKUP(I416,表3_3[],3,0))</f>
        <v/>
      </c>
      <c r="L416" t="str">
        <f>IF(A416="","",IF(G416="LME","",VLOOKUP(RIGHT(E416,2),Helper1!$O$36:$P$48,2,0)))</f>
        <v/>
      </c>
      <c r="M416" t="str">
        <f t="shared" si="32"/>
        <v/>
      </c>
      <c r="N416" t="str">
        <f t="shared" si="33"/>
        <v/>
      </c>
      <c r="O416" t="str">
        <f t="shared" si="34"/>
        <v/>
      </c>
    </row>
    <row r="417" spans="1:15">
      <c r="A417" t="str">
        <f>IF('ATP Pos'!A417="","",LEFT('ATP Pos'!A417,B417-1))</f>
        <v/>
      </c>
      <c r="B417" t="str">
        <f>IF('ATP Pos'!A417="","",SEARCH("_",'ATP Pos'!A417,1))</f>
        <v/>
      </c>
      <c r="C417" t="str">
        <f>IF(A417="","",IF('ATP Pos'!E417="-","",IF('ATP Pos'!E417&gt;0,"Buy",IF('ATP Pos'!E417&lt;0,"Sell"))))</f>
        <v/>
      </c>
      <c r="D417" t="str">
        <f>IF(A417="","",IF('ATP Pos'!E417="-","",IF('ATP Pos'!E417&gt;0,'ATP Pos'!E417,IF('ATP Pos'!E417&lt;0,-'ATP Pos'!E417))))</f>
        <v/>
      </c>
      <c r="E417" t="str">
        <f>IF(A417="","",LEFT('ATP Pos'!B417,F417-1))</f>
        <v/>
      </c>
      <c r="F417" t="str">
        <f>IF(A417="","",SEARCH("-",'ATP Pos'!B417,1))</f>
        <v/>
      </c>
      <c r="G417" t="str">
        <f>IF(A417="","",RIGHT('ATP Pos'!B417,3))</f>
        <v/>
      </c>
      <c r="H417" t="str">
        <f t="shared" si="30"/>
        <v/>
      </c>
      <c r="I417" t="str">
        <f t="shared" si="31"/>
        <v/>
      </c>
      <c r="J417" t="str">
        <f>IF(H417="","",VLOOKUP(I417,表3_3[],2,0))</f>
        <v/>
      </c>
      <c r="K417" t="str">
        <f>IF(H417="","",VLOOKUP(I417,表3_3[],3,0))</f>
        <v/>
      </c>
      <c r="L417" t="str">
        <f>IF(A417="","",IF(G417="LME","",VLOOKUP(RIGHT(E417,2),Helper1!$O$36:$P$48,2,0)))</f>
        <v/>
      </c>
      <c r="M417" t="str">
        <f t="shared" si="32"/>
        <v/>
      </c>
      <c r="N417" t="str">
        <f t="shared" si="33"/>
        <v/>
      </c>
      <c r="O417" t="str">
        <f t="shared" si="34"/>
        <v/>
      </c>
    </row>
    <row r="418" spans="1:15">
      <c r="A418" t="str">
        <f>IF('ATP Pos'!A418="","",LEFT('ATP Pos'!A418,B418-1))</f>
        <v/>
      </c>
      <c r="B418" t="str">
        <f>IF('ATP Pos'!A418="","",SEARCH("_",'ATP Pos'!A418,1))</f>
        <v/>
      </c>
      <c r="C418" t="str">
        <f>IF(A418="","",IF('ATP Pos'!E418="-","",IF('ATP Pos'!E418&gt;0,"Buy",IF('ATP Pos'!E418&lt;0,"Sell"))))</f>
        <v/>
      </c>
      <c r="D418" t="str">
        <f>IF(A418="","",IF('ATP Pos'!E418="-","",IF('ATP Pos'!E418&gt;0,'ATP Pos'!E418,IF('ATP Pos'!E418&lt;0,-'ATP Pos'!E418))))</f>
        <v/>
      </c>
      <c r="E418" t="str">
        <f>IF(A418="","",LEFT('ATP Pos'!B418,F418-1))</f>
        <v/>
      </c>
      <c r="F418" t="str">
        <f>IF(A418="","",SEARCH("-",'ATP Pos'!B418,1))</f>
        <v/>
      </c>
      <c r="G418" t="str">
        <f>IF(A418="","",RIGHT('ATP Pos'!B418,3))</f>
        <v/>
      </c>
      <c r="H418" t="str">
        <f t="shared" si="30"/>
        <v/>
      </c>
      <c r="I418" t="str">
        <f t="shared" si="31"/>
        <v/>
      </c>
      <c r="J418" t="str">
        <f>IF(H418="","",VLOOKUP(I418,表3_3[],2,0))</f>
        <v/>
      </c>
      <c r="K418" t="str">
        <f>IF(H418="","",VLOOKUP(I418,表3_3[],3,0))</f>
        <v/>
      </c>
      <c r="L418" t="str">
        <f>IF(A418="","",IF(G418="LME","",VLOOKUP(RIGHT(E418,2),Helper1!$O$36:$P$48,2,0)))</f>
        <v/>
      </c>
      <c r="M418" t="str">
        <f t="shared" si="32"/>
        <v/>
      </c>
      <c r="N418" t="str">
        <f t="shared" si="33"/>
        <v/>
      </c>
      <c r="O418" t="str">
        <f t="shared" si="34"/>
        <v/>
      </c>
    </row>
    <row r="419" spans="1:15">
      <c r="A419" t="str">
        <f>IF('ATP Pos'!A419="","",LEFT('ATP Pos'!A419,B419-1))</f>
        <v/>
      </c>
      <c r="B419" t="str">
        <f>IF('ATP Pos'!A419="","",SEARCH("_",'ATP Pos'!A419,1))</f>
        <v/>
      </c>
      <c r="C419" t="str">
        <f>IF(A419="","",IF('ATP Pos'!E419="-","",IF('ATP Pos'!E419&gt;0,"Buy",IF('ATP Pos'!E419&lt;0,"Sell"))))</f>
        <v/>
      </c>
      <c r="D419" t="str">
        <f>IF(A419="","",IF('ATP Pos'!E419="-","",IF('ATP Pos'!E419&gt;0,'ATP Pos'!E419,IF('ATP Pos'!E419&lt;0,-'ATP Pos'!E419))))</f>
        <v/>
      </c>
      <c r="E419" t="str">
        <f>IF(A419="","",LEFT('ATP Pos'!B419,F419-1))</f>
        <v/>
      </c>
      <c r="F419" t="str">
        <f>IF(A419="","",SEARCH("-",'ATP Pos'!B419,1))</f>
        <v/>
      </c>
      <c r="G419" t="str">
        <f>IF(A419="","",RIGHT('ATP Pos'!B419,3))</f>
        <v/>
      </c>
      <c r="H419" t="str">
        <f t="shared" si="30"/>
        <v/>
      </c>
      <c r="I419" t="str">
        <f t="shared" si="31"/>
        <v/>
      </c>
      <c r="J419" t="str">
        <f>IF(H419="","",VLOOKUP(I419,表3_3[],2,0))</f>
        <v/>
      </c>
      <c r="K419" t="str">
        <f>IF(H419="","",VLOOKUP(I419,表3_3[],3,0))</f>
        <v/>
      </c>
      <c r="L419" t="str">
        <f>IF(A419="","",IF(G419="LME","",VLOOKUP(RIGHT(E419,2),Helper1!$O$36:$P$48,2,0)))</f>
        <v/>
      </c>
      <c r="M419" t="str">
        <f t="shared" si="32"/>
        <v/>
      </c>
      <c r="N419" t="str">
        <f t="shared" si="33"/>
        <v/>
      </c>
      <c r="O419" t="str">
        <f t="shared" si="34"/>
        <v/>
      </c>
    </row>
    <row r="420" spans="1:15">
      <c r="A420" t="str">
        <f>IF('ATP Pos'!A420="","",LEFT('ATP Pos'!A420,B420-1))</f>
        <v/>
      </c>
      <c r="B420" t="str">
        <f>IF('ATP Pos'!A420="","",SEARCH("_",'ATP Pos'!A420,1))</f>
        <v/>
      </c>
      <c r="C420" t="str">
        <f>IF(A420="","",IF('ATP Pos'!E420="-","",IF('ATP Pos'!E420&gt;0,"Buy",IF('ATP Pos'!E420&lt;0,"Sell"))))</f>
        <v/>
      </c>
      <c r="D420" t="str">
        <f>IF(A420="","",IF('ATP Pos'!E420="-","",IF('ATP Pos'!E420&gt;0,'ATP Pos'!E420,IF('ATP Pos'!E420&lt;0,-'ATP Pos'!E420))))</f>
        <v/>
      </c>
      <c r="E420" t="str">
        <f>IF(A420="","",LEFT('ATP Pos'!B420,F420-1))</f>
        <v/>
      </c>
      <c r="F420" t="str">
        <f>IF(A420="","",SEARCH("-",'ATP Pos'!B420,1))</f>
        <v/>
      </c>
      <c r="G420" t="str">
        <f>IF(A420="","",RIGHT('ATP Pos'!B420,3))</f>
        <v/>
      </c>
      <c r="H420" t="str">
        <f t="shared" si="30"/>
        <v/>
      </c>
      <c r="I420" t="str">
        <f t="shared" si="31"/>
        <v/>
      </c>
      <c r="J420" t="str">
        <f>IF(H420="","",VLOOKUP(I420,表3_3[],2,0))</f>
        <v/>
      </c>
      <c r="K420" t="str">
        <f>IF(H420="","",VLOOKUP(I420,表3_3[],3,0))</f>
        <v/>
      </c>
      <c r="L420" t="str">
        <f>IF(A420="","",IF(G420="LME","",VLOOKUP(RIGHT(E420,2),Helper1!$O$36:$P$48,2,0)))</f>
        <v/>
      </c>
      <c r="M420" t="str">
        <f t="shared" si="32"/>
        <v/>
      </c>
      <c r="N420" t="str">
        <f t="shared" si="33"/>
        <v/>
      </c>
      <c r="O420" t="str">
        <f t="shared" si="34"/>
        <v/>
      </c>
    </row>
    <row r="421" spans="1:15">
      <c r="A421" t="str">
        <f>IF('ATP Pos'!A421="","",LEFT('ATP Pos'!A421,B421-1))</f>
        <v/>
      </c>
      <c r="B421" t="str">
        <f>IF('ATP Pos'!A421="","",SEARCH("_",'ATP Pos'!A421,1))</f>
        <v/>
      </c>
      <c r="C421" t="str">
        <f>IF(A421="","",IF('ATP Pos'!E421="-","",IF('ATP Pos'!E421&gt;0,"Buy",IF('ATP Pos'!E421&lt;0,"Sell"))))</f>
        <v/>
      </c>
      <c r="D421" t="str">
        <f>IF(A421="","",IF('ATP Pos'!E421="-","",IF('ATP Pos'!E421&gt;0,'ATP Pos'!E421,IF('ATP Pos'!E421&lt;0,-'ATP Pos'!E421))))</f>
        <v/>
      </c>
      <c r="E421" t="str">
        <f>IF(A421="","",LEFT('ATP Pos'!B421,F421-1))</f>
        <v/>
      </c>
      <c r="F421" t="str">
        <f>IF(A421="","",SEARCH("-",'ATP Pos'!B421,1))</f>
        <v/>
      </c>
      <c r="G421" t="str">
        <f>IF(A421="","",RIGHT('ATP Pos'!B421,3))</f>
        <v/>
      </c>
      <c r="H421" t="str">
        <f t="shared" si="30"/>
        <v/>
      </c>
      <c r="I421" t="str">
        <f t="shared" si="31"/>
        <v/>
      </c>
      <c r="J421" t="str">
        <f>IF(H421="","",VLOOKUP(I421,表3_3[],2,0))</f>
        <v/>
      </c>
      <c r="K421" t="str">
        <f>IF(H421="","",VLOOKUP(I421,表3_3[],3,0))</f>
        <v/>
      </c>
      <c r="L421" t="str">
        <f>IF(A421="","",IF(G421="LME","",VLOOKUP(RIGHT(E421,2),Helper1!$O$36:$P$48,2,0)))</f>
        <v/>
      </c>
      <c r="M421" t="str">
        <f t="shared" si="32"/>
        <v/>
      </c>
      <c r="N421" t="str">
        <f t="shared" si="33"/>
        <v/>
      </c>
      <c r="O421" t="str">
        <f t="shared" si="34"/>
        <v/>
      </c>
    </row>
    <row r="422" spans="1:15">
      <c r="A422" t="str">
        <f>IF('ATP Pos'!A422="","",LEFT('ATP Pos'!A422,B422-1))</f>
        <v/>
      </c>
      <c r="B422" t="str">
        <f>IF('ATP Pos'!A422="","",SEARCH("_",'ATP Pos'!A422,1))</f>
        <v/>
      </c>
      <c r="C422" t="str">
        <f>IF(A422="","",IF('ATP Pos'!E422="-","",IF('ATP Pos'!E422&gt;0,"Buy",IF('ATP Pos'!E422&lt;0,"Sell"))))</f>
        <v/>
      </c>
      <c r="D422" t="str">
        <f>IF(A422="","",IF('ATP Pos'!E422="-","",IF('ATP Pos'!E422&gt;0,'ATP Pos'!E422,IF('ATP Pos'!E422&lt;0,-'ATP Pos'!E422))))</f>
        <v/>
      </c>
      <c r="E422" t="str">
        <f>IF(A422="","",LEFT('ATP Pos'!B422,F422-1))</f>
        <v/>
      </c>
      <c r="F422" t="str">
        <f>IF(A422="","",SEARCH("-",'ATP Pos'!B422,1))</f>
        <v/>
      </c>
      <c r="G422" t="str">
        <f>IF(A422="","",RIGHT('ATP Pos'!B422,3))</f>
        <v/>
      </c>
      <c r="H422" t="str">
        <f t="shared" si="30"/>
        <v/>
      </c>
      <c r="I422" t="str">
        <f t="shared" si="31"/>
        <v/>
      </c>
      <c r="J422" t="str">
        <f>IF(H422="","",VLOOKUP(I422,表3_3[],2,0))</f>
        <v/>
      </c>
      <c r="K422" t="str">
        <f>IF(H422="","",VLOOKUP(I422,表3_3[],3,0))</f>
        <v/>
      </c>
      <c r="L422" t="str">
        <f>IF(A422="","",IF(G422="LME","",VLOOKUP(RIGHT(E422,2),Helper1!$O$36:$P$48,2,0)))</f>
        <v/>
      </c>
      <c r="M422" t="str">
        <f t="shared" si="32"/>
        <v/>
      </c>
      <c r="N422" t="str">
        <f t="shared" si="33"/>
        <v/>
      </c>
      <c r="O422" t="str">
        <f t="shared" si="34"/>
        <v/>
      </c>
    </row>
    <row r="423" spans="1:15">
      <c r="A423" t="str">
        <f>IF('ATP Pos'!A423="","",LEFT('ATP Pos'!A423,B423-1))</f>
        <v/>
      </c>
      <c r="B423" t="str">
        <f>IF('ATP Pos'!A423="","",SEARCH("_",'ATP Pos'!A423,1))</f>
        <v/>
      </c>
      <c r="C423" t="str">
        <f>IF(A423="","",IF('ATP Pos'!E423="-","",IF('ATP Pos'!E423&gt;0,"Buy",IF('ATP Pos'!E423&lt;0,"Sell"))))</f>
        <v/>
      </c>
      <c r="D423" t="str">
        <f>IF(A423="","",IF('ATP Pos'!E423="-","",IF('ATP Pos'!E423&gt;0,'ATP Pos'!E423,IF('ATP Pos'!E423&lt;0,-'ATP Pos'!E423))))</f>
        <v/>
      </c>
      <c r="E423" t="str">
        <f>IF(A423="","",LEFT('ATP Pos'!B423,F423-1))</f>
        <v/>
      </c>
      <c r="F423" t="str">
        <f>IF(A423="","",SEARCH("-",'ATP Pos'!B423,1))</f>
        <v/>
      </c>
      <c r="G423" t="str">
        <f>IF(A423="","",RIGHT('ATP Pos'!B423,3))</f>
        <v/>
      </c>
      <c r="H423" t="str">
        <f t="shared" si="30"/>
        <v/>
      </c>
      <c r="I423" t="str">
        <f t="shared" si="31"/>
        <v/>
      </c>
      <c r="J423" t="str">
        <f>IF(H423="","",VLOOKUP(I423,表3_3[],2,0))</f>
        <v/>
      </c>
      <c r="K423" t="str">
        <f>IF(H423="","",VLOOKUP(I423,表3_3[],3,0))</f>
        <v/>
      </c>
      <c r="L423" t="str">
        <f>IF(A423="","",IF(G423="LME","",VLOOKUP(RIGHT(E423,2),Helper1!$O$36:$P$48,2,0)))</f>
        <v/>
      </c>
      <c r="M423" t="str">
        <f t="shared" si="32"/>
        <v/>
      </c>
      <c r="N423" t="str">
        <f t="shared" si="33"/>
        <v/>
      </c>
      <c r="O423" t="str">
        <f t="shared" si="34"/>
        <v/>
      </c>
    </row>
    <row r="424" spans="1:15">
      <c r="A424" t="str">
        <f>IF('ATP Pos'!A424="","",LEFT('ATP Pos'!A424,B424-1))</f>
        <v/>
      </c>
      <c r="B424" t="str">
        <f>IF('ATP Pos'!A424="","",SEARCH("_",'ATP Pos'!A424,1))</f>
        <v/>
      </c>
      <c r="C424" t="str">
        <f>IF(A424="","",IF('ATP Pos'!E424="-","",IF('ATP Pos'!E424&gt;0,"Buy",IF('ATP Pos'!E424&lt;0,"Sell"))))</f>
        <v/>
      </c>
      <c r="D424" t="str">
        <f>IF(A424="","",IF('ATP Pos'!E424="-","",IF('ATP Pos'!E424&gt;0,'ATP Pos'!E424,IF('ATP Pos'!E424&lt;0,-'ATP Pos'!E424))))</f>
        <v/>
      </c>
      <c r="E424" t="str">
        <f>IF(A424="","",LEFT('ATP Pos'!B424,F424-1))</f>
        <v/>
      </c>
      <c r="F424" t="str">
        <f>IF(A424="","",SEARCH("-",'ATP Pos'!B424,1))</f>
        <v/>
      </c>
      <c r="G424" t="str">
        <f>IF(A424="","",RIGHT('ATP Pos'!B424,3))</f>
        <v/>
      </c>
      <c r="H424" t="str">
        <f t="shared" si="30"/>
        <v/>
      </c>
      <c r="I424" t="str">
        <f t="shared" si="31"/>
        <v/>
      </c>
      <c r="J424" t="str">
        <f>IF(H424="","",VLOOKUP(I424,表3_3[],2,0))</f>
        <v/>
      </c>
      <c r="K424" t="str">
        <f>IF(H424="","",VLOOKUP(I424,表3_3[],3,0))</f>
        <v/>
      </c>
      <c r="L424" t="str">
        <f>IF(A424="","",IF(G424="LME","",VLOOKUP(RIGHT(E424,2),Helper1!$O$36:$P$48,2,0)))</f>
        <v/>
      </c>
      <c r="M424" t="str">
        <f t="shared" si="32"/>
        <v/>
      </c>
      <c r="N424" t="str">
        <f t="shared" si="33"/>
        <v/>
      </c>
      <c r="O424" t="str">
        <f t="shared" si="34"/>
        <v/>
      </c>
    </row>
    <row r="425" spans="1:15">
      <c r="A425" t="str">
        <f>IF('ATP Pos'!A425="","",LEFT('ATP Pos'!A425,B425-1))</f>
        <v/>
      </c>
      <c r="B425" t="str">
        <f>IF('ATP Pos'!A425="","",SEARCH("_",'ATP Pos'!A425,1))</f>
        <v/>
      </c>
      <c r="C425" t="str">
        <f>IF(A425="","",IF('ATP Pos'!E425="-","",IF('ATP Pos'!E425&gt;0,"Buy",IF('ATP Pos'!E425&lt;0,"Sell"))))</f>
        <v/>
      </c>
      <c r="D425" t="str">
        <f>IF(A425="","",IF('ATP Pos'!E425="-","",IF('ATP Pos'!E425&gt;0,'ATP Pos'!E425,IF('ATP Pos'!E425&lt;0,-'ATP Pos'!E425))))</f>
        <v/>
      </c>
      <c r="E425" t="str">
        <f>IF(A425="","",LEFT('ATP Pos'!B425,F425-1))</f>
        <v/>
      </c>
      <c r="F425" t="str">
        <f>IF(A425="","",SEARCH("-",'ATP Pos'!B425,1))</f>
        <v/>
      </c>
      <c r="G425" t="str">
        <f>IF(A425="","",RIGHT('ATP Pos'!B425,3))</f>
        <v/>
      </c>
      <c r="H425" t="str">
        <f t="shared" si="30"/>
        <v/>
      </c>
      <c r="I425" t="str">
        <f t="shared" si="31"/>
        <v/>
      </c>
      <c r="J425" t="str">
        <f>IF(H425="","",VLOOKUP(I425,表3_3[],2,0))</f>
        <v/>
      </c>
      <c r="K425" t="str">
        <f>IF(H425="","",VLOOKUP(I425,表3_3[],3,0))</f>
        <v/>
      </c>
      <c r="L425" t="str">
        <f>IF(A425="","",IF(G425="LME","",VLOOKUP(RIGHT(E425,2),Helper1!$O$36:$P$48,2,0)))</f>
        <v/>
      </c>
      <c r="M425" t="str">
        <f t="shared" si="32"/>
        <v/>
      </c>
      <c r="N425" t="str">
        <f t="shared" si="33"/>
        <v/>
      </c>
      <c r="O425" t="str">
        <f t="shared" si="34"/>
        <v/>
      </c>
    </row>
    <row r="426" spans="1:15">
      <c r="A426" t="str">
        <f>IF('ATP Pos'!A426="","",LEFT('ATP Pos'!A426,B426-1))</f>
        <v/>
      </c>
      <c r="B426" t="str">
        <f>IF('ATP Pos'!A426="","",SEARCH("_",'ATP Pos'!A426,1))</f>
        <v/>
      </c>
      <c r="C426" t="str">
        <f>IF(A426="","",IF('ATP Pos'!E426="-","",IF('ATP Pos'!E426&gt;0,"Buy",IF('ATP Pos'!E426&lt;0,"Sell"))))</f>
        <v/>
      </c>
      <c r="D426" t="str">
        <f>IF(A426="","",IF('ATP Pos'!E426="-","",IF('ATP Pos'!E426&gt;0,'ATP Pos'!E426,IF('ATP Pos'!E426&lt;0,-'ATP Pos'!E426))))</f>
        <v/>
      </c>
      <c r="E426" t="str">
        <f>IF(A426="","",LEFT('ATP Pos'!B426,F426-1))</f>
        <v/>
      </c>
      <c r="F426" t="str">
        <f>IF(A426="","",SEARCH("-",'ATP Pos'!B426,1))</f>
        <v/>
      </c>
      <c r="G426" t="str">
        <f>IF(A426="","",RIGHT('ATP Pos'!B426,3))</f>
        <v/>
      </c>
      <c r="H426" t="str">
        <f t="shared" si="30"/>
        <v/>
      </c>
      <c r="I426" t="str">
        <f t="shared" si="31"/>
        <v/>
      </c>
      <c r="J426" t="str">
        <f>IF(H426="","",VLOOKUP(I426,表3_3[],2,0))</f>
        <v/>
      </c>
      <c r="K426" t="str">
        <f>IF(H426="","",VLOOKUP(I426,表3_3[],3,0))</f>
        <v/>
      </c>
      <c r="L426" t="str">
        <f>IF(A426="","",IF(G426="LME","",VLOOKUP(RIGHT(E426,2),Helper1!$O$36:$P$48,2,0)))</f>
        <v/>
      </c>
      <c r="M426" t="str">
        <f t="shared" si="32"/>
        <v/>
      </c>
      <c r="N426" t="str">
        <f t="shared" si="33"/>
        <v/>
      </c>
      <c r="O426" t="str">
        <f t="shared" si="34"/>
        <v/>
      </c>
    </row>
    <row r="427" spans="1:15">
      <c r="A427" t="str">
        <f>IF('ATP Pos'!A427="","",LEFT('ATP Pos'!A427,B427-1))</f>
        <v/>
      </c>
      <c r="B427" t="str">
        <f>IF('ATP Pos'!A427="","",SEARCH("_",'ATP Pos'!A427,1))</f>
        <v/>
      </c>
      <c r="C427" t="str">
        <f>IF(A427="","",IF('ATP Pos'!E427="-","",IF('ATP Pos'!E427&gt;0,"Buy",IF('ATP Pos'!E427&lt;0,"Sell"))))</f>
        <v/>
      </c>
      <c r="D427" t="str">
        <f>IF(A427="","",IF('ATP Pos'!E427="-","",IF('ATP Pos'!E427&gt;0,'ATP Pos'!E427,IF('ATP Pos'!E427&lt;0,-'ATP Pos'!E427))))</f>
        <v/>
      </c>
      <c r="E427" t="str">
        <f>IF(A427="","",LEFT('ATP Pos'!B427,F427-1))</f>
        <v/>
      </c>
      <c r="F427" t="str">
        <f>IF(A427="","",SEARCH("-",'ATP Pos'!B427,1))</f>
        <v/>
      </c>
      <c r="G427" t="str">
        <f>IF(A427="","",RIGHT('ATP Pos'!B427,3))</f>
        <v/>
      </c>
      <c r="H427" t="str">
        <f t="shared" si="30"/>
        <v/>
      </c>
      <c r="I427" t="str">
        <f t="shared" si="31"/>
        <v/>
      </c>
      <c r="J427" t="str">
        <f>IF(H427="","",VLOOKUP(I427,表3_3[],2,0))</f>
        <v/>
      </c>
      <c r="K427" t="str">
        <f>IF(H427="","",VLOOKUP(I427,表3_3[],3,0))</f>
        <v/>
      </c>
      <c r="L427" t="str">
        <f>IF(A427="","",IF(G427="LME","",VLOOKUP(RIGHT(E427,2),Helper1!$O$36:$P$48,2,0)))</f>
        <v/>
      </c>
      <c r="M427" t="str">
        <f t="shared" si="32"/>
        <v/>
      </c>
      <c r="N427" t="str">
        <f t="shared" si="33"/>
        <v/>
      </c>
      <c r="O427" t="str">
        <f t="shared" si="34"/>
        <v/>
      </c>
    </row>
    <row r="428" spans="1:15">
      <c r="A428" t="str">
        <f>IF('ATP Pos'!A428="","",LEFT('ATP Pos'!A428,B428-1))</f>
        <v/>
      </c>
      <c r="B428" t="str">
        <f>IF('ATP Pos'!A428="","",SEARCH("_",'ATP Pos'!A428,1))</f>
        <v/>
      </c>
      <c r="C428" t="str">
        <f>IF(A428="","",IF('ATP Pos'!E428="-","",IF('ATP Pos'!E428&gt;0,"Buy",IF('ATP Pos'!E428&lt;0,"Sell"))))</f>
        <v/>
      </c>
      <c r="D428" t="str">
        <f>IF(A428="","",IF('ATP Pos'!E428="-","",IF('ATP Pos'!E428&gt;0,'ATP Pos'!E428,IF('ATP Pos'!E428&lt;0,-'ATP Pos'!E428))))</f>
        <v/>
      </c>
      <c r="E428" t="str">
        <f>IF(A428="","",LEFT('ATP Pos'!B428,F428-1))</f>
        <v/>
      </c>
      <c r="F428" t="str">
        <f>IF(A428="","",SEARCH("-",'ATP Pos'!B428,1))</f>
        <v/>
      </c>
      <c r="G428" t="str">
        <f>IF(A428="","",RIGHT('ATP Pos'!B428,3))</f>
        <v/>
      </c>
      <c r="H428" t="str">
        <f t="shared" si="30"/>
        <v/>
      </c>
      <c r="I428" t="str">
        <f t="shared" si="31"/>
        <v/>
      </c>
      <c r="J428" t="str">
        <f>IF(H428="","",VLOOKUP(I428,表3_3[],2,0))</f>
        <v/>
      </c>
      <c r="K428" t="str">
        <f>IF(H428="","",VLOOKUP(I428,表3_3[],3,0))</f>
        <v/>
      </c>
      <c r="L428" t="str">
        <f>IF(A428="","",IF(G428="LME","",VLOOKUP(RIGHT(E428,2),Helper1!$O$36:$P$48,2,0)))</f>
        <v/>
      </c>
      <c r="M428" t="str">
        <f t="shared" si="32"/>
        <v/>
      </c>
      <c r="N428" t="str">
        <f t="shared" si="33"/>
        <v/>
      </c>
      <c r="O428" t="str">
        <f t="shared" si="34"/>
        <v/>
      </c>
    </row>
    <row r="429" spans="1:15">
      <c r="A429" t="str">
        <f>IF('ATP Pos'!A429="","",LEFT('ATP Pos'!A429,B429-1))</f>
        <v/>
      </c>
      <c r="B429" t="str">
        <f>IF('ATP Pos'!A429="","",SEARCH("_",'ATP Pos'!A429,1))</f>
        <v/>
      </c>
      <c r="C429" t="str">
        <f>IF(A429="","",IF('ATP Pos'!E429="-","",IF('ATP Pos'!E429&gt;0,"Buy",IF('ATP Pos'!E429&lt;0,"Sell"))))</f>
        <v/>
      </c>
      <c r="D429" t="str">
        <f>IF(A429="","",IF('ATP Pos'!E429="-","",IF('ATP Pos'!E429&gt;0,'ATP Pos'!E429,IF('ATP Pos'!E429&lt;0,-'ATP Pos'!E429))))</f>
        <v/>
      </c>
      <c r="E429" t="str">
        <f>IF(A429="","",LEFT('ATP Pos'!B429,F429-1))</f>
        <v/>
      </c>
      <c r="F429" t="str">
        <f>IF(A429="","",SEARCH("-",'ATP Pos'!B429,1))</f>
        <v/>
      </c>
      <c r="G429" t="str">
        <f>IF(A429="","",RIGHT('ATP Pos'!B429,3))</f>
        <v/>
      </c>
      <c r="H429" t="str">
        <f t="shared" si="30"/>
        <v/>
      </c>
      <c r="I429" t="str">
        <f t="shared" si="31"/>
        <v/>
      </c>
      <c r="J429" t="str">
        <f>IF(H429="","",VLOOKUP(I429,表3_3[],2,0))</f>
        <v/>
      </c>
      <c r="K429" t="str">
        <f>IF(H429="","",VLOOKUP(I429,表3_3[],3,0))</f>
        <v/>
      </c>
      <c r="L429" t="str">
        <f>IF(A429="","",IF(G429="LME","",VLOOKUP(RIGHT(E429,2),Helper1!$O$36:$P$48,2,0)))</f>
        <v/>
      </c>
      <c r="M429" t="str">
        <f t="shared" si="32"/>
        <v/>
      </c>
      <c r="N429" t="str">
        <f t="shared" si="33"/>
        <v/>
      </c>
      <c r="O429" t="str">
        <f t="shared" si="34"/>
        <v/>
      </c>
    </row>
    <row r="430" spans="1:15">
      <c r="A430" t="str">
        <f>IF('ATP Pos'!A430="","",LEFT('ATP Pos'!A430,B430-1))</f>
        <v/>
      </c>
      <c r="B430" t="str">
        <f>IF('ATP Pos'!A430="","",SEARCH("_",'ATP Pos'!A430,1))</f>
        <v/>
      </c>
      <c r="C430" t="str">
        <f>IF(A430="","",IF('ATP Pos'!E430="-","",IF('ATP Pos'!E430&gt;0,"Buy",IF('ATP Pos'!E430&lt;0,"Sell"))))</f>
        <v/>
      </c>
      <c r="D430" t="str">
        <f>IF(A430="","",IF('ATP Pos'!E430="-","",IF('ATP Pos'!E430&gt;0,'ATP Pos'!E430,IF('ATP Pos'!E430&lt;0,-'ATP Pos'!E430))))</f>
        <v/>
      </c>
      <c r="E430" t="str">
        <f>IF(A430="","",LEFT('ATP Pos'!B430,F430-1))</f>
        <v/>
      </c>
      <c r="F430" t="str">
        <f>IF(A430="","",SEARCH("-",'ATP Pos'!B430,1))</f>
        <v/>
      </c>
      <c r="G430" t="str">
        <f>IF(A430="","",RIGHT('ATP Pos'!B430,3))</f>
        <v/>
      </c>
      <c r="H430" t="str">
        <f t="shared" si="30"/>
        <v/>
      </c>
      <c r="I430" t="str">
        <f t="shared" si="31"/>
        <v/>
      </c>
      <c r="J430" t="str">
        <f>IF(H430="","",VLOOKUP(I430,表3_3[],2,0))</f>
        <v/>
      </c>
      <c r="K430" t="str">
        <f>IF(H430="","",VLOOKUP(I430,表3_3[],3,0))</f>
        <v/>
      </c>
      <c r="L430" t="str">
        <f>IF(A430="","",IF(G430="LME","",VLOOKUP(RIGHT(E430,2),Helper1!$O$36:$P$48,2,0)))</f>
        <v/>
      </c>
      <c r="M430" t="str">
        <f t="shared" si="32"/>
        <v/>
      </c>
      <c r="N430" t="str">
        <f t="shared" si="33"/>
        <v/>
      </c>
      <c r="O430" t="str">
        <f t="shared" si="34"/>
        <v/>
      </c>
    </row>
    <row r="431" spans="1:15">
      <c r="A431" t="str">
        <f>IF('ATP Pos'!A431="","",LEFT('ATP Pos'!A431,B431-1))</f>
        <v/>
      </c>
      <c r="B431" t="str">
        <f>IF('ATP Pos'!A431="","",SEARCH("_",'ATP Pos'!A431,1))</f>
        <v/>
      </c>
      <c r="C431" t="str">
        <f>IF(A431="","",IF('ATP Pos'!E431="-","",IF('ATP Pos'!E431&gt;0,"Buy",IF('ATP Pos'!E431&lt;0,"Sell"))))</f>
        <v/>
      </c>
      <c r="D431" t="str">
        <f>IF(A431="","",IF('ATP Pos'!E431="-","",IF('ATP Pos'!E431&gt;0,'ATP Pos'!E431,IF('ATP Pos'!E431&lt;0,-'ATP Pos'!E431))))</f>
        <v/>
      </c>
      <c r="E431" t="str">
        <f>IF(A431="","",LEFT('ATP Pos'!B431,F431-1))</f>
        <v/>
      </c>
      <c r="F431" t="str">
        <f>IF(A431="","",SEARCH("-",'ATP Pos'!B431,1))</f>
        <v/>
      </c>
      <c r="G431" t="str">
        <f>IF(A431="","",RIGHT('ATP Pos'!B431,3))</f>
        <v/>
      </c>
      <c r="H431" t="str">
        <f t="shared" si="30"/>
        <v/>
      </c>
      <c r="I431" t="str">
        <f t="shared" si="31"/>
        <v/>
      </c>
      <c r="J431" t="str">
        <f>IF(H431="","",VLOOKUP(I431,表3_3[],2,0))</f>
        <v/>
      </c>
      <c r="K431" t="str">
        <f>IF(H431="","",VLOOKUP(I431,表3_3[],3,0))</f>
        <v/>
      </c>
      <c r="L431" t="str">
        <f>IF(A431="","",IF(G431="LME","",VLOOKUP(RIGHT(E431,2),Helper1!$O$36:$P$48,2,0)))</f>
        <v/>
      </c>
      <c r="M431" t="str">
        <f t="shared" si="32"/>
        <v/>
      </c>
      <c r="N431" t="str">
        <f t="shared" si="33"/>
        <v/>
      </c>
      <c r="O431" t="str">
        <f t="shared" si="34"/>
        <v/>
      </c>
    </row>
    <row r="432" spans="1:15">
      <c r="A432" t="str">
        <f>IF('ATP Pos'!A432="","",LEFT('ATP Pos'!A432,B432-1))</f>
        <v/>
      </c>
      <c r="B432" t="str">
        <f>IF('ATP Pos'!A432="","",SEARCH("_",'ATP Pos'!A432,1))</f>
        <v/>
      </c>
      <c r="C432" t="str">
        <f>IF(A432="","",IF('ATP Pos'!E432="-","",IF('ATP Pos'!E432&gt;0,"Buy",IF('ATP Pos'!E432&lt;0,"Sell"))))</f>
        <v/>
      </c>
      <c r="D432" t="str">
        <f>IF(A432="","",IF('ATP Pos'!E432="-","",IF('ATP Pos'!E432&gt;0,'ATP Pos'!E432,IF('ATP Pos'!E432&lt;0,-'ATP Pos'!E432))))</f>
        <v/>
      </c>
      <c r="E432" t="str">
        <f>IF(A432="","",LEFT('ATP Pos'!B432,F432-1))</f>
        <v/>
      </c>
      <c r="F432" t="str">
        <f>IF(A432="","",SEARCH("-",'ATP Pos'!B432,1))</f>
        <v/>
      </c>
      <c r="G432" t="str">
        <f>IF(A432="","",RIGHT('ATP Pos'!B432,3))</f>
        <v/>
      </c>
      <c r="H432" t="str">
        <f t="shared" si="30"/>
        <v/>
      </c>
      <c r="I432" t="str">
        <f t="shared" si="31"/>
        <v/>
      </c>
      <c r="J432" t="str">
        <f>IF(H432="","",VLOOKUP(I432,表3_3[],2,0))</f>
        <v/>
      </c>
      <c r="K432" t="str">
        <f>IF(H432="","",VLOOKUP(I432,表3_3[],3,0))</f>
        <v/>
      </c>
      <c r="L432" t="str">
        <f>IF(A432="","",IF(G432="LME","",VLOOKUP(RIGHT(E432,2),Helper1!$O$36:$P$48,2,0)))</f>
        <v/>
      </c>
      <c r="M432" t="str">
        <f t="shared" si="32"/>
        <v/>
      </c>
      <c r="N432" t="str">
        <f t="shared" si="33"/>
        <v/>
      </c>
      <c r="O432" t="str">
        <f t="shared" si="34"/>
        <v/>
      </c>
    </row>
    <row r="433" spans="1:15">
      <c r="A433" t="str">
        <f>IF('ATP Pos'!A433="","",LEFT('ATP Pos'!A433,B433-1))</f>
        <v/>
      </c>
      <c r="B433" t="str">
        <f>IF('ATP Pos'!A433="","",SEARCH("_",'ATP Pos'!A433,1))</f>
        <v/>
      </c>
      <c r="C433" t="str">
        <f>IF(A433="","",IF('ATP Pos'!E433="-","",IF('ATP Pos'!E433&gt;0,"Buy",IF('ATP Pos'!E433&lt;0,"Sell"))))</f>
        <v/>
      </c>
      <c r="D433" t="str">
        <f>IF(A433="","",IF('ATP Pos'!E433="-","",IF('ATP Pos'!E433&gt;0,'ATP Pos'!E433,IF('ATP Pos'!E433&lt;0,-'ATP Pos'!E433))))</f>
        <v/>
      </c>
      <c r="E433" t="str">
        <f>IF(A433="","",LEFT('ATP Pos'!B433,F433-1))</f>
        <v/>
      </c>
      <c r="F433" t="str">
        <f>IF(A433="","",SEARCH("-",'ATP Pos'!B433,1))</f>
        <v/>
      </c>
      <c r="G433" t="str">
        <f>IF(A433="","",RIGHT('ATP Pos'!B433,3))</f>
        <v/>
      </c>
      <c r="H433" t="str">
        <f t="shared" si="30"/>
        <v/>
      </c>
      <c r="I433" t="str">
        <f t="shared" si="31"/>
        <v/>
      </c>
      <c r="J433" t="str">
        <f>IF(H433="","",VLOOKUP(I433,表3_3[],2,0))</f>
        <v/>
      </c>
      <c r="K433" t="str">
        <f>IF(H433="","",VLOOKUP(I433,表3_3[],3,0))</f>
        <v/>
      </c>
      <c r="L433" t="str">
        <f>IF(A433="","",IF(G433="LME","",VLOOKUP(RIGHT(E433,2),Helper1!$O$36:$P$48,2,0)))</f>
        <v/>
      </c>
      <c r="M433" t="str">
        <f t="shared" si="32"/>
        <v/>
      </c>
      <c r="N433" t="str">
        <f t="shared" si="33"/>
        <v/>
      </c>
      <c r="O433" t="str">
        <f t="shared" si="34"/>
        <v/>
      </c>
    </row>
    <row r="434" spans="1:15">
      <c r="A434" t="str">
        <f>IF('ATP Pos'!A434="","",LEFT('ATP Pos'!A434,B434-1))</f>
        <v/>
      </c>
      <c r="B434" t="str">
        <f>IF('ATP Pos'!A434="","",SEARCH("_",'ATP Pos'!A434,1))</f>
        <v/>
      </c>
      <c r="C434" t="str">
        <f>IF(A434="","",IF('ATP Pos'!E434="-","",IF('ATP Pos'!E434&gt;0,"Buy",IF('ATP Pos'!E434&lt;0,"Sell"))))</f>
        <v/>
      </c>
      <c r="D434" t="str">
        <f>IF(A434="","",IF('ATP Pos'!E434="-","",IF('ATP Pos'!E434&gt;0,'ATP Pos'!E434,IF('ATP Pos'!E434&lt;0,-'ATP Pos'!E434))))</f>
        <v/>
      </c>
      <c r="E434" t="str">
        <f>IF(A434="","",LEFT('ATP Pos'!B434,F434-1))</f>
        <v/>
      </c>
      <c r="F434" t="str">
        <f>IF(A434="","",SEARCH("-",'ATP Pos'!B434,1))</f>
        <v/>
      </c>
      <c r="G434" t="str">
        <f>IF(A434="","",RIGHT('ATP Pos'!B434,3))</f>
        <v/>
      </c>
      <c r="H434" t="str">
        <f t="shared" si="30"/>
        <v/>
      </c>
      <c r="I434" t="str">
        <f t="shared" si="31"/>
        <v/>
      </c>
      <c r="J434" t="str">
        <f>IF(H434="","",VLOOKUP(I434,表3_3[],2,0))</f>
        <v/>
      </c>
      <c r="K434" t="str">
        <f>IF(H434="","",VLOOKUP(I434,表3_3[],3,0))</f>
        <v/>
      </c>
      <c r="L434" t="str">
        <f>IF(A434="","",IF(G434="LME","",VLOOKUP(RIGHT(E434,2),Helper1!$O$36:$P$48,2,0)))</f>
        <v/>
      </c>
      <c r="M434" t="str">
        <f t="shared" si="32"/>
        <v/>
      </c>
      <c r="N434" t="str">
        <f t="shared" si="33"/>
        <v/>
      </c>
      <c r="O434" t="str">
        <f t="shared" si="34"/>
        <v/>
      </c>
    </row>
    <row r="435" spans="1:15">
      <c r="A435" t="str">
        <f>IF('ATP Pos'!A435="","",LEFT('ATP Pos'!A435,B435-1))</f>
        <v/>
      </c>
      <c r="B435" t="str">
        <f>IF('ATP Pos'!A435="","",SEARCH("_",'ATP Pos'!A435,1))</f>
        <v/>
      </c>
      <c r="C435" t="str">
        <f>IF(A435="","",IF('ATP Pos'!E435="-","",IF('ATP Pos'!E435&gt;0,"Buy",IF('ATP Pos'!E435&lt;0,"Sell"))))</f>
        <v/>
      </c>
      <c r="D435" t="str">
        <f>IF(A435="","",IF('ATP Pos'!E435="-","",IF('ATP Pos'!E435&gt;0,'ATP Pos'!E435,IF('ATP Pos'!E435&lt;0,-'ATP Pos'!E435))))</f>
        <v/>
      </c>
      <c r="E435" t="str">
        <f>IF(A435="","",LEFT('ATP Pos'!B435,F435-1))</f>
        <v/>
      </c>
      <c r="F435" t="str">
        <f>IF(A435="","",SEARCH("-",'ATP Pos'!B435,1))</f>
        <v/>
      </c>
      <c r="G435" t="str">
        <f>IF(A435="","",RIGHT('ATP Pos'!B435,3))</f>
        <v/>
      </c>
      <c r="H435" t="str">
        <f t="shared" si="30"/>
        <v/>
      </c>
      <c r="I435" t="str">
        <f t="shared" si="31"/>
        <v/>
      </c>
      <c r="J435" t="str">
        <f>IF(H435="","",VLOOKUP(I435,表3_3[],2,0))</f>
        <v/>
      </c>
      <c r="K435" t="str">
        <f>IF(H435="","",VLOOKUP(I435,表3_3[],3,0))</f>
        <v/>
      </c>
      <c r="L435" t="str">
        <f>IF(A435="","",IF(G435="LME","",VLOOKUP(RIGHT(E435,2),Helper1!$O$36:$P$48,2,0)))</f>
        <v/>
      </c>
      <c r="M435" t="str">
        <f t="shared" si="32"/>
        <v/>
      </c>
      <c r="N435" t="str">
        <f t="shared" si="33"/>
        <v/>
      </c>
      <c r="O435" t="str">
        <f t="shared" si="34"/>
        <v/>
      </c>
    </row>
    <row r="436" spans="1:15">
      <c r="A436" t="str">
        <f>IF('ATP Pos'!A436="","",LEFT('ATP Pos'!A436,B436-1))</f>
        <v/>
      </c>
      <c r="B436" t="str">
        <f>IF('ATP Pos'!A436="","",SEARCH("_",'ATP Pos'!A436,1))</f>
        <v/>
      </c>
      <c r="C436" t="str">
        <f>IF(A436="","",IF('ATP Pos'!E436="-","",IF('ATP Pos'!E436&gt;0,"Buy",IF('ATP Pos'!E436&lt;0,"Sell"))))</f>
        <v/>
      </c>
      <c r="D436" t="str">
        <f>IF(A436="","",IF('ATP Pos'!E436="-","",IF('ATP Pos'!E436&gt;0,'ATP Pos'!E436,IF('ATP Pos'!E436&lt;0,-'ATP Pos'!E436))))</f>
        <v/>
      </c>
      <c r="E436" t="str">
        <f>IF(A436="","",LEFT('ATP Pos'!B436,F436-1))</f>
        <v/>
      </c>
      <c r="F436" t="str">
        <f>IF(A436="","",SEARCH("-",'ATP Pos'!B436,1))</f>
        <v/>
      </c>
      <c r="G436" t="str">
        <f>IF(A436="","",RIGHT('ATP Pos'!B436,3))</f>
        <v/>
      </c>
      <c r="H436" t="str">
        <f t="shared" si="30"/>
        <v/>
      </c>
      <c r="I436" t="str">
        <f t="shared" si="31"/>
        <v/>
      </c>
      <c r="J436" t="str">
        <f>IF(H436="","",VLOOKUP(I436,表3_3[],2,0))</f>
        <v/>
      </c>
      <c r="K436" t="str">
        <f>IF(H436="","",VLOOKUP(I436,表3_3[],3,0))</f>
        <v/>
      </c>
      <c r="L436" t="str">
        <f>IF(A436="","",IF(G436="LME","",VLOOKUP(RIGHT(E436,2),Helper1!$O$36:$P$48,2,0)))</f>
        <v/>
      </c>
      <c r="M436" t="str">
        <f t="shared" si="32"/>
        <v/>
      </c>
      <c r="N436" t="str">
        <f t="shared" si="33"/>
        <v/>
      </c>
      <c r="O436" t="str">
        <f t="shared" si="34"/>
        <v/>
      </c>
    </row>
    <row r="437" spans="1:15">
      <c r="A437" t="str">
        <f>IF('ATP Pos'!A437="","",LEFT('ATP Pos'!A437,B437-1))</f>
        <v/>
      </c>
      <c r="B437" t="str">
        <f>IF('ATP Pos'!A437="","",SEARCH("_",'ATP Pos'!A437,1))</f>
        <v/>
      </c>
      <c r="C437" t="str">
        <f>IF(A437="","",IF('ATP Pos'!E437="-","",IF('ATP Pos'!E437&gt;0,"Buy",IF('ATP Pos'!E437&lt;0,"Sell"))))</f>
        <v/>
      </c>
      <c r="D437" t="str">
        <f>IF(A437="","",IF('ATP Pos'!E437="-","",IF('ATP Pos'!E437&gt;0,'ATP Pos'!E437,IF('ATP Pos'!E437&lt;0,-'ATP Pos'!E437))))</f>
        <v/>
      </c>
      <c r="E437" t="str">
        <f>IF(A437="","",LEFT('ATP Pos'!B437,F437-1))</f>
        <v/>
      </c>
      <c r="F437" t="str">
        <f>IF(A437="","",SEARCH("-",'ATP Pos'!B437,1))</f>
        <v/>
      </c>
      <c r="G437" t="str">
        <f>IF(A437="","",RIGHT('ATP Pos'!B437,3))</f>
        <v/>
      </c>
      <c r="H437" t="str">
        <f t="shared" si="30"/>
        <v/>
      </c>
      <c r="I437" t="str">
        <f t="shared" si="31"/>
        <v/>
      </c>
      <c r="J437" t="str">
        <f>IF(H437="","",VLOOKUP(I437,表3_3[],2,0))</f>
        <v/>
      </c>
      <c r="K437" t="str">
        <f>IF(H437="","",VLOOKUP(I437,表3_3[],3,0))</f>
        <v/>
      </c>
      <c r="L437" t="str">
        <f>IF(A437="","",IF(G437="LME","",VLOOKUP(RIGHT(E437,2),Helper1!$O$36:$P$48,2,0)))</f>
        <v/>
      </c>
      <c r="M437" t="str">
        <f t="shared" si="32"/>
        <v/>
      </c>
      <c r="N437" t="str">
        <f t="shared" si="33"/>
        <v/>
      </c>
      <c r="O437" t="str">
        <f t="shared" si="34"/>
        <v/>
      </c>
    </row>
    <row r="438" spans="1:15">
      <c r="A438" t="str">
        <f>IF('ATP Pos'!A438="","",LEFT('ATP Pos'!A438,B438-1))</f>
        <v/>
      </c>
      <c r="B438" t="str">
        <f>IF('ATP Pos'!A438="","",SEARCH("_",'ATP Pos'!A438,1))</f>
        <v/>
      </c>
      <c r="C438" t="str">
        <f>IF(A438="","",IF('ATP Pos'!E438="-","",IF('ATP Pos'!E438&gt;0,"Buy",IF('ATP Pos'!E438&lt;0,"Sell"))))</f>
        <v/>
      </c>
      <c r="D438" t="str">
        <f>IF(A438="","",IF('ATP Pos'!E438="-","",IF('ATP Pos'!E438&gt;0,'ATP Pos'!E438,IF('ATP Pos'!E438&lt;0,-'ATP Pos'!E438))))</f>
        <v/>
      </c>
      <c r="E438" t="str">
        <f>IF(A438="","",LEFT('ATP Pos'!B438,F438-1))</f>
        <v/>
      </c>
      <c r="F438" t="str">
        <f>IF(A438="","",SEARCH("-",'ATP Pos'!B438,1))</f>
        <v/>
      </c>
      <c r="G438" t="str">
        <f>IF(A438="","",RIGHT('ATP Pos'!B438,3))</f>
        <v/>
      </c>
      <c r="H438" t="str">
        <f t="shared" si="30"/>
        <v/>
      </c>
      <c r="I438" t="str">
        <f t="shared" si="31"/>
        <v/>
      </c>
      <c r="J438" t="str">
        <f>IF(H438="","",VLOOKUP(I438,表3_3[],2,0))</f>
        <v/>
      </c>
      <c r="K438" t="str">
        <f>IF(H438="","",VLOOKUP(I438,表3_3[],3,0))</f>
        <v/>
      </c>
      <c r="L438" t="str">
        <f>IF(A438="","",IF(G438="LME","",VLOOKUP(RIGHT(E438,2),Helper1!$O$36:$P$48,2,0)))</f>
        <v/>
      </c>
      <c r="M438" t="str">
        <f t="shared" si="32"/>
        <v/>
      </c>
      <c r="N438" t="str">
        <f t="shared" si="33"/>
        <v/>
      </c>
      <c r="O438" t="str">
        <f t="shared" si="34"/>
        <v/>
      </c>
    </row>
    <row r="439" spans="1:15">
      <c r="A439" t="str">
        <f>IF('ATP Pos'!A439="","",LEFT('ATP Pos'!A439,B439-1))</f>
        <v/>
      </c>
      <c r="B439" t="str">
        <f>IF('ATP Pos'!A439="","",SEARCH("_",'ATP Pos'!A439,1))</f>
        <v/>
      </c>
      <c r="C439" t="str">
        <f>IF(A439="","",IF('ATP Pos'!E439="-","",IF('ATP Pos'!E439&gt;0,"Buy",IF('ATP Pos'!E439&lt;0,"Sell"))))</f>
        <v/>
      </c>
      <c r="D439" t="str">
        <f>IF(A439="","",IF('ATP Pos'!E439="-","",IF('ATP Pos'!E439&gt;0,'ATP Pos'!E439,IF('ATP Pos'!E439&lt;0,-'ATP Pos'!E439))))</f>
        <v/>
      </c>
      <c r="E439" t="str">
        <f>IF(A439="","",LEFT('ATP Pos'!B439,F439-1))</f>
        <v/>
      </c>
      <c r="F439" t="str">
        <f>IF(A439="","",SEARCH("-",'ATP Pos'!B439,1))</f>
        <v/>
      </c>
      <c r="G439" t="str">
        <f>IF(A439="","",RIGHT('ATP Pos'!B439,3))</f>
        <v/>
      </c>
      <c r="H439" t="str">
        <f t="shared" si="30"/>
        <v/>
      </c>
      <c r="I439" t="str">
        <f t="shared" si="31"/>
        <v/>
      </c>
      <c r="J439" t="str">
        <f>IF(H439="","",VLOOKUP(I439,表3_3[],2,0))</f>
        <v/>
      </c>
      <c r="K439" t="str">
        <f>IF(H439="","",VLOOKUP(I439,表3_3[],3,0))</f>
        <v/>
      </c>
      <c r="L439" t="str">
        <f>IF(A439="","",IF(G439="LME","",VLOOKUP(RIGHT(E439,2),Helper1!$O$36:$P$48,2,0)))</f>
        <v/>
      </c>
      <c r="M439" t="str">
        <f t="shared" si="32"/>
        <v/>
      </c>
      <c r="N439" t="str">
        <f t="shared" si="33"/>
        <v/>
      </c>
      <c r="O439" t="str">
        <f t="shared" si="34"/>
        <v/>
      </c>
    </row>
    <row r="440" spans="1:15">
      <c r="A440" t="str">
        <f>IF('ATP Pos'!A440="","",LEFT('ATP Pos'!A440,B440-1))</f>
        <v/>
      </c>
      <c r="B440" t="str">
        <f>IF('ATP Pos'!A440="","",SEARCH("_",'ATP Pos'!A440,1))</f>
        <v/>
      </c>
      <c r="C440" t="str">
        <f>IF(A440="","",IF('ATP Pos'!E440="-","",IF('ATP Pos'!E440&gt;0,"Buy",IF('ATP Pos'!E440&lt;0,"Sell"))))</f>
        <v/>
      </c>
      <c r="D440" t="str">
        <f>IF(A440="","",IF('ATP Pos'!E440="-","",IF('ATP Pos'!E440&gt;0,'ATP Pos'!E440,IF('ATP Pos'!E440&lt;0,-'ATP Pos'!E440))))</f>
        <v/>
      </c>
      <c r="E440" t="str">
        <f>IF(A440="","",LEFT('ATP Pos'!B440,F440-1))</f>
        <v/>
      </c>
      <c r="F440" t="str">
        <f>IF(A440="","",SEARCH("-",'ATP Pos'!B440,1))</f>
        <v/>
      </c>
      <c r="G440" t="str">
        <f>IF(A440="","",RIGHT('ATP Pos'!B440,3))</f>
        <v/>
      </c>
      <c r="H440" t="str">
        <f t="shared" si="30"/>
        <v/>
      </c>
      <c r="I440" t="str">
        <f t="shared" si="31"/>
        <v/>
      </c>
      <c r="J440" t="str">
        <f>IF(H440="","",VLOOKUP(I440,表3_3[],2,0))</f>
        <v/>
      </c>
      <c r="K440" t="str">
        <f>IF(H440="","",VLOOKUP(I440,表3_3[],3,0))</f>
        <v/>
      </c>
      <c r="L440" t="str">
        <f>IF(A440="","",IF(G440="LME","",VLOOKUP(RIGHT(E440,2),Helper1!$O$36:$P$48,2,0)))</f>
        <v/>
      </c>
      <c r="M440" t="str">
        <f t="shared" si="32"/>
        <v/>
      </c>
      <c r="N440" t="str">
        <f t="shared" si="33"/>
        <v/>
      </c>
      <c r="O440" t="str">
        <f t="shared" si="34"/>
        <v/>
      </c>
    </row>
    <row r="441" spans="1:15">
      <c r="A441" t="str">
        <f>IF('ATP Pos'!A441="","",LEFT('ATP Pos'!A441,B441-1))</f>
        <v/>
      </c>
      <c r="B441" t="str">
        <f>IF('ATP Pos'!A441="","",SEARCH("_",'ATP Pos'!A441,1))</f>
        <v/>
      </c>
      <c r="C441" t="str">
        <f>IF(A441="","",IF('ATP Pos'!E441="-","",IF('ATP Pos'!E441&gt;0,"Buy",IF('ATP Pos'!E441&lt;0,"Sell"))))</f>
        <v/>
      </c>
      <c r="D441" t="str">
        <f>IF(A441="","",IF('ATP Pos'!E441="-","",IF('ATP Pos'!E441&gt;0,'ATP Pos'!E441,IF('ATP Pos'!E441&lt;0,-'ATP Pos'!E441))))</f>
        <v/>
      </c>
      <c r="E441" t="str">
        <f>IF(A441="","",LEFT('ATP Pos'!B441,F441-1))</f>
        <v/>
      </c>
      <c r="F441" t="str">
        <f>IF(A441="","",SEARCH("-",'ATP Pos'!B441,1))</f>
        <v/>
      </c>
      <c r="G441" t="str">
        <f>IF(A441="","",RIGHT('ATP Pos'!B441,3))</f>
        <v/>
      </c>
      <c r="H441" t="str">
        <f t="shared" si="30"/>
        <v/>
      </c>
      <c r="I441" t="str">
        <f t="shared" si="31"/>
        <v/>
      </c>
      <c r="J441" t="str">
        <f>IF(H441="","",VLOOKUP(I441,表3_3[],2,0))</f>
        <v/>
      </c>
      <c r="K441" t="str">
        <f>IF(H441="","",VLOOKUP(I441,表3_3[],3,0))</f>
        <v/>
      </c>
      <c r="L441" t="str">
        <f>IF(A441="","",IF(G441="LME","",VLOOKUP(RIGHT(E441,2),Helper1!$O$36:$P$48,2,0)))</f>
        <v/>
      </c>
      <c r="M441" t="str">
        <f t="shared" si="32"/>
        <v/>
      </c>
      <c r="N441" t="str">
        <f t="shared" si="33"/>
        <v/>
      </c>
      <c r="O441" t="str">
        <f t="shared" si="34"/>
        <v/>
      </c>
    </row>
    <row r="442" spans="1:15">
      <c r="A442" t="str">
        <f>IF('ATP Pos'!A442="","",LEFT('ATP Pos'!A442,B442-1))</f>
        <v/>
      </c>
      <c r="B442" t="str">
        <f>IF('ATP Pos'!A442="","",SEARCH("_",'ATP Pos'!A442,1))</f>
        <v/>
      </c>
      <c r="C442" t="str">
        <f>IF(A442="","",IF('ATP Pos'!E442="-","",IF('ATP Pos'!E442&gt;0,"Buy",IF('ATP Pos'!E442&lt;0,"Sell"))))</f>
        <v/>
      </c>
      <c r="D442" t="str">
        <f>IF(A442="","",IF('ATP Pos'!E442="-","",IF('ATP Pos'!E442&gt;0,'ATP Pos'!E442,IF('ATP Pos'!E442&lt;0,-'ATP Pos'!E442))))</f>
        <v/>
      </c>
      <c r="E442" t="str">
        <f>IF(A442="","",LEFT('ATP Pos'!B442,F442-1))</f>
        <v/>
      </c>
      <c r="F442" t="str">
        <f>IF(A442="","",SEARCH("-",'ATP Pos'!B442,1))</f>
        <v/>
      </c>
      <c r="G442" t="str">
        <f>IF(A442="","",RIGHT('ATP Pos'!B442,3))</f>
        <v/>
      </c>
      <c r="H442" t="str">
        <f t="shared" si="30"/>
        <v/>
      </c>
      <c r="I442" t="str">
        <f t="shared" si="31"/>
        <v/>
      </c>
      <c r="J442" t="str">
        <f>IF(H442="","",VLOOKUP(I442,表3_3[],2,0))</f>
        <v/>
      </c>
      <c r="K442" t="str">
        <f>IF(H442="","",VLOOKUP(I442,表3_3[],3,0))</f>
        <v/>
      </c>
      <c r="L442" t="str">
        <f>IF(A442="","",IF(G442="LME","",VLOOKUP(RIGHT(E442,2),Helper1!$O$36:$P$48,2,0)))</f>
        <v/>
      </c>
      <c r="M442" t="str">
        <f t="shared" si="32"/>
        <v/>
      </c>
      <c r="N442" t="str">
        <f t="shared" si="33"/>
        <v/>
      </c>
      <c r="O442" t="str">
        <f t="shared" si="34"/>
        <v/>
      </c>
    </row>
    <row r="443" spans="1:15">
      <c r="A443" t="str">
        <f>IF('ATP Pos'!A443="","",LEFT('ATP Pos'!A443,B443-1))</f>
        <v/>
      </c>
      <c r="B443" t="str">
        <f>IF('ATP Pos'!A443="","",SEARCH("_",'ATP Pos'!A443,1))</f>
        <v/>
      </c>
      <c r="C443" t="str">
        <f>IF(A443="","",IF('ATP Pos'!E443="-","",IF('ATP Pos'!E443&gt;0,"Buy",IF('ATP Pos'!E443&lt;0,"Sell"))))</f>
        <v/>
      </c>
      <c r="D443" t="str">
        <f>IF(A443="","",IF('ATP Pos'!E443="-","",IF('ATP Pos'!E443&gt;0,'ATP Pos'!E443,IF('ATP Pos'!E443&lt;0,-'ATP Pos'!E443))))</f>
        <v/>
      </c>
      <c r="E443" t="str">
        <f>IF(A443="","",LEFT('ATP Pos'!B443,F443-1))</f>
        <v/>
      </c>
      <c r="F443" t="str">
        <f>IF(A443="","",SEARCH("-",'ATP Pos'!B443,1))</f>
        <v/>
      </c>
      <c r="G443" t="str">
        <f>IF(A443="","",RIGHT('ATP Pos'!B443,3))</f>
        <v/>
      </c>
      <c r="H443" t="str">
        <f t="shared" si="30"/>
        <v/>
      </c>
      <c r="I443" t="str">
        <f t="shared" si="31"/>
        <v/>
      </c>
      <c r="J443" t="str">
        <f>IF(H443="","",VLOOKUP(I443,表3_3[],2,0))</f>
        <v/>
      </c>
      <c r="K443" t="str">
        <f>IF(H443="","",VLOOKUP(I443,表3_3[],3,0))</f>
        <v/>
      </c>
      <c r="L443" t="str">
        <f>IF(A443="","",IF(G443="LME","",VLOOKUP(RIGHT(E443,2),Helper1!$O$36:$P$48,2,0)))</f>
        <v/>
      </c>
      <c r="M443" t="str">
        <f t="shared" si="32"/>
        <v/>
      </c>
      <c r="N443" t="str">
        <f t="shared" si="33"/>
        <v/>
      </c>
      <c r="O443" t="str">
        <f t="shared" si="34"/>
        <v/>
      </c>
    </row>
    <row r="444" spans="1:15">
      <c r="A444" t="str">
        <f>IF('ATP Pos'!A444="","",LEFT('ATP Pos'!A444,B444-1))</f>
        <v/>
      </c>
      <c r="B444" t="str">
        <f>IF('ATP Pos'!A444="","",SEARCH("_",'ATP Pos'!A444,1))</f>
        <v/>
      </c>
      <c r="C444" t="str">
        <f>IF(A444="","",IF('ATP Pos'!E444="-","",IF('ATP Pos'!E444&gt;0,"Buy",IF('ATP Pos'!E444&lt;0,"Sell"))))</f>
        <v/>
      </c>
      <c r="D444" t="str">
        <f>IF(A444="","",IF('ATP Pos'!E444="-","",IF('ATP Pos'!E444&gt;0,'ATP Pos'!E444,IF('ATP Pos'!E444&lt;0,-'ATP Pos'!E444))))</f>
        <v/>
      </c>
      <c r="E444" t="str">
        <f>IF(A444="","",LEFT('ATP Pos'!B444,F444-1))</f>
        <v/>
      </c>
      <c r="F444" t="str">
        <f>IF(A444="","",SEARCH("-",'ATP Pos'!B444,1))</f>
        <v/>
      </c>
      <c r="G444" t="str">
        <f>IF(A444="","",RIGHT('ATP Pos'!B444,3))</f>
        <v/>
      </c>
      <c r="H444" t="str">
        <f t="shared" si="30"/>
        <v/>
      </c>
      <c r="I444" t="str">
        <f t="shared" si="31"/>
        <v/>
      </c>
      <c r="J444" t="str">
        <f>IF(H444="","",VLOOKUP(I444,表3_3[],2,0))</f>
        <v/>
      </c>
      <c r="K444" t="str">
        <f>IF(H444="","",VLOOKUP(I444,表3_3[],3,0))</f>
        <v/>
      </c>
      <c r="L444" t="str">
        <f>IF(A444="","",IF(G444="LME","",VLOOKUP(RIGHT(E444,2),Helper1!$O$36:$P$48,2,0)))</f>
        <v/>
      </c>
      <c r="M444" t="str">
        <f t="shared" si="32"/>
        <v/>
      </c>
      <c r="N444" t="str">
        <f t="shared" si="33"/>
        <v/>
      </c>
      <c r="O444" t="str">
        <f t="shared" si="34"/>
        <v/>
      </c>
    </row>
    <row r="445" spans="1:15">
      <c r="A445" t="str">
        <f>IF('ATP Pos'!A445="","",LEFT('ATP Pos'!A445,B445-1))</f>
        <v/>
      </c>
      <c r="B445" t="str">
        <f>IF('ATP Pos'!A445="","",SEARCH("_",'ATP Pos'!A445,1))</f>
        <v/>
      </c>
      <c r="C445" t="str">
        <f>IF(A445="","",IF('ATP Pos'!E445="-","",IF('ATP Pos'!E445&gt;0,"Buy",IF('ATP Pos'!E445&lt;0,"Sell"))))</f>
        <v/>
      </c>
      <c r="D445" t="str">
        <f>IF(A445="","",IF('ATP Pos'!E445="-","",IF('ATP Pos'!E445&gt;0,'ATP Pos'!E445,IF('ATP Pos'!E445&lt;0,-'ATP Pos'!E445))))</f>
        <v/>
      </c>
      <c r="E445" t="str">
        <f>IF(A445="","",LEFT('ATP Pos'!B445,F445-1))</f>
        <v/>
      </c>
      <c r="F445" t="str">
        <f>IF(A445="","",SEARCH("-",'ATP Pos'!B445,1))</f>
        <v/>
      </c>
      <c r="G445" t="str">
        <f>IF(A445="","",RIGHT('ATP Pos'!B445,3))</f>
        <v/>
      </c>
      <c r="H445" t="str">
        <f t="shared" si="30"/>
        <v/>
      </c>
      <c r="I445" t="str">
        <f t="shared" si="31"/>
        <v/>
      </c>
      <c r="J445" t="str">
        <f>IF(H445="","",VLOOKUP(I445,表3_3[],2,0))</f>
        <v/>
      </c>
      <c r="K445" t="str">
        <f>IF(H445="","",VLOOKUP(I445,表3_3[],3,0))</f>
        <v/>
      </c>
      <c r="L445" t="str">
        <f>IF(A445="","",IF(G445="LME","",VLOOKUP(RIGHT(E445,2),Helper1!$O$36:$P$48,2,0)))</f>
        <v/>
      </c>
      <c r="M445" t="str">
        <f t="shared" si="32"/>
        <v/>
      </c>
      <c r="N445" t="str">
        <f t="shared" si="33"/>
        <v/>
      </c>
      <c r="O445" t="str">
        <f t="shared" si="34"/>
        <v/>
      </c>
    </row>
    <row r="446" spans="1:15">
      <c r="A446" t="str">
        <f>IF('ATP Pos'!A446="","",LEFT('ATP Pos'!A446,B446-1))</f>
        <v/>
      </c>
      <c r="B446" t="str">
        <f>IF('ATP Pos'!A446="","",SEARCH("_",'ATP Pos'!A446,1))</f>
        <v/>
      </c>
      <c r="C446" t="str">
        <f>IF(A446="","",IF('ATP Pos'!E446="-","",IF('ATP Pos'!E446&gt;0,"Buy",IF('ATP Pos'!E446&lt;0,"Sell"))))</f>
        <v/>
      </c>
      <c r="D446" t="str">
        <f>IF(A446="","",IF('ATP Pos'!E446="-","",IF('ATP Pos'!E446&gt;0,'ATP Pos'!E446,IF('ATP Pos'!E446&lt;0,-'ATP Pos'!E446))))</f>
        <v/>
      </c>
      <c r="E446" t="str">
        <f>IF(A446="","",LEFT('ATP Pos'!B446,F446-1))</f>
        <v/>
      </c>
      <c r="F446" t="str">
        <f>IF(A446="","",SEARCH("-",'ATP Pos'!B446,1))</f>
        <v/>
      </c>
      <c r="G446" t="str">
        <f>IF(A446="","",RIGHT('ATP Pos'!B446,3))</f>
        <v/>
      </c>
      <c r="H446" t="str">
        <f t="shared" si="30"/>
        <v/>
      </c>
      <c r="I446" t="str">
        <f t="shared" si="31"/>
        <v/>
      </c>
      <c r="J446" t="str">
        <f>IF(H446="","",VLOOKUP(I446,表3_3[],2,0))</f>
        <v/>
      </c>
      <c r="K446" t="str">
        <f>IF(H446="","",VLOOKUP(I446,表3_3[],3,0))</f>
        <v/>
      </c>
      <c r="L446" t="str">
        <f>IF(A446="","",IF(G446="LME","",VLOOKUP(RIGHT(E446,2),Helper1!$O$36:$P$48,2,0)))</f>
        <v/>
      </c>
      <c r="M446" t="str">
        <f t="shared" si="32"/>
        <v/>
      </c>
      <c r="N446" t="str">
        <f t="shared" si="33"/>
        <v/>
      </c>
      <c r="O446" t="str">
        <f t="shared" si="34"/>
        <v/>
      </c>
    </row>
    <row r="447" spans="1:15">
      <c r="A447" t="str">
        <f>IF('ATP Pos'!A447="","",LEFT('ATP Pos'!A447,B447-1))</f>
        <v/>
      </c>
      <c r="B447" t="str">
        <f>IF('ATP Pos'!A447="","",SEARCH("_",'ATP Pos'!A447,1))</f>
        <v/>
      </c>
      <c r="C447" t="str">
        <f>IF(A447="","",IF('ATP Pos'!E447="-","",IF('ATP Pos'!E447&gt;0,"Buy",IF('ATP Pos'!E447&lt;0,"Sell"))))</f>
        <v/>
      </c>
      <c r="D447" t="str">
        <f>IF(A447="","",IF('ATP Pos'!E447="-","",IF('ATP Pos'!E447&gt;0,'ATP Pos'!E447,IF('ATP Pos'!E447&lt;0,-'ATP Pos'!E447))))</f>
        <v/>
      </c>
      <c r="E447" t="str">
        <f>IF(A447="","",LEFT('ATP Pos'!B447,F447-1))</f>
        <v/>
      </c>
      <c r="F447" t="str">
        <f>IF(A447="","",SEARCH("-",'ATP Pos'!B447,1))</f>
        <v/>
      </c>
      <c r="G447" t="str">
        <f>IF(A447="","",RIGHT('ATP Pos'!B447,3))</f>
        <v/>
      </c>
      <c r="H447" t="str">
        <f t="shared" si="30"/>
        <v/>
      </c>
      <c r="I447" t="str">
        <f t="shared" si="31"/>
        <v/>
      </c>
      <c r="J447" t="str">
        <f>IF(H447="","",VLOOKUP(I447,表3_3[],2,0))</f>
        <v/>
      </c>
      <c r="K447" t="str">
        <f>IF(H447="","",VLOOKUP(I447,表3_3[],3,0))</f>
        <v/>
      </c>
      <c r="L447" t="str">
        <f>IF(A447="","",IF(G447="LME","",VLOOKUP(RIGHT(E447,2),Helper1!$O$36:$P$48,2,0)))</f>
        <v/>
      </c>
      <c r="M447" t="str">
        <f t="shared" si="32"/>
        <v/>
      </c>
      <c r="N447" t="str">
        <f t="shared" si="33"/>
        <v/>
      </c>
      <c r="O447" t="str">
        <f t="shared" si="34"/>
        <v/>
      </c>
    </row>
    <row r="448" spans="1:15">
      <c r="A448" t="str">
        <f>IF('ATP Pos'!A448="","",LEFT('ATP Pos'!A448,B448-1))</f>
        <v/>
      </c>
      <c r="B448" t="str">
        <f>IF('ATP Pos'!A448="","",SEARCH("_",'ATP Pos'!A448,1))</f>
        <v/>
      </c>
      <c r="C448" t="str">
        <f>IF(A448="","",IF('ATP Pos'!E448="-","",IF('ATP Pos'!E448&gt;0,"Buy",IF('ATP Pos'!E448&lt;0,"Sell"))))</f>
        <v/>
      </c>
      <c r="D448" t="str">
        <f>IF(A448="","",IF('ATP Pos'!E448="-","",IF('ATP Pos'!E448&gt;0,'ATP Pos'!E448,IF('ATP Pos'!E448&lt;0,-'ATP Pos'!E448))))</f>
        <v/>
      </c>
      <c r="E448" t="str">
        <f>IF(A448="","",LEFT('ATP Pos'!B448,F448-1))</f>
        <v/>
      </c>
      <c r="F448" t="str">
        <f>IF(A448="","",SEARCH("-",'ATP Pos'!B448,1))</f>
        <v/>
      </c>
      <c r="G448" t="str">
        <f>IF(A448="","",RIGHT('ATP Pos'!B448,3))</f>
        <v/>
      </c>
      <c r="H448" t="str">
        <f t="shared" si="30"/>
        <v/>
      </c>
      <c r="I448" t="str">
        <f t="shared" si="31"/>
        <v/>
      </c>
      <c r="J448" t="str">
        <f>IF(H448="","",VLOOKUP(I448,表3_3[],2,0))</f>
        <v/>
      </c>
      <c r="K448" t="str">
        <f>IF(H448="","",VLOOKUP(I448,表3_3[],3,0))</f>
        <v/>
      </c>
      <c r="L448" t="str">
        <f>IF(A448="","",IF(G448="LME","",VLOOKUP(RIGHT(E448,2),Helper1!$O$36:$P$48,2,0)))</f>
        <v/>
      </c>
      <c r="M448" t="str">
        <f t="shared" si="32"/>
        <v/>
      </c>
      <c r="N448" t="str">
        <f t="shared" si="33"/>
        <v/>
      </c>
      <c r="O448" t="str">
        <f t="shared" si="34"/>
        <v/>
      </c>
    </row>
    <row r="449" spans="1:15">
      <c r="A449" t="str">
        <f>IF('ATP Pos'!A449="","",LEFT('ATP Pos'!A449,B449-1))</f>
        <v/>
      </c>
      <c r="B449" t="str">
        <f>IF('ATP Pos'!A449="","",SEARCH("_",'ATP Pos'!A449,1))</f>
        <v/>
      </c>
      <c r="C449" t="str">
        <f>IF(A449="","",IF('ATP Pos'!E449="-","",IF('ATP Pos'!E449&gt;0,"Buy",IF('ATP Pos'!E449&lt;0,"Sell"))))</f>
        <v/>
      </c>
      <c r="D449" t="str">
        <f>IF(A449="","",IF('ATP Pos'!E449="-","",IF('ATP Pos'!E449&gt;0,'ATP Pos'!E449,IF('ATP Pos'!E449&lt;0,-'ATP Pos'!E449))))</f>
        <v/>
      </c>
      <c r="E449" t="str">
        <f>IF(A449="","",LEFT('ATP Pos'!B449,F449-1))</f>
        <v/>
      </c>
      <c r="F449" t="str">
        <f>IF(A449="","",SEARCH("-",'ATP Pos'!B449,1))</f>
        <v/>
      </c>
      <c r="G449" t="str">
        <f>IF(A449="","",RIGHT('ATP Pos'!B449,3))</f>
        <v/>
      </c>
      <c r="H449" t="str">
        <f t="shared" si="30"/>
        <v/>
      </c>
      <c r="I449" t="str">
        <f t="shared" si="31"/>
        <v/>
      </c>
      <c r="J449" t="str">
        <f>IF(H449="","",VLOOKUP(I449,表3_3[],2,0))</f>
        <v/>
      </c>
      <c r="K449" t="str">
        <f>IF(H449="","",VLOOKUP(I449,表3_3[],3,0))</f>
        <v/>
      </c>
      <c r="L449" t="str">
        <f>IF(A449="","",IF(G449="LME","",VLOOKUP(RIGHT(E449,2),Helper1!$O$36:$P$48,2,0)))</f>
        <v/>
      </c>
      <c r="M449" t="str">
        <f t="shared" si="32"/>
        <v/>
      </c>
      <c r="N449" t="str">
        <f t="shared" si="33"/>
        <v/>
      </c>
      <c r="O449" t="str">
        <f t="shared" si="34"/>
        <v/>
      </c>
    </row>
    <row r="450" spans="1:15">
      <c r="A450" t="str">
        <f>IF('ATP Pos'!A450="","",LEFT('ATP Pos'!A450,B450-1))</f>
        <v/>
      </c>
      <c r="B450" t="str">
        <f>IF('ATP Pos'!A450="","",SEARCH("_",'ATP Pos'!A450,1))</f>
        <v/>
      </c>
      <c r="C450" t="str">
        <f>IF(A450="","",IF('ATP Pos'!E450="-","",IF('ATP Pos'!E450&gt;0,"Buy",IF('ATP Pos'!E450&lt;0,"Sell"))))</f>
        <v/>
      </c>
      <c r="D450" t="str">
        <f>IF(A450="","",IF('ATP Pos'!E450="-","",IF('ATP Pos'!E450&gt;0,'ATP Pos'!E450,IF('ATP Pos'!E450&lt;0,-'ATP Pos'!E450))))</f>
        <v/>
      </c>
      <c r="E450" t="str">
        <f>IF(A450="","",LEFT('ATP Pos'!B450,F450-1))</f>
        <v/>
      </c>
      <c r="F450" t="str">
        <f>IF(A450="","",SEARCH("-",'ATP Pos'!B450,1))</f>
        <v/>
      </c>
      <c r="G450" t="str">
        <f>IF(A450="","",RIGHT('ATP Pos'!B450,3))</f>
        <v/>
      </c>
      <c r="H450" t="str">
        <f t="shared" si="30"/>
        <v/>
      </c>
      <c r="I450" t="str">
        <f t="shared" si="31"/>
        <v/>
      </c>
      <c r="J450" t="str">
        <f>IF(H450="","",VLOOKUP(I450,表3_3[],2,0))</f>
        <v/>
      </c>
      <c r="K450" t="str">
        <f>IF(H450="","",VLOOKUP(I450,表3_3[],3,0))</f>
        <v/>
      </c>
      <c r="L450" t="str">
        <f>IF(A450="","",IF(G450="LME","",VLOOKUP(RIGHT(E450,2),Helper1!$O$36:$P$48,2,0)))</f>
        <v/>
      </c>
      <c r="M450" t="str">
        <f t="shared" si="32"/>
        <v/>
      </c>
      <c r="N450" t="str">
        <f t="shared" si="33"/>
        <v/>
      </c>
      <c r="O450" t="str">
        <f t="shared" si="34"/>
        <v/>
      </c>
    </row>
    <row r="451" spans="1:15">
      <c r="A451" t="str">
        <f>IF('ATP Pos'!A451="","",LEFT('ATP Pos'!A451,B451-1))</f>
        <v/>
      </c>
      <c r="B451" t="str">
        <f>IF('ATP Pos'!A451="","",SEARCH("_",'ATP Pos'!A451,1))</f>
        <v/>
      </c>
      <c r="C451" t="str">
        <f>IF(A451="","",IF('ATP Pos'!E451="-","",IF('ATP Pos'!E451&gt;0,"Buy",IF('ATP Pos'!E451&lt;0,"Sell"))))</f>
        <v/>
      </c>
      <c r="D451" t="str">
        <f>IF(A451="","",IF('ATP Pos'!E451="-","",IF('ATP Pos'!E451&gt;0,'ATP Pos'!E451,IF('ATP Pos'!E451&lt;0,-'ATP Pos'!E451))))</f>
        <v/>
      </c>
      <c r="E451" t="str">
        <f>IF(A451="","",LEFT('ATP Pos'!B451,F451-1))</f>
        <v/>
      </c>
      <c r="F451" t="str">
        <f>IF(A451="","",SEARCH("-",'ATP Pos'!B451,1))</f>
        <v/>
      </c>
      <c r="G451" t="str">
        <f>IF(A451="","",RIGHT('ATP Pos'!B451,3))</f>
        <v/>
      </c>
      <c r="H451" t="str">
        <f t="shared" ref="H451:H500" si="35">IF(A451="","",IF(OR(G451="OSE",G451="BMD",,G451="EUREX",G451="SGX",G451="LME",G451="tocom",G451="APEX",G451="cfe",G451="EUX",AND(G451="ice",I451="gls")),G451,""))</f>
        <v/>
      </c>
      <c r="I451" t="str">
        <f t="shared" ref="I451:I500" si="36">IF(A451="","",IF(G451="LME",LEFT(E451,LEN(E451)-6),LEFT(E451,LEN(E451)-4)))</f>
        <v/>
      </c>
      <c r="J451" t="str">
        <f>IF(H451="","",VLOOKUP(I451,表3_3[],2,0))</f>
        <v/>
      </c>
      <c r="K451" t="str">
        <f>IF(H451="","",VLOOKUP(I451,表3_3[],3,0))</f>
        <v/>
      </c>
      <c r="L451" t="str">
        <f>IF(A451="","",IF(G451="LME","",VLOOKUP(RIGHT(E451,2),Helper1!$O$36:$P$48,2,0)))</f>
        <v/>
      </c>
      <c r="M451" t="str">
        <f t="shared" ref="M451:M500" si="37">IF(A451="","",IF(G451="LME","",20&amp;MID(E451,LEN(I451)+1,2)))</f>
        <v/>
      </c>
      <c r="N451" t="str">
        <f t="shared" ref="N451:N500" si="38">IF(A451="","",IF(G451="LME",20&amp;RIGHT(E451,6),""))</f>
        <v/>
      </c>
      <c r="O451" t="str">
        <f t="shared" ref="O451:O500" si="39">IF(H451="","",IF(G451="LME",G451&amp;"-"&amp;K451&amp;"-"&amp;N451,L451&amp;"-"&amp;M451&amp;"-"&amp;K451))</f>
        <v/>
      </c>
    </row>
    <row r="452" spans="1:15">
      <c r="A452" t="str">
        <f>IF('ATP Pos'!A452="","",LEFT('ATP Pos'!A452,B452-1))</f>
        <v/>
      </c>
      <c r="B452" t="str">
        <f>IF('ATP Pos'!A452="","",SEARCH("_",'ATP Pos'!A452,1))</f>
        <v/>
      </c>
      <c r="C452" t="str">
        <f>IF(A452="","",IF('ATP Pos'!E452="-","",IF('ATP Pos'!E452&gt;0,"Buy",IF('ATP Pos'!E452&lt;0,"Sell"))))</f>
        <v/>
      </c>
      <c r="D452" t="str">
        <f>IF(A452="","",IF('ATP Pos'!E452="-","",IF('ATP Pos'!E452&gt;0,'ATP Pos'!E452,IF('ATP Pos'!E452&lt;0,-'ATP Pos'!E452))))</f>
        <v/>
      </c>
      <c r="E452" t="str">
        <f>IF(A452="","",LEFT('ATP Pos'!B452,F452-1))</f>
        <v/>
      </c>
      <c r="F452" t="str">
        <f>IF(A452="","",SEARCH("-",'ATP Pos'!B452,1))</f>
        <v/>
      </c>
      <c r="G452" t="str">
        <f>IF(A452="","",RIGHT('ATP Pos'!B452,3))</f>
        <v/>
      </c>
      <c r="H452" t="str">
        <f t="shared" si="35"/>
        <v/>
      </c>
      <c r="I452" t="str">
        <f t="shared" si="36"/>
        <v/>
      </c>
      <c r="J452" t="str">
        <f>IF(H452="","",VLOOKUP(I452,表3_3[],2,0))</f>
        <v/>
      </c>
      <c r="K452" t="str">
        <f>IF(H452="","",VLOOKUP(I452,表3_3[],3,0))</f>
        <v/>
      </c>
      <c r="L452" t="str">
        <f>IF(A452="","",IF(G452="LME","",VLOOKUP(RIGHT(E452,2),Helper1!$O$36:$P$48,2,0)))</f>
        <v/>
      </c>
      <c r="M452" t="str">
        <f t="shared" si="37"/>
        <v/>
      </c>
      <c r="N452" t="str">
        <f t="shared" si="38"/>
        <v/>
      </c>
      <c r="O452" t="str">
        <f t="shared" si="39"/>
        <v/>
      </c>
    </row>
    <row r="453" spans="1:15">
      <c r="A453" t="str">
        <f>IF('ATP Pos'!A453="","",LEFT('ATP Pos'!A453,B453-1))</f>
        <v/>
      </c>
      <c r="B453" t="str">
        <f>IF('ATP Pos'!A453="","",SEARCH("_",'ATP Pos'!A453,1))</f>
        <v/>
      </c>
      <c r="C453" t="str">
        <f>IF(A453="","",IF('ATP Pos'!E453="-","",IF('ATP Pos'!E453&gt;0,"Buy",IF('ATP Pos'!E453&lt;0,"Sell"))))</f>
        <v/>
      </c>
      <c r="D453" t="str">
        <f>IF(A453="","",IF('ATP Pos'!E453="-","",IF('ATP Pos'!E453&gt;0,'ATP Pos'!E453,IF('ATP Pos'!E453&lt;0,-'ATP Pos'!E453))))</f>
        <v/>
      </c>
      <c r="E453" t="str">
        <f>IF(A453="","",LEFT('ATP Pos'!B453,F453-1))</f>
        <v/>
      </c>
      <c r="F453" t="str">
        <f>IF(A453="","",SEARCH("-",'ATP Pos'!B453,1))</f>
        <v/>
      </c>
      <c r="G453" t="str">
        <f>IF(A453="","",RIGHT('ATP Pos'!B453,3))</f>
        <v/>
      </c>
      <c r="H453" t="str">
        <f t="shared" si="35"/>
        <v/>
      </c>
      <c r="I453" t="str">
        <f t="shared" si="36"/>
        <v/>
      </c>
      <c r="J453" t="str">
        <f>IF(H453="","",VLOOKUP(I453,表3_3[],2,0))</f>
        <v/>
      </c>
      <c r="K453" t="str">
        <f>IF(H453="","",VLOOKUP(I453,表3_3[],3,0))</f>
        <v/>
      </c>
      <c r="L453" t="str">
        <f>IF(A453="","",IF(G453="LME","",VLOOKUP(RIGHT(E453,2),Helper1!$O$36:$P$48,2,0)))</f>
        <v/>
      </c>
      <c r="M453" t="str">
        <f t="shared" si="37"/>
        <v/>
      </c>
      <c r="N453" t="str">
        <f t="shared" si="38"/>
        <v/>
      </c>
      <c r="O453" t="str">
        <f t="shared" si="39"/>
        <v/>
      </c>
    </row>
    <row r="454" spans="1:15">
      <c r="A454" t="str">
        <f>IF('ATP Pos'!A454="","",LEFT('ATP Pos'!A454,B454-1))</f>
        <v/>
      </c>
      <c r="B454" t="str">
        <f>IF('ATP Pos'!A454="","",SEARCH("_",'ATP Pos'!A454,1))</f>
        <v/>
      </c>
      <c r="C454" t="str">
        <f>IF(A454="","",IF('ATP Pos'!E454="-","",IF('ATP Pos'!E454&gt;0,"Buy",IF('ATP Pos'!E454&lt;0,"Sell"))))</f>
        <v/>
      </c>
      <c r="D454" t="str">
        <f>IF(A454="","",IF('ATP Pos'!E454="-","",IF('ATP Pos'!E454&gt;0,'ATP Pos'!E454,IF('ATP Pos'!E454&lt;0,-'ATP Pos'!E454))))</f>
        <v/>
      </c>
      <c r="E454" t="str">
        <f>IF(A454="","",LEFT('ATP Pos'!B454,F454-1))</f>
        <v/>
      </c>
      <c r="F454" t="str">
        <f>IF(A454="","",SEARCH("-",'ATP Pos'!B454,1))</f>
        <v/>
      </c>
      <c r="G454" t="str">
        <f>IF(A454="","",RIGHT('ATP Pos'!B454,3))</f>
        <v/>
      </c>
      <c r="H454" t="str">
        <f t="shared" si="35"/>
        <v/>
      </c>
      <c r="I454" t="str">
        <f t="shared" si="36"/>
        <v/>
      </c>
      <c r="J454" t="str">
        <f>IF(H454="","",VLOOKUP(I454,表3_3[],2,0))</f>
        <v/>
      </c>
      <c r="K454" t="str">
        <f>IF(H454="","",VLOOKUP(I454,表3_3[],3,0))</f>
        <v/>
      </c>
      <c r="L454" t="str">
        <f>IF(A454="","",IF(G454="LME","",VLOOKUP(RIGHT(E454,2),Helper1!$O$36:$P$48,2,0)))</f>
        <v/>
      </c>
      <c r="M454" t="str">
        <f t="shared" si="37"/>
        <v/>
      </c>
      <c r="N454" t="str">
        <f t="shared" si="38"/>
        <v/>
      </c>
      <c r="O454" t="str">
        <f t="shared" si="39"/>
        <v/>
      </c>
    </row>
    <row r="455" spans="1:15">
      <c r="A455" t="str">
        <f>IF('ATP Pos'!A455="","",LEFT('ATP Pos'!A455,B455-1))</f>
        <v/>
      </c>
      <c r="B455" t="str">
        <f>IF('ATP Pos'!A455="","",SEARCH("_",'ATP Pos'!A455,1))</f>
        <v/>
      </c>
      <c r="C455" t="str">
        <f>IF(A455="","",IF('ATP Pos'!E455="-","",IF('ATP Pos'!E455&gt;0,"Buy",IF('ATP Pos'!E455&lt;0,"Sell"))))</f>
        <v/>
      </c>
      <c r="D455" t="str">
        <f>IF(A455="","",IF('ATP Pos'!E455="-","",IF('ATP Pos'!E455&gt;0,'ATP Pos'!E455,IF('ATP Pos'!E455&lt;0,-'ATP Pos'!E455))))</f>
        <v/>
      </c>
      <c r="E455" t="str">
        <f>IF(A455="","",LEFT('ATP Pos'!B455,F455-1))</f>
        <v/>
      </c>
      <c r="F455" t="str">
        <f>IF(A455="","",SEARCH("-",'ATP Pos'!B455,1))</f>
        <v/>
      </c>
      <c r="G455" t="str">
        <f>IF(A455="","",RIGHT('ATP Pos'!B455,3))</f>
        <v/>
      </c>
      <c r="H455" t="str">
        <f t="shared" si="35"/>
        <v/>
      </c>
      <c r="I455" t="str">
        <f t="shared" si="36"/>
        <v/>
      </c>
      <c r="J455" t="str">
        <f>IF(H455="","",VLOOKUP(I455,表3_3[],2,0))</f>
        <v/>
      </c>
      <c r="K455" t="str">
        <f>IF(H455="","",VLOOKUP(I455,表3_3[],3,0))</f>
        <v/>
      </c>
      <c r="L455" t="str">
        <f>IF(A455="","",IF(G455="LME","",VLOOKUP(RIGHT(E455,2),Helper1!$O$36:$P$48,2,0)))</f>
        <v/>
      </c>
      <c r="M455" t="str">
        <f t="shared" si="37"/>
        <v/>
      </c>
      <c r="N455" t="str">
        <f t="shared" si="38"/>
        <v/>
      </c>
      <c r="O455" t="str">
        <f t="shared" si="39"/>
        <v/>
      </c>
    </row>
    <row r="456" spans="1:15">
      <c r="A456" t="str">
        <f>IF('ATP Pos'!A456="","",LEFT('ATP Pos'!A456,B456-1))</f>
        <v/>
      </c>
      <c r="B456" t="str">
        <f>IF('ATP Pos'!A456="","",SEARCH("_",'ATP Pos'!A456,1))</f>
        <v/>
      </c>
      <c r="C456" t="str">
        <f>IF(A456="","",IF('ATP Pos'!E456="-","",IF('ATP Pos'!E456&gt;0,"Buy",IF('ATP Pos'!E456&lt;0,"Sell"))))</f>
        <v/>
      </c>
      <c r="D456" t="str">
        <f>IF(A456="","",IF('ATP Pos'!E456="-","",IF('ATP Pos'!E456&gt;0,'ATP Pos'!E456,IF('ATP Pos'!E456&lt;0,-'ATP Pos'!E456))))</f>
        <v/>
      </c>
      <c r="E456" t="str">
        <f>IF(A456="","",LEFT('ATP Pos'!B456,F456-1))</f>
        <v/>
      </c>
      <c r="F456" t="str">
        <f>IF(A456="","",SEARCH("-",'ATP Pos'!B456,1))</f>
        <v/>
      </c>
      <c r="G456" t="str">
        <f>IF(A456="","",RIGHT('ATP Pos'!B456,3))</f>
        <v/>
      </c>
      <c r="H456" t="str">
        <f t="shared" si="35"/>
        <v/>
      </c>
      <c r="I456" t="str">
        <f t="shared" si="36"/>
        <v/>
      </c>
      <c r="J456" t="str">
        <f>IF(H456="","",VLOOKUP(I456,表3_3[],2,0))</f>
        <v/>
      </c>
      <c r="K456" t="str">
        <f>IF(H456="","",VLOOKUP(I456,表3_3[],3,0))</f>
        <v/>
      </c>
      <c r="L456" t="str">
        <f>IF(A456="","",IF(G456="LME","",VLOOKUP(RIGHT(E456,2),Helper1!$O$36:$P$48,2,0)))</f>
        <v/>
      </c>
      <c r="M456" t="str">
        <f t="shared" si="37"/>
        <v/>
      </c>
      <c r="N456" t="str">
        <f t="shared" si="38"/>
        <v/>
      </c>
      <c r="O456" t="str">
        <f t="shared" si="39"/>
        <v/>
      </c>
    </row>
    <row r="457" spans="1:15">
      <c r="A457" t="str">
        <f>IF('ATP Pos'!A457="","",LEFT('ATP Pos'!A457,B457-1))</f>
        <v/>
      </c>
      <c r="B457" t="str">
        <f>IF('ATP Pos'!A457="","",SEARCH("_",'ATP Pos'!A457,1))</f>
        <v/>
      </c>
      <c r="C457" t="str">
        <f>IF(A457="","",IF('ATP Pos'!E457="-","",IF('ATP Pos'!E457&gt;0,"Buy",IF('ATP Pos'!E457&lt;0,"Sell"))))</f>
        <v/>
      </c>
      <c r="D457" t="str">
        <f>IF(A457="","",IF('ATP Pos'!E457="-","",IF('ATP Pos'!E457&gt;0,'ATP Pos'!E457,IF('ATP Pos'!E457&lt;0,-'ATP Pos'!E457))))</f>
        <v/>
      </c>
      <c r="E457" t="str">
        <f>IF(A457="","",LEFT('ATP Pos'!B457,F457-1))</f>
        <v/>
      </c>
      <c r="F457" t="str">
        <f>IF(A457="","",SEARCH("-",'ATP Pos'!B457,1))</f>
        <v/>
      </c>
      <c r="G457" t="str">
        <f>IF(A457="","",RIGHT('ATP Pos'!B457,3))</f>
        <v/>
      </c>
      <c r="H457" t="str">
        <f t="shared" si="35"/>
        <v/>
      </c>
      <c r="I457" t="str">
        <f t="shared" si="36"/>
        <v/>
      </c>
      <c r="J457" t="str">
        <f>IF(H457="","",VLOOKUP(I457,表3_3[],2,0))</f>
        <v/>
      </c>
      <c r="K457" t="str">
        <f>IF(H457="","",VLOOKUP(I457,表3_3[],3,0))</f>
        <v/>
      </c>
      <c r="L457" t="str">
        <f>IF(A457="","",IF(G457="LME","",VLOOKUP(RIGHT(E457,2),Helper1!$O$36:$P$48,2,0)))</f>
        <v/>
      </c>
      <c r="M457" t="str">
        <f t="shared" si="37"/>
        <v/>
      </c>
      <c r="N457" t="str">
        <f t="shared" si="38"/>
        <v/>
      </c>
      <c r="O457" t="str">
        <f t="shared" si="39"/>
        <v/>
      </c>
    </row>
    <row r="458" spans="1:15">
      <c r="A458" t="str">
        <f>IF('ATP Pos'!A458="","",LEFT('ATP Pos'!A458,B458-1))</f>
        <v/>
      </c>
      <c r="B458" t="str">
        <f>IF('ATP Pos'!A458="","",SEARCH("_",'ATP Pos'!A458,1))</f>
        <v/>
      </c>
      <c r="C458" t="str">
        <f>IF(A458="","",IF('ATP Pos'!E458="-","",IF('ATP Pos'!E458&gt;0,"Buy",IF('ATP Pos'!E458&lt;0,"Sell"))))</f>
        <v/>
      </c>
      <c r="D458" t="str">
        <f>IF(A458="","",IF('ATP Pos'!E458="-","",IF('ATP Pos'!E458&gt;0,'ATP Pos'!E458,IF('ATP Pos'!E458&lt;0,-'ATP Pos'!E458))))</f>
        <v/>
      </c>
      <c r="E458" t="str">
        <f>IF(A458="","",LEFT('ATP Pos'!B458,F458-1))</f>
        <v/>
      </c>
      <c r="F458" t="str">
        <f>IF(A458="","",SEARCH("-",'ATP Pos'!B458,1))</f>
        <v/>
      </c>
      <c r="G458" t="str">
        <f>IF(A458="","",RIGHT('ATP Pos'!B458,3))</f>
        <v/>
      </c>
      <c r="H458" t="str">
        <f t="shared" si="35"/>
        <v/>
      </c>
      <c r="I458" t="str">
        <f t="shared" si="36"/>
        <v/>
      </c>
      <c r="J458" t="str">
        <f>IF(H458="","",VLOOKUP(I458,表3_3[],2,0))</f>
        <v/>
      </c>
      <c r="K458" t="str">
        <f>IF(H458="","",VLOOKUP(I458,表3_3[],3,0))</f>
        <v/>
      </c>
      <c r="L458" t="str">
        <f>IF(A458="","",IF(G458="LME","",VLOOKUP(RIGHT(E458,2),Helper1!$O$36:$P$48,2,0)))</f>
        <v/>
      </c>
      <c r="M458" t="str">
        <f t="shared" si="37"/>
        <v/>
      </c>
      <c r="N458" t="str">
        <f t="shared" si="38"/>
        <v/>
      </c>
      <c r="O458" t="str">
        <f t="shared" si="39"/>
        <v/>
      </c>
    </row>
    <row r="459" spans="1:15">
      <c r="A459" t="str">
        <f>IF('ATP Pos'!A459="","",LEFT('ATP Pos'!A459,B459-1))</f>
        <v/>
      </c>
      <c r="B459" t="str">
        <f>IF('ATP Pos'!A459="","",SEARCH("_",'ATP Pos'!A459,1))</f>
        <v/>
      </c>
      <c r="C459" t="str">
        <f>IF(A459="","",IF('ATP Pos'!E459="-","",IF('ATP Pos'!E459&gt;0,"Buy",IF('ATP Pos'!E459&lt;0,"Sell"))))</f>
        <v/>
      </c>
      <c r="D459" t="str">
        <f>IF(A459="","",IF('ATP Pos'!E459="-","",IF('ATP Pos'!E459&gt;0,'ATP Pos'!E459,IF('ATP Pos'!E459&lt;0,-'ATP Pos'!E459))))</f>
        <v/>
      </c>
      <c r="E459" t="str">
        <f>IF(A459="","",LEFT('ATP Pos'!B459,F459-1))</f>
        <v/>
      </c>
      <c r="F459" t="str">
        <f>IF(A459="","",SEARCH("-",'ATP Pos'!B459,1))</f>
        <v/>
      </c>
      <c r="G459" t="str">
        <f>IF(A459="","",RIGHT('ATP Pos'!B459,3))</f>
        <v/>
      </c>
      <c r="H459" t="str">
        <f t="shared" si="35"/>
        <v/>
      </c>
      <c r="I459" t="str">
        <f t="shared" si="36"/>
        <v/>
      </c>
      <c r="J459" t="str">
        <f>IF(H459="","",VLOOKUP(I459,表3_3[],2,0))</f>
        <v/>
      </c>
      <c r="K459" t="str">
        <f>IF(H459="","",VLOOKUP(I459,表3_3[],3,0))</f>
        <v/>
      </c>
      <c r="L459" t="str">
        <f>IF(A459="","",IF(G459="LME","",VLOOKUP(RIGHT(E459,2),Helper1!$O$36:$P$48,2,0)))</f>
        <v/>
      </c>
      <c r="M459" t="str">
        <f t="shared" si="37"/>
        <v/>
      </c>
      <c r="N459" t="str">
        <f t="shared" si="38"/>
        <v/>
      </c>
      <c r="O459" t="str">
        <f t="shared" si="39"/>
        <v/>
      </c>
    </row>
    <row r="460" spans="1:15">
      <c r="A460" t="str">
        <f>IF('ATP Pos'!A460="","",LEFT('ATP Pos'!A460,B460-1))</f>
        <v/>
      </c>
      <c r="B460" t="str">
        <f>IF('ATP Pos'!A460="","",SEARCH("_",'ATP Pos'!A460,1))</f>
        <v/>
      </c>
      <c r="C460" t="str">
        <f>IF(A460="","",IF('ATP Pos'!E460="-","",IF('ATP Pos'!E460&gt;0,"Buy",IF('ATP Pos'!E460&lt;0,"Sell"))))</f>
        <v/>
      </c>
      <c r="D460" t="str">
        <f>IF(A460="","",IF('ATP Pos'!E460="-","",IF('ATP Pos'!E460&gt;0,'ATP Pos'!E460,IF('ATP Pos'!E460&lt;0,-'ATP Pos'!E460))))</f>
        <v/>
      </c>
      <c r="E460" t="str">
        <f>IF(A460="","",LEFT('ATP Pos'!B460,F460-1))</f>
        <v/>
      </c>
      <c r="F460" t="str">
        <f>IF(A460="","",SEARCH("-",'ATP Pos'!B460,1))</f>
        <v/>
      </c>
      <c r="G460" t="str">
        <f>IF(A460="","",RIGHT('ATP Pos'!B460,3))</f>
        <v/>
      </c>
      <c r="H460" t="str">
        <f t="shared" si="35"/>
        <v/>
      </c>
      <c r="I460" t="str">
        <f t="shared" si="36"/>
        <v/>
      </c>
      <c r="J460" t="str">
        <f>IF(H460="","",VLOOKUP(I460,表3_3[],2,0))</f>
        <v/>
      </c>
      <c r="K460" t="str">
        <f>IF(H460="","",VLOOKUP(I460,表3_3[],3,0))</f>
        <v/>
      </c>
      <c r="L460" t="str">
        <f>IF(A460="","",IF(G460="LME","",VLOOKUP(RIGHT(E460,2),Helper1!$O$36:$P$48,2,0)))</f>
        <v/>
      </c>
      <c r="M460" t="str">
        <f t="shared" si="37"/>
        <v/>
      </c>
      <c r="N460" t="str">
        <f t="shared" si="38"/>
        <v/>
      </c>
      <c r="O460" t="str">
        <f t="shared" si="39"/>
        <v/>
      </c>
    </row>
    <row r="461" spans="1:15">
      <c r="A461" t="str">
        <f>IF('ATP Pos'!A461="","",LEFT('ATP Pos'!A461,B461-1))</f>
        <v/>
      </c>
      <c r="B461" t="str">
        <f>IF('ATP Pos'!A461="","",SEARCH("_",'ATP Pos'!A461,1))</f>
        <v/>
      </c>
      <c r="C461" t="str">
        <f>IF(A461="","",IF('ATP Pos'!E461="-","",IF('ATP Pos'!E461&gt;0,"Buy",IF('ATP Pos'!E461&lt;0,"Sell"))))</f>
        <v/>
      </c>
      <c r="D461" t="str">
        <f>IF(A461="","",IF('ATP Pos'!E461="-","",IF('ATP Pos'!E461&gt;0,'ATP Pos'!E461,IF('ATP Pos'!E461&lt;0,-'ATP Pos'!E461))))</f>
        <v/>
      </c>
      <c r="E461" t="str">
        <f>IF(A461="","",LEFT('ATP Pos'!B461,F461-1))</f>
        <v/>
      </c>
      <c r="F461" t="str">
        <f>IF(A461="","",SEARCH("-",'ATP Pos'!B461,1))</f>
        <v/>
      </c>
      <c r="G461" t="str">
        <f>IF(A461="","",RIGHT('ATP Pos'!B461,3))</f>
        <v/>
      </c>
      <c r="H461" t="str">
        <f t="shared" si="35"/>
        <v/>
      </c>
      <c r="I461" t="str">
        <f t="shared" si="36"/>
        <v/>
      </c>
      <c r="J461" t="str">
        <f>IF(H461="","",VLOOKUP(I461,表3_3[],2,0))</f>
        <v/>
      </c>
      <c r="K461" t="str">
        <f>IF(H461="","",VLOOKUP(I461,表3_3[],3,0))</f>
        <v/>
      </c>
      <c r="L461" t="str">
        <f>IF(A461="","",IF(G461="LME","",VLOOKUP(RIGHT(E461,2),Helper1!$O$36:$P$48,2,0)))</f>
        <v/>
      </c>
      <c r="M461" t="str">
        <f t="shared" si="37"/>
        <v/>
      </c>
      <c r="N461" t="str">
        <f t="shared" si="38"/>
        <v/>
      </c>
      <c r="O461" t="str">
        <f t="shared" si="39"/>
        <v/>
      </c>
    </row>
    <row r="462" spans="1:15">
      <c r="A462" t="str">
        <f>IF('ATP Pos'!A462="","",LEFT('ATP Pos'!A462,B462-1))</f>
        <v/>
      </c>
      <c r="B462" t="str">
        <f>IF('ATP Pos'!A462="","",SEARCH("_",'ATP Pos'!A462,1))</f>
        <v/>
      </c>
      <c r="C462" t="str">
        <f>IF(A462="","",IF('ATP Pos'!E462="-","",IF('ATP Pos'!E462&gt;0,"Buy",IF('ATP Pos'!E462&lt;0,"Sell"))))</f>
        <v/>
      </c>
      <c r="D462" t="str">
        <f>IF(A462="","",IF('ATP Pos'!E462="-","",IF('ATP Pos'!E462&gt;0,'ATP Pos'!E462,IF('ATP Pos'!E462&lt;0,-'ATP Pos'!E462))))</f>
        <v/>
      </c>
      <c r="E462" t="str">
        <f>IF(A462="","",LEFT('ATP Pos'!B462,F462-1))</f>
        <v/>
      </c>
      <c r="F462" t="str">
        <f>IF(A462="","",SEARCH("-",'ATP Pos'!B462,1))</f>
        <v/>
      </c>
      <c r="G462" t="str">
        <f>IF(A462="","",RIGHT('ATP Pos'!B462,3))</f>
        <v/>
      </c>
      <c r="H462" t="str">
        <f t="shared" si="35"/>
        <v/>
      </c>
      <c r="I462" t="str">
        <f t="shared" si="36"/>
        <v/>
      </c>
      <c r="J462" t="str">
        <f>IF(H462="","",VLOOKUP(I462,表3_3[],2,0))</f>
        <v/>
      </c>
      <c r="K462" t="str">
        <f>IF(H462="","",VLOOKUP(I462,表3_3[],3,0))</f>
        <v/>
      </c>
      <c r="L462" t="str">
        <f>IF(A462="","",IF(G462="LME","",VLOOKUP(RIGHT(E462,2),Helper1!$O$36:$P$48,2,0)))</f>
        <v/>
      </c>
      <c r="M462" t="str">
        <f t="shared" si="37"/>
        <v/>
      </c>
      <c r="N462" t="str">
        <f t="shared" si="38"/>
        <v/>
      </c>
      <c r="O462" t="str">
        <f t="shared" si="39"/>
        <v/>
      </c>
    </row>
    <row r="463" spans="1:15">
      <c r="A463" t="str">
        <f>IF('ATP Pos'!A463="","",LEFT('ATP Pos'!A463,B463-1))</f>
        <v/>
      </c>
      <c r="B463" t="str">
        <f>IF('ATP Pos'!A463="","",SEARCH("_",'ATP Pos'!A463,1))</f>
        <v/>
      </c>
      <c r="C463" t="str">
        <f>IF(A463="","",IF('ATP Pos'!E463="-","",IF('ATP Pos'!E463&gt;0,"Buy",IF('ATP Pos'!E463&lt;0,"Sell"))))</f>
        <v/>
      </c>
      <c r="D463" t="str">
        <f>IF(A463="","",IF('ATP Pos'!E463="-","",IF('ATP Pos'!E463&gt;0,'ATP Pos'!E463,IF('ATP Pos'!E463&lt;0,-'ATP Pos'!E463))))</f>
        <v/>
      </c>
      <c r="E463" t="str">
        <f>IF(A463="","",LEFT('ATP Pos'!B463,F463-1))</f>
        <v/>
      </c>
      <c r="F463" t="str">
        <f>IF(A463="","",SEARCH("-",'ATP Pos'!B463,1))</f>
        <v/>
      </c>
      <c r="G463" t="str">
        <f>IF(A463="","",RIGHT('ATP Pos'!B463,3))</f>
        <v/>
      </c>
      <c r="H463" t="str">
        <f t="shared" si="35"/>
        <v/>
      </c>
      <c r="I463" t="str">
        <f t="shared" si="36"/>
        <v/>
      </c>
      <c r="J463" t="str">
        <f>IF(H463="","",VLOOKUP(I463,表3_3[],2,0))</f>
        <v/>
      </c>
      <c r="K463" t="str">
        <f>IF(H463="","",VLOOKUP(I463,表3_3[],3,0))</f>
        <v/>
      </c>
      <c r="L463" t="str">
        <f>IF(A463="","",IF(G463="LME","",VLOOKUP(RIGHT(E463,2),Helper1!$O$36:$P$48,2,0)))</f>
        <v/>
      </c>
      <c r="M463" t="str">
        <f t="shared" si="37"/>
        <v/>
      </c>
      <c r="N463" t="str">
        <f t="shared" si="38"/>
        <v/>
      </c>
      <c r="O463" t="str">
        <f t="shared" si="39"/>
        <v/>
      </c>
    </row>
    <row r="464" spans="1:15">
      <c r="A464" t="str">
        <f>IF('ATP Pos'!A464="","",LEFT('ATP Pos'!A464,B464-1))</f>
        <v/>
      </c>
      <c r="B464" t="str">
        <f>IF('ATP Pos'!A464="","",SEARCH("_",'ATP Pos'!A464,1))</f>
        <v/>
      </c>
      <c r="C464" t="str">
        <f>IF(A464="","",IF('ATP Pos'!E464="-","",IF('ATP Pos'!E464&gt;0,"Buy",IF('ATP Pos'!E464&lt;0,"Sell"))))</f>
        <v/>
      </c>
      <c r="D464" t="str">
        <f>IF(A464="","",IF('ATP Pos'!E464="-","",IF('ATP Pos'!E464&gt;0,'ATP Pos'!E464,IF('ATP Pos'!E464&lt;0,-'ATP Pos'!E464))))</f>
        <v/>
      </c>
      <c r="E464" t="str">
        <f>IF(A464="","",LEFT('ATP Pos'!B464,F464-1))</f>
        <v/>
      </c>
      <c r="F464" t="str">
        <f>IF(A464="","",SEARCH("-",'ATP Pos'!B464,1))</f>
        <v/>
      </c>
      <c r="G464" t="str">
        <f>IF(A464="","",RIGHT('ATP Pos'!B464,3))</f>
        <v/>
      </c>
      <c r="H464" t="str">
        <f t="shared" si="35"/>
        <v/>
      </c>
      <c r="I464" t="str">
        <f t="shared" si="36"/>
        <v/>
      </c>
      <c r="J464" t="str">
        <f>IF(H464="","",VLOOKUP(I464,表3_3[],2,0))</f>
        <v/>
      </c>
      <c r="K464" t="str">
        <f>IF(H464="","",VLOOKUP(I464,表3_3[],3,0))</f>
        <v/>
      </c>
      <c r="L464" t="str">
        <f>IF(A464="","",IF(G464="LME","",VLOOKUP(RIGHT(E464,2),Helper1!$O$36:$P$48,2,0)))</f>
        <v/>
      </c>
      <c r="M464" t="str">
        <f t="shared" si="37"/>
        <v/>
      </c>
      <c r="N464" t="str">
        <f t="shared" si="38"/>
        <v/>
      </c>
      <c r="O464" t="str">
        <f t="shared" si="39"/>
        <v/>
      </c>
    </row>
    <row r="465" spans="1:15">
      <c r="A465" t="str">
        <f>IF('ATP Pos'!A465="","",LEFT('ATP Pos'!A465,B465-1))</f>
        <v/>
      </c>
      <c r="B465" t="str">
        <f>IF('ATP Pos'!A465="","",SEARCH("_",'ATP Pos'!A465,1))</f>
        <v/>
      </c>
      <c r="C465" t="str">
        <f>IF(A465="","",IF('ATP Pos'!E465="-","",IF('ATP Pos'!E465&gt;0,"Buy",IF('ATP Pos'!E465&lt;0,"Sell"))))</f>
        <v/>
      </c>
      <c r="D465" t="str">
        <f>IF(A465="","",IF('ATP Pos'!E465="-","",IF('ATP Pos'!E465&gt;0,'ATP Pos'!E465,IF('ATP Pos'!E465&lt;0,-'ATP Pos'!E465))))</f>
        <v/>
      </c>
      <c r="E465" t="str">
        <f>IF(A465="","",LEFT('ATP Pos'!B465,F465-1))</f>
        <v/>
      </c>
      <c r="F465" t="str">
        <f>IF(A465="","",SEARCH("-",'ATP Pos'!B465,1))</f>
        <v/>
      </c>
      <c r="G465" t="str">
        <f>IF(A465="","",RIGHT('ATP Pos'!B465,3))</f>
        <v/>
      </c>
      <c r="H465" t="str">
        <f t="shared" si="35"/>
        <v/>
      </c>
      <c r="I465" t="str">
        <f t="shared" si="36"/>
        <v/>
      </c>
      <c r="J465" t="str">
        <f>IF(H465="","",VLOOKUP(I465,表3_3[],2,0))</f>
        <v/>
      </c>
      <c r="K465" t="str">
        <f>IF(H465="","",VLOOKUP(I465,表3_3[],3,0))</f>
        <v/>
      </c>
      <c r="L465" t="str">
        <f>IF(A465="","",IF(G465="LME","",VLOOKUP(RIGHT(E465,2),Helper1!$O$36:$P$48,2,0)))</f>
        <v/>
      </c>
      <c r="M465" t="str">
        <f t="shared" si="37"/>
        <v/>
      </c>
      <c r="N465" t="str">
        <f t="shared" si="38"/>
        <v/>
      </c>
      <c r="O465" t="str">
        <f t="shared" si="39"/>
        <v/>
      </c>
    </row>
    <row r="466" spans="1:15">
      <c r="A466" t="str">
        <f>IF('ATP Pos'!A466="","",LEFT('ATP Pos'!A466,B466-1))</f>
        <v/>
      </c>
      <c r="B466" t="str">
        <f>IF('ATP Pos'!A466="","",SEARCH("_",'ATP Pos'!A466,1))</f>
        <v/>
      </c>
      <c r="C466" t="str">
        <f>IF(A466="","",IF('ATP Pos'!E466="-","",IF('ATP Pos'!E466&gt;0,"Buy",IF('ATP Pos'!E466&lt;0,"Sell"))))</f>
        <v/>
      </c>
      <c r="D466" t="str">
        <f>IF(A466="","",IF('ATP Pos'!E466="-","",IF('ATP Pos'!E466&gt;0,'ATP Pos'!E466,IF('ATP Pos'!E466&lt;0,-'ATP Pos'!E466))))</f>
        <v/>
      </c>
      <c r="E466" t="str">
        <f>IF(A466="","",LEFT('ATP Pos'!B466,F466-1))</f>
        <v/>
      </c>
      <c r="F466" t="str">
        <f>IF(A466="","",SEARCH("-",'ATP Pos'!B466,1))</f>
        <v/>
      </c>
      <c r="G466" t="str">
        <f>IF(A466="","",RIGHT('ATP Pos'!B466,3))</f>
        <v/>
      </c>
      <c r="H466" t="str">
        <f t="shared" si="35"/>
        <v/>
      </c>
      <c r="I466" t="str">
        <f t="shared" si="36"/>
        <v/>
      </c>
      <c r="J466" t="str">
        <f>IF(H466="","",VLOOKUP(I466,表3_3[],2,0))</f>
        <v/>
      </c>
      <c r="K466" t="str">
        <f>IF(H466="","",VLOOKUP(I466,表3_3[],3,0))</f>
        <v/>
      </c>
      <c r="L466" t="str">
        <f>IF(A466="","",IF(G466="LME","",VLOOKUP(RIGHT(E466,2),Helper1!$O$36:$P$48,2,0)))</f>
        <v/>
      </c>
      <c r="M466" t="str">
        <f t="shared" si="37"/>
        <v/>
      </c>
      <c r="N466" t="str">
        <f t="shared" si="38"/>
        <v/>
      </c>
      <c r="O466" t="str">
        <f t="shared" si="39"/>
        <v/>
      </c>
    </row>
    <row r="467" spans="1:15">
      <c r="A467" t="str">
        <f>IF('ATP Pos'!A467="","",LEFT('ATP Pos'!A467,B467-1))</f>
        <v/>
      </c>
      <c r="B467" t="str">
        <f>IF('ATP Pos'!A467="","",SEARCH("_",'ATP Pos'!A467,1))</f>
        <v/>
      </c>
      <c r="C467" t="str">
        <f>IF(A467="","",IF('ATP Pos'!E467="-","",IF('ATP Pos'!E467&gt;0,"Buy",IF('ATP Pos'!E467&lt;0,"Sell"))))</f>
        <v/>
      </c>
      <c r="D467" t="str">
        <f>IF(A467="","",IF('ATP Pos'!E467="-","",IF('ATP Pos'!E467&gt;0,'ATP Pos'!E467,IF('ATP Pos'!E467&lt;0,-'ATP Pos'!E467))))</f>
        <v/>
      </c>
      <c r="E467" t="str">
        <f>IF(A467="","",LEFT('ATP Pos'!B467,F467-1))</f>
        <v/>
      </c>
      <c r="F467" t="str">
        <f>IF(A467="","",SEARCH("-",'ATP Pos'!B467,1))</f>
        <v/>
      </c>
      <c r="G467" t="str">
        <f>IF(A467="","",RIGHT('ATP Pos'!B467,3))</f>
        <v/>
      </c>
      <c r="H467" t="str">
        <f t="shared" si="35"/>
        <v/>
      </c>
      <c r="I467" t="str">
        <f t="shared" si="36"/>
        <v/>
      </c>
      <c r="J467" t="str">
        <f>IF(H467="","",VLOOKUP(I467,表3_3[],2,0))</f>
        <v/>
      </c>
      <c r="K467" t="str">
        <f>IF(H467="","",VLOOKUP(I467,表3_3[],3,0))</f>
        <v/>
      </c>
      <c r="L467" t="str">
        <f>IF(A467="","",IF(G467="LME","",VLOOKUP(RIGHT(E467,2),Helper1!$O$36:$P$48,2,0)))</f>
        <v/>
      </c>
      <c r="M467" t="str">
        <f t="shared" si="37"/>
        <v/>
      </c>
      <c r="N467" t="str">
        <f t="shared" si="38"/>
        <v/>
      </c>
      <c r="O467" t="str">
        <f t="shared" si="39"/>
        <v/>
      </c>
    </row>
    <row r="468" spans="1:15">
      <c r="A468" t="str">
        <f>IF('ATP Pos'!A468="","",LEFT('ATP Pos'!A468,B468-1))</f>
        <v/>
      </c>
      <c r="B468" t="str">
        <f>IF('ATP Pos'!A468="","",SEARCH("_",'ATP Pos'!A468,1))</f>
        <v/>
      </c>
      <c r="C468" t="str">
        <f>IF(A468="","",IF('ATP Pos'!E468="-","",IF('ATP Pos'!E468&gt;0,"Buy",IF('ATP Pos'!E468&lt;0,"Sell"))))</f>
        <v/>
      </c>
      <c r="D468" t="str">
        <f>IF(A468="","",IF('ATP Pos'!E468="-","",IF('ATP Pos'!E468&gt;0,'ATP Pos'!E468,IF('ATP Pos'!E468&lt;0,-'ATP Pos'!E468))))</f>
        <v/>
      </c>
      <c r="E468" t="str">
        <f>IF(A468="","",LEFT('ATP Pos'!B468,F468-1))</f>
        <v/>
      </c>
      <c r="F468" t="str">
        <f>IF(A468="","",SEARCH("-",'ATP Pos'!B468,1))</f>
        <v/>
      </c>
      <c r="G468" t="str">
        <f>IF(A468="","",RIGHT('ATP Pos'!B468,3))</f>
        <v/>
      </c>
      <c r="H468" t="str">
        <f t="shared" si="35"/>
        <v/>
      </c>
      <c r="I468" t="str">
        <f t="shared" si="36"/>
        <v/>
      </c>
      <c r="J468" t="str">
        <f>IF(H468="","",VLOOKUP(I468,表3_3[],2,0))</f>
        <v/>
      </c>
      <c r="K468" t="str">
        <f>IF(H468="","",VLOOKUP(I468,表3_3[],3,0))</f>
        <v/>
      </c>
      <c r="L468" t="str">
        <f>IF(A468="","",IF(G468="LME","",VLOOKUP(RIGHT(E468,2),Helper1!$O$36:$P$48,2,0)))</f>
        <v/>
      </c>
      <c r="M468" t="str">
        <f t="shared" si="37"/>
        <v/>
      </c>
      <c r="N468" t="str">
        <f t="shared" si="38"/>
        <v/>
      </c>
      <c r="O468" t="str">
        <f t="shared" si="39"/>
        <v/>
      </c>
    </row>
    <row r="469" spans="1:15">
      <c r="A469" t="str">
        <f>IF('ATP Pos'!A469="","",LEFT('ATP Pos'!A469,B469-1))</f>
        <v/>
      </c>
      <c r="B469" t="str">
        <f>IF('ATP Pos'!A469="","",SEARCH("_",'ATP Pos'!A469,1))</f>
        <v/>
      </c>
      <c r="C469" t="str">
        <f>IF(A469="","",IF('ATP Pos'!E469="-","",IF('ATP Pos'!E469&gt;0,"Buy",IF('ATP Pos'!E469&lt;0,"Sell"))))</f>
        <v/>
      </c>
      <c r="D469" t="str">
        <f>IF(A469="","",IF('ATP Pos'!E469="-","",IF('ATP Pos'!E469&gt;0,'ATP Pos'!E469,IF('ATP Pos'!E469&lt;0,-'ATP Pos'!E469))))</f>
        <v/>
      </c>
      <c r="E469" t="str">
        <f>IF(A469="","",LEFT('ATP Pos'!B469,F469-1))</f>
        <v/>
      </c>
      <c r="F469" t="str">
        <f>IF(A469="","",SEARCH("-",'ATP Pos'!B469,1))</f>
        <v/>
      </c>
      <c r="G469" t="str">
        <f>IF(A469="","",RIGHT('ATP Pos'!B469,3))</f>
        <v/>
      </c>
      <c r="H469" t="str">
        <f t="shared" si="35"/>
        <v/>
      </c>
      <c r="I469" t="str">
        <f t="shared" si="36"/>
        <v/>
      </c>
      <c r="J469" t="str">
        <f>IF(H469="","",VLOOKUP(I469,表3_3[],2,0))</f>
        <v/>
      </c>
      <c r="K469" t="str">
        <f>IF(H469="","",VLOOKUP(I469,表3_3[],3,0))</f>
        <v/>
      </c>
      <c r="L469" t="str">
        <f>IF(A469="","",IF(G469="LME","",VLOOKUP(RIGHT(E469,2),Helper1!$O$36:$P$48,2,0)))</f>
        <v/>
      </c>
      <c r="M469" t="str">
        <f t="shared" si="37"/>
        <v/>
      </c>
      <c r="N469" t="str">
        <f t="shared" si="38"/>
        <v/>
      </c>
      <c r="O469" t="str">
        <f t="shared" si="39"/>
        <v/>
      </c>
    </row>
    <row r="470" spans="1:15">
      <c r="A470" t="str">
        <f>IF('ATP Pos'!A470="","",LEFT('ATP Pos'!A470,B470-1))</f>
        <v/>
      </c>
      <c r="B470" t="str">
        <f>IF('ATP Pos'!A470="","",SEARCH("_",'ATP Pos'!A470,1))</f>
        <v/>
      </c>
      <c r="C470" t="str">
        <f>IF(A470="","",IF('ATP Pos'!E470="-","",IF('ATP Pos'!E470&gt;0,"Buy",IF('ATP Pos'!E470&lt;0,"Sell"))))</f>
        <v/>
      </c>
      <c r="D470" t="str">
        <f>IF(A470="","",IF('ATP Pos'!E470="-","",IF('ATP Pos'!E470&gt;0,'ATP Pos'!E470,IF('ATP Pos'!E470&lt;0,-'ATP Pos'!E470))))</f>
        <v/>
      </c>
      <c r="E470" t="str">
        <f>IF(A470="","",LEFT('ATP Pos'!B470,F470-1))</f>
        <v/>
      </c>
      <c r="F470" t="str">
        <f>IF(A470="","",SEARCH("-",'ATP Pos'!B470,1))</f>
        <v/>
      </c>
      <c r="G470" t="str">
        <f>IF(A470="","",RIGHT('ATP Pos'!B470,3))</f>
        <v/>
      </c>
      <c r="H470" t="str">
        <f t="shared" si="35"/>
        <v/>
      </c>
      <c r="I470" t="str">
        <f t="shared" si="36"/>
        <v/>
      </c>
      <c r="J470" t="str">
        <f>IF(H470="","",VLOOKUP(I470,表3_3[],2,0))</f>
        <v/>
      </c>
      <c r="K470" t="str">
        <f>IF(H470="","",VLOOKUP(I470,表3_3[],3,0))</f>
        <v/>
      </c>
      <c r="L470" t="str">
        <f>IF(A470="","",IF(G470="LME","",VLOOKUP(RIGHT(E470,2),Helper1!$O$36:$P$48,2,0)))</f>
        <v/>
      </c>
      <c r="M470" t="str">
        <f t="shared" si="37"/>
        <v/>
      </c>
      <c r="N470" t="str">
        <f t="shared" si="38"/>
        <v/>
      </c>
      <c r="O470" t="str">
        <f t="shared" si="39"/>
        <v/>
      </c>
    </row>
    <row r="471" spans="1:15">
      <c r="A471" t="str">
        <f>IF('ATP Pos'!A471="","",LEFT('ATP Pos'!A471,B471-1))</f>
        <v/>
      </c>
      <c r="B471" t="str">
        <f>IF('ATP Pos'!A471="","",SEARCH("_",'ATP Pos'!A471,1))</f>
        <v/>
      </c>
      <c r="C471" t="str">
        <f>IF(A471="","",IF('ATP Pos'!E471="-","",IF('ATP Pos'!E471&gt;0,"Buy",IF('ATP Pos'!E471&lt;0,"Sell"))))</f>
        <v/>
      </c>
      <c r="D471" t="str">
        <f>IF(A471="","",IF('ATP Pos'!E471="-","",IF('ATP Pos'!E471&gt;0,'ATP Pos'!E471,IF('ATP Pos'!E471&lt;0,-'ATP Pos'!E471))))</f>
        <v/>
      </c>
      <c r="E471" t="str">
        <f>IF(A471="","",LEFT('ATP Pos'!B471,F471-1))</f>
        <v/>
      </c>
      <c r="F471" t="str">
        <f>IF(A471="","",SEARCH("-",'ATP Pos'!B471,1))</f>
        <v/>
      </c>
      <c r="G471" t="str">
        <f>IF(A471="","",RIGHT('ATP Pos'!B471,3))</f>
        <v/>
      </c>
      <c r="H471" t="str">
        <f t="shared" si="35"/>
        <v/>
      </c>
      <c r="I471" t="str">
        <f t="shared" si="36"/>
        <v/>
      </c>
      <c r="J471" t="str">
        <f>IF(H471="","",VLOOKUP(I471,表3_3[],2,0))</f>
        <v/>
      </c>
      <c r="K471" t="str">
        <f>IF(H471="","",VLOOKUP(I471,表3_3[],3,0))</f>
        <v/>
      </c>
      <c r="L471" t="str">
        <f>IF(A471="","",IF(G471="LME","",VLOOKUP(RIGHT(E471,2),Helper1!$O$36:$P$48,2,0)))</f>
        <v/>
      </c>
      <c r="M471" t="str">
        <f t="shared" si="37"/>
        <v/>
      </c>
      <c r="N471" t="str">
        <f t="shared" si="38"/>
        <v/>
      </c>
      <c r="O471" t="str">
        <f t="shared" si="39"/>
        <v/>
      </c>
    </row>
    <row r="472" spans="1:15">
      <c r="A472" t="str">
        <f>IF('ATP Pos'!A472="","",LEFT('ATP Pos'!A472,B472-1))</f>
        <v/>
      </c>
      <c r="B472" t="str">
        <f>IF('ATP Pos'!A472="","",SEARCH("_",'ATP Pos'!A472,1))</f>
        <v/>
      </c>
      <c r="C472" t="str">
        <f>IF(A472="","",IF('ATP Pos'!E472="-","",IF('ATP Pos'!E472&gt;0,"Buy",IF('ATP Pos'!E472&lt;0,"Sell"))))</f>
        <v/>
      </c>
      <c r="D472" t="str">
        <f>IF(A472="","",IF('ATP Pos'!E472="-","",IF('ATP Pos'!E472&gt;0,'ATP Pos'!E472,IF('ATP Pos'!E472&lt;0,-'ATP Pos'!E472))))</f>
        <v/>
      </c>
      <c r="E472" t="str">
        <f>IF(A472="","",LEFT('ATP Pos'!B472,F472-1))</f>
        <v/>
      </c>
      <c r="F472" t="str">
        <f>IF(A472="","",SEARCH("-",'ATP Pos'!B472,1))</f>
        <v/>
      </c>
      <c r="G472" t="str">
        <f>IF(A472="","",RIGHT('ATP Pos'!B472,3))</f>
        <v/>
      </c>
      <c r="H472" t="str">
        <f t="shared" si="35"/>
        <v/>
      </c>
      <c r="I472" t="str">
        <f t="shared" si="36"/>
        <v/>
      </c>
      <c r="J472" t="str">
        <f>IF(H472="","",VLOOKUP(I472,表3_3[],2,0))</f>
        <v/>
      </c>
      <c r="K472" t="str">
        <f>IF(H472="","",VLOOKUP(I472,表3_3[],3,0))</f>
        <v/>
      </c>
      <c r="L472" t="str">
        <f>IF(A472="","",IF(G472="LME","",VLOOKUP(RIGHT(E472,2),Helper1!$O$36:$P$48,2,0)))</f>
        <v/>
      </c>
      <c r="M472" t="str">
        <f t="shared" si="37"/>
        <v/>
      </c>
      <c r="N472" t="str">
        <f t="shared" si="38"/>
        <v/>
      </c>
      <c r="O472" t="str">
        <f t="shared" si="39"/>
        <v/>
      </c>
    </row>
    <row r="473" spans="1:15">
      <c r="A473" t="str">
        <f>IF('ATP Pos'!A473="","",LEFT('ATP Pos'!A473,B473-1))</f>
        <v/>
      </c>
      <c r="B473" t="str">
        <f>IF('ATP Pos'!A473="","",SEARCH("_",'ATP Pos'!A473,1))</f>
        <v/>
      </c>
      <c r="C473" t="str">
        <f>IF(A473="","",IF('ATP Pos'!E473="-","",IF('ATP Pos'!E473&gt;0,"Buy",IF('ATP Pos'!E473&lt;0,"Sell"))))</f>
        <v/>
      </c>
      <c r="D473" t="str">
        <f>IF(A473="","",IF('ATP Pos'!E473="-","",IF('ATP Pos'!E473&gt;0,'ATP Pos'!E473,IF('ATP Pos'!E473&lt;0,-'ATP Pos'!E473))))</f>
        <v/>
      </c>
      <c r="E473" t="str">
        <f>IF(A473="","",LEFT('ATP Pos'!B473,F473-1))</f>
        <v/>
      </c>
      <c r="F473" t="str">
        <f>IF(A473="","",SEARCH("-",'ATP Pos'!B473,1))</f>
        <v/>
      </c>
      <c r="G473" t="str">
        <f>IF(A473="","",RIGHT('ATP Pos'!B473,3))</f>
        <v/>
      </c>
      <c r="H473" t="str">
        <f t="shared" si="35"/>
        <v/>
      </c>
      <c r="I473" t="str">
        <f t="shared" si="36"/>
        <v/>
      </c>
      <c r="J473" t="str">
        <f>IF(H473="","",VLOOKUP(I473,表3_3[],2,0))</f>
        <v/>
      </c>
      <c r="K473" t="str">
        <f>IF(H473="","",VLOOKUP(I473,表3_3[],3,0))</f>
        <v/>
      </c>
      <c r="L473" t="str">
        <f>IF(A473="","",IF(G473="LME","",VLOOKUP(RIGHT(E473,2),Helper1!$O$36:$P$48,2,0)))</f>
        <v/>
      </c>
      <c r="M473" t="str">
        <f t="shared" si="37"/>
        <v/>
      </c>
      <c r="N473" t="str">
        <f t="shared" si="38"/>
        <v/>
      </c>
      <c r="O473" t="str">
        <f t="shared" si="39"/>
        <v/>
      </c>
    </row>
    <row r="474" spans="1:15">
      <c r="A474" t="str">
        <f>IF('ATP Pos'!A474="","",LEFT('ATP Pos'!A474,B474-1))</f>
        <v/>
      </c>
      <c r="B474" t="str">
        <f>IF('ATP Pos'!A474="","",SEARCH("_",'ATP Pos'!A474,1))</f>
        <v/>
      </c>
      <c r="C474" t="str">
        <f>IF(A474="","",IF('ATP Pos'!E474="-","",IF('ATP Pos'!E474&gt;0,"Buy",IF('ATP Pos'!E474&lt;0,"Sell"))))</f>
        <v/>
      </c>
      <c r="D474" t="str">
        <f>IF(A474="","",IF('ATP Pos'!E474="-","",IF('ATP Pos'!E474&gt;0,'ATP Pos'!E474,IF('ATP Pos'!E474&lt;0,-'ATP Pos'!E474))))</f>
        <v/>
      </c>
      <c r="E474" t="str">
        <f>IF(A474="","",LEFT('ATP Pos'!B474,F474-1))</f>
        <v/>
      </c>
      <c r="F474" t="str">
        <f>IF(A474="","",SEARCH("-",'ATP Pos'!B474,1))</f>
        <v/>
      </c>
      <c r="G474" t="str">
        <f>IF(A474="","",RIGHT('ATP Pos'!B474,3))</f>
        <v/>
      </c>
      <c r="H474" t="str">
        <f t="shared" si="35"/>
        <v/>
      </c>
      <c r="I474" t="str">
        <f t="shared" si="36"/>
        <v/>
      </c>
      <c r="J474" t="str">
        <f>IF(H474="","",VLOOKUP(I474,表3_3[],2,0))</f>
        <v/>
      </c>
      <c r="K474" t="str">
        <f>IF(H474="","",VLOOKUP(I474,表3_3[],3,0))</f>
        <v/>
      </c>
      <c r="L474" t="str">
        <f>IF(A474="","",IF(G474="LME","",VLOOKUP(RIGHT(E474,2),Helper1!$O$36:$P$48,2,0)))</f>
        <v/>
      </c>
      <c r="M474" t="str">
        <f t="shared" si="37"/>
        <v/>
      </c>
      <c r="N474" t="str">
        <f t="shared" si="38"/>
        <v/>
      </c>
      <c r="O474" t="str">
        <f t="shared" si="39"/>
        <v/>
      </c>
    </row>
    <row r="475" spans="1:15">
      <c r="A475" t="str">
        <f>IF('ATP Pos'!A475="","",LEFT('ATP Pos'!A475,B475-1))</f>
        <v/>
      </c>
      <c r="B475" t="str">
        <f>IF('ATP Pos'!A475="","",SEARCH("_",'ATP Pos'!A475,1))</f>
        <v/>
      </c>
      <c r="C475" t="str">
        <f>IF(A475="","",IF('ATP Pos'!E475="-","",IF('ATP Pos'!E475&gt;0,"Buy",IF('ATP Pos'!E475&lt;0,"Sell"))))</f>
        <v/>
      </c>
      <c r="D475" t="str">
        <f>IF(A475="","",IF('ATP Pos'!E475="-","",IF('ATP Pos'!E475&gt;0,'ATP Pos'!E475,IF('ATP Pos'!E475&lt;0,-'ATP Pos'!E475))))</f>
        <v/>
      </c>
      <c r="E475" t="str">
        <f>IF(A475="","",LEFT('ATP Pos'!B475,F475-1))</f>
        <v/>
      </c>
      <c r="F475" t="str">
        <f>IF(A475="","",SEARCH("-",'ATP Pos'!B475,1))</f>
        <v/>
      </c>
      <c r="G475" t="str">
        <f>IF(A475="","",RIGHT('ATP Pos'!B475,3))</f>
        <v/>
      </c>
      <c r="H475" t="str">
        <f t="shared" si="35"/>
        <v/>
      </c>
      <c r="I475" t="str">
        <f t="shared" si="36"/>
        <v/>
      </c>
      <c r="J475" t="str">
        <f>IF(H475="","",VLOOKUP(I475,表3_3[],2,0))</f>
        <v/>
      </c>
      <c r="K475" t="str">
        <f>IF(H475="","",VLOOKUP(I475,表3_3[],3,0))</f>
        <v/>
      </c>
      <c r="L475" t="str">
        <f>IF(A475="","",IF(G475="LME","",VLOOKUP(RIGHT(E475,2),Helper1!$O$36:$P$48,2,0)))</f>
        <v/>
      </c>
      <c r="M475" t="str">
        <f t="shared" si="37"/>
        <v/>
      </c>
      <c r="N475" t="str">
        <f t="shared" si="38"/>
        <v/>
      </c>
      <c r="O475" t="str">
        <f t="shared" si="39"/>
        <v/>
      </c>
    </row>
    <row r="476" spans="1:15">
      <c r="A476" t="str">
        <f>IF('ATP Pos'!A476="","",LEFT('ATP Pos'!A476,B476-1))</f>
        <v/>
      </c>
      <c r="B476" t="str">
        <f>IF('ATP Pos'!A476="","",SEARCH("_",'ATP Pos'!A476,1))</f>
        <v/>
      </c>
      <c r="C476" t="str">
        <f>IF(A476="","",IF('ATP Pos'!E476="-","",IF('ATP Pos'!E476&gt;0,"Buy",IF('ATP Pos'!E476&lt;0,"Sell"))))</f>
        <v/>
      </c>
      <c r="D476" t="str">
        <f>IF(A476="","",IF('ATP Pos'!E476="-","",IF('ATP Pos'!E476&gt;0,'ATP Pos'!E476,IF('ATP Pos'!E476&lt;0,-'ATP Pos'!E476))))</f>
        <v/>
      </c>
      <c r="E476" t="str">
        <f>IF(A476="","",LEFT('ATP Pos'!B476,F476-1))</f>
        <v/>
      </c>
      <c r="F476" t="str">
        <f>IF(A476="","",SEARCH("-",'ATP Pos'!B476,1))</f>
        <v/>
      </c>
      <c r="G476" t="str">
        <f>IF(A476="","",RIGHT('ATP Pos'!B476,3))</f>
        <v/>
      </c>
      <c r="H476" t="str">
        <f t="shared" si="35"/>
        <v/>
      </c>
      <c r="I476" t="str">
        <f t="shared" si="36"/>
        <v/>
      </c>
      <c r="J476" t="str">
        <f>IF(H476="","",VLOOKUP(I476,表3_3[],2,0))</f>
        <v/>
      </c>
      <c r="K476" t="str">
        <f>IF(H476="","",VLOOKUP(I476,表3_3[],3,0))</f>
        <v/>
      </c>
      <c r="L476" t="str">
        <f>IF(A476="","",IF(G476="LME","",VLOOKUP(RIGHT(E476,2),Helper1!$O$36:$P$48,2,0)))</f>
        <v/>
      </c>
      <c r="M476" t="str">
        <f t="shared" si="37"/>
        <v/>
      </c>
      <c r="N476" t="str">
        <f t="shared" si="38"/>
        <v/>
      </c>
      <c r="O476" t="str">
        <f t="shared" si="39"/>
        <v/>
      </c>
    </row>
    <row r="477" spans="1:15">
      <c r="A477" t="str">
        <f>IF('ATP Pos'!A477="","",LEFT('ATP Pos'!A477,B477-1))</f>
        <v/>
      </c>
      <c r="B477" t="str">
        <f>IF('ATP Pos'!A477="","",SEARCH("_",'ATP Pos'!A477,1))</f>
        <v/>
      </c>
      <c r="C477" t="str">
        <f>IF(A477="","",IF('ATP Pos'!E477="-","",IF('ATP Pos'!E477&gt;0,"Buy",IF('ATP Pos'!E477&lt;0,"Sell"))))</f>
        <v/>
      </c>
      <c r="D477" t="str">
        <f>IF(A477="","",IF('ATP Pos'!E477="-","",IF('ATP Pos'!E477&gt;0,'ATP Pos'!E477,IF('ATP Pos'!E477&lt;0,-'ATP Pos'!E477))))</f>
        <v/>
      </c>
      <c r="E477" t="str">
        <f>IF(A477="","",LEFT('ATP Pos'!B477,F477-1))</f>
        <v/>
      </c>
      <c r="F477" t="str">
        <f>IF(A477="","",SEARCH("-",'ATP Pos'!B477,1))</f>
        <v/>
      </c>
      <c r="G477" t="str">
        <f>IF(A477="","",RIGHT('ATP Pos'!B477,3))</f>
        <v/>
      </c>
      <c r="H477" t="str">
        <f t="shared" si="35"/>
        <v/>
      </c>
      <c r="I477" t="str">
        <f t="shared" si="36"/>
        <v/>
      </c>
      <c r="J477" t="str">
        <f>IF(H477="","",VLOOKUP(I477,表3_3[],2,0))</f>
        <v/>
      </c>
      <c r="K477" t="str">
        <f>IF(H477="","",VLOOKUP(I477,表3_3[],3,0))</f>
        <v/>
      </c>
      <c r="L477" t="str">
        <f>IF(A477="","",IF(G477="LME","",VLOOKUP(RIGHT(E477,2),Helper1!$O$36:$P$48,2,0)))</f>
        <v/>
      </c>
      <c r="M477" t="str">
        <f t="shared" si="37"/>
        <v/>
      </c>
      <c r="N477" t="str">
        <f t="shared" si="38"/>
        <v/>
      </c>
      <c r="O477" t="str">
        <f t="shared" si="39"/>
        <v/>
      </c>
    </row>
    <row r="478" spans="1:15">
      <c r="A478" t="str">
        <f>IF('ATP Pos'!A478="","",LEFT('ATP Pos'!A478,B478-1))</f>
        <v/>
      </c>
      <c r="B478" t="str">
        <f>IF('ATP Pos'!A478="","",SEARCH("_",'ATP Pos'!A478,1))</f>
        <v/>
      </c>
      <c r="C478" t="str">
        <f>IF(A478="","",IF('ATP Pos'!E478="-","",IF('ATP Pos'!E478&gt;0,"Buy",IF('ATP Pos'!E478&lt;0,"Sell"))))</f>
        <v/>
      </c>
      <c r="D478" t="str">
        <f>IF(A478="","",IF('ATP Pos'!E478="-","",IF('ATP Pos'!E478&gt;0,'ATP Pos'!E478,IF('ATP Pos'!E478&lt;0,-'ATP Pos'!E478))))</f>
        <v/>
      </c>
      <c r="E478" t="str">
        <f>IF(A478="","",LEFT('ATP Pos'!B478,F478-1))</f>
        <v/>
      </c>
      <c r="F478" t="str">
        <f>IF(A478="","",SEARCH("-",'ATP Pos'!B478,1))</f>
        <v/>
      </c>
      <c r="G478" t="str">
        <f>IF(A478="","",RIGHT('ATP Pos'!B478,3))</f>
        <v/>
      </c>
      <c r="H478" t="str">
        <f t="shared" si="35"/>
        <v/>
      </c>
      <c r="I478" t="str">
        <f t="shared" si="36"/>
        <v/>
      </c>
      <c r="J478" t="str">
        <f>IF(H478="","",VLOOKUP(I478,表3_3[],2,0))</f>
        <v/>
      </c>
      <c r="K478" t="str">
        <f>IF(H478="","",VLOOKUP(I478,表3_3[],3,0))</f>
        <v/>
      </c>
      <c r="L478" t="str">
        <f>IF(A478="","",IF(G478="LME","",VLOOKUP(RIGHT(E478,2),Helper1!$O$36:$P$48,2,0)))</f>
        <v/>
      </c>
      <c r="M478" t="str">
        <f t="shared" si="37"/>
        <v/>
      </c>
      <c r="N478" t="str">
        <f t="shared" si="38"/>
        <v/>
      </c>
      <c r="O478" t="str">
        <f t="shared" si="39"/>
        <v/>
      </c>
    </row>
    <row r="479" spans="1:15">
      <c r="A479" t="str">
        <f>IF('ATP Pos'!A479="","",LEFT('ATP Pos'!A479,B479-1))</f>
        <v/>
      </c>
      <c r="B479" t="str">
        <f>IF('ATP Pos'!A479="","",SEARCH("_",'ATP Pos'!A479,1))</f>
        <v/>
      </c>
      <c r="C479" t="str">
        <f>IF(A479="","",IF('ATP Pos'!E479="-","",IF('ATP Pos'!E479&gt;0,"Buy",IF('ATP Pos'!E479&lt;0,"Sell"))))</f>
        <v/>
      </c>
      <c r="D479" t="str">
        <f>IF(A479="","",IF('ATP Pos'!E479="-","",IF('ATP Pos'!E479&gt;0,'ATP Pos'!E479,IF('ATP Pos'!E479&lt;0,-'ATP Pos'!E479))))</f>
        <v/>
      </c>
      <c r="E479" t="str">
        <f>IF(A479="","",LEFT('ATP Pos'!B479,F479-1))</f>
        <v/>
      </c>
      <c r="F479" t="str">
        <f>IF(A479="","",SEARCH("-",'ATP Pos'!B479,1))</f>
        <v/>
      </c>
      <c r="G479" t="str">
        <f>IF(A479="","",RIGHT('ATP Pos'!B479,3))</f>
        <v/>
      </c>
      <c r="H479" t="str">
        <f t="shared" si="35"/>
        <v/>
      </c>
      <c r="I479" t="str">
        <f t="shared" si="36"/>
        <v/>
      </c>
      <c r="J479" t="str">
        <f>IF(H479="","",VLOOKUP(I479,表3_3[],2,0))</f>
        <v/>
      </c>
      <c r="K479" t="str">
        <f>IF(H479="","",VLOOKUP(I479,表3_3[],3,0))</f>
        <v/>
      </c>
      <c r="L479" t="str">
        <f>IF(A479="","",IF(G479="LME","",VLOOKUP(RIGHT(E479,2),Helper1!$O$36:$P$48,2,0)))</f>
        <v/>
      </c>
      <c r="M479" t="str">
        <f t="shared" si="37"/>
        <v/>
      </c>
      <c r="N479" t="str">
        <f t="shared" si="38"/>
        <v/>
      </c>
      <c r="O479" t="str">
        <f t="shared" si="39"/>
        <v/>
      </c>
    </row>
    <row r="480" spans="1:15">
      <c r="A480" t="str">
        <f>IF('ATP Pos'!A480="","",LEFT('ATP Pos'!A480,B480-1))</f>
        <v/>
      </c>
      <c r="B480" t="str">
        <f>IF('ATP Pos'!A480="","",SEARCH("_",'ATP Pos'!A480,1))</f>
        <v/>
      </c>
      <c r="C480" t="str">
        <f>IF(A480="","",IF('ATP Pos'!E480="-","",IF('ATP Pos'!E480&gt;0,"Buy",IF('ATP Pos'!E480&lt;0,"Sell"))))</f>
        <v/>
      </c>
      <c r="D480" t="str">
        <f>IF(A480="","",IF('ATP Pos'!E480="-","",IF('ATP Pos'!E480&gt;0,'ATP Pos'!E480,IF('ATP Pos'!E480&lt;0,-'ATP Pos'!E480))))</f>
        <v/>
      </c>
      <c r="E480" t="str">
        <f>IF(A480="","",LEFT('ATP Pos'!B480,F480-1))</f>
        <v/>
      </c>
      <c r="F480" t="str">
        <f>IF(A480="","",SEARCH("-",'ATP Pos'!B480,1))</f>
        <v/>
      </c>
      <c r="G480" t="str">
        <f>IF(A480="","",RIGHT('ATP Pos'!B480,3))</f>
        <v/>
      </c>
      <c r="H480" t="str">
        <f t="shared" si="35"/>
        <v/>
      </c>
      <c r="I480" t="str">
        <f t="shared" si="36"/>
        <v/>
      </c>
      <c r="J480" t="str">
        <f>IF(H480="","",VLOOKUP(I480,表3_3[],2,0))</f>
        <v/>
      </c>
      <c r="K480" t="str">
        <f>IF(H480="","",VLOOKUP(I480,表3_3[],3,0))</f>
        <v/>
      </c>
      <c r="L480" t="str">
        <f>IF(A480="","",IF(G480="LME","",VLOOKUP(RIGHT(E480,2),Helper1!$O$36:$P$48,2,0)))</f>
        <v/>
      </c>
      <c r="M480" t="str">
        <f t="shared" si="37"/>
        <v/>
      </c>
      <c r="N480" t="str">
        <f t="shared" si="38"/>
        <v/>
      </c>
      <c r="O480" t="str">
        <f t="shared" si="39"/>
        <v/>
      </c>
    </row>
    <row r="481" spans="1:15">
      <c r="A481" t="str">
        <f>IF('ATP Pos'!A481="","",LEFT('ATP Pos'!A481,B481-1))</f>
        <v/>
      </c>
      <c r="B481" t="str">
        <f>IF('ATP Pos'!A481="","",SEARCH("_",'ATP Pos'!A481,1))</f>
        <v/>
      </c>
      <c r="C481" t="str">
        <f>IF(A481="","",IF('ATP Pos'!E481="-","",IF('ATP Pos'!E481&gt;0,"Buy",IF('ATP Pos'!E481&lt;0,"Sell"))))</f>
        <v/>
      </c>
      <c r="D481" t="str">
        <f>IF(A481="","",IF('ATP Pos'!E481="-","",IF('ATP Pos'!E481&gt;0,'ATP Pos'!E481,IF('ATP Pos'!E481&lt;0,-'ATP Pos'!E481))))</f>
        <v/>
      </c>
      <c r="E481" t="str">
        <f>IF(A481="","",LEFT('ATP Pos'!B481,F481-1))</f>
        <v/>
      </c>
      <c r="F481" t="str">
        <f>IF(A481="","",SEARCH("-",'ATP Pos'!B481,1))</f>
        <v/>
      </c>
      <c r="G481" t="str">
        <f>IF(A481="","",RIGHT('ATP Pos'!B481,3))</f>
        <v/>
      </c>
      <c r="H481" t="str">
        <f t="shared" si="35"/>
        <v/>
      </c>
      <c r="I481" t="str">
        <f t="shared" si="36"/>
        <v/>
      </c>
      <c r="J481" t="str">
        <f>IF(H481="","",VLOOKUP(I481,表3_3[],2,0))</f>
        <v/>
      </c>
      <c r="K481" t="str">
        <f>IF(H481="","",VLOOKUP(I481,表3_3[],3,0))</f>
        <v/>
      </c>
      <c r="L481" t="str">
        <f>IF(A481="","",IF(G481="LME","",VLOOKUP(RIGHT(E481,2),Helper1!$O$36:$P$48,2,0)))</f>
        <v/>
      </c>
      <c r="M481" t="str">
        <f t="shared" si="37"/>
        <v/>
      </c>
      <c r="N481" t="str">
        <f t="shared" si="38"/>
        <v/>
      </c>
      <c r="O481" t="str">
        <f t="shared" si="39"/>
        <v/>
      </c>
    </row>
    <row r="482" spans="1:15">
      <c r="A482" t="str">
        <f>IF('ATP Pos'!A482="","",LEFT('ATP Pos'!A482,B482-1))</f>
        <v/>
      </c>
      <c r="B482" t="str">
        <f>IF('ATP Pos'!A482="","",SEARCH("_",'ATP Pos'!A482,1))</f>
        <v/>
      </c>
      <c r="C482" t="str">
        <f>IF(A482="","",IF('ATP Pos'!E482="-","",IF('ATP Pos'!E482&gt;0,"Buy",IF('ATP Pos'!E482&lt;0,"Sell"))))</f>
        <v/>
      </c>
      <c r="D482" t="str">
        <f>IF(A482="","",IF('ATP Pos'!E482="-","",IF('ATP Pos'!E482&gt;0,'ATP Pos'!E482,IF('ATP Pos'!E482&lt;0,-'ATP Pos'!E482))))</f>
        <v/>
      </c>
      <c r="E482" t="str">
        <f>IF(A482="","",LEFT('ATP Pos'!B482,F482-1))</f>
        <v/>
      </c>
      <c r="F482" t="str">
        <f>IF(A482="","",SEARCH("-",'ATP Pos'!B482,1))</f>
        <v/>
      </c>
      <c r="G482" t="str">
        <f>IF(A482="","",RIGHT('ATP Pos'!B482,3))</f>
        <v/>
      </c>
      <c r="H482" t="str">
        <f t="shared" si="35"/>
        <v/>
      </c>
      <c r="I482" t="str">
        <f t="shared" si="36"/>
        <v/>
      </c>
      <c r="J482" t="str">
        <f>IF(H482="","",VLOOKUP(I482,表3_3[],2,0))</f>
        <v/>
      </c>
      <c r="K482" t="str">
        <f>IF(H482="","",VLOOKUP(I482,表3_3[],3,0))</f>
        <v/>
      </c>
      <c r="L482" t="str">
        <f>IF(A482="","",IF(G482="LME","",VLOOKUP(RIGHT(E482,2),Helper1!$O$36:$P$48,2,0)))</f>
        <v/>
      </c>
      <c r="M482" t="str">
        <f t="shared" si="37"/>
        <v/>
      </c>
      <c r="N482" t="str">
        <f t="shared" si="38"/>
        <v/>
      </c>
      <c r="O482" t="str">
        <f t="shared" si="39"/>
        <v/>
      </c>
    </row>
    <row r="483" spans="1:15">
      <c r="A483" t="str">
        <f>IF('ATP Pos'!A483="","",LEFT('ATP Pos'!A483,B483-1))</f>
        <v/>
      </c>
      <c r="B483" t="str">
        <f>IF('ATP Pos'!A483="","",SEARCH("_",'ATP Pos'!A483,1))</f>
        <v/>
      </c>
      <c r="C483" t="str">
        <f>IF(A483="","",IF('ATP Pos'!E483="-","",IF('ATP Pos'!E483&gt;0,"Buy",IF('ATP Pos'!E483&lt;0,"Sell"))))</f>
        <v/>
      </c>
      <c r="D483" t="str">
        <f>IF(A483="","",IF('ATP Pos'!E483="-","",IF('ATP Pos'!E483&gt;0,'ATP Pos'!E483,IF('ATP Pos'!E483&lt;0,-'ATP Pos'!E483))))</f>
        <v/>
      </c>
      <c r="E483" t="str">
        <f>IF(A483="","",LEFT('ATP Pos'!B483,F483-1))</f>
        <v/>
      </c>
      <c r="F483" t="str">
        <f>IF(A483="","",SEARCH("-",'ATP Pos'!B483,1))</f>
        <v/>
      </c>
      <c r="G483" t="str">
        <f>IF(A483="","",RIGHT('ATP Pos'!B483,3))</f>
        <v/>
      </c>
      <c r="H483" t="str">
        <f t="shared" si="35"/>
        <v/>
      </c>
      <c r="I483" t="str">
        <f t="shared" si="36"/>
        <v/>
      </c>
      <c r="J483" t="str">
        <f>IF(H483="","",VLOOKUP(I483,表3_3[],2,0))</f>
        <v/>
      </c>
      <c r="K483" t="str">
        <f>IF(H483="","",VLOOKUP(I483,表3_3[],3,0))</f>
        <v/>
      </c>
      <c r="L483" t="str">
        <f>IF(A483="","",IF(G483="LME","",VLOOKUP(RIGHT(E483,2),Helper1!$O$36:$P$48,2,0)))</f>
        <v/>
      </c>
      <c r="M483" t="str">
        <f t="shared" si="37"/>
        <v/>
      </c>
      <c r="N483" t="str">
        <f t="shared" si="38"/>
        <v/>
      </c>
      <c r="O483" t="str">
        <f t="shared" si="39"/>
        <v/>
      </c>
    </row>
    <row r="484" spans="1:15">
      <c r="A484" t="str">
        <f>IF('ATP Pos'!A484="","",LEFT('ATP Pos'!A484,B484-1))</f>
        <v/>
      </c>
      <c r="B484" t="str">
        <f>IF('ATP Pos'!A484="","",SEARCH("_",'ATP Pos'!A484,1))</f>
        <v/>
      </c>
      <c r="C484" t="str">
        <f>IF(A484="","",IF('ATP Pos'!E484="-","",IF('ATP Pos'!E484&gt;0,"Buy",IF('ATP Pos'!E484&lt;0,"Sell"))))</f>
        <v/>
      </c>
      <c r="D484" t="str">
        <f>IF(A484="","",IF('ATP Pos'!E484="-","",IF('ATP Pos'!E484&gt;0,'ATP Pos'!E484,IF('ATP Pos'!E484&lt;0,-'ATP Pos'!E484))))</f>
        <v/>
      </c>
      <c r="E484" t="str">
        <f>IF(A484="","",LEFT('ATP Pos'!B484,F484-1))</f>
        <v/>
      </c>
      <c r="F484" t="str">
        <f>IF(A484="","",SEARCH("-",'ATP Pos'!B484,1))</f>
        <v/>
      </c>
      <c r="G484" t="str">
        <f>IF(A484="","",RIGHT('ATP Pos'!B484,3))</f>
        <v/>
      </c>
      <c r="H484" t="str">
        <f t="shared" si="35"/>
        <v/>
      </c>
      <c r="I484" t="str">
        <f t="shared" si="36"/>
        <v/>
      </c>
      <c r="J484" t="str">
        <f>IF(H484="","",VLOOKUP(I484,表3_3[],2,0))</f>
        <v/>
      </c>
      <c r="K484" t="str">
        <f>IF(H484="","",VLOOKUP(I484,表3_3[],3,0))</f>
        <v/>
      </c>
      <c r="L484" t="str">
        <f>IF(A484="","",IF(G484="LME","",VLOOKUP(RIGHT(E484,2),Helper1!$O$36:$P$48,2,0)))</f>
        <v/>
      </c>
      <c r="M484" t="str">
        <f t="shared" si="37"/>
        <v/>
      </c>
      <c r="N484" t="str">
        <f t="shared" si="38"/>
        <v/>
      </c>
      <c r="O484" t="str">
        <f t="shared" si="39"/>
        <v/>
      </c>
    </row>
    <row r="485" spans="1:15">
      <c r="A485" t="str">
        <f>IF('ATP Pos'!A485="","",LEFT('ATP Pos'!A485,B485-1))</f>
        <v/>
      </c>
      <c r="B485" t="str">
        <f>IF('ATP Pos'!A485="","",SEARCH("_",'ATP Pos'!A485,1))</f>
        <v/>
      </c>
      <c r="C485" t="str">
        <f>IF(A485="","",IF('ATP Pos'!E485="-","",IF('ATP Pos'!E485&gt;0,"Buy",IF('ATP Pos'!E485&lt;0,"Sell"))))</f>
        <v/>
      </c>
      <c r="D485" t="str">
        <f>IF(A485="","",IF('ATP Pos'!E485="-","",IF('ATP Pos'!E485&gt;0,'ATP Pos'!E485,IF('ATP Pos'!E485&lt;0,-'ATP Pos'!E485))))</f>
        <v/>
      </c>
      <c r="E485" t="str">
        <f>IF(A485="","",LEFT('ATP Pos'!B485,F485-1))</f>
        <v/>
      </c>
      <c r="F485" t="str">
        <f>IF(A485="","",SEARCH("-",'ATP Pos'!B485,1))</f>
        <v/>
      </c>
      <c r="G485" t="str">
        <f>IF(A485="","",RIGHT('ATP Pos'!B485,3))</f>
        <v/>
      </c>
      <c r="H485" t="str">
        <f t="shared" si="35"/>
        <v/>
      </c>
      <c r="I485" t="str">
        <f t="shared" si="36"/>
        <v/>
      </c>
      <c r="J485" t="str">
        <f>IF(H485="","",VLOOKUP(I485,表3_3[],2,0))</f>
        <v/>
      </c>
      <c r="K485" t="str">
        <f>IF(H485="","",VLOOKUP(I485,表3_3[],3,0))</f>
        <v/>
      </c>
      <c r="L485" t="str">
        <f>IF(A485="","",IF(G485="LME","",VLOOKUP(RIGHT(E485,2),Helper1!$O$36:$P$48,2,0)))</f>
        <v/>
      </c>
      <c r="M485" t="str">
        <f t="shared" si="37"/>
        <v/>
      </c>
      <c r="N485" t="str">
        <f t="shared" si="38"/>
        <v/>
      </c>
      <c r="O485" t="str">
        <f t="shared" si="39"/>
        <v/>
      </c>
    </row>
    <row r="486" spans="1:15">
      <c r="A486" t="str">
        <f>IF('ATP Pos'!A486="","",LEFT('ATP Pos'!A486,B486-1))</f>
        <v/>
      </c>
      <c r="B486" t="str">
        <f>IF('ATP Pos'!A486="","",SEARCH("_",'ATP Pos'!A486,1))</f>
        <v/>
      </c>
      <c r="C486" t="str">
        <f>IF(A486="","",IF('ATP Pos'!E486="-","",IF('ATP Pos'!E486&gt;0,"Buy",IF('ATP Pos'!E486&lt;0,"Sell"))))</f>
        <v/>
      </c>
      <c r="D486" t="str">
        <f>IF(A486="","",IF('ATP Pos'!E486="-","",IF('ATP Pos'!E486&gt;0,'ATP Pos'!E486,IF('ATP Pos'!E486&lt;0,-'ATP Pos'!E486))))</f>
        <v/>
      </c>
      <c r="E486" t="str">
        <f>IF(A486="","",LEFT('ATP Pos'!B486,F486-1))</f>
        <v/>
      </c>
      <c r="F486" t="str">
        <f>IF(A486="","",SEARCH("-",'ATP Pos'!B486,1))</f>
        <v/>
      </c>
      <c r="G486" t="str">
        <f>IF(A486="","",RIGHT('ATP Pos'!B486,3))</f>
        <v/>
      </c>
      <c r="H486" t="str">
        <f t="shared" si="35"/>
        <v/>
      </c>
      <c r="I486" t="str">
        <f t="shared" si="36"/>
        <v/>
      </c>
      <c r="J486" t="str">
        <f>IF(H486="","",VLOOKUP(I486,表3_3[],2,0))</f>
        <v/>
      </c>
      <c r="K486" t="str">
        <f>IF(H486="","",VLOOKUP(I486,表3_3[],3,0))</f>
        <v/>
      </c>
      <c r="L486" t="str">
        <f>IF(A486="","",IF(G486="LME","",VLOOKUP(RIGHT(E486,2),Helper1!$O$36:$P$48,2,0)))</f>
        <v/>
      </c>
      <c r="M486" t="str">
        <f t="shared" si="37"/>
        <v/>
      </c>
      <c r="N486" t="str">
        <f t="shared" si="38"/>
        <v/>
      </c>
      <c r="O486" t="str">
        <f t="shared" si="39"/>
        <v/>
      </c>
    </row>
    <row r="487" spans="1:15">
      <c r="A487" t="str">
        <f>IF('ATP Pos'!A487="","",LEFT('ATP Pos'!A487,B487-1))</f>
        <v/>
      </c>
      <c r="B487" t="str">
        <f>IF('ATP Pos'!A487="","",SEARCH("_",'ATP Pos'!A487,1))</f>
        <v/>
      </c>
      <c r="C487" t="str">
        <f>IF(A487="","",IF('ATP Pos'!E487="-","",IF('ATP Pos'!E487&gt;0,"Buy",IF('ATP Pos'!E487&lt;0,"Sell"))))</f>
        <v/>
      </c>
      <c r="D487" t="str">
        <f>IF(A487="","",IF('ATP Pos'!E487="-","",IF('ATP Pos'!E487&gt;0,'ATP Pos'!E487,IF('ATP Pos'!E487&lt;0,-'ATP Pos'!E487))))</f>
        <v/>
      </c>
      <c r="E487" t="str">
        <f>IF(A487="","",LEFT('ATP Pos'!B487,F487-1))</f>
        <v/>
      </c>
      <c r="F487" t="str">
        <f>IF(A487="","",SEARCH("-",'ATP Pos'!B487,1))</f>
        <v/>
      </c>
      <c r="G487" t="str">
        <f>IF(A487="","",RIGHT('ATP Pos'!B487,3))</f>
        <v/>
      </c>
      <c r="H487" t="str">
        <f t="shared" si="35"/>
        <v/>
      </c>
      <c r="I487" t="str">
        <f t="shared" si="36"/>
        <v/>
      </c>
      <c r="J487" t="str">
        <f>IF(H487="","",VLOOKUP(I487,表3_3[],2,0))</f>
        <v/>
      </c>
      <c r="K487" t="str">
        <f>IF(H487="","",VLOOKUP(I487,表3_3[],3,0))</f>
        <v/>
      </c>
      <c r="L487" t="str">
        <f>IF(A487="","",IF(G487="LME","",VLOOKUP(RIGHT(E487,2),Helper1!$O$36:$P$48,2,0)))</f>
        <v/>
      </c>
      <c r="M487" t="str">
        <f t="shared" si="37"/>
        <v/>
      </c>
      <c r="N487" t="str">
        <f t="shared" si="38"/>
        <v/>
      </c>
      <c r="O487" t="str">
        <f t="shared" si="39"/>
        <v/>
      </c>
    </row>
    <row r="488" spans="1:15">
      <c r="A488" t="str">
        <f>IF('ATP Pos'!A488="","",LEFT('ATP Pos'!A488,B488-1))</f>
        <v/>
      </c>
      <c r="B488" t="str">
        <f>IF('ATP Pos'!A488="","",SEARCH("_",'ATP Pos'!A488,1))</f>
        <v/>
      </c>
      <c r="C488" t="str">
        <f>IF(A488="","",IF('ATP Pos'!E488="-","",IF('ATP Pos'!E488&gt;0,"Buy",IF('ATP Pos'!E488&lt;0,"Sell"))))</f>
        <v/>
      </c>
      <c r="D488" t="str">
        <f>IF(A488="","",IF('ATP Pos'!E488="-","",IF('ATP Pos'!E488&gt;0,'ATP Pos'!E488,IF('ATP Pos'!E488&lt;0,-'ATP Pos'!E488))))</f>
        <v/>
      </c>
      <c r="E488" t="str">
        <f>IF(A488="","",LEFT('ATP Pos'!B488,F488-1))</f>
        <v/>
      </c>
      <c r="F488" t="str">
        <f>IF(A488="","",SEARCH("-",'ATP Pos'!B488,1))</f>
        <v/>
      </c>
      <c r="G488" t="str">
        <f>IF(A488="","",RIGHT('ATP Pos'!B488,3))</f>
        <v/>
      </c>
      <c r="H488" t="str">
        <f t="shared" si="35"/>
        <v/>
      </c>
      <c r="I488" t="str">
        <f t="shared" si="36"/>
        <v/>
      </c>
      <c r="J488" t="str">
        <f>IF(H488="","",VLOOKUP(I488,表3_3[],2,0))</f>
        <v/>
      </c>
      <c r="K488" t="str">
        <f>IF(H488="","",VLOOKUP(I488,表3_3[],3,0))</f>
        <v/>
      </c>
      <c r="L488" t="str">
        <f>IF(A488="","",IF(G488="LME","",VLOOKUP(RIGHT(E488,2),Helper1!$O$36:$P$48,2,0)))</f>
        <v/>
      </c>
      <c r="M488" t="str">
        <f t="shared" si="37"/>
        <v/>
      </c>
      <c r="N488" t="str">
        <f t="shared" si="38"/>
        <v/>
      </c>
      <c r="O488" t="str">
        <f t="shared" si="39"/>
        <v/>
      </c>
    </row>
    <row r="489" spans="1:15">
      <c r="A489" t="str">
        <f>IF('ATP Pos'!A489="","",LEFT('ATP Pos'!A489,B489-1))</f>
        <v/>
      </c>
      <c r="B489" t="str">
        <f>IF('ATP Pos'!A489="","",SEARCH("_",'ATP Pos'!A489,1))</f>
        <v/>
      </c>
      <c r="C489" t="str">
        <f>IF(A489="","",IF('ATP Pos'!E489="-","",IF('ATP Pos'!E489&gt;0,"Buy",IF('ATP Pos'!E489&lt;0,"Sell"))))</f>
        <v/>
      </c>
      <c r="D489" t="str">
        <f>IF(A489="","",IF('ATP Pos'!E489="-","",IF('ATP Pos'!E489&gt;0,'ATP Pos'!E489,IF('ATP Pos'!E489&lt;0,-'ATP Pos'!E489))))</f>
        <v/>
      </c>
      <c r="E489" t="str">
        <f>IF(A489="","",LEFT('ATP Pos'!B489,F489-1))</f>
        <v/>
      </c>
      <c r="F489" t="str">
        <f>IF(A489="","",SEARCH("-",'ATP Pos'!B489,1))</f>
        <v/>
      </c>
      <c r="G489" t="str">
        <f>IF(A489="","",RIGHT('ATP Pos'!B489,3))</f>
        <v/>
      </c>
      <c r="H489" t="str">
        <f t="shared" si="35"/>
        <v/>
      </c>
      <c r="I489" t="str">
        <f t="shared" si="36"/>
        <v/>
      </c>
      <c r="J489" t="str">
        <f>IF(H489="","",VLOOKUP(I489,表3_3[],2,0))</f>
        <v/>
      </c>
      <c r="K489" t="str">
        <f>IF(H489="","",VLOOKUP(I489,表3_3[],3,0))</f>
        <v/>
      </c>
      <c r="L489" t="str">
        <f>IF(A489="","",IF(G489="LME","",VLOOKUP(RIGHT(E489,2),Helper1!$O$36:$P$48,2,0)))</f>
        <v/>
      </c>
      <c r="M489" t="str">
        <f t="shared" si="37"/>
        <v/>
      </c>
      <c r="N489" t="str">
        <f t="shared" si="38"/>
        <v/>
      </c>
      <c r="O489" t="str">
        <f t="shared" si="39"/>
        <v/>
      </c>
    </row>
    <row r="490" spans="1:15">
      <c r="A490" t="str">
        <f>IF('ATP Pos'!A490="","",LEFT('ATP Pos'!A490,B490-1))</f>
        <v/>
      </c>
      <c r="B490" t="str">
        <f>IF('ATP Pos'!A490="","",SEARCH("_",'ATP Pos'!A490,1))</f>
        <v/>
      </c>
      <c r="C490" t="str">
        <f>IF(A490="","",IF('ATP Pos'!E490="-","",IF('ATP Pos'!E490&gt;0,"Buy",IF('ATP Pos'!E490&lt;0,"Sell"))))</f>
        <v/>
      </c>
      <c r="D490" t="str">
        <f>IF(A490="","",IF('ATP Pos'!E490="-","",IF('ATP Pos'!E490&gt;0,'ATP Pos'!E490,IF('ATP Pos'!E490&lt;0,-'ATP Pos'!E490))))</f>
        <v/>
      </c>
      <c r="E490" t="str">
        <f>IF(A490="","",LEFT('ATP Pos'!B490,F490-1))</f>
        <v/>
      </c>
      <c r="F490" t="str">
        <f>IF(A490="","",SEARCH("-",'ATP Pos'!B490,1))</f>
        <v/>
      </c>
      <c r="G490" t="str">
        <f>IF(A490="","",RIGHT('ATP Pos'!B490,3))</f>
        <v/>
      </c>
      <c r="H490" t="str">
        <f t="shared" si="35"/>
        <v/>
      </c>
      <c r="I490" t="str">
        <f t="shared" si="36"/>
        <v/>
      </c>
      <c r="J490" t="str">
        <f>IF(H490="","",VLOOKUP(I490,表3_3[],2,0))</f>
        <v/>
      </c>
      <c r="K490" t="str">
        <f>IF(H490="","",VLOOKUP(I490,表3_3[],3,0))</f>
        <v/>
      </c>
      <c r="L490" t="str">
        <f>IF(A490="","",IF(G490="LME","",VLOOKUP(RIGHT(E490,2),Helper1!$O$36:$P$48,2,0)))</f>
        <v/>
      </c>
      <c r="M490" t="str">
        <f t="shared" si="37"/>
        <v/>
      </c>
      <c r="N490" t="str">
        <f t="shared" si="38"/>
        <v/>
      </c>
      <c r="O490" t="str">
        <f t="shared" si="39"/>
        <v/>
      </c>
    </row>
    <row r="491" spans="1:15">
      <c r="A491" t="str">
        <f>IF('ATP Pos'!A491="","",LEFT('ATP Pos'!A491,B491-1))</f>
        <v/>
      </c>
      <c r="B491" t="str">
        <f>IF('ATP Pos'!A491="","",SEARCH("_",'ATP Pos'!A491,1))</f>
        <v/>
      </c>
      <c r="C491" t="str">
        <f>IF(A491="","",IF('ATP Pos'!E491="-","",IF('ATP Pos'!E491&gt;0,"Buy",IF('ATP Pos'!E491&lt;0,"Sell"))))</f>
        <v/>
      </c>
      <c r="D491" t="str">
        <f>IF(A491="","",IF('ATP Pos'!E491="-","",IF('ATP Pos'!E491&gt;0,'ATP Pos'!E491,IF('ATP Pos'!E491&lt;0,-'ATP Pos'!E491))))</f>
        <v/>
      </c>
      <c r="E491" t="str">
        <f>IF(A491="","",LEFT('ATP Pos'!B491,F491-1))</f>
        <v/>
      </c>
      <c r="F491" t="str">
        <f>IF(A491="","",SEARCH("-",'ATP Pos'!B491,1))</f>
        <v/>
      </c>
      <c r="G491" t="str">
        <f>IF(A491="","",RIGHT('ATP Pos'!B491,3))</f>
        <v/>
      </c>
      <c r="H491" t="str">
        <f t="shared" si="35"/>
        <v/>
      </c>
      <c r="I491" t="str">
        <f t="shared" si="36"/>
        <v/>
      </c>
      <c r="J491" t="str">
        <f>IF(H491="","",VLOOKUP(I491,表3_3[],2,0))</f>
        <v/>
      </c>
      <c r="K491" t="str">
        <f>IF(H491="","",VLOOKUP(I491,表3_3[],3,0))</f>
        <v/>
      </c>
      <c r="L491" t="str">
        <f>IF(A491="","",IF(G491="LME","",VLOOKUP(RIGHT(E491,2),Helper1!$O$36:$P$48,2,0)))</f>
        <v/>
      </c>
      <c r="M491" t="str">
        <f t="shared" si="37"/>
        <v/>
      </c>
      <c r="N491" t="str">
        <f t="shared" si="38"/>
        <v/>
      </c>
      <c r="O491" t="str">
        <f t="shared" si="39"/>
        <v/>
      </c>
    </row>
    <row r="492" spans="1:15">
      <c r="A492" t="str">
        <f>IF('ATP Pos'!A492="","",LEFT('ATP Pos'!A492,B492-1))</f>
        <v/>
      </c>
      <c r="B492" t="str">
        <f>IF('ATP Pos'!A492="","",SEARCH("_",'ATP Pos'!A492,1))</f>
        <v/>
      </c>
      <c r="C492" t="str">
        <f>IF(A492="","",IF('ATP Pos'!E492="-","",IF('ATP Pos'!E492&gt;0,"Buy",IF('ATP Pos'!E492&lt;0,"Sell"))))</f>
        <v/>
      </c>
      <c r="D492" t="str">
        <f>IF(A492="","",IF('ATP Pos'!E492="-","",IF('ATP Pos'!E492&gt;0,'ATP Pos'!E492,IF('ATP Pos'!E492&lt;0,-'ATP Pos'!E492))))</f>
        <v/>
      </c>
      <c r="E492" t="str">
        <f>IF(A492="","",LEFT('ATP Pos'!B492,F492-1))</f>
        <v/>
      </c>
      <c r="F492" t="str">
        <f>IF(A492="","",SEARCH("-",'ATP Pos'!B492,1))</f>
        <v/>
      </c>
      <c r="G492" t="str">
        <f>IF(A492="","",RIGHT('ATP Pos'!B492,3))</f>
        <v/>
      </c>
      <c r="H492" t="str">
        <f t="shared" si="35"/>
        <v/>
      </c>
      <c r="I492" t="str">
        <f t="shared" si="36"/>
        <v/>
      </c>
      <c r="J492" t="str">
        <f>IF(H492="","",VLOOKUP(I492,表3_3[],2,0))</f>
        <v/>
      </c>
      <c r="K492" t="str">
        <f>IF(H492="","",VLOOKUP(I492,表3_3[],3,0))</f>
        <v/>
      </c>
      <c r="L492" t="str">
        <f>IF(A492="","",IF(G492="LME","",VLOOKUP(RIGHT(E492,2),Helper1!$O$36:$P$48,2,0)))</f>
        <v/>
      </c>
      <c r="M492" t="str">
        <f t="shared" si="37"/>
        <v/>
      </c>
      <c r="N492" t="str">
        <f t="shared" si="38"/>
        <v/>
      </c>
      <c r="O492" t="str">
        <f t="shared" si="39"/>
        <v/>
      </c>
    </row>
    <row r="493" spans="1:15">
      <c r="A493" t="str">
        <f>IF('ATP Pos'!A493="","",LEFT('ATP Pos'!A493,B493-1))</f>
        <v/>
      </c>
      <c r="B493" t="str">
        <f>IF('ATP Pos'!A493="","",SEARCH("_",'ATP Pos'!A493,1))</f>
        <v/>
      </c>
      <c r="C493" t="str">
        <f>IF(A493="","",IF('ATP Pos'!E493="-","",IF('ATP Pos'!E493&gt;0,"Buy",IF('ATP Pos'!E493&lt;0,"Sell"))))</f>
        <v/>
      </c>
      <c r="D493" t="str">
        <f>IF(A493="","",IF('ATP Pos'!E493="-","",IF('ATP Pos'!E493&gt;0,'ATP Pos'!E493,IF('ATP Pos'!E493&lt;0,-'ATP Pos'!E493))))</f>
        <v/>
      </c>
      <c r="E493" t="str">
        <f>IF(A493="","",LEFT('ATP Pos'!B493,F493-1))</f>
        <v/>
      </c>
      <c r="F493" t="str">
        <f>IF(A493="","",SEARCH("-",'ATP Pos'!B493,1))</f>
        <v/>
      </c>
      <c r="G493" t="str">
        <f>IF(A493="","",RIGHT('ATP Pos'!B493,3))</f>
        <v/>
      </c>
      <c r="H493" t="str">
        <f t="shared" si="35"/>
        <v/>
      </c>
      <c r="I493" t="str">
        <f t="shared" si="36"/>
        <v/>
      </c>
      <c r="J493" t="str">
        <f>IF(H493="","",VLOOKUP(I493,表3_3[],2,0))</f>
        <v/>
      </c>
      <c r="K493" t="str">
        <f>IF(H493="","",VLOOKUP(I493,表3_3[],3,0))</f>
        <v/>
      </c>
      <c r="L493" t="str">
        <f>IF(A493="","",IF(G493="LME","",VLOOKUP(RIGHT(E493,2),Helper1!$O$36:$P$48,2,0)))</f>
        <v/>
      </c>
      <c r="M493" t="str">
        <f t="shared" si="37"/>
        <v/>
      </c>
      <c r="N493" t="str">
        <f t="shared" si="38"/>
        <v/>
      </c>
      <c r="O493" t="str">
        <f t="shared" si="39"/>
        <v/>
      </c>
    </row>
    <row r="494" spans="1:15">
      <c r="A494" t="str">
        <f>IF('ATP Pos'!A494="","",LEFT('ATP Pos'!A494,B494-1))</f>
        <v/>
      </c>
      <c r="B494" t="str">
        <f>IF('ATP Pos'!A494="","",SEARCH("_",'ATP Pos'!A494,1))</f>
        <v/>
      </c>
      <c r="C494" t="str">
        <f>IF(A494="","",IF('ATP Pos'!E494="-","",IF('ATP Pos'!E494&gt;0,"Buy",IF('ATP Pos'!E494&lt;0,"Sell"))))</f>
        <v/>
      </c>
      <c r="D494" t="str">
        <f>IF(A494="","",IF('ATP Pos'!E494="-","",IF('ATP Pos'!E494&gt;0,'ATP Pos'!E494,IF('ATP Pos'!E494&lt;0,-'ATP Pos'!E494))))</f>
        <v/>
      </c>
      <c r="E494" t="str">
        <f>IF(A494="","",LEFT('ATP Pos'!B494,F494-1))</f>
        <v/>
      </c>
      <c r="F494" t="str">
        <f>IF(A494="","",SEARCH("-",'ATP Pos'!B494,1))</f>
        <v/>
      </c>
      <c r="G494" t="str">
        <f>IF(A494="","",RIGHT('ATP Pos'!B494,3))</f>
        <v/>
      </c>
      <c r="H494" t="str">
        <f t="shared" si="35"/>
        <v/>
      </c>
      <c r="I494" t="str">
        <f t="shared" si="36"/>
        <v/>
      </c>
      <c r="J494" t="str">
        <f>IF(H494="","",VLOOKUP(I494,表3_3[],2,0))</f>
        <v/>
      </c>
      <c r="K494" t="str">
        <f>IF(H494="","",VLOOKUP(I494,表3_3[],3,0))</f>
        <v/>
      </c>
      <c r="L494" t="str">
        <f>IF(A494="","",IF(G494="LME","",VLOOKUP(RIGHT(E494,2),Helper1!$O$36:$P$48,2,0)))</f>
        <v/>
      </c>
      <c r="M494" t="str">
        <f t="shared" si="37"/>
        <v/>
      </c>
      <c r="N494" t="str">
        <f t="shared" si="38"/>
        <v/>
      </c>
      <c r="O494" t="str">
        <f t="shared" si="39"/>
        <v/>
      </c>
    </row>
    <row r="495" spans="1:15">
      <c r="A495" t="str">
        <f>IF('ATP Pos'!A495="","",LEFT('ATP Pos'!A495,B495-1))</f>
        <v/>
      </c>
      <c r="B495" t="str">
        <f>IF('ATP Pos'!A495="","",SEARCH("_",'ATP Pos'!A495,1))</f>
        <v/>
      </c>
      <c r="C495" t="str">
        <f>IF(A495="","",IF('ATP Pos'!E495="-","",IF('ATP Pos'!E495&gt;0,"Buy",IF('ATP Pos'!E495&lt;0,"Sell"))))</f>
        <v/>
      </c>
      <c r="D495" t="str">
        <f>IF(A495="","",IF('ATP Pos'!E495="-","",IF('ATP Pos'!E495&gt;0,'ATP Pos'!E495,IF('ATP Pos'!E495&lt;0,-'ATP Pos'!E495))))</f>
        <v/>
      </c>
      <c r="E495" t="str">
        <f>IF(A495="","",LEFT('ATP Pos'!B495,F495-1))</f>
        <v/>
      </c>
      <c r="F495" t="str">
        <f>IF(A495="","",SEARCH("-",'ATP Pos'!B495,1))</f>
        <v/>
      </c>
      <c r="G495" t="str">
        <f>IF(A495="","",RIGHT('ATP Pos'!B495,3))</f>
        <v/>
      </c>
      <c r="H495" t="str">
        <f t="shared" si="35"/>
        <v/>
      </c>
      <c r="I495" t="str">
        <f t="shared" si="36"/>
        <v/>
      </c>
      <c r="J495" t="str">
        <f>IF(H495="","",VLOOKUP(I495,表3_3[],2,0))</f>
        <v/>
      </c>
      <c r="K495" t="str">
        <f>IF(H495="","",VLOOKUP(I495,表3_3[],3,0))</f>
        <v/>
      </c>
      <c r="L495" t="str">
        <f>IF(A495="","",IF(G495="LME","",VLOOKUP(RIGHT(E495,2),Helper1!$O$36:$P$48,2,0)))</f>
        <v/>
      </c>
      <c r="M495" t="str">
        <f t="shared" si="37"/>
        <v/>
      </c>
      <c r="N495" t="str">
        <f t="shared" si="38"/>
        <v/>
      </c>
      <c r="O495" t="str">
        <f t="shared" si="39"/>
        <v/>
      </c>
    </row>
    <row r="496" spans="1:15">
      <c r="A496" t="str">
        <f>IF('ATP Pos'!A496="","",LEFT('ATP Pos'!A496,B496-1))</f>
        <v/>
      </c>
      <c r="B496" t="str">
        <f>IF('ATP Pos'!A496="","",SEARCH("_",'ATP Pos'!A496,1))</f>
        <v/>
      </c>
      <c r="C496" t="str">
        <f>IF(A496="","",IF('ATP Pos'!E496="-","",IF('ATP Pos'!E496&gt;0,"Buy",IF('ATP Pos'!E496&lt;0,"Sell"))))</f>
        <v/>
      </c>
      <c r="D496" t="str">
        <f>IF(A496="","",IF('ATP Pos'!E496="-","",IF('ATP Pos'!E496&gt;0,'ATP Pos'!E496,IF('ATP Pos'!E496&lt;0,-'ATP Pos'!E496))))</f>
        <v/>
      </c>
      <c r="E496" t="str">
        <f>IF(A496="","",LEFT('ATP Pos'!B496,F496-1))</f>
        <v/>
      </c>
      <c r="F496" t="str">
        <f>IF(A496="","",SEARCH("-",'ATP Pos'!B496,1))</f>
        <v/>
      </c>
      <c r="G496" t="str">
        <f>IF(A496="","",RIGHT('ATP Pos'!B496,3))</f>
        <v/>
      </c>
      <c r="H496" t="str">
        <f t="shared" si="35"/>
        <v/>
      </c>
      <c r="I496" t="str">
        <f t="shared" si="36"/>
        <v/>
      </c>
      <c r="J496" t="str">
        <f>IF(H496="","",VLOOKUP(I496,表3_3[],2,0))</f>
        <v/>
      </c>
      <c r="K496" t="str">
        <f>IF(H496="","",VLOOKUP(I496,表3_3[],3,0))</f>
        <v/>
      </c>
      <c r="L496" t="str">
        <f>IF(A496="","",IF(G496="LME","",VLOOKUP(RIGHT(E496,2),Helper1!$O$36:$P$48,2,0)))</f>
        <v/>
      </c>
      <c r="M496" t="str">
        <f t="shared" si="37"/>
        <v/>
      </c>
      <c r="N496" t="str">
        <f t="shared" si="38"/>
        <v/>
      </c>
      <c r="O496" t="str">
        <f t="shared" si="39"/>
        <v/>
      </c>
    </row>
    <row r="497" spans="1:15">
      <c r="A497" t="str">
        <f>IF('ATP Pos'!A497="","",LEFT('ATP Pos'!A497,B497-1))</f>
        <v/>
      </c>
      <c r="B497" t="str">
        <f>IF('ATP Pos'!A497="","",SEARCH("_",'ATP Pos'!A497,1))</f>
        <v/>
      </c>
      <c r="C497" t="str">
        <f>IF(A497="","",IF('ATP Pos'!E497="-","",IF('ATP Pos'!E497&gt;0,"Buy",IF('ATP Pos'!E497&lt;0,"Sell"))))</f>
        <v/>
      </c>
      <c r="D497" t="str">
        <f>IF(A497="","",IF('ATP Pos'!E497="-","",IF('ATP Pos'!E497&gt;0,'ATP Pos'!E497,IF('ATP Pos'!E497&lt;0,-'ATP Pos'!E497))))</f>
        <v/>
      </c>
      <c r="E497" t="str">
        <f>IF(A497="","",LEFT('ATP Pos'!B497,F497-1))</f>
        <v/>
      </c>
      <c r="F497" t="str">
        <f>IF(A497="","",SEARCH("-",'ATP Pos'!B497,1))</f>
        <v/>
      </c>
      <c r="G497" t="str">
        <f>IF(A497="","",RIGHT('ATP Pos'!B497,3))</f>
        <v/>
      </c>
      <c r="H497" t="str">
        <f t="shared" si="35"/>
        <v/>
      </c>
      <c r="I497" t="str">
        <f t="shared" si="36"/>
        <v/>
      </c>
      <c r="J497" t="str">
        <f>IF(H497="","",VLOOKUP(I497,表3_3[],2,0))</f>
        <v/>
      </c>
      <c r="K497" t="str">
        <f>IF(H497="","",VLOOKUP(I497,表3_3[],3,0))</f>
        <v/>
      </c>
      <c r="L497" t="str">
        <f>IF(A497="","",IF(G497="LME","",VLOOKUP(RIGHT(E497,2),Helper1!$O$36:$P$48,2,0)))</f>
        <v/>
      </c>
      <c r="M497" t="str">
        <f t="shared" si="37"/>
        <v/>
      </c>
      <c r="N497" t="str">
        <f t="shared" si="38"/>
        <v/>
      </c>
      <c r="O497" t="str">
        <f t="shared" si="39"/>
        <v/>
      </c>
    </row>
    <row r="498" spans="1:15">
      <c r="A498" t="str">
        <f>IF('ATP Pos'!A498="","",LEFT('ATP Pos'!A498,B498-1))</f>
        <v/>
      </c>
      <c r="B498" t="str">
        <f>IF('ATP Pos'!A498="","",SEARCH("_",'ATP Pos'!A498,1))</f>
        <v/>
      </c>
      <c r="C498" t="str">
        <f>IF(A498="","",IF('ATP Pos'!E498="-","",IF('ATP Pos'!E498&gt;0,"Buy",IF('ATP Pos'!E498&lt;0,"Sell"))))</f>
        <v/>
      </c>
      <c r="D498" t="str">
        <f>IF(A498="","",IF('ATP Pos'!E498="-","",IF('ATP Pos'!E498&gt;0,'ATP Pos'!E498,IF('ATP Pos'!E498&lt;0,-'ATP Pos'!E498))))</f>
        <v/>
      </c>
      <c r="E498" t="str">
        <f>IF(A498="","",LEFT('ATP Pos'!B498,F498-1))</f>
        <v/>
      </c>
      <c r="F498" t="str">
        <f>IF(A498="","",SEARCH("-",'ATP Pos'!B498,1))</f>
        <v/>
      </c>
      <c r="G498" t="str">
        <f>IF(A498="","",RIGHT('ATP Pos'!B498,3))</f>
        <v/>
      </c>
      <c r="H498" t="str">
        <f t="shared" si="35"/>
        <v/>
      </c>
      <c r="I498" t="str">
        <f t="shared" si="36"/>
        <v/>
      </c>
      <c r="J498" t="str">
        <f>IF(H498="","",VLOOKUP(I498,表3_3[],2,0))</f>
        <v/>
      </c>
      <c r="K498" t="str">
        <f>IF(H498="","",VLOOKUP(I498,表3_3[],3,0))</f>
        <v/>
      </c>
      <c r="L498" t="str">
        <f>IF(A498="","",IF(G498="LME","",VLOOKUP(RIGHT(E498,2),Helper1!$O$36:$P$48,2,0)))</f>
        <v/>
      </c>
      <c r="M498" t="str">
        <f t="shared" si="37"/>
        <v/>
      </c>
      <c r="N498" t="str">
        <f t="shared" si="38"/>
        <v/>
      </c>
      <c r="O498" t="str">
        <f t="shared" si="39"/>
        <v/>
      </c>
    </row>
    <row r="499" spans="1:15">
      <c r="A499" t="str">
        <f>IF('ATP Pos'!A499="","",LEFT('ATP Pos'!A499,B499-1))</f>
        <v/>
      </c>
      <c r="B499" t="str">
        <f>IF('ATP Pos'!A499="","",SEARCH("_",'ATP Pos'!A499,1))</f>
        <v/>
      </c>
      <c r="C499" t="str">
        <f>IF(A499="","",IF('ATP Pos'!E499="-","",IF('ATP Pos'!E499&gt;0,"Buy",IF('ATP Pos'!E499&lt;0,"Sell"))))</f>
        <v/>
      </c>
      <c r="D499" t="str">
        <f>IF(A499="","",IF('ATP Pos'!E499="-","",IF('ATP Pos'!E499&gt;0,'ATP Pos'!E499,IF('ATP Pos'!E499&lt;0,-'ATP Pos'!E499))))</f>
        <v/>
      </c>
      <c r="E499" t="str">
        <f>IF(A499="","",LEFT('ATP Pos'!B499,F499-1))</f>
        <v/>
      </c>
      <c r="F499" t="str">
        <f>IF(A499="","",SEARCH("-",'ATP Pos'!B499,1))</f>
        <v/>
      </c>
      <c r="G499" t="str">
        <f>IF(A499="","",RIGHT('ATP Pos'!B499,3))</f>
        <v/>
      </c>
      <c r="H499" t="str">
        <f t="shared" si="35"/>
        <v/>
      </c>
      <c r="I499" t="str">
        <f t="shared" si="36"/>
        <v/>
      </c>
      <c r="J499" t="str">
        <f>IF(H499="","",VLOOKUP(I499,表3_3[],2,0))</f>
        <v/>
      </c>
      <c r="K499" t="str">
        <f>IF(H499="","",VLOOKUP(I499,表3_3[],3,0))</f>
        <v/>
      </c>
      <c r="L499" t="str">
        <f>IF(A499="","",IF(G499="LME","",VLOOKUP(RIGHT(E499,2),Helper1!$O$36:$P$48,2,0)))</f>
        <v/>
      </c>
      <c r="M499" t="str">
        <f t="shared" si="37"/>
        <v/>
      </c>
      <c r="N499" t="str">
        <f t="shared" si="38"/>
        <v/>
      </c>
      <c r="O499" t="str">
        <f t="shared" si="39"/>
        <v/>
      </c>
    </row>
    <row r="500" spans="1:15">
      <c r="A500" t="str">
        <f>IF('ATP Pos'!A500="","",LEFT('ATP Pos'!A500,B500-1))</f>
        <v/>
      </c>
      <c r="B500" t="str">
        <f>IF('ATP Pos'!A500="","",SEARCH("_",'ATP Pos'!A500,1))</f>
        <v/>
      </c>
      <c r="C500" t="str">
        <f>IF(A500="","",IF('ATP Pos'!E500="-","",IF('ATP Pos'!E500&gt;0,"Buy",IF('ATP Pos'!E500&lt;0,"Sell"))))</f>
        <v/>
      </c>
      <c r="D500" t="str">
        <f>IF(A500="","",IF('ATP Pos'!E500="-","",IF('ATP Pos'!E500&gt;0,'ATP Pos'!E500,IF('ATP Pos'!E500&lt;0,-'ATP Pos'!E500))))</f>
        <v/>
      </c>
      <c r="E500" t="str">
        <f>IF(A500="","",LEFT('ATP Pos'!B500,F500-1))</f>
        <v/>
      </c>
      <c r="F500" t="str">
        <f>IF(A500="","",SEARCH("-",'ATP Pos'!B500,1))</f>
        <v/>
      </c>
      <c r="G500" t="str">
        <f>IF(A500="","",RIGHT('ATP Pos'!B500,3))</f>
        <v/>
      </c>
      <c r="H500" t="str">
        <f t="shared" si="35"/>
        <v/>
      </c>
      <c r="I500" t="str">
        <f t="shared" si="36"/>
        <v/>
      </c>
      <c r="J500" t="str">
        <f>IF(H500="","",VLOOKUP(I500,表3_3[],2,0))</f>
        <v/>
      </c>
      <c r="K500" t="str">
        <f>IF(H500="","",VLOOKUP(I500,表3_3[],3,0))</f>
        <v/>
      </c>
      <c r="L500" t="str">
        <f>IF(A500="","",IF(G500="LME","",VLOOKUP(RIGHT(E500,2),Helper1!$O$36:$P$48,2,0)))</f>
        <v/>
      </c>
      <c r="M500" t="str">
        <f t="shared" si="37"/>
        <v/>
      </c>
      <c r="N500" t="str">
        <f t="shared" si="38"/>
        <v/>
      </c>
      <c r="O500" t="str">
        <f t="shared" si="39"/>
        <v/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B9801-DBA1-4438-A970-05CD8A43F6C2}">
  <sheetPr codeName="Sheet8"/>
  <dimension ref="A1:U136"/>
  <sheetViews>
    <sheetView workbookViewId="0">
      <selection activeCell="G1" sqref="G1"/>
    </sheetView>
  </sheetViews>
  <sheetFormatPr defaultColWidth="8.42578125" defaultRowHeight="15.75"/>
  <cols>
    <col min="1" max="1" width="8.42578125" bestFit="1" customWidth="1"/>
    <col min="2" max="2" width="10.5703125" customWidth="1"/>
    <col min="3" max="3" width="14.140625" bestFit="1" customWidth="1"/>
    <col min="4" max="4" width="14.28515625" bestFit="1" customWidth="1"/>
    <col min="5" max="5" width="13.42578125" bestFit="1" customWidth="1"/>
    <col min="6" max="6" width="16.140625" bestFit="1" customWidth="1"/>
    <col min="7" max="7" width="9.42578125" bestFit="1" customWidth="1"/>
    <col min="8" max="8" width="7.85546875" bestFit="1" customWidth="1"/>
    <col min="9" max="9" width="14.85546875" bestFit="1" customWidth="1"/>
    <col min="10" max="10" width="7.7109375" bestFit="1" customWidth="1"/>
    <col min="11" max="11" width="10.42578125" bestFit="1" customWidth="1"/>
    <col min="12" max="12" width="7.85546875" bestFit="1" customWidth="1"/>
    <col min="14" max="14" width="7.42578125" bestFit="1" customWidth="1"/>
    <col min="15" max="15" width="18.140625" bestFit="1" customWidth="1"/>
    <col min="16" max="16" width="41.42578125" bestFit="1" customWidth="1"/>
    <col min="17" max="17" width="17.85546875" bestFit="1" customWidth="1"/>
    <col min="18" max="18" width="21.85546875" bestFit="1" customWidth="1"/>
    <col min="19" max="20" width="10.5703125" bestFit="1" customWidth="1"/>
    <col min="21" max="21" width="12.5703125" bestFit="1" customWidth="1"/>
  </cols>
  <sheetData>
    <row r="1" spans="1:21">
      <c r="A1" t="s">
        <v>1429</v>
      </c>
      <c r="B1" t="s">
        <v>1430</v>
      </c>
      <c r="C1" t="s">
        <v>1431</v>
      </c>
      <c r="D1" t="s">
        <v>1432</v>
      </c>
      <c r="E1" t="s">
        <v>1433</v>
      </c>
      <c r="F1" t="s">
        <v>1434</v>
      </c>
      <c r="G1" t="s">
        <v>1435</v>
      </c>
      <c r="H1" t="s">
        <v>1436</v>
      </c>
      <c r="I1" t="s">
        <v>1437</v>
      </c>
      <c r="J1" t="s">
        <v>1438</v>
      </c>
      <c r="K1" t="s">
        <v>1439</v>
      </c>
      <c r="L1" t="s">
        <v>1440</v>
      </c>
      <c r="M1" t="s">
        <v>1441</v>
      </c>
      <c r="N1" t="s">
        <v>1442</v>
      </c>
      <c r="O1" t="s">
        <v>1443</v>
      </c>
      <c r="P1" t="s">
        <v>1444</v>
      </c>
      <c r="Q1" t="s">
        <v>1445</v>
      </c>
      <c r="R1" t="s">
        <v>1446</v>
      </c>
      <c r="S1" t="s">
        <v>1447</v>
      </c>
      <c r="T1" t="s">
        <v>1448</v>
      </c>
      <c r="U1" t="s">
        <v>1449</v>
      </c>
    </row>
    <row r="2" spans="1:21">
      <c r="A2">
        <v>270770</v>
      </c>
      <c r="B2">
        <v>20210913</v>
      </c>
      <c r="C2">
        <v>20210914</v>
      </c>
      <c r="D2">
        <v>3314</v>
      </c>
      <c r="E2" t="s">
        <v>1428</v>
      </c>
      <c r="F2" t="s">
        <v>1458</v>
      </c>
      <c r="G2" t="s">
        <v>36</v>
      </c>
      <c r="H2" t="s">
        <v>1460</v>
      </c>
      <c r="I2" t="s">
        <v>71</v>
      </c>
      <c r="L2" t="s">
        <v>1457</v>
      </c>
      <c r="M2">
        <v>1</v>
      </c>
      <c r="N2">
        <v>19735</v>
      </c>
      <c r="O2" t="s">
        <v>1459</v>
      </c>
      <c r="P2">
        <v>1641067467</v>
      </c>
      <c r="Q2" t="s">
        <v>1401</v>
      </c>
      <c r="R2">
        <v>672339</v>
      </c>
      <c r="U2" t="s">
        <v>1456</v>
      </c>
    </row>
    <row r="3" spans="1:21">
      <c r="A3">
        <v>270773</v>
      </c>
      <c r="B3">
        <v>20210913</v>
      </c>
      <c r="C3">
        <v>20210914</v>
      </c>
      <c r="D3">
        <v>35642</v>
      </c>
      <c r="E3" t="s">
        <v>1424</v>
      </c>
      <c r="F3" t="s">
        <v>1450</v>
      </c>
      <c r="G3" t="s">
        <v>1451</v>
      </c>
      <c r="H3" t="s">
        <v>30</v>
      </c>
      <c r="I3">
        <v>202112</v>
      </c>
      <c r="L3" t="s">
        <v>1457</v>
      </c>
      <c r="M3">
        <v>2</v>
      </c>
      <c r="N3">
        <v>69.95</v>
      </c>
      <c r="O3" t="s">
        <v>1453</v>
      </c>
      <c r="P3" t="s">
        <v>1505</v>
      </c>
      <c r="Q3" t="s">
        <v>1454</v>
      </c>
      <c r="R3" t="s">
        <v>1455</v>
      </c>
      <c r="U3" t="s">
        <v>1456</v>
      </c>
    </row>
    <row r="4" spans="1:21">
      <c r="A4">
        <v>270776</v>
      </c>
      <c r="B4">
        <v>20210913</v>
      </c>
      <c r="C4">
        <v>20210914</v>
      </c>
      <c r="D4">
        <v>35709</v>
      </c>
      <c r="E4" t="s">
        <v>1424</v>
      </c>
      <c r="F4" t="s">
        <v>1450</v>
      </c>
      <c r="G4" t="s">
        <v>1451</v>
      </c>
      <c r="H4" t="s">
        <v>30</v>
      </c>
      <c r="I4">
        <v>202112</v>
      </c>
      <c r="L4" t="s">
        <v>1457</v>
      </c>
      <c r="M4">
        <v>2</v>
      </c>
      <c r="N4">
        <v>69.95</v>
      </c>
      <c r="O4" t="s">
        <v>1453</v>
      </c>
      <c r="P4" t="s">
        <v>1505</v>
      </c>
      <c r="Q4" t="s">
        <v>1454</v>
      </c>
      <c r="R4" t="s">
        <v>1455</v>
      </c>
      <c r="U4" t="s">
        <v>1456</v>
      </c>
    </row>
    <row r="5" spans="1:21">
      <c r="A5">
        <v>270779</v>
      </c>
      <c r="B5">
        <v>20210913</v>
      </c>
      <c r="C5">
        <v>20210914</v>
      </c>
      <c r="D5">
        <v>35730</v>
      </c>
      <c r="E5" t="s">
        <v>1424</v>
      </c>
      <c r="F5" t="s">
        <v>1450</v>
      </c>
      <c r="G5" t="s">
        <v>1451</v>
      </c>
      <c r="H5" t="s">
        <v>30</v>
      </c>
      <c r="I5">
        <v>202112</v>
      </c>
      <c r="L5" t="s">
        <v>1457</v>
      </c>
      <c r="M5">
        <v>1</v>
      </c>
      <c r="N5">
        <v>69.95</v>
      </c>
      <c r="O5" t="s">
        <v>1453</v>
      </c>
      <c r="P5" t="s">
        <v>1505</v>
      </c>
      <c r="Q5" t="s">
        <v>1454</v>
      </c>
      <c r="R5" t="s">
        <v>1455</v>
      </c>
      <c r="U5" t="s">
        <v>1456</v>
      </c>
    </row>
    <row r="6" spans="1:21">
      <c r="A6">
        <v>270782</v>
      </c>
      <c r="B6">
        <v>20210913</v>
      </c>
      <c r="C6">
        <v>20210914</v>
      </c>
      <c r="D6">
        <v>43502</v>
      </c>
      <c r="E6" t="s">
        <v>1424</v>
      </c>
      <c r="F6" t="s">
        <v>1450</v>
      </c>
      <c r="G6" t="s">
        <v>1451</v>
      </c>
      <c r="H6" t="s">
        <v>30</v>
      </c>
      <c r="I6">
        <v>202112</v>
      </c>
      <c r="L6" t="s">
        <v>1457</v>
      </c>
      <c r="M6">
        <v>2</v>
      </c>
      <c r="N6">
        <v>70.05</v>
      </c>
      <c r="O6" t="s">
        <v>1453</v>
      </c>
      <c r="P6" t="s">
        <v>1506</v>
      </c>
      <c r="Q6" t="s">
        <v>1454</v>
      </c>
      <c r="R6" t="s">
        <v>1455</v>
      </c>
      <c r="U6" t="s">
        <v>1456</v>
      </c>
    </row>
    <row r="7" spans="1:21">
      <c r="A7">
        <v>270785</v>
      </c>
      <c r="B7">
        <v>20210913</v>
      </c>
      <c r="C7">
        <v>20210914</v>
      </c>
      <c r="D7">
        <v>43502</v>
      </c>
      <c r="E7" t="s">
        <v>1424</v>
      </c>
      <c r="F7" t="s">
        <v>1450</v>
      </c>
      <c r="G7" t="s">
        <v>1451</v>
      </c>
      <c r="H7" t="s">
        <v>30</v>
      </c>
      <c r="I7">
        <v>202112</v>
      </c>
      <c r="L7" t="s">
        <v>1457</v>
      </c>
      <c r="M7">
        <v>3</v>
      </c>
      <c r="N7">
        <v>70.05</v>
      </c>
      <c r="O7" t="s">
        <v>1453</v>
      </c>
      <c r="P7" t="s">
        <v>1506</v>
      </c>
      <c r="Q7" t="s">
        <v>1454</v>
      </c>
      <c r="R7" t="s">
        <v>1455</v>
      </c>
      <c r="U7" t="s">
        <v>1456</v>
      </c>
    </row>
    <row r="8" spans="1:21">
      <c r="A8">
        <v>270788</v>
      </c>
      <c r="B8">
        <v>20210914</v>
      </c>
      <c r="C8">
        <v>20210914</v>
      </c>
      <c r="D8">
        <v>73006</v>
      </c>
      <c r="E8" t="s">
        <v>1427</v>
      </c>
      <c r="F8" t="s">
        <v>1450</v>
      </c>
      <c r="G8" t="s">
        <v>1451</v>
      </c>
      <c r="H8" t="s">
        <v>30</v>
      </c>
      <c r="I8">
        <v>202112</v>
      </c>
      <c r="L8" t="s">
        <v>1452</v>
      </c>
      <c r="M8">
        <v>1</v>
      </c>
      <c r="N8">
        <v>69.959999999999994</v>
      </c>
      <c r="O8" t="s">
        <v>1453</v>
      </c>
      <c r="P8" t="s">
        <v>1507</v>
      </c>
      <c r="Q8" t="s">
        <v>1454</v>
      </c>
      <c r="R8" t="s">
        <v>1455</v>
      </c>
      <c r="U8" t="s">
        <v>1456</v>
      </c>
    </row>
    <row r="9" spans="1:21">
      <c r="A9">
        <v>270791</v>
      </c>
      <c r="B9">
        <v>20210914</v>
      </c>
      <c r="C9">
        <v>20210914</v>
      </c>
      <c r="D9">
        <v>93947</v>
      </c>
      <c r="E9" t="s">
        <v>1428</v>
      </c>
      <c r="F9" t="s">
        <v>1458</v>
      </c>
      <c r="G9" t="s">
        <v>1395</v>
      </c>
      <c r="H9" t="s">
        <v>116</v>
      </c>
      <c r="I9">
        <v>202111</v>
      </c>
      <c r="L9" t="s">
        <v>1452</v>
      </c>
      <c r="M9">
        <v>4</v>
      </c>
      <c r="N9">
        <v>120.25</v>
      </c>
      <c r="O9" t="s">
        <v>1459</v>
      </c>
      <c r="P9">
        <v>1641219796</v>
      </c>
      <c r="Q9" t="s">
        <v>1401</v>
      </c>
      <c r="R9">
        <v>672339</v>
      </c>
      <c r="U9" t="s">
        <v>1456</v>
      </c>
    </row>
    <row r="10" spans="1:21">
      <c r="A10">
        <v>270794</v>
      </c>
      <c r="B10">
        <v>20210914</v>
      </c>
      <c r="C10">
        <v>20210914</v>
      </c>
      <c r="D10">
        <v>93947</v>
      </c>
      <c r="E10" t="s">
        <v>1428</v>
      </c>
      <c r="F10" t="s">
        <v>1458</v>
      </c>
      <c r="G10" t="s">
        <v>1395</v>
      </c>
      <c r="H10" t="s">
        <v>116</v>
      </c>
      <c r="I10">
        <v>202111</v>
      </c>
      <c r="L10" t="s">
        <v>1452</v>
      </c>
      <c r="M10">
        <v>2</v>
      </c>
      <c r="N10">
        <v>120.25</v>
      </c>
      <c r="O10" t="s">
        <v>1459</v>
      </c>
      <c r="P10">
        <v>1641219796</v>
      </c>
      <c r="Q10" t="s">
        <v>1401</v>
      </c>
      <c r="R10">
        <v>672339</v>
      </c>
      <c r="U10" t="s">
        <v>1456</v>
      </c>
    </row>
    <row r="11" spans="1:21">
      <c r="A11">
        <v>270797</v>
      </c>
      <c r="B11">
        <v>20210914</v>
      </c>
      <c r="C11">
        <v>20210914</v>
      </c>
      <c r="D11">
        <v>94010</v>
      </c>
      <c r="E11" t="s">
        <v>1428</v>
      </c>
      <c r="F11" t="s">
        <v>1458</v>
      </c>
      <c r="G11" t="s">
        <v>1395</v>
      </c>
      <c r="H11" t="s">
        <v>116</v>
      </c>
      <c r="I11">
        <v>202111</v>
      </c>
      <c r="L11" t="s">
        <v>1452</v>
      </c>
      <c r="M11">
        <v>2</v>
      </c>
      <c r="N11">
        <v>120.15</v>
      </c>
      <c r="O11" t="s">
        <v>1459</v>
      </c>
      <c r="P11">
        <v>1641306276</v>
      </c>
      <c r="Q11" t="s">
        <v>1401</v>
      </c>
      <c r="R11">
        <v>672339</v>
      </c>
      <c r="U11" t="s">
        <v>1456</v>
      </c>
    </row>
    <row r="12" spans="1:21">
      <c r="A12">
        <v>270800</v>
      </c>
      <c r="B12">
        <v>20210914</v>
      </c>
      <c r="C12">
        <v>20210914</v>
      </c>
      <c r="D12">
        <v>94010</v>
      </c>
      <c r="E12" t="s">
        <v>1428</v>
      </c>
      <c r="F12" t="s">
        <v>1458</v>
      </c>
      <c r="G12" t="s">
        <v>1395</v>
      </c>
      <c r="H12" t="s">
        <v>116</v>
      </c>
      <c r="I12">
        <v>202111</v>
      </c>
      <c r="L12" t="s">
        <v>1452</v>
      </c>
      <c r="M12">
        <v>1</v>
      </c>
      <c r="N12">
        <v>120.15</v>
      </c>
      <c r="O12" t="s">
        <v>1459</v>
      </c>
      <c r="P12">
        <v>1641306276</v>
      </c>
      <c r="Q12" t="s">
        <v>1401</v>
      </c>
      <c r="R12">
        <v>672339</v>
      </c>
      <c r="U12" t="s">
        <v>1456</v>
      </c>
    </row>
    <row r="13" spans="1:21">
      <c r="A13">
        <v>270803</v>
      </c>
      <c r="B13">
        <v>20210914</v>
      </c>
      <c r="C13">
        <v>20210914</v>
      </c>
      <c r="D13">
        <v>192849</v>
      </c>
      <c r="E13" t="s">
        <v>1427</v>
      </c>
      <c r="F13" t="s">
        <v>1450</v>
      </c>
      <c r="G13" t="s">
        <v>1451</v>
      </c>
      <c r="H13" t="s">
        <v>30</v>
      </c>
      <c r="I13">
        <v>202112</v>
      </c>
      <c r="L13" t="s">
        <v>1452</v>
      </c>
      <c r="M13">
        <v>1</v>
      </c>
      <c r="N13">
        <v>70.099999999999994</v>
      </c>
      <c r="O13" t="s">
        <v>1453</v>
      </c>
      <c r="P13" t="s">
        <v>1508</v>
      </c>
      <c r="Q13" t="s">
        <v>1454</v>
      </c>
      <c r="R13" t="s">
        <v>1455</v>
      </c>
      <c r="U13" t="s">
        <v>1456</v>
      </c>
    </row>
    <row r="14" spans="1:21">
      <c r="A14">
        <v>270806</v>
      </c>
      <c r="B14">
        <v>20210914</v>
      </c>
      <c r="C14">
        <v>20210914</v>
      </c>
      <c r="D14">
        <v>200518</v>
      </c>
      <c r="E14" t="s">
        <v>1424</v>
      </c>
      <c r="F14" t="s">
        <v>1450</v>
      </c>
      <c r="G14" t="s">
        <v>1451</v>
      </c>
      <c r="H14" t="s">
        <v>30</v>
      </c>
      <c r="I14">
        <v>202112</v>
      </c>
      <c r="L14" t="s">
        <v>1452</v>
      </c>
      <c r="M14">
        <v>10</v>
      </c>
      <c r="N14">
        <v>70</v>
      </c>
      <c r="O14" t="s">
        <v>1453</v>
      </c>
      <c r="P14" t="s">
        <v>1509</v>
      </c>
      <c r="Q14" t="s">
        <v>1454</v>
      </c>
      <c r="R14" t="s">
        <v>1455</v>
      </c>
      <c r="U14" t="s">
        <v>1456</v>
      </c>
    </row>
    <row r="15" spans="1:21">
      <c r="A15">
        <v>270809</v>
      </c>
      <c r="B15">
        <v>20210914</v>
      </c>
      <c r="C15">
        <v>20210914</v>
      </c>
      <c r="D15">
        <v>200724</v>
      </c>
      <c r="E15" t="s">
        <v>1424</v>
      </c>
      <c r="F15" t="s">
        <v>1450</v>
      </c>
      <c r="G15" t="s">
        <v>1451</v>
      </c>
      <c r="H15" t="s">
        <v>30</v>
      </c>
      <c r="I15">
        <v>202112</v>
      </c>
      <c r="L15" t="s">
        <v>1452</v>
      </c>
      <c r="M15">
        <v>1</v>
      </c>
      <c r="N15">
        <v>69.8</v>
      </c>
      <c r="O15" t="s">
        <v>1453</v>
      </c>
      <c r="P15" t="s">
        <v>1510</v>
      </c>
      <c r="Q15" t="s">
        <v>1454</v>
      </c>
      <c r="R15" t="s">
        <v>1455</v>
      </c>
      <c r="U15" t="s">
        <v>1456</v>
      </c>
    </row>
    <row r="16" spans="1:21">
      <c r="A16">
        <v>270812</v>
      </c>
      <c r="B16">
        <v>20210914</v>
      </c>
      <c r="C16">
        <v>20210914</v>
      </c>
      <c r="D16">
        <v>200724</v>
      </c>
      <c r="E16" t="s">
        <v>1424</v>
      </c>
      <c r="F16" t="s">
        <v>1450</v>
      </c>
      <c r="G16" t="s">
        <v>1451</v>
      </c>
      <c r="H16" t="s">
        <v>30</v>
      </c>
      <c r="I16">
        <v>202112</v>
      </c>
      <c r="L16" t="s">
        <v>1452</v>
      </c>
      <c r="M16">
        <v>1</v>
      </c>
      <c r="N16">
        <v>69.8</v>
      </c>
      <c r="O16" t="s">
        <v>1453</v>
      </c>
      <c r="P16" t="s">
        <v>1510</v>
      </c>
      <c r="Q16" t="s">
        <v>1454</v>
      </c>
      <c r="R16" t="s">
        <v>1455</v>
      </c>
      <c r="U16" t="s">
        <v>1456</v>
      </c>
    </row>
    <row r="17" spans="1:21">
      <c r="A17">
        <v>270815</v>
      </c>
      <c r="B17">
        <v>20210914</v>
      </c>
      <c r="C17">
        <v>20210914</v>
      </c>
      <c r="D17">
        <v>200726</v>
      </c>
      <c r="E17" t="s">
        <v>1424</v>
      </c>
      <c r="F17" t="s">
        <v>1450</v>
      </c>
      <c r="G17" t="s">
        <v>1451</v>
      </c>
      <c r="H17" t="s">
        <v>30</v>
      </c>
      <c r="I17">
        <v>202112</v>
      </c>
      <c r="L17" t="s">
        <v>1452</v>
      </c>
      <c r="M17">
        <v>8</v>
      </c>
      <c r="N17">
        <v>69.8</v>
      </c>
      <c r="O17" t="s">
        <v>1453</v>
      </c>
      <c r="P17" t="s">
        <v>1510</v>
      </c>
      <c r="Q17" t="s">
        <v>1454</v>
      </c>
      <c r="R17" t="s">
        <v>1455</v>
      </c>
      <c r="U17" t="s">
        <v>1456</v>
      </c>
    </row>
    <row r="18" spans="1:21">
      <c r="A18">
        <v>270818</v>
      </c>
      <c r="B18">
        <v>20210914</v>
      </c>
      <c r="C18">
        <v>20210914</v>
      </c>
      <c r="D18">
        <v>200925</v>
      </c>
      <c r="E18" t="s">
        <v>1424</v>
      </c>
      <c r="F18" t="s">
        <v>1450</v>
      </c>
      <c r="G18" t="s">
        <v>1451</v>
      </c>
      <c r="H18" t="s">
        <v>30</v>
      </c>
      <c r="I18">
        <v>202112</v>
      </c>
      <c r="L18" t="s">
        <v>1452</v>
      </c>
      <c r="M18">
        <v>5</v>
      </c>
      <c r="N18">
        <v>69.92</v>
      </c>
      <c r="O18" t="s">
        <v>1453</v>
      </c>
      <c r="P18" t="s">
        <v>1511</v>
      </c>
      <c r="Q18" t="s">
        <v>1454</v>
      </c>
      <c r="R18" t="s">
        <v>1455</v>
      </c>
      <c r="U18" t="s">
        <v>1456</v>
      </c>
    </row>
    <row r="19" spans="1:21">
      <c r="A19">
        <v>270821</v>
      </c>
      <c r="B19">
        <v>20210914</v>
      </c>
      <c r="C19">
        <v>20210914</v>
      </c>
      <c r="D19">
        <v>200925</v>
      </c>
      <c r="E19" t="s">
        <v>1424</v>
      </c>
      <c r="F19" t="s">
        <v>1450</v>
      </c>
      <c r="G19" t="s">
        <v>1451</v>
      </c>
      <c r="H19" t="s">
        <v>30</v>
      </c>
      <c r="I19">
        <v>202112</v>
      </c>
      <c r="L19" t="s">
        <v>1452</v>
      </c>
      <c r="M19">
        <v>1</v>
      </c>
      <c r="N19">
        <v>69.92</v>
      </c>
      <c r="O19" t="s">
        <v>1453</v>
      </c>
      <c r="P19" t="s">
        <v>1511</v>
      </c>
      <c r="Q19" t="s">
        <v>1454</v>
      </c>
      <c r="R19" t="s">
        <v>1455</v>
      </c>
      <c r="U19" t="s">
        <v>1456</v>
      </c>
    </row>
    <row r="20" spans="1:21">
      <c r="A20">
        <v>270824</v>
      </c>
      <c r="B20">
        <v>20210914</v>
      </c>
      <c r="C20">
        <v>20210914</v>
      </c>
      <c r="D20">
        <v>200925</v>
      </c>
      <c r="E20" t="s">
        <v>1424</v>
      </c>
      <c r="F20" t="s">
        <v>1450</v>
      </c>
      <c r="G20" t="s">
        <v>1451</v>
      </c>
      <c r="H20" t="s">
        <v>30</v>
      </c>
      <c r="I20">
        <v>202112</v>
      </c>
      <c r="L20" t="s">
        <v>1452</v>
      </c>
      <c r="M20">
        <v>1</v>
      </c>
      <c r="N20">
        <v>69.92</v>
      </c>
      <c r="O20" t="s">
        <v>1453</v>
      </c>
      <c r="P20" t="s">
        <v>1511</v>
      </c>
      <c r="Q20" t="s">
        <v>1454</v>
      </c>
      <c r="R20" t="s">
        <v>1455</v>
      </c>
      <c r="U20" t="s">
        <v>1456</v>
      </c>
    </row>
    <row r="21" spans="1:21">
      <c r="A21">
        <v>270827</v>
      </c>
      <c r="B21">
        <v>20210914</v>
      </c>
      <c r="C21">
        <v>20210914</v>
      </c>
      <c r="D21">
        <v>200925</v>
      </c>
      <c r="E21" t="s">
        <v>1424</v>
      </c>
      <c r="F21" t="s">
        <v>1450</v>
      </c>
      <c r="G21" t="s">
        <v>1451</v>
      </c>
      <c r="H21" t="s">
        <v>30</v>
      </c>
      <c r="I21">
        <v>202112</v>
      </c>
      <c r="L21" t="s">
        <v>1452</v>
      </c>
      <c r="M21">
        <v>2</v>
      </c>
      <c r="N21">
        <v>69.92</v>
      </c>
      <c r="O21" t="s">
        <v>1453</v>
      </c>
      <c r="P21" t="s">
        <v>1511</v>
      </c>
      <c r="Q21" t="s">
        <v>1454</v>
      </c>
      <c r="R21" t="s">
        <v>1455</v>
      </c>
      <c r="U21" t="s">
        <v>1456</v>
      </c>
    </row>
    <row r="22" spans="1:21">
      <c r="A22">
        <v>270830</v>
      </c>
      <c r="B22">
        <v>20210914</v>
      </c>
      <c r="C22">
        <v>20210914</v>
      </c>
      <c r="D22">
        <v>200925</v>
      </c>
      <c r="E22" t="s">
        <v>1424</v>
      </c>
      <c r="F22" t="s">
        <v>1450</v>
      </c>
      <c r="G22" t="s">
        <v>1451</v>
      </c>
      <c r="H22" t="s">
        <v>30</v>
      </c>
      <c r="I22">
        <v>202112</v>
      </c>
      <c r="L22" t="s">
        <v>1452</v>
      </c>
      <c r="M22">
        <v>1</v>
      </c>
      <c r="N22">
        <v>69.92</v>
      </c>
      <c r="O22" t="s">
        <v>1453</v>
      </c>
      <c r="P22" t="s">
        <v>1511</v>
      </c>
      <c r="Q22" t="s">
        <v>1454</v>
      </c>
      <c r="R22" t="s">
        <v>1455</v>
      </c>
      <c r="U22" t="s">
        <v>1456</v>
      </c>
    </row>
    <row r="23" spans="1:21">
      <c r="A23">
        <v>270833</v>
      </c>
      <c r="B23">
        <v>20210914</v>
      </c>
      <c r="C23">
        <v>20210914</v>
      </c>
      <c r="D23">
        <v>200951</v>
      </c>
      <c r="E23" t="s">
        <v>1424</v>
      </c>
      <c r="F23" t="s">
        <v>1450</v>
      </c>
      <c r="G23" t="s">
        <v>1451</v>
      </c>
      <c r="H23" t="s">
        <v>30</v>
      </c>
      <c r="I23">
        <v>202112</v>
      </c>
      <c r="L23" t="s">
        <v>1452</v>
      </c>
      <c r="M23">
        <v>1</v>
      </c>
      <c r="N23">
        <v>69.88</v>
      </c>
      <c r="O23" t="s">
        <v>1453</v>
      </c>
      <c r="P23" t="s">
        <v>1512</v>
      </c>
      <c r="Q23" t="s">
        <v>1454</v>
      </c>
      <c r="R23" t="s">
        <v>1455</v>
      </c>
      <c r="U23" t="s">
        <v>1456</v>
      </c>
    </row>
    <row r="24" spans="1:21">
      <c r="A24">
        <v>270836</v>
      </c>
      <c r="B24">
        <v>20210914</v>
      </c>
      <c r="C24">
        <v>20210914</v>
      </c>
      <c r="D24">
        <v>203156</v>
      </c>
      <c r="E24" t="s">
        <v>1427</v>
      </c>
      <c r="F24" t="s">
        <v>1450</v>
      </c>
      <c r="G24" t="s">
        <v>1451</v>
      </c>
      <c r="H24" t="s">
        <v>30</v>
      </c>
      <c r="I24">
        <v>202112</v>
      </c>
      <c r="L24" t="s">
        <v>1457</v>
      </c>
      <c r="M24">
        <v>1</v>
      </c>
      <c r="N24">
        <v>70.349999999999994</v>
      </c>
      <c r="O24" t="s">
        <v>1453</v>
      </c>
      <c r="P24" t="s">
        <v>1513</v>
      </c>
      <c r="Q24" t="s">
        <v>1454</v>
      </c>
      <c r="R24" t="s">
        <v>1455</v>
      </c>
      <c r="U24" t="s">
        <v>1456</v>
      </c>
    </row>
    <row r="25" spans="1:21">
      <c r="A25">
        <v>270839</v>
      </c>
      <c r="B25">
        <v>20210914</v>
      </c>
      <c r="C25">
        <v>20210914</v>
      </c>
      <c r="D25">
        <v>204708</v>
      </c>
      <c r="E25" t="s">
        <v>1424</v>
      </c>
      <c r="F25" t="s">
        <v>1450</v>
      </c>
      <c r="G25" t="s">
        <v>1451</v>
      </c>
      <c r="H25" t="s">
        <v>30</v>
      </c>
      <c r="I25">
        <v>202111</v>
      </c>
      <c r="L25" t="s">
        <v>1457</v>
      </c>
      <c r="M25">
        <v>4</v>
      </c>
      <c r="N25">
        <v>70.75</v>
      </c>
      <c r="O25" t="s">
        <v>1453</v>
      </c>
      <c r="P25" t="s">
        <v>1514</v>
      </c>
      <c r="Q25" t="s">
        <v>1454</v>
      </c>
      <c r="R25" t="s">
        <v>1455</v>
      </c>
      <c r="U25" t="s">
        <v>1456</v>
      </c>
    </row>
    <row r="26" spans="1:21">
      <c r="A26">
        <v>270842</v>
      </c>
      <c r="B26">
        <v>20210914</v>
      </c>
      <c r="C26">
        <v>20210914</v>
      </c>
      <c r="D26">
        <v>204708</v>
      </c>
      <c r="E26" t="s">
        <v>1424</v>
      </c>
      <c r="F26" t="s">
        <v>1450</v>
      </c>
      <c r="G26" t="s">
        <v>1451</v>
      </c>
      <c r="H26" t="s">
        <v>30</v>
      </c>
      <c r="I26">
        <v>202111</v>
      </c>
      <c r="L26" t="s">
        <v>1457</v>
      </c>
      <c r="M26">
        <v>1</v>
      </c>
      <c r="N26">
        <v>70.75</v>
      </c>
      <c r="O26" t="s">
        <v>1453</v>
      </c>
      <c r="P26" t="s">
        <v>1514</v>
      </c>
      <c r="Q26" t="s">
        <v>1454</v>
      </c>
      <c r="R26" t="s">
        <v>1455</v>
      </c>
      <c r="U26" t="s">
        <v>1456</v>
      </c>
    </row>
    <row r="27" spans="1:21">
      <c r="A27">
        <v>270845</v>
      </c>
      <c r="B27">
        <v>20210914</v>
      </c>
      <c r="C27">
        <v>20210914</v>
      </c>
      <c r="D27">
        <v>204936</v>
      </c>
      <c r="E27" t="s">
        <v>1424</v>
      </c>
      <c r="F27" t="s">
        <v>1450</v>
      </c>
      <c r="G27" t="s">
        <v>1451</v>
      </c>
      <c r="H27" t="s">
        <v>30</v>
      </c>
      <c r="I27">
        <v>202111</v>
      </c>
      <c r="L27" t="s">
        <v>1457</v>
      </c>
      <c r="M27">
        <v>5</v>
      </c>
      <c r="N27">
        <v>70.8</v>
      </c>
      <c r="O27" t="s">
        <v>1453</v>
      </c>
      <c r="P27" t="s">
        <v>1515</v>
      </c>
      <c r="Q27" t="s">
        <v>1454</v>
      </c>
      <c r="R27" t="s">
        <v>1455</v>
      </c>
      <c r="U27" t="s">
        <v>1456</v>
      </c>
    </row>
    <row r="28" spans="1:21">
      <c r="A28">
        <v>270848</v>
      </c>
      <c r="B28">
        <v>20210914</v>
      </c>
      <c r="C28">
        <v>20210914</v>
      </c>
      <c r="D28">
        <v>205323</v>
      </c>
      <c r="E28" t="s">
        <v>1424</v>
      </c>
      <c r="F28" t="s">
        <v>1450</v>
      </c>
      <c r="G28" t="s">
        <v>1451</v>
      </c>
      <c r="H28" t="s">
        <v>30</v>
      </c>
      <c r="I28">
        <v>202111</v>
      </c>
      <c r="L28" t="s">
        <v>1457</v>
      </c>
      <c r="M28">
        <v>5</v>
      </c>
      <c r="N28">
        <v>70.849999999999994</v>
      </c>
      <c r="O28" t="s">
        <v>1453</v>
      </c>
      <c r="P28" t="s">
        <v>1516</v>
      </c>
      <c r="Q28" t="s">
        <v>1454</v>
      </c>
      <c r="R28" t="s">
        <v>1455</v>
      </c>
      <c r="U28" t="s">
        <v>1456</v>
      </c>
    </row>
    <row r="29" spans="1:21">
      <c r="A29">
        <v>270851</v>
      </c>
      <c r="B29">
        <v>20210914</v>
      </c>
      <c r="C29">
        <v>20210914</v>
      </c>
      <c r="D29">
        <v>210041</v>
      </c>
      <c r="E29" t="s">
        <v>1424</v>
      </c>
      <c r="F29" t="s">
        <v>1450</v>
      </c>
      <c r="G29" t="s">
        <v>1451</v>
      </c>
      <c r="H29" t="s">
        <v>30</v>
      </c>
      <c r="I29">
        <v>202111</v>
      </c>
      <c r="L29" t="s">
        <v>1457</v>
      </c>
      <c r="M29">
        <v>1</v>
      </c>
      <c r="N29">
        <v>70.900000000000006</v>
      </c>
      <c r="O29" t="s">
        <v>1453</v>
      </c>
      <c r="P29" t="s">
        <v>1517</v>
      </c>
      <c r="Q29" t="s">
        <v>1454</v>
      </c>
      <c r="R29" t="s">
        <v>1455</v>
      </c>
      <c r="U29" t="s">
        <v>1456</v>
      </c>
    </row>
    <row r="30" spans="1:21">
      <c r="A30">
        <v>270854</v>
      </c>
      <c r="B30">
        <v>20210914</v>
      </c>
      <c r="C30">
        <v>20210914</v>
      </c>
      <c r="D30">
        <v>210041</v>
      </c>
      <c r="E30" t="s">
        <v>1424</v>
      </c>
      <c r="F30" t="s">
        <v>1450</v>
      </c>
      <c r="G30" t="s">
        <v>1451</v>
      </c>
      <c r="H30" t="s">
        <v>30</v>
      </c>
      <c r="I30">
        <v>202111</v>
      </c>
      <c r="L30" t="s">
        <v>1457</v>
      </c>
      <c r="M30">
        <v>1</v>
      </c>
      <c r="N30">
        <v>70.900000000000006</v>
      </c>
      <c r="O30" t="s">
        <v>1453</v>
      </c>
      <c r="P30" t="s">
        <v>1517</v>
      </c>
      <c r="Q30" t="s">
        <v>1454</v>
      </c>
      <c r="R30" t="s">
        <v>1455</v>
      </c>
      <c r="U30" t="s">
        <v>1456</v>
      </c>
    </row>
    <row r="31" spans="1:21">
      <c r="A31">
        <v>270857</v>
      </c>
      <c r="B31">
        <v>20210914</v>
      </c>
      <c r="C31">
        <v>20210914</v>
      </c>
      <c r="D31">
        <v>210041</v>
      </c>
      <c r="E31" t="s">
        <v>1424</v>
      </c>
      <c r="F31" t="s">
        <v>1450</v>
      </c>
      <c r="G31" t="s">
        <v>1451</v>
      </c>
      <c r="H31" t="s">
        <v>30</v>
      </c>
      <c r="I31">
        <v>202111</v>
      </c>
      <c r="L31" t="s">
        <v>1457</v>
      </c>
      <c r="M31">
        <v>3</v>
      </c>
      <c r="N31">
        <v>70.900000000000006</v>
      </c>
      <c r="O31" t="s">
        <v>1453</v>
      </c>
      <c r="P31" t="s">
        <v>1517</v>
      </c>
      <c r="Q31" t="s">
        <v>1454</v>
      </c>
      <c r="R31" t="s">
        <v>1455</v>
      </c>
      <c r="U31" t="s">
        <v>1456</v>
      </c>
    </row>
    <row r="32" spans="1:21">
      <c r="A32">
        <v>270860</v>
      </c>
      <c r="B32">
        <v>20210914</v>
      </c>
      <c r="C32">
        <v>20210914</v>
      </c>
      <c r="D32">
        <v>213845</v>
      </c>
      <c r="E32" t="s">
        <v>1426</v>
      </c>
      <c r="F32" t="s">
        <v>1461</v>
      </c>
      <c r="G32" t="s">
        <v>36</v>
      </c>
      <c r="H32" t="s">
        <v>1462</v>
      </c>
      <c r="I32" t="s">
        <v>71</v>
      </c>
      <c r="L32" t="s">
        <v>1457</v>
      </c>
      <c r="M32">
        <v>2</v>
      </c>
      <c r="N32">
        <v>2862</v>
      </c>
      <c r="O32" t="s">
        <v>1459</v>
      </c>
      <c r="P32">
        <v>1642330504</v>
      </c>
      <c r="Q32" t="s">
        <v>1401</v>
      </c>
      <c r="R32">
        <v>672339</v>
      </c>
      <c r="U32" t="s">
        <v>1456</v>
      </c>
    </row>
    <row r="33" spans="1:21">
      <c r="A33">
        <v>270863</v>
      </c>
      <c r="B33">
        <v>20210915</v>
      </c>
      <c r="C33">
        <v>20210914</v>
      </c>
      <c r="D33">
        <v>213859</v>
      </c>
      <c r="E33" t="s">
        <v>1426</v>
      </c>
      <c r="F33" t="s">
        <v>1461</v>
      </c>
      <c r="G33" t="s">
        <v>1395</v>
      </c>
      <c r="H33" t="s">
        <v>6</v>
      </c>
      <c r="I33">
        <v>202112</v>
      </c>
      <c r="L33" t="s">
        <v>1457</v>
      </c>
      <c r="M33">
        <v>1</v>
      </c>
      <c r="N33">
        <v>6.4806999999999997</v>
      </c>
      <c r="O33" t="s">
        <v>1459</v>
      </c>
      <c r="P33">
        <v>1642278549</v>
      </c>
      <c r="Q33" t="s">
        <v>1401</v>
      </c>
      <c r="R33">
        <v>672339</v>
      </c>
      <c r="U33" t="s">
        <v>1456</v>
      </c>
    </row>
    <row r="34" spans="1:21">
      <c r="A34">
        <v>270866</v>
      </c>
      <c r="B34">
        <v>20210914</v>
      </c>
      <c r="C34">
        <v>20210914</v>
      </c>
      <c r="D34">
        <v>214922</v>
      </c>
      <c r="E34" t="s">
        <v>1424</v>
      </c>
      <c r="F34" t="s">
        <v>1450</v>
      </c>
      <c r="G34" t="s">
        <v>1451</v>
      </c>
      <c r="H34" t="s">
        <v>30</v>
      </c>
      <c r="I34">
        <v>202111</v>
      </c>
      <c r="L34" t="s">
        <v>1452</v>
      </c>
      <c r="M34">
        <v>5</v>
      </c>
      <c r="N34">
        <v>70.650000000000006</v>
      </c>
      <c r="O34" t="s">
        <v>1453</v>
      </c>
      <c r="P34" t="s">
        <v>1518</v>
      </c>
      <c r="Q34" t="s">
        <v>1454</v>
      </c>
      <c r="R34" t="s">
        <v>1455</v>
      </c>
      <c r="U34" t="s">
        <v>1456</v>
      </c>
    </row>
    <row r="35" spans="1:21">
      <c r="A35">
        <v>270869</v>
      </c>
      <c r="B35">
        <v>20210914</v>
      </c>
      <c r="C35">
        <v>20210914</v>
      </c>
      <c r="D35">
        <v>215245</v>
      </c>
      <c r="E35" t="s">
        <v>1424</v>
      </c>
      <c r="F35" t="s">
        <v>1450</v>
      </c>
      <c r="G35" t="s">
        <v>1451</v>
      </c>
      <c r="H35" t="s">
        <v>30</v>
      </c>
      <c r="I35">
        <v>202111</v>
      </c>
      <c r="L35" t="s">
        <v>1452</v>
      </c>
      <c r="M35">
        <v>1</v>
      </c>
      <c r="N35">
        <v>70.63</v>
      </c>
      <c r="O35" t="s">
        <v>1453</v>
      </c>
      <c r="P35" t="s">
        <v>1519</v>
      </c>
      <c r="Q35" t="s">
        <v>1454</v>
      </c>
      <c r="R35" t="s">
        <v>1455</v>
      </c>
      <c r="U35" t="s">
        <v>1456</v>
      </c>
    </row>
    <row r="36" spans="1:21">
      <c r="A36">
        <v>270872</v>
      </c>
      <c r="B36">
        <v>20210914</v>
      </c>
      <c r="C36">
        <v>20210914</v>
      </c>
      <c r="D36">
        <v>215245</v>
      </c>
      <c r="E36" t="s">
        <v>1424</v>
      </c>
      <c r="F36" t="s">
        <v>1450</v>
      </c>
      <c r="G36" t="s">
        <v>1451</v>
      </c>
      <c r="H36" t="s">
        <v>30</v>
      </c>
      <c r="I36">
        <v>202111</v>
      </c>
      <c r="L36" t="s">
        <v>1452</v>
      </c>
      <c r="M36">
        <v>2</v>
      </c>
      <c r="N36">
        <v>70.63</v>
      </c>
      <c r="O36" t="s">
        <v>1453</v>
      </c>
      <c r="P36" t="s">
        <v>1519</v>
      </c>
      <c r="Q36" t="s">
        <v>1454</v>
      </c>
      <c r="R36" t="s">
        <v>1455</v>
      </c>
      <c r="U36" t="s">
        <v>1456</v>
      </c>
    </row>
    <row r="37" spans="1:21">
      <c r="A37">
        <v>270875</v>
      </c>
      <c r="B37">
        <v>20210914</v>
      </c>
      <c r="C37">
        <v>20210914</v>
      </c>
      <c r="D37">
        <v>215245</v>
      </c>
      <c r="E37" t="s">
        <v>1424</v>
      </c>
      <c r="F37" t="s">
        <v>1450</v>
      </c>
      <c r="G37" t="s">
        <v>1451</v>
      </c>
      <c r="H37" t="s">
        <v>30</v>
      </c>
      <c r="I37">
        <v>202111</v>
      </c>
      <c r="L37" t="s">
        <v>1452</v>
      </c>
      <c r="M37">
        <v>2</v>
      </c>
      <c r="N37">
        <v>70.63</v>
      </c>
      <c r="O37" t="s">
        <v>1453</v>
      </c>
      <c r="P37" t="s">
        <v>1519</v>
      </c>
      <c r="Q37" t="s">
        <v>1454</v>
      </c>
      <c r="R37" t="s">
        <v>1455</v>
      </c>
      <c r="U37" t="s">
        <v>1456</v>
      </c>
    </row>
    <row r="38" spans="1:21">
      <c r="A38">
        <v>270878</v>
      </c>
      <c r="B38">
        <v>20210914</v>
      </c>
      <c r="C38">
        <v>20210914</v>
      </c>
      <c r="D38">
        <v>215317</v>
      </c>
      <c r="E38" t="s">
        <v>1424</v>
      </c>
      <c r="F38" t="s">
        <v>1450</v>
      </c>
      <c r="G38" t="s">
        <v>1451</v>
      </c>
      <c r="H38" t="s">
        <v>30</v>
      </c>
      <c r="I38">
        <v>202111</v>
      </c>
      <c r="L38" t="s">
        <v>1452</v>
      </c>
      <c r="M38">
        <v>5</v>
      </c>
      <c r="N38">
        <v>70.599999999999994</v>
      </c>
      <c r="O38" t="s">
        <v>1453</v>
      </c>
      <c r="P38" t="s">
        <v>1520</v>
      </c>
      <c r="Q38" t="s">
        <v>1454</v>
      </c>
      <c r="R38" t="s">
        <v>1455</v>
      </c>
      <c r="U38" t="s">
        <v>1456</v>
      </c>
    </row>
    <row r="39" spans="1:21">
      <c r="A39">
        <v>270881</v>
      </c>
      <c r="B39">
        <v>20210914</v>
      </c>
      <c r="C39">
        <v>20210914</v>
      </c>
      <c r="D39">
        <v>220046</v>
      </c>
      <c r="E39" t="s">
        <v>1428</v>
      </c>
      <c r="F39" t="s">
        <v>1458</v>
      </c>
      <c r="G39" t="s">
        <v>36</v>
      </c>
      <c r="H39" t="s">
        <v>1460</v>
      </c>
      <c r="I39" t="s">
        <v>71</v>
      </c>
      <c r="L39" t="s">
        <v>1457</v>
      </c>
      <c r="M39">
        <v>1</v>
      </c>
      <c r="N39">
        <v>19665</v>
      </c>
      <c r="O39" t="s">
        <v>1459</v>
      </c>
      <c r="P39">
        <v>1642363154</v>
      </c>
      <c r="Q39" t="s">
        <v>1401</v>
      </c>
      <c r="R39">
        <v>672339</v>
      </c>
      <c r="U39" t="s">
        <v>1456</v>
      </c>
    </row>
    <row r="40" spans="1:21">
      <c r="A40">
        <v>270884</v>
      </c>
      <c r="B40">
        <v>20210914</v>
      </c>
      <c r="C40">
        <v>20210914</v>
      </c>
      <c r="D40">
        <v>220803</v>
      </c>
      <c r="E40" t="s">
        <v>1424</v>
      </c>
      <c r="F40" t="s">
        <v>1450</v>
      </c>
      <c r="G40" t="s">
        <v>1451</v>
      </c>
      <c r="H40" t="s">
        <v>30</v>
      </c>
      <c r="I40">
        <v>202111</v>
      </c>
      <c r="L40" t="s">
        <v>1452</v>
      </c>
      <c r="M40">
        <v>4</v>
      </c>
      <c r="N40">
        <v>70.489999999999995</v>
      </c>
      <c r="O40" t="s">
        <v>1453</v>
      </c>
      <c r="P40" t="s">
        <v>1521</v>
      </c>
      <c r="Q40" t="s">
        <v>1454</v>
      </c>
      <c r="R40" t="s">
        <v>1455</v>
      </c>
      <c r="U40" t="s">
        <v>1456</v>
      </c>
    </row>
    <row r="41" spans="1:21">
      <c r="A41">
        <v>270887</v>
      </c>
      <c r="B41">
        <v>20210914</v>
      </c>
      <c r="C41">
        <v>20210914</v>
      </c>
      <c r="D41">
        <v>220803</v>
      </c>
      <c r="E41" t="s">
        <v>1424</v>
      </c>
      <c r="F41" t="s">
        <v>1450</v>
      </c>
      <c r="G41" t="s">
        <v>1451</v>
      </c>
      <c r="H41" t="s">
        <v>30</v>
      </c>
      <c r="I41">
        <v>202111</v>
      </c>
      <c r="L41" t="s">
        <v>1452</v>
      </c>
      <c r="M41">
        <v>1</v>
      </c>
      <c r="N41">
        <v>70.489999999999995</v>
      </c>
      <c r="O41" t="s">
        <v>1453</v>
      </c>
      <c r="P41" t="s">
        <v>1521</v>
      </c>
      <c r="Q41" t="s">
        <v>1454</v>
      </c>
      <c r="R41" t="s">
        <v>1455</v>
      </c>
      <c r="U41" t="s">
        <v>1456</v>
      </c>
    </row>
    <row r="42" spans="1:21">
      <c r="A42">
        <v>270890</v>
      </c>
      <c r="B42">
        <v>20210914</v>
      </c>
      <c r="C42">
        <v>20210914</v>
      </c>
      <c r="D42">
        <v>220834</v>
      </c>
      <c r="E42" t="s">
        <v>1427</v>
      </c>
      <c r="F42" t="s">
        <v>1450</v>
      </c>
      <c r="G42" t="s">
        <v>1451</v>
      </c>
      <c r="H42" t="s">
        <v>30</v>
      </c>
      <c r="I42">
        <v>202112</v>
      </c>
      <c r="L42" t="s">
        <v>1452</v>
      </c>
      <c r="M42">
        <v>1</v>
      </c>
      <c r="N42">
        <v>69.95</v>
      </c>
      <c r="O42" t="s">
        <v>1453</v>
      </c>
      <c r="P42" t="s">
        <v>1522</v>
      </c>
      <c r="Q42" t="s">
        <v>1454</v>
      </c>
      <c r="R42" t="s">
        <v>1455</v>
      </c>
      <c r="U42" t="s">
        <v>1456</v>
      </c>
    </row>
    <row r="43" spans="1:21">
      <c r="A43">
        <v>270893</v>
      </c>
      <c r="B43">
        <v>20210914</v>
      </c>
      <c r="C43">
        <v>20210914</v>
      </c>
      <c r="D43">
        <v>222016</v>
      </c>
      <c r="E43" t="s">
        <v>1427</v>
      </c>
      <c r="F43" t="s">
        <v>1450</v>
      </c>
      <c r="G43" t="s">
        <v>1451</v>
      </c>
      <c r="H43" t="s">
        <v>30</v>
      </c>
      <c r="I43">
        <v>202112</v>
      </c>
      <c r="L43" t="s">
        <v>1457</v>
      </c>
      <c r="M43">
        <v>1</v>
      </c>
      <c r="N43">
        <v>70.2</v>
      </c>
      <c r="O43" t="s">
        <v>1453</v>
      </c>
      <c r="P43" t="s">
        <v>1523</v>
      </c>
      <c r="Q43" t="s">
        <v>1454</v>
      </c>
      <c r="R43" t="s">
        <v>1455</v>
      </c>
      <c r="U43" t="s">
        <v>1456</v>
      </c>
    </row>
    <row r="44" spans="1:21">
      <c r="A44">
        <v>270896</v>
      </c>
      <c r="B44">
        <v>20210914</v>
      </c>
      <c r="C44">
        <v>20210914</v>
      </c>
      <c r="D44">
        <v>222614</v>
      </c>
      <c r="E44" t="s">
        <v>1424</v>
      </c>
      <c r="F44" t="s">
        <v>1450</v>
      </c>
      <c r="G44" t="s">
        <v>1451</v>
      </c>
      <c r="H44" t="s">
        <v>30</v>
      </c>
      <c r="I44">
        <v>202112</v>
      </c>
      <c r="L44" t="s">
        <v>1457</v>
      </c>
      <c r="M44">
        <v>1</v>
      </c>
      <c r="N44">
        <v>70.14</v>
      </c>
      <c r="O44" t="s">
        <v>1453</v>
      </c>
      <c r="P44" t="s">
        <v>1524</v>
      </c>
      <c r="Q44" t="s">
        <v>1454</v>
      </c>
      <c r="R44" t="s">
        <v>1455</v>
      </c>
      <c r="U44" t="s">
        <v>1456</v>
      </c>
    </row>
    <row r="45" spans="1:21">
      <c r="A45">
        <v>270899</v>
      </c>
      <c r="B45">
        <v>20210914</v>
      </c>
      <c r="C45">
        <v>20210914</v>
      </c>
      <c r="D45">
        <v>222619</v>
      </c>
      <c r="E45" t="s">
        <v>1424</v>
      </c>
      <c r="F45" t="s">
        <v>1450</v>
      </c>
      <c r="G45" t="s">
        <v>1451</v>
      </c>
      <c r="H45" t="s">
        <v>30</v>
      </c>
      <c r="I45">
        <v>202112</v>
      </c>
      <c r="L45" t="s">
        <v>1457</v>
      </c>
      <c r="M45">
        <v>4</v>
      </c>
      <c r="N45">
        <v>70.14</v>
      </c>
      <c r="O45" t="s">
        <v>1453</v>
      </c>
      <c r="P45" t="s">
        <v>1524</v>
      </c>
      <c r="Q45" t="s">
        <v>1454</v>
      </c>
      <c r="R45" t="s">
        <v>1455</v>
      </c>
      <c r="U45" t="s">
        <v>1456</v>
      </c>
    </row>
    <row r="46" spans="1:21">
      <c r="A46">
        <v>270902</v>
      </c>
      <c r="B46">
        <v>20210914</v>
      </c>
      <c r="C46">
        <v>20210914</v>
      </c>
      <c r="D46">
        <v>222750</v>
      </c>
      <c r="E46" t="s">
        <v>1424</v>
      </c>
      <c r="F46" t="s">
        <v>1450</v>
      </c>
      <c r="G46" t="s">
        <v>1451</v>
      </c>
      <c r="H46" t="s">
        <v>30</v>
      </c>
      <c r="I46">
        <v>202112</v>
      </c>
      <c r="L46" t="s">
        <v>1457</v>
      </c>
      <c r="M46">
        <v>5</v>
      </c>
      <c r="N46">
        <v>70.05</v>
      </c>
      <c r="O46" t="s">
        <v>1453</v>
      </c>
      <c r="P46" t="s">
        <v>1525</v>
      </c>
      <c r="Q46" t="s">
        <v>1454</v>
      </c>
      <c r="R46" t="s">
        <v>1455</v>
      </c>
      <c r="U46" t="s">
        <v>1456</v>
      </c>
    </row>
    <row r="47" spans="1:21">
      <c r="A47">
        <v>270905</v>
      </c>
      <c r="B47">
        <v>20210914</v>
      </c>
      <c r="C47">
        <v>20210914</v>
      </c>
      <c r="D47">
        <v>222801</v>
      </c>
      <c r="E47" t="s">
        <v>1424</v>
      </c>
      <c r="F47" t="s">
        <v>1450</v>
      </c>
      <c r="G47" t="s">
        <v>1451</v>
      </c>
      <c r="H47" t="s">
        <v>30</v>
      </c>
      <c r="I47">
        <v>202112</v>
      </c>
      <c r="L47" t="s">
        <v>1457</v>
      </c>
      <c r="M47">
        <v>1</v>
      </c>
      <c r="N47">
        <v>70.069999999999993</v>
      </c>
      <c r="O47" t="s">
        <v>1453</v>
      </c>
      <c r="P47" t="s">
        <v>1526</v>
      </c>
      <c r="Q47" t="s">
        <v>1454</v>
      </c>
      <c r="R47" t="s">
        <v>1455</v>
      </c>
      <c r="U47" t="s">
        <v>1456</v>
      </c>
    </row>
    <row r="48" spans="1:21">
      <c r="A48">
        <v>270908</v>
      </c>
      <c r="B48">
        <v>20210914</v>
      </c>
      <c r="C48">
        <v>20210914</v>
      </c>
      <c r="D48">
        <v>222801</v>
      </c>
      <c r="E48" t="s">
        <v>1424</v>
      </c>
      <c r="F48" t="s">
        <v>1450</v>
      </c>
      <c r="G48" t="s">
        <v>1451</v>
      </c>
      <c r="H48" t="s">
        <v>30</v>
      </c>
      <c r="I48">
        <v>202112</v>
      </c>
      <c r="L48" t="s">
        <v>1457</v>
      </c>
      <c r="M48">
        <v>9</v>
      </c>
      <c r="N48">
        <v>70.069999999999993</v>
      </c>
      <c r="O48" t="s">
        <v>1453</v>
      </c>
      <c r="P48" t="s">
        <v>1526</v>
      </c>
      <c r="Q48" t="s">
        <v>1454</v>
      </c>
      <c r="R48" t="s">
        <v>1455</v>
      </c>
      <c r="U48" t="s">
        <v>1456</v>
      </c>
    </row>
    <row r="49" spans="1:21">
      <c r="A49">
        <v>270911</v>
      </c>
      <c r="B49">
        <v>20210914</v>
      </c>
      <c r="C49">
        <v>20210914</v>
      </c>
      <c r="D49">
        <v>222821</v>
      </c>
      <c r="E49" t="s">
        <v>1424</v>
      </c>
      <c r="F49" t="s">
        <v>1450</v>
      </c>
      <c r="G49" t="s">
        <v>1451</v>
      </c>
      <c r="H49" t="s">
        <v>30</v>
      </c>
      <c r="I49">
        <v>202112</v>
      </c>
      <c r="L49" t="s">
        <v>1457</v>
      </c>
      <c r="M49">
        <v>18</v>
      </c>
      <c r="N49">
        <v>70.040000000000006</v>
      </c>
      <c r="O49" t="s">
        <v>1453</v>
      </c>
      <c r="P49" t="s">
        <v>1527</v>
      </c>
      <c r="Q49" t="s">
        <v>1454</v>
      </c>
      <c r="R49" t="s">
        <v>1455</v>
      </c>
      <c r="U49" t="s">
        <v>1456</v>
      </c>
    </row>
    <row r="50" spans="1:21">
      <c r="A50">
        <v>270914</v>
      </c>
      <c r="B50">
        <v>20210914</v>
      </c>
      <c r="C50">
        <v>20210914</v>
      </c>
      <c r="D50">
        <v>222821</v>
      </c>
      <c r="E50" t="s">
        <v>1424</v>
      </c>
      <c r="F50" t="s">
        <v>1450</v>
      </c>
      <c r="G50" t="s">
        <v>1451</v>
      </c>
      <c r="H50" t="s">
        <v>30</v>
      </c>
      <c r="I50">
        <v>202112</v>
      </c>
      <c r="L50" t="s">
        <v>1457</v>
      </c>
      <c r="M50">
        <v>2</v>
      </c>
      <c r="N50">
        <v>70.040000000000006</v>
      </c>
      <c r="O50" t="s">
        <v>1453</v>
      </c>
      <c r="P50" t="s">
        <v>1527</v>
      </c>
      <c r="Q50" t="s">
        <v>1454</v>
      </c>
      <c r="R50" t="s">
        <v>1455</v>
      </c>
      <c r="U50" t="s">
        <v>1456</v>
      </c>
    </row>
    <row r="51" spans="1:21">
      <c r="A51">
        <v>270917</v>
      </c>
      <c r="B51">
        <v>20210914</v>
      </c>
      <c r="C51">
        <v>20210914</v>
      </c>
      <c r="D51">
        <v>222852</v>
      </c>
      <c r="E51" t="s">
        <v>1424</v>
      </c>
      <c r="F51" t="s">
        <v>1450</v>
      </c>
      <c r="G51" t="s">
        <v>1451</v>
      </c>
      <c r="H51" t="s">
        <v>30</v>
      </c>
      <c r="I51">
        <v>202112</v>
      </c>
      <c r="L51" t="s">
        <v>1452</v>
      </c>
      <c r="M51">
        <v>4</v>
      </c>
      <c r="N51">
        <v>70.040000000000006</v>
      </c>
      <c r="O51" t="s">
        <v>1453</v>
      </c>
      <c r="P51" t="s">
        <v>1528</v>
      </c>
      <c r="Q51" t="s">
        <v>1454</v>
      </c>
      <c r="R51" t="s">
        <v>1455</v>
      </c>
      <c r="U51" t="s">
        <v>1456</v>
      </c>
    </row>
    <row r="52" spans="1:21">
      <c r="A52">
        <v>270920</v>
      </c>
      <c r="B52">
        <v>20210914</v>
      </c>
      <c r="C52">
        <v>20210914</v>
      </c>
      <c r="D52">
        <v>223608</v>
      </c>
      <c r="E52" t="s">
        <v>1424</v>
      </c>
      <c r="F52" t="s">
        <v>1450</v>
      </c>
      <c r="G52" t="s">
        <v>1451</v>
      </c>
      <c r="H52" t="s">
        <v>30</v>
      </c>
      <c r="I52">
        <v>202112</v>
      </c>
      <c r="L52" t="s">
        <v>1457</v>
      </c>
      <c r="M52">
        <v>1</v>
      </c>
      <c r="N52">
        <v>70.14</v>
      </c>
      <c r="O52" t="s">
        <v>1453</v>
      </c>
      <c r="P52" t="s">
        <v>1529</v>
      </c>
      <c r="Q52" t="s">
        <v>1454</v>
      </c>
      <c r="R52" t="s">
        <v>1455</v>
      </c>
      <c r="U52" t="s">
        <v>1456</v>
      </c>
    </row>
    <row r="53" spans="1:21">
      <c r="A53">
        <v>270923</v>
      </c>
      <c r="B53">
        <v>20210914</v>
      </c>
      <c r="C53">
        <v>20210914</v>
      </c>
      <c r="D53">
        <v>224132</v>
      </c>
      <c r="E53" t="s">
        <v>1424</v>
      </c>
      <c r="F53" t="s">
        <v>1450</v>
      </c>
      <c r="G53" t="s">
        <v>1451</v>
      </c>
      <c r="H53" t="s">
        <v>30</v>
      </c>
      <c r="I53">
        <v>202112</v>
      </c>
      <c r="L53" t="s">
        <v>1452</v>
      </c>
      <c r="M53">
        <v>5</v>
      </c>
      <c r="N53">
        <v>69.98</v>
      </c>
      <c r="O53" t="s">
        <v>1453</v>
      </c>
      <c r="P53" t="s">
        <v>1530</v>
      </c>
      <c r="Q53" t="s">
        <v>1454</v>
      </c>
      <c r="R53" t="s">
        <v>1455</v>
      </c>
      <c r="U53" t="s">
        <v>1456</v>
      </c>
    </row>
    <row r="54" spans="1:21">
      <c r="A54">
        <v>270926</v>
      </c>
      <c r="B54">
        <v>20210914</v>
      </c>
      <c r="C54">
        <v>20210914</v>
      </c>
      <c r="D54">
        <v>224132</v>
      </c>
      <c r="E54" t="s">
        <v>1424</v>
      </c>
      <c r="F54" t="s">
        <v>1450</v>
      </c>
      <c r="G54" t="s">
        <v>1451</v>
      </c>
      <c r="H54" t="s">
        <v>30</v>
      </c>
      <c r="I54">
        <v>202112</v>
      </c>
      <c r="L54" t="s">
        <v>1452</v>
      </c>
      <c r="M54">
        <v>2</v>
      </c>
      <c r="N54">
        <v>69.98</v>
      </c>
      <c r="O54" t="s">
        <v>1453</v>
      </c>
      <c r="P54" t="s">
        <v>1530</v>
      </c>
      <c r="Q54" t="s">
        <v>1454</v>
      </c>
      <c r="R54" t="s">
        <v>1455</v>
      </c>
      <c r="U54" t="s">
        <v>1456</v>
      </c>
    </row>
    <row r="55" spans="1:21">
      <c r="A55">
        <v>270929</v>
      </c>
      <c r="B55">
        <v>20210914</v>
      </c>
      <c r="C55">
        <v>20210914</v>
      </c>
      <c r="D55">
        <v>224132</v>
      </c>
      <c r="E55" t="s">
        <v>1424</v>
      </c>
      <c r="F55" t="s">
        <v>1450</v>
      </c>
      <c r="G55" t="s">
        <v>1451</v>
      </c>
      <c r="H55" t="s">
        <v>30</v>
      </c>
      <c r="I55">
        <v>202112</v>
      </c>
      <c r="L55" t="s">
        <v>1452</v>
      </c>
      <c r="M55">
        <v>3</v>
      </c>
      <c r="N55">
        <v>69.98</v>
      </c>
      <c r="O55" t="s">
        <v>1453</v>
      </c>
      <c r="P55" t="s">
        <v>1530</v>
      </c>
      <c r="Q55" t="s">
        <v>1454</v>
      </c>
      <c r="R55" t="s">
        <v>1455</v>
      </c>
      <c r="U55" t="s">
        <v>1456</v>
      </c>
    </row>
    <row r="56" spans="1:21">
      <c r="A56">
        <v>270932</v>
      </c>
      <c r="B56">
        <v>20210914</v>
      </c>
      <c r="C56">
        <v>20210914</v>
      </c>
      <c r="D56">
        <v>224303</v>
      </c>
      <c r="E56" t="s">
        <v>1427</v>
      </c>
      <c r="F56" t="s">
        <v>1450</v>
      </c>
      <c r="G56" t="s">
        <v>1451</v>
      </c>
      <c r="H56" t="s">
        <v>30</v>
      </c>
      <c r="I56">
        <v>202112</v>
      </c>
      <c r="L56" t="s">
        <v>1452</v>
      </c>
      <c r="M56">
        <v>1</v>
      </c>
      <c r="N56">
        <v>69.95</v>
      </c>
      <c r="O56" t="s">
        <v>1453</v>
      </c>
      <c r="P56" t="s">
        <v>1531</v>
      </c>
      <c r="Q56" t="s">
        <v>1454</v>
      </c>
      <c r="R56" t="s">
        <v>1455</v>
      </c>
      <c r="U56" t="s">
        <v>1456</v>
      </c>
    </row>
    <row r="57" spans="1:21">
      <c r="A57">
        <v>270935</v>
      </c>
      <c r="B57">
        <v>20210914</v>
      </c>
      <c r="C57">
        <v>20210914</v>
      </c>
      <c r="D57">
        <v>224447</v>
      </c>
      <c r="E57" t="s">
        <v>1427</v>
      </c>
      <c r="F57" t="s">
        <v>1450</v>
      </c>
      <c r="G57" t="s">
        <v>1451</v>
      </c>
      <c r="H57" t="s">
        <v>30</v>
      </c>
      <c r="I57">
        <v>202112</v>
      </c>
      <c r="L57" t="s">
        <v>1452</v>
      </c>
      <c r="M57">
        <v>1</v>
      </c>
      <c r="N57">
        <v>69.900000000000006</v>
      </c>
      <c r="O57" t="s">
        <v>1453</v>
      </c>
      <c r="P57" t="s">
        <v>1532</v>
      </c>
      <c r="Q57" t="s">
        <v>1454</v>
      </c>
      <c r="R57" t="s">
        <v>1455</v>
      </c>
      <c r="U57" t="s">
        <v>1456</v>
      </c>
    </row>
    <row r="58" spans="1:21">
      <c r="A58">
        <v>270938</v>
      </c>
      <c r="B58">
        <v>20210914</v>
      </c>
      <c r="C58">
        <v>20210914</v>
      </c>
      <c r="D58">
        <v>224447</v>
      </c>
      <c r="E58" t="s">
        <v>1424</v>
      </c>
      <c r="F58" t="s">
        <v>1450</v>
      </c>
      <c r="G58" t="s">
        <v>1451</v>
      </c>
      <c r="H58" t="s">
        <v>30</v>
      </c>
      <c r="I58">
        <v>202112</v>
      </c>
      <c r="L58" t="s">
        <v>1452</v>
      </c>
      <c r="M58">
        <v>4</v>
      </c>
      <c r="N58">
        <v>69.900000000000006</v>
      </c>
      <c r="O58" t="s">
        <v>1453</v>
      </c>
      <c r="P58" t="s">
        <v>1533</v>
      </c>
      <c r="Q58" t="s">
        <v>1454</v>
      </c>
      <c r="R58" t="s">
        <v>1455</v>
      </c>
      <c r="U58" t="s">
        <v>1456</v>
      </c>
    </row>
    <row r="59" spans="1:21">
      <c r="A59">
        <v>270941</v>
      </c>
      <c r="B59">
        <v>20210914</v>
      </c>
      <c r="C59">
        <v>20210914</v>
      </c>
      <c r="D59">
        <v>224447</v>
      </c>
      <c r="E59" t="s">
        <v>1424</v>
      </c>
      <c r="F59" t="s">
        <v>1450</v>
      </c>
      <c r="G59" t="s">
        <v>1451</v>
      </c>
      <c r="H59" t="s">
        <v>30</v>
      </c>
      <c r="I59">
        <v>202112</v>
      </c>
      <c r="L59" t="s">
        <v>1452</v>
      </c>
      <c r="M59">
        <v>5</v>
      </c>
      <c r="N59">
        <v>69.900000000000006</v>
      </c>
      <c r="O59" t="s">
        <v>1453</v>
      </c>
      <c r="P59" t="s">
        <v>1533</v>
      </c>
      <c r="Q59" t="s">
        <v>1454</v>
      </c>
      <c r="R59" t="s">
        <v>1455</v>
      </c>
      <c r="U59" t="s">
        <v>1456</v>
      </c>
    </row>
    <row r="60" spans="1:21">
      <c r="A60">
        <v>270944</v>
      </c>
      <c r="B60">
        <v>20210914</v>
      </c>
      <c r="C60">
        <v>20210914</v>
      </c>
      <c r="D60">
        <v>224447</v>
      </c>
      <c r="E60" t="s">
        <v>1424</v>
      </c>
      <c r="F60" t="s">
        <v>1450</v>
      </c>
      <c r="G60" t="s">
        <v>1451</v>
      </c>
      <c r="H60" t="s">
        <v>30</v>
      </c>
      <c r="I60">
        <v>202112</v>
      </c>
      <c r="L60" t="s">
        <v>1452</v>
      </c>
      <c r="M60">
        <v>1</v>
      </c>
      <c r="N60">
        <v>69.900000000000006</v>
      </c>
      <c r="O60" t="s">
        <v>1453</v>
      </c>
      <c r="P60" t="s">
        <v>1533</v>
      </c>
      <c r="Q60" t="s">
        <v>1454</v>
      </c>
      <c r="R60" t="s">
        <v>1455</v>
      </c>
      <c r="U60" t="s">
        <v>1456</v>
      </c>
    </row>
    <row r="61" spans="1:21">
      <c r="A61">
        <v>270947</v>
      </c>
      <c r="B61">
        <v>20210914</v>
      </c>
      <c r="C61">
        <v>20210914</v>
      </c>
      <c r="D61">
        <v>225047</v>
      </c>
      <c r="E61" t="s">
        <v>1424</v>
      </c>
      <c r="F61" t="s">
        <v>1450</v>
      </c>
      <c r="G61" t="s">
        <v>1451</v>
      </c>
      <c r="H61" t="s">
        <v>30</v>
      </c>
      <c r="I61">
        <v>202112</v>
      </c>
      <c r="L61" t="s">
        <v>1452</v>
      </c>
      <c r="M61">
        <v>2</v>
      </c>
      <c r="N61">
        <v>69.900000000000006</v>
      </c>
      <c r="O61" t="s">
        <v>1453</v>
      </c>
      <c r="P61" t="s">
        <v>1534</v>
      </c>
      <c r="Q61" t="s">
        <v>1454</v>
      </c>
      <c r="R61" t="s">
        <v>1455</v>
      </c>
      <c r="U61" t="s">
        <v>1456</v>
      </c>
    </row>
    <row r="62" spans="1:21">
      <c r="A62">
        <v>270950</v>
      </c>
      <c r="B62">
        <v>20210914</v>
      </c>
      <c r="C62">
        <v>20210914</v>
      </c>
      <c r="D62">
        <v>225047</v>
      </c>
      <c r="E62" t="s">
        <v>1424</v>
      </c>
      <c r="F62" t="s">
        <v>1450</v>
      </c>
      <c r="G62" t="s">
        <v>1451</v>
      </c>
      <c r="H62" t="s">
        <v>30</v>
      </c>
      <c r="I62">
        <v>202112</v>
      </c>
      <c r="L62" t="s">
        <v>1452</v>
      </c>
      <c r="M62">
        <v>1</v>
      </c>
      <c r="N62">
        <v>69.900000000000006</v>
      </c>
      <c r="O62" t="s">
        <v>1453</v>
      </c>
      <c r="P62" t="s">
        <v>1534</v>
      </c>
      <c r="Q62" t="s">
        <v>1454</v>
      </c>
      <c r="R62" t="s">
        <v>1455</v>
      </c>
      <c r="U62" t="s">
        <v>1456</v>
      </c>
    </row>
    <row r="63" spans="1:21">
      <c r="A63">
        <v>270953</v>
      </c>
      <c r="B63">
        <v>20210914</v>
      </c>
      <c r="C63">
        <v>20210914</v>
      </c>
      <c r="D63">
        <v>225047</v>
      </c>
      <c r="E63" t="s">
        <v>1424</v>
      </c>
      <c r="F63" t="s">
        <v>1450</v>
      </c>
      <c r="G63" t="s">
        <v>1451</v>
      </c>
      <c r="H63" t="s">
        <v>30</v>
      </c>
      <c r="I63">
        <v>202112</v>
      </c>
      <c r="L63" t="s">
        <v>1452</v>
      </c>
      <c r="M63">
        <v>1</v>
      </c>
      <c r="N63">
        <v>69.900000000000006</v>
      </c>
      <c r="O63" t="s">
        <v>1453</v>
      </c>
      <c r="P63" t="s">
        <v>1534</v>
      </c>
      <c r="Q63" t="s">
        <v>1454</v>
      </c>
      <c r="R63" t="s">
        <v>1455</v>
      </c>
      <c r="U63" t="s">
        <v>1456</v>
      </c>
    </row>
    <row r="64" spans="1:21">
      <c r="A64">
        <v>270956</v>
      </c>
      <c r="B64">
        <v>20210914</v>
      </c>
      <c r="C64">
        <v>20210914</v>
      </c>
      <c r="D64">
        <v>225059</v>
      </c>
      <c r="E64" t="s">
        <v>1424</v>
      </c>
      <c r="F64" t="s">
        <v>1450</v>
      </c>
      <c r="G64" t="s">
        <v>1451</v>
      </c>
      <c r="H64" t="s">
        <v>30</v>
      </c>
      <c r="I64">
        <v>202112</v>
      </c>
      <c r="L64" t="s">
        <v>1452</v>
      </c>
      <c r="M64">
        <v>1</v>
      </c>
      <c r="N64">
        <v>69.88</v>
      </c>
      <c r="O64" t="s">
        <v>1453</v>
      </c>
      <c r="P64" t="s">
        <v>1535</v>
      </c>
      <c r="Q64" t="s">
        <v>1454</v>
      </c>
      <c r="R64" t="s">
        <v>1455</v>
      </c>
      <c r="U64" t="s">
        <v>1456</v>
      </c>
    </row>
    <row r="65" spans="1:21">
      <c r="A65">
        <v>270959</v>
      </c>
      <c r="B65">
        <v>20210914</v>
      </c>
      <c r="C65">
        <v>20210914</v>
      </c>
      <c r="D65">
        <v>225059</v>
      </c>
      <c r="E65" t="s">
        <v>1424</v>
      </c>
      <c r="F65" t="s">
        <v>1450</v>
      </c>
      <c r="G65" t="s">
        <v>1451</v>
      </c>
      <c r="H65" t="s">
        <v>30</v>
      </c>
      <c r="I65">
        <v>202112</v>
      </c>
      <c r="L65" t="s">
        <v>1452</v>
      </c>
      <c r="M65">
        <v>1</v>
      </c>
      <c r="N65">
        <v>69.88</v>
      </c>
      <c r="O65" t="s">
        <v>1453</v>
      </c>
      <c r="P65" t="s">
        <v>1535</v>
      </c>
      <c r="Q65" t="s">
        <v>1454</v>
      </c>
      <c r="R65" t="s">
        <v>1455</v>
      </c>
      <c r="U65" t="s">
        <v>1456</v>
      </c>
    </row>
    <row r="66" spans="1:21">
      <c r="A66">
        <v>270962</v>
      </c>
      <c r="B66">
        <v>20210914</v>
      </c>
      <c r="C66">
        <v>20210914</v>
      </c>
      <c r="D66">
        <v>225059</v>
      </c>
      <c r="E66" t="s">
        <v>1424</v>
      </c>
      <c r="F66" t="s">
        <v>1450</v>
      </c>
      <c r="G66" t="s">
        <v>1451</v>
      </c>
      <c r="H66" t="s">
        <v>30</v>
      </c>
      <c r="I66">
        <v>202112</v>
      </c>
      <c r="L66" t="s">
        <v>1452</v>
      </c>
      <c r="M66">
        <v>2</v>
      </c>
      <c r="N66">
        <v>69.88</v>
      </c>
      <c r="O66" t="s">
        <v>1453</v>
      </c>
      <c r="P66" t="s">
        <v>1535</v>
      </c>
      <c r="Q66" t="s">
        <v>1454</v>
      </c>
      <c r="R66" t="s">
        <v>1455</v>
      </c>
      <c r="U66" t="s">
        <v>1456</v>
      </c>
    </row>
    <row r="67" spans="1:21">
      <c r="A67">
        <v>270965</v>
      </c>
      <c r="B67">
        <v>20210914</v>
      </c>
      <c r="C67">
        <v>20210914</v>
      </c>
      <c r="D67">
        <v>230320</v>
      </c>
      <c r="E67" t="s">
        <v>1424</v>
      </c>
      <c r="F67" t="s">
        <v>1450</v>
      </c>
      <c r="G67" t="s">
        <v>1451</v>
      </c>
      <c r="H67" t="s">
        <v>30</v>
      </c>
      <c r="I67">
        <v>202112</v>
      </c>
      <c r="L67" t="s">
        <v>1452</v>
      </c>
      <c r="M67">
        <v>1</v>
      </c>
      <c r="N67">
        <v>69.91</v>
      </c>
      <c r="O67" t="s">
        <v>1453</v>
      </c>
      <c r="P67" t="s">
        <v>1536</v>
      </c>
      <c r="Q67" t="s">
        <v>1454</v>
      </c>
      <c r="R67" t="s">
        <v>1455</v>
      </c>
      <c r="U67" t="s">
        <v>1456</v>
      </c>
    </row>
    <row r="68" spans="1:21">
      <c r="A68">
        <v>270968</v>
      </c>
      <c r="B68">
        <v>20210914</v>
      </c>
      <c r="C68">
        <v>20210914</v>
      </c>
      <c r="D68">
        <v>230601</v>
      </c>
      <c r="E68" t="s">
        <v>1424</v>
      </c>
      <c r="F68" t="s">
        <v>1450</v>
      </c>
      <c r="G68" t="s">
        <v>1451</v>
      </c>
      <c r="H68" t="s">
        <v>30</v>
      </c>
      <c r="I68">
        <v>202112</v>
      </c>
      <c r="L68" t="s">
        <v>1452</v>
      </c>
      <c r="M68">
        <v>2</v>
      </c>
      <c r="N68">
        <v>69.84</v>
      </c>
      <c r="O68" t="s">
        <v>1453</v>
      </c>
      <c r="P68" t="s">
        <v>1537</v>
      </c>
      <c r="Q68" t="s">
        <v>1454</v>
      </c>
      <c r="R68" t="s">
        <v>1455</v>
      </c>
      <c r="U68" t="s">
        <v>1456</v>
      </c>
    </row>
    <row r="69" spans="1:21">
      <c r="A69">
        <v>270971</v>
      </c>
      <c r="B69">
        <v>20210914</v>
      </c>
      <c r="C69">
        <v>20210914</v>
      </c>
      <c r="D69">
        <v>230653</v>
      </c>
      <c r="E69" t="s">
        <v>1424</v>
      </c>
      <c r="F69" t="s">
        <v>1450</v>
      </c>
      <c r="G69" t="s">
        <v>1451</v>
      </c>
      <c r="H69" t="s">
        <v>30</v>
      </c>
      <c r="I69">
        <v>202112</v>
      </c>
      <c r="L69" t="s">
        <v>1452</v>
      </c>
      <c r="M69">
        <v>2</v>
      </c>
      <c r="N69">
        <v>69.8</v>
      </c>
      <c r="O69" t="s">
        <v>1453</v>
      </c>
      <c r="P69" t="s">
        <v>1538</v>
      </c>
      <c r="Q69" t="s">
        <v>1454</v>
      </c>
      <c r="R69" t="s">
        <v>1455</v>
      </c>
      <c r="U69" t="s">
        <v>1456</v>
      </c>
    </row>
    <row r="70" spans="1:21">
      <c r="A70">
        <v>270974</v>
      </c>
      <c r="B70">
        <v>20210914</v>
      </c>
      <c r="C70">
        <v>20210915</v>
      </c>
      <c r="D70">
        <v>4035</v>
      </c>
      <c r="E70" t="s">
        <v>1539</v>
      </c>
      <c r="F70" t="s">
        <v>1540</v>
      </c>
      <c r="G70" t="s">
        <v>1464</v>
      </c>
      <c r="H70" t="s">
        <v>1465</v>
      </c>
      <c r="I70">
        <v>202111</v>
      </c>
      <c r="L70" t="s">
        <v>1452</v>
      </c>
      <c r="M70">
        <v>1</v>
      </c>
      <c r="N70">
        <v>73.349999999999994</v>
      </c>
      <c r="O70" t="s">
        <v>1453</v>
      </c>
      <c r="P70" t="s">
        <v>1541</v>
      </c>
      <c r="Q70" t="s">
        <v>1454</v>
      </c>
      <c r="R70" t="s">
        <v>1542</v>
      </c>
      <c r="U70" t="s">
        <v>1456</v>
      </c>
    </row>
    <row r="71" spans="1:21">
      <c r="A71">
        <v>270977</v>
      </c>
      <c r="B71">
        <v>20210914</v>
      </c>
      <c r="C71">
        <v>20210915</v>
      </c>
      <c r="D71">
        <v>5251</v>
      </c>
      <c r="E71" t="s">
        <v>1539</v>
      </c>
      <c r="F71" t="s">
        <v>1540</v>
      </c>
      <c r="G71" t="s">
        <v>1464</v>
      </c>
      <c r="H71" t="s">
        <v>1465</v>
      </c>
      <c r="I71">
        <v>202111</v>
      </c>
      <c r="L71" t="s">
        <v>1452</v>
      </c>
      <c r="M71">
        <v>1</v>
      </c>
      <c r="N71">
        <v>73.290000000000006</v>
      </c>
      <c r="O71" t="s">
        <v>1453</v>
      </c>
      <c r="P71" t="s">
        <v>1543</v>
      </c>
      <c r="Q71" t="s">
        <v>1454</v>
      </c>
      <c r="R71" t="s">
        <v>1542</v>
      </c>
      <c r="U71" t="s">
        <v>1456</v>
      </c>
    </row>
    <row r="72" spans="1:21">
      <c r="A72">
        <v>270980</v>
      </c>
      <c r="B72">
        <v>20210914</v>
      </c>
      <c r="C72">
        <v>20210915</v>
      </c>
      <c r="D72">
        <v>5430</v>
      </c>
      <c r="E72" t="s">
        <v>1539</v>
      </c>
      <c r="F72" t="s">
        <v>1540</v>
      </c>
      <c r="G72" t="s">
        <v>1464</v>
      </c>
      <c r="H72" t="s">
        <v>1465</v>
      </c>
      <c r="I72">
        <v>202111</v>
      </c>
      <c r="L72" t="s">
        <v>1452</v>
      </c>
      <c r="M72">
        <v>1</v>
      </c>
      <c r="N72">
        <v>73.33</v>
      </c>
      <c r="O72" t="s">
        <v>1453</v>
      </c>
      <c r="P72" t="s">
        <v>1544</v>
      </c>
      <c r="Q72" t="s">
        <v>1454</v>
      </c>
      <c r="R72" t="s">
        <v>1542</v>
      </c>
      <c r="U72" t="s">
        <v>1456</v>
      </c>
    </row>
    <row r="73" spans="1:21">
      <c r="A73">
        <v>270983</v>
      </c>
      <c r="B73">
        <v>20210914</v>
      </c>
      <c r="C73">
        <v>20210915</v>
      </c>
      <c r="D73">
        <v>23816</v>
      </c>
      <c r="E73" t="s">
        <v>1539</v>
      </c>
      <c r="F73" t="s">
        <v>1540</v>
      </c>
      <c r="G73" t="s">
        <v>1464</v>
      </c>
      <c r="H73" t="s">
        <v>1465</v>
      </c>
      <c r="I73">
        <v>202111</v>
      </c>
      <c r="L73" t="s">
        <v>1457</v>
      </c>
      <c r="M73">
        <v>1</v>
      </c>
      <c r="N73">
        <v>73.63</v>
      </c>
      <c r="O73" t="s">
        <v>1453</v>
      </c>
      <c r="P73" t="s">
        <v>1545</v>
      </c>
      <c r="Q73" t="s">
        <v>1454</v>
      </c>
      <c r="R73" t="s">
        <v>1542</v>
      </c>
      <c r="U73" t="s">
        <v>1456</v>
      </c>
    </row>
    <row r="74" spans="1:21">
      <c r="A74">
        <v>270986</v>
      </c>
      <c r="B74">
        <v>20210915</v>
      </c>
      <c r="C74">
        <v>20210915</v>
      </c>
      <c r="D74">
        <v>64349</v>
      </c>
      <c r="E74" t="s">
        <v>1424</v>
      </c>
      <c r="F74" t="s">
        <v>1450</v>
      </c>
      <c r="G74" t="s">
        <v>1451</v>
      </c>
      <c r="H74" t="s">
        <v>30</v>
      </c>
      <c r="I74">
        <v>202112</v>
      </c>
      <c r="L74" t="s">
        <v>1457</v>
      </c>
      <c r="M74">
        <v>1</v>
      </c>
      <c r="N74">
        <v>70.08</v>
      </c>
      <c r="O74" t="s">
        <v>1453</v>
      </c>
      <c r="P74" t="s">
        <v>1546</v>
      </c>
      <c r="Q74" t="s">
        <v>1454</v>
      </c>
      <c r="R74" t="s">
        <v>1455</v>
      </c>
      <c r="U74" t="s">
        <v>1456</v>
      </c>
    </row>
    <row r="75" spans="1:21">
      <c r="A75">
        <v>270989</v>
      </c>
      <c r="B75">
        <v>20210915</v>
      </c>
      <c r="C75">
        <v>20210915</v>
      </c>
      <c r="D75">
        <v>64349</v>
      </c>
      <c r="E75" t="s">
        <v>1424</v>
      </c>
      <c r="F75" t="s">
        <v>1450</v>
      </c>
      <c r="G75" t="s">
        <v>1451</v>
      </c>
      <c r="H75" t="s">
        <v>30</v>
      </c>
      <c r="I75">
        <v>202112</v>
      </c>
      <c r="L75" t="s">
        <v>1457</v>
      </c>
      <c r="M75">
        <v>8</v>
      </c>
      <c r="N75">
        <v>70.08</v>
      </c>
      <c r="O75" t="s">
        <v>1453</v>
      </c>
      <c r="P75" t="s">
        <v>1546</v>
      </c>
      <c r="Q75" t="s">
        <v>1454</v>
      </c>
      <c r="R75" t="s">
        <v>1455</v>
      </c>
      <c r="U75" t="s">
        <v>1456</v>
      </c>
    </row>
    <row r="76" spans="1:21">
      <c r="A76">
        <v>270992</v>
      </c>
      <c r="B76">
        <v>20210915</v>
      </c>
      <c r="C76">
        <v>20210915</v>
      </c>
      <c r="D76">
        <v>64349</v>
      </c>
      <c r="E76" t="s">
        <v>1424</v>
      </c>
      <c r="F76" t="s">
        <v>1450</v>
      </c>
      <c r="G76" t="s">
        <v>1451</v>
      </c>
      <c r="H76" t="s">
        <v>30</v>
      </c>
      <c r="I76">
        <v>202112</v>
      </c>
      <c r="L76" t="s">
        <v>1457</v>
      </c>
      <c r="M76">
        <v>1</v>
      </c>
      <c r="N76">
        <v>70.08</v>
      </c>
      <c r="O76" t="s">
        <v>1453</v>
      </c>
      <c r="P76" t="s">
        <v>1546</v>
      </c>
      <c r="Q76" t="s">
        <v>1454</v>
      </c>
      <c r="R76" t="s">
        <v>1455</v>
      </c>
      <c r="U76" t="s">
        <v>1456</v>
      </c>
    </row>
    <row r="77" spans="1:21">
      <c r="A77">
        <v>270995</v>
      </c>
      <c r="B77">
        <v>20210915</v>
      </c>
      <c r="C77">
        <v>20210915</v>
      </c>
      <c r="D77">
        <v>64503</v>
      </c>
      <c r="E77" t="s">
        <v>1424</v>
      </c>
      <c r="F77" t="s">
        <v>1450</v>
      </c>
      <c r="G77" t="s">
        <v>1451</v>
      </c>
      <c r="H77" t="s">
        <v>30</v>
      </c>
      <c r="I77">
        <v>202112</v>
      </c>
      <c r="L77" t="s">
        <v>1457</v>
      </c>
      <c r="M77">
        <v>3</v>
      </c>
      <c r="N77">
        <v>70.09</v>
      </c>
      <c r="O77" t="s">
        <v>1453</v>
      </c>
      <c r="P77" t="s">
        <v>1547</v>
      </c>
      <c r="Q77" t="s">
        <v>1454</v>
      </c>
      <c r="R77" t="s">
        <v>1455</v>
      </c>
      <c r="U77" t="s">
        <v>1456</v>
      </c>
    </row>
    <row r="78" spans="1:21">
      <c r="A78">
        <v>270998</v>
      </c>
      <c r="B78">
        <v>20210915</v>
      </c>
      <c r="C78">
        <v>20210915</v>
      </c>
      <c r="D78">
        <v>64503</v>
      </c>
      <c r="E78" t="s">
        <v>1424</v>
      </c>
      <c r="F78" t="s">
        <v>1450</v>
      </c>
      <c r="G78" t="s">
        <v>1451</v>
      </c>
      <c r="H78" t="s">
        <v>30</v>
      </c>
      <c r="I78">
        <v>202112</v>
      </c>
      <c r="L78" t="s">
        <v>1457</v>
      </c>
      <c r="M78">
        <v>2</v>
      </c>
      <c r="N78">
        <v>70.09</v>
      </c>
      <c r="O78" t="s">
        <v>1453</v>
      </c>
      <c r="P78" t="s">
        <v>1547</v>
      </c>
      <c r="Q78" t="s">
        <v>1454</v>
      </c>
      <c r="R78" t="s">
        <v>1455</v>
      </c>
      <c r="U78" t="s">
        <v>1456</v>
      </c>
    </row>
    <row r="79" spans="1:21">
      <c r="A79">
        <v>271001</v>
      </c>
      <c r="B79">
        <v>20210915</v>
      </c>
      <c r="C79">
        <v>20210915</v>
      </c>
      <c r="D79">
        <v>80409</v>
      </c>
      <c r="E79" t="s">
        <v>1427</v>
      </c>
      <c r="F79" t="s">
        <v>1450</v>
      </c>
      <c r="G79" t="s">
        <v>1451</v>
      </c>
      <c r="H79" t="s">
        <v>30</v>
      </c>
      <c r="I79">
        <v>202112</v>
      </c>
      <c r="L79" t="s">
        <v>1457</v>
      </c>
      <c r="M79">
        <v>1</v>
      </c>
      <c r="N79">
        <v>70.2</v>
      </c>
      <c r="O79" t="s">
        <v>1453</v>
      </c>
      <c r="P79" t="s">
        <v>1548</v>
      </c>
      <c r="Q79" t="s">
        <v>1454</v>
      </c>
      <c r="R79" t="s">
        <v>1455</v>
      </c>
      <c r="U79" t="s">
        <v>1456</v>
      </c>
    </row>
    <row r="80" spans="1:21">
      <c r="A80">
        <v>271004</v>
      </c>
      <c r="B80">
        <v>20210915</v>
      </c>
      <c r="C80">
        <v>20210915</v>
      </c>
      <c r="D80">
        <v>100502</v>
      </c>
      <c r="E80" t="s">
        <v>1424</v>
      </c>
      <c r="F80" t="s">
        <v>1450</v>
      </c>
      <c r="G80" t="s">
        <v>1395</v>
      </c>
      <c r="H80" t="s">
        <v>5</v>
      </c>
      <c r="I80">
        <v>202110</v>
      </c>
      <c r="L80" t="s">
        <v>1452</v>
      </c>
      <c r="M80">
        <v>10</v>
      </c>
      <c r="N80">
        <v>15130</v>
      </c>
      <c r="O80" t="s">
        <v>1459</v>
      </c>
      <c r="P80">
        <v>1643211954</v>
      </c>
      <c r="Q80" t="s">
        <v>1401</v>
      </c>
      <c r="R80">
        <v>672339</v>
      </c>
      <c r="U80" t="s">
        <v>1456</v>
      </c>
    </row>
    <row r="81" spans="1:21">
      <c r="A81">
        <v>271007</v>
      </c>
      <c r="B81">
        <v>20210915</v>
      </c>
      <c r="C81">
        <v>20210915</v>
      </c>
      <c r="D81">
        <v>100609</v>
      </c>
      <c r="E81" t="s">
        <v>1424</v>
      </c>
      <c r="F81" t="s">
        <v>1450</v>
      </c>
      <c r="G81" t="s">
        <v>1395</v>
      </c>
      <c r="H81" t="s">
        <v>5</v>
      </c>
      <c r="I81">
        <v>202110</v>
      </c>
      <c r="L81" t="s">
        <v>1452</v>
      </c>
      <c r="M81">
        <v>6</v>
      </c>
      <c r="N81">
        <v>15120</v>
      </c>
      <c r="O81" t="s">
        <v>1459</v>
      </c>
      <c r="P81">
        <v>1643177956</v>
      </c>
      <c r="Q81" t="s">
        <v>1401</v>
      </c>
      <c r="R81">
        <v>672339</v>
      </c>
      <c r="U81" t="s">
        <v>1456</v>
      </c>
    </row>
    <row r="82" spans="1:21">
      <c r="A82">
        <v>271010</v>
      </c>
      <c r="B82">
        <v>20210915</v>
      </c>
      <c r="C82">
        <v>20210915</v>
      </c>
      <c r="D82">
        <v>100609</v>
      </c>
      <c r="E82" t="s">
        <v>1424</v>
      </c>
      <c r="F82" t="s">
        <v>1450</v>
      </c>
      <c r="G82" t="s">
        <v>1395</v>
      </c>
      <c r="H82" t="s">
        <v>5</v>
      </c>
      <c r="I82">
        <v>202110</v>
      </c>
      <c r="L82" t="s">
        <v>1452</v>
      </c>
      <c r="M82">
        <v>4</v>
      </c>
      <c r="N82">
        <v>15120</v>
      </c>
      <c r="O82" t="s">
        <v>1459</v>
      </c>
      <c r="P82">
        <v>1643177956</v>
      </c>
      <c r="Q82" t="s">
        <v>1401</v>
      </c>
      <c r="R82">
        <v>672339</v>
      </c>
      <c r="U82" t="s">
        <v>1456</v>
      </c>
    </row>
    <row r="83" spans="1:21">
      <c r="A83">
        <v>271013</v>
      </c>
      <c r="B83">
        <v>20210915</v>
      </c>
      <c r="C83">
        <v>20210915</v>
      </c>
      <c r="D83">
        <v>101049</v>
      </c>
      <c r="E83" t="s">
        <v>1424</v>
      </c>
      <c r="F83" t="s">
        <v>1450</v>
      </c>
      <c r="G83" t="s">
        <v>1395</v>
      </c>
      <c r="H83" t="s">
        <v>5</v>
      </c>
      <c r="I83">
        <v>202110</v>
      </c>
      <c r="L83" t="s">
        <v>1452</v>
      </c>
      <c r="M83">
        <v>10</v>
      </c>
      <c r="N83">
        <v>15110</v>
      </c>
      <c r="O83" t="s">
        <v>1459</v>
      </c>
      <c r="P83">
        <v>1643192579</v>
      </c>
      <c r="Q83" t="s">
        <v>1401</v>
      </c>
      <c r="R83">
        <v>672339</v>
      </c>
      <c r="U83" t="s">
        <v>1456</v>
      </c>
    </row>
    <row r="84" spans="1:21">
      <c r="A84">
        <v>271016</v>
      </c>
      <c r="B84">
        <v>20210915</v>
      </c>
      <c r="C84">
        <v>20210915</v>
      </c>
      <c r="D84">
        <v>104325</v>
      </c>
      <c r="E84" t="s">
        <v>1428</v>
      </c>
      <c r="F84" t="s">
        <v>1458</v>
      </c>
      <c r="G84" t="s">
        <v>1395</v>
      </c>
      <c r="H84" t="s">
        <v>116</v>
      </c>
      <c r="I84">
        <v>202111</v>
      </c>
      <c r="L84" t="s">
        <v>1457</v>
      </c>
      <c r="M84">
        <v>1</v>
      </c>
      <c r="N84">
        <v>113.25</v>
      </c>
      <c r="O84" t="s">
        <v>1459</v>
      </c>
      <c r="P84">
        <v>1643213750</v>
      </c>
      <c r="Q84" t="s">
        <v>1401</v>
      </c>
      <c r="R84">
        <v>672339</v>
      </c>
      <c r="U84" t="s">
        <v>1456</v>
      </c>
    </row>
    <row r="85" spans="1:21">
      <c r="A85">
        <v>271019</v>
      </c>
      <c r="B85">
        <v>20210915</v>
      </c>
      <c r="C85">
        <v>20210915</v>
      </c>
      <c r="D85">
        <v>104325</v>
      </c>
      <c r="E85" t="s">
        <v>1428</v>
      </c>
      <c r="F85" t="s">
        <v>1458</v>
      </c>
      <c r="G85" t="s">
        <v>1395</v>
      </c>
      <c r="H85" t="s">
        <v>116</v>
      </c>
      <c r="I85">
        <v>202111</v>
      </c>
      <c r="L85" t="s">
        <v>1457</v>
      </c>
      <c r="M85">
        <v>8</v>
      </c>
      <c r="N85">
        <v>113.25</v>
      </c>
      <c r="O85" t="s">
        <v>1459</v>
      </c>
      <c r="P85">
        <v>1643213750</v>
      </c>
      <c r="Q85" t="s">
        <v>1401</v>
      </c>
      <c r="R85">
        <v>672339</v>
      </c>
      <c r="U85" t="s">
        <v>1456</v>
      </c>
    </row>
    <row r="86" spans="1:21">
      <c r="A86">
        <v>271022</v>
      </c>
      <c r="B86">
        <v>20210915</v>
      </c>
      <c r="C86">
        <v>20210915</v>
      </c>
      <c r="D86">
        <v>132042</v>
      </c>
      <c r="E86" t="s">
        <v>1424</v>
      </c>
      <c r="F86" t="s">
        <v>1450</v>
      </c>
      <c r="G86" t="s">
        <v>1395</v>
      </c>
      <c r="H86" t="s">
        <v>5</v>
      </c>
      <c r="I86">
        <v>202110</v>
      </c>
      <c r="L86" t="s">
        <v>1452</v>
      </c>
      <c r="M86">
        <v>1</v>
      </c>
      <c r="N86">
        <v>15100</v>
      </c>
      <c r="O86" t="s">
        <v>1459</v>
      </c>
      <c r="P86">
        <v>1643144954</v>
      </c>
      <c r="Q86" t="s">
        <v>1401</v>
      </c>
      <c r="R86">
        <v>672339</v>
      </c>
      <c r="U86" t="s">
        <v>1456</v>
      </c>
    </row>
    <row r="87" spans="1:21">
      <c r="A87">
        <v>271025</v>
      </c>
      <c r="B87">
        <v>20210915</v>
      </c>
      <c r="C87">
        <v>20210915</v>
      </c>
      <c r="D87">
        <v>132042</v>
      </c>
      <c r="E87" t="s">
        <v>1424</v>
      </c>
      <c r="F87" t="s">
        <v>1450</v>
      </c>
      <c r="G87" t="s">
        <v>1395</v>
      </c>
      <c r="H87" t="s">
        <v>5</v>
      </c>
      <c r="I87">
        <v>202110</v>
      </c>
      <c r="L87" t="s">
        <v>1452</v>
      </c>
      <c r="M87">
        <v>1</v>
      </c>
      <c r="N87">
        <v>15100</v>
      </c>
      <c r="O87" t="s">
        <v>1459</v>
      </c>
      <c r="P87">
        <v>1643144954</v>
      </c>
      <c r="Q87" t="s">
        <v>1401</v>
      </c>
      <c r="R87">
        <v>672339</v>
      </c>
      <c r="U87" t="s">
        <v>1456</v>
      </c>
    </row>
    <row r="88" spans="1:21">
      <c r="A88">
        <v>271028</v>
      </c>
      <c r="B88">
        <v>20210915</v>
      </c>
      <c r="C88">
        <v>20210915</v>
      </c>
      <c r="D88">
        <v>132042</v>
      </c>
      <c r="E88" t="s">
        <v>1424</v>
      </c>
      <c r="F88" t="s">
        <v>1450</v>
      </c>
      <c r="G88" t="s">
        <v>1395</v>
      </c>
      <c r="H88" t="s">
        <v>5</v>
      </c>
      <c r="I88">
        <v>202110</v>
      </c>
      <c r="L88" t="s">
        <v>1452</v>
      </c>
      <c r="M88">
        <v>4</v>
      </c>
      <c r="N88">
        <v>15100</v>
      </c>
      <c r="O88" t="s">
        <v>1459</v>
      </c>
      <c r="P88">
        <v>1643144954</v>
      </c>
      <c r="Q88" t="s">
        <v>1401</v>
      </c>
      <c r="R88">
        <v>672339</v>
      </c>
      <c r="U88" t="s">
        <v>1456</v>
      </c>
    </row>
    <row r="89" spans="1:21">
      <c r="A89">
        <v>271031</v>
      </c>
      <c r="B89">
        <v>20210915</v>
      </c>
      <c r="C89">
        <v>20210915</v>
      </c>
      <c r="D89">
        <v>132042</v>
      </c>
      <c r="E89" t="s">
        <v>1424</v>
      </c>
      <c r="F89" t="s">
        <v>1450</v>
      </c>
      <c r="G89" t="s">
        <v>1395</v>
      </c>
      <c r="H89" t="s">
        <v>5</v>
      </c>
      <c r="I89">
        <v>202110</v>
      </c>
      <c r="L89" t="s">
        <v>1452</v>
      </c>
      <c r="M89">
        <v>2</v>
      </c>
      <c r="N89">
        <v>15100</v>
      </c>
      <c r="O89" t="s">
        <v>1459</v>
      </c>
      <c r="P89">
        <v>1643144954</v>
      </c>
      <c r="Q89" t="s">
        <v>1401</v>
      </c>
      <c r="R89">
        <v>672339</v>
      </c>
      <c r="U89" t="s">
        <v>1456</v>
      </c>
    </row>
    <row r="90" spans="1:21">
      <c r="A90">
        <v>271034</v>
      </c>
      <c r="B90">
        <v>20210915</v>
      </c>
      <c r="C90">
        <v>20210915</v>
      </c>
      <c r="D90">
        <v>132042</v>
      </c>
      <c r="E90" t="s">
        <v>1424</v>
      </c>
      <c r="F90" t="s">
        <v>1450</v>
      </c>
      <c r="G90" t="s">
        <v>1395</v>
      </c>
      <c r="H90" t="s">
        <v>5</v>
      </c>
      <c r="I90">
        <v>202110</v>
      </c>
      <c r="L90" t="s">
        <v>1452</v>
      </c>
      <c r="M90">
        <v>2</v>
      </c>
      <c r="N90">
        <v>15100</v>
      </c>
      <c r="O90" t="s">
        <v>1459</v>
      </c>
      <c r="P90">
        <v>1643144954</v>
      </c>
      <c r="Q90" t="s">
        <v>1401</v>
      </c>
      <c r="R90">
        <v>672339</v>
      </c>
      <c r="U90" t="s">
        <v>1456</v>
      </c>
    </row>
    <row r="91" spans="1:21">
      <c r="A91">
        <v>271037</v>
      </c>
      <c r="B91">
        <v>20210915</v>
      </c>
      <c r="C91">
        <v>20210915</v>
      </c>
      <c r="D91">
        <v>132042</v>
      </c>
      <c r="E91" t="s">
        <v>1424</v>
      </c>
      <c r="F91" t="s">
        <v>1450</v>
      </c>
      <c r="G91" t="s">
        <v>1395</v>
      </c>
      <c r="H91" t="s">
        <v>5</v>
      </c>
      <c r="I91">
        <v>202110</v>
      </c>
      <c r="L91" t="s">
        <v>1452</v>
      </c>
      <c r="M91">
        <v>2</v>
      </c>
      <c r="N91">
        <v>15100</v>
      </c>
      <c r="O91" t="s">
        <v>1459</v>
      </c>
      <c r="P91">
        <v>1643177987</v>
      </c>
      <c r="Q91" t="s">
        <v>1401</v>
      </c>
      <c r="R91">
        <v>672339</v>
      </c>
      <c r="U91" t="s">
        <v>1456</v>
      </c>
    </row>
    <row r="92" spans="1:21">
      <c r="A92">
        <v>271040</v>
      </c>
      <c r="B92">
        <v>20210915</v>
      </c>
      <c r="C92">
        <v>20210915</v>
      </c>
      <c r="D92">
        <v>132042</v>
      </c>
      <c r="E92" t="s">
        <v>1424</v>
      </c>
      <c r="F92" t="s">
        <v>1450</v>
      </c>
      <c r="G92" t="s">
        <v>1395</v>
      </c>
      <c r="H92" t="s">
        <v>5</v>
      </c>
      <c r="I92">
        <v>202110</v>
      </c>
      <c r="L92" t="s">
        <v>1452</v>
      </c>
      <c r="M92">
        <v>8</v>
      </c>
      <c r="N92">
        <v>15100</v>
      </c>
      <c r="O92" t="s">
        <v>1459</v>
      </c>
      <c r="P92">
        <v>1643177987</v>
      </c>
      <c r="Q92" t="s">
        <v>1401</v>
      </c>
      <c r="R92">
        <v>672339</v>
      </c>
      <c r="U92" t="s">
        <v>1456</v>
      </c>
    </row>
    <row r="93" spans="1:21">
      <c r="A93">
        <v>271043</v>
      </c>
      <c r="B93">
        <v>20210915</v>
      </c>
      <c r="C93">
        <v>20210915</v>
      </c>
      <c r="D93">
        <v>134327</v>
      </c>
      <c r="E93" t="s">
        <v>1424</v>
      </c>
      <c r="F93" t="s">
        <v>1450</v>
      </c>
      <c r="G93" t="s">
        <v>1395</v>
      </c>
      <c r="H93" t="s">
        <v>5</v>
      </c>
      <c r="I93">
        <v>202110</v>
      </c>
      <c r="L93" t="s">
        <v>1452</v>
      </c>
      <c r="M93">
        <v>8</v>
      </c>
      <c r="N93">
        <v>15050</v>
      </c>
      <c r="O93" t="s">
        <v>1459</v>
      </c>
      <c r="P93">
        <v>1643448316</v>
      </c>
      <c r="Q93" t="s">
        <v>1401</v>
      </c>
      <c r="R93">
        <v>672339</v>
      </c>
      <c r="U93" t="s">
        <v>1456</v>
      </c>
    </row>
    <row r="94" spans="1:21">
      <c r="A94">
        <v>271046</v>
      </c>
      <c r="B94">
        <v>20210915</v>
      </c>
      <c r="C94">
        <v>20210915</v>
      </c>
      <c r="D94">
        <v>134327</v>
      </c>
      <c r="E94" t="s">
        <v>1424</v>
      </c>
      <c r="F94" t="s">
        <v>1450</v>
      </c>
      <c r="G94" t="s">
        <v>1395</v>
      </c>
      <c r="H94" t="s">
        <v>5</v>
      </c>
      <c r="I94">
        <v>202110</v>
      </c>
      <c r="L94" t="s">
        <v>1452</v>
      </c>
      <c r="M94">
        <v>2</v>
      </c>
      <c r="N94">
        <v>15050</v>
      </c>
      <c r="O94" t="s">
        <v>1459</v>
      </c>
      <c r="P94">
        <v>1643448316</v>
      </c>
      <c r="Q94" t="s">
        <v>1401</v>
      </c>
      <c r="R94">
        <v>672339</v>
      </c>
      <c r="U94" t="s">
        <v>1456</v>
      </c>
    </row>
    <row r="95" spans="1:21">
      <c r="A95">
        <v>271049</v>
      </c>
      <c r="B95">
        <v>20210915</v>
      </c>
      <c r="C95">
        <v>20210915</v>
      </c>
      <c r="D95">
        <v>134407</v>
      </c>
      <c r="E95" t="s">
        <v>1424</v>
      </c>
      <c r="F95" t="s">
        <v>1450</v>
      </c>
      <c r="G95" t="s">
        <v>1395</v>
      </c>
      <c r="H95" t="s">
        <v>5</v>
      </c>
      <c r="I95">
        <v>202110</v>
      </c>
      <c r="L95" t="s">
        <v>1452</v>
      </c>
      <c r="M95">
        <v>6</v>
      </c>
      <c r="N95">
        <v>15050</v>
      </c>
      <c r="O95" t="s">
        <v>1459</v>
      </c>
      <c r="P95">
        <v>1643540802</v>
      </c>
      <c r="Q95" t="s">
        <v>1401</v>
      </c>
      <c r="R95">
        <v>672339</v>
      </c>
      <c r="U95" t="s">
        <v>1456</v>
      </c>
    </row>
    <row r="96" spans="1:21">
      <c r="A96">
        <v>271052</v>
      </c>
      <c r="B96">
        <v>20210915</v>
      </c>
      <c r="C96">
        <v>20210915</v>
      </c>
      <c r="D96">
        <v>134407</v>
      </c>
      <c r="E96" t="s">
        <v>1424</v>
      </c>
      <c r="F96" t="s">
        <v>1450</v>
      </c>
      <c r="G96" t="s">
        <v>1395</v>
      </c>
      <c r="H96" t="s">
        <v>5</v>
      </c>
      <c r="I96">
        <v>202110</v>
      </c>
      <c r="L96" t="s">
        <v>1452</v>
      </c>
      <c r="M96">
        <v>4</v>
      </c>
      <c r="N96">
        <v>15050</v>
      </c>
      <c r="O96" t="s">
        <v>1459</v>
      </c>
      <c r="P96">
        <v>1643540802</v>
      </c>
      <c r="Q96" t="s">
        <v>1401</v>
      </c>
      <c r="R96">
        <v>672339</v>
      </c>
      <c r="U96" t="s">
        <v>1456</v>
      </c>
    </row>
    <row r="97" spans="1:21">
      <c r="A97">
        <v>271055</v>
      </c>
      <c r="B97">
        <v>20210915</v>
      </c>
      <c r="C97">
        <v>20210915</v>
      </c>
      <c r="D97">
        <v>134418</v>
      </c>
      <c r="E97" t="s">
        <v>1424</v>
      </c>
      <c r="F97" t="s">
        <v>1450</v>
      </c>
      <c r="G97" t="s">
        <v>1395</v>
      </c>
      <c r="H97" t="s">
        <v>5</v>
      </c>
      <c r="I97">
        <v>202110</v>
      </c>
      <c r="L97" t="s">
        <v>1452</v>
      </c>
      <c r="M97">
        <v>1</v>
      </c>
      <c r="N97">
        <v>15045</v>
      </c>
      <c r="O97" t="s">
        <v>1459</v>
      </c>
      <c r="P97">
        <v>1643433769</v>
      </c>
      <c r="Q97" t="s">
        <v>1401</v>
      </c>
      <c r="R97">
        <v>672339</v>
      </c>
      <c r="U97" t="s">
        <v>1456</v>
      </c>
    </row>
    <row r="98" spans="1:21">
      <c r="A98">
        <v>271058</v>
      </c>
      <c r="B98">
        <v>20210915</v>
      </c>
      <c r="C98">
        <v>20210915</v>
      </c>
      <c r="D98">
        <v>134421</v>
      </c>
      <c r="E98" t="s">
        <v>1424</v>
      </c>
      <c r="F98" t="s">
        <v>1450</v>
      </c>
      <c r="G98" t="s">
        <v>1395</v>
      </c>
      <c r="H98" t="s">
        <v>5</v>
      </c>
      <c r="I98">
        <v>202110</v>
      </c>
      <c r="L98" t="s">
        <v>1452</v>
      </c>
      <c r="M98">
        <v>9</v>
      </c>
      <c r="N98">
        <v>15045</v>
      </c>
      <c r="O98" t="s">
        <v>1459</v>
      </c>
      <c r="P98">
        <v>1643433769</v>
      </c>
      <c r="Q98" t="s">
        <v>1401</v>
      </c>
      <c r="R98">
        <v>672339</v>
      </c>
      <c r="U98" t="s">
        <v>1456</v>
      </c>
    </row>
    <row r="99" spans="1:21">
      <c r="A99">
        <v>271061</v>
      </c>
      <c r="B99">
        <v>20210915</v>
      </c>
      <c r="C99">
        <v>20210915</v>
      </c>
      <c r="D99">
        <v>134449</v>
      </c>
      <c r="E99" t="s">
        <v>1424</v>
      </c>
      <c r="F99" t="s">
        <v>1450</v>
      </c>
      <c r="G99" t="s">
        <v>1395</v>
      </c>
      <c r="H99" t="s">
        <v>5</v>
      </c>
      <c r="I99">
        <v>202110</v>
      </c>
      <c r="L99" t="s">
        <v>1452</v>
      </c>
      <c r="M99">
        <v>10</v>
      </c>
      <c r="N99">
        <v>15035</v>
      </c>
      <c r="O99" t="s">
        <v>1459</v>
      </c>
      <c r="P99">
        <v>1643428886</v>
      </c>
      <c r="Q99" t="s">
        <v>1401</v>
      </c>
      <c r="R99">
        <v>672339</v>
      </c>
      <c r="U99" t="s">
        <v>1456</v>
      </c>
    </row>
    <row r="100" spans="1:21">
      <c r="A100">
        <v>271064</v>
      </c>
      <c r="B100">
        <v>20210915</v>
      </c>
      <c r="C100">
        <v>20210915</v>
      </c>
      <c r="D100">
        <v>134523</v>
      </c>
      <c r="E100" t="s">
        <v>1424</v>
      </c>
      <c r="F100" t="s">
        <v>1450</v>
      </c>
      <c r="G100" t="s">
        <v>1395</v>
      </c>
      <c r="H100" t="s">
        <v>5</v>
      </c>
      <c r="I100">
        <v>202110</v>
      </c>
      <c r="L100" t="s">
        <v>1452</v>
      </c>
      <c r="M100">
        <v>1</v>
      </c>
      <c r="N100">
        <v>15030</v>
      </c>
      <c r="O100" t="s">
        <v>1459</v>
      </c>
      <c r="P100">
        <v>1643419319</v>
      </c>
      <c r="Q100" t="s">
        <v>1401</v>
      </c>
      <c r="R100">
        <v>672339</v>
      </c>
      <c r="U100" t="s">
        <v>1456</v>
      </c>
    </row>
    <row r="101" spans="1:21">
      <c r="A101">
        <v>271067</v>
      </c>
      <c r="B101">
        <v>20210915</v>
      </c>
      <c r="C101">
        <v>20210915</v>
      </c>
      <c r="D101">
        <v>134523</v>
      </c>
      <c r="E101" t="s">
        <v>1424</v>
      </c>
      <c r="F101" t="s">
        <v>1450</v>
      </c>
      <c r="G101" t="s">
        <v>1395</v>
      </c>
      <c r="H101" t="s">
        <v>5</v>
      </c>
      <c r="I101">
        <v>202110</v>
      </c>
      <c r="L101" t="s">
        <v>1452</v>
      </c>
      <c r="M101">
        <v>9</v>
      </c>
      <c r="N101">
        <v>15030</v>
      </c>
      <c r="O101" t="s">
        <v>1459</v>
      </c>
      <c r="P101">
        <v>1643419319</v>
      </c>
      <c r="Q101" t="s">
        <v>1401</v>
      </c>
      <c r="R101">
        <v>672339</v>
      </c>
      <c r="U101" t="s">
        <v>1456</v>
      </c>
    </row>
    <row r="102" spans="1:21">
      <c r="A102">
        <v>271070</v>
      </c>
      <c r="B102">
        <v>20210915</v>
      </c>
      <c r="C102">
        <v>20210915</v>
      </c>
      <c r="D102">
        <v>134635</v>
      </c>
      <c r="E102" t="s">
        <v>1424</v>
      </c>
      <c r="F102" t="s">
        <v>1450</v>
      </c>
      <c r="G102" t="s">
        <v>1395</v>
      </c>
      <c r="H102" t="s">
        <v>5</v>
      </c>
      <c r="I102">
        <v>202110</v>
      </c>
      <c r="L102" t="s">
        <v>1452</v>
      </c>
      <c r="M102">
        <v>3</v>
      </c>
      <c r="N102">
        <v>15020</v>
      </c>
      <c r="O102" t="s">
        <v>1459</v>
      </c>
      <c r="P102">
        <v>1643535956</v>
      </c>
      <c r="Q102" t="s">
        <v>1401</v>
      </c>
      <c r="R102">
        <v>672339</v>
      </c>
      <c r="U102" t="s">
        <v>1456</v>
      </c>
    </row>
    <row r="103" spans="1:21">
      <c r="A103">
        <v>271073</v>
      </c>
      <c r="B103">
        <v>20210915</v>
      </c>
      <c r="C103">
        <v>20210915</v>
      </c>
      <c r="D103">
        <v>134635</v>
      </c>
      <c r="E103" t="s">
        <v>1424</v>
      </c>
      <c r="F103" t="s">
        <v>1450</v>
      </c>
      <c r="G103" t="s">
        <v>1395</v>
      </c>
      <c r="H103" t="s">
        <v>5</v>
      </c>
      <c r="I103">
        <v>202110</v>
      </c>
      <c r="L103" t="s">
        <v>1452</v>
      </c>
      <c r="M103">
        <v>6</v>
      </c>
      <c r="N103">
        <v>15020</v>
      </c>
      <c r="O103" t="s">
        <v>1459</v>
      </c>
      <c r="P103">
        <v>1643535956</v>
      </c>
      <c r="Q103" t="s">
        <v>1401</v>
      </c>
      <c r="R103">
        <v>672339</v>
      </c>
      <c r="U103" t="s">
        <v>1456</v>
      </c>
    </row>
    <row r="104" spans="1:21">
      <c r="A104">
        <v>271076</v>
      </c>
      <c r="B104">
        <v>20210915</v>
      </c>
      <c r="C104">
        <v>20210915</v>
      </c>
      <c r="D104">
        <v>134705</v>
      </c>
      <c r="E104" t="s">
        <v>1424</v>
      </c>
      <c r="F104" t="s">
        <v>1450</v>
      </c>
      <c r="G104" t="s">
        <v>1395</v>
      </c>
      <c r="H104" t="s">
        <v>5</v>
      </c>
      <c r="I104">
        <v>202110</v>
      </c>
      <c r="L104" t="s">
        <v>1452</v>
      </c>
      <c r="M104">
        <v>5</v>
      </c>
      <c r="N104">
        <v>15015</v>
      </c>
      <c r="O104" t="s">
        <v>1459</v>
      </c>
      <c r="P104">
        <v>1643409693</v>
      </c>
      <c r="Q104" t="s">
        <v>1401</v>
      </c>
      <c r="R104">
        <v>672339</v>
      </c>
      <c r="U104" t="s">
        <v>1456</v>
      </c>
    </row>
    <row r="105" spans="1:21">
      <c r="A105">
        <v>271079</v>
      </c>
      <c r="B105">
        <v>20210915</v>
      </c>
      <c r="C105">
        <v>20210915</v>
      </c>
      <c r="D105">
        <v>134804</v>
      </c>
      <c r="E105" t="s">
        <v>1424</v>
      </c>
      <c r="F105" t="s">
        <v>1450</v>
      </c>
      <c r="G105" t="s">
        <v>1451</v>
      </c>
      <c r="H105" t="s">
        <v>30</v>
      </c>
      <c r="I105">
        <v>202112</v>
      </c>
      <c r="L105" t="s">
        <v>1457</v>
      </c>
      <c r="M105">
        <v>2</v>
      </c>
      <c r="N105">
        <v>70.319999999999993</v>
      </c>
      <c r="O105" t="s">
        <v>1453</v>
      </c>
      <c r="P105" t="s">
        <v>1549</v>
      </c>
      <c r="Q105" t="s">
        <v>1454</v>
      </c>
      <c r="R105" t="s">
        <v>1455</v>
      </c>
      <c r="U105" t="s">
        <v>1456</v>
      </c>
    </row>
    <row r="106" spans="1:21">
      <c r="A106">
        <v>271082</v>
      </c>
      <c r="B106">
        <v>20210915</v>
      </c>
      <c r="C106">
        <v>20210915</v>
      </c>
      <c r="D106">
        <v>134804</v>
      </c>
      <c r="E106" t="s">
        <v>1424</v>
      </c>
      <c r="F106" t="s">
        <v>1450</v>
      </c>
      <c r="G106" t="s">
        <v>1451</v>
      </c>
      <c r="H106" t="s">
        <v>30</v>
      </c>
      <c r="I106">
        <v>202112</v>
      </c>
      <c r="L106" t="s">
        <v>1457</v>
      </c>
      <c r="M106">
        <v>3</v>
      </c>
      <c r="N106">
        <v>70.319999999999993</v>
      </c>
      <c r="O106" t="s">
        <v>1453</v>
      </c>
      <c r="P106" t="s">
        <v>1549</v>
      </c>
      <c r="Q106" t="s">
        <v>1454</v>
      </c>
      <c r="R106" t="s">
        <v>1455</v>
      </c>
      <c r="U106" t="s">
        <v>1456</v>
      </c>
    </row>
    <row r="107" spans="1:21">
      <c r="A107">
        <v>271085</v>
      </c>
      <c r="B107">
        <v>20210915</v>
      </c>
      <c r="C107">
        <v>20210915</v>
      </c>
      <c r="D107">
        <v>134811</v>
      </c>
      <c r="E107" t="s">
        <v>1424</v>
      </c>
      <c r="F107" t="s">
        <v>1450</v>
      </c>
      <c r="G107" t="s">
        <v>1395</v>
      </c>
      <c r="H107" t="s">
        <v>5</v>
      </c>
      <c r="I107">
        <v>202110</v>
      </c>
      <c r="L107" t="s">
        <v>1452</v>
      </c>
      <c r="M107">
        <v>5</v>
      </c>
      <c r="N107">
        <v>15010</v>
      </c>
      <c r="O107" t="s">
        <v>1459</v>
      </c>
      <c r="P107">
        <v>1643429039</v>
      </c>
      <c r="Q107" t="s">
        <v>1401</v>
      </c>
      <c r="R107">
        <v>672339</v>
      </c>
      <c r="U107" t="s">
        <v>1456</v>
      </c>
    </row>
    <row r="108" spans="1:21">
      <c r="A108">
        <v>271088</v>
      </c>
      <c r="B108">
        <v>20210915</v>
      </c>
      <c r="C108">
        <v>20210915</v>
      </c>
      <c r="D108">
        <v>134842</v>
      </c>
      <c r="E108" t="s">
        <v>1424</v>
      </c>
      <c r="F108" t="s">
        <v>1450</v>
      </c>
      <c r="G108" t="s">
        <v>1451</v>
      </c>
      <c r="H108" t="s">
        <v>30</v>
      </c>
      <c r="I108">
        <v>202112</v>
      </c>
      <c r="L108" t="s">
        <v>1457</v>
      </c>
      <c r="M108">
        <v>2</v>
      </c>
      <c r="N108">
        <v>70.319999999999993</v>
      </c>
      <c r="O108" t="s">
        <v>1453</v>
      </c>
      <c r="P108" t="s">
        <v>1550</v>
      </c>
      <c r="Q108" t="s">
        <v>1454</v>
      </c>
      <c r="R108" t="s">
        <v>1455</v>
      </c>
      <c r="U108" t="s">
        <v>1456</v>
      </c>
    </row>
    <row r="109" spans="1:21">
      <c r="A109">
        <v>271091</v>
      </c>
      <c r="B109">
        <v>20210915</v>
      </c>
      <c r="C109">
        <v>20210915</v>
      </c>
      <c r="D109">
        <v>134853</v>
      </c>
      <c r="E109" t="s">
        <v>1424</v>
      </c>
      <c r="F109" t="s">
        <v>1450</v>
      </c>
      <c r="G109" t="s">
        <v>1451</v>
      </c>
      <c r="H109" t="s">
        <v>30</v>
      </c>
      <c r="I109">
        <v>202112</v>
      </c>
      <c r="L109" t="s">
        <v>1457</v>
      </c>
      <c r="M109">
        <v>3</v>
      </c>
      <c r="N109">
        <v>70.319999999999993</v>
      </c>
      <c r="O109" t="s">
        <v>1453</v>
      </c>
      <c r="P109" t="s">
        <v>1550</v>
      </c>
      <c r="Q109" t="s">
        <v>1454</v>
      </c>
      <c r="R109" t="s">
        <v>1455</v>
      </c>
      <c r="U109" t="s">
        <v>1456</v>
      </c>
    </row>
    <row r="110" spans="1:21">
      <c r="A110">
        <v>271094</v>
      </c>
      <c r="B110">
        <v>20210915</v>
      </c>
      <c r="C110">
        <v>20210915</v>
      </c>
      <c r="D110">
        <v>135054</v>
      </c>
      <c r="E110" t="s">
        <v>1424</v>
      </c>
      <c r="F110" t="s">
        <v>1450</v>
      </c>
      <c r="G110" t="s">
        <v>1451</v>
      </c>
      <c r="H110" t="s">
        <v>30</v>
      </c>
      <c r="I110">
        <v>202112</v>
      </c>
      <c r="L110" t="s">
        <v>1457</v>
      </c>
      <c r="M110">
        <v>3</v>
      </c>
      <c r="N110">
        <v>70.36</v>
      </c>
      <c r="O110" t="s">
        <v>1453</v>
      </c>
      <c r="P110" t="s">
        <v>1551</v>
      </c>
      <c r="Q110" t="s">
        <v>1454</v>
      </c>
      <c r="R110" t="s">
        <v>1455</v>
      </c>
      <c r="U110" t="s">
        <v>1456</v>
      </c>
    </row>
    <row r="111" spans="1:21">
      <c r="A111">
        <v>271097</v>
      </c>
      <c r="B111">
        <v>20210915</v>
      </c>
      <c r="C111">
        <v>20210915</v>
      </c>
      <c r="D111">
        <v>135054</v>
      </c>
      <c r="E111" t="s">
        <v>1424</v>
      </c>
      <c r="F111" t="s">
        <v>1450</v>
      </c>
      <c r="G111" t="s">
        <v>1451</v>
      </c>
      <c r="H111" t="s">
        <v>30</v>
      </c>
      <c r="I111">
        <v>202112</v>
      </c>
      <c r="L111" t="s">
        <v>1457</v>
      </c>
      <c r="M111">
        <v>2</v>
      </c>
      <c r="N111">
        <v>70.36</v>
      </c>
      <c r="O111" t="s">
        <v>1453</v>
      </c>
      <c r="P111" t="s">
        <v>1551</v>
      </c>
      <c r="Q111" t="s">
        <v>1454</v>
      </c>
      <c r="R111" t="s">
        <v>1455</v>
      </c>
      <c r="U111" t="s">
        <v>1456</v>
      </c>
    </row>
    <row r="112" spans="1:21">
      <c r="A112">
        <v>271100</v>
      </c>
      <c r="B112">
        <v>20210915</v>
      </c>
      <c r="C112">
        <v>20210915</v>
      </c>
      <c r="D112">
        <v>140848</v>
      </c>
      <c r="E112" t="s">
        <v>1424</v>
      </c>
      <c r="F112" t="s">
        <v>1450</v>
      </c>
      <c r="G112" t="s">
        <v>1395</v>
      </c>
      <c r="H112" t="s">
        <v>5</v>
      </c>
      <c r="I112">
        <v>202110</v>
      </c>
      <c r="L112" t="s">
        <v>1452</v>
      </c>
      <c r="M112">
        <v>1</v>
      </c>
      <c r="N112">
        <v>15003</v>
      </c>
      <c r="O112" t="s">
        <v>1459</v>
      </c>
      <c r="P112">
        <v>1643453369</v>
      </c>
      <c r="Q112" t="s">
        <v>1401</v>
      </c>
      <c r="R112">
        <v>672339</v>
      </c>
      <c r="U112" t="s">
        <v>1456</v>
      </c>
    </row>
    <row r="113" spans="1:21">
      <c r="A113">
        <v>271103</v>
      </c>
      <c r="B113">
        <v>20210915</v>
      </c>
      <c r="C113">
        <v>20210915</v>
      </c>
      <c r="D113">
        <v>141537</v>
      </c>
      <c r="E113" t="s">
        <v>1424</v>
      </c>
      <c r="F113" t="s">
        <v>1450</v>
      </c>
      <c r="G113" t="s">
        <v>1395</v>
      </c>
      <c r="H113" t="s">
        <v>5</v>
      </c>
      <c r="I113">
        <v>202110</v>
      </c>
      <c r="L113" t="s">
        <v>1452</v>
      </c>
      <c r="M113">
        <v>10</v>
      </c>
      <c r="N113">
        <v>14975</v>
      </c>
      <c r="O113" t="s">
        <v>1459</v>
      </c>
      <c r="P113">
        <v>1643585530</v>
      </c>
      <c r="Q113" t="s">
        <v>1401</v>
      </c>
      <c r="R113">
        <v>672339</v>
      </c>
      <c r="U113" t="s">
        <v>1456</v>
      </c>
    </row>
    <row r="114" spans="1:21">
      <c r="A114">
        <v>271106</v>
      </c>
      <c r="B114">
        <v>20210915</v>
      </c>
      <c r="C114">
        <v>20210915</v>
      </c>
      <c r="D114">
        <v>141954</v>
      </c>
      <c r="E114" t="s">
        <v>1424</v>
      </c>
      <c r="F114" t="s">
        <v>1450</v>
      </c>
      <c r="G114" t="s">
        <v>1395</v>
      </c>
      <c r="H114" t="s">
        <v>5</v>
      </c>
      <c r="I114">
        <v>202110</v>
      </c>
      <c r="L114" t="s">
        <v>1452</v>
      </c>
      <c r="M114">
        <v>10</v>
      </c>
      <c r="N114">
        <v>14957</v>
      </c>
      <c r="O114" t="s">
        <v>1459</v>
      </c>
      <c r="P114">
        <v>1643590715</v>
      </c>
      <c r="Q114" t="s">
        <v>1401</v>
      </c>
      <c r="R114">
        <v>672339</v>
      </c>
      <c r="U114" t="s">
        <v>1456</v>
      </c>
    </row>
    <row r="115" spans="1:21">
      <c r="A115">
        <v>271109</v>
      </c>
      <c r="B115">
        <v>20210915</v>
      </c>
      <c r="C115">
        <v>20210915</v>
      </c>
      <c r="D115">
        <v>150021</v>
      </c>
      <c r="E115" t="s">
        <v>1424</v>
      </c>
      <c r="F115" t="s">
        <v>1450</v>
      </c>
      <c r="G115" t="s">
        <v>1451</v>
      </c>
      <c r="H115" t="s">
        <v>30</v>
      </c>
      <c r="I115">
        <v>202112</v>
      </c>
      <c r="L115" t="s">
        <v>1457</v>
      </c>
      <c r="M115">
        <v>2</v>
      </c>
      <c r="N115">
        <v>70.400000000000006</v>
      </c>
      <c r="O115" t="s">
        <v>1453</v>
      </c>
      <c r="P115" t="s">
        <v>1552</v>
      </c>
      <c r="Q115" t="s">
        <v>1454</v>
      </c>
      <c r="R115" t="s">
        <v>1455</v>
      </c>
      <c r="U115" t="s">
        <v>1456</v>
      </c>
    </row>
    <row r="116" spans="1:21">
      <c r="A116">
        <v>271112</v>
      </c>
      <c r="B116">
        <v>20210915</v>
      </c>
      <c r="C116">
        <v>20210915</v>
      </c>
      <c r="D116">
        <v>150021</v>
      </c>
      <c r="E116" t="s">
        <v>1424</v>
      </c>
      <c r="F116" t="s">
        <v>1450</v>
      </c>
      <c r="G116" t="s">
        <v>1451</v>
      </c>
      <c r="H116" t="s">
        <v>30</v>
      </c>
      <c r="I116">
        <v>202112</v>
      </c>
      <c r="L116" t="s">
        <v>1457</v>
      </c>
      <c r="M116">
        <v>1</v>
      </c>
      <c r="N116">
        <v>70.400000000000006</v>
      </c>
      <c r="O116" t="s">
        <v>1453</v>
      </c>
      <c r="P116" t="s">
        <v>1552</v>
      </c>
      <c r="Q116" t="s">
        <v>1454</v>
      </c>
      <c r="R116" t="s">
        <v>1455</v>
      </c>
      <c r="U116" t="s">
        <v>1456</v>
      </c>
    </row>
    <row r="117" spans="1:21">
      <c r="A117">
        <v>271115</v>
      </c>
      <c r="B117">
        <v>20210915</v>
      </c>
      <c r="C117">
        <v>20210915</v>
      </c>
      <c r="D117">
        <v>150803</v>
      </c>
      <c r="E117" t="s">
        <v>1539</v>
      </c>
      <c r="F117" t="s">
        <v>1540</v>
      </c>
      <c r="G117" t="s">
        <v>1464</v>
      </c>
      <c r="H117" t="s">
        <v>1465</v>
      </c>
      <c r="I117">
        <v>202111</v>
      </c>
      <c r="L117" t="s">
        <v>1457</v>
      </c>
      <c r="M117">
        <v>1</v>
      </c>
      <c r="N117">
        <v>74.31</v>
      </c>
      <c r="O117" t="s">
        <v>1453</v>
      </c>
      <c r="P117" t="s">
        <v>1553</v>
      </c>
      <c r="Q117" t="s">
        <v>1454</v>
      </c>
      <c r="R117" t="s">
        <v>1542</v>
      </c>
      <c r="U117" t="s">
        <v>1456</v>
      </c>
    </row>
    <row r="118" spans="1:21">
      <c r="A118">
        <v>271118</v>
      </c>
      <c r="B118">
        <v>20210915</v>
      </c>
      <c r="C118">
        <v>20210915</v>
      </c>
      <c r="D118">
        <v>151202</v>
      </c>
      <c r="E118" t="s">
        <v>1539</v>
      </c>
      <c r="F118" t="s">
        <v>1540</v>
      </c>
      <c r="G118" t="s">
        <v>1464</v>
      </c>
      <c r="H118" t="s">
        <v>1465</v>
      </c>
      <c r="I118">
        <v>202111</v>
      </c>
      <c r="L118" t="s">
        <v>1452</v>
      </c>
      <c r="M118">
        <v>1</v>
      </c>
      <c r="N118">
        <v>74.260000000000005</v>
      </c>
      <c r="O118" t="s">
        <v>1453</v>
      </c>
      <c r="P118" t="s">
        <v>1554</v>
      </c>
      <c r="Q118" t="s">
        <v>1454</v>
      </c>
      <c r="R118" t="s">
        <v>1542</v>
      </c>
      <c r="U118" t="s">
        <v>1456</v>
      </c>
    </row>
    <row r="119" spans="1:21">
      <c r="A119">
        <v>271121</v>
      </c>
      <c r="B119">
        <v>20210915</v>
      </c>
      <c r="C119">
        <v>20210915</v>
      </c>
      <c r="D119">
        <v>151632</v>
      </c>
      <c r="E119" t="s">
        <v>1427</v>
      </c>
      <c r="F119" t="s">
        <v>1450</v>
      </c>
      <c r="G119" t="s">
        <v>1451</v>
      </c>
      <c r="H119" t="s">
        <v>30</v>
      </c>
      <c r="I119">
        <v>202112</v>
      </c>
      <c r="L119" t="s">
        <v>1457</v>
      </c>
      <c r="M119">
        <v>1</v>
      </c>
      <c r="N119">
        <v>70.5</v>
      </c>
      <c r="O119" t="s">
        <v>1453</v>
      </c>
      <c r="P119" t="s">
        <v>1555</v>
      </c>
      <c r="Q119" t="s">
        <v>1454</v>
      </c>
      <c r="R119" t="s">
        <v>1455</v>
      </c>
      <c r="U119" t="s">
        <v>1456</v>
      </c>
    </row>
    <row r="120" spans="1:21">
      <c r="A120">
        <v>271124</v>
      </c>
      <c r="B120">
        <v>20210915</v>
      </c>
      <c r="C120">
        <v>20210915</v>
      </c>
      <c r="D120">
        <v>173055</v>
      </c>
      <c r="E120" t="s">
        <v>1539</v>
      </c>
      <c r="F120" t="s">
        <v>1540</v>
      </c>
      <c r="G120" t="s">
        <v>1464</v>
      </c>
      <c r="H120" t="s">
        <v>1465</v>
      </c>
      <c r="I120">
        <v>202111</v>
      </c>
      <c r="L120" t="s">
        <v>1457</v>
      </c>
      <c r="M120">
        <v>1</v>
      </c>
      <c r="N120">
        <v>74.45</v>
      </c>
      <c r="O120" t="s">
        <v>1453</v>
      </c>
      <c r="P120" t="s">
        <v>1556</v>
      </c>
      <c r="Q120" t="s">
        <v>1454</v>
      </c>
      <c r="R120" t="s">
        <v>1542</v>
      </c>
      <c r="U120" t="s">
        <v>1456</v>
      </c>
    </row>
    <row r="121" spans="1:21">
      <c r="A121">
        <v>271127</v>
      </c>
      <c r="B121">
        <v>20210915</v>
      </c>
      <c r="C121">
        <v>20210915</v>
      </c>
      <c r="D121">
        <v>174035</v>
      </c>
      <c r="E121" t="s">
        <v>1539</v>
      </c>
      <c r="F121" t="s">
        <v>1540</v>
      </c>
      <c r="G121" t="s">
        <v>1464</v>
      </c>
      <c r="H121" t="s">
        <v>1465</v>
      </c>
      <c r="I121">
        <v>202111</v>
      </c>
      <c r="L121" t="s">
        <v>1457</v>
      </c>
      <c r="M121">
        <v>1</v>
      </c>
      <c r="N121">
        <v>74.489999999999995</v>
      </c>
      <c r="O121" t="s">
        <v>1453</v>
      </c>
      <c r="P121" t="s">
        <v>1557</v>
      </c>
      <c r="Q121" t="s">
        <v>1454</v>
      </c>
      <c r="R121" t="s">
        <v>1542</v>
      </c>
      <c r="U121" t="s">
        <v>1456</v>
      </c>
    </row>
    <row r="122" spans="1:21">
      <c r="A122">
        <v>271130</v>
      </c>
      <c r="B122">
        <v>20210916</v>
      </c>
      <c r="C122">
        <v>20210915</v>
      </c>
      <c r="D122">
        <v>192314</v>
      </c>
      <c r="E122" t="s">
        <v>1424</v>
      </c>
      <c r="F122" t="s">
        <v>1450</v>
      </c>
      <c r="G122" t="s">
        <v>1395</v>
      </c>
      <c r="H122" t="s">
        <v>5</v>
      </c>
      <c r="I122">
        <v>202110</v>
      </c>
      <c r="L122" t="s">
        <v>1452</v>
      </c>
      <c r="M122">
        <v>10</v>
      </c>
      <c r="N122">
        <v>15050</v>
      </c>
      <c r="O122" t="s">
        <v>1459</v>
      </c>
      <c r="P122">
        <v>1643824984</v>
      </c>
      <c r="Q122" t="s">
        <v>1401</v>
      </c>
      <c r="R122">
        <v>672339</v>
      </c>
      <c r="U122" t="s">
        <v>1456</v>
      </c>
    </row>
    <row r="123" spans="1:21">
      <c r="A123">
        <v>271133</v>
      </c>
      <c r="B123">
        <v>20210916</v>
      </c>
      <c r="C123">
        <v>20210915</v>
      </c>
      <c r="D123">
        <v>195957</v>
      </c>
      <c r="E123" t="s">
        <v>1424</v>
      </c>
      <c r="F123" t="s">
        <v>1450</v>
      </c>
      <c r="G123" t="s">
        <v>1395</v>
      </c>
      <c r="H123" t="s">
        <v>5</v>
      </c>
      <c r="I123">
        <v>202110</v>
      </c>
      <c r="L123" t="s">
        <v>1452</v>
      </c>
      <c r="M123">
        <v>2</v>
      </c>
      <c r="N123">
        <v>15042</v>
      </c>
      <c r="O123" t="s">
        <v>1459</v>
      </c>
      <c r="P123">
        <v>1643900877</v>
      </c>
      <c r="Q123" t="s">
        <v>1401</v>
      </c>
      <c r="R123">
        <v>672339</v>
      </c>
      <c r="U123" t="s">
        <v>1456</v>
      </c>
    </row>
    <row r="124" spans="1:21">
      <c r="A124">
        <v>271136</v>
      </c>
      <c r="B124">
        <v>20210916</v>
      </c>
      <c r="C124">
        <v>20210915</v>
      </c>
      <c r="D124">
        <v>200000</v>
      </c>
      <c r="E124" t="s">
        <v>1424</v>
      </c>
      <c r="F124" t="s">
        <v>1450</v>
      </c>
      <c r="G124" t="s">
        <v>1395</v>
      </c>
      <c r="H124" t="s">
        <v>5</v>
      </c>
      <c r="I124">
        <v>202110</v>
      </c>
      <c r="L124" t="s">
        <v>1452</v>
      </c>
      <c r="M124">
        <v>2</v>
      </c>
      <c r="N124">
        <v>15042</v>
      </c>
      <c r="O124" t="s">
        <v>1459</v>
      </c>
      <c r="P124">
        <v>1643900877</v>
      </c>
      <c r="Q124" t="s">
        <v>1401</v>
      </c>
      <c r="R124">
        <v>672339</v>
      </c>
      <c r="U124" t="s">
        <v>1456</v>
      </c>
    </row>
    <row r="125" spans="1:21">
      <c r="A125">
        <v>271139</v>
      </c>
      <c r="B125">
        <v>20210916</v>
      </c>
      <c r="C125">
        <v>20210915</v>
      </c>
      <c r="D125">
        <v>200006</v>
      </c>
      <c r="E125" t="s">
        <v>1424</v>
      </c>
      <c r="F125" t="s">
        <v>1450</v>
      </c>
      <c r="G125" t="s">
        <v>1395</v>
      </c>
      <c r="H125" t="s">
        <v>5</v>
      </c>
      <c r="I125">
        <v>202110</v>
      </c>
      <c r="L125" t="s">
        <v>1452</v>
      </c>
      <c r="M125">
        <v>2</v>
      </c>
      <c r="N125">
        <v>15042</v>
      </c>
      <c r="O125" t="s">
        <v>1459</v>
      </c>
      <c r="P125">
        <v>1643900877</v>
      </c>
      <c r="Q125" t="s">
        <v>1401</v>
      </c>
      <c r="R125">
        <v>672339</v>
      </c>
      <c r="U125" t="s">
        <v>1456</v>
      </c>
    </row>
    <row r="126" spans="1:21">
      <c r="A126">
        <v>271142</v>
      </c>
      <c r="B126">
        <v>20210916</v>
      </c>
      <c r="C126">
        <v>20210915</v>
      </c>
      <c r="D126">
        <v>200006</v>
      </c>
      <c r="E126" t="s">
        <v>1424</v>
      </c>
      <c r="F126" t="s">
        <v>1450</v>
      </c>
      <c r="G126" t="s">
        <v>1395</v>
      </c>
      <c r="H126" t="s">
        <v>5</v>
      </c>
      <c r="I126">
        <v>202110</v>
      </c>
      <c r="L126" t="s">
        <v>1452</v>
      </c>
      <c r="M126">
        <v>2</v>
      </c>
      <c r="N126">
        <v>15042</v>
      </c>
      <c r="O126" t="s">
        <v>1459</v>
      </c>
      <c r="P126">
        <v>1643900877</v>
      </c>
      <c r="Q126" t="s">
        <v>1401</v>
      </c>
      <c r="R126">
        <v>672339</v>
      </c>
      <c r="U126" t="s">
        <v>1456</v>
      </c>
    </row>
    <row r="127" spans="1:21">
      <c r="A127">
        <v>271145</v>
      </c>
      <c r="B127">
        <v>20210916</v>
      </c>
      <c r="C127">
        <v>20210915</v>
      </c>
      <c r="D127">
        <v>200006</v>
      </c>
      <c r="E127" t="s">
        <v>1424</v>
      </c>
      <c r="F127" t="s">
        <v>1450</v>
      </c>
      <c r="G127" t="s">
        <v>1395</v>
      </c>
      <c r="H127" t="s">
        <v>5</v>
      </c>
      <c r="I127">
        <v>202110</v>
      </c>
      <c r="L127" t="s">
        <v>1452</v>
      </c>
      <c r="M127">
        <v>2</v>
      </c>
      <c r="N127">
        <v>15042</v>
      </c>
      <c r="O127" t="s">
        <v>1459</v>
      </c>
      <c r="P127">
        <v>1643900877</v>
      </c>
      <c r="Q127" t="s">
        <v>1401</v>
      </c>
      <c r="R127">
        <v>672339</v>
      </c>
      <c r="U127" t="s">
        <v>1456</v>
      </c>
    </row>
    <row r="128" spans="1:21">
      <c r="A128">
        <v>271148</v>
      </c>
      <c r="B128">
        <v>20210916</v>
      </c>
      <c r="C128">
        <v>20210915</v>
      </c>
      <c r="D128">
        <v>201149</v>
      </c>
      <c r="E128" t="s">
        <v>1424</v>
      </c>
      <c r="F128" t="s">
        <v>1450</v>
      </c>
      <c r="G128" t="s">
        <v>1395</v>
      </c>
      <c r="H128" t="s">
        <v>5</v>
      </c>
      <c r="I128">
        <v>202110</v>
      </c>
      <c r="L128" t="s">
        <v>1452</v>
      </c>
      <c r="M128">
        <v>1</v>
      </c>
      <c r="N128">
        <v>15046</v>
      </c>
      <c r="O128" t="s">
        <v>1459</v>
      </c>
      <c r="P128">
        <v>1643859839</v>
      </c>
      <c r="Q128" t="s">
        <v>1401</v>
      </c>
      <c r="R128">
        <v>672339</v>
      </c>
      <c r="U128" t="s">
        <v>1456</v>
      </c>
    </row>
    <row r="129" spans="1:21">
      <c r="A129">
        <v>271151</v>
      </c>
      <c r="B129">
        <v>20210916</v>
      </c>
      <c r="C129">
        <v>20210915</v>
      </c>
      <c r="D129">
        <v>201149</v>
      </c>
      <c r="E129" t="s">
        <v>1424</v>
      </c>
      <c r="F129" t="s">
        <v>1450</v>
      </c>
      <c r="G129" t="s">
        <v>1395</v>
      </c>
      <c r="H129" t="s">
        <v>5</v>
      </c>
      <c r="I129">
        <v>202110</v>
      </c>
      <c r="L129" t="s">
        <v>1452</v>
      </c>
      <c r="M129">
        <v>9</v>
      </c>
      <c r="N129">
        <v>15046</v>
      </c>
      <c r="O129" t="s">
        <v>1459</v>
      </c>
      <c r="P129">
        <v>1643859839</v>
      </c>
      <c r="Q129" t="s">
        <v>1401</v>
      </c>
      <c r="R129">
        <v>672339</v>
      </c>
      <c r="U129" t="s">
        <v>1456</v>
      </c>
    </row>
    <row r="130" spans="1:21">
      <c r="A130">
        <v>271154</v>
      </c>
      <c r="B130">
        <v>20210915</v>
      </c>
      <c r="C130">
        <v>20210915</v>
      </c>
      <c r="D130">
        <v>211523</v>
      </c>
      <c r="E130" t="s">
        <v>1427</v>
      </c>
      <c r="F130" t="s">
        <v>1450</v>
      </c>
      <c r="G130" t="s">
        <v>1451</v>
      </c>
      <c r="H130" t="s">
        <v>30</v>
      </c>
      <c r="I130">
        <v>202112</v>
      </c>
      <c r="L130" t="s">
        <v>1457</v>
      </c>
      <c r="M130">
        <v>1</v>
      </c>
      <c r="N130">
        <v>71.31</v>
      </c>
      <c r="O130" t="s">
        <v>1453</v>
      </c>
      <c r="P130" t="s">
        <v>1558</v>
      </c>
      <c r="Q130" t="s">
        <v>1454</v>
      </c>
      <c r="R130" t="s">
        <v>1455</v>
      </c>
      <c r="U130" t="s">
        <v>1456</v>
      </c>
    </row>
    <row r="131" spans="1:21">
      <c r="A131">
        <v>271157</v>
      </c>
      <c r="B131">
        <v>20210916</v>
      </c>
      <c r="C131">
        <v>20210915</v>
      </c>
      <c r="D131">
        <v>213148</v>
      </c>
      <c r="E131" t="s">
        <v>1424</v>
      </c>
      <c r="F131" t="s">
        <v>1450</v>
      </c>
      <c r="G131" t="s">
        <v>1395</v>
      </c>
      <c r="H131" t="s">
        <v>5</v>
      </c>
      <c r="I131">
        <v>202110</v>
      </c>
      <c r="L131" t="s">
        <v>1452</v>
      </c>
      <c r="M131">
        <v>10</v>
      </c>
      <c r="N131">
        <v>15035</v>
      </c>
      <c r="O131" t="s">
        <v>1459</v>
      </c>
      <c r="P131">
        <v>1644079677</v>
      </c>
      <c r="Q131" t="s">
        <v>1401</v>
      </c>
      <c r="R131">
        <v>672339</v>
      </c>
      <c r="U131" t="s">
        <v>1456</v>
      </c>
    </row>
    <row r="132" spans="1:21">
      <c r="A132">
        <v>271160</v>
      </c>
      <c r="B132">
        <v>20210916</v>
      </c>
      <c r="C132">
        <v>20210915</v>
      </c>
      <c r="D132">
        <v>213338</v>
      </c>
      <c r="E132" t="s">
        <v>1424</v>
      </c>
      <c r="F132" t="s">
        <v>1450</v>
      </c>
      <c r="G132" t="s">
        <v>1395</v>
      </c>
      <c r="H132" t="s">
        <v>5</v>
      </c>
      <c r="I132">
        <v>202110</v>
      </c>
      <c r="L132" t="s">
        <v>1452</v>
      </c>
      <c r="M132">
        <v>5</v>
      </c>
      <c r="N132">
        <v>15030</v>
      </c>
      <c r="O132" t="s">
        <v>1459</v>
      </c>
      <c r="P132">
        <v>1644156469</v>
      </c>
      <c r="Q132" t="s">
        <v>1401</v>
      </c>
      <c r="R132">
        <v>672339</v>
      </c>
      <c r="U132" t="s">
        <v>1456</v>
      </c>
    </row>
    <row r="133" spans="1:21">
      <c r="A133">
        <v>271163</v>
      </c>
      <c r="B133">
        <v>20210916</v>
      </c>
      <c r="C133">
        <v>20210915</v>
      </c>
      <c r="D133">
        <v>213338</v>
      </c>
      <c r="E133" t="s">
        <v>1424</v>
      </c>
      <c r="F133" t="s">
        <v>1450</v>
      </c>
      <c r="G133" t="s">
        <v>1395</v>
      </c>
      <c r="H133" t="s">
        <v>5</v>
      </c>
      <c r="I133">
        <v>202110</v>
      </c>
      <c r="L133" t="s">
        <v>1452</v>
      </c>
      <c r="M133">
        <v>4</v>
      </c>
      <c r="N133">
        <v>15030</v>
      </c>
      <c r="O133" t="s">
        <v>1459</v>
      </c>
      <c r="P133">
        <v>1644156469</v>
      </c>
      <c r="Q133" t="s">
        <v>1401</v>
      </c>
      <c r="R133">
        <v>672339</v>
      </c>
      <c r="U133" t="s">
        <v>1456</v>
      </c>
    </row>
    <row r="134" spans="1:21">
      <c r="A134">
        <v>271166</v>
      </c>
      <c r="B134">
        <v>20210916</v>
      </c>
      <c r="C134">
        <v>20210915</v>
      </c>
      <c r="D134">
        <v>213340</v>
      </c>
      <c r="E134" t="s">
        <v>1424</v>
      </c>
      <c r="F134" t="s">
        <v>1450</v>
      </c>
      <c r="G134" t="s">
        <v>1395</v>
      </c>
      <c r="H134" t="s">
        <v>5</v>
      </c>
      <c r="I134">
        <v>202110</v>
      </c>
      <c r="L134" t="s">
        <v>1452</v>
      </c>
      <c r="M134">
        <v>1</v>
      </c>
      <c r="N134">
        <v>15030</v>
      </c>
      <c r="O134" t="s">
        <v>1459</v>
      </c>
      <c r="P134">
        <v>1644156469</v>
      </c>
      <c r="Q134" t="s">
        <v>1401</v>
      </c>
      <c r="R134">
        <v>672339</v>
      </c>
      <c r="U134" t="s">
        <v>1456</v>
      </c>
    </row>
    <row r="135" spans="1:21">
      <c r="A135">
        <v>271169</v>
      </c>
      <c r="B135">
        <v>20210915</v>
      </c>
      <c r="C135">
        <v>20210915</v>
      </c>
      <c r="D135">
        <v>215516</v>
      </c>
      <c r="E135" t="s">
        <v>1539</v>
      </c>
      <c r="F135" t="s">
        <v>1540</v>
      </c>
      <c r="G135" t="s">
        <v>1464</v>
      </c>
      <c r="H135" t="s">
        <v>1465</v>
      </c>
      <c r="I135">
        <v>202111</v>
      </c>
      <c r="L135" t="s">
        <v>1452</v>
      </c>
      <c r="M135">
        <v>1</v>
      </c>
      <c r="N135">
        <v>75.86</v>
      </c>
      <c r="O135" t="s">
        <v>1453</v>
      </c>
      <c r="P135" t="s">
        <v>1559</v>
      </c>
      <c r="Q135" t="s">
        <v>1454</v>
      </c>
      <c r="R135" t="s">
        <v>1542</v>
      </c>
      <c r="U135" t="s">
        <v>1456</v>
      </c>
    </row>
    <row r="136" spans="1:21">
      <c r="A136">
        <v>271172</v>
      </c>
      <c r="B136">
        <v>20210915</v>
      </c>
      <c r="C136">
        <v>20210916</v>
      </c>
      <c r="D136">
        <v>14320</v>
      </c>
      <c r="E136" t="s">
        <v>1425</v>
      </c>
      <c r="F136" t="s">
        <v>1463</v>
      </c>
      <c r="G136" t="s">
        <v>1464</v>
      </c>
      <c r="H136" t="s">
        <v>1465</v>
      </c>
      <c r="I136">
        <v>202111</v>
      </c>
      <c r="L136" t="s">
        <v>1457</v>
      </c>
      <c r="M136">
        <v>1</v>
      </c>
      <c r="N136">
        <v>75.510000000000005</v>
      </c>
      <c r="O136" t="s">
        <v>1453</v>
      </c>
      <c r="P136" t="s">
        <v>1560</v>
      </c>
      <c r="Q136" t="s">
        <v>1454</v>
      </c>
      <c r="R136" t="s">
        <v>1466</v>
      </c>
      <c r="U136" t="s">
        <v>1456</v>
      </c>
    </row>
  </sheetData>
  <phoneticPr fontId="7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26CC6-5AB1-4F6D-AB86-38FE18704293}">
  <sheetPr codeName="Sheet9"/>
  <dimension ref="A1:M3000"/>
  <sheetViews>
    <sheetView workbookViewId="0">
      <selection activeCell="N21" sqref="N21"/>
    </sheetView>
  </sheetViews>
  <sheetFormatPr defaultRowHeight="15.75"/>
  <cols>
    <col min="4" max="4" width="9.85546875" bestFit="1" customWidth="1"/>
    <col min="5" max="5" width="11" bestFit="1" customWidth="1"/>
    <col min="6" max="6" width="11" customWidth="1"/>
    <col min="10" max="10" width="12" customWidth="1"/>
    <col min="11" max="11" width="9.42578125" bestFit="1" customWidth="1"/>
    <col min="13" max="13" width="11.85546875" bestFit="1" customWidth="1"/>
  </cols>
  <sheetData>
    <row r="1" spans="1:13">
      <c r="A1" t="s">
        <v>1403</v>
      </c>
      <c r="B1" t="s">
        <v>1467</v>
      </c>
      <c r="C1" t="s">
        <v>1468</v>
      </c>
      <c r="D1" t="s">
        <v>1470</v>
      </c>
      <c r="E1" t="s">
        <v>1471</v>
      </c>
      <c r="F1" t="s">
        <v>1474</v>
      </c>
      <c r="G1" t="s">
        <v>1436</v>
      </c>
      <c r="H1" t="s">
        <v>1469</v>
      </c>
      <c r="I1" t="s">
        <v>1476</v>
      </c>
      <c r="J1" t="s">
        <v>1472</v>
      </c>
      <c r="K1" t="s">
        <v>1473</v>
      </c>
      <c r="L1" t="s">
        <v>1418</v>
      </c>
      <c r="M1" t="s">
        <v>1421</v>
      </c>
    </row>
    <row r="2" spans="1:13">
      <c r="A2" t="str">
        <f>IF('ATP Fills'!A2="","",IF('ATP Fills'!Q2="PHILLIPSG",'ATP Fills'!F2,""))</f>
        <v>A000621</v>
      </c>
      <c r="B2" t="str">
        <f>IF(A2="","",'ATP Fills'!L2)</f>
        <v>Sell</v>
      </c>
      <c r="C2">
        <f>IF(A2="","",'ATP Fills'!M2)</f>
        <v>1</v>
      </c>
      <c r="D2">
        <f>IF(A2="","",'ATP Fills'!B2)</f>
        <v>20210913</v>
      </c>
      <c r="E2" s="3" t="str">
        <f ca="1">IF(A2="","",IF(DATE(LEFT(D2,4),MID(D2,5,2),RIGHT(D2,2))=Helper1!$P$1,Helper1!$P$1,""))</f>
        <v/>
      </c>
      <c r="F2" s="3" t="str">
        <f>IF(A2="","",'ATP Fills'!G2)</f>
        <v>LME</v>
      </c>
      <c r="G2" t="str">
        <f>IF(A2="","",'ATP Fills'!H2)</f>
        <v>NI</v>
      </c>
      <c r="H2" t="str">
        <f>IF(A2="","",VLOOKUP(G2,表3_3[],2,0))</f>
        <v/>
      </c>
      <c r="I2" t="str">
        <f>IF(A2="","",VLOOKUP(G2,表3_3[],3,0))</f>
        <v>Nickel</v>
      </c>
      <c r="J2" t="str">
        <f>IF(A2="","",IF('ATP Fills'!I2="3M","",VLOOKUP(RIGHT('ATP Fills'!I2,2),Helper1!$O$36:$P$48,2,0)))</f>
        <v/>
      </c>
      <c r="K2" t="str">
        <f>IF(J2="","",LEFT('ATP Fills'!I2,4))</f>
        <v/>
      </c>
      <c r="L2" t="str">
        <f>IF(A2="","",IF('ATP Fills'!G2="LME",'ATP Fills'!I2,""))</f>
        <v>3M</v>
      </c>
      <c r="M2" t="str">
        <f>IF(A2="","",IF(F2="LME",F2&amp;"-"&amp;I2&amp;"-"&amp;L2,J2&amp;"-"&amp;K2&amp;"-"&amp;I2))</f>
        <v>LME-Nickel-3M</v>
      </c>
    </row>
    <row r="3" spans="1:13">
      <c r="A3" t="str">
        <f>IF('ATP Fills'!A3="","",IF('ATP Fills'!Q3="PHILLIPSG",'ATP Fills'!F3,""))</f>
        <v/>
      </c>
      <c r="B3" t="str">
        <f>IF(A3="","",'ATP Fills'!L3)</f>
        <v/>
      </c>
      <c r="C3" t="str">
        <f>IF(A3="","",'ATP Fills'!M3)</f>
        <v/>
      </c>
      <c r="D3" t="str">
        <f>IF(A3="","",'ATP Fills'!B3)</f>
        <v/>
      </c>
      <c r="E3" s="3" t="str">
        <f>IF(A3="","",IF(DATE(LEFT(D3,4),MID(D3,5,2),RIGHT(D3,2))=Helper1!$P$1,Helper1!$P$1,""))</f>
        <v/>
      </c>
      <c r="F3" s="3" t="str">
        <f>IF(A3="","",'ATP Fills'!G3)</f>
        <v/>
      </c>
      <c r="G3" t="str">
        <f>IF(A3="","",'ATP Fills'!H3)</f>
        <v/>
      </c>
      <c r="H3" t="str">
        <f>IF(A3="","",VLOOKUP(G3,表3_3[],2,0))</f>
        <v/>
      </c>
      <c r="I3" t="str">
        <f>IF(A3="","",VLOOKUP(G3,表3_3[],3,0))</f>
        <v/>
      </c>
      <c r="J3" t="str">
        <f>IF(A3="","",IF('ATP Fills'!I3="3M","",VLOOKUP(RIGHT('ATP Fills'!I3,2),Helper1!$O$36:$P$48,2,0)))</f>
        <v/>
      </c>
      <c r="K3" t="str">
        <f>IF(J3="","",LEFT('ATP Fills'!I3,4))</f>
        <v/>
      </c>
      <c r="L3" t="str">
        <f>IF(A3="","",IF('ATP Fills'!G3="LME",'ATP Fills'!I3,""))</f>
        <v/>
      </c>
      <c r="M3" t="str">
        <f t="shared" ref="M3:M66" si="0">IF(A3="","",IF(F3="LME",F3&amp;"-"&amp;I3&amp;"-"&amp;L3,J3&amp;"-"&amp;K3&amp;"-"&amp;I3))</f>
        <v/>
      </c>
    </row>
    <row r="4" spans="1:13">
      <c r="A4" t="str">
        <f>IF('ATP Fills'!A4="","",IF('ATP Fills'!Q4="PHILLIPSG",'ATP Fills'!F4,""))</f>
        <v/>
      </c>
      <c r="B4" t="str">
        <f>IF(A4="","",'ATP Fills'!L4)</f>
        <v/>
      </c>
      <c r="C4" t="str">
        <f>IF(A4="","",'ATP Fills'!M4)</f>
        <v/>
      </c>
      <c r="D4" t="str">
        <f>IF(A4="","",'ATP Fills'!B4)</f>
        <v/>
      </c>
      <c r="E4" s="3" t="str">
        <f>IF(A4="","",IF(DATE(LEFT(D4,4),MID(D4,5,2),RIGHT(D4,2))=Helper1!$P$1,Helper1!$P$1,""))</f>
        <v/>
      </c>
      <c r="F4" s="3" t="str">
        <f>IF(A4="","",'ATP Fills'!G4)</f>
        <v/>
      </c>
      <c r="G4" t="str">
        <f>IF(A4="","",'ATP Fills'!H4)</f>
        <v/>
      </c>
      <c r="H4" t="str">
        <f>IF(A4="","",VLOOKUP(G4,表3_3[],2,0))</f>
        <v/>
      </c>
      <c r="I4" t="str">
        <f>IF(A4="","",VLOOKUP(G4,表3_3[],3,0))</f>
        <v/>
      </c>
      <c r="J4" t="str">
        <f>IF(A4="","",IF('ATP Fills'!I4="3M","",VLOOKUP(RIGHT('ATP Fills'!I4,2),Helper1!$O$36:$P$48,2,0)))</f>
        <v/>
      </c>
      <c r="K4" t="str">
        <f>IF(J4="","",LEFT('ATP Fills'!I4,4))</f>
        <v/>
      </c>
      <c r="L4" t="str">
        <f>IF(A4="","",IF('ATP Fills'!G4="LME",'ATP Fills'!I4,""))</f>
        <v/>
      </c>
      <c r="M4" t="str">
        <f t="shared" si="0"/>
        <v/>
      </c>
    </row>
    <row r="5" spans="1:13">
      <c r="A5" t="str">
        <f>IF('ATP Fills'!A5="","",IF('ATP Fills'!Q5="PHILLIPSG",'ATP Fills'!F5,""))</f>
        <v/>
      </c>
      <c r="B5" t="str">
        <f>IF(A5="","",'ATP Fills'!L5)</f>
        <v/>
      </c>
      <c r="C5" t="str">
        <f>IF(A5="","",'ATP Fills'!M5)</f>
        <v/>
      </c>
      <c r="D5" t="str">
        <f>IF(A5="","",'ATP Fills'!B5)</f>
        <v/>
      </c>
      <c r="E5" s="3" t="str">
        <f>IF(A5="","",IF(DATE(LEFT(D5,4),MID(D5,5,2),RIGHT(D5,2))=Helper1!$P$1,Helper1!$P$1,""))</f>
        <v/>
      </c>
      <c r="F5" s="3" t="str">
        <f>IF(A5="","",'ATP Fills'!G5)</f>
        <v/>
      </c>
      <c r="G5" t="str">
        <f>IF(A5="","",'ATP Fills'!H5)</f>
        <v/>
      </c>
      <c r="H5" t="str">
        <f>IF(A5="","",VLOOKUP(G5,表3_3[],2,0))</f>
        <v/>
      </c>
      <c r="I5" t="str">
        <f>IF(A5="","",VLOOKUP(G5,表3_3[],3,0))</f>
        <v/>
      </c>
      <c r="J5" t="str">
        <f>IF(A5="","",IF('ATP Fills'!I5="3M","",VLOOKUP(RIGHT('ATP Fills'!I5,2),Helper1!$O$36:$P$48,2,0)))</f>
        <v/>
      </c>
      <c r="K5" t="str">
        <f>IF(J5="","",LEFT('ATP Fills'!I5,4))</f>
        <v/>
      </c>
      <c r="L5" t="str">
        <f>IF(A5="","",IF('ATP Fills'!G5="LME",'ATP Fills'!I5,""))</f>
        <v/>
      </c>
      <c r="M5" t="str">
        <f t="shared" si="0"/>
        <v/>
      </c>
    </row>
    <row r="6" spans="1:13">
      <c r="A6" t="str">
        <f>IF('ATP Fills'!A6="","",IF('ATP Fills'!Q6="PHILLIPSG",'ATP Fills'!F6,""))</f>
        <v/>
      </c>
      <c r="B6" t="str">
        <f>IF(A6="","",'ATP Fills'!L6)</f>
        <v/>
      </c>
      <c r="C6" t="str">
        <f>IF(A6="","",'ATP Fills'!M6)</f>
        <v/>
      </c>
      <c r="D6" t="str">
        <f>IF(A6="","",'ATP Fills'!B6)</f>
        <v/>
      </c>
      <c r="E6" s="3" t="str">
        <f>IF(A6="","",IF(DATE(LEFT(D6,4),MID(D6,5,2),RIGHT(D6,2))=Helper1!$P$1,Helper1!$P$1,""))</f>
        <v/>
      </c>
      <c r="F6" s="3" t="str">
        <f>IF(A6="","",'ATP Fills'!G6)</f>
        <v/>
      </c>
      <c r="G6" t="str">
        <f>IF(A6="","",'ATP Fills'!H6)</f>
        <v/>
      </c>
      <c r="H6" t="str">
        <f>IF(A6="","",VLOOKUP(G6,表3_3[],2,0))</f>
        <v/>
      </c>
      <c r="I6" t="str">
        <f>IF(A6="","",VLOOKUP(G6,表3_3[],3,0))</f>
        <v/>
      </c>
      <c r="J6" t="str">
        <f>IF(A6="","",IF('ATP Fills'!I6="3M","",VLOOKUP(RIGHT('ATP Fills'!I6,2),Helper1!$O$36:$P$48,2,0)))</f>
        <v/>
      </c>
      <c r="K6" t="str">
        <f>IF(J6="","",LEFT('ATP Fills'!I6,4))</f>
        <v/>
      </c>
      <c r="L6" t="str">
        <f>IF(A6="","",IF('ATP Fills'!G6="LME",'ATP Fills'!I6,""))</f>
        <v/>
      </c>
      <c r="M6" t="str">
        <f t="shared" si="0"/>
        <v/>
      </c>
    </row>
    <row r="7" spans="1:13">
      <c r="A7" t="str">
        <f>IF('ATP Fills'!A7="","",IF('ATP Fills'!Q7="PHILLIPSG",'ATP Fills'!F7,""))</f>
        <v/>
      </c>
      <c r="B7" t="str">
        <f>IF(A7="","",'ATP Fills'!L7)</f>
        <v/>
      </c>
      <c r="C7" t="str">
        <f>IF(A7="","",'ATP Fills'!M7)</f>
        <v/>
      </c>
      <c r="D7" t="str">
        <f>IF(A7="","",'ATP Fills'!B7)</f>
        <v/>
      </c>
      <c r="E7" s="3" t="str">
        <f>IF(A7="","",IF(DATE(LEFT(D7,4),MID(D7,5,2),RIGHT(D7,2))=Helper1!$P$1,Helper1!$P$1,""))</f>
        <v/>
      </c>
      <c r="F7" s="3" t="str">
        <f>IF(A7="","",'ATP Fills'!G7)</f>
        <v/>
      </c>
      <c r="G7" t="str">
        <f>IF(A7="","",'ATP Fills'!H7)</f>
        <v/>
      </c>
      <c r="H7" t="str">
        <f>IF(A7="","",VLOOKUP(G7,表3_3[],2,0))</f>
        <v/>
      </c>
      <c r="I7" t="str">
        <f>IF(A7="","",VLOOKUP(G7,表3_3[],3,0))</f>
        <v/>
      </c>
      <c r="J7" t="str">
        <f>IF(A7="","",IF('ATP Fills'!I7="3M","",VLOOKUP(RIGHT('ATP Fills'!I7,2),Helper1!$O$36:$P$48,2,0)))</f>
        <v/>
      </c>
      <c r="K7" t="str">
        <f>IF(J7="","",LEFT('ATP Fills'!I7,4))</f>
        <v/>
      </c>
      <c r="L7" t="str">
        <f>IF(A7="","",IF('ATP Fills'!G7="LME",'ATP Fills'!I7,""))</f>
        <v/>
      </c>
      <c r="M7" t="str">
        <f t="shared" si="0"/>
        <v/>
      </c>
    </row>
    <row r="8" spans="1:13">
      <c r="A8" t="str">
        <f>IF('ATP Fills'!A8="","",IF('ATP Fills'!Q8="PHILLIPSG",'ATP Fills'!F8,""))</f>
        <v/>
      </c>
      <c r="B8" t="str">
        <f>IF(A8="","",'ATP Fills'!L8)</f>
        <v/>
      </c>
      <c r="C8" t="str">
        <f>IF(A8="","",'ATP Fills'!M8)</f>
        <v/>
      </c>
      <c r="D8" t="str">
        <f>IF(A8="","",'ATP Fills'!B8)</f>
        <v/>
      </c>
      <c r="E8" s="3" t="str">
        <f>IF(A8="","",IF(DATE(LEFT(D8,4),MID(D8,5,2),RIGHT(D8,2))=Helper1!$P$1,Helper1!$P$1,""))</f>
        <v/>
      </c>
      <c r="F8" s="3" t="str">
        <f>IF(A8="","",'ATP Fills'!G8)</f>
        <v/>
      </c>
      <c r="G8" t="str">
        <f>IF(A8="","",'ATP Fills'!H8)</f>
        <v/>
      </c>
      <c r="H8" t="str">
        <f>IF(A8="","",VLOOKUP(G8,表3_3[],2,0))</f>
        <v/>
      </c>
      <c r="I8" t="str">
        <f>IF(A8="","",VLOOKUP(G8,表3_3[],3,0))</f>
        <v/>
      </c>
      <c r="J8" t="str">
        <f>IF(A8="","",IF('ATP Fills'!I8="3M","",VLOOKUP(RIGHT('ATP Fills'!I8,2),Helper1!$O$36:$P$48,2,0)))</f>
        <v/>
      </c>
      <c r="K8" t="str">
        <f>IF(J8="","",LEFT('ATP Fills'!I8,4))</f>
        <v/>
      </c>
      <c r="L8" t="str">
        <f>IF(A8="","",IF('ATP Fills'!G8="LME",'ATP Fills'!I8,""))</f>
        <v/>
      </c>
      <c r="M8" t="str">
        <f t="shared" si="0"/>
        <v/>
      </c>
    </row>
    <row r="9" spans="1:13">
      <c r="A9" t="str">
        <f>IF('ATP Fills'!A9="","",IF('ATP Fills'!Q9="PHILLIPSG",'ATP Fills'!F9,""))</f>
        <v>A000621</v>
      </c>
      <c r="B9" t="str">
        <f>IF(A9="","",'ATP Fills'!L9)</f>
        <v>Buy</v>
      </c>
      <c r="C9">
        <f>IF(A9="","",'ATP Fills'!M9)</f>
        <v>4</v>
      </c>
      <c r="D9">
        <f>IF(A9="","",'ATP Fills'!B9)</f>
        <v>20210914</v>
      </c>
      <c r="E9" s="3" t="str">
        <f ca="1">IF(A9="","",IF(DATE(LEFT(D9,4),MID(D9,5,2),RIGHT(D9,2))=Helper1!$P$1,Helper1!$P$1,""))</f>
        <v/>
      </c>
      <c r="F9" s="3" t="str">
        <f>IF(A9="","",'ATP Fills'!G9)</f>
        <v>SGX</v>
      </c>
      <c r="G9" t="str">
        <f>IF(A9="","",'ATP Fills'!H9)</f>
        <v>FEF</v>
      </c>
      <c r="H9" t="str">
        <f>IF(A9="","",VLOOKUP(G9,表3_3[],2,0))</f>
        <v>SIMEX</v>
      </c>
      <c r="I9" t="str">
        <f>IF(A9="","",VLOOKUP(G9,表3_3[],3,0))</f>
        <v>FEF</v>
      </c>
      <c r="J9" t="str">
        <f>IF(A9="","",IF('ATP Fills'!I9="3M","",VLOOKUP(RIGHT('ATP Fills'!I9,2),Helper1!$O$36:$P$48,2,0)))</f>
        <v>X</v>
      </c>
      <c r="K9" t="str">
        <f>IF(J9="","",LEFT('ATP Fills'!I9,4))</f>
        <v>2021</v>
      </c>
      <c r="L9" t="str">
        <f>IF(A9="","",IF('ATP Fills'!G9="LME",'ATP Fills'!I9,""))</f>
        <v/>
      </c>
      <c r="M9" t="str">
        <f t="shared" si="0"/>
        <v>X-2021-FEF</v>
      </c>
    </row>
    <row r="10" spans="1:13">
      <c r="A10" t="str">
        <f>IF('ATP Fills'!A10="","",IF('ATP Fills'!Q10="PHILLIPSG",'ATP Fills'!F10,""))</f>
        <v>A000621</v>
      </c>
      <c r="B10" t="str">
        <f>IF(A10="","",'ATP Fills'!L10)</f>
        <v>Buy</v>
      </c>
      <c r="C10">
        <f>IF(A10="","",'ATP Fills'!M10)</f>
        <v>2</v>
      </c>
      <c r="D10">
        <f>IF(A10="","",'ATP Fills'!B10)</f>
        <v>20210914</v>
      </c>
      <c r="E10" s="3" t="str">
        <f ca="1">IF(A10="","",IF(DATE(LEFT(D10,4),MID(D10,5,2),RIGHT(D10,2))=Helper1!$P$1,Helper1!$P$1,""))</f>
        <v/>
      </c>
      <c r="F10" s="3" t="str">
        <f>IF(A10="","",'ATP Fills'!G10)</f>
        <v>SGX</v>
      </c>
      <c r="G10" t="str">
        <f>IF(A10="","",'ATP Fills'!H10)</f>
        <v>FEF</v>
      </c>
      <c r="H10" t="str">
        <f>IF(A10="","",VLOOKUP(G10,表3_3[],2,0))</f>
        <v>SIMEX</v>
      </c>
      <c r="I10" t="str">
        <f>IF(A10="","",VLOOKUP(G10,表3_3[],3,0))</f>
        <v>FEF</v>
      </c>
      <c r="J10" t="str">
        <f>IF(A10="","",IF('ATP Fills'!I10="3M","",VLOOKUP(RIGHT('ATP Fills'!I10,2),Helper1!$O$36:$P$48,2,0)))</f>
        <v>X</v>
      </c>
      <c r="K10" t="str">
        <f>IF(J10="","",LEFT('ATP Fills'!I10,4))</f>
        <v>2021</v>
      </c>
      <c r="L10" t="str">
        <f>IF(A10="","",IF('ATP Fills'!G10="LME",'ATP Fills'!I10,""))</f>
        <v/>
      </c>
      <c r="M10" t="str">
        <f t="shared" si="0"/>
        <v>X-2021-FEF</v>
      </c>
    </row>
    <row r="11" spans="1:13">
      <c r="A11" t="str">
        <f>IF('ATP Fills'!A11="","",IF('ATP Fills'!Q11="PHILLIPSG",'ATP Fills'!F11,""))</f>
        <v>A000621</v>
      </c>
      <c r="B11" t="str">
        <f>IF(A11="","",'ATP Fills'!L11)</f>
        <v>Buy</v>
      </c>
      <c r="C11">
        <f>IF(A11="","",'ATP Fills'!M11)</f>
        <v>2</v>
      </c>
      <c r="D11">
        <f>IF(A11="","",'ATP Fills'!B11)</f>
        <v>20210914</v>
      </c>
      <c r="E11" s="3" t="str">
        <f ca="1">IF(A11="","",IF(DATE(LEFT(D11,4),MID(D11,5,2),RIGHT(D11,2))=Helper1!$P$1,Helper1!$P$1,""))</f>
        <v/>
      </c>
      <c r="F11" s="3" t="str">
        <f>IF(A11="","",'ATP Fills'!G11)</f>
        <v>SGX</v>
      </c>
      <c r="G11" t="str">
        <f>IF(A11="","",'ATP Fills'!H11)</f>
        <v>FEF</v>
      </c>
      <c r="H11" t="str">
        <f>IF(A11="","",VLOOKUP(G11,表3_3[],2,0))</f>
        <v>SIMEX</v>
      </c>
      <c r="I11" t="str">
        <f>IF(A11="","",VLOOKUP(G11,表3_3[],3,0))</f>
        <v>FEF</v>
      </c>
      <c r="J11" t="str">
        <f>IF(A11="","",IF('ATP Fills'!I11="3M","",VLOOKUP(RIGHT('ATP Fills'!I11,2),Helper1!$O$36:$P$48,2,0)))</f>
        <v>X</v>
      </c>
      <c r="K11" t="str">
        <f>IF(J11="","",LEFT('ATP Fills'!I11,4))</f>
        <v>2021</v>
      </c>
      <c r="L11" t="str">
        <f>IF(A11="","",IF('ATP Fills'!G11="LME",'ATP Fills'!I11,""))</f>
        <v/>
      </c>
      <c r="M11" t="str">
        <f t="shared" si="0"/>
        <v>X-2021-FEF</v>
      </c>
    </row>
    <row r="12" spans="1:13">
      <c r="A12" t="str">
        <f>IF('ATP Fills'!A12="","",IF('ATP Fills'!Q12="PHILLIPSG",'ATP Fills'!F12,""))</f>
        <v>A000621</v>
      </c>
      <c r="B12" t="str">
        <f>IF(A12="","",'ATP Fills'!L12)</f>
        <v>Buy</v>
      </c>
      <c r="C12">
        <f>IF(A12="","",'ATP Fills'!M12)</f>
        <v>1</v>
      </c>
      <c r="D12">
        <f>IF(A12="","",'ATP Fills'!B12)</f>
        <v>20210914</v>
      </c>
      <c r="E12" s="3" t="str">
        <f ca="1">IF(A12="","",IF(DATE(LEFT(D12,4),MID(D12,5,2),RIGHT(D12,2))=Helper1!$P$1,Helper1!$P$1,""))</f>
        <v/>
      </c>
      <c r="F12" s="3" t="str">
        <f>IF(A12="","",'ATP Fills'!G12)</f>
        <v>SGX</v>
      </c>
      <c r="G12" t="str">
        <f>IF(A12="","",'ATP Fills'!H12)</f>
        <v>FEF</v>
      </c>
      <c r="H12" t="str">
        <f>IF(A12="","",VLOOKUP(G12,表3_3[],2,0))</f>
        <v>SIMEX</v>
      </c>
      <c r="I12" t="str">
        <f>IF(A12="","",VLOOKUP(G12,表3_3[],3,0))</f>
        <v>FEF</v>
      </c>
      <c r="J12" t="str">
        <f>IF(A12="","",IF('ATP Fills'!I12="3M","",VLOOKUP(RIGHT('ATP Fills'!I12,2),Helper1!$O$36:$P$48,2,0)))</f>
        <v>X</v>
      </c>
      <c r="K12" t="str">
        <f>IF(J12="","",LEFT('ATP Fills'!I12,4))</f>
        <v>2021</v>
      </c>
      <c r="L12" t="str">
        <f>IF(A12="","",IF('ATP Fills'!G12="LME",'ATP Fills'!I12,""))</f>
        <v/>
      </c>
      <c r="M12" t="str">
        <f t="shared" si="0"/>
        <v>X-2021-FEF</v>
      </c>
    </row>
    <row r="13" spans="1:13">
      <c r="A13" t="str">
        <f>IF('ATP Fills'!A13="","",IF('ATP Fills'!Q13="PHILLIPSG",'ATP Fills'!F13,""))</f>
        <v/>
      </c>
      <c r="B13" t="str">
        <f>IF(A13="","",'ATP Fills'!L13)</f>
        <v/>
      </c>
      <c r="C13" t="str">
        <f>IF(A13="","",'ATP Fills'!M13)</f>
        <v/>
      </c>
      <c r="D13" t="str">
        <f>IF(A13="","",'ATP Fills'!B13)</f>
        <v/>
      </c>
      <c r="E13" s="3" t="str">
        <f>IF(A13="","",IF(DATE(LEFT(D13,4),MID(D13,5,2),RIGHT(D13,2))=Helper1!$P$1,Helper1!$P$1,""))</f>
        <v/>
      </c>
      <c r="F13" s="3" t="str">
        <f>IF(A13="","",'ATP Fills'!G13)</f>
        <v/>
      </c>
      <c r="G13" t="str">
        <f>IF(A13="","",'ATP Fills'!H13)</f>
        <v/>
      </c>
      <c r="H13" t="str">
        <f>IF(A13="","",VLOOKUP(G13,表3_3[],2,0))</f>
        <v/>
      </c>
      <c r="I13" t="str">
        <f>IF(A13="","",VLOOKUP(G13,表3_3[],3,0))</f>
        <v/>
      </c>
      <c r="J13" t="str">
        <f>IF(A13="","",IF('ATP Fills'!I13="3M","",VLOOKUP(RIGHT('ATP Fills'!I13,2),Helper1!$O$36:$P$48,2,0)))</f>
        <v/>
      </c>
      <c r="K13" t="str">
        <f>IF(J13="","",LEFT('ATP Fills'!I13,4))</f>
        <v/>
      </c>
      <c r="L13" t="str">
        <f>IF(A13="","",IF('ATP Fills'!G13="LME",'ATP Fills'!I13,""))</f>
        <v/>
      </c>
      <c r="M13" t="str">
        <f t="shared" si="0"/>
        <v/>
      </c>
    </row>
    <row r="14" spans="1:13">
      <c r="A14" t="str">
        <f>IF('ATP Fills'!A14="","",IF('ATP Fills'!Q14="PHILLIPSG",'ATP Fills'!F14,""))</f>
        <v/>
      </c>
      <c r="B14" t="str">
        <f>IF(A14="","",'ATP Fills'!L14)</f>
        <v/>
      </c>
      <c r="C14" t="str">
        <f>IF(A14="","",'ATP Fills'!M14)</f>
        <v/>
      </c>
      <c r="D14" t="str">
        <f>IF(A14="","",'ATP Fills'!B14)</f>
        <v/>
      </c>
      <c r="E14" s="3" t="str">
        <f>IF(A14="","",IF(DATE(LEFT(D14,4),MID(D14,5,2),RIGHT(D14,2))=Helper1!$P$1,Helper1!$P$1,""))</f>
        <v/>
      </c>
      <c r="F14" s="3" t="str">
        <f>IF(A14="","",'ATP Fills'!G14)</f>
        <v/>
      </c>
      <c r="G14" t="str">
        <f>IF(A14="","",'ATP Fills'!H14)</f>
        <v/>
      </c>
      <c r="H14" t="str">
        <f>IF(A14="","",VLOOKUP(G14,表3_3[],2,0))</f>
        <v/>
      </c>
      <c r="I14" t="str">
        <f>IF(A14="","",VLOOKUP(G14,表3_3[],3,0))</f>
        <v/>
      </c>
      <c r="J14" t="str">
        <f>IF(A14="","",IF('ATP Fills'!I14="3M","",VLOOKUP(RIGHT('ATP Fills'!I14,2),Helper1!$O$36:$P$48,2,0)))</f>
        <v/>
      </c>
      <c r="K14" t="str">
        <f>IF(J14="","",LEFT('ATP Fills'!I14,4))</f>
        <v/>
      </c>
      <c r="L14" t="str">
        <f>IF(A14="","",IF('ATP Fills'!G14="LME",'ATP Fills'!I14,""))</f>
        <v/>
      </c>
      <c r="M14" t="str">
        <f t="shared" si="0"/>
        <v/>
      </c>
    </row>
    <row r="15" spans="1:13">
      <c r="A15" t="str">
        <f>IF('ATP Fills'!A15="","",IF('ATP Fills'!Q15="PHILLIPSG",'ATP Fills'!F15,""))</f>
        <v/>
      </c>
      <c r="B15" t="str">
        <f>IF(A15="","",'ATP Fills'!L15)</f>
        <v/>
      </c>
      <c r="C15" t="str">
        <f>IF(A15="","",'ATP Fills'!M15)</f>
        <v/>
      </c>
      <c r="D15" t="str">
        <f>IF(A15="","",'ATP Fills'!B15)</f>
        <v/>
      </c>
      <c r="E15" s="3" t="str">
        <f>IF(A15="","",IF(DATE(LEFT(D15,4),MID(D15,5,2),RIGHT(D15,2))=Helper1!$P$1,Helper1!$P$1,""))</f>
        <v/>
      </c>
      <c r="F15" s="3" t="str">
        <f>IF(A15="","",'ATP Fills'!G15)</f>
        <v/>
      </c>
      <c r="G15" t="str">
        <f>IF(A15="","",'ATP Fills'!H15)</f>
        <v/>
      </c>
      <c r="H15" t="str">
        <f>IF(A15="","",VLOOKUP(G15,表3_3[],2,0))</f>
        <v/>
      </c>
      <c r="I15" t="str">
        <f>IF(A15="","",VLOOKUP(G15,表3_3[],3,0))</f>
        <v/>
      </c>
      <c r="J15" t="str">
        <f>IF(A15="","",IF('ATP Fills'!I15="3M","",VLOOKUP(RIGHT('ATP Fills'!I15,2),Helper1!$O$36:$P$48,2,0)))</f>
        <v/>
      </c>
      <c r="K15" t="str">
        <f>IF(J15="","",LEFT('ATP Fills'!I15,4))</f>
        <v/>
      </c>
      <c r="L15" t="str">
        <f>IF(A15="","",IF('ATP Fills'!G15="LME",'ATP Fills'!I15,""))</f>
        <v/>
      </c>
      <c r="M15" t="str">
        <f t="shared" si="0"/>
        <v/>
      </c>
    </row>
    <row r="16" spans="1:13">
      <c r="A16" t="str">
        <f>IF('ATP Fills'!A16="","",IF('ATP Fills'!Q16="PHILLIPSG",'ATP Fills'!F16,""))</f>
        <v/>
      </c>
      <c r="B16" t="str">
        <f>IF(A16="","",'ATP Fills'!L16)</f>
        <v/>
      </c>
      <c r="C16" t="str">
        <f>IF(A16="","",'ATP Fills'!M16)</f>
        <v/>
      </c>
      <c r="D16" t="str">
        <f>IF(A16="","",'ATP Fills'!B16)</f>
        <v/>
      </c>
      <c r="E16" s="3" t="str">
        <f>IF(A16="","",IF(DATE(LEFT(D16,4),MID(D16,5,2),RIGHT(D16,2))=Helper1!$P$1,Helper1!$P$1,""))</f>
        <v/>
      </c>
      <c r="F16" s="3" t="str">
        <f>IF(A16="","",'ATP Fills'!G16)</f>
        <v/>
      </c>
      <c r="G16" t="str">
        <f>IF(A16="","",'ATP Fills'!H16)</f>
        <v/>
      </c>
      <c r="H16" t="str">
        <f>IF(A16="","",VLOOKUP(G16,表3_3[],2,0))</f>
        <v/>
      </c>
      <c r="I16" t="str">
        <f>IF(A16="","",VLOOKUP(G16,表3_3[],3,0))</f>
        <v/>
      </c>
      <c r="J16" t="str">
        <f>IF(A16="","",IF('ATP Fills'!I16="3M","",VLOOKUP(RIGHT('ATP Fills'!I16,2),Helper1!$O$36:$P$48,2,0)))</f>
        <v/>
      </c>
      <c r="K16" t="str">
        <f>IF(J16="","",LEFT('ATP Fills'!I16,4))</f>
        <v/>
      </c>
      <c r="L16" t="str">
        <f>IF(A16="","",IF('ATP Fills'!G16="LME",'ATP Fills'!I16,""))</f>
        <v/>
      </c>
      <c r="M16" t="str">
        <f t="shared" si="0"/>
        <v/>
      </c>
    </row>
    <row r="17" spans="1:13">
      <c r="A17" t="str">
        <f>IF('ATP Fills'!A17="","",IF('ATP Fills'!Q17="PHILLIPSG",'ATP Fills'!F17,""))</f>
        <v/>
      </c>
      <c r="B17" t="str">
        <f>IF(A17="","",'ATP Fills'!L17)</f>
        <v/>
      </c>
      <c r="C17" t="str">
        <f>IF(A17="","",'ATP Fills'!M17)</f>
        <v/>
      </c>
      <c r="D17" t="str">
        <f>IF(A17="","",'ATP Fills'!B17)</f>
        <v/>
      </c>
      <c r="E17" s="3" t="str">
        <f>IF(A17="","",IF(DATE(LEFT(D17,4),MID(D17,5,2),RIGHT(D17,2))=Helper1!$P$1,Helper1!$P$1,""))</f>
        <v/>
      </c>
      <c r="F17" s="3" t="str">
        <f>IF(A17="","",'ATP Fills'!G17)</f>
        <v/>
      </c>
      <c r="G17" t="str">
        <f>IF(A17="","",'ATP Fills'!H17)</f>
        <v/>
      </c>
      <c r="H17" t="str">
        <f>IF(A17="","",VLOOKUP(G17,表3_3[],2,0))</f>
        <v/>
      </c>
      <c r="I17" t="str">
        <f>IF(A17="","",VLOOKUP(G17,表3_3[],3,0))</f>
        <v/>
      </c>
      <c r="J17" t="str">
        <f>IF(A17="","",IF('ATP Fills'!I17="3M","",VLOOKUP(RIGHT('ATP Fills'!I17,2),Helper1!$O$36:$P$48,2,0)))</f>
        <v/>
      </c>
      <c r="K17" t="str">
        <f>IF(J17="","",LEFT('ATP Fills'!I17,4))</f>
        <v/>
      </c>
      <c r="L17" t="str">
        <f>IF(A17="","",IF('ATP Fills'!G17="LME",'ATP Fills'!I17,""))</f>
        <v/>
      </c>
      <c r="M17" t="str">
        <f t="shared" si="0"/>
        <v/>
      </c>
    </row>
    <row r="18" spans="1:13">
      <c r="A18" t="str">
        <f>IF('ATP Fills'!A18="","",IF('ATP Fills'!Q18="PHILLIPSG",'ATP Fills'!F18,""))</f>
        <v/>
      </c>
      <c r="B18" t="str">
        <f>IF(A18="","",'ATP Fills'!L18)</f>
        <v/>
      </c>
      <c r="C18" t="str">
        <f>IF(A18="","",'ATP Fills'!M18)</f>
        <v/>
      </c>
      <c r="D18" t="str">
        <f>IF(A18="","",'ATP Fills'!B18)</f>
        <v/>
      </c>
      <c r="E18" s="3" t="str">
        <f>IF(A18="","",IF(DATE(LEFT(D18,4),MID(D18,5,2),RIGHT(D18,2))=Helper1!$P$1,Helper1!$P$1,""))</f>
        <v/>
      </c>
      <c r="F18" s="3" t="str">
        <f>IF(A18="","",'ATP Fills'!G18)</f>
        <v/>
      </c>
      <c r="G18" t="str">
        <f>IF(A18="","",'ATP Fills'!H18)</f>
        <v/>
      </c>
      <c r="H18" t="str">
        <f>IF(A18="","",VLOOKUP(G18,表3_3[],2,0))</f>
        <v/>
      </c>
      <c r="I18" t="str">
        <f>IF(A18="","",VLOOKUP(G18,表3_3[],3,0))</f>
        <v/>
      </c>
      <c r="J18" t="str">
        <f>IF(A18="","",IF('ATP Fills'!I18="3M","",VLOOKUP(RIGHT('ATP Fills'!I18,2),Helper1!$O$36:$P$48,2,0)))</f>
        <v/>
      </c>
      <c r="K18" t="str">
        <f>IF(J18="","",LEFT('ATP Fills'!I18,4))</f>
        <v/>
      </c>
      <c r="L18" t="str">
        <f>IF(A18="","",IF('ATP Fills'!G18="LME",'ATP Fills'!I18,""))</f>
        <v/>
      </c>
      <c r="M18" t="str">
        <f t="shared" si="0"/>
        <v/>
      </c>
    </row>
    <row r="19" spans="1:13">
      <c r="A19" t="str">
        <f>IF('ATP Fills'!A19="","",IF('ATP Fills'!Q19="PHILLIPSG",'ATP Fills'!F19,""))</f>
        <v/>
      </c>
      <c r="B19" t="str">
        <f>IF(A19="","",'ATP Fills'!L19)</f>
        <v/>
      </c>
      <c r="C19" t="str">
        <f>IF(A19="","",'ATP Fills'!M19)</f>
        <v/>
      </c>
      <c r="D19" t="str">
        <f>IF(A19="","",'ATP Fills'!B19)</f>
        <v/>
      </c>
      <c r="E19" s="3" t="str">
        <f>IF(A19="","",IF(DATE(LEFT(D19,4),MID(D19,5,2),RIGHT(D19,2))=Helper1!$P$1,Helper1!$P$1,""))</f>
        <v/>
      </c>
      <c r="F19" s="3" t="str">
        <f>IF(A19="","",'ATP Fills'!G19)</f>
        <v/>
      </c>
      <c r="G19" t="str">
        <f>IF(A19="","",'ATP Fills'!H19)</f>
        <v/>
      </c>
      <c r="H19" t="str">
        <f>IF(A19="","",VLOOKUP(G19,表3_3[],2,0))</f>
        <v/>
      </c>
      <c r="I19" t="str">
        <f>IF(A19="","",VLOOKUP(G19,表3_3[],3,0))</f>
        <v/>
      </c>
      <c r="J19" t="str">
        <f>IF(A19="","",IF('ATP Fills'!I19="3M","",VLOOKUP(RIGHT('ATP Fills'!I19,2),Helper1!$O$36:$P$48,2,0)))</f>
        <v/>
      </c>
      <c r="K19" t="str">
        <f>IF(J19="","",LEFT('ATP Fills'!I19,4))</f>
        <v/>
      </c>
      <c r="L19" t="str">
        <f>IF(A19="","",IF('ATP Fills'!G19="LME",'ATP Fills'!I19,""))</f>
        <v/>
      </c>
      <c r="M19" t="str">
        <f t="shared" si="0"/>
        <v/>
      </c>
    </row>
    <row r="20" spans="1:13">
      <c r="A20" t="str">
        <f>IF('ATP Fills'!A20="","",IF('ATP Fills'!Q20="PHILLIPSG",'ATP Fills'!F20,""))</f>
        <v/>
      </c>
      <c r="B20" t="str">
        <f>IF(A20="","",'ATP Fills'!L20)</f>
        <v/>
      </c>
      <c r="C20" t="str">
        <f>IF(A20="","",'ATP Fills'!M20)</f>
        <v/>
      </c>
      <c r="D20" t="str">
        <f>IF(A20="","",'ATP Fills'!B20)</f>
        <v/>
      </c>
      <c r="E20" s="3" t="str">
        <f>IF(A20="","",IF(DATE(LEFT(D20,4),MID(D20,5,2),RIGHT(D20,2))=Helper1!$P$1,Helper1!$P$1,""))</f>
        <v/>
      </c>
      <c r="F20" s="3" t="str">
        <f>IF(A20="","",'ATP Fills'!G20)</f>
        <v/>
      </c>
      <c r="G20" t="str">
        <f>IF(A20="","",'ATP Fills'!H20)</f>
        <v/>
      </c>
      <c r="H20" t="str">
        <f>IF(A20="","",VLOOKUP(G20,表3_3[],2,0))</f>
        <v/>
      </c>
      <c r="I20" t="str">
        <f>IF(A20="","",VLOOKUP(G20,表3_3[],3,0))</f>
        <v/>
      </c>
      <c r="J20" t="str">
        <f>IF(A20="","",IF('ATP Fills'!I20="3M","",VLOOKUP(RIGHT('ATP Fills'!I20,2),Helper1!$O$36:$P$48,2,0)))</f>
        <v/>
      </c>
      <c r="K20" t="str">
        <f>IF(J20="","",LEFT('ATP Fills'!I20,4))</f>
        <v/>
      </c>
      <c r="L20" t="str">
        <f>IF(A20="","",IF('ATP Fills'!G20="LME",'ATP Fills'!I20,""))</f>
        <v/>
      </c>
      <c r="M20" t="str">
        <f t="shared" si="0"/>
        <v/>
      </c>
    </row>
    <row r="21" spans="1:13">
      <c r="A21" t="str">
        <f>IF('ATP Fills'!A21="","",IF('ATP Fills'!Q21="PHILLIPSG",'ATP Fills'!F21,""))</f>
        <v/>
      </c>
      <c r="B21" t="str">
        <f>IF(A21="","",'ATP Fills'!L21)</f>
        <v/>
      </c>
      <c r="C21" t="str">
        <f>IF(A21="","",'ATP Fills'!M21)</f>
        <v/>
      </c>
      <c r="D21" t="str">
        <f>IF(A21="","",'ATP Fills'!B21)</f>
        <v/>
      </c>
      <c r="E21" s="3" t="str">
        <f>IF(A21="","",IF(DATE(LEFT(D21,4),MID(D21,5,2),RIGHT(D21,2))=Helper1!$P$1,Helper1!$P$1,""))</f>
        <v/>
      </c>
      <c r="F21" s="3" t="str">
        <f>IF(A21="","",'ATP Fills'!G21)</f>
        <v/>
      </c>
      <c r="G21" t="str">
        <f>IF(A21="","",'ATP Fills'!H21)</f>
        <v/>
      </c>
      <c r="H21" t="str">
        <f>IF(A21="","",VLOOKUP(G21,表3_3[],2,0))</f>
        <v/>
      </c>
      <c r="I21" t="str">
        <f>IF(A21="","",VLOOKUP(G21,表3_3[],3,0))</f>
        <v/>
      </c>
      <c r="J21" t="str">
        <f>IF(A21="","",IF('ATP Fills'!I21="3M","",VLOOKUP(RIGHT('ATP Fills'!I21,2),Helper1!$O$36:$P$48,2,0)))</f>
        <v/>
      </c>
      <c r="K21" t="str">
        <f>IF(J21="","",LEFT('ATP Fills'!I21,4))</f>
        <v/>
      </c>
      <c r="L21" t="str">
        <f>IF(A21="","",IF('ATP Fills'!G21="LME",'ATP Fills'!I21,""))</f>
        <v/>
      </c>
      <c r="M21" t="str">
        <f t="shared" si="0"/>
        <v/>
      </c>
    </row>
    <row r="22" spans="1:13">
      <c r="A22" t="str">
        <f>IF('ATP Fills'!A22="","",IF('ATP Fills'!Q22="PHILLIPSG",'ATP Fills'!F22,""))</f>
        <v/>
      </c>
      <c r="B22" t="str">
        <f>IF(A22="","",'ATP Fills'!L22)</f>
        <v/>
      </c>
      <c r="C22" t="str">
        <f>IF(A22="","",'ATP Fills'!M22)</f>
        <v/>
      </c>
      <c r="D22" t="str">
        <f>IF(A22="","",'ATP Fills'!B22)</f>
        <v/>
      </c>
      <c r="E22" s="3" t="str">
        <f>IF(A22="","",IF(DATE(LEFT(D22,4),MID(D22,5,2),RIGHT(D22,2))=Helper1!$P$1,Helper1!$P$1,""))</f>
        <v/>
      </c>
      <c r="F22" s="3" t="str">
        <f>IF(A22="","",'ATP Fills'!G22)</f>
        <v/>
      </c>
      <c r="G22" t="str">
        <f>IF(A22="","",'ATP Fills'!H22)</f>
        <v/>
      </c>
      <c r="H22" t="str">
        <f>IF(A22="","",VLOOKUP(G22,表3_3[],2,0))</f>
        <v/>
      </c>
      <c r="I22" t="str">
        <f>IF(A22="","",VLOOKUP(G22,表3_3[],3,0))</f>
        <v/>
      </c>
      <c r="J22" t="str">
        <f>IF(A22="","",IF('ATP Fills'!I22="3M","",VLOOKUP(RIGHT('ATP Fills'!I22,2),Helper1!$O$36:$P$48,2,0)))</f>
        <v/>
      </c>
      <c r="K22" t="str">
        <f>IF(J22="","",LEFT('ATP Fills'!I22,4))</f>
        <v/>
      </c>
      <c r="L22" t="str">
        <f>IF(A22="","",IF('ATP Fills'!G22="LME",'ATP Fills'!I22,""))</f>
        <v/>
      </c>
      <c r="M22" t="str">
        <f t="shared" si="0"/>
        <v/>
      </c>
    </row>
    <row r="23" spans="1:13">
      <c r="A23" t="str">
        <f>IF('ATP Fills'!A23="","",IF('ATP Fills'!Q23="PHILLIPSG",'ATP Fills'!F23,""))</f>
        <v/>
      </c>
      <c r="B23" t="str">
        <f>IF(A23="","",'ATP Fills'!L23)</f>
        <v/>
      </c>
      <c r="C23" t="str">
        <f>IF(A23="","",'ATP Fills'!M23)</f>
        <v/>
      </c>
      <c r="D23" t="str">
        <f>IF(A23="","",'ATP Fills'!B23)</f>
        <v/>
      </c>
      <c r="E23" s="3" t="str">
        <f>IF(A23="","",IF(DATE(LEFT(D23,4),MID(D23,5,2),RIGHT(D23,2))=Helper1!$P$1,Helper1!$P$1,""))</f>
        <v/>
      </c>
      <c r="F23" s="3" t="str">
        <f>IF(A23="","",'ATP Fills'!G23)</f>
        <v/>
      </c>
      <c r="G23" t="str">
        <f>IF(A23="","",'ATP Fills'!H23)</f>
        <v/>
      </c>
      <c r="H23" t="str">
        <f>IF(A23="","",VLOOKUP(G23,表3_3[],2,0))</f>
        <v/>
      </c>
      <c r="I23" t="str">
        <f>IF(A23="","",VLOOKUP(G23,表3_3[],3,0))</f>
        <v/>
      </c>
      <c r="J23" t="str">
        <f>IF(A23="","",IF('ATP Fills'!I23="3M","",VLOOKUP(RIGHT('ATP Fills'!I23,2),Helper1!$O$36:$P$48,2,0)))</f>
        <v/>
      </c>
      <c r="K23" t="str">
        <f>IF(J23="","",LEFT('ATP Fills'!I23,4))</f>
        <v/>
      </c>
      <c r="L23" t="str">
        <f>IF(A23="","",IF('ATP Fills'!G23="LME",'ATP Fills'!I23,""))</f>
        <v/>
      </c>
      <c r="M23" t="str">
        <f t="shared" si="0"/>
        <v/>
      </c>
    </row>
    <row r="24" spans="1:13">
      <c r="A24" t="str">
        <f>IF('ATP Fills'!A24="","",IF('ATP Fills'!Q24="PHILLIPSG",'ATP Fills'!F24,""))</f>
        <v/>
      </c>
      <c r="B24" t="str">
        <f>IF(A24="","",'ATP Fills'!L24)</f>
        <v/>
      </c>
      <c r="C24" t="str">
        <f>IF(A24="","",'ATP Fills'!M24)</f>
        <v/>
      </c>
      <c r="D24" t="str">
        <f>IF(A24="","",'ATP Fills'!B24)</f>
        <v/>
      </c>
      <c r="E24" s="3" t="str">
        <f>IF(A24="","",IF(DATE(LEFT(D24,4),MID(D24,5,2),RIGHT(D24,2))=Helper1!$P$1,Helper1!$P$1,""))</f>
        <v/>
      </c>
      <c r="F24" s="3" t="str">
        <f>IF(A24="","",'ATP Fills'!G24)</f>
        <v/>
      </c>
      <c r="G24" t="str">
        <f>IF(A24="","",'ATP Fills'!H24)</f>
        <v/>
      </c>
      <c r="H24" t="str">
        <f>IF(A24="","",VLOOKUP(G24,表3_3[],2,0))</f>
        <v/>
      </c>
      <c r="I24" t="str">
        <f>IF(A24="","",VLOOKUP(G24,表3_3[],3,0))</f>
        <v/>
      </c>
      <c r="J24" t="str">
        <f>IF(A24="","",IF('ATP Fills'!I24="3M","",VLOOKUP(RIGHT('ATP Fills'!I24,2),Helper1!$O$36:$P$48,2,0)))</f>
        <v/>
      </c>
      <c r="K24" t="str">
        <f>IF(J24="","",LEFT('ATP Fills'!I24,4))</f>
        <v/>
      </c>
      <c r="L24" t="str">
        <f>IF(A24="","",IF('ATP Fills'!G24="LME",'ATP Fills'!I24,""))</f>
        <v/>
      </c>
      <c r="M24" t="str">
        <f t="shared" si="0"/>
        <v/>
      </c>
    </row>
    <row r="25" spans="1:13">
      <c r="A25" t="str">
        <f>IF('ATP Fills'!A25="","",IF('ATP Fills'!Q25="PHILLIPSG",'ATP Fills'!F25,""))</f>
        <v/>
      </c>
      <c r="B25" t="str">
        <f>IF(A25="","",'ATP Fills'!L25)</f>
        <v/>
      </c>
      <c r="C25" t="str">
        <f>IF(A25="","",'ATP Fills'!M25)</f>
        <v/>
      </c>
      <c r="D25" t="str">
        <f>IF(A25="","",'ATP Fills'!B25)</f>
        <v/>
      </c>
      <c r="E25" s="3" t="str">
        <f>IF(A25="","",IF(DATE(LEFT(D25,4),MID(D25,5,2),RIGHT(D25,2))=Helper1!$P$1,Helper1!$P$1,""))</f>
        <v/>
      </c>
      <c r="F25" s="3" t="str">
        <f>IF(A25="","",'ATP Fills'!G25)</f>
        <v/>
      </c>
      <c r="G25" t="str">
        <f>IF(A25="","",'ATP Fills'!H25)</f>
        <v/>
      </c>
      <c r="H25" t="str">
        <f>IF(A25="","",VLOOKUP(G25,表3_3[],2,0))</f>
        <v/>
      </c>
      <c r="I25" t="str">
        <f>IF(A25="","",VLOOKUP(G25,表3_3[],3,0))</f>
        <v/>
      </c>
      <c r="J25" t="str">
        <f>IF(A25="","",IF('ATP Fills'!I25="3M","",VLOOKUP(RIGHT('ATP Fills'!I25,2),Helper1!$O$36:$P$48,2,0)))</f>
        <v/>
      </c>
      <c r="K25" t="str">
        <f>IF(J25="","",LEFT('ATP Fills'!I25,4))</f>
        <v/>
      </c>
      <c r="L25" t="str">
        <f>IF(A25="","",IF('ATP Fills'!G25="LME",'ATP Fills'!I25,""))</f>
        <v/>
      </c>
      <c r="M25" t="str">
        <f t="shared" si="0"/>
        <v/>
      </c>
    </row>
    <row r="26" spans="1:13">
      <c r="A26" t="str">
        <f>IF('ATP Fills'!A26="","",IF('ATP Fills'!Q26="PHILLIPSG",'ATP Fills'!F26,""))</f>
        <v/>
      </c>
      <c r="B26" t="str">
        <f>IF(A26="","",'ATP Fills'!L26)</f>
        <v/>
      </c>
      <c r="C26" t="str">
        <f>IF(A26="","",'ATP Fills'!M26)</f>
        <v/>
      </c>
      <c r="D26" t="str">
        <f>IF(A26="","",'ATP Fills'!B26)</f>
        <v/>
      </c>
      <c r="E26" s="3" t="str">
        <f>IF(A26="","",IF(DATE(LEFT(D26,4),MID(D26,5,2),RIGHT(D26,2))=Helper1!$P$1,Helper1!$P$1,""))</f>
        <v/>
      </c>
      <c r="F26" s="3" t="str">
        <f>IF(A26="","",'ATP Fills'!G26)</f>
        <v/>
      </c>
      <c r="G26" t="str">
        <f>IF(A26="","",'ATP Fills'!H26)</f>
        <v/>
      </c>
      <c r="H26" t="str">
        <f>IF(A26="","",VLOOKUP(G26,表3_3[],2,0))</f>
        <v/>
      </c>
      <c r="I26" t="str">
        <f>IF(A26="","",VLOOKUP(G26,表3_3[],3,0))</f>
        <v/>
      </c>
      <c r="J26" t="str">
        <f>IF(A26="","",IF('ATP Fills'!I26="3M","",VLOOKUP(RIGHT('ATP Fills'!I26,2),Helper1!$O$36:$P$48,2,0)))</f>
        <v/>
      </c>
      <c r="K26" t="str">
        <f>IF(J26="","",LEFT('ATP Fills'!I26,4))</f>
        <v/>
      </c>
      <c r="L26" t="str">
        <f>IF(A26="","",IF('ATP Fills'!G26="LME",'ATP Fills'!I26,""))</f>
        <v/>
      </c>
      <c r="M26" t="str">
        <f t="shared" si="0"/>
        <v/>
      </c>
    </row>
    <row r="27" spans="1:13">
      <c r="A27" t="str">
        <f>IF('ATP Fills'!A27="","",IF('ATP Fills'!Q27="PHILLIPSG",'ATP Fills'!F27,""))</f>
        <v/>
      </c>
      <c r="B27" t="str">
        <f>IF(A27="","",'ATP Fills'!L27)</f>
        <v/>
      </c>
      <c r="C27" t="str">
        <f>IF(A27="","",'ATP Fills'!M27)</f>
        <v/>
      </c>
      <c r="D27" t="str">
        <f>IF(A27="","",'ATP Fills'!B27)</f>
        <v/>
      </c>
      <c r="E27" s="3" t="str">
        <f>IF(A27="","",IF(DATE(LEFT(D27,4),MID(D27,5,2),RIGHT(D27,2))=Helper1!$P$1,Helper1!$P$1,""))</f>
        <v/>
      </c>
      <c r="F27" s="3" t="str">
        <f>IF(A27="","",'ATP Fills'!G27)</f>
        <v/>
      </c>
      <c r="G27" t="str">
        <f>IF(A27="","",'ATP Fills'!H27)</f>
        <v/>
      </c>
      <c r="H27" t="str">
        <f>IF(A27="","",VLOOKUP(G27,表3_3[],2,0))</f>
        <v/>
      </c>
      <c r="I27" t="str">
        <f>IF(A27="","",VLOOKUP(G27,表3_3[],3,0))</f>
        <v/>
      </c>
      <c r="J27" t="str">
        <f>IF(A27="","",IF('ATP Fills'!I27="3M","",VLOOKUP(RIGHT('ATP Fills'!I27,2),Helper1!$O$36:$P$48,2,0)))</f>
        <v/>
      </c>
      <c r="K27" t="str">
        <f>IF(J27="","",LEFT('ATP Fills'!I27,4))</f>
        <v/>
      </c>
      <c r="L27" t="str">
        <f>IF(A27="","",IF('ATP Fills'!G27="LME",'ATP Fills'!I27,""))</f>
        <v/>
      </c>
      <c r="M27" t="str">
        <f t="shared" si="0"/>
        <v/>
      </c>
    </row>
    <row r="28" spans="1:13">
      <c r="A28" t="str">
        <f>IF('ATP Fills'!A28="","",IF('ATP Fills'!Q28="PHILLIPSG",'ATP Fills'!F28,""))</f>
        <v/>
      </c>
      <c r="B28" t="str">
        <f>IF(A28="","",'ATP Fills'!L28)</f>
        <v/>
      </c>
      <c r="C28" t="str">
        <f>IF(A28="","",'ATP Fills'!M28)</f>
        <v/>
      </c>
      <c r="D28" t="str">
        <f>IF(A28="","",'ATP Fills'!B28)</f>
        <v/>
      </c>
      <c r="E28" s="3" t="str">
        <f>IF(A28="","",IF(DATE(LEFT(D28,4),MID(D28,5,2),RIGHT(D28,2))=Helper1!$P$1,Helper1!$P$1,""))</f>
        <v/>
      </c>
      <c r="F28" s="3" t="str">
        <f>IF(A28="","",'ATP Fills'!G28)</f>
        <v/>
      </c>
      <c r="G28" t="str">
        <f>IF(A28="","",'ATP Fills'!H28)</f>
        <v/>
      </c>
      <c r="H28" t="str">
        <f>IF(A28="","",VLOOKUP(G28,表3_3[],2,0))</f>
        <v/>
      </c>
      <c r="I28" t="str">
        <f>IF(A28="","",VLOOKUP(G28,表3_3[],3,0))</f>
        <v/>
      </c>
      <c r="J28" t="str">
        <f>IF(A28="","",IF('ATP Fills'!I28="3M","",VLOOKUP(RIGHT('ATP Fills'!I28,2),Helper1!$O$36:$P$48,2,0)))</f>
        <v/>
      </c>
      <c r="K28" t="str">
        <f>IF(J28="","",LEFT('ATP Fills'!I28,4))</f>
        <v/>
      </c>
      <c r="L28" t="str">
        <f>IF(A28="","",IF('ATP Fills'!G28="LME",'ATP Fills'!I28,""))</f>
        <v/>
      </c>
      <c r="M28" t="str">
        <f t="shared" si="0"/>
        <v/>
      </c>
    </row>
    <row r="29" spans="1:13">
      <c r="A29" t="str">
        <f>IF('ATP Fills'!A29="","",IF('ATP Fills'!Q29="PHILLIPSG",'ATP Fills'!F29,""))</f>
        <v/>
      </c>
      <c r="B29" t="str">
        <f>IF(A29="","",'ATP Fills'!L29)</f>
        <v/>
      </c>
      <c r="C29" t="str">
        <f>IF(A29="","",'ATP Fills'!M29)</f>
        <v/>
      </c>
      <c r="D29" t="str">
        <f>IF(A29="","",'ATP Fills'!B29)</f>
        <v/>
      </c>
      <c r="E29" s="3" t="str">
        <f>IF(A29="","",IF(DATE(LEFT(D29,4),MID(D29,5,2),RIGHT(D29,2))=Helper1!$P$1,Helper1!$P$1,""))</f>
        <v/>
      </c>
      <c r="F29" s="3" t="str">
        <f>IF(A29="","",'ATP Fills'!G29)</f>
        <v/>
      </c>
      <c r="G29" t="str">
        <f>IF(A29="","",'ATP Fills'!H29)</f>
        <v/>
      </c>
      <c r="H29" t="str">
        <f>IF(A29="","",VLOOKUP(G29,表3_3[],2,0))</f>
        <v/>
      </c>
      <c r="I29" t="str">
        <f>IF(A29="","",VLOOKUP(G29,表3_3[],3,0))</f>
        <v/>
      </c>
      <c r="J29" t="str">
        <f>IF(A29="","",IF('ATP Fills'!I29="3M","",VLOOKUP(RIGHT('ATP Fills'!I29,2),Helper1!$O$36:$P$48,2,0)))</f>
        <v/>
      </c>
      <c r="K29" t="str">
        <f>IF(J29="","",LEFT('ATP Fills'!I29,4))</f>
        <v/>
      </c>
      <c r="L29" t="str">
        <f>IF(A29="","",IF('ATP Fills'!G29="LME",'ATP Fills'!I29,""))</f>
        <v/>
      </c>
      <c r="M29" t="str">
        <f t="shared" si="0"/>
        <v/>
      </c>
    </row>
    <row r="30" spans="1:13">
      <c r="A30" t="str">
        <f>IF('ATP Fills'!A30="","",IF('ATP Fills'!Q30="PHILLIPSG",'ATP Fills'!F30,""))</f>
        <v/>
      </c>
      <c r="B30" t="str">
        <f>IF(A30="","",'ATP Fills'!L30)</f>
        <v/>
      </c>
      <c r="C30" t="str">
        <f>IF(A30="","",'ATP Fills'!M30)</f>
        <v/>
      </c>
      <c r="D30" t="str">
        <f>IF(A30="","",'ATP Fills'!B30)</f>
        <v/>
      </c>
      <c r="E30" s="3" t="str">
        <f>IF(A30="","",IF(DATE(LEFT(D30,4),MID(D30,5,2),RIGHT(D30,2))=Helper1!$P$1,Helper1!$P$1,""))</f>
        <v/>
      </c>
      <c r="F30" s="3" t="str">
        <f>IF(A30="","",'ATP Fills'!G30)</f>
        <v/>
      </c>
      <c r="G30" t="str">
        <f>IF(A30="","",'ATP Fills'!H30)</f>
        <v/>
      </c>
      <c r="H30" t="str">
        <f>IF(A30="","",VLOOKUP(G30,表3_3[],2,0))</f>
        <v/>
      </c>
      <c r="I30" t="str">
        <f>IF(A30="","",VLOOKUP(G30,表3_3[],3,0))</f>
        <v/>
      </c>
      <c r="J30" t="str">
        <f>IF(A30="","",IF('ATP Fills'!I30="3M","",VLOOKUP(RIGHT('ATP Fills'!I30,2),Helper1!$O$36:$P$48,2,0)))</f>
        <v/>
      </c>
      <c r="K30" t="str">
        <f>IF(J30="","",LEFT('ATP Fills'!I30,4))</f>
        <v/>
      </c>
      <c r="L30" t="str">
        <f>IF(A30="","",IF('ATP Fills'!G30="LME",'ATP Fills'!I30,""))</f>
        <v/>
      </c>
      <c r="M30" t="str">
        <f t="shared" si="0"/>
        <v/>
      </c>
    </row>
    <row r="31" spans="1:13">
      <c r="A31" t="str">
        <f>IF('ATP Fills'!A31="","",IF('ATP Fills'!Q31="PHILLIPSG",'ATP Fills'!F31,""))</f>
        <v/>
      </c>
      <c r="B31" t="str">
        <f>IF(A31="","",'ATP Fills'!L31)</f>
        <v/>
      </c>
      <c r="C31" t="str">
        <f>IF(A31="","",'ATP Fills'!M31)</f>
        <v/>
      </c>
      <c r="D31" t="str">
        <f>IF(A31="","",'ATP Fills'!B31)</f>
        <v/>
      </c>
      <c r="E31" s="3" t="str">
        <f>IF(A31="","",IF(DATE(LEFT(D31,4),MID(D31,5,2),RIGHT(D31,2))=Helper1!$P$1,Helper1!$P$1,""))</f>
        <v/>
      </c>
      <c r="F31" s="3" t="str">
        <f>IF(A31="","",'ATP Fills'!G31)</f>
        <v/>
      </c>
      <c r="G31" t="str">
        <f>IF(A31="","",'ATP Fills'!H31)</f>
        <v/>
      </c>
      <c r="H31" t="str">
        <f>IF(A31="","",VLOOKUP(G31,表3_3[],2,0))</f>
        <v/>
      </c>
      <c r="I31" t="str">
        <f>IF(A31="","",VLOOKUP(G31,表3_3[],3,0))</f>
        <v/>
      </c>
      <c r="J31" t="str">
        <f>IF(A31="","",IF('ATP Fills'!I31="3M","",VLOOKUP(RIGHT('ATP Fills'!I31,2),Helper1!$O$36:$P$48,2,0)))</f>
        <v/>
      </c>
      <c r="K31" t="str">
        <f>IF(J31="","",LEFT('ATP Fills'!I31,4))</f>
        <v/>
      </c>
      <c r="L31" t="str">
        <f>IF(A31="","",IF('ATP Fills'!G31="LME",'ATP Fills'!I31,""))</f>
        <v/>
      </c>
      <c r="M31" t="str">
        <f t="shared" si="0"/>
        <v/>
      </c>
    </row>
    <row r="32" spans="1:13">
      <c r="A32" t="str">
        <f>IF('ATP Fills'!A32="","",IF('ATP Fills'!Q32="PHILLIPSG",'ATP Fills'!F32,""))</f>
        <v>A000555</v>
      </c>
      <c r="B32" t="str">
        <f>IF(A32="","",'ATP Fills'!L32)</f>
        <v>Sell</v>
      </c>
      <c r="C32">
        <f>IF(A32="","",'ATP Fills'!M32)</f>
        <v>2</v>
      </c>
      <c r="D32">
        <f>IF(A32="","",'ATP Fills'!B32)</f>
        <v>20210914</v>
      </c>
      <c r="E32" s="3" t="str">
        <f ca="1">IF(A32="","",IF(DATE(LEFT(D32,4),MID(D32,5,2),RIGHT(D32,2))=Helper1!$P$1,Helper1!$P$1,""))</f>
        <v/>
      </c>
      <c r="F32" s="3" t="str">
        <f>IF(A32="","",'ATP Fills'!G32)</f>
        <v>LME</v>
      </c>
      <c r="G32" t="str">
        <f>IF(A32="","",'ATP Fills'!H32)</f>
        <v>AL</v>
      </c>
      <c r="H32" t="str">
        <f>IF(A32="","",VLOOKUP(G32,表3_3[],2,0))</f>
        <v/>
      </c>
      <c r="I32" t="str">
        <f>IF(A32="","",VLOOKUP(G32,表3_3[],3,0))</f>
        <v>Aluminium</v>
      </c>
      <c r="J32" t="str">
        <f>IF(A32="","",IF('ATP Fills'!I32="3M","",VLOOKUP(RIGHT('ATP Fills'!I32,2),Helper1!$O$36:$P$48,2,0)))</f>
        <v/>
      </c>
      <c r="K32" t="str">
        <f>IF(J32="","",LEFT('ATP Fills'!I32,4))</f>
        <v/>
      </c>
      <c r="L32" t="str">
        <f>IF(A32="","",IF('ATP Fills'!G32="LME",'ATP Fills'!I32,""))</f>
        <v>3M</v>
      </c>
      <c r="M32" t="str">
        <f t="shared" si="0"/>
        <v>LME-Aluminium-3M</v>
      </c>
    </row>
    <row r="33" spans="1:13">
      <c r="A33" t="str">
        <f>IF('ATP Fills'!A33="","",IF('ATP Fills'!Q33="PHILLIPSG",'ATP Fills'!F33,""))</f>
        <v>A000555</v>
      </c>
      <c r="B33" t="str">
        <f>IF(A33="","",'ATP Fills'!L33)</f>
        <v>Sell</v>
      </c>
      <c r="C33">
        <f>IF(A33="","",'ATP Fills'!M33)</f>
        <v>1</v>
      </c>
      <c r="D33">
        <f>IF(A33="","",'ATP Fills'!B33)</f>
        <v>20210915</v>
      </c>
      <c r="E33" s="3" t="str">
        <f ca="1">IF(A33="","",IF(DATE(LEFT(D33,4),MID(D33,5,2),RIGHT(D33,2))=Helper1!$P$1,Helper1!$P$1,""))</f>
        <v/>
      </c>
      <c r="F33" s="3" t="str">
        <f>IF(A33="","",'ATP Fills'!G33)</f>
        <v>SGX</v>
      </c>
      <c r="G33" t="str">
        <f>IF(A33="","",'ATP Fills'!H33)</f>
        <v>UC</v>
      </c>
      <c r="H33" t="str">
        <f>IF(A33="","",VLOOKUP(G33,表3_3[],2,0))</f>
        <v>SIMEX</v>
      </c>
      <c r="I33" t="str">
        <f>IF(A33="","",VLOOKUP(G33,表3_3[],3,0))</f>
        <v>UC</v>
      </c>
      <c r="J33" t="str">
        <f>IF(A33="","",IF('ATP Fills'!I33="3M","",VLOOKUP(RIGHT('ATP Fills'!I33,2),Helper1!$O$36:$P$48,2,0)))</f>
        <v>Z</v>
      </c>
      <c r="K33" t="str">
        <f>IF(J33="","",LEFT('ATP Fills'!I33,4))</f>
        <v>2021</v>
      </c>
      <c r="L33" t="str">
        <f>IF(A33="","",IF('ATP Fills'!G33="LME",'ATP Fills'!I33,""))</f>
        <v/>
      </c>
      <c r="M33" t="str">
        <f t="shared" si="0"/>
        <v>Z-2021-UC</v>
      </c>
    </row>
    <row r="34" spans="1:13">
      <c r="A34" t="str">
        <f>IF('ATP Fills'!A34="","",IF('ATP Fills'!Q34="PHILLIPSG",'ATP Fills'!F34,""))</f>
        <v/>
      </c>
      <c r="B34" t="str">
        <f>IF(A34="","",'ATP Fills'!L34)</f>
        <v/>
      </c>
      <c r="C34" t="str">
        <f>IF(A34="","",'ATP Fills'!M34)</f>
        <v/>
      </c>
      <c r="D34" t="str">
        <f>IF(A34="","",'ATP Fills'!B34)</f>
        <v/>
      </c>
      <c r="E34" s="3" t="str">
        <f>IF(A34="","",IF(DATE(LEFT(D34,4),MID(D34,5,2),RIGHT(D34,2))=Helper1!$P$1,Helper1!$P$1,""))</f>
        <v/>
      </c>
      <c r="F34" s="3" t="str">
        <f>IF(A34="","",'ATP Fills'!G34)</f>
        <v/>
      </c>
      <c r="G34" t="str">
        <f>IF(A34="","",'ATP Fills'!H34)</f>
        <v/>
      </c>
      <c r="H34" t="str">
        <f>IF(A34="","",VLOOKUP(G34,表3_3[],2,0))</f>
        <v/>
      </c>
      <c r="I34" t="str">
        <f>IF(A34="","",VLOOKUP(G34,表3_3[],3,0))</f>
        <v/>
      </c>
      <c r="J34" t="str">
        <f>IF(A34="","",IF('ATP Fills'!I34="3M","",VLOOKUP(RIGHT('ATP Fills'!I34,2),Helper1!$O$36:$P$48,2,0)))</f>
        <v/>
      </c>
      <c r="K34" t="str">
        <f>IF(J34="","",LEFT('ATP Fills'!I34,4))</f>
        <v/>
      </c>
      <c r="L34" t="str">
        <f>IF(A34="","",IF('ATP Fills'!G34="LME",'ATP Fills'!I34,""))</f>
        <v/>
      </c>
      <c r="M34" t="str">
        <f t="shared" si="0"/>
        <v/>
      </c>
    </row>
    <row r="35" spans="1:13">
      <c r="A35" t="str">
        <f>IF('ATP Fills'!A35="","",IF('ATP Fills'!Q35="PHILLIPSG",'ATP Fills'!F35,""))</f>
        <v/>
      </c>
      <c r="B35" t="str">
        <f>IF(A35="","",'ATP Fills'!L35)</f>
        <v/>
      </c>
      <c r="C35" t="str">
        <f>IF(A35="","",'ATP Fills'!M35)</f>
        <v/>
      </c>
      <c r="D35" t="str">
        <f>IF(A35="","",'ATP Fills'!B35)</f>
        <v/>
      </c>
      <c r="E35" s="3" t="str">
        <f>IF(A35="","",IF(DATE(LEFT(D35,4),MID(D35,5,2),RIGHT(D35,2))=Helper1!$P$1,Helper1!$P$1,""))</f>
        <v/>
      </c>
      <c r="F35" s="3" t="str">
        <f>IF(A35="","",'ATP Fills'!G35)</f>
        <v/>
      </c>
      <c r="G35" t="str">
        <f>IF(A35="","",'ATP Fills'!H35)</f>
        <v/>
      </c>
      <c r="H35" t="str">
        <f>IF(A35="","",VLOOKUP(G35,表3_3[],2,0))</f>
        <v/>
      </c>
      <c r="I35" t="str">
        <f>IF(A35="","",VLOOKUP(G35,表3_3[],3,0))</f>
        <v/>
      </c>
      <c r="J35" t="str">
        <f>IF(A35="","",IF('ATP Fills'!I35="3M","",VLOOKUP(RIGHT('ATP Fills'!I35,2),Helper1!$O$36:$P$48,2,0)))</f>
        <v/>
      </c>
      <c r="K35" t="str">
        <f>IF(J35="","",LEFT('ATP Fills'!I35,4))</f>
        <v/>
      </c>
      <c r="L35" t="str">
        <f>IF(A35="","",IF('ATP Fills'!G35="LME",'ATP Fills'!I35,""))</f>
        <v/>
      </c>
      <c r="M35" t="str">
        <f t="shared" si="0"/>
        <v/>
      </c>
    </row>
    <row r="36" spans="1:13">
      <c r="A36" t="str">
        <f>IF('ATP Fills'!A36="","",IF('ATP Fills'!Q36="PHILLIPSG",'ATP Fills'!F36,""))</f>
        <v/>
      </c>
      <c r="B36" t="str">
        <f>IF(A36="","",'ATP Fills'!L36)</f>
        <v/>
      </c>
      <c r="C36" t="str">
        <f>IF(A36="","",'ATP Fills'!M36)</f>
        <v/>
      </c>
      <c r="D36" t="str">
        <f>IF(A36="","",'ATP Fills'!B36)</f>
        <v/>
      </c>
      <c r="E36" s="3" t="str">
        <f>IF(A36="","",IF(DATE(LEFT(D36,4),MID(D36,5,2),RIGHT(D36,2))=Helper1!$P$1,Helper1!$P$1,""))</f>
        <v/>
      </c>
      <c r="F36" s="3" t="str">
        <f>IF(A36="","",'ATP Fills'!G36)</f>
        <v/>
      </c>
      <c r="G36" t="str">
        <f>IF(A36="","",'ATP Fills'!H36)</f>
        <v/>
      </c>
      <c r="H36" t="str">
        <f>IF(A36="","",VLOOKUP(G36,表3_3[],2,0))</f>
        <v/>
      </c>
      <c r="I36" t="str">
        <f>IF(A36="","",VLOOKUP(G36,表3_3[],3,0))</f>
        <v/>
      </c>
      <c r="J36" t="str">
        <f>IF(A36="","",IF('ATP Fills'!I36="3M","",VLOOKUP(RIGHT('ATP Fills'!I36,2),Helper1!$O$36:$P$48,2,0)))</f>
        <v/>
      </c>
      <c r="K36" t="str">
        <f>IF(J36="","",LEFT('ATP Fills'!I36,4))</f>
        <v/>
      </c>
      <c r="L36" t="str">
        <f>IF(A36="","",IF('ATP Fills'!G36="LME",'ATP Fills'!I36,""))</f>
        <v/>
      </c>
      <c r="M36" t="str">
        <f t="shared" si="0"/>
        <v/>
      </c>
    </row>
    <row r="37" spans="1:13">
      <c r="A37" t="str">
        <f>IF('ATP Fills'!A37="","",IF('ATP Fills'!Q37="PHILLIPSG",'ATP Fills'!F37,""))</f>
        <v/>
      </c>
      <c r="B37" t="str">
        <f>IF(A37="","",'ATP Fills'!L37)</f>
        <v/>
      </c>
      <c r="C37" t="str">
        <f>IF(A37="","",'ATP Fills'!M37)</f>
        <v/>
      </c>
      <c r="D37" t="str">
        <f>IF(A37="","",'ATP Fills'!B37)</f>
        <v/>
      </c>
      <c r="E37" s="3" t="str">
        <f>IF(A37="","",IF(DATE(LEFT(D37,4),MID(D37,5,2),RIGHT(D37,2))=Helper1!$P$1,Helper1!$P$1,""))</f>
        <v/>
      </c>
      <c r="F37" s="3" t="str">
        <f>IF(A37="","",'ATP Fills'!G37)</f>
        <v/>
      </c>
      <c r="G37" t="str">
        <f>IF(A37="","",'ATP Fills'!H37)</f>
        <v/>
      </c>
      <c r="H37" t="str">
        <f>IF(A37="","",VLOOKUP(G37,表3_3[],2,0))</f>
        <v/>
      </c>
      <c r="I37" t="str">
        <f>IF(A37="","",VLOOKUP(G37,表3_3[],3,0))</f>
        <v/>
      </c>
      <c r="J37" t="str">
        <f>IF(A37="","",IF('ATP Fills'!I37="3M","",VLOOKUP(RIGHT('ATP Fills'!I37,2),Helper1!$O$36:$P$48,2,0)))</f>
        <v/>
      </c>
      <c r="K37" t="str">
        <f>IF(J37="","",LEFT('ATP Fills'!I37,4))</f>
        <v/>
      </c>
      <c r="L37" t="str">
        <f>IF(A37="","",IF('ATP Fills'!G37="LME",'ATP Fills'!I37,""))</f>
        <v/>
      </c>
      <c r="M37" t="str">
        <f t="shared" si="0"/>
        <v/>
      </c>
    </row>
    <row r="38" spans="1:13">
      <c r="A38" t="str">
        <f>IF('ATP Fills'!A38="","",IF('ATP Fills'!Q38="PHILLIPSG",'ATP Fills'!F38,""))</f>
        <v/>
      </c>
      <c r="B38" t="str">
        <f>IF(A38="","",'ATP Fills'!L38)</f>
        <v/>
      </c>
      <c r="C38" t="str">
        <f>IF(A38="","",'ATP Fills'!M38)</f>
        <v/>
      </c>
      <c r="D38" t="str">
        <f>IF(A38="","",'ATP Fills'!B38)</f>
        <v/>
      </c>
      <c r="E38" s="3" t="str">
        <f>IF(A38="","",IF(DATE(LEFT(D38,4),MID(D38,5,2),RIGHT(D38,2))=Helper1!$P$1,Helper1!$P$1,""))</f>
        <v/>
      </c>
      <c r="F38" s="3" t="str">
        <f>IF(A38="","",'ATP Fills'!G38)</f>
        <v/>
      </c>
      <c r="G38" t="str">
        <f>IF(A38="","",'ATP Fills'!H38)</f>
        <v/>
      </c>
      <c r="H38" t="str">
        <f>IF(A38="","",VLOOKUP(G38,表3_3[],2,0))</f>
        <v/>
      </c>
      <c r="I38" t="str">
        <f>IF(A38="","",VLOOKUP(G38,表3_3[],3,0))</f>
        <v/>
      </c>
      <c r="J38" t="str">
        <f>IF(A38="","",IF('ATP Fills'!I38="3M","",VLOOKUP(RIGHT('ATP Fills'!I38,2),Helper1!$O$36:$P$48,2,0)))</f>
        <v/>
      </c>
      <c r="K38" t="str">
        <f>IF(J38="","",LEFT('ATP Fills'!I38,4))</f>
        <v/>
      </c>
      <c r="L38" t="str">
        <f>IF(A38="","",IF('ATP Fills'!G38="LME",'ATP Fills'!I38,""))</f>
        <v/>
      </c>
      <c r="M38" t="str">
        <f t="shared" si="0"/>
        <v/>
      </c>
    </row>
    <row r="39" spans="1:13">
      <c r="A39" t="str">
        <f>IF('ATP Fills'!A39="","",IF('ATP Fills'!Q39="PHILLIPSG",'ATP Fills'!F39,""))</f>
        <v>A000621</v>
      </c>
      <c r="B39" t="str">
        <f>IF(A39="","",'ATP Fills'!L39)</f>
        <v>Sell</v>
      </c>
      <c r="C39">
        <f>IF(A39="","",'ATP Fills'!M39)</f>
        <v>1</v>
      </c>
      <c r="D39">
        <f>IF(A39="","",'ATP Fills'!B39)</f>
        <v>20210914</v>
      </c>
      <c r="E39" s="3" t="str">
        <f ca="1">IF(A39="","",IF(DATE(LEFT(D39,4),MID(D39,5,2),RIGHT(D39,2))=Helper1!$P$1,Helper1!$P$1,""))</f>
        <v/>
      </c>
      <c r="F39" s="3" t="str">
        <f>IF(A39="","",'ATP Fills'!G39)</f>
        <v>LME</v>
      </c>
      <c r="G39" t="str">
        <f>IF(A39="","",'ATP Fills'!H39)</f>
        <v>NI</v>
      </c>
      <c r="H39" t="str">
        <f>IF(A39="","",VLOOKUP(G39,表3_3[],2,0))</f>
        <v/>
      </c>
      <c r="I39" t="str">
        <f>IF(A39="","",VLOOKUP(G39,表3_3[],3,0))</f>
        <v>Nickel</v>
      </c>
      <c r="J39" t="str">
        <f>IF(A39="","",IF('ATP Fills'!I39="3M","",VLOOKUP(RIGHT('ATP Fills'!I39,2),Helper1!$O$36:$P$48,2,0)))</f>
        <v/>
      </c>
      <c r="K39" t="str">
        <f>IF(J39="","",LEFT('ATP Fills'!I39,4))</f>
        <v/>
      </c>
      <c r="L39" t="str">
        <f>IF(A39="","",IF('ATP Fills'!G39="LME",'ATP Fills'!I39,""))</f>
        <v>3M</v>
      </c>
      <c r="M39" t="str">
        <f t="shared" si="0"/>
        <v>LME-Nickel-3M</v>
      </c>
    </row>
    <row r="40" spans="1:13">
      <c r="A40" t="str">
        <f>IF('ATP Fills'!A40="","",IF('ATP Fills'!Q40="PHILLIPSG",'ATP Fills'!F40,""))</f>
        <v/>
      </c>
      <c r="B40" t="str">
        <f>IF(A40="","",'ATP Fills'!L40)</f>
        <v/>
      </c>
      <c r="C40" t="str">
        <f>IF(A40="","",'ATP Fills'!M40)</f>
        <v/>
      </c>
      <c r="D40" t="str">
        <f>IF(A40="","",'ATP Fills'!B40)</f>
        <v/>
      </c>
      <c r="E40" s="3" t="str">
        <f>IF(A40="","",IF(DATE(LEFT(D40,4),MID(D40,5,2),RIGHT(D40,2))=Helper1!$P$1,Helper1!$P$1,""))</f>
        <v/>
      </c>
      <c r="F40" s="3" t="str">
        <f>IF(A40="","",'ATP Fills'!G40)</f>
        <v/>
      </c>
      <c r="G40" t="str">
        <f>IF(A40="","",'ATP Fills'!H40)</f>
        <v/>
      </c>
      <c r="H40" t="str">
        <f>IF(A40="","",VLOOKUP(G40,表3_3[],2,0))</f>
        <v/>
      </c>
      <c r="I40" t="str">
        <f>IF(A40="","",VLOOKUP(G40,表3_3[],3,0))</f>
        <v/>
      </c>
      <c r="J40" t="str">
        <f>IF(A40="","",IF('ATP Fills'!I40="3M","",VLOOKUP(RIGHT('ATP Fills'!I40,2),Helper1!$O$36:$P$48,2,0)))</f>
        <v/>
      </c>
      <c r="K40" t="str">
        <f>IF(J40="","",LEFT('ATP Fills'!I40,4))</f>
        <v/>
      </c>
      <c r="L40" t="str">
        <f>IF(A40="","",IF('ATP Fills'!G40="LME",'ATP Fills'!I40,""))</f>
        <v/>
      </c>
      <c r="M40" t="str">
        <f t="shared" si="0"/>
        <v/>
      </c>
    </row>
    <row r="41" spans="1:13">
      <c r="A41" t="str">
        <f>IF('ATP Fills'!A41="","",IF('ATP Fills'!Q41="PHILLIPSG",'ATP Fills'!F41,""))</f>
        <v/>
      </c>
      <c r="B41" t="str">
        <f>IF(A41="","",'ATP Fills'!L41)</f>
        <v/>
      </c>
      <c r="C41" t="str">
        <f>IF(A41="","",'ATP Fills'!M41)</f>
        <v/>
      </c>
      <c r="D41" t="str">
        <f>IF(A41="","",'ATP Fills'!B41)</f>
        <v/>
      </c>
      <c r="E41" s="3" t="str">
        <f>IF(A41="","",IF(DATE(LEFT(D41,4),MID(D41,5,2),RIGHT(D41,2))=Helper1!$P$1,Helper1!$P$1,""))</f>
        <v/>
      </c>
      <c r="F41" s="3" t="str">
        <f>IF(A41="","",'ATP Fills'!G41)</f>
        <v/>
      </c>
      <c r="G41" t="str">
        <f>IF(A41="","",'ATP Fills'!H41)</f>
        <v/>
      </c>
      <c r="H41" t="str">
        <f>IF(A41="","",VLOOKUP(G41,表3_3[],2,0))</f>
        <v/>
      </c>
      <c r="I41" t="str">
        <f>IF(A41="","",VLOOKUP(G41,表3_3[],3,0))</f>
        <v/>
      </c>
      <c r="J41" t="str">
        <f>IF(A41="","",IF('ATP Fills'!I41="3M","",VLOOKUP(RIGHT('ATP Fills'!I41,2),Helper1!$O$36:$P$48,2,0)))</f>
        <v/>
      </c>
      <c r="K41" t="str">
        <f>IF(J41="","",LEFT('ATP Fills'!I41,4))</f>
        <v/>
      </c>
      <c r="L41" t="str">
        <f>IF(A41="","",IF('ATP Fills'!G41="LME",'ATP Fills'!I41,""))</f>
        <v/>
      </c>
      <c r="M41" t="str">
        <f t="shared" si="0"/>
        <v/>
      </c>
    </row>
    <row r="42" spans="1:13">
      <c r="A42" t="str">
        <f>IF('ATP Fills'!A42="","",IF('ATP Fills'!Q42="PHILLIPSG",'ATP Fills'!F42,""))</f>
        <v/>
      </c>
      <c r="B42" t="str">
        <f>IF(A42="","",'ATP Fills'!L42)</f>
        <v/>
      </c>
      <c r="C42" t="str">
        <f>IF(A42="","",'ATP Fills'!M42)</f>
        <v/>
      </c>
      <c r="D42" t="str">
        <f>IF(A42="","",'ATP Fills'!B42)</f>
        <v/>
      </c>
      <c r="E42" s="3" t="str">
        <f>IF(A42="","",IF(DATE(LEFT(D42,4),MID(D42,5,2),RIGHT(D42,2))=Helper1!$P$1,Helper1!$P$1,""))</f>
        <v/>
      </c>
      <c r="F42" s="3" t="str">
        <f>IF(A42="","",'ATP Fills'!G42)</f>
        <v/>
      </c>
      <c r="G42" t="str">
        <f>IF(A42="","",'ATP Fills'!H42)</f>
        <v/>
      </c>
      <c r="H42" t="str">
        <f>IF(A42="","",VLOOKUP(G42,表3_3[],2,0))</f>
        <v/>
      </c>
      <c r="I42" t="str">
        <f>IF(A42="","",VLOOKUP(G42,表3_3[],3,0))</f>
        <v/>
      </c>
      <c r="J42" t="str">
        <f>IF(A42="","",IF('ATP Fills'!I42="3M","",VLOOKUP(RIGHT('ATP Fills'!I42,2),Helper1!$O$36:$P$48,2,0)))</f>
        <v/>
      </c>
      <c r="K42" t="str">
        <f>IF(J42="","",LEFT('ATP Fills'!I42,4))</f>
        <v/>
      </c>
      <c r="L42" t="str">
        <f>IF(A42="","",IF('ATP Fills'!G42="LME",'ATP Fills'!I42,""))</f>
        <v/>
      </c>
      <c r="M42" t="str">
        <f t="shared" si="0"/>
        <v/>
      </c>
    </row>
    <row r="43" spans="1:13">
      <c r="A43" t="str">
        <f>IF('ATP Fills'!A43="","",IF('ATP Fills'!Q43="PHILLIPSG",'ATP Fills'!F43,""))</f>
        <v/>
      </c>
      <c r="B43" t="str">
        <f>IF(A43="","",'ATP Fills'!L43)</f>
        <v/>
      </c>
      <c r="C43" t="str">
        <f>IF(A43="","",'ATP Fills'!M43)</f>
        <v/>
      </c>
      <c r="D43" t="str">
        <f>IF(A43="","",'ATP Fills'!B43)</f>
        <v/>
      </c>
      <c r="E43" s="3" t="str">
        <f>IF(A43="","",IF(DATE(LEFT(D43,4),MID(D43,5,2),RIGHT(D43,2))=Helper1!$P$1,Helper1!$P$1,""))</f>
        <v/>
      </c>
      <c r="F43" s="3" t="str">
        <f>IF(A43="","",'ATP Fills'!G43)</f>
        <v/>
      </c>
      <c r="G43" t="str">
        <f>IF(A43="","",'ATP Fills'!H43)</f>
        <v/>
      </c>
      <c r="H43" t="str">
        <f>IF(A43="","",VLOOKUP(G43,表3_3[],2,0))</f>
        <v/>
      </c>
      <c r="I43" t="str">
        <f>IF(A43="","",VLOOKUP(G43,表3_3[],3,0))</f>
        <v/>
      </c>
      <c r="J43" t="str">
        <f>IF(A43="","",IF('ATP Fills'!I43="3M","",VLOOKUP(RIGHT('ATP Fills'!I43,2),Helper1!$O$36:$P$48,2,0)))</f>
        <v/>
      </c>
      <c r="K43" t="str">
        <f>IF(J43="","",LEFT('ATP Fills'!I43,4))</f>
        <v/>
      </c>
      <c r="L43" t="str">
        <f>IF(A43="","",IF('ATP Fills'!G43="LME",'ATP Fills'!I43,""))</f>
        <v/>
      </c>
      <c r="M43" t="str">
        <f t="shared" si="0"/>
        <v/>
      </c>
    </row>
    <row r="44" spans="1:13">
      <c r="A44" t="str">
        <f>IF('ATP Fills'!A44="","",IF('ATP Fills'!Q44="PHILLIPSG",'ATP Fills'!F44,""))</f>
        <v/>
      </c>
      <c r="B44" t="str">
        <f>IF(A44="","",'ATP Fills'!L44)</f>
        <v/>
      </c>
      <c r="C44" t="str">
        <f>IF(A44="","",'ATP Fills'!M44)</f>
        <v/>
      </c>
      <c r="D44" t="str">
        <f>IF(A44="","",'ATP Fills'!B44)</f>
        <v/>
      </c>
      <c r="E44" s="3" t="str">
        <f>IF(A44="","",IF(DATE(LEFT(D44,4),MID(D44,5,2),RIGHT(D44,2))=Helper1!$P$1,Helper1!$P$1,""))</f>
        <v/>
      </c>
      <c r="F44" s="3" t="str">
        <f>IF(A44="","",'ATP Fills'!G44)</f>
        <v/>
      </c>
      <c r="G44" t="str">
        <f>IF(A44="","",'ATP Fills'!H44)</f>
        <v/>
      </c>
      <c r="H44" t="str">
        <f>IF(A44="","",VLOOKUP(G44,表3_3[],2,0))</f>
        <v/>
      </c>
      <c r="I44" t="str">
        <f>IF(A44="","",VLOOKUP(G44,表3_3[],3,0))</f>
        <v/>
      </c>
      <c r="J44" t="str">
        <f>IF(A44="","",IF('ATP Fills'!I44="3M","",VLOOKUP(RIGHT('ATP Fills'!I44,2),Helper1!$O$36:$P$48,2,0)))</f>
        <v/>
      </c>
      <c r="K44" t="str">
        <f>IF(J44="","",LEFT('ATP Fills'!I44,4))</f>
        <v/>
      </c>
      <c r="L44" t="str">
        <f>IF(A44="","",IF('ATP Fills'!G44="LME",'ATP Fills'!I44,""))</f>
        <v/>
      </c>
      <c r="M44" t="str">
        <f t="shared" si="0"/>
        <v/>
      </c>
    </row>
    <row r="45" spans="1:13">
      <c r="A45" t="str">
        <f>IF('ATP Fills'!A45="","",IF('ATP Fills'!Q45="PHILLIPSG",'ATP Fills'!F45,""))</f>
        <v/>
      </c>
      <c r="B45" t="str">
        <f>IF(A45="","",'ATP Fills'!L45)</f>
        <v/>
      </c>
      <c r="C45" t="str">
        <f>IF(A45="","",'ATP Fills'!M45)</f>
        <v/>
      </c>
      <c r="D45" t="str">
        <f>IF(A45="","",'ATP Fills'!B45)</f>
        <v/>
      </c>
      <c r="E45" s="3" t="str">
        <f>IF(A45="","",IF(DATE(LEFT(D45,4),MID(D45,5,2),RIGHT(D45,2))=Helper1!$P$1,Helper1!$P$1,""))</f>
        <v/>
      </c>
      <c r="F45" s="3" t="str">
        <f>IF(A45="","",'ATP Fills'!G45)</f>
        <v/>
      </c>
      <c r="G45" t="str">
        <f>IF(A45="","",'ATP Fills'!H45)</f>
        <v/>
      </c>
      <c r="H45" t="str">
        <f>IF(A45="","",VLOOKUP(G45,表3_3[],2,0))</f>
        <v/>
      </c>
      <c r="I45" t="str">
        <f>IF(A45="","",VLOOKUP(G45,表3_3[],3,0))</f>
        <v/>
      </c>
      <c r="J45" t="str">
        <f>IF(A45="","",IF('ATP Fills'!I45="3M","",VLOOKUP(RIGHT('ATP Fills'!I45,2),Helper1!$O$36:$P$48,2,0)))</f>
        <v/>
      </c>
      <c r="K45" t="str">
        <f>IF(J45="","",LEFT('ATP Fills'!I45,4))</f>
        <v/>
      </c>
      <c r="L45" t="str">
        <f>IF(A45="","",IF('ATP Fills'!G45="LME",'ATP Fills'!I45,""))</f>
        <v/>
      </c>
      <c r="M45" t="str">
        <f t="shared" si="0"/>
        <v/>
      </c>
    </row>
    <row r="46" spans="1:13">
      <c r="A46" t="str">
        <f>IF('ATP Fills'!A46="","",IF('ATP Fills'!Q46="PHILLIPSG",'ATP Fills'!F46,""))</f>
        <v/>
      </c>
      <c r="B46" t="str">
        <f>IF(A46="","",'ATP Fills'!L46)</f>
        <v/>
      </c>
      <c r="C46" t="str">
        <f>IF(A46="","",'ATP Fills'!M46)</f>
        <v/>
      </c>
      <c r="D46" t="str">
        <f>IF(A46="","",'ATP Fills'!B46)</f>
        <v/>
      </c>
      <c r="E46" s="3" t="str">
        <f>IF(A46="","",IF(DATE(LEFT(D46,4),MID(D46,5,2),RIGHT(D46,2))=Helper1!$P$1,Helper1!$P$1,""))</f>
        <v/>
      </c>
      <c r="F46" s="3" t="str">
        <f>IF(A46="","",'ATP Fills'!G46)</f>
        <v/>
      </c>
      <c r="G46" t="str">
        <f>IF(A46="","",'ATP Fills'!H46)</f>
        <v/>
      </c>
      <c r="H46" t="str">
        <f>IF(A46="","",VLOOKUP(G46,表3_3[],2,0))</f>
        <v/>
      </c>
      <c r="I46" t="str">
        <f>IF(A46="","",VLOOKUP(G46,表3_3[],3,0))</f>
        <v/>
      </c>
      <c r="J46" t="str">
        <f>IF(A46="","",IF('ATP Fills'!I46="3M","",VLOOKUP(RIGHT('ATP Fills'!I46,2),Helper1!$O$36:$P$48,2,0)))</f>
        <v/>
      </c>
      <c r="K46" t="str">
        <f>IF(J46="","",LEFT('ATP Fills'!I46,4))</f>
        <v/>
      </c>
      <c r="L46" t="str">
        <f>IF(A46="","",IF('ATP Fills'!G46="LME",'ATP Fills'!I46,""))</f>
        <v/>
      </c>
      <c r="M46" t="str">
        <f t="shared" si="0"/>
        <v/>
      </c>
    </row>
    <row r="47" spans="1:13">
      <c r="A47" t="str">
        <f>IF('ATP Fills'!A47="","",IF('ATP Fills'!Q47="PHILLIPSG",'ATP Fills'!F47,""))</f>
        <v/>
      </c>
      <c r="B47" t="str">
        <f>IF(A47="","",'ATP Fills'!L47)</f>
        <v/>
      </c>
      <c r="C47" t="str">
        <f>IF(A47="","",'ATP Fills'!M47)</f>
        <v/>
      </c>
      <c r="D47" t="str">
        <f>IF(A47="","",'ATP Fills'!B47)</f>
        <v/>
      </c>
      <c r="E47" s="3" t="str">
        <f>IF(A47="","",IF(DATE(LEFT(D47,4),MID(D47,5,2),RIGHT(D47,2))=Helper1!$P$1,Helper1!$P$1,""))</f>
        <v/>
      </c>
      <c r="F47" s="3" t="str">
        <f>IF(A47="","",'ATP Fills'!G47)</f>
        <v/>
      </c>
      <c r="G47" t="str">
        <f>IF(A47="","",'ATP Fills'!H47)</f>
        <v/>
      </c>
      <c r="H47" t="str">
        <f>IF(A47="","",VLOOKUP(G47,表3_3[],2,0))</f>
        <v/>
      </c>
      <c r="I47" t="str">
        <f>IF(A47="","",VLOOKUP(G47,表3_3[],3,0))</f>
        <v/>
      </c>
      <c r="J47" t="str">
        <f>IF(A47="","",IF('ATP Fills'!I47="3M","",VLOOKUP(RIGHT('ATP Fills'!I47,2),Helper1!$O$36:$P$48,2,0)))</f>
        <v/>
      </c>
      <c r="K47" t="str">
        <f>IF(J47="","",LEFT('ATP Fills'!I47,4))</f>
        <v/>
      </c>
      <c r="L47" t="str">
        <f>IF(A47="","",IF('ATP Fills'!G47="LME",'ATP Fills'!I47,""))</f>
        <v/>
      </c>
      <c r="M47" t="str">
        <f t="shared" si="0"/>
        <v/>
      </c>
    </row>
    <row r="48" spans="1:13">
      <c r="A48" t="str">
        <f>IF('ATP Fills'!A48="","",IF('ATP Fills'!Q48="PHILLIPSG",'ATP Fills'!F48,""))</f>
        <v/>
      </c>
      <c r="B48" t="str">
        <f>IF(A48="","",'ATP Fills'!L48)</f>
        <v/>
      </c>
      <c r="C48" t="str">
        <f>IF(A48="","",'ATP Fills'!M48)</f>
        <v/>
      </c>
      <c r="D48" t="str">
        <f>IF(A48="","",'ATP Fills'!B48)</f>
        <v/>
      </c>
      <c r="E48" s="3" t="str">
        <f>IF(A48="","",IF(DATE(LEFT(D48,4),MID(D48,5,2),RIGHT(D48,2))=Helper1!$P$1,Helper1!$P$1,""))</f>
        <v/>
      </c>
      <c r="F48" s="3" t="str">
        <f>IF(A48="","",'ATP Fills'!G48)</f>
        <v/>
      </c>
      <c r="G48" t="str">
        <f>IF(A48="","",'ATP Fills'!H48)</f>
        <v/>
      </c>
      <c r="H48" t="str">
        <f>IF(A48="","",VLOOKUP(G48,表3_3[],2,0))</f>
        <v/>
      </c>
      <c r="I48" t="str">
        <f>IF(A48="","",VLOOKUP(G48,表3_3[],3,0))</f>
        <v/>
      </c>
      <c r="J48" t="str">
        <f>IF(A48="","",IF('ATP Fills'!I48="3M","",VLOOKUP(RIGHT('ATP Fills'!I48,2),Helper1!$O$36:$P$48,2,0)))</f>
        <v/>
      </c>
      <c r="K48" t="str">
        <f>IF(J48="","",LEFT('ATP Fills'!I48,4))</f>
        <v/>
      </c>
      <c r="L48" t="str">
        <f>IF(A48="","",IF('ATP Fills'!G48="LME",'ATP Fills'!I48,""))</f>
        <v/>
      </c>
      <c r="M48" t="str">
        <f t="shared" si="0"/>
        <v/>
      </c>
    </row>
    <row r="49" spans="1:13">
      <c r="A49" t="str">
        <f>IF('ATP Fills'!A49="","",IF('ATP Fills'!Q49="PHILLIPSG",'ATP Fills'!F49,""))</f>
        <v/>
      </c>
      <c r="B49" t="str">
        <f>IF(A49="","",'ATP Fills'!L49)</f>
        <v/>
      </c>
      <c r="C49" t="str">
        <f>IF(A49="","",'ATP Fills'!M49)</f>
        <v/>
      </c>
      <c r="D49" t="str">
        <f>IF(A49="","",'ATP Fills'!B49)</f>
        <v/>
      </c>
      <c r="E49" s="3" t="str">
        <f>IF(A49="","",IF(DATE(LEFT(D49,4),MID(D49,5,2),RIGHT(D49,2))=Helper1!$P$1,Helper1!$P$1,""))</f>
        <v/>
      </c>
      <c r="F49" s="3" t="str">
        <f>IF(A49="","",'ATP Fills'!G49)</f>
        <v/>
      </c>
      <c r="G49" t="str">
        <f>IF(A49="","",'ATP Fills'!H49)</f>
        <v/>
      </c>
      <c r="H49" t="str">
        <f>IF(A49="","",VLOOKUP(G49,表3_3[],2,0))</f>
        <v/>
      </c>
      <c r="I49" t="str">
        <f>IF(A49="","",VLOOKUP(G49,表3_3[],3,0))</f>
        <v/>
      </c>
      <c r="J49" t="str">
        <f>IF(A49="","",IF('ATP Fills'!I49="3M","",VLOOKUP(RIGHT('ATP Fills'!I49,2),Helper1!$O$36:$P$48,2,0)))</f>
        <v/>
      </c>
      <c r="K49" t="str">
        <f>IF(J49="","",LEFT('ATP Fills'!I49,4))</f>
        <v/>
      </c>
      <c r="L49" t="str">
        <f>IF(A49="","",IF('ATP Fills'!G49="LME",'ATP Fills'!I49,""))</f>
        <v/>
      </c>
      <c r="M49" t="str">
        <f t="shared" si="0"/>
        <v/>
      </c>
    </row>
    <row r="50" spans="1:13">
      <c r="A50" t="str">
        <f>IF('ATP Fills'!A50="","",IF('ATP Fills'!Q50="PHILLIPSG",'ATP Fills'!F50,""))</f>
        <v/>
      </c>
      <c r="B50" t="str">
        <f>IF(A50="","",'ATP Fills'!L50)</f>
        <v/>
      </c>
      <c r="C50" t="str">
        <f>IF(A50="","",'ATP Fills'!M50)</f>
        <v/>
      </c>
      <c r="D50" t="str">
        <f>IF(A50="","",'ATP Fills'!B50)</f>
        <v/>
      </c>
      <c r="E50" s="3" t="str">
        <f>IF(A50="","",IF(DATE(LEFT(D50,4),MID(D50,5,2),RIGHT(D50,2))=Helper1!$P$1,Helper1!$P$1,""))</f>
        <v/>
      </c>
      <c r="F50" s="3" t="str">
        <f>IF(A50="","",'ATP Fills'!G50)</f>
        <v/>
      </c>
      <c r="G50" t="str">
        <f>IF(A50="","",'ATP Fills'!H50)</f>
        <v/>
      </c>
      <c r="H50" t="str">
        <f>IF(A50="","",VLOOKUP(G50,表3_3[],2,0))</f>
        <v/>
      </c>
      <c r="I50" t="str">
        <f>IF(A50="","",VLOOKUP(G50,表3_3[],3,0))</f>
        <v/>
      </c>
      <c r="J50" t="str">
        <f>IF(A50="","",IF('ATP Fills'!I50="3M","",VLOOKUP(RIGHT('ATP Fills'!I50,2),Helper1!$O$36:$P$48,2,0)))</f>
        <v/>
      </c>
      <c r="K50" t="str">
        <f>IF(J50="","",LEFT('ATP Fills'!I50,4))</f>
        <v/>
      </c>
      <c r="L50" t="str">
        <f>IF(A50="","",IF('ATP Fills'!G50="LME",'ATP Fills'!I50,""))</f>
        <v/>
      </c>
      <c r="M50" t="str">
        <f t="shared" si="0"/>
        <v/>
      </c>
    </row>
    <row r="51" spans="1:13">
      <c r="A51" t="str">
        <f>IF('ATP Fills'!A51="","",IF('ATP Fills'!Q51="PHILLIPSG",'ATP Fills'!F51,""))</f>
        <v/>
      </c>
      <c r="B51" t="str">
        <f>IF(A51="","",'ATP Fills'!L51)</f>
        <v/>
      </c>
      <c r="C51" t="str">
        <f>IF(A51="","",'ATP Fills'!M51)</f>
        <v/>
      </c>
      <c r="D51" t="str">
        <f>IF(A51="","",'ATP Fills'!B51)</f>
        <v/>
      </c>
      <c r="E51" s="3" t="str">
        <f>IF(A51="","",IF(DATE(LEFT(D51,4),MID(D51,5,2),RIGHT(D51,2))=Helper1!$P$1,Helper1!$P$1,""))</f>
        <v/>
      </c>
      <c r="F51" s="3" t="str">
        <f>IF(A51="","",'ATP Fills'!G51)</f>
        <v/>
      </c>
      <c r="G51" t="str">
        <f>IF(A51="","",'ATP Fills'!H51)</f>
        <v/>
      </c>
      <c r="H51" t="str">
        <f>IF(A51="","",VLOOKUP(G51,表3_3[],2,0))</f>
        <v/>
      </c>
      <c r="I51" t="str">
        <f>IF(A51="","",VLOOKUP(G51,表3_3[],3,0))</f>
        <v/>
      </c>
      <c r="J51" t="str">
        <f>IF(A51="","",IF('ATP Fills'!I51="3M","",VLOOKUP(RIGHT('ATP Fills'!I51,2),Helper1!$O$36:$P$48,2,0)))</f>
        <v/>
      </c>
      <c r="K51" t="str">
        <f>IF(J51="","",LEFT('ATP Fills'!I51,4))</f>
        <v/>
      </c>
      <c r="L51" t="str">
        <f>IF(A51="","",IF('ATP Fills'!G51="LME",'ATP Fills'!I51,""))</f>
        <v/>
      </c>
      <c r="M51" t="str">
        <f t="shared" si="0"/>
        <v/>
      </c>
    </row>
    <row r="52" spans="1:13">
      <c r="A52" t="str">
        <f>IF('ATP Fills'!A52="","",IF('ATP Fills'!Q52="PHILLIPSG",'ATP Fills'!F52,""))</f>
        <v/>
      </c>
      <c r="B52" t="str">
        <f>IF(A52="","",'ATP Fills'!L52)</f>
        <v/>
      </c>
      <c r="C52" t="str">
        <f>IF(A52="","",'ATP Fills'!M52)</f>
        <v/>
      </c>
      <c r="D52" t="str">
        <f>IF(A52="","",'ATP Fills'!B52)</f>
        <v/>
      </c>
      <c r="E52" s="3" t="str">
        <f>IF(A52="","",IF(DATE(LEFT(D52,4),MID(D52,5,2),RIGHT(D52,2))=Helper1!$P$1,Helper1!$P$1,""))</f>
        <v/>
      </c>
      <c r="F52" s="3" t="str">
        <f>IF(A52="","",'ATP Fills'!G52)</f>
        <v/>
      </c>
      <c r="G52" t="str">
        <f>IF(A52="","",'ATP Fills'!H52)</f>
        <v/>
      </c>
      <c r="H52" t="str">
        <f>IF(A52="","",VLOOKUP(G52,表3_3[],2,0))</f>
        <v/>
      </c>
      <c r="I52" t="str">
        <f>IF(A52="","",VLOOKUP(G52,表3_3[],3,0))</f>
        <v/>
      </c>
      <c r="J52" t="str">
        <f>IF(A52="","",IF('ATP Fills'!I52="3M","",VLOOKUP(RIGHT('ATP Fills'!I52,2),Helper1!$O$36:$P$48,2,0)))</f>
        <v/>
      </c>
      <c r="K52" t="str">
        <f>IF(J52="","",LEFT('ATP Fills'!I52,4))</f>
        <v/>
      </c>
      <c r="L52" t="str">
        <f>IF(A52="","",IF('ATP Fills'!G52="LME",'ATP Fills'!I52,""))</f>
        <v/>
      </c>
      <c r="M52" t="str">
        <f t="shared" si="0"/>
        <v/>
      </c>
    </row>
    <row r="53" spans="1:13">
      <c r="A53" t="str">
        <f>IF('ATP Fills'!A53="","",IF('ATP Fills'!Q53="PHILLIPSG",'ATP Fills'!F53,""))</f>
        <v/>
      </c>
      <c r="B53" t="str">
        <f>IF(A53="","",'ATP Fills'!L53)</f>
        <v/>
      </c>
      <c r="C53" t="str">
        <f>IF(A53="","",'ATP Fills'!M53)</f>
        <v/>
      </c>
      <c r="D53" t="str">
        <f>IF(A53="","",'ATP Fills'!B53)</f>
        <v/>
      </c>
      <c r="E53" s="3" t="str">
        <f>IF(A53="","",IF(DATE(LEFT(D53,4),MID(D53,5,2),RIGHT(D53,2))=Helper1!$P$1,Helper1!$P$1,""))</f>
        <v/>
      </c>
      <c r="F53" s="3" t="str">
        <f>IF(A53="","",'ATP Fills'!G53)</f>
        <v/>
      </c>
      <c r="G53" t="str">
        <f>IF(A53="","",'ATP Fills'!H53)</f>
        <v/>
      </c>
      <c r="H53" t="str">
        <f>IF(A53="","",VLOOKUP(G53,表3_3[],2,0))</f>
        <v/>
      </c>
      <c r="I53" t="str">
        <f>IF(A53="","",VLOOKUP(G53,表3_3[],3,0))</f>
        <v/>
      </c>
      <c r="J53" t="str">
        <f>IF(A53="","",IF('ATP Fills'!I53="3M","",VLOOKUP(RIGHT('ATP Fills'!I53,2),Helper1!$O$36:$P$48,2,0)))</f>
        <v/>
      </c>
      <c r="K53" t="str">
        <f>IF(J53="","",LEFT('ATP Fills'!I53,4))</f>
        <v/>
      </c>
      <c r="L53" t="str">
        <f>IF(A53="","",IF('ATP Fills'!G53="LME",'ATP Fills'!I53,""))</f>
        <v/>
      </c>
      <c r="M53" t="str">
        <f t="shared" si="0"/>
        <v/>
      </c>
    </row>
    <row r="54" spans="1:13">
      <c r="A54" t="str">
        <f>IF('ATP Fills'!A54="","",IF('ATP Fills'!Q54="PHILLIPSG",'ATP Fills'!F54,""))</f>
        <v/>
      </c>
      <c r="B54" t="str">
        <f>IF(A54="","",'ATP Fills'!L54)</f>
        <v/>
      </c>
      <c r="C54" t="str">
        <f>IF(A54="","",'ATP Fills'!M54)</f>
        <v/>
      </c>
      <c r="D54" t="str">
        <f>IF(A54="","",'ATP Fills'!B54)</f>
        <v/>
      </c>
      <c r="E54" s="3" t="str">
        <f>IF(A54="","",IF(DATE(LEFT(D54,4),MID(D54,5,2),RIGHT(D54,2))=Helper1!$P$1,Helper1!$P$1,""))</f>
        <v/>
      </c>
      <c r="F54" s="3" t="str">
        <f>IF(A54="","",'ATP Fills'!G54)</f>
        <v/>
      </c>
      <c r="G54" t="str">
        <f>IF(A54="","",'ATP Fills'!H54)</f>
        <v/>
      </c>
      <c r="H54" t="str">
        <f>IF(A54="","",VLOOKUP(G54,表3_3[],2,0))</f>
        <v/>
      </c>
      <c r="I54" t="str">
        <f>IF(A54="","",VLOOKUP(G54,表3_3[],3,0))</f>
        <v/>
      </c>
      <c r="J54" t="str">
        <f>IF(A54="","",IF('ATP Fills'!I54="3M","",VLOOKUP(RIGHT('ATP Fills'!I54,2),Helper1!$O$36:$P$48,2,0)))</f>
        <v/>
      </c>
      <c r="K54" t="str">
        <f>IF(J54="","",LEFT('ATP Fills'!I54,4))</f>
        <v/>
      </c>
      <c r="L54" t="str">
        <f>IF(A54="","",IF('ATP Fills'!G54="LME",'ATP Fills'!I54,""))</f>
        <v/>
      </c>
      <c r="M54" t="str">
        <f t="shared" si="0"/>
        <v/>
      </c>
    </row>
    <row r="55" spans="1:13">
      <c r="A55" t="str">
        <f>IF('ATP Fills'!A55="","",IF('ATP Fills'!Q55="PHILLIPSG",'ATP Fills'!F55,""))</f>
        <v/>
      </c>
      <c r="B55" t="str">
        <f>IF(A55="","",'ATP Fills'!L55)</f>
        <v/>
      </c>
      <c r="C55" t="str">
        <f>IF(A55="","",'ATP Fills'!M55)</f>
        <v/>
      </c>
      <c r="D55" t="str">
        <f>IF(A55="","",'ATP Fills'!B55)</f>
        <v/>
      </c>
      <c r="E55" s="3" t="str">
        <f>IF(A55="","",IF(DATE(LEFT(D55,4),MID(D55,5,2),RIGHT(D55,2))=Helper1!$P$1,Helper1!$P$1,""))</f>
        <v/>
      </c>
      <c r="F55" s="3" t="str">
        <f>IF(A55="","",'ATP Fills'!G55)</f>
        <v/>
      </c>
      <c r="G55" t="str">
        <f>IF(A55="","",'ATP Fills'!H55)</f>
        <v/>
      </c>
      <c r="H55" t="str">
        <f>IF(A55="","",VLOOKUP(G55,表3_3[],2,0))</f>
        <v/>
      </c>
      <c r="I55" t="str">
        <f>IF(A55="","",VLOOKUP(G55,表3_3[],3,0))</f>
        <v/>
      </c>
      <c r="J55" t="str">
        <f>IF(A55="","",IF('ATP Fills'!I55="3M","",VLOOKUP(RIGHT('ATP Fills'!I55,2),Helper1!$O$36:$P$48,2,0)))</f>
        <v/>
      </c>
      <c r="K55" t="str">
        <f>IF(J55="","",LEFT('ATP Fills'!I55,4))</f>
        <v/>
      </c>
      <c r="L55" t="str">
        <f>IF(A55="","",IF('ATP Fills'!G55="LME",'ATP Fills'!I55,""))</f>
        <v/>
      </c>
      <c r="M55" t="str">
        <f t="shared" si="0"/>
        <v/>
      </c>
    </row>
    <row r="56" spans="1:13">
      <c r="A56" t="str">
        <f>IF('ATP Fills'!A56="","",IF('ATP Fills'!Q56="PHILLIPSG",'ATP Fills'!F56,""))</f>
        <v/>
      </c>
      <c r="B56" t="str">
        <f>IF(A56="","",'ATP Fills'!L56)</f>
        <v/>
      </c>
      <c r="C56" t="str">
        <f>IF(A56="","",'ATP Fills'!M56)</f>
        <v/>
      </c>
      <c r="D56" t="str">
        <f>IF(A56="","",'ATP Fills'!B56)</f>
        <v/>
      </c>
      <c r="E56" s="3" t="str">
        <f>IF(A56="","",IF(DATE(LEFT(D56,4),MID(D56,5,2),RIGHT(D56,2))=Helper1!$P$1,Helper1!$P$1,""))</f>
        <v/>
      </c>
      <c r="F56" s="3" t="str">
        <f>IF(A56="","",'ATP Fills'!G56)</f>
        <v/>
      </c>
      <c r="G56" t="str">
        <f>IF(A56="","",'ATP Fills'!H56)</f>
        <v/>
      </c>
      <c r="H56" t="str">
        <f>IF(A56="","",VLOOKUP(G56,表3_3[],2,0))</f>
        <v/>
      </c>
      <c r="I56" t="str">
        <f>IF(A56="","",VLOOKUP(G56,表3_3[],3,0))</f>
        <v/>
      </c>
      <c r="J56" t="str">
        <f>IF(A56="","",IF('ATP Fills'!I56="3M","",VLOOKUP(RIGHT('ATP Fills'!I56,2),Helper1!$O$36:$P$48,2,0)))</f>
        <v/>
      </c>
      <c r="K56" t="str">
        <f>IF(J56="","",LEFT('ATP Fills'!I56,4))</f>
        <v/>
      </c>
      <c r="L56" t="str">
        <f>IF(A56="","",IF('ATP Fills'!G56="LME",'ATP Fills'!I56,""))</f>
        <v/>
      </c>
      <c r="M56" t="str">
        <f t="shared" si="0"/>
        <v/>
      </c>
    </row>
    <row r="57" spans="1:13">
      <c r="A57" t="str">
        <f>IF('ATP Fills'!A57="","",IF('ATP Fills'!Q57="PHILLIPSG",'ATP Fills'!F57,""))</f>
        <v/>
      </c>
      <c r="B57" t="str">
        <f>IF(A57="","",'ATP Fills'!L57)</f>
        <v/>
      </c>
      <c r="C57" t="str">
        <f>IF(A57="","",'ATP Fills'!M57)</f>
        <v/>
      </c>
      <c r="D57" t="str">
        <f>IF(A57="","",'ATP Fills'!B57)</f>
        <v/>
      </c>
      <c r="E57" s="3" t="str">
        <f>IF(A57="","",IF(DATE(LEFT(D57,4),MID(D57,5,2),RIGHT(D57,2))=Helper1!$P$1,Helper1!$P$1,""))</f>
        <v/>
      </c>
      <c r="F57" s="3" t="str">
        <f>IF(A57="","",'ATP Fills'!G57)</f>
        <v/>
      </c>
      <c r="G57" t="str">
        <f>IF(A57="","",'ATP Fills'!H57)</f>
        <v/>
      </c>
      <c r="H57" t="str">
        <f>IF(A57="","",VLOOKUP(G57,表3_3[],2,0))</f>
        <v/>
      </c>
      <c r="I57" t="str">
        <f>IF(A57="","",VLOOKUP(G57,表3_3[],3,0))</f>
        <v/>
      </c>
      <c r="J57" t="str">
        <f>IF(A57="","",IF('ATP Fills'!I57="3M","",VLOOKUP(RIGHT('ATP Fills'!I57,2),Helper1!$O$36:$P$48,2,0)))</f>
        <v/>
      </c>
      <c r="K57" t="str">
        <f>IF(J57="","",LEFT('ATP Fills'!I57,4))</f>
        <v/>
      </c>
      <c r="L57" t="str">
        <f>IF(A57="","",IF('ATP Fills'!G57="LME",'ATP Fills'!I57,""))</f>
        <v/>
      </c>
      <c r="M57" t="str">
        <f t="shared" si="0"/>
        <v/>
      </c>
    </row>
    <row r="58" spans="1:13">
      <c r="A58" t="str">
        <f>IF('ATP Fills'!A58="","",IF('ATP Fills'!Q58="PHILLIPSG",'ATP Fills'!F58,""))</f>
        <v/>
      </c>
      <c r="B58" t="str">
        <f>IF(A58="","",'ATP Fills'!L58)</f>
        <v/>
      </c>
      <c r="C58" t="str">
        <f>IF(A58="","",'ATP Fills'!M58)</f>
        <v/>
      </c>
      <c r="D58" t="str">
        <f>IF(A58="","",'ATP Fills'!B58)</f>
        <v/>
      </c>
      <c r="E58" s="3" t="str">
        <f>IF(A58="","",IF(DATE(LEFT(D58,4),MID(D58,5,2),RIGHT(D58,2))=Helper1!$P$1,Helper1!$P$1,""))</f>
        <v/>
      </c>
      <c r="F58" s="3" t="str">
        <f>IF(A58="","",'ATP Fills'!G58)</f>
        <v/>
      </c>
      <c r="G58" t="str">
        <f>IF(A58="","",'ATP Fills'!H58)</f>
        <v/>
      </c>
      <c r="H58" t="str">
        <f>IF(A58="","",VLOOKUP(G58,表3_3[],2,0))</f>
        <v/>
      </c>
      <c r="I58" t="str">
        <f>IF(A58="","",VLOOKUP(G58,表3_3[],3,0))</f>
        <v/>
      </c>
      <c r="J58" t="str">
        <f>IF(A58="","",IF('ATP Fills'!I58="3M","",VLOOKUP(RIGHT('ATP Fills'!I58,2),Helper1!$O$36:$P$48,2,0)))</f>
        <v/>
      </c>
      <c r="K58" t="str">
        <f>IF(J58="","",LEFT('ATP Fills'!I58,4))</f>
        <v/>
      </c>
      <c r="L58" t="str">
        <f>IF(A58="","",IF('ATP Fills'!G58="LME",'ATP Fills'!I58,""))</f>
        <v/>
      </c>
      <c r="M58" t="str">
        <f t="shared" si="0"/>
        <v/>
      </c>
    </row>
    <row r="59" spans="1:13">
      <c r="A59" t="str">
        <f>IF('ATP Fills'!A59="","",IF('ATP Fills'!Q59="PHILLIPSG",'ATP Fills'!F59,""))</f>
        <v/>
      </c>
      <c r="B59" t="str">
        <f>IF(A59="","",'ATP Fills'!L59)</f>
        <v/>
      </c>
      <c r="C59" t="str">
        <f>IF(A59="","",'ATP Fills'!M59)</f>
        <v/>
      </c>
      <c r="D59" t="str">
        <f>IF(A59="","",'ATP Fills'!B59)</f>
        <v/>
      </c>
      <c r="E59" s="3" t="str">
        <f>IF(A59="","",IF(DATE(LEFT(D59,4),MID(D59,5,2),RIGHT(D59,2))=Helper1!$P$1,Helper1!$P$1,""))</f>
        <v/>
      </c>
      <c r="F59" s="3" t="str">
        <f>IF(A59="","",'ATP Fills'!G59)</f>
        <v/>
      </c>
      <c r="G59" t="str">
        <f>IF(A59="","",'ATP Fills'!H59)</f>
        <v/>
      </c>
      <c r="H59" t="str">
        <f>IF(A59="","",VLOOKUP(G59,表3_3[],2,0))</f>
        <v/>
      </c>
      <c r="I59" t="str">
        <f>IF(A59="","",VLOOKUP(G59,表3_3[],3,0))</f>
        <v/>
      </c>
      <c r="J59" t="str">
        <f>IF(A59="","",IF('ATP Fills'!I59="3M","",VLOOKUP(RIGHT('ATP Fills'!I59,2),Helper1!$O$36:$P$48,2,0)))</f>
        <v/>
      </c>
      <c r="K59" t="str">
        <f>IF(J59="","",LEFT('ATP Fills'!I59,4))</f>
        <v/>
      </c>
      <c r="L59" t="str">
        <f>IF(A59="","",IF('ATP Fills'!G59="LME",'ATP Fills'!I59,""))</f>
        <v/>
      </c>
      <c r="M59" t="str">
        <f t="shared" si="0"/>
        <v/>
      </c>
    </row>
    <row r="60" spans="1:13">
      <c r="A60" t="str">
        <f>IF('ATP Fills'!A60="","",IF('ATP Fills'!Q60="PHILLIPSG",'ATP Fills'!F60,""))</f>
        <v/>
      </c>
      <c r="B60" t="str">
        <f>IF(A60="","",'ATP Fills'!L60)</f>
        <v/>
      </c>
      <c r="C60" t="str">
        <f>IF(A60="","",'ATP Fills'!M60)</f>
        <v/>
      </c>
      <c r="D60" t="str">
        <f>IF(A60="","",'ATP Fills'!B60)</f>
        <v/>
      </c>
      <c r="E60" s="3" t="str">
        <f>IF(A60="","",IF(DATE(LEFT(D60,4),MID(D60,5,2),RIGHT(D60,2))=Helper1!$P$1,Helper1!$P$1,""))</f>
        <v/>
      </c>
      <c r="F60" s="3" t="str">
        <f>IF(A60="","",'ATP Fills'!G60)</f>
        <v/>
      </c>
      <c r="G60" t="str">
        <f>IF(A60="","",'ATP Fills'!H60)</f>
        <v/>
      </c>
      <c r="H60" t="str">
        <f>IF(A60="","",VLOOKUP(G60,表3_3[],2,0))</f>
        <v/>
      </c>
      <c r="I60" t="str">
        <f>IF(A60="","",VLOOKUP(G60,表3_3[],3,0))</f>
        <v/>
      </c>
      <c r="J60" t="str">
        <f>IF(A60="","",IF('ATP Fills'!I60="3M","",VLOOKUP(RIGHT('ATP Fills'!I60,2),Helper1!$O$36:$P$48,2,0)))</f>
        <v/>
      </c>
      <c r="K60" t="str">
        <f>IF(J60="","",LEFT('ATP Fills'!I60,4))</f>
        <v/>
      </c>
      <c r="L60" t="str">
        <f>IF(A60="","",IF('ATP Fills'!G60="LME",'ATP Fills'!I60,""))</f>
        <v/>
      </c>
      <c r="M60" t="str">
        <f t="shared" si="0"/>
        <v/>
      </c>
    </row>
    <row r="61" spans="1:13">
      <c r="A61" t="str">
        <f>IF('ATP Fills'!A61="","",IF('ATP Fills'!Q61="PHILLIPSG",'ATP Fills'!F61,""))</f>
        <v/>
      </c>
      <c r="B61" t="str">
        <f>IF(A61="","",'ATP Fills'!L61)</f>
        <v/>
      </c>
      <c r="C61" t="str">
        <f>IF(A61="","",'ATP Fills'!M61)</f>
        <v/>
      </c>
      <c r="D61" t="str">
        <f>IF(A61="","",'ATP Fills'!B61)</f>
        <v/>
      </c>
      <c r="E61" s="3" t="str">
        <f>IF(A61="","",IF(DATE(LEFT(D61,4),MID(D61,5,2),RIGHT(D61,2))=Helper1!$P$1,Helper1!$P$1,""))</f>
        <v/>
      </c>
      <c r="F61" s="3" t="str">
        <f>IF(A61="","",'ATP Fills'!G61)</f>
        <v/>
      </c>
      <c r="G61" t="str">
        <f>IF(A61="","",'ATP Fills'!H61)</f>
        <v/>
      </c>
      <c r="H61" t="str">
        <f>IF(A61="","",VLOOKUP(G61,表3_3[],2,0))</f>
        <v/>
      </c>
      <c r="I61" t="str">
        <f>IF(A61="","",VLOOKUP(G61,表3_3[],3,0))</f>
        <v/>
      </c>
      <c r="J61" t="str">
        <f>IF(A61="","",IF('ATP Fills'!I61="3M","",VLOOKUP(RIGHT('ATP Fills'!I61,2),Helper1!$O$36:$P$48,2,0)))</f>
        <v/>
      </c>
      <c r="K61" t="str">
        <f>IF(J61="","",LEFT('ATP Fills'!I61,4))</f>
        <v/>
      </c>
      <c r="L61" t="str">
        <f>IF(A61="","",IF('ATP Fills'!G61="LME",'ATP Fills'!I61,""))</f>
        <v/>
      </c>
      <c r="M61" t="str">
        <f t="shared" si="0"/>
        <v/>
      </c>
    </row>
    <row r="62" spans="1:13">
      <c r="A62" t="str">
        <f>IF('ATP Fills'!A62="","",IF('ATP Fills'!Q62="PHILLIPSG",'ATP Fills'!F62,""))</f>
        <v/>
      </c>
      <c r="B62" t="str">
        <f>IF(A62="","",'ATP Fills'!L62)</f>
        <v/>
      </c>
      <c r="C62" t="str">
        <f>IF(A62="","",'ATP Fills'!M62)</f>
        <v/>
      </c>
      <c r="D62" t="str">
        <f>IF(A62="","",'ATP Fills'!B62)</f>
        <v/>
      </c>
      <c r="E62" s="3" t="str">
        <f>IF(A62="","",IF(DATE(LEFT(D62,4),MID(D62,5,2),RIGHT(D62,2))=Helper1!$P$1,Helper1!$P$1,""))</f>
        <v/>
      </c>
      <c r="F62" s="3" t="str">
        <f>IF(A62="","",'ATP Fills'!G62)</f>
        <v/>
      </c>
      <c r="G62" t="str">
        <f>IF(A62="","",'ATP Fills'!H62)</f>
        <v/>
      </c>
      <c r="H62" t="str">
        <f>IF(A62="","",VLOOKUP(G62,表3_3[],2,0))</f>
        <v/>
      </c>
      <c r="I62" t="str">
        <f>IF(A62="","",VLOOKUP(G62,表3_3[],3,0))</f>
        <v/>
      </c>
      <c r="J62" t="str">
        <f>IF(A62="","",IF('ATP Fills'!I62="3M","",VLOOKUP(RIGHT('ATP Fills'!I62,2),Helper1!$O$36:$P$48,2,0)))</f>
        <v/>
      </c>
      <c r="K62" t="str">
        <f>IF(J62="","",LEFT('ATP Fills'!I62,4))</f>
        <v/>
      </c>
      <c r="L62" t="str">
        <f>IF(A62="","",IF('ATP Fills'!G62="LME",'ATP Fills'!I62,""))</f>
        <v/>
      </c>
      <c r="M62" t="str">
        <f t="shared" si="0"/>
        <v/>
      </c>
    </row>
    <row r="63" spans="1:13">
      <c r="A63" t="str">
        <f>IF('ATP Fills'!A63="","",IF('ATP Fills'!Q63="PHILLIPSG",'ATP Fills'!F63,""))</f>
        <v/>
      </c>
      <c r="B63" t="str">
        <f>IF(A63="","",'ATP Fills'!L63)</f>
        <v/>
      </c>
      <c r="C63" t="str">
        <f>IF(A63="","",'ATP Fills'!M63)</f>
        <v/>
      </c>
      <c r="D63" t="str">
        <f>IF(A63="","",'ATP Fills'!B63)</f>
        <v/>
      </c>
      <c r="E63" s="3" t="str">
        <f>IF(A63="","",IF(DATE(LEFT(D63,4),MID(D63,5,2),RIGHT(D63,2))=Helper1!$P$1,Helper1!$P$1,""))</f>
        <v/>
      </c>
      <c r="F63" s="3" t="str">
        <f>IF(A63="","",'ATP Fills'!G63)</f>
        <v/>
      </c>
      <c r="G63" t="str">
        <f>IF(A63="","",'ATP Fills'!H63)</f>
        <v/>
      </c>
      <c r="H63" t="str">
        <f>IF(A63="","",VLOOKUP(G63,表3_3[],2,0))</f>
        <v/>
      </c>
      <c r="I63" t="str">
        <f>IF(A63="","",VLOOKUP(G63,表3_3[],3,0))</f>
        <v/>
      </c>
      <c r="J63" t="str">
        <f>IF(A63="","",IF('ATP Fills'!I63="3M","",VLOOKUP(RIGHT('ATP Fills'!I63,2),Helper1!$O$36:$P$48,2,0)))</f>
        <v/>
      </c>
      <c r="K63" t="str">
        <f>IF(J63="","",LEFT('ATP Fills'!I63,4))</f>
        <v/>
      </c>
      <c r="L63" t="str">
        <f>IF(A63="","",IF('ATP Fills'!G63="LME",'ATP Fills'!I63,""))</f>
        <v/>
      </c>
      <c r="M63" t="str">
        <f t="shared" si="0"/>
        <v/>
      </c>
    </row>
    <row r="64" spans="1:13">
      <c r="A64" t="str">
        <f>IF('ATP Fills'!A64="","",IF('ATP Fills'!Q64="PHILLIPSG",'ATP Fills'!F64,""))</f>
        <v/>
      </c>
      <c r="B64" t="str">
        <f>IF(A64="","",'ATP Fills'!L64)</f>
        <v/>
      </c>
      <c r="C64" t="str">
        <f>IF(A64="","",'ATP Fills'!M64)</f>
        <v/>
      </c>
      <c r="D64" t="str">
        <f>IF(A64="","",'ATP Fills'!B64)</f>
        <v/>
      </c>
      <c r="E64" s="3" t="str">
        <f>IF(A64="","",IF(DATE(LEFT(D64,4),MID(D64,5,2),RIGHT(D64,2))=Helper1!$P$1,Helper1!$P$1,""))</f>
        <v/>
      </c>
      <c r="F64" s="3" t="str">
        <f>IF(A64="","",'ATP Fills'!G64)</f>
        <v/>
      </c>
      <c r="G64" t="str">
        <f>IF(A64="","",'ATP Fills'!H64)</f>
        <v/>
      </c>
      <c r="H64" t="str">
        <f>IF(A64="","",VLOOKUP(G64,表3_3[],2,0))</f>
        <v/>
      </c>
      <c r="I64" t="str">
        <f>IF(A64="","",VLOOKUP(G64,表3_3[],3,0))</f>
        <v/>
      </c>
      <c r="J64" t="str">
        <f>IF(A64="","",IF('ATP Fills'!I64="3M","",VLOOKUP(RIGHT('ATP Fills'!I64,2),Helper1!$O$36:$P$48,2,0)))</f>
        <v/>
      </c>
      <c r="K64" t="str">
        <f>IF(J64="","",LEFT('ATP Fills'!I64,4))</f>
        <v/>
      </c>
      <c r="L64" t="str">
        <f>IF(A64="","",IF('ATP Fills'!G64="LME",'ATP Fills'!I64,""))</f>
        <v/>
      </c>
      <c r="M64" t="str">
        <f t="shared" si="0"/>
        <v/>
      </c>
    </row>
    <row r="65" spans="1:13">
      <c r="A65" t="str">
        <f>IF('ATP Fills'!A65="","",IF('ATP Fills'!Q65="PHILLIPSG",'ATP Fills'!F65,""))</f>
        <v/>
      </c>
      <c r="B65" t="str">
        <f>IF(A65="","",'ATP Fills'!L65)</f>
        <v/>
      </c>
      <c r="C65" t="str">
        <f>IF(A65="","",'ATP Fills'!M65)</f>
        <v/>
      </c>
      <c r="D65" t="str">
        <f>IF(A65="","",'ATP Fills'!B65)</f>
        <v/>
      </c>
      <c r="E65" s="3" t="str">
        <f>IF(A65="","",IF(DATE(LEFT(D65,4),MID(D65,5,2),RIGHT(D65,2))=Helper1!$P$1,Helper1!$P$1,""))</f>
        <v/>
      </c>
      <c r="F65" s="3" t="str">
        <f>IF(A65="","",'ATP Fills'!G65)</f>
        <v/>
      </c>
      <c r="G65" t="str">
        <f>IF(A65="","",'ATP Fills'!H65)</f>
        <v/>
      </c>
      <c r="H65" t="str">
        <f>IF(A65="","",VLOOKUP(G65,表3_3[],2,0))</f>
        <v/>
      </c>
      <c r="I65" t="str">
        <f>IF(A65="","",VLOOKUP(G65,表3_3[],3,0))</f>
        <v/>
      </c>
      <c r="J65" t="str">
        <f>IF(A65="","",IF('ATP Fills'!I65="3M","",VLOOKUP(RIGHT('ATP Fills'!I65,2),Helper1!$O$36:$P$48,2,0)))</f>
        <v/>
      </c>
      <c r="K65" t="str">
        <f>IF(J65="","",LEFT('ATP Fills'!I65,4))</f>
        <v/>
      </c>
      <c r="L65" t="str">
        <f>IF(A65="","",IF('ATP Fills'!G65="LME",'ATP Fills'!I65,""))</f>
        <v/>
      </c>
      <c r="M65" t="str">
        <f t="shared" si="0"/>
        <v/>
      </c>
    </row>
    <row r="66" spans="1:13">
      <c r="A66" t="str">
        <f>IF('ATP Fills'!A66="","",IF('ATP Fills'!Q66="PHILLIPSG",'ATP Fills'!F66,""))</f>
        <v/>
      </c>
      <c r="B66" t="str">
        <f>IF(A66="","",'ATP Fills'!L66)</f>
        <v/>
      </c>
      <c r="C66" t="str">
        <f>IF(A66="","",'ATP Fills'!M66)</f>
        <v/>
      </c>
      <c r="D66" t="str">
        <f>IF(A66="","",'ATP Fills'!B66)</f>
        <v/>
      </c>
      <c r="E66" s="3" t="str">
        <f>IF(A66="","",IF(DATE(LEFT(D66,4),MID(D66,5,2),RIGHT(D66,2))=Helper1!$P$1,Helper1!$P$1,""))</f>
        <v/>
      </c>
      <c r="F66" s="3" t="str">
        <f>IF(A66="","",'ATP Fills'!G66)</f>
        <v/>
      </c>
      <c r="G66" t="str">
        <f>IF(A66="","",'ATP Fills'!H66)</f>
        <v/>
      </c>
      <c r="H66" t="str">
        <f>IF(A66="","",VLOOKUP(G66,表3_3[],2,0))</f>
        <v/>
      </c>
      <c r="I66" t="str">
        <f>IF(A66="","",VLOOKUP(G66,表3_3[],3,0))</f>
        <v/>
      </c>
      <c r="J66" t="str">
        <f>IF(A66="","",IF('ATP Fills'!I66="3M","",VLOOKUP(RIGHT('ATP Fills'!I66,2),Helper1!$O$36:$P$48,2,0)))</f>
        <v/>
      </c>
      <c r="K66" t="str">
        <f>IF(J66="","",LEFT('ATP Fills'!I66,4))</f>
        <v/>
      </c>
      <c r="L66" t="str">
        <f>IF(A66="","",IF('ATP Fills'!G66="LME",'ATP Fills'!I66,""))</f>
        <v/>
      </c>
      <c r="M66" t="str">
        <f t="shared" si="0"/>
        <v/>
      </c>
    </row>
    <row r="67" spans="1:13">
      <c r="A67" t="str">
        <f>IF('ATP Fills'!A67="","",IF('ATP Fills'!Q67="PHILLIPSG",'ATP Fills'!F67,""))</f>
        <v/>
      </c>
      <c r="B67" t="str">
        <f>IF(A67="","",'ATP Fills'!L67)</f>
        <v/>
      </c>
      <c r="C67" t="str">
        <f>IF(A67="","",'ATP Fills'!M67)</f>
        <v/>
      </c>
      <c r="D67" t="str">
        <f>IF(A67="","",'ATP Fills'!B67)</f>
        <v/>
      </c>
      <c r="E67" s="3" t="str">
        <f>IF(A67="","",IF(DATE(LEFT(D67,4),MID(D67,5,2),RIGHT(D67,2))=Helper1!$P$1,Helper1!$P$1,""))</f>
        <v/>
      </c>
      <c r="F67" s="3" t="str">
        <f>IF(A67="","",'ATP Fills'!G67)</f>
        <v/>
      </c>
      <c r="G67" t="str">
        <f>IF(A67="","",'ATP Fills'!H67)</f>
        <v/>
      </c>
      <c r="H67" t="str">
        <f>IF(A67="","",VLOOKUP(G67,表3_3[],2,0))</f>
        <v/>
      </c>
      <c r="I67" t="str">
        <f>IF(A67="","",VLOOKUP(G67,表3_3[],3,0))</f>
        <v/>
      </c>
      <c r="J67" t="str">
        <f>IF(A67="","",IF('ATP Fills'!I67="3M","",VLOOKUP(RIGHT('ATP Fills'!I67,2),Helper1!$O$36:$P$48,2,0)))</f>
        <v/>
      </c>
      <c r="K67" t="str">
        <f>IF(J67="","",LEFT('ATP Fills'!I67,4))</f>
        <v/>
      </c>
      <c r="L67" t="str">
        <f>IF(A67="","",IF('ATP Fills'!G67="LME",'ATP Fills'!I67,""))</f>
        <v/>
      </c>
      <c r="M67" t="str">
        <f t="shared" ref="M67:M130" si="1">IF(A67="","",IF(F67="LME",F67&amp;"-"&amp;I67&amp;"-"&amp;L67,J67&amp;"-"&amp;K67&amp;"-"&amp;I67))</f>
        <v/>
      </c>
    </row>
    <row r="68" spans="1:13">
      <c r="A68" t="str">
        <f>IF('ATP Fills'!A68="","",IF('ATP Fills'!Q68="PHILLIPSG",'ATP Fills'!F68,""))</f>
        <v/>
      </c>
      <c r="B68" t="str">
        <f>IF(A68="","",'ATP Fills'!L68)</f>
        <v/>
      </c>
      <c r="C68" t="str">
        <f>IF(A68="","",'ATP Fills'!M68)</f>
        <v/>
      </c>
      <c r="D68" t="str">
        <f>IF(A68="","",'ATP Fills'!B68)</f>
        <v/>
      </c>
      <c r="E68" s="3" t="str">
        <f>IF(A68="","",IF(DATE(LEFT(D68,4),MID(D68,5,2),RIGHT(D68,2))=Helper1!$P$1,Helper1!$P$1,""))</f>
        <v/>
      </c>
      <c r="F68" s="3" t="str">
        <f>IF(A68="","",'ATP Fills'!G68)</f>
        <v/>
      </c>
      <c r="G68" t="str">
        <f>IF(A68="","",'ATP Fills'!H68)</f>
        <v/>
      </c>
      <c r="H68" t="str">
        <f>IF(A68="","",VLOOKUP(G68,表3_3[],2,0))</f>
        <v/>
      </c>
      <c r="I68" t="str">
        <f>IF(A68="","",VLOOKUP(G68,表3_3[],3,0))</f>
        <v/>
      </c>
      <c r="J68" t="str">
        <f>IF(A68="","",IF('ATP Fills'!I68="3M","",VLOOKUP(RIGHT('ATP Fills'!I68,2),Helper1!$O$36:$P$48,2,0)))</f>
        <v/>
      </c>
      <c r="K68" t="str">
        <f>IF(J68="","",LEFT('ATP Fills'!I68,4))</f>
        <v/>
      </c>
      <c r="L68" t="str">
        <f>IF(A68="","",IF('ATP Fills'!G68="LME",'ATP Fills'!I68,""))</f>
        <v/>
      </c>
      <c r="M68" t="str">
        <f t="shared" si="1"/>
        <v/>
      </c>
    </row>
    <row r="69" spans="1:13">
      <c r="A69" t="str">
        <f>IF('ATP Fills'!A69="","",IF('ATP Fills'!Q69="PHILLIPSG",'ATP Fills'!F69,""))</f>
        <v/>
      </c>
      <c r="B69" t="str">
        <f>IF(A69="","",'ATP Fills'!L69)</f>
        <v/>
      </c>
      <c r="C69" t="str">
        <f>IF(A69="","",'ATP Fills'!M69)</f>
        <v/>
      </c>
      <c r="D69" t="str">
        <f>IF(A69="","",'ATP Fills'!B69)</f>
        <v/>
      </c>
      <c r="E69" s="3" t="str">
        <f>IF(A69="","",IF(DATE(LEFT(D69,4),MID(D69,5,2),RIGHT(D69,2))=Helper1!$P$1,Helper1!$P$1,""))</f>
        <v/>
      </c>
      <c r="F69" s="3" t="str">
        <f>IF(A69="","",'ATP Fills'!G69)</f>
        <v/>
      </c>
      <c r="G69" t="str">
        <f>IF(A69="","",'ATP Fills'!H69)</f>
        <v/>
      </c>
      <c r="H69" t="str">
        <f>IF(A69="","",VLOOKUP(G69,表3_3[],2,0))</f>
        <v/>
      </c>
      <c r="I69" t="str">
        <f>IF(A69="","",VLOOKUP(G69,表3_3[],3,0))</f>
        <v/>
      </c>
      <c r="J69" t="str">
        <f>IF(A69="","",IF('ATP Fills'!I69="3M","",VLOOKUP(RIGHT('ATP Fills'!I69,2),Helper1!$O$36:$P$48,2,0)))</f>
        <v/>
      </c>
      <c r="K69" t="str">
        <f>IF(J69="","",LEFT('ATP Fills'!I69,4))</f>
        <v/>
      </c>
      <c r="L69" t="str">
        <f>IF(A69="","",IF('ATP Fills'!G69="LME",'ATP Fills'!I69,""))</f>
        <v/>
      </c>
      <c r="M69" t="str">
        <f t="shared" si="1"/>
        <v/>
      </c>
    </row>
    <row r="70" spans="1:13">
      <c r="A70" t="str">
        <f>IF('ATP Fills'!A70="","",IF('ATP Fills'!Q70="PHILLIPSG",'ATP Fills'!F70,""))</f>
        <v/>
      </c>
      <c r="B70" t="str">
        <f>IF(A70="","",'ATP Fills'!L70)</f>
        <v/>
      </c>
      <c r="C70" t="str">
        <f>IF(A70="","",'ATP Fills'!M70)</f>
        <v/>
      </c>
      <c r="D70" t="str">
        <f>IF(A70="","",'ATP Fills'!B70)</f>
        <v/>
      </c>
      <c r="E70" s="3" t="str">
        <f>IF(A70="","",IF(DATE(LEFT(D70,4),MID(D70,5,2),RIGHT(D70,2))=Helper1!$P$1,Helper1!$P$1,""))</f>
        <v/>
      </c>
      <c r="F70" s="3" t="str">
        <f>IF(A70="","",'ATP Fills'!G70)</f>
        <v/>
      </c>
      <c r="G70" t="str">
        <f>IF(A70="","",'ATP Fills'!H70)</f>
        <v/>
      </c>
      <c r="H70" t="str">
        <f>IF(A70="","",VLOOKUP(G70,表3_3[],2,0))</f>
        <v/>
      </c>
      <c r="I70" t="str">
        <f>IF(A70="","",VLOOKUP(G70,表3_3[],3,0))</f>
        <v/>
      </c>
      <c r="J70" t="str">
        <f>IF(A70="","",IF('ATP Fills'!I70="3M","",VLOOKUP(RIGHT('ATP Fills'!I70,2),Helper1!$O$36:$P$48,2,0)))</f>
        <v/>
      </c>
      <c r="K70" t="str">
        <f>IF(J70="","",LEFT('ATP Fills'!I70,4))</f>
        <v/>
      </c>
      <c r="L70" t="str">
        <f>IF(A70="","",IF('ATP Fills'!G70="LME",'ATP Fills'!I70,""))</f>
        <v/>
      </c>
      <c r="M70" t="str">
        <f t="shared" si="1"/>
        <v/>
      </c>
    </row>
    <row r="71" spans="1:13">
      <c r="A71" t="str">
        <f>IF('ATP Fills'!A71="","",IF('ATP Fills'!Q71="PHILLIPSG",'ATP Fills'!F71,""))</f>
        <v/>
      </c>
      <c r="B71" t="str">
        <f>IF(A71="","",'ATP Fills'!L71)</f>
        <v/>
      </c>
      <c r="C71" t="str">
        <f>IF(A71="","",'ATP Fills'!M71)</f>
        <v/>
      </c>
      <c r="D71" t="str">
        <f>IF(A71="","",'ATP Fills'!B71)</f>
        <v/>
      </c>
      <c r="E71" s="3" t="str">
        <f>IF(A71="","",IF(DATE(LEFT(D71,4),MID(D71,5,2),RIGHT(D71,2))=Helper1!$P$1,Helper1!$P$1,""))</f>
        <v/>
      </c>
      <c r="F71" s="3" t="str">
        <f>IF(A71="","",'ATP Fills'!G71)</f>
        <v/>
      </c>
      <c r="G71" t="str">
        <f>IF(A71="","",'ATP Fills'!H71)</f>
        <v/>
      </c>
      <c r="H71" t="str">
        <f>IF(A71="","",VLOOKUP(G71,表3_3[],2,0))</f>
        <v/>
      </c>
      <c r="I71" t="str">
        <f>IF(A71="","",VLOOKUP(G71,表3_3[],3,0))</f>
        <v/>
      </c>
      <c r="J71" t="str">
        <f>IF(A71="","",IF('ATP Fills'!I71="3M","",VLOOKUP(RIGHT('ATP Fills'!I71,2),Helper1!$O$36:$P$48,2,0)))</f>
        <v/>
      </c>
      <c r="K71" t="str">
        <f>IF(J71="","",LEFT('ATP Fills'!I71,4))</f>
        <v/>
      </c>
      <c r="L71" t="str">
        <f>IF(A71="","",IF('ATP Fills'!G71="LME",'ATP Fills'!I71,""))</f>
        <v/>
      </c>
      <c r="M71" t="str">
        <f t="shared" si="1"/>
        <v/>
      </c>
    </row>
    <row r="72" spans="1:13">
      <c r="A72" t="str">
        <f>IF('ATP Fills'!A72="","",IF('ATP Fills'!Q72="PHILLIPSG",'ATP Fills'!F72,""))</f>
        <v/>
      </c>
      <c r="B72" t="str">
        <f>IF(A72="","",'ATP Fills'!L72)</f>
        <v/>
      </c>
      <c r="C72" t="str">
        <f>IF(A72="","",'ATP Fills'!M72)</f>
        <v/>
      </c>
      <c r="D72" t="str">
        <f>IF(A72="","",'ATP Fills'!B72)</f>
        <v/>
      </c>
      <c r="E72" s="3" t="str">
        <f>IF(A72="","",IF(DATE(LEFT(D72,4),MID(D72,5,2),RIGHT(D72,2))=Helper1!$P$1,Helper1!$P$1,""))</f>
        <v/>
      </c>
      <c r="F72" s="3" t="str">
        <f>IF(A72="","",'ATP Fills'!G72)</f>
        <v/>
      </c>
      <c r="G72" t="str">
        <f>IF(A72="","",'ATP Fills'!H72)</f>
        <v/>
      </c>
      <c r="H72" t="str">
        <f>IF(A72="","",VLOOKUP(G72,表3_3[],2,0))</f>
        <v/>
      </c>
      <c r="I72" t="str">
        <f>IF(A72="","",VLOOKUP(G72,表3_3[],3,0))</f>
        <v/>
      </c>
      <c r="J72" t="str">
        <f>IF(A72="","",IF('ATP Fills'!I72="3M","",VLOOKUP(RIGHT('ATP Fills'!I72,2),Helper1!$O$36:$P$48,2,0)))</f>
        <v/>
      </c>
      <c r="K72" t="str">
        <f>IF(J72="","",LEFT('ATP Fills'!I72,4))</f>
        <v/>
      </c>
      <c r="L72" t="str">
        <f>IF(A72="","",IF('ATP Fills'!G72="LME",'ATP Fills'!I72,""))</f>
        <v/>
      </c>
      <c r="M72" t="str">
        <f t="shared" si="1"/>
        <v/>
      </c>
    </row>
    <row r="73" spans="1:13">
      <c r="A73" t="str">
        <f>IF('ATP Fills'!A73="","",IF('ATP Fills'!Q73="PHILLIPSG",'ATP Fills'!F73,""))</f>
        <v/>
      </c>
      <c r="B73" t="str">
        <f>IF(A73="","",'ATP Fills'!L73)</f>
        <v/>
      </c>
      <c r="C73" t="str">
        <f>IF(A73="","",'ATP Fills'!M73)</f>
        <v/>
      </c>
      <c r="D73" t="str">
        <f>IF(A73="","",'ATP Fills'!B73)</f>
        <v/>
      </c>
      <c r="E73" s="3" t="str">
        <f>IF(A73="","",IF(DATE(LEFT(D73,4),MID(D73,5,2),RIGHT(D73,2))=Helper1!$P$1,Helper1!$P$1,""))</f>
        <v/>
      </c>
      <c r="F73" s="3" t="str">
        <f>IF(A73="","",'ATP Fills'!G73)</f>
        <v/>
      </c>
      <c r="G73" t="str">
        <f>IF(A73="","",'ATP Fills'!H73)</f>
        <v/>
      </c>
      <c r="H73" t="str">
        <f>IF(A73="","",VLOOKUP(G73,表3_3[],2,0))</f>
        <v/>
      </c>
      <c r="I73" t="str">
        <f>IF(A73="","",VLOOKUP(G73,表3_3[],3,0))</f>
        <v/>
      </c>
      <c r="J73" t="str">
        <f>IF(A73="","",IF('ATP Fills'!I73="3M","",VLOOKUP(RIGHT('ATP Fills'!I73,2),Helper1!$O$36:$P$48,2,0)))</f>
        <v/>
      </c>
      <c r="K73" t="str">
        <f>IF(J73="","",LEFT('ATP Fills'!I73,4))</f>
        <v/>
      </c>
      <c r="L73" t="str">
        <f>IF(A73="","",IF('ATP Fills'!G73="LME",'ATP Fills'!I73,""))</f>
        <v/>
      </c>
      <c r="M73" t="str">
        <f t="shared" si="1"/>
        <v/>
      </c>
    </row>
    <row r="74" spans="1:13">
      <c r="A74" t="str">
        <f>IF('ATP Fills'!A74="","",IF('ATP Fills'!Q74="PHILLIPSG",'ATP Fills'!F74,""))</f>
        <v/>
      </c>
      <c r="B74" t="str">
        <f>IF(A74="","",'ATP Fills'!L74)</f>
        <v/>
      </c>
      <c r="C74" t="str">
        <f>IF(A74="","",'ATP Fills'!M74)</f>
        <v/>
      </c>
      <c r="D74" t="str">
        <f>IF(A74="","",'ATP Fills'!B74)</f>
        <v/>
      </c>
      <c r="E74" s="3" t="str">
        <f>IF(A74="","",IF(DATE(LEFT(D74,4),MID(D74,5,2),RIGHT(D74,2))=Helper1!$P$1,Helper1!$P$1,""))</f>
        <v/>
      </c>
      <c r="F74" s="3" t="str">
        <f>IF(A74="","",'ATP Fills'!G74)</f>
        <v/>
      </c>
      <c r="G74" t="str">
        <f>IF(A74="","",'ATP Fills'!H74)</f>
        <v/>
      </c>
      <c r="H74" t="str">
        <f>IF(A74="","",VLOOKUP(G74,表3_3[],2,0))</f>
        <v/>
      </c>
      <c r="I74" t="str">
        <f>IF(A74="","",VLOOKUP(G74,表3_3[],3,0))</f>
        <v/>
      </c>
      <c r="J74" t="str">
        <f>IF(A74="","",IF('ATP Fills'!I74="3M","",VLOOKUP(RIGHT('ATP Fills'!I74,2),Helper1!$O$36:$P$48,2,0)))</f>
        <v/>
      </c>
      <c r="K74" t="str">
        <f>IF(J74="","",LEFT('ATP Fills'!I74,4))</f>
        <v/>
      </c>
      <c r="L74" t="str">
        <f>IF(A74="","",IF('ATP Fills'!G74="LME",'ATP Fills'!I74,""))</f>
        <v/>
      </c>
      <c r="M74" t="str">
        <f t="shared" si="1"/>
        <v/>
      </c>
    </row>
    <row r="75" spans="1:13">
      <c r="A75" t="str">
        <f>IF('ATP Fills'!A75="","",IF('ATP Fills'!Q75="PHILLIPSG",'ATP Fills'!F75,""))</f>
        <v/>
      </c>
      <c r="B75" t="str">
        <f>IF(A75="","",'ATP Fills'!L75)</f>
        <v/>
      </c>
      <c r="C75" t="str">
        <f>IF(A75="","",'ATP Fills'!M75)</f>
        <v/>
      </c>
      <c r="D75" t="str">
        <f>IF(A75="","",'ATP Fills'!B75)</f>
        <v/>
      </c>
      <c r="E75" s="3" t="str">
        <f>IF(A75="","",IF(DATE(LEFT(D75,4),MID(D75,5,2),RIGHT(D75,2))=Helper1!$P$1,Helper1!$P$1,""))</f>
        <v/>
      </c>
      <c r="F75" s="3" t="str">
        <f>IF(A75="","",'ATP Fills'!G75)</f>
        <v/>
      </c>
      <c r="G75" t="str">
        <f>IF(A75="","",'ATP Fills'!H75)</f>
        <v/>
      </c>
      <c r="H75" t="str">
        <f>IF(A75="","",VLOOKUP(G75,表3_3[],2,0))</f>
        <v/>
      </c>
      <c r="I75" t="str">
        <f>IF(A75="","",VLOOKUP(G75,表3_3[],3,0))</f>
        <v/>
      </c>
      <c r="J75" t="str">
        <f>IF(A75="","",IF('ATP Fills'!I75="3M","",VLOOKUP(RIGHT('ATP Fills'!I75,2),Helper1!$O$36:$P$48,2,0)))</f>
        <v/>
      </c>
      <c r="K75" t="str">
        <f>IF(J75="","",LEFT('ATP Fills'!I75,4))</f>
        <v/>
      </c>
      <c r="L75" t="str">
        <f>IF(A75="","",IF('ATP Fills'!G75="LME",'ATP Fills'!I75,""))</f>
        <v/>
      </c>
      <c r="M75" t="str">
        <f t="shared" si="1"/>
        <v/>
      </c>
    </row>
    <row r="76" spans="1:13">
      <c r="A76" t="str">
        <f>IF('ATP Fills'!A76="","",IF('ATP Fills'!Q76="PHILLIPSG",'ATP Fills'!F76,""))</f>
        <v/>
      </c>
      <c r="B76" t="str">
        <f>IF(A76="","",'ATP Fills'!L76)</f>
        <v/>
      </c>
      <c r="C76" t="str">
        <f>IF(A76="","",'ATP Fills'!M76)</f>
        <v/>
      </c>
      <c r="D76" t="str">
        <f>IF(A76="","",'ATP Fills'!B76)</f>
        <v/>
      </c>
      <c r="E76" s="3" t="str">
        <f>IF(A76="","",IF(DATE(LEFT(D76,4),MID(D76,5,2),RIGHT(D76,2))=Helper1!$P$1,Helper1!$P$1,""))</f>
        <v/>
      </c>
      <c r="F76" s="3" t="str">
        <f>IF(A76="","",'ATP Fills'!G76)</f>
        <v/>
      </c>
      <c r="G76" t="str">
        <f>IF(A76="","",'ATP Fills'!H76)</f>
        <v/>
      </c>
      <c r="H76" t="str">
        <f>IF(A76="","",VLOOKUP(G76,表3_3[],2,0))</f>
        <v/>
      </c>
      <c r="I76" t="str">
        <f>IF(A76="","",VLOOKUP(G76,表3_3[],3,0))</f>
        <v/>
      </c>
      <c r="J76" t="str">
        <f>IF(A76="","",IF('ATP Fills'!I76="3M","",VLOOKUP(RIGHT('ATP Fills'!I76,2),Helper1!$O$36:$P$48,2,0)))</f>
        <v/>
      </c>
      <c r="K76" t="str">
        <f>IF(J76="","",LEFT('ATP Fills'!I76,4))</f>
        <v/>
      </c>
      <c r="L76" t="str">
        <f>IF(A76="","",IF('ATP Fills'!G76="LME",'ATP Fills'!I76,""))</f>
        <v/>
      </c>
      <c r="M76" t="str">
        <f t="shared" si="1"/>
        <v/>
      </c>
    </row>
    <row r="77" spans="1:13">
      <c r="A77" t="str">
        <f>IF('ATP Fills'!A77="","",IF('ATP Fills'!Q77="PHILLIPSG",'ATP Fills'!F77,""))</f>
        <v/>
      </c>
      <c r="B77" t="str">
        <f>IF(A77="","",'ATP Fills'!L77)</f>
        <v/>
      </c>
      <c r="C77" t="str">
        <f>IF(A77="","",'ATP Fills'!M77)</f>
        <v/>
      </c>
      <c r="D77" t="str">
        <f>IF(A77="","",'ATP Fills'!B77)</f>
        <v/>
      </c>
      <c r="E77" s="3" t="str">
        <f>IF(A77="","",IF(DATE(LEFT(D77,4),MID(D77,5,2),RIGHT(D77,2))=Helper1!$P$1,Helper1!$P$1,""))</f>
        <v/>
      </c>
      <c r="F77" s="3" t="str">
        <f>IF(A77="","",'ATP Fills'!G77)</f>
        <v/>
      </c>
      <c r="G77" t="str">
        <f>IF(A77="","",'ATP Fills'!H77)</f>
        <v/>
      </c>
      <c r="H77" t="str">
        <f>IF(A77="","",VLOOKUP(G77,表3_3[],2,0))</f>
        <v/>
      </c>
      <c r="I77" t="str">
        <f>IF(A77="","",VLOOKUP(G77,表3_3[],3,0))</f>
        <v/>
      </c>
      <c r="J77" t="str">
        <f>IF(A77="","",IF('ATP Fills'!I77="3M","",VLOOKUP(RIGHT('ATP Fills'!I77,2),Helper1!$O$36:$P$48,2,0)))</f>
        <v/>
      </c>
      <c r="K77" t="str">
        <f>IF(J77="","",LEFT('ATP Fills'!I77,4))</f>
        <v/>
      </c>
      <c r="L77" t="str">
        <f>IF(A77="","",IF('ATP Fills'!G77="LME",'ATP Fills'!I77,""))</f>
        <v/>
      </c>
      <c r="M77" t="str">
        <f t="shared" si="1"/>
        <v/>
      </c>
    </row>
    <row r="78" spans="1:13">
      <c r="A78" t="str">
        <f>IF('ATP Fills'!A78="","",IF('ATP Fills'!Q78="PHILLIPSG",'ATP Fills'!F78,""))</f>
        <v/>
      </c>
      <c r="B78" t="str">
        <f>IF(A78="","",'ATP Fills'!L78)</f>
        <v/>
      </c>
      <c r="C78" t="str">
        <f>IF(A78="","",'ATP Fills'!M78)</f>
        <v/>
      </c>
      <c r="D78" t="str">
        <f>IF(A78="","",'ATP Fills'!B78)</f>
        <v/>
      </c>
      <c r="E78" s="3" t="str">
        <f>IF(A78="","",IF(DATE(LEFT(D78,4),MID(D78,5,2),RIGHT(D78,2))=Helper1!$P$1,Helper1!$P$1,""))</f>
        <v/>
      </c>
      <c r="F78" s="3" t="str">
        <f>IF(A78="","",'ATP Fills'!G78)</f>
        <v/>
      </c>
      <c r="G78" t="str">
        <f>IF(A78="","",'ATP Fills'!H78)</f>
        <v/>
      </c>
      <c r="H78" t="str">
        <f>IF(A78="","",VLOOKUP(G78,表3_3[],2,0))</f>
        <v/>
      </c>
      <c r="I78" t="str">
        <f>IF(A78="","",VLOOKUP(G78,表3_3[],3,0))</f>
        <v/>
      </c>
      <c r="J78" t="str">
        <f>IF(A78="","",IF('ATP Fills'!I78="3M","",VLOOKUP(RIGHT('ATP Fills'!I78,2),Helper1!$O$36:$P$48,2,0)))</f>
        <v/>
      </c>
      <c r="K78" t="str">
        <f>IF(J78="","",LEFT('ATP Fills'!I78,4))</f>
        <v/>
      </c>
      <c r="L78" t="str">
        <f>IF(A78="","",IF('ATP Fills'!G78="LME",'ATP Fills'!I78,""))</f>
        <v/>
      </c>
      <c r="M78" t="str">
        <f t="shared" si="1"/>
        <v/>
      </c>
    </row>
    <row r="79" spans="1:13">
      <c r="A79" t="str">
        <f>IF('ATP Fills'!A79="","",IF('ATP Fills'!Q79="PHILLIPSG",'ATP Fills'!F79,""))</f>
        <v/>
      </c>
      <c r="B79" t="str">
        <f>IF(A79="","",'ATP Fills'!L79)</f>
        <v/>
      </c>
      <c r="C79" t="str">
        <f>IF(A79="","",'ATP Fills'!M79)</f>
        <v/>
      </c>
      <c r="D79" t="str">
        <f>IF(A79="","",'ATP Fills'!B79)</f>
        <v/>
      </c>
      <c r="E79" s="3" t="str">
        <f>IF(A79="","",IF(DATE(LEFT(D79,4),MID(D79,5,2),RIGHT(D79,2))=Helper1!$P$1,Helper1!$P$1,""))</f>
        <v/>
      </c>
      <c r="F79" s="3" t="str">
        <f>IF(A79="","",'ATP Fills'!G79)</f>
        <v/>
      </c>
      <c r="G79" t="str">
        <f>IF(A79="","",'ATP Fills'!H79)</f>
        <v/>
      </c>
      <c r="H79" t="str">
        <f>IF(A79="","",VLOOKUP(G79,表3_3[],2,0))</f>
        <v/>
      </c>
      <c r="I79" t="str">
        <f>IF(A79="","",VLOOKUP(G79,表3_3[],3,0))</f>
        <v/>
      </c>
      <c r="J79" t="str">
        <f>IF(A79="","",IF('ATP Fills'!I79="3M","",VLOOKUP(RIGHT('ATP Fills'!I79,2),Helper1!$O$36:$P$48,2,0)))</f>
        <v/>
      </c>
      <c r="K79" t="str">
        <f>IF(J79="","",LEFT('ATP Fills'!I79,4))</f>
        <v/>
      </c>
      <c r="L79" t="str">
        <f>IF(A79="","",IF('ATP Fills'!G79="LME",'ATP Fills'!I79,""))</f>
        <v/>
      </c>
      <c r="M79" t="str">
        <f t="shared" si="1"/>
        <v/>
      </c>
    </row>
    <row r="80" spans="1:13">
      <c r="A80" t="str">
        <f>IF('ATP Fills'!A80="","",IF('ATP Fills'!Q80="PHILLIPSG",'ATP Fills'!F80,""))</f>
        <v>H0000592</v>
      </c>
      <c r="B80" t="str">
        <f>IF(A80="","",'ATP Fills'!L80)</f>
        <v>Buy</v>
      </c>
      <c r="C80">
        <f>IF(A80="","",'ATP Fills'!M80)</f>
        <v>10</v>
      </c>
      <c r="D80">
        <f>IF(A80="","",'ATP Fills'!B80)</f>
        <v>20210915</v>
      </c>
      <c r="E80" s="3" t="str">
        <f ca="1">IF(A80="","",IF(DATE(LEFT(D80,4),MID(D80,5,2),RIGHT(D80,2))=Helper1!$P$1,Helper1!$P$1,""))</f>
        <v/>
      </c>
      <c r="F80" s="3" t="str">
        <f>IF(A80="","",'ATP Fills'!G80)</f>
        <v>SGX</v>
      </c>
      <c r="G80" t="str">
        <f>IF(A80="","",'ATP Fills'!H80)</f>
        <v>CN</v>
      </c>
      <c r="H80" t="str">
        <f>IF(A80="","",VLOOKUP(G80,表3_3[],2,0))</f>
        <v>SIMEX</v>
      </c>
      <c r="I80" t="str">
        <f>IF(A80="","",VLOOKUP(G80,表3_3[],3,0))</f>
        <v>CN</v>
      </c>
      <c r="J80" t="str">
        <f>IF(A80="","",IF('ATP Fills'!I80="3M","",VLOOKUP(RIGHT('ATP Fills'!I80,2),Helper1!$O$36:$P$48,2,0)))</f>
        <v>V</v>
      </c>
      <c r="K80" t="str">
        <f>IF(J80="","",LEFT('ATP Fills'!I80,4))</f>
        <v>2021</v>
      </c>
      <c r="L80" t="str">
        <f>IF(A80="","",IF('ATP Fills'!G80="LME",'ATP Fills'!I80,""))</f>
        <v/>
      </c>
      <c r="M80" t="str">
        <f t="shared" si="1"/>
        <v>V-2021-CN</v>
      </c>
    </row>
    <row r="81" spans="1:13">
      <c r="A81" t="str">
        <f>IF('ATP Fills'!A81="","",IF('ATP Fills'!Q81="PHILLIPSG",'ATP Fills'!F81,""))</f>
        <v>H0000592</v>
      </c>
      <c r="B81" t="str">
        <f>IF(A81="","",'ATP Fills'!L81)</f>
        <v>Buy</v>
      </c>
      <c r="C81">
        <f>IF(A81="","",'ATP Fills'!M81)</f>
        <v>6</v>
      </c>
      <c r="D81">
        <f>IF(A81="","",'ATP Fills'!B81)</f>
        <v>20210915</v>
      </c>
      <c r="E81" s="3" t="str">
        <f ca="1">IF(A81="","",IF(DATE(LEFT(D81,4),MID(D81,5,2),RIGHT(D81,2))=Helper1!$P$1,Helper1!$P$1,""))</f>
        <v/>
      </c>
      <c r="F81" s="3" t="str">
        <f>IF(A81="","",'ATP Fills'!G81)</f>
        <v>SGX</v>
      </c>
      <c r="G81" t="str">
        <f>IF(A81="","",'ATP Fills'!H81)</f>
        <v>CN</v>
      </c>
      <c r="H81" t="str">
        <f>IF(A81="","",VLOOKUP(G81,表3_3[],2,0))</f>
        <v>SIMEX</v>
      </c>
      <c r="I81" t="str">
        <f>IF(A81="","",VLOOKUP(G81,表3_3[],3,0))</f>
        <v>CN</v>
      </c>
      <c r="J81" t="str">
        <f>IF(A81="","",IF('ATP Fills'!I81="3M","",VLOOKUP(RIGHT('ATP Fills'!I81,2),Helper1!$O$36:$P$48,2,0)))</f>
        <v>V</v>
      </c>
      <c r="K81" t="str">
        <f>IF(J81="","",LEFT('ATP Fills'!I81,4))</f>
        <v>2021</v>
      </c>
      <c r="L81" t="str">
        <f>IF(A81="","",IF('ATP Fills'!G81="LME",'ATP Fills'!I81,""))</f>
        <v/>
      </c>
      <c r="M81" t="str">
        <f t="shared" si="1"/>
        <v>V-2021-CN</v>
      </c>
    </row>
    <row r="82" spans="1:13">
      <c r="A82" t="str">
        <f>IF('ATP Fills'!A82="","",IF('ATP Fills'!Q82="PHILLIPSG",'ATP Fills'!F82,""))</f>
        <v>H0000592</v>
      </c>
      <c r="B82" t="str">
        <f>IF(A82="","",'ATP Fills'!L82)</f>
        <v>Buy</v>
      </c>
      <c r="C82">
        <f>IF(A82="","",'ATP Fills'!M82)</f>
        <v>4</v>
      </c>
      <c r="D82">
        <f>IF(A82="","",'ATP Fills'!B82)</f>
        <v>20210915</v>
      </c>
      <c r="E82" s="3" t="str">
        <f ca="1">IF(A82="","",IF(DATE(LEFT(D82,4),MID(D82,5,2),RIGHT(D82,2))=Helper1!$P$1,Helper1!$P$1,""))</f>
        <v/>
      </c>
      <c r="F82" s="3" t="str">
        <f>IF(A82="","",'ATP Fills'!G82)</f>
        <v>SGX</v>
      </c>
      <c r="G82" t="str">
        <f>IF(A82="","",'ATP Fills'!H82)</f>
        <v>CN</v>
      </c>
      <c r="H82" t="str">
        <f>IF(A82="","",VLOOKUP(G82,表3_3[],2,0))</f>
        <v>SIMEX</v>
      </c>
      <c r="I82" t="str">
        <f>IF(A82="","",VLOOKUP(G82,表3_3[],3,0))</f>
        <v>CN</v>
      </c>
      <c r="J82" t="str">
        <f>IF(A82="","",IF('ATP Fills'!I82="3M","",VLOOKUP(RIGHT('ATP Fills'!I82,2),Helper1!$O$36:$P$48,2,0)))</f>
        <v>V</v>
      </c>
      <c r="K82" t="str">
        <f>IF(J82="","",LEFT('ATP Fills'!I82,4))</f>
        <v>2021</v>
      </c>
      <c r="L82" t="str">
        <f>IF(A82="","",IF('ATP Fills'!G82="LME",'ATP Fills'!I82,""))</f>
        <v/>
      </c>
      <c r="M82" t="str">
        <f t="shared" si="1"/>
        <v>V-2021-CN</v>
      </c>
    </row>
    <row r="83" spans="1:13">
      <c r="A83" t="str">
        <f>IF('ATP Fills'!A83="","",IF('ATP Fills'!Q83="PHILLIPSG",'ATP Fills'!F83,""))</f>
        <v>H0000592</v>
      </c>
      <c r="B83" t="str">
        <f>IF(A83="","",'ATP Fills'!L83)</f>
        <v>Buy</v>
      </c>
      <c r="C83">
        <f>IF(A83="","",'ATP Fills'!M83)</f>
        <v>10</v>
      </c>
      <c r="D83">
        <f>IF(A83="","",'ATP Fills'!B83)</f>
        <v>20210915</v>
      </c>
      <c r="E83" s="3" t="str">
        <f ca="1">IF(A83="","",IF(DATE(LEFT(D83,4),MID(D83,5,2),RIGHT(D83,2))=Helper1!$P$1,Helper1!$P$1,""))</f>
        <v/>
      </c>
      <c r="F83" s="3" t="str">
        <f>IF(A83="","",'ATP Fills'!G83)</f>
        <v>SGX</v>
      </c>
      <c r="G83" t="str">
        <f>IF(A83="","",'ATP Fills'!H83)</f>
        <v>CN</v>
      </c>
      <c r="H83" t="str">
        <f>IF(A83="","",VLOOKUP(G83,表3_3[],2,0))</f>
        <v>SIMEX</v>
      </c>
      <c r="I83" t="str">
        <f>IF(A83="","",VLOOKUP(G83,表3_3[],3,0))</f>
        <v>CN</v>
      </c>
      <c r="J83" t="str">
        <f>IF(A83="","",IF('ATP Fills'!I83="3M","",VLOOKUP(RIGHT('ATP Fills'!I83,2),Helper1!$O$36:$P$48,2,0)))</f>
        <v>V</v>
      </c>
      <c r="K83" t="str">
        <f>IF(J83="","",LEFT('ATP Fills'!I83,4))</f>
        <v>2021</v>
      </c>
      <c r="L83" t="str">
        <f>IF(A83="","",IF('ATP Fills'!G83="LME",'ATP Fills'!I83,""))</f>
        <v/>
      </c>
      <c r="M83" t="str">
        <f t="shared" si="1"/>
        <v>V-2021-CN</v>
      </c>
    </row>
    <row r="84" spans="1:13">
      <c r="A84" t="str">
        <f>IF('ATP Fills'!A84="","",IF('ATP Fills'!Q84="PHILLIPSG",'ATP Fills'!F84,""))</f>
        <v>A000621</v>
      </c>
      <c r="B84" t="str">
        <f>IF(A84="","",'ATP Fills'!L84)</f>
        <v>Sell</v>
      </c>
      <c r="C84">
        <f>IF(A84="","",'ATP Fills'!M84)</f>
        <v>1</v>
      </c>
      <c r="D84">
        <f>IF(A84="","",'ATP Fills'!B84)</f>
        <v>20210915</v>
      </c>
      <c r="E84" s="3" t="str">
        <f ca="1">IF(A84="","",IF(DATE(LEFT(D84,4),MID(D84,5,2),RIGHT(D84,2))=Helper1!$P$1,Helper1!$P$1,""))</f>
        <v/>
      </c>
      <c r="F84" s="3" t="str">
        <f>IF(A84="","",'ATP Fills'!G84)</f>
        <v>SGX</v>
      </c>
      <c r="G84" t="str">
        <f>IF(A84="","",'ATP Fills'!H84)</f>
        <v>FEF</v>
      </c>
      <c r="H84" t="str">
        <f>IF(A84="","",VLOOKUP(G84,表3_3[],2,0))</f>
        <v>SIMEX</v>
      </c>
      <c r="I84" t="str">
        <f>IF(A84="","",VLOOKUP(G84,表3_3[],3,0))</f>
        <v>FEF</v>
      </c>
      <c r="J84" t="str">
        <f>IF(A84="","",IF('ATP Fills'!I84="3M","",VLOOKUP(RIGHT('ATP Fills'!I84,2),Helper1!$O$36:$P$48,2,0)))</f>
        <v>X</v>
      </c>
      <c r="K84" t="str">
        <f>IF(J84="","",LEFT('ATP Fills'!I84,4))</f>
        <v>2021</v>
      </c>
      <c r="L84" t="str">
        <f>IF(A84="","",IF('ATP Fills'!G84="LME",'ATP Fills'!I84,""))</f>
        <v/>
      </c>
      <c r="M84" t="str">
        <f t="shared" si="1"/>
        <v>X-2021-FEF</v>
      </c>
    </row>
    <row r="85" spans="1:13">
      <c r="A85" t="str">
        <f>IF('ATP Fills'!A85="","",IF('ATP Fills'!Q85="PHILLIPSG",'ATP Fills'!F85,""))</f>
        <v>A000621</v>
      </c>
      <c r="B85" t="str">
        <f>IF(A85="","",'ATP Fills'!L85)</f>
        <v>Sell</v>
      </c>
      <c r="C85">
        <f>IF(A85="","",'ATP Fills'!M85)</f>
        <v>8</v>
      </c>
      <c r="D85">
        <f>IF(A85="","",'ATP Fills'!B85)</f>
        <v>20210915</v>
      </c>
      <c r="E85" s="3" t="str">
        <f ca="1">IF(A85="","",IF(DATE(LEFT(D85,4),MID(D85,5,2),RIGHT(D85,2))=Helper1!$P$1,Helper1!$P$1,""))</f>
        <v/>
      </c>
      <c r="F85" s="3" t="str">
        <f>IF(A85="","",'ATP Fills'!G85)</f>
        <v>SGX</v>
      </c>
      <c r="G85" t="str">
        <f>IF(A85="","",'ATP Fills'!H85)</f>
        <v>FEF</v>
      </c>
      <c r="H85" t="str">
        <f>IF(A85="","",VLOOKUP(G85,表3_3[],2,0))</f>
        <v>SIMEX</v>
      </c>
      <c r="I85" t="str">
        <f>IF(A85="","",VLOOKUP(G85,表3_3[],3,0))</f>
        <v>FEF</v>
      </c>
      <c r="J85" t="str">
        <f>IF(A85="","",IF('ATP Fills'!I85="3M","",VLOOKUP(RIGHT('ATP Fills'!I85,2),Helper1!$O$36:$P$48,2,0)))</f>
        <v>X</v>
      </c>
      <c r="K85" t="str">
        <f>IF(J85="","",LEFT('ATP Fills'!I85,4))</f>
        <v>2021</v>
      </c>
      <c r="L85" t="str">
        <f>IF(A85="","",IF('ATP Fills'!G85="LME",'ATP Fills'!I85,""))</f>
        <v/>
      </c>
      <c r="M85" t="str">
        <f t="shared" si="1"/>
        <v>X-2021-FEF</v>
      </c>
    </row>
    <row r="86" spans="1:13">
      <c r="A86" t="str">
        <f>IF('ATP Fills'!A86="","",IF('ATP Fills'!Q86="PHILLIPSG",'ATP Fills'!F86,""))</f>
        <v>H0000592</v>
      </c>
      <c r="B86" t="str">
        <f>IF(A86="","",'ATP Fills'!L86)</f>
        <v>Buy</v>
      </c>
      <c r="C86">
        <f>IF(A86="","",'ATP Fills'!M86)</f>
        <v>1</v>
      </c>
      <c r="D86">
        <f>IF(A86="","",'ATP Fills'!B86)</f>
        <v>20210915</v>
      </c>
      <c r="E86" s="3" t="str">
        <f ca="1">IF(A86="","",IF(DATE(LEFT(D86,4),MID(D86,5,2),RIGHT(D86,2))=Helper1!$P$1,Helper1!$P$1,""))</f>
        <v/>
      </c>
      <c r="F86" s="3" t="str">
        <f>IF(A86="","",'ATP Fills'!G86)</f>
        <v>SGX</v>
      </c>
      <c r="G86" t="str">
        <f>IF(A86="","",'ATP Fills'!H86)</f>
        <v>CN</v>
      </c>
      <c r="H86" t="str">
        <f>IF(A86="","",VLOOKUP(G86,表3_3[],2,0))</f>
        <v>SIMEX</v>
      </c>
      <c r="I86" t="str">
        <f>IF(A86="","",VLOOKUP(G86,表3_3[],3,0))</f>
        <v>CN</v>
      </c>
      <c r="J86" t="str">
        <f>IF(A86="","",IF('ATP Fills'!I86="3M","",VLOOKUP(RIGHT('ATP Fills'!I86,2),Helper1!$O$36:$P$48,2,0)))</f>
        <v>V</v>
      </c>
      <c r="K86" t="str">
        <f>IF(J86="","",LEFT('ATP Fills'!I86,4))</f>
        <v>2021</v>
      </c>
      <c r="L86" t="str">
        <f>IF(A86="","",IF('ATP Fills'!G86="LME",'ATP Fills'!I86,""))</f>
        <v/>
      </c>
      <c r="M86" t="str">
        <f t="shared" si="1"/>
        <v>V-2021-CN</v>
      </c>
    </row>
    <row r="87" spans="1:13">
      <c r="A87" t="str">
        <f>IF('ATP Fills'!A87="","",IF('ATP Fills'!Q87="PHILLIPSG",'ATP Fills'!F87,""))</f>
        <v>H0000592</v>
      </c>
      <c r="B87" t="str">
        <f>IF(A87="","",'ATP Fills'!L87)</f>
        <v>Buy</v>
      </c>
      <c r="C87">
        <f>IF(A87="","",'ATP Fills'!M87)</f>
        <v>1</v>
      </c>
      <c r="D87">
        <f>IF(A87="","",'ATP Fills'!B87)</f>
        <v>20210915</v>
      </c>
      <c r="E87" s="3" t="str">
        <f ca="1">IF(A87="","",IF(DATE(LEFT(D87,4),MID(D87,5,2),RIGHT(D87,2))=Helper1!$P$1,Helper1!$P$1,""))</f>
        <v/>
      </c>
      <c r="F87" s="3" t="str">
        <f>IF(A87="","",'ATP Fills'!G87)</f>
        <v>SGX</v>
      </c>
      <c r="G87" t="str">
        <f>IF(A87="","",'ATP Fills'!H87)</f>
        <v>CN</v>
      </c>
      <c r="H87" t="str">
        <f>IF(A87="","",VLOOKUP(G87,表3_3[],2,0))</f>
        <v>SIMEX</v>
      </c>
      <c r="I87" t="str">
        <f>IF(A87="","",VLOOKUP(G87,表3_3[],3,0))</f>
        <v>CN</v>
      </c>
      <c r="J87" t="str">
        <f>IF(A87="","",IF('ATP Fills'!I87="3M","",VLOOKUP(RIGHT('ATP Fills'!I87,2),Helper1!$O$36:$P$48,2,0)))</f>
        <v>V</v>
      </c>
      <c r="K87" t="str">
        <f>IF(J87="","",LEFT('ATP Fills'!I87,4))</f>
        <v>2021</v>
      </c>
      <c r="L87" t="str">
        <f>IF(A87="","",IF('ATP Fills'!G87="LME",'ATP Fills'!I87,""))</f>
        <v/>
      </c>
      <c r="M87" t="str">
        <f t="shared" si="1"/>
        <v>V-2021-CN</v>
      </c>
    </row>
    <row r="88" spans="1:13">
      <c r="A88" t="str">
        <f>IF('ATP Fills'!A88="","",IF('ATP Fills'!Q88="PHILLIPSG",'ATP Fills'!F88,""))</f>
        <v>H0000592</v>
      </c>
      <c r="B88" t="str">
        <f>IF(A88="","",'ATP Fills'!L88)</f>
        <v>Buy</v>
      </c>
      <c r="C88">
        <f>IF(A88="","",'ATP Fills'!M88)</f>
        <v>4</v>
      </c>
      <c r="D88">
        <f>IF(A88="","",'ATP Fills'!B88)</f>
        <v>20210915</v>
      </c>
      <c r="E88" s="3" t="str">
        <f ca="1">IF(A88="","",IF(DATE(LEFT(D88,4),MID(D88,5,2),RIGHT(D88,2))=Helper1!$P$1,Helper1!$P$1,""))</f>
        <v/>
      </c>
      <c r="F88" s="3" t="str">
        <f>IF(A88="","",'ATP Fills'!G88)</f>
        <v>SGX</v>
      </c>
      <c r="G88" t="str">
        <f>IF(A88="","",'ATP Fills'!H88)</f>
        <v>CN</v>
      </c>
      <c r="H88" t="str">
        <f>IF(A88="","",VLOOKUP(G88,表3_3[],2,0))</f>
        <v>SIMEX</v>
      </c>
      <c r="I88" t="str">
        <f>IF(A88="","",VLOOKUP(G88,表3_3[],3,0))</f>
        <v>CN</v>
      </c>
      <c r="J88" t="str">
        <f>IF(A88="","",IF('ATP Fills'!I88="3M","",VLOOKUP(RIGHT('ATP Fills'!I88,2),Helper1!$O$36:$P$48,2,0)))</f>
        <v>V</v>
      </c>
      <c r="K88" t="str">
        <f>IF(J88="","",LEFT('ATP Fills'!I88,4))</f>
        <v>2021</v>
      </c>
      <c r="L88" t="str">
        <f>IF(A88="","",IF('ATP Fills'!G88="LME",'ATP Fills'!I88,""))</f>
        <v/>
      </c>
      <c r="M88" t="str">
        <f t="shared" si="1"/>
        <v>V-2021-CN</v>
      </c>
    </row>
    <row r="89" spans="1:13">
      <c r="A89" t="str">
        <f>IF('ATP Fills'!A89="","",IF('ATP Fills'!Q89="PHILLIPSG",'ATP Fills'!F89,""))</f>
        <v>H0000592</v>
      </c>
      <c r="B89" t="str">
        <f>IF(A89="","",'ATP Fills'!L89)</f>
        <v>Buy</v>
      </c>
      <c r="C89">
        <f>IF(A89="","",'ATP Fills'!M89)</f>
        <v>2</v>
      </c>
      <c r="D89">
        <f>IF(A89="","",'ATP Fills'!B89)</f>
        <v>20210915</v>
      </c>
      <c r="E89" s="3" t="str">
        <f ca="1">IF(A89="","",IF(DATE(LEFT(D89,4),MID(D89,5,2),RIGHT(D89,2))=Helper1!$P$1,Helper1!$P$1,""))</f>
        <v/>
      </c>
      <c r="F89" s="3" t="str">
        <f>IF(A89="","",'ATP Fills'!G89)</f>
        <v>SGX</v>
      </c>
      <c r="G89" t="str">
        <f>IF(A89="","",'ATP Fills'!H89)</f>
        <v>CN</v>
      </c>
      <c r="H89" t="str">
        <f>IF(A89="","",VLOOKUP(G89,表3_3[],2,0))</f>
        <v>SIMEX</v>
      </c>
      <c r="I89" t="str">
        <f>IF(A89="","",VLOOKUP(G89,表3_3[],3,0))</f>
        <v>CN</v>
      </c>
      <c r="J89" t="str">
        <f>IF(A89="","",IF('ATP Fills'!I89="3M","",VLOOKUP(RIGHT('ATP Fills'!I89,2),Helper1!$O$36:$P$48,2,0)))</f>
        <v>V</v>
      </c>
      <c r="K89" t="str">
        <f>IF(J89="","",LEFT('ATP Fills'!I89,4))</f>
        <v>2021</v>
      </c>
      <c r="L89" t="str">
        <f>IF(A89="","",IF('ATP Fills'!G89="LME",'ATP Fills'!I89,""))</f>
        <v/>
      </c>
      <c r="M89" t="str">
        <f t="shared" si="1"/>
        <v>V-2021-CN</v>
      </c>
    </row>
    <row r="90" spans="1:13">
      <c r="A90" t="str">
        <f>IF('ATP Fills'!A90="","",IF('ATP Fills'!Q90="PHILLIPSG",'ATP Fills'!F90,""))</f>
        <v>H0000592</v>
      </c>
      <c r="B90" t="str">
        <f>IF(A90="","",'ATP Fills'!L90)</f>
        <v>Buy</v>
      </c>
      <c r="C90">
        <f>IF(A90="","",'ATP Fills'!M90)</f>
        <v>2</v>
      </c>
      <c r="D90">
        <f>IF(A90="","",'ATP Fills'!B90)</f>
        <v>20210915</v>
      </c>
      <c r="E90" s="3" t="str">
        <f ca="1">IF(A90="","",IF(DATE(LEFT(D90,4),MID(D90,5,2),RIGHT(D90,2))=Helper1!$P$1,Helper1!$P$1,""))</f>
        <v/>
      </c>
      <c r="F90" s="3" t="str">
        <f>IF(A90="","",'ATP Fills'!G90)</f>
        <v>SGX</v>
      </c>
      <c r="G90" t="str">
        <f>IF(A90="","",'ATP Fills'!H90)</f>
        <v>CN</v>
      </c>
      <c r="H90" t="str">
        <f>IF(A90="","",VLOOKUP(G90,表3_3[],2,0))</f>
        <v>SIMEX</v>
      </c>
      <c r="I90" t="str">
        <f>IF(A90="","",VLOOKUP(G90,表3_3[],3,0))</f>
        <v>CN</v>
      </c>
      <c r="J90" t="str">
        <f>IF(A90="","",IF('ATP Fills'!I90="3M","",VLOOKUP(RIGHT('ATP Fills'!I90,2),Helper1!$O$36:$P$48,2,0)))</f>
        <v>V</v>
      </c>
      <c r="K90" t="str">
        <f>IF(J90="","",LEFT('ATP Fills'!I90,4))</f>
        <v>2021</v>
      </c>
      <c r="L90" t="str">
        <f>IF(A90="","",IF('ATP Fills'!G90="LME",'ATP Fills'!I90,""))</f>
        <v/>
      </c>
      <c r="M90" t="str">
        <f t="shared" si="1"/>
        <v>V-2021-CN</v>
      </c>
    </row>
    <row r="91" spans="1:13">
      <c r="A91" t="str">
        <f>IF('ATP Fills'!A91="","",IF('ATP Fills'!Q91="PHILLIPSG",'ATP Fills'!F91,""))</f>
        <v>H0000592</v>
      </c>
      <c r="B91" t="str">
        <f>IF(A91="","",'ATP Fills'!L91)</f>
        <v>Buy</v>
      </c>
      <c r="C91">
        <f>IF(A91="","",'ATP Fills'!M91)</f>
        <v>2</v>
      </c>
      <c r="D91">
        <f>IF(A91="","",'ATP Fills'!B91)</f>
        <v>20210915</v>
      </c>
      <c r="E91" s="3" t="str">
        <f ca="1">IF(A91="","",IF(DATE(LEFT(D91,4),MID(D91,5,2),RIGHT(D91,2))=Helper1!$P$1,Helper1!$P$1,""))</f>
        <v/>
      </c>
      <c r="F91" s="3" t="str">
        <f>IF(A91="","",'ATP Fills'!G91)</f>
        <v>SGX</v>
      </c>
      <c r="G91" t="str">
        <f>IF(A91="","",'ATP Fills'!H91)</f>
        <v>CN</v>
      </c>
      <c r="H91" t="str">
        <f>IF(A91="","",VLOOKUP(G91,表3_3[],2,0))</f>
        <v>SIMEX</v>
      </c>
      <c r="I91" t="str">
        <f>IF(A91="","",VLOOKUP(G91,表3_3[],3,0))</f>
        <v>CN</v>
      </c>
      <c r="J91" t="str">
        <f>IF(A91="","",IF('ATP Fills'!I91="3M","",VLOOKUP(RIGHT('ATP Fills'!I91,2),Helper1!$O$36:$P$48,2,0)))</f>
        <v>V</v>
      </c>
      <c r="K91" t="str">
        <f>IF(J91="","",LEFT('ATP Fills'!I91,4))</f>
        <v>2021</v>
      </c>
      <c r="L91" t="str">
        <f>IF(A91="","",IF('ATP Fills'!G91="LME",'ATP Fills'!I91,""))</f>
        <v/>
      </c>
      <c r="M91" t="str">
        <f t="shared" si="1"/>
        <v>V-2021-CN</v>
      </c>
    </row>
    <row r="92" spans="1:13">
      <c r="A92" t="str">
        <f>IF('ATP Fills'!A92="","",IF('ATP Fills'!Q92="PHILLIPSG",'ATP Fills'!F92,""))</f>
        <v>H0000592</v>
      </c>
      <c r="B92" t="str">
        <f>IF(A92="","",'ATP Fills'!L92)</f>
        <v>Buy</v>
      </c>
      <c r="C92">
        <f>IF(A92="","",'ATP Fills'!M92)</f>
        <v>8</v>
      </c>
      <c r="D92">
        <f>IF(A92="","",'ATP Fills'!B92)</f>
        <v>20210915</v>
      </c>
      <c r="E92" s="3" t="str">
        <f ca="1">IF(A92="","",IF(DATE(LEFT(D92,4),MID(D92,5,2),RIGHT(D92,2))=Helper1!$P$1,Helper1!$P$1,""))</f>
        <v/>
      </c>
      <c r="F92" s="3" t="str">
        <f>IF(A92="","",'ATP Fills'!G92)</f>
        <v>SGX</v>
      </c>
      <c r="G92" t="str">
        <f>IF(A92="","",'ATP Fills'!H92)</f>
        <v>CN</v>
      </c>
      <c r="H92" t="str">
        <f>IF(A92="","",VLOOKUP(G92,表3_3[],2,0))</f>
        <v>SIMEX</v>
      </c>
      <c r="I92" t="str">
        <f>IF(A92="","",VLOOKUP(G92,表3_3[],3,0))</f>
        <v>CN</v>
      </c>
      <c r="J92" t="str">
        <f>IF(A92="","",IF('ATP Fills'!I92="3M","",VLOOKUP(RIGHT('ATP Fills'!I92,2),Helper1!$O$36:$P$48,2,0)))</f>
        <v>V</v>
      </c>
      <c r="K92" t="str">
        <f>IF(J92="","",LEFT('ATP Fills'!I92,4))</f>
        <v>2021</v>
      </c>
      <c r="L92" t="str">
        <f>IF(A92="","",IF('ATP Fills'!G92="LME",'ATP Fills'!I92,""))</f>
        <v/>
      </c>
      <c r="M92" t="str">
        <f t="shared" si="1"/>
        <v>V-2021-CN</v>
      </c>
    </row>
    <row r="93" spans="1:13">
      <c r="A93" t="str">
        <f>IF('ATP Fills'!A93="","",IF('ATP Fills'!Q93="PHILLIPSG",'ATP Fills'!F93,""))</f>
        <v>H0000592</v>
      </c>
      <c r="B93" t="str">
        <f>IF(A93="","",'ATP Fills'!L93)</f>
        <v>Buy</v>
      </c>
      <c r="C93">
        <f>IF(A93="","",'ATP Fills'!M93)</f>
        <v>8</v>
      </c>
      <c r="D93">
        <f>IF(A93="","",'ATP Fills'!B93)</f>
        <v>20210915</v>
      </c>
      <c r="E93" s="3" t="str">
        <f ca="1">IF(A93="","",IF(DATE(LEFT(D93,4),MID(D93,5,2),RIGHT(D93,2))=Helper1!$P$1,Helper1!$P$1,""))</f>
        <v/>
      </c>
      <c r="F93" s="3" t="str">
        <f>IF(A93="","",'ATP Fills'!G93)</f>
        <v>SGX</v>
      </c>
      <c r="G93" t="str">
        <f>IF(A93="","",'ATP Fills'!H93)</f>
        <v>CN</v>
      </c>
      <c r="H93" t="str">
        <f>IF(A93="","",VLOOKUP(G93,表3_3[],2,0))</f>
        <v>SIMEX</v>
      </c>
      <c r="I93" t="str">
        <f>IF(A93="","",VLOOKUP(G93,表3_3[],3,0))</f>
        <v>CN</v>
      </c>
      <c r="J93" t="str">
        <f>IF(A93="","",IF('ATP Fills'!I93="3M","",VLOOKUP(RIGHT('ATP Fills'!I93,2),Helper1!$O$36:$P$48,2,0)))</f>
        <v>V</v>
      </c>
      <c r="K93" t="str">
        <f>IF(J93="","",LEFT('ATP Fills'!I93,4))</f>
        <v>2021</v>
      </c>
      <c r="L93" t="str">
        <f>IF(A93="","",IF('ATP Fills'!G93="LME",'ATP Fills'!I93,""))</f>
        <v/>
      </c>
      <c r="M93" t="str">
        <f t="shared" si="1"/>
        <v>V-2021-CN</v>
      </c>
    </row>
    <row r="94" spans="1:13">
      <c r="A94" t="str">
        <f>IF('ATP Fills'!A94="","",IF('ATP Fills'!Q94="PHILLIPSG",'ATP Fills'!F94,""))</f>
        <v>H0000592</v>
      </c>
      <c r="B94" t="str">
        <f>IF(A94="","",'ATP Fills'!L94)</f>
        <v>Buy</v>
      </c>
      <c r="C94">
        <f>IF(A94="","",'ATP Fills'!M94)</f>
        <v>2</v>
      </c>
      <c r="D94">
        <f>IF(A94="","",'ATP Fills'!B94)</f>
        <v>20210915</v>
      </c>
      <c r="E94" s="3" t="str">
        <f ca="1">IF(A94="","",IF(DATE(LEFT(D94,4),MID(D94,5,2),RIGHT(D94,2))=Helper1!$P$1,Helper1!$P$1,""))</f>
        <v/>
      </c>
      <c r="F94" s="3" t="str">
        <f>IF(A94="","",'ATP Fills'!G94)</f>
        <v>SGX</v>
      </c>
      <c r="G94" t="str">
        <f>IF(A94="","",'ATP Fills'!H94)</f>
        <v>CN</v>
      </c>
      <c r="H94" t="str">
        <f>IF(A94="","",VLOOKUP(G94,表3_3[],2,0))</f>
        <v>SIMEX</v>
      </c>
      <c r="I94" t="str">
        <f>IF(A94="","",VLOOKUP(G94,表3_3[],3,0))</f>
        <v>CN</v>
      </c>
      <c r="J94" t="str">
        <f>IF(A94="","",IF('ATP Fills'!I94="3M","",VLOOKUP(RIGHT('ATP Fills'!I94,2),Helper1!$O$36:$P$48,2,0)))</f>
        <v>V</v>
      </c>
      <c r="K94" t="str">
        <f>IF(J94="","",LEFT('ATP Fills'!I94,4))</f>
        <v>2021</v>
      </c>
      <c r="L94" t="str">
        <f>IF(A94="","",IF('ATP Fills'!G94="LME",'ATP Fills'!I94,""))</f>
        <v/>
      </c>
      <c r="M94" t="str">
        <f t="shared" si="1"/>
        <v>V-2021-CN</v>
      </c>
    </row>
    <row r="95" spans="1:13">
      <c r="A95" t="str">
        <f>IF('ATP Fills'!A95="","",IF('ATP Fills'!Q95="PHILLIPSG",'ATP Fills'!F95,""))</f>
        <v>H0000592</v>
      </c>
      <c r="B95" t="str">
        <f>IF(A95="","",'ATP Fills'!L95)</f>
        <v>Buy</v>
      </c>
      <c r="C95">
        <f>IF(A95="","",'ATP Fills'!M95)</f>
        <v>6</v>
      </c>
      <c r="D95">
        <f>IF(A95="","",'ATP Fills'!B95)</f>
        <v>20210915</v>
      </c>
      <c r="E95" s="3" t="str">
        <f ca="1">IF(A95="","",IF(DATE(LEFT(D95,4),MID(D95,5,2),RIGHT(D95,2))=Helper1!$P$1,Helper1!$P$1,""))</f>
        <v/>
      </c>
      <c r="F95" s="3" t="str">
        <f>IF(A95="","",'ATP Fills'!G95)</f>
        <v>SGX</v>
      </c>
      <c r="G95" t="str">
        <f>IF(A95="","",'ATP Fills'!H95)</f>
        <v>CN</v>
      </c>
      <c r="H95" t="str">
        <f>IF(A95="","",VLOOKUP(G95,表3_3[],2,0))</f>
        <v>SIMEX</v>
      </c>
      <c r="I95" t="str">
        <f>IF(A95="","",VLOOKUP(G95,表3_3[],3,0))</f>
        <v>CN</v>
      </c>
      <c r="J95" t="str">
        <f>IF(A95="","",IF('ATP Fills'!I95="3M","",VLOOKUP(RIGHT('ATP Fills'!I95,2),Helper1!$O$36:$P$48,2,0)))</f>
        <v>V</v>
      </c>
      <c r="K95" t="str">
        <f>IF(J95="","",LEFT('ATP Fills'!I95,4))</f>
        <v>2021</v>
      </c>
      <c r="L95" t="str">
        <f>IF(A95="","",IF('ATP Fills'!G95="LME",'ATP Fills'!I95,""))</f>
        <v/>
      </c>
      <c r="M95" t="str">
        <f t="shared" si="1"/>
        <v>V-2021-CN</v>
      </c>
    </row>
    <row r="96" spans="1:13">
      <c r="A96" t="str">
        <f>IF('ATP Fills'!A96="","",IF('ATP Fills'!Q96="PHILLIPSG",'ATP Fills'!F96,""))</f>
        <v>H0000592</v>
      </c>
      <c r="B96" t="str">
        <f>IF(A96="","",'ATP Fills'!L96)</f>
        <v>Buy</v>
      </c>
      <c r="C96">
        <f>IF(A96="","",'ATP Fills'!M96)</f>
        <v>4</v>
      </c>
      <c r="D96">
        <f>IF(A96="","",'ATP Fills'!B96)</f>
        <v>20210915</v>
      </c>
      <c r="E96" s="3" t="str">
        <f ca="1">IF(A96="","",IF(DATE(LEFT(D96,4),MID(D96,5,2),RIGHT(D96,2))=Helper1!$P$1,Helper1!$P$1,""))</f>
        <v/>
      </c>
      <c r="F96" s="3" t="str">
        <f>IF(A96="","",'ATP Fills'!G96)</f>
        <v>SGX</v>
      </c>
      <c r="G96" t="str">
        <f>IF(A96="","",'ATP Fills'!H96)</f>
        <v>CN</v>
      </c>
      <c r="H96" t="str">
        <f>IF(A96="","",VLOOKUP(G96,表3_3[],2,0))</f>
        <v>SIMEX</v>
      </c>
      <c r="I96" t="str">
        <f>IF(A96="","",VLOOKUP(G96,表3_3[],3,0))</f>
        <v>CN</v>
      </c>
      <c r="J96" t="str">
        <f>IF(A96="","",IF('ATP Fills'!I96="3M","",VLOOKUP(RIGHT('ATP Fills'!I96,2),Helper1!$O$36:$P$48,2,0)))</f>
        <v>V</v>
      </c>
      <c r="K96" t="str">
        <f>IF(J96="","",LEFT('ATP Fills'!I96,4))</f>
        <v>2021</v>
      </c>
      <c r="L96" t="str">
        <f>IF(A96="","",IF('ATP Fills'!G96="LME",'ATP Fills'!I96,""))</f>
        <v/>
      </c>
      <c r="M96" t="str">
        <f t="shared" si="1"/>
        <v>V-2021-CN</v>
      </c>
    </row>
    <row r="97" spans="1:13">
      <c r="A97" t="str">
        <f>IF('ATP Fills'!A97="","",IF('ATP Fills'!Q97="PHILLIPSG",'ATP Fills'!F97,""))</f>
        <v>H0000592</v>
      </c>
      <c r="B97" t="str">
        <f>IF(A97="","",'ATP Fills'!L97)</f>
        <v>Buy</v>
      </c>
      <c r="C97">
        <f>IF(A97="","",'ATP Fills'!M97)</f>
        <v>1</v>
      </c>
      <c r="D97">
        <f>IF(A97="","",'ATP Fills'!B97)</f>
        <v>20210915</v>
      </c>
      <c r="E97" s="3" t="str">
        <f ca="1">IF(A97="","",IF(DATE(LEFT(D97,4),MID(D97,5,2),RIGHT(D97,2))=Helper1!$P$1,Helper1!$P$1,""))</f>
        <v/>
      </c>
      <c r="F97" s="3" t="str">
        <f>IF(A97="","",'ATP Fills'!G97)</f>
        <v>SGX</v>
      </c>
      <c r="G97" t="str">
        <f>IF(A97="","",'ATP Fills'!H97)</f>
        <v>CN</v>
      </c>
      <c r="H97" t="str">
        <f>IF(A97="","",VLOOKUP(G97,表3_3[],2,0))</f>
        <v>SIMEX</v>
      </c>
      <c r="I97" t="str">
        <f>IF(A97="","",VLOOKUP(G97,表3_3[],3,0))</f>
        <v>CN</v>
      </c>
      <c r="J97" t="str">
        <f>IF(A97="","",IF('ATP Fills'!I97="3M","",VLOOKUP(RIGHT('ATP Fills'!I97,2),Helper1!$O$36:$P$48,2,0)))</f>
        <v>V</v>
      </c>
      <c r="K97" t="str">
        <f>IF(J97="","",LEFT('ATP Fills'!I97,4))</f>
        <v>2021</v>
      </c>
      <c r="L97" t="str">
        <f>IF(A97="","",IF('ATP Fills'!G97="LME",'ATP Fills'!I97,""))</f>
        <v/>
      </c>
      <c r="M97" t="str">
        <f t="shared" si="1"/>
        <v>V-2021-CN</v>
      </c>
    </row>
    <row r="98" spans="1:13">
      <c r="A98" t="str">
        <f>IF('ATP Fills'!A98="","",IF('ATP Fills'!Q98="PHILLIPSG",'ATP Fills'!F98,""))</f>
        <v>H0000592</v>
      </c>
      <c r="B98" t="str">
        <f>IF(A98="","",'ATP Fills'!L98)</f>
        <v>Buy</v>
      </c>
      <c r="C98">
        <f>IF(A98="","",'ATP Fills'!M98)</f>
        <v>9</v>
      </c>
      <c r="D98">
        <f>IF(A98="","",'ATP Fills'!B98)</f>
        <v>20210915</v>
      </c>
      <c r="E98" s="3" t="str">
        <f ca="1">IF(A98="","",IF(DATE(LEFT(D98,4),MID(D98,5,2),RIGHT(D98,2))=Helper1!$P$1,Helper1!$P$1,""))</f>
        <v/>
      </c>
      <c r="F98" s="3" t="str">
        <f>IF(A98="","",'ATP Fills'!G98)</f>
        <v>SGX</v>
      </c>
      <c r="G98" t="str">
        <f>IF(A98="","",'ATP Fills'!H98)</f>
        <v>CN</v>
      </c>
      <c r="H98" t="str">
        <f>IF(A98="","",VLOOKUP(G98,表3_3[],2,0))</f>
        <v>SIMEX</v>
      </c>
      <c r="I98" t="str">
        <f>IF(A98="","",VLOOKUP(G98,表3_3[],3,0))</f>
        <v>CN</v>
      </c>
      <c r="J98" t="str">
        <f>IF(A98="","",IF('ATP Fills'!I98="3M","",VLOOKUP(RIGHT('ATP Fills'!I98,2),Helper1!$O$36:$P$48,2,0)))</f>
        <v>V</v>
      </c>
      <c r="K98" t="str">
        <f>IF(J98="","",LEFT('ATP Fills'!I98,4))</f>
        <v>2021</v>
      </c>
      <c r="L98" t="str">
        <f>IF(A98="","",IF('ATP Fills'!G98="LME",'ATP Fills'!I98,""))</f>
        <v/>
      </c>
      <c r="M98" t="str">
        <f t="shared" si="1"/>
        <v>V-2021-CN</v>
      </c>
    </row>
    <row r="99" spans="1:13">
      <c r="A99" t="str">
        <f>IF('ATP Fills'!A99="","",IF('ATP Fills'!Q99="PHILLIPSG",'ATP Fills'!F99,""))</f>
        <v>H0000592</v>
      </c>
      <c r="B99" t="str">
        <f>IF(A99="","",'ATP Fills'!L99)</f>
        <v>Buy</v>
      </c>
      <c r="C99">
        <f>IF(A99="","",'ATP Fills'!M99)</f>
        <v>10</v>
      </c>
      <c r="D99">
        <f>IF(A99="","",'ATP Fills'!B99)</f>
        <v>20210915</v>
      </c>
      <c r="E99" s="3" t="str">
        <f ca="1">IF(A99="","",IF(DATE(LEFT(D99,4),MID(D99,5,2),RIGHT(D99,2))=Helper1!$P$1,Helper1!$P$1,""))</f>
        <v/>
      </c>
      <c r="F99" s="3" t="str">
        <f>IF(A99="","",'ATP Fills'!G99)</f>
        <v>SGX</v>
      </c>
      <c r="G99" t="str">
        <f>IF(A99="","",'ATP Fills'!H99)</f>
        <v>CN</v>
      </c>
      <c r="H99" t="str">
        <f>IF(A99="","",VLOOKUP(G99,表3_3[],2,0))</f>
        <v>SIMEX</v>
      </c>
      <c r="I99" t="str">
        <f>IF(A99="","",VLOOKUP(G99,表3_3[],3,0))</f>
        <v>CN</v>
      </c>
      <c r="J99" t="str">
        <f>IF(A99="","",IF('ATP Fills'!I99="3M","",VLOOKUP(RIGHT('ATP Fills'!I99,2),Helper1!$O$36:$P$48,2,0)))</f>
        <v>V</v>
      </c>
      <c r="K99" t="str">
        <f>IF(J99="","",LEFT('ATP Fills'!I99,4))</f>
        <v>2021</v>
      </c>
      <c r="L99" t="str">
        <f>IF(A99="","",IF('ATP Fills'!G99="LME",'ATP Fills'!I99,""))</f>
        <v/>
      </c>
      <c r="M99" t="str">
        <f t="shared" si="1"/>
        <v>V-2021-CN</v>
      </c>
    </row>
    <row r="100" spans="1:13">
      <c r="A100" t="str">
        <f>IF('ATP Fills'!A100="","",IF('ATP Fills'!Q100="PHILLIPSG",'ATP Fills'!F100,""))</f>
        <v>H0000592</v>
      </c>
      <c r="B100" t="str">
        <f>IF(A100="","",'ATP Fills'!L100)</f>
        <v>Buy</v>
      </c>
      <c r="C100">
        <f>IF(A100="","",'ATP Fills'!M100)</f>
        <v>1</v>
      </c>
      <c r="D100">
        <f>IF(A100="","",'ATP Fills'!B100)</f>
        <v>20210915</v>
      </c>
      <c r="E100" s="3" t="str">
        <f ca="1">IF(A100="","",IF(DATE(LEFT(D100,4),MID(D100,5,2),RIGHT(D100,2))=Helper1!$P$1,Helper1!$P$1,""))</f>
        <v/>
      </c>
      <c r="F100" s="3" t="str">
        <f>IF(A100="","",'ATP Fills'!G100)</f>
        <v>SGX</v>
      </c>
      <c r="G100" t="str">
        <f>IF(A100="","",'ATP Fills'!H100)</f>
        <v>CN</v>
      </c>
      <c r="H100" t="str">
        <f>IF(A100="","",VLOOKUP(G100,表3_3[],2,0))</f>
        <v>SIMEX</v>
      </c>
      <c r="I100" t="str">
        <f>IF(A100="","",VLOOKUP(G100,表3_3[],3,0))</f>
        <v>CN</v>
      </c>
      <c r="J100" t="str">
        <f>IF(A100="","",IF('ATP Fills'!I100="3M","",VLOOKUP(RIGHT('ATP Fills'!I100,2),Helper1!$O$36:$P$48,2,0)))</f>
        <v>V</v>
      </c>
      <c r="K100" t="str">
        <f>IF(J100="","",LEFT('ATP Fills'!I100,4))</f>
        <v>2021</v>
      </c>
      <c r="L100" t="str">
        <f>IF(A100="","",IF('ATP Fills'!G100="LME",'ATP Fills'!I100,""))</f>
        <v/>
      </c>
      <c r="M100" t="str">
        <f t="shared" si="1"/>
        <v>V-2021-CN</v>
      </c>
    </row>
    <row r="101" spans="1:13">
      <c r="A101" t="str">
        <f>IF('ATP Fills'!A101="","",IF('ATP Fills'!Q101="PHILLIPSG",'ATP Fills'!F101,""))</f>
        <v>H0000592</v>
      </c>
      <c r="B101" t="str">
        <f>IF(A101="","",'ATP Fills'!L101)</f>
        <v>Buy</v>
      </c>
      <c r="C101">
        <f>IF(A101="","",'ATP Fills'!M101)</f>
        <v>9</v>
      </c>
      <c r="D101">
        <f>IF(A101="","",'ATP Fills'!B101)</f>
        <v>20210915</v>
      </c>
      <c r="E101" s="3" t="str">
        <f ca="1">IF(A101="","",IF(DATE(LEFT(D101,4),MID(D101,5,2),RIGHT(D101,2))=Helper1!$P$1,Helper1!$P$1,""))</f>
        <v/>
      </c>
      <c r="F101" s="3" t="str">
        <f>IF(A101="","",'ATP Fills'!G101)</f>
        <v>SGX</v>
      </c>
      <c r="G101" t="str">
        <f>IF(A101="","",'ATP Fills'!H101)</f>
        <v>CN</v>
      </c>
      <c r="H101" t="str">
        <f>IF(A101="","",VLOOKUP(G101,表3_3[],2,0))</f>
        <v>SIMEX</v>
      </c>
      <c r="I101" t="str">
        <f>IF(A101="","",VLOOKUP(G101,表3_3[],3,0))</f>
        <v>CN</v>
      </c>
      <c r="J101" t="str">
        <f>IF(A101="","",IF('ATP Fills'!I101="3M","",VLOOKUP(RIGHT('ATP Fills'!I101,2),Helper1!$O$36:$P$48,2,0)))</f>
        <v>V</v>
      </c>
      <c r="K101" t="str">
        <f>IF(J101="","",LEFT('ATP Fills'!I101,4))</f>
        <v>2021</v>
      </c>
      <c r="L101" t="str">
        <f>IF(A101="","",IF('ATP Fills'!G101="LME",'ATP Fills'!I101,""))</f>
        <v/>
      </c>
      <c r="M101" t="str">
        <f t="shared" si="1"/>
        <v>V-2021-CN</v>
      </c>
    </row>
    <row r="102" spans="1:13">
      <c r="A102" t="str">
        <f>IF('ATP Fills'!A102="","",IF('ATP Fills'!Q102="PHILLIPSG",'ATP Fills'!F102,""))</f>
        <v>H0000592</v>
      </c>
      <c r="B102" t="str">
        <f>IF(A102="","",'ATP Fills'!L102)</f>
        <v>Buy</v>
      </c>
      <c r="C102">
        <f>IF(A102="","",'ATP Fills'!M102)</f>
        <v>3</v>
      </c>
      <c r="D102">
        <f>IF(A102="","",'ATP Fills'!B102)</f>
        <v>20210915</v>
      </c>
      <c r="E102" s="3" t="str">
        <f ca="1">IF(A102="","",IF(DATE(LEFT(D102,4),MID(D102,5,2),RIGHT(D102,2))=Helper1!$P$1,Helper1!$P$1,""))</f>
        <v/>
      </c>
      <c r="F102" s="3" t="str">
        <f>IF(A102="","",'ATP Fills'!G102)</f>
        <v>SGX</v>
      </c>
      <c r="G102" t="str">
        <f>IF(A102="","",'ATP Fills'!H102)</f>
        <v>CN</v>
      </c>
      <c r="H102" t="str">
        <f>IF(A102="","",VLOOKUP(G102,表3_3[],2,0))</f>
        <v>SIMEX</v>
      </c>
      <c r="I102" t="str">
        <f>IF(A102="","",VLOOKUP(G102,表3_3[],3,0))</f>
        <v>CN</v>
      </c>
      <c r="J102" t="str">
        <f>IF(A102="","",IF('ATP Fills'!I102="3M","",VLOOKUP(RIGHT('ATP Fills'!I102,2),Helper1!$O$36:$P$48,2,0)))</f>
        <v>V</v>
      </c>
      <c r="K102" t="str">
        <f>IF(J102="","",LEFT('ATP Fills'!I102,4))</f>
        <v>2021</v>
      </c>
      <c r="L102" t="str">
        <f>IF(A102="","",IF('ATP Fills'!G102="LME",'ATP Fills'!I102,""))</f>
        <v/>
      </c>
      <c r="M102" t="str">
        <f t="shared" si="1"/>
        <v>V-2021-CN</v>
      </c>
    </row>
    <row r="103" spans="1:13">
      <c r="A103" t="str">
        <f>IF('ATP Fills'!A103="","",IF('ATP Fills'!Q103="PHILLIPSG",'ATP Fills'!F103,""))</f>
        <v>H0000592</v>
      </c>
      <c r="B103" t="str">
        <f>IF(A103="","",'ATP Fills'!L103)</f>
        <v>Buy</v>
      </c>
      <c r="C103">
        <f>IF(A103="","",'ATP Fills'!M103)</f>
        <v>6</v>
      </c>
      <c r="D103">
        <f>IF(A103="","",'ATP Fills'!B103)</f>
        <v>20210915</v>
      </c>
      <c r="E103" s="3" t="str">
        <f ca="1">IF(A103="","",IF(DATE(LEFT(D103,4),MID(D103,5,2),RIGHT(D103,2))=Helper1!$P$1,Helper1!$P$1,""))</f>
        <v/>
      </c>
      <c r="F103" s="3" t="str">
        <f>IF(A103="","",'ATP Fills'!G103)</f>
        <v>SGX</v>
      </c>
      <c r="G103" t="str">
        <f>IF(A103="","",'ATP Fills'!H103)</f>
        <v>CN</v>
      </c>
      <c r="H103" t="str">
        <f>IF(A103="","",VLOOKUP(G103,表3_3[],2,0))</f>
        <v>SIMEX</v>
      </c>
      <c r="I103" t="str">
        <f>IF(A103="","",VLOOKUP(G103,表3_3[],3,0))</f>
        <v>CN</v>
      </c>
      <c r="J103" t="str">
        <f>IF(A103="","",IF('ATP Fills'!I103="3M","",VLOOKUP(RIGHT('ATP Fills'!I103,2),Helper1!$O$36:$P$48,2,0)))</f>
        <v>V</v>
      </c>
      <c r="K103" t="str">
        <f>IF(J103="","",LEFT('ATP Fills'!I103,4))</f>
        <v>2021</v>
      </c>
      <c r="L103" t="str">
        <f>IF(A103="","",IF('ATP Fills'!G103="LME",'ATP Fills'!I103,""))</f>
        <v/>
      </c>
      <c r="M103" t="str">
        <f t="shared" si="1"/>
        <v>V-2021-CN</v>
      </c>
    </row>
    <row r="104" spans="1:13">
      <c r="A104" t="str">
        <f>IF('ATP Fills'!A104="","",IF('ATP Fills'!Q104="PHILLIPSG",'ATP Fills'!F104,""))</f>
        <v>H0000592</v>
      </c>
      <c r="B104" t="str">
        <f>IF(A104="","",'ATP Fills'!L104)</f>
        <v>Buy</v>
      </c>
      <c r="C104">
        <f>IF(A104="","",'ATP Fills'!M104)</f>
        <v>5</v>
      </c>
      <c r="D104">
        <f>IF(A104="","",'ATP Fills'!B104)</f>
        <v>20210915</v>
      </c>
      <c r="E104" s="3" t="str">
        <f ca="1">IF(A104="","",IF(DATE(LEFT(D104,4),MID(D104,5,2),RIGHT(D104,2))=Helper1!$P$1,Helper1!$P$1,""))</f>
        <v/>
      </c>
      <c r="F104" s="3" t="str">
        <f>IF(A104="","",'ATP Fills'!G104)</f>
        <v>SGX</v>
      </c>
      <c r="G104" t="str">
        <f>IF(A104="","",'ATP Fills'!H104)</f>
        <v>CN</v>
      </c>
      <c r="H104" t="str">
        <f>IF(A104="","",VLOOKUP(G104,表3_3[],2,0))</f>
        <v>SIMEX</v>
      </c>
      <c r="I104" t="str">
        <f>IF(A104="","",VLOOKUP(G104,表3_3[],3,0))</f>
        <v>CN</v>
      </c>
      <c r="J104" t="str">
        <f>IF(A104="","",IF('ATP Fills'!I104="3M","",VLOOKUP(RIGHT('ATP Fills'!I104,2),Helper1!$O$36:$P$48,2,0)))</f>
        <v>V</v>
      </c>
      <c r="K104" t="str">
        <f>IF(J104="","",LEFT('ATP Fills'!I104,4))</f>
        <v>2021</v>
      </c>
      <c r="L104" t="str">
        <f>IF(A104="","",IF('ATP Fills'!G104="LME",'ATP Fills'!I104,""))</f>
        <v/>
      </c>
      <c r="M104" t="str">
        <f t="shared" si="1"/>
        <v>V-2021-CN</v>
      </c>
    </row>
    <row r="105" spans="1:13">
      <c r="A105" t="str">
        <f>IF('ATP Fills'!A105="","",IF('ATP Fills'!Q105="PHILLIPSG",'ATP Fills'!F105,""))</f>
        <v/>
      </c>
      <c r="B105" t="str">
        <f>IF(A105="","",'ATP Fills'!L105)</f>
        <v/>
      </c>
      <c r="C105" t="str">
        <f>IF(A105="","",'ATP Fills'!M105)</f>
        <v/>
      </c>
      <c r="D105" t="str">
        <f>IF(A105="","",'ATP Fills'!B105)</f>
        <v/>
      </c>
      <c r="E105" s="3" t="str">
        <f>IF(A105="","",IF(DATE(LEFT(D105,4),MID(D105,5,2),RIGHT(D105,2))=Helper1!$P$1,Helper1!$P$1,""))</f>
        <v/>
      </c>
      <c r="F105" s="3" t="str">
        <f>IF(A105="","",'ATP Fills'!G105)</f>
        <v/>
      </c>
      <c r="G105" t="str">
        <f>IF(A105="","",'ATP Fills'!H105)</f>
        <v/>
      </c>
      <c r="H105" t="str">
        <f>IF(A105="","",VLOOKUP(G105,表3_3[],2,0))</f>
        <v/>
      </c>
      <c r="I105" t="str">
        <f>IF(A105="","",VLOOKUP(G105,表3_3[],3,0))</f>
        <v/>
      </c>
      <c r="J105" t="str">
        <f>IF(A105="","",IF('ATP Fills'!I105="3M","",VLOOKUP(RIGHT('ATP Fills'!I105,2),Helper1!$O$36:$P$48,2,0)))</f>
        <v/>
      </c>
      <c r="K105" t="str">
        <f>IF(J105="","",LEFT('ATP Fills'!I105,4))</f>
        <v/>
      </c>
      <c r="L105" t="str">
        <f>IF(A105="","",IF('ATP Fills'!G105="LME",'ATP Fills'!I105,""))</f>
        <v/>
      </c>
      <c r="M105" t="str">
        <f t="shared" si="1"/>
        <v/>
      </c>
    </row>
    <row r="106" spans="1:13">
      <c r="A106" t="str">
        <f>IF('ATP Fills'!A106="","",IF('ATP Fills'!Q106="PHILLIPSG",'ATP Fills'!F106,""))</f>
        <v/>
      </c>
      <c r="B106" t="str">
        <f>IF(A106="","",'ATP Fills'!L106)</f>
        <v/>
      </c>
      <c r="C106" t="str">
        <f>IF(A106="","",'ATP Fills'!M106)</f>
        <v/>
      </c>
      <c r="D106" t="str">
        <f>IF(A106="","",'ATP Fills'!B106)</f>
        <v/>
      </c>
      <c r="E106" s="3" t="str">
        <f>IF(A106="","",IF(DATE(LEFT(D106,4),MID(D106,5,2),RIGHT(D106,2))=Helper1!$P$1,Helper1!$P$1,""))</f>
        <v/>
      </c>
      <c r="F106" s="3" t="str">
        <f>IF(A106="","",'ATP Fills'!G106)</f>
        <v/>
      </c>
      <c r="G106" t="str">
        <f>IF(A106="","",'ATP Fills'!H106)</f>
        <v/>
      </c>
      <c r="H106" t="str">
        <f>IF(A106="","",VLOOKUP(G106,表3_3[],2,0))</f>
        <v/>
      </c>
      <c r="I106" t="str">
        <f>IF(A106="","",VLOOKUP(G106,表3_3[],3,0))</f>
        <v/>
      </c>
      <c r="J106" t="str">
        <f>IF(A106="","",IF('ATP Fills'!I106="3M","",VLOOKUP(RIGHT('ATP Fills'!I106,2),Helper1!$O$36:$P$48,2,0)))</f>
        <v/>
      </c>
      <c r="K106" t="str">
        <f>IF(J106="","",LEFT('ATP Fills'!I106,4))</f>
        <v/>
      </c>
      <c r="L106" t="str">
        <f>IF(A106="","",IF('ATP Fills'!G106="LME",'ATP Fills'!I106,""))</f>
        <v/>
      </c>
      <c r="M106" t="str">
        <f t="shared" si="1"/>
        <v/>
      </c>
    </row>
    <row r="107" spans="1:13">
      <c r="A107" t="str">
        <f>IF('ATP Fills'!A107="","",IF('ATP Fills'!Q107="PHILLIPSG",'ATP Fills'!F107,""))</f>
        <v>H0000592</v>
      </c>
      <c r="B107" t="str">
        <f>IF(A107="","",'ATP Fills'!L107)</f>
        <v>Buy</v>
      </c>
      <c r="C107">
        <f>IF(A107="","",'ATP Fills'!M107)</f>
        <v>5</v>
      </c>
      <c r="D107">
        <f>IF(A107="","",'ATP Fills'!B107)</f>
        <v>20210915</v>
      </c>
      <c r="E107" s="3" t="str">
        <f ca="1">IF(A107="","",IF(DATE(LEFT(D107,4),MID(D107,5,2),RIGHT(D107,2))=Helper1!$P$1,Helper1!$P$1,""))</f>
        <v/>
      </c>
      <c r="F107" s="3" t="str">
        <f>IF(A107="","",'ATP Fills'!G107)</f>
        <v>SGX</v>
      </c>
      <c r="G107" t="str">
        <f>IF(A107="","",'ATP Fills'!H107)</f>
        <v>CN</v>
      </c>
      <c r="H107" t="str">
        <f>IF(A107="","",VLOOKUP(G107,表3_3[],2,0))</f>
        <v>SIMEX</v>
      </c>
      <c r="I107" t="str">
        <f>IF(A107="","",VLOOKUP(G107,表3_3[],3,0))</f>
        <v>CN</v>
      </c>
      <c r="J107" t="str">
        <f>IF(A107="","",IF('ATP Fills'!I107="3M","",VLOOKUP(RIGHT('ATP Fills'!I107,2),Helper1!$O$36:$P$48,2,0)))</f>
        <v>V</v>
      </c>
      <c r="K107" t="str">
        <f>IF(J107="","",LEFT('ATP Fills'!I107,4))</f>
        <v>2021</v>
      </c>
      <c r="L107" t="str">
        <f>IF(A107="","",IF('ATP Fills'!G107="LME",'ATP Fills'!I107,""))</f>
        <v/>
      </c>
      <c r="M107" t="str">
        <f t="shared" si="1"/>
        <v>V-2021-CN</v>
      </c>
    </row>
    <row r="108" spans="1:13">
      <c r="A108" t="str">
        <f>IF('ATP Fills'!A108="","",IF('ATP Fills'!Q108="PHILLIPSG",'ATP Fills'!F108,""))</f>
        <v/>
      </c>
      <c r="B108" t="str">
        <f>IF(A108="","",'ATP Fills'!L108)</f>
        <v/>
      </c>
      <c r="C108" t="str">
        <f>IF(A108="","",'ATP Fills'!M108)</f>
        <v/>
      </c>
      <c r="D108" t="str">
        <f>IF(A108="","",'ATP Fills'!B108)</f>
        <v/>
      </c>
      <c r="E108" s="3" t="str">
        <f>IF(A108="","",IF(DATE(LEFT(D108,4),MID(D108,5,2),RIGHT(D108,2))=Helper1!$P$1,Helper1!$P$1,""))</f>
        <v/>
      </c>
      <c r="F108" s="3" t="str">
        <f>IF(A108="","",'ATP Fills'!G108)</f>
        <v/>
      </c>
      <c r="G108" t="str">
        <f>IF(A108="","",'ATP Fills'!H108)</f>
        <v/>
      </c>
      <c r="H108" t="str">
        <f>IF(A108="","",VLOOKUP(G108,表3_3[],2,0))</f>
        <v/>
      </c>
      <c r="I108" t="str">
        <f>IF(A108="","",VLOOKUP(G108,表3_3[],3,0))</f>
        <v/>
      </c>
      <c r="J108" t="str">
        <f>IF(A108="","",IF('ATP Fills'!I108="3M","",VLOOKUP(RIGHT('ATP Fills'!I108,2),Helper1!$O$36:$P$48,2,0)))</f>
        <v/>
      </c>
      <c r="K108" t="str">
        <f>IF(J108="","",LEFT('ATP Fills'!I108,4))</f>
        <v/>
      </c>
      <c r="L108" t="str">
        <f>IF(A108="","",IF('ATP Fills'!G108="LME",'ATP Fills'!I108,""))</f>
        <v/>
      </c>
      <c r="M108" t="str">
        <f t="shared" si="1"/>
        <v/>
      </c>
    </row>
    <row r="109" spans="1:13">
      <c r="A109" t="str">
        <f>IF('ATP Fills'!A109="","",IF('ATP Fills'!Q109="PHILLIPSG",'ATP Fills'!F109,""))</f>
        <v/>
      </c>
      <c r="B109" t="str">
        <f>IF(A109="","",'ATP Fills'!L109)</f>
        <v/>
      </c>
      <c r="C109" t="str">
        <f>IF(A109="","",'ATP Fills'!M109)</f>
        <v/>
      </c>
      <c r="D109" t="str">
        <f>IF(A109="","",'ATP Fills'!B109)</f>
        <v/>
      </c>
      <c r="E109" s="3" t="str">
        <f>IF(A109="","",IF(DATE(LEFT(D109,4),MID(D109,5,2),RIGHT(D109,2))=Helper1!$P$1,Helper1!$P$1,""))</f>
        <v/>
      </c>
      <c r="F109" s="3" t="str">
        <f>IF(A109="","",'ATP Fills'!G109)</f>
        <v/>
      </c>
      <c r="G109" t="str">
        <f>IF(A109="","",'ATP Fills'!H109)</f>
        <v/>
      </c>
      <c r="H109" t="str">
        <f>IF(A109="","",VLOOKUP(G109,表3_3[],2,0))</f>
        <v/>
      </c>
      <c r="I109" t="str">
        <f>IF(A109="","",VLOOKUP(G109,表3_3[],3,0))</f>
        <v/>
      </c>
      <c r="J109" t="str">
        <f>IF(A109="","",IF('ATP Fills'!I109="3M","",VLOOKUP(RIGHT('ATP Fills'!I109,2),Helper1!$O$36:$P$48,2,0)))</f>
        <v/>
      </c>
      <c r="K109" t="str">
        <f>IF(J109="","",LEFT('ATP Fills'!I109,4))</f>
        <v/>
      </c>
      <c r="L109" t="str">
        <f>IF(A109="","",IF('ATP Fills'!G109="LME",'ATP Fills'!I109,""))</f>
        <v/>
      </c>
      <c r="M109" t="str">
        <f t="shared" si="1"/>
        <v/>
      </c>
    </row>
    <row r="110" spans="1:13">
      <c r="A110" t="str">
        <f>IF('ATP Fills'!A110="","",IF('ATP Fills'!Q110="PHILLIPSG",'ATP Fills'!F110,""))</f>
        <v/>
      </c>
      <c r="B110" t="str">
        <f>IF(A110="","",'ATP Fills'!L110)</f>
        <v/>
      </c>
      <c r="C110" t="str">
        <f>IF(A110="","",'ATP Fills'!M110)</f>
        <v/>
      </c>
      <c r="D110" t="str">
        <f>IF(A110="","",'ATP Fills'!B110)</f>
        <v/>
      </c>
      <c r="E110" s="3" t="str">
        <f>IF(A110="","",IF(DATE(LEFT(D110,4),MID(D110,5,2),RIGHT(D110,2))=Helper1!$P$1,Helper1!$P$1,""))</f>
        <v/>
      </c>
      <c r="F110" s="3" t="str">
        <f>IF(A110="","",'ATP Fills'!G110)</f>
        <v/>
      </c>
      <c r="G110" t="str">
        <f>IF(A110="","",'ATP Fills'!H110)</f>
        <v/>
      </c>
      <c r="H110" t="str">
        <f>IF(A110="","",VLOOKUP(G110,表3_3[],2,0))</f>
        <v/>
      </c>
      <c r="I110" t="str">
        <f>IF(A110="","",VLOOKUP(G110,表3_3[],3,0))</f>
        <v/>
      </c>
      <c r="J110" t="str">
        <f>IF(A110="","",IF('ATP Fills'!I110="3M","",VLOOKUP(RIGHT('ATP Fills'!I110,2),Helper1!$O$36:$P$48,2,0)))</f>
        <v/>
      </c>
      <c r="K110" t="str">
        <f>IF(J110="","",LEFT('ATP Fills'!I110,4))</f>
        <v/>
      </c>
      <c r="L110" t="str">
        <f>IF(A110="","",IF('ATP Fills'!G110="LME",'ATP Fills'!I110,""))</f>
        <v/>
      </c>
      <c r="M110" t="str">
        <f t="shared" si="1"/>
        <v/>
      </c>
    </row>
    <row r="111" spans="1:13">
      <c r="A111" t="str">
        <f>IF('ATP Fills'!A111="","",IF('ATP Fills'!Q111="PHILLIPSG",'ATP Fills'!F111,""))</f>
        <v/>
      </c>
      <c r="B111" t="str">
        <f>IF(A111="","",'ATP Fills'!L111)</f>
        <v/>
      </c>
      <c r="C111" t="str">
        <f>IF(A111="","",'ATP Fills'!M111)</f>
        <v/>
      </c>
      <c r="D111" t="str">
        <f>IF(A111="","",'ATP Fills'!B111)</f>
        <v/>
      </c>
      <c r="E111" s="3" t="str">
        <f>IF(A111="","",IF(DATE(LEFT(D111,4),MID(D111,5,2),RIGHT(D111,2))=Helper1!$P$1,Helper1!$P$1,""))</f>
        <v/>
      </c>
      <c r="F111" s="3" t="str">
        <f>IF(A111="","",'ATP Fills'!G111)</f>
        <v/>
      </c>
      <c r="G111" t="str">
        <f>IF(A111="","",'ATP Fills'!H111)</f>
        <v/>
      </c>
      <c r="H111" t="str">
        <f>IF(A111="","",VLOOKUP(G111,表3_3[],2,0))</f>
        <v/>
      </c>
      <c r="I111" t="str">
        <f>IF(A111="","",VLOOKUP(G111,表3_3[],3,0))</f>
        <v/>
      </c>
      <c r="J111" t="str">
        <f>IF(A111="","",IF('ATP Fills'!I111="3M","",VLOOKUP(RIGHT('ATP Fills'!I111,2),Helper1!$O$36:$P$48,2,0)))</f>
        <v/>
      </c>
      <c r="K111" t="str">
        <f>IF(J111="","",LEFT('ATP Fills'!I111,4))</f>
        <v/>
      </c>
      <c r="L111" t="str">
        <f>IF(A111="","",IF('ATP Fills'!G111="LME",'ATP Fills'!I111,""))</f>
        <v/>
      </c>
      <c r="M111" t="str">
        <f t="shared" si="1"/>
        <v/>
      </c>
    </row>
    <row r="112" spans="1:13">
      <c r="A112" t="str">
        <f>IF('ATP Fills'!A112="","",IF('ATP Fills'!Q112="PHILLIPSG",'ATP Fills'!F112,""))</f>
        <v>H0000592</v>
      </c>
      <c r="B112" t="str">
        <f>IF(A112="","",'ATP Fills'!L112)</f>
        <v>Buy</v>
      </c>
      <c r="C112">
        <f>IF(A112="","",'ATP Fills'!M112)</f>
        <v>1</v>
      </c>
      <c r="D112">
        <f>IF(A112="","",'ATP Fills'!B112)</f>
        <v>20210915</v>
      </c>
      <c r="E112" s="3" t="str">
        <f ca="1">IF(A112="","",IF(DATE(LEFT(D112,4),MID(D112,5,2),RIGHT(D112,2))=Helper1!$P$1,Helper1!$P$1,""))</f>
        <v/>
      </c>
      <c r="F112" s="3" t="str">
        <f>IF(A112="","",'ATP Fills'!G112)</f>
        <v>SGX</v>
      </c>
      <c r="G112" t="str">
        <f>IF(A112="","",'ATP Fills'!H112)</f>
        <v>CN</v>
      </c>
      <c r="H112" t="str">
        <f>IF(A112="","",VLOOKUP(G112,表3_3[],2,0))</f>
        <v>SIMEX</v>
      </c>
      <c r="I112" t="str">
        <f>IF(A112="","",VLOOKUP(G112,表3_3[],3,0))</f>
        <v>CN</v>
      </c>
      <c r="J112" t="str">
        <f>IF(A112="","",IF('ATP Fills'!I112="3M","",VLOOKUP(RIGHT('ATP Fills'!I112,2),Helper1!$O$36:$P$48,2,0)))</f>
        <v>V</v>
      </c>
      <c r="K112" t="str">
        <f>IF(J112="","",LEFT('ATP Fills'!I112,4))</f>
        <v>2021</v>
      </c>
      <c r="L112" t="str">
        <f>IF(A112="","",IF('ATP Fills'!G112="LME",'ATP Fills'!I112,""))</f>
        <v/>
      </c>
      <c r="M112" t="str">
        <f t="shared" si="1"/>
        <v>V-2021-CN</v>
      </c>
    </row>
    <row r="113" spans="1:13">
      <c r="A113" t="str">
        <f>IF('ATP Fills'!A113="","",IF('ATP Fills'!Q113="PHILLIPSG",'ATP Fills'!F113,""))</f>
        <v>H0000592</v>
      </c>
      <c r="B113" t="str">
        <f>IF(A113="","",'ATP Fills'!L113)</f>
        <v>Buy</v>
      </c>
      <c r="C113">
        <f>IF(A113="","",'ATP Fills'!M113)</f>
        <v>10</v>
      </c>
      <c r="D113">
        <f>IF(A113="","",'ATP Fills'!B113)</f>
        <v>20210915</v>
      </c>
      <c r="E113" s="3" t="str">
        <f ca="1">IF(A113="","",IF(DATE(LEFT(D113,4),MID(D113,5,2),RIGHT(D113,2))=Helper1!$P$1,Helper1!$P$1,""))</f>
        <v/>
      </c>
      <c r="F113" s="3" t="str">
        <f>IF(A113="","",'ATP Fills'!G113)</f>
        <v>SGX</v>
      </c>
      <c r="G113" t="str">
        <f>IF(A113="","",'ATP Fills'!H113)</f>
        <v>CN</v>
      </c>
      <c r="H113" t="str">
        <f>IF(A113="","",VLOOKUP(G113,表3_3[],2,0))</f>
        <v>SIMEX</v>
      </c>
      <c r="I113" t="str">
        <f>IF(A113="","",VLOOKUP(G113,表3_3[],3,0))</f>
        <v>CN</v>
      </c>
      <c r="J113" t="str">
        <f>IF(A113="","",IF('ATP Fills'!I113="3M","",VLOOKUP(RIGHT('ATP Fills'!I113,2),Helper1!$O$36:$P$48,2,0)))</f>
        <v>V</v>
      </c>
      <c r="K113" t="str">
        <f>IF(J113="","",LEFT('ATP Fills'!I113,4))</f>
        <v>2021</v>
      </c>
      <c r="L113" t="str">
        <f>IF(A113="","",IF('ATP Fills'!G113="LME",'ATP Fills'!I113,""))</f>
        <v/>
      </c>
      <c r="M113" t="str">
        <f t="shared" si="1"/>
        <v>V-2021-CN</v>
      </c>
    </row>
    <row r="114" spans="1:13">
      <c r="A114" t="str">
        <f>IF('ATP Fills'!A114="","",IF('ATP Fills'!Q114="PHILLIPSG",'ATP Fills'!F114,""))</f>
        <v>H0000592</v>
      </c>
      <c r="B114" t="str">
        <f>IF(A114="","",'ATP Fills'!L114)</f>
        <v>Buy</v>
      </c>
      <c r="C114">
        <f>IF(A114="","",'ATP Fills'!M114)</f>
        <v>10</v>
      </c>
      <c r="D114">
        <f>IF(A114="","",'ATP Fills'!B114)</f>
        <v>20210915</v>
      </c>
      <c r="E114" s="3" t="str">
        <f ca="1">IF(A114="","",IF(DATE(LEFT(D114,4),MID(D114,5,2),RIGHT(D114,2))=Helper1!$P$1,Helper1!$P$1,""))</f>
        <v/>
      </c>
      <c r="F114" s="3" t="str">
        <f>IF(A114="","",'ATP Fills'!G114)</f>
        <v>SGX</v>
      </c>
      <c r="G114" t="str">
        <f>IF(A114="","",'ATP Fills'!H114)</f>
        <v>CN</v>
      </c>
      <c r="H114" t="str">
        <f>IF(A114="","",VLOOKUP(G114,表3_3[],2,0))</f>
        <v>SIMEX</v>
      </c>
      <c r="I114" t="str">
        <f>IF(A114="","",VLOOKUP(G114,表3_3[],3,0))</f>
        <v>CN</v>
      </c>
      <c r="J114" t="str">
        <f>IF(A114="","",IF('ATP Fills'!I114="3M","",VLOOKUP(RIGHT('ATP Fills'!I114,2),Helper1!$O$36:$P$48,2,0)))</f>
        <v>V</v>
      </c>
      <c r="K114" t="str">
        <f>IF(J114="","",LEFT('ATP Fills'!I114,4))</f>
        <v>2021</v>
      </c>
      <c r="L114" t="str">
        <f>IF(A114="","",IF('ATP Fills'!G114="LME",'ATP Fills'!I114,""))</f>
        <v/>
      </c>
      <c r="M114" t="str">
        <f t="shared" si="1"/>
        <v>V-2021-CN</v>
      </c>
    </row>
    <row r="115" spans="1:13">
      <c r="A115" t="str">
        <f>IF('ATP Fills'!A115="","",IF('ATP Fills'!Q115="PHILLIPSG",'ATP Fills'!F115,""))</f>
        <v/>
      </c>
      <c r="B115" t="str">
        <f>IF(A115="","",'ATP Fills'!L115)</f>
        <v/>
      </c>
      <c r="C115" t="str">
        <f>IF(A115="","",'ATP Fills'!M115)</f>
        <v/>
      </c>
      <c r="D115" t="str">
        <f>IF(A115="","",'ATP Fills'!B115)</f>
        <v/>
      </c>
      <c r="E115" s="3" t="str">
        <f>IF(A115="","",IF(DATE(LEFT(D115,4),MID(D115,5,2),RIGHT(D115,2))=Helper1!$P$1,Helper1!$P$1,""))</f>
        <v/>
      </c>
      <c r="F115" s="3" t="str">
        <f>IF(A115="","",'ATP Fills'!G115)</f>
        <v/>
      </c>
      <c r="G115" t="str">
        <f>IF(A115="","",'ATP Fills'!H115)</f>
        <v/>
      </c>
      <c r="H115" t="str">
        <f>IF(A115="","",VLOOKUP(G115,表3_3[],2,0))</f>
        <v/>
      </c>
      <c r="I115" t="str">
        <f>IF(A115="","",VLOOKUP(G115,表3_3[],3,0))</f>
        <v/>
      </c>
      <c r="J115" t="str">
        <f>IF(A115="","",IF('ATP Fills'!I115="3M","",VLOOKUP(RIGHT('ATP Fills'!I115,2),Helper1!$O$36:$P$48,2,0)))</f>
        <v/>
      </c>
      <c r="K115" t="str">
        <f>IF(J115="","",LEFT('ATP Fills'!I115,4))</f>
        <v/>
      </c>
      <c r="L115" t="str">
        <f>IF(A115="","",IF('ATP Fills'!G115="LME",'ATP Fills'!I115,""))</f>
        <v/>
      </c>
      <c r="M115" t="str">
        <f t="shared" si="1"/>
        <v/>
      </c>
    </row>
    <row r="116" spans="1:13">
      <c r="A116" t="str">
        <f>IF('ATP Fills'!A116="","",IF('ATP Fills'!Q116="PHILLIPSG",'ATP Fills'!F116,""))</f>
        <v/>
      </c>
      <c r="B116" t="str">
        <f>IF(A116="","",'ATP Fills'!L116)</f>
        <v/>
      </c>
      <c r="C116" t="str">
        <f>IF(A116="","",'ATP Fills'!M116)</f>
        <v/>
      </c>
      <c r="D116" t="str">
        <f>IF(A116="","",'ATP Fills'!B116)</f>
        <v/>
      </c>
      <c r="E116" s="3" t="str">
        <f>IF(A116="","",IF(DATE(LEFT(D116,4),MID(D116,5,2),RIGHT(D116,2))=Helper1!$P$1,Helper1!$P$1,""))</f>
        <v/>
      </c>
      <c r="F116" s="3" t="str">
        <f>IF(A116="","",'ATP Fills'!G116)</f>
        <v/>
      </c>
      <c r="G116" t="str">
        <f>IF(A116="","",'ATP Fills'!H116)</f>
        <v/>
      </c>
      <c r="H116" t="str">
        <f>IF(A116="","",VLOOKUP(G116,表3_3[],2,0))</f>
        <v/>
      </c>
      <c r="I116" t="str">
        <f>IF(A116="","",VLOOKUP(G116,表3_3[],3,0))</f>
        <v/>
      </c>
      <c r="J116" t="str">
        <f>IF(A116="","",IF('ATP Fills'!I116="3M","",VLOOKUP(RIGHT('ATP Fills'!I116,2),Helper1!$O$36:$P$48,2,0)))</f>
        <v/>
      </c>
      <c r="K116" t="str">
        <f>IF(J116="","",LEFT('ATP Fills'!I116,4))</f>
        <v/>
      </c>
      <c r="L116" t="str">
        <f>IF(A116="","",IF('ATP Fills'!G116="LME",'ATP Fills'!I116,""))</f>
        <v/>
      </c>
      <c r="M116" t="str">
        <f t="shared" si="1"/>
        <v/>
      </c>
    </row>
    <row r="117" spans="1:13">
      <c r="A117" t="str">
        <f>IF('ATP Fills'!A117="","",IF('ATP Fills'!Q117="PHILLIPSG",'ATP Fills'!F117,""))</f>
        <v/>
      </c>
      <c r="B117" t="str">
        <f>IF(A117="","",'ATP Fills'!L117)</f>
        <v/>
      </c>
      <c r="C117" t="str">
        <f>IF(A117="","",'ATP Fills'!M117)</f>
        <v/>
      </c>
      <c r="D117" t="str">
        <f>IF(A117="","",'ATP Fills'!B117)</f>
        <v/>
      </c>
      <c r="E117" s="3" t="str">
        <f>IF(A117="","",IF(DATE(LEFT(D117,4),MID(D117,5,2),RIGHT(D117,2))=Helper1!$P$1,Helper1!$P$1,""))</f>
        <v/>
      </c>
      <c r="F117" s="3" t="str">
        <f>IF(A117="","",'ATP Fills'!G117)</f>
        <v/>
      </c>
      <c r="G117" t="str">
        <f>IF(A117="","",'ATP Fills'!H117)</f>
        <v/>
      </c>
      <c r="H117" t="str">
        <f>IF(A117="","",VLOOKUP(G117,表3_3[],2,0))</f>
        <v/>
      </c>
      <c r="I117" t="str">
        <f>IF(A117="","",VLOOKUP(G117,表3_3[],3,0))</f>
        <v/>
      </c>
      <c r="J117" t="str">
        <f>IF(A117="","",IF('ATP Fills'!I117="3M","",VLOOKUP(RIGHT('ATP Fills'!I117,2),Helper1!$O$36:$P$48,2,0)))</f>
        <v/>
      </c>
      <c r="K117" t="str">
        <f>IF(J117="","",LEFT('ATP Fills'!I117,4))</f>
        <v/>
      </c>
      <c r="L117" t="str">
        <f>IF(A117="","",IF('ATP Fills'!G117="LME",'ATP Fills'!I117,""))</f>
        <v/>
      </c>
      <c r="M117" t="str">
        <f t="shared" si="1"/>
        <v/>
      </c>
    </row>
    <row r="118" spans="1:13">
      <c r="A118" t="str">
        <f>IF('ATP Fills'!A118="","",IF('ATP Fills'!Q118="PHILLIPSG",'ATP Fills'!F118,""))</f>
        <v/>
      </c>
      <c r="B118" t="str">
        <f>IF(A118="","",'ATP Fills'!L118)</f>
        <v/>
      </c>
      <c r="C118" t="str">
        <f>IF(A118="","",'ATP Fills'!M118)</f>
        <v/>
      </c>
      <c r="D118" t="str">
        <f>IF(A118="","",'ATP Fills'!B118)</f>
        <v/>
      </c>
      <c r="E118" s="3" t="str">
        <f>IF(A118="","",IF(DATE(LEFT(D118,4),MID(D118,5,2),RIGHT(D118,2))=Helper1!$P$1,Helper1!$P$1,""))</f>
        <v/>
      </c>
      <c r="F118" s="3" t="str">
        <f>IF(A118="","",'ATP Fills'!G118)</f>
        <v/>
      </c>
      <c r="G118" t="str">
        <f>IF(A118="","",'ATP Fills'!H118)</f>
        <v/>
      </c>
      <c r="H118" t="str">
        <f>IF(A118="","",VLOOKUP(G118,表3_3[],2,0))</f>
        <v/>
      </c>
      <c r="I118" t="str">
        <f>IF(A118="","",VLOOKUP(G118,表3_3[],3,0))</f>
        <v/>
      </c>
      <c r="J118" t="str">
        <f>IF(A118="","",IF('ATP Fills'!I118="3M","",VLOOKUP(RIGHT('ATP Fills'!I118,2),Helper1!$O$36:$P$48,2,0)))</f>
        <v/>
      </c>
      <c r="K118" t="str">
        <f>IF(J118="","",LEFT('ATP Fills'!I118,4))</f>
        <v/>
      </c>
      <c r="L118" t="str">
        <f>IF(A118="","",IF('ATP Fills'!G118="LME",'ATP Fills'!I118,""))</f>
        <v/>
      </c>
      <c r="M118" t="str">
        <f t="shared" si="1"/>
        <v/>
      </c>
    </row>
    <row r="119" spans="1:13">
      <c r="A119" t="str">
        <f>IF('ATP Fills'!A119="","",IF('ATP Fills'!Q119="PHILLIPSG",'ATP Fills'!F119,""))</f>
        <v/>
      </c>
      <c r="B119" t="str">
        <f>IF(A119="","",'ATP Fills'!L119)</f>
        <v/>
      </c>
      <c r="C119" t="str">
        <f>IF(A119="","",'ATP Fills'!M119)</f>
        <v/>
      </c>
      <c r="D119" t="str">
        <f>IF(A119="","",'ATP Fills'!B119)</f>
        <v/>
      </c>
      <c r="E119" s="3" t="str">
        <f>IF(A119="","",IF(DATE(LEFT(D119,4),MID(D119,5,2),RIGHT(D119,2))=Helper1!$P$1,Helper1!$P$1,""))</f>
        <v/>
      </c>
      <c r="F119" s="3" t="str">
        <f>IF(A119="","",'ATP Fills'!G119)</f>
        <v/>
      </c>
      <c r="G119" t="str">
        <f>IF(A119="","",'ATP Fills'!H119)</f>
        <v/>
      </c>
      <c r="H119" t="str">
        <f>IF(A119="","",VLOOKUP(G119,表3_3[],2,0))</f>
        <v/>
      </c>
      <c r="I119" t="str">
        <f>IF(A119="","",VLOOKUP(G119,表3_3[],3,0))</f>
        <v/>
      </c>
      <c r="J119" t="str">
        <f>IF(A119="","",IF('ATP Fills'!I119="3M","",VLOOKUP(RIGHT('ATP Fills'!I119,2),Helper1!$O$36:$P$48,2,0)))</f>
        <v/>
      </c>
      <c r="K119" t="str">
        <f>IF(J119="","",LEFT('ATP Fills'!I119,4))</f>
        <v/>
      </c>
      <c r="L119" t="str">
        <f>IF(A119="","",IF('ATP Fills'!G119="LME",'ATP Fills'!I119,""))</f>
        <v/>
      </c>
      <c r="M119" t="str">
        <f t="shared" si="1"/>
        <v/>
      </c>
    </row>
    <row r="120" spans="1:13">
      <c r="A120" t="str">
        <f>IF('ATP Fills'!A120="","",IF('ATP Fills'!Q120="PHILLIPSG",'ATP Fills'!F120,""))</f>
        <v/>
      </c>
      <c r="B120" t="str">
        <f>IF(A120="","",'ATP Fills'!L120)</f>
        <v/>
      </c>
      <c r="C120" t="str">
        <f>IF(A120="","",'ATP Fills'!M120)</f>
        <v/>
      </c>
      <c r="D120" t="str">
        <f>IF(A120="","",'ATP Fills'!B120)</f>
        <v/>
      </c>
      <c r="E120" s="3" t="str">
        <f>IF(A120="","",IF(DATE(LEFT(D120,4),MID(D120,5,2),RIGHT(D120,2))=Helper1!$P$1,Helper1!$P$1,""))</f>
        <v/>
      </c>
      <c r="F120" s="3" t="str">
        <f>IF(A120="","",'ATP Fills'!G120)</f>
        <v/>
      </c>
      <c r="G120" t="str">
        <f>IF(A120="","",'ATP Fills'!H120)</f>
        <v/>
      </c>
      <c r="H120" t="str">
        <f>IF(A120="","",VLOOKUP(G120,表3_3[],2,0))</f>
        <v/>
      </c>
      <c r="I120" t="str">
        <f>IF(A120="","",VLOOKUP(G120,表3_3[],3,0))</f>
        <v/>
      </c>
      <c r="J120" t="str">
        <f>IF(A120="","",IF('ATP Fills'!I120="3M","",VLOOKUP(RIGHT('ATP Fills'!I120,2),Helper1!$O$36:$P$48,2,0)))</f>
        <v/>
      </c>
      <c r="K120" t="str">
        <f>IF(J120="","",LEFT('ATP Fills'!I120,4))</f>
        <v/>
      </c>
      <c r="L120" t="str">
        <f>IF(A120="","",IF('ATP Fills'!G120="LME",'ATP Fills'!I120,""))</f>
        <v/>
      </c>
      <c r="M120" t="str">
        <f t="shared" si="1"/>
        <v/>
      </c>
    </row>
    <row r="121" spans="1:13">
      <c r="A121" t="str">
        <f>IF('ATP Fills'!A121="","",IF('ATP Fills'!Q121="PHILLIPSG",'ATP Fills'!F121,""))</f>
        <v/>
      </c>
      <c r="B121" t="str">
        <f>IF(A121="","",'ATP Fills'!L121)</f>
        <v/>
      </c>
      <c r="C121" t="str">
        <f>IF(A121="","",'ATP Fills'!M121)</f>
        <v/>
      </c>
      <c r="D121" t="str">
        <f>IF(A121="","",'ATP Fills'!B121)</f>
        <v/>
      </c>
      <c r="E121" s="3" t="str">
        <f>IF(A121="","",IF(DATE(LEFT(D121,4),MID(D121,5,2),RIGHT(D121,2))=Helper1!$P$1,Helper1!$P$1,""))</f>
        <v/>
      </c>
      <c r="F121" s="3" t="str">
        <f>IF(A121="","",'ATP Fills'!G121)</f>
        <v/>
      </c>
      <c r="G121" t="str">
        <f>IF(A121="","",'ATP Fills'!H121)</f>
        <v/>
      </c>
      <c r="H121" t="str">
        <f>IF(A121="","",VLOOKUP(G121,表3_3[],2,0))</f>
        <v/>
      </c>
      <c r="I121" t="str">
        <f>IF(A121="","",VLOOKUP(G121,表3_3[],3,0))</f>
        <v/>
      </c>
      <c r="J121" t="str">
        <f>IF(A121="","",IF('ATP Fills'!I121="3M","",VLOOKUP(RIGHT('ATP Fills'!I121,2),Helper1!$O$36:$P$48,2,0)))</f>
        <v/>
      </c>
      <c r="K121" t="str">
        <f>IF(J121="","",LEFT('ATP Fills'!I121,4))</f>
        <v/>
      </c>
      <c r="L121" t="str">
        <f>IF(A121="","",IF('ATP Fills'!G121="LME",'ATP Fills'!I121,""))</f>
        <v/>
      </c>
      <c r="M121" t="str">
        <f t="shared" si="1"/>
        <v/>
      </c>
    </row>
    <row r="122" spans="1:13">
      <c r="A122" t="str">
        <f>IF('ATP Fills'!A122="","",IF('ATP Fills'!Q122="PHILLIPSG",'ATP Fills'!F122,""))</f>
        <v>H0000592</v>
      </c>
      <c r="B122" t="str">
        <f>IF(A122="","",'ATP Fills'!L122)</f>
        <v>Buy</v>
      </c>
      <c r="C122">
        <f>IF(A122="","",'ATP Fills'!M122)</f>
        <v>10</v>
      </c>
      <c r="D122">
        <f>IF(A122="","",'ATP Fills'!B122)</f>
        <v>20210916</v>
      </c>
      <c r="E122" s="3" t="str">
        <f ca="1">IF(A122="","",IF(DATE(LEFT(D122,4),MID(D122,5,2),RIGHT(D122,2))=Helper1!$P$1,Helper1!$P$1,""))</f>
        <v/>
      </c>
      <c r="F122" s="3" t="str">
        <f>IF(A122="","",'ATP Fills'!G122)</f>
        <v>SGX</v>
      </c>
      <c r="G122" t="str">
        <f>IF(A122="","",'ATP Fills'!H122)</f>
        <v>CN</v>
      </c>
      <c r="H122" t="str">
        <f>IF(A122="","",VLOOKUP(G122,表3_3[],2,0))</f>
        <v>SIMEX</v>
      </c>
      <c r="I122" t="str">
        <f>IF(A122="","",VLOOKUP(G122,表3_3[],3,0))</f>
        <v>CN</v>
      </c>
      <c r="J122" t="str">
        <f>IF(A122="","",IF('ATP Fills'!I122="3M","",VLOOKUP(RIGHT('ATP Fills'!I122,2),Helper1!$O$36:$P$48,2,0)))</f>
        <v>V</v>
      </c>
      <c r="K122" t="str">
        <f>IF(J122="","",LEFT('ATP Fills'!I122,4))</f>
        <v>2021</v>
      </c>
      <c r="L122" t="str">
        <f>IF(A122="","",IF('ATP Fills'!G122="LME",'ATP Fills'!I122,""))</f>
        <v/>
      </c>
      <c r="M122" t="str">
        <f t="shared" si="1"/>
        <v>V-2021-CN</v>
      </c>
    </row>
    <row r="123" spans="1:13">
      <c r="A123" t="str">
        <f>IF('ATP Fills'!A123="","",IF('ATP Fills'!Q123="PHILLIPSG",'ATP Fills'!F123,""))</f>
        <v>H0000592</v>
      </c>
      <c r="B123" t="str">
        <f>IF(A123="","",'ATP Fills'!L123)</f>
        <v>Buy</v>
      </c>
      <c r="C123">
        <f>IF(A123="","",'ATP Fills'!M123)</f>
        <v>2</v>
      </c>
      <c r="D123">
        <f>IF(A123="","",'ATP Fills'!B123)</f>
        <v>20210916</v>
      </c>
      <c r="E123" s="3" t="str">
        <f ca="1">IF(A123="","",IF(DATE(LEFT(D123,4),MID(D123,5,2),RIGHT(D123,2))=Helper1!$P$1,Helper1!$P$1,""))</f>
        <v/>
      </c>
      <c r="F123" s="3" t="str">
        <f>IF(A123="","",'ATP Fills'!G123)</f>
        <v>SGX</v>
      </c>
      <c r="G123" t="str">
        <f>IF(A123="","",'ATP Fills'!H123)</f>
        <v>CN</v>
      </c>
      <c r="H123" t="str">
        <f>IF(A123="","",VLOOKUP(G123,表3_3[],2,0))</f>
        <v>SIMEX</v>
      </c>
      <c r="I123" t="str">
        <f>IF(A123="","",VLOOKUP(G123,表3_3[],3,0))</f>
        <v>CN</v>
      </c>
      <c r="J123" t="str">
        <f>IF(A123="","",IF('ATP Fills'!I123="3M","",VLOOKUP(RIGHT('ATP Fills'!I123,2),Helper1!$O$36:$P$48,2,0)))</f>
        <v>V</v>
      </c>
      <c r="K123" t="str">
        <f>IF(J123="","",LEFT('ATP Fills'!I123,4))</f>
        <v>2021</v>
      </c>
      <c r="L123" t="str">
        <f>IF(A123="","",IF('ATP Fills'!G123="LME",'ATP Fills'!I123,""))</f>
        <v/>
      </c>
      <c r="M123" t="str">
        <f t="shared" si="1"/>
        <v>V-2021-CN</v>
      </c>
    </row>
    <row r="124" spans="1:13">
      <c r="A124" t="str">
        <f>IF('ATP Fills'!A124="","",IF('ATP Fills'!Q124="PHILLIPSG",'ATP Fills'!F124,""))</f>
        <v>H0000592</v>
      </c>
      <c r="B124" t="str">
        <f>IF(A124="","",'ATP Fills'!L124)</f>
        <v>Buy</v>
      </c>
      <c r="C124">
        <f>IF(A124="","",'ATP Fills'!M124)</f>
        <v>2</v>
      </c>
      <c r="D124">
        <f>IF(A124="","",'ATP Fills'!B124)</f>
        <v>20210916</v>
      </c>
      <c r="E124" s="3" t="str">
        <f ca="1">IF(A124="","",IF(DATE(LEFT(D124,4),MID(D124,5,2),RIGHT(D124,2))=Helper1!$P$1,Helper1!$P$1,""))</f>
        <v/>
      </c>
      <c r="F124" s="3" t="str">
        <f>IF(A124="","",'ATP Fills'!G124)</f>
        <v>SGX</v>
      </c>
      <c r="G124" t="str">
        <f>IF(A124="","",'ATP Fills'!H124)</f>
        <v>CN</v>
      </c>
      <c r="H124" t="str">
        <f>IF(A124="","",VLOOKUP(G124,表3_3[],2,0))</f>
        <v>SIMEX</v>
      </c>
      <c r="I124" t="str">
        <f>IF(A124="","",VLOOKUP(G124,表3_3[],3,0))</f>
        <v>CN</v>
      </c>
      <c r="J124" t="str">
        <f>IF(A124="","",IF('ATP Fills'!I124="3M","",VLOOKUP(RIGHT('ATP Fills'!I124,2),Helper1!$O$36:$P$48,2,0)))</f>
        <v>V</v>
      </c>
      <c r="K124" t="str">
        <f>IF(J124="","",LEFT('ATP Fills'!I124,4))</f>
        <v>2021</v>
      </c>
      <c r="L124" t="str">
        <f>IF(A124="","",IF('ATP Fills'!G124="LME",'ATP Fills'!I124,""))</f>
        <v/>
      </c>
      <c r="M124" t="str">
        <f t="shared" si="1"/>
        <v>V-2021-CN</v>
      </c>
    </row>
    <row r="125" spans="1:13">
      <c r="A125" t="str">
        <f>IF('ATP Fills'!A125="","",IF('ATP Fills'!Q125="PHILLIPSG",'ATP Fills'!F125,""))</f>
        <v>H0000592</v>
      </c>
      <c r="B125" t="str">
        <f>IF(A125="","",'ATP Fills'!L125)</f>
        <v>Buy</v>
      </c>
      <c r="C125">
        <f>IF(A125="","",'ATP Fills'!M125)</f>
        <v>2</v>
      </c>
      <c r="D125">
        <f>IF(A125="","",'ATP Fills'!B125)</f>
        <v>20210916</v>
      </c>
      <c r="E125" s="3" t="str">
        <f ca="1">IF(A125="","",IF(DATE(LEFT(D125,4),MID(D125,5,2),RIGHT(D125,2))=Helper1!$P$1,Helper1!$P$1,""))</f>
        <v/>
      </c>
      <c r="F125" s="3" t="str">
        <f>IF(A125="","",'ATP Fills'!G125)</f>
        <v>SGX</v>
      </c>
      <c r="G125" t="str">
        <f>IF(A125="","",'ATP Fills'!H125)</f>
        <v>CN</v>
      </c>
      <c r="H125" t="str">
        <f>IF(A125="","",VLOOKUP(G125,表3_3[],2,0))</f>
        <v>SIMEX</v>
      </c>
      <c r="I125" t="str">
        <f>IF(A125="","",VLOOKUP(G125,表3_3[],3,0))</f>
        <v>CN</v>
      </c>
      <c r="J125" t="str">
        <f>IF(A125="","",IF('ATP Fills'!I125="3M","",VLOOKUP(RIGHT('ATP Fills'!I125,2),Helper1!$O$36:$P$48,2,0)))</f>
        <v>V</v>
      </c>
      <c r="K125" t="str">
        <f>IF(J125="","",LEFT('ATP Fills'!I125,4))</f>
        <v>2021</v>
      </c>
      <c r="L125" t="str">
        <f>IF(A125="","",IF('ATP Fills'!G125="LME",'ATP Fills'!I125,""))</f>
        <v/>
      </c>
      <c r="M125" t="str">
        <f t="shared" si="1"/>
        <v>V-2021-CN</v>
      </c>
    </row>
    <row r="126" spans="1:13">
      <c r="A126" t="str">
        <f>IF('ATP Fills'!A126="","",IF('ATP Fills'!Q126="PHILLIPSG",'ATP Fills'!F126,""))</f>
        <v>H0000592</v>
      </c>
      <c r="B126" t="str">
        <f>IF(A126="","",'ATP Fills'!L126)</f>
        <v>Buy</v>
      </c>
      <c r="C126">
        <f>IF(A126="","",'ATP Fills'!M126)</f>
        <v>2</v>
      </c>
      <c r="D126">
        <f>IF(A126="","",'ATP Fills'!B126)</f>
        <v>20210916</v>
      </c>
      <c r="E126" s="3" t="str">
        <f ca="1">IF(A126="","",IF(DATE(LEFT(D126,4),MID(D126,5,2),RIGHT(D126,2))=Helper1!$P$1,Helper1!$P$1,""))</f>
        <v/>
      </c>
      <c r="F126" s="3" t="str">
        <f>IF(A126="","",'ATP Fills'!G126)</f>
        <v>SGX</v>
      </c>
      <c r="G126" t="str">
        <f>IF(A126="","",'ATP Fills'!H126)</f>
        <v>CN</v>
      </c>
      <c r="H126" t="str">
        <f>IF(A126="","",VLOOKUP(G126,表3_3[],2,0))</f>
        <v>SIMEX</v>
      </c>
      <c r="I126" t="str">
        <f>IF(A126="","",VLOOKUP(G126,表3_3[],3,0))</f>
        <v>CN</v>
      </c>
      <c r="J126" t="str">
        <f>IF(A126="","",IF('ATP Fills'!I126="3M","",VLOOKUP(RIGHT('ATP Fills'!I126,2),Helper1!$O$36:$P$48,2,0)))</f>
        <v>V</v>
      </c>
      <c r="K126" t="str">
        <f>IF(J126="","",LEFT('ATP Fills'!I126,4))</f>
        <v>2021</v>
      </c>
      <c r="L126" t="str">
        <f>IF(A126="","",IF('ATP Fills'!G126="LME",'ATP Fills'!I126,""))</f>
        <v/>
      </c>
      <c r="M126" t="str">
        <f t="shared" si="1"/>
        <v>V-2021-CN</v>
      </c>
    </row>
    <row r="127" spans="1:13">
      <c r="A127" t="str">
        <f>IF('ATP Fills'!A127="","",IF('ATP Fills'!Q127="PHILLIPSG",'ATP Fills'!F127,""))</f>
        <v>H0000592</v>
      </c>
      <c r="B127" t="str">
        <f>IF(A127="","",'ATP Fills'!L127)</f>
        <v>Buy</v>
      </c>
      <c r="C127">
        <f>IF(A127="","",'ATP Fills'!M127)</f>
        <v>2</v>
      </c>
      <c r="D127">
        <f>IF(A127="","",'ATP Fills'!B127)</f>
        <v>20210916</v>
      </c>
      <c r="E127" s="3" t="str">
        <f ca="1">IF(A127="","",IF(DATE(LEFT(D127,4),MID(D127,5,2),RIGHT(D127,2))=Helper1!$P$1,Helper1!$P$1,""))</f>
        <v/>
      </c>
      <c r="F127" s="3" t="str">
        <f>IF(A127="","",'ATP Fills'!G127)</f>
        <v>SGX</v>
      </c>
      <c r="G127" t="str">
        <f>IF(A127="","",'ATP Fills'!H127)</f>
        <v>CN</v>
      </c>
      <c r="H127" t="str">
        <f>IF(A127="","",VLOOKUP(G127,表3_3[],2,0))</f>
        <v>SIMEX</v>
      </c>
      <c r="I127" t="str">
        <f>IF(A127="","",VLOOKUP(G127,表3_3[],3,0))</f>
        <v>CN</v>
      </c>
      <c r="J127" t="str">
        <f>IF(A127="","",IF('ATP Fills'!I127="3M","",VLOOKUP(RIGHT('ATP Fills'!I127,2),Helper1!$O$36:$P$48,2,0)))</f>
        <v>V</v>
      </c>
      <c r="K127" t="str">
        <f>IF(J127="","",LEFT('ATP Fills'!I127,4))</f>
        <v>2021</v>
      </c>
      <c r="L127" t="str">
        <f>IF(A127="","",IF('ATP Fills'!G127="LME",'ATP Fills'!I127,""))</f>
        <v/>
      </c>
      <c r="M127" t="str">
        <f t="shared" si="1"/>
        <v>V-2021-CN</v>
      </c>
    </row>
    <row r="128" spans="1:13">
      <c r="A128" t="str">
        <f>IF('ATP Fills'!A128="","",IF('ATP Fills'!Q128="PHILLIPSG",'ATP Fills'!F128,""))</f>
        <v>H0000592</v>
      </c>
      <c r="B128" t="str">
        <f>IF(A128="","",'ATP Fills'!L128)</f>
        <v>Buy</v>
      </c>
      <c r="C128">
        <f>IF(A128="","",'ATP Fills'!M128)</f>
        <v>1</v>
      </c>
      <c r="D128">
        <f>IF(A128="","",'ATP Fills'!B128)</f>
        <v>20210916</v>
      </c>
      <c r="E128" s="3" t="str">
        <f ca="1">IF(A128="","",IF(DATE(LEFT(D128,4),MID(D128,5,2),RIGHT(D128,2))=Helper1!$P$1,Helper1!$P$1,""))</f>
        <v/>
      </c>
      <c r="F128" s="3" t="str">
        <f>IF(A128="","",'ATP Fills'!G128)</f>
        <v>SGX</v>
      </c>
      <c r="G128" t="str">
        <f>IF(A128="","",'ATP Fills'!H128)</f>
        <v>CN</v>
      </c>
      <c r="H128" t="str">
        <f>IF(A128="","",VLOOKUP(G128,表3_3[],2,0))</f>
        <v>SIMEX</v>
      </c>
      <c r="I128" t="str">
        <f>IF(A128="","",VLOOKUP(G128,表3_3[],3,0))</f>
        <v>CN</v>
      </c>
      <c r="J128" t="str">
        <f>IF(A128="","",IF('ATP Fills'!I128="3M","",VLOOKUP(RIGHT('ATP Fills'!I128,2),Helper1!$O$36:$P$48,2,0)))</f>
        <v>V</v>
      </c>
      <c r="K128" t="str">
        <f>IF(J128="","",LEFT('ATP Fills'!I128,4))</f>
        <v>2021</v>
      </c>
      <c r="L128" t="str">
        <f>IF(A128="","",IF('ATP Fills'!G128="LME",'ATP Fills'!I128,""))</f>
        <v/>
      </c>
      <c r="M128" t="str">
        <f t="shared" si="1"/>
        <v>V-2021-CN</v>
      </c>
    </row>
    <row r="129" spans="1:13">
      <c r="A129" t="str">
        <f>IF('ATP Fills'!A129="","",IF('ATP Fills'!Q129="PHILLIPSG",'ATP Fills'!F129,""))</f>
        <v>H0000592</v>
      </c>
      <c r="B129" t="str">
        <f>IF(A129="","",'ATP Fills'!L129)</f>
        <v>Buy</v>
      </c>
      <c r="C129">
        <f>IF(A129="","",'ATP Fills'!M129)</f>
        <v>9</v>
      </c>
      <c r="D129">
        <f>IF(A129="","",'ATP Fills'!B129)</f>
        <v>20210916</v>
      </c>
      <c r="E129" s="3" t="str">
        <f ca="1">IF(A129="","",IF(DATE(LEFT(D129,4),MID(D129,5,2),RIGHT(D129,2))=Helper1!$P$1,Helper1!$P$1,""))</f>
        <v/>
      </c>
      <c r="F129" s="3" t="str">
        <f>IF(A129="","",'ATP Fills'!G129)</f>
        <v>SGX</v>
      </c>
      <c r="G129" t="str">
        <f>IF(A129="","",'ATP Fills'!H129)</f>
        <v>CN</v>
      </c>
      <c r="H129" t="str">
        <f>IF(A129="","",VLOOKUP(G129,表3_3[],2,0))</f>
        <v>SIMEX</v>
      </c>
      <c r="I129" t="str">
        <f>IF(A129="","",VLOOKUP(G129,表3_3[],3,0))</f>
        <v>CN</v>
      </c>
      <c r="J129" t="str">
        <f>IF(A129="","",IF('ATP Fills'!I129="3M","",VLOOKUP(RIGHT('ATP Fills'!I129,2),Helper1!$O$36:$P$48,2,0)))</f>
        <v>V</v>
      </c>
      <c r="K129" t="str">
        <f>IF(J129="","",LEFT('ATP Fills'!I129,4))</f>
        <v>2021</v>
      </c>
      <c r="L129" t="str">
        <f>IF(A129="","",IF('ATP Fills'!G129="LME",'ATP Fills'!I129,""))</f>
        <v/>
      </c>
      <c r="M129" t="str">
        <f t="shared" si="1"/>
        <v>V-2021-CN</v>
      </c>
    </row>
    <row r="130" spans="1:13">
      <c r="A130" t="str">
        <f>IF('ATP Fills'!A130="","",IF('ATP Fills'!Q130="PHILLIPSG",'ATP Fills'!F130,""))</f>
        <v/>
      </c>
      <c r="B130" t="str">
        <f>IF(A130="","",'ATP Fills'!L130)</f>
        <v/>
      </c>
      <c r="C130" t="str">
        <f>IF(A130="","",'ATP Fills'!M130)</f>
        <v/>
      </c>
      <c r="D130" t="str">
        <f>IF(A130="","",'ATP Fills'!B130)</f>
        <v/>
      </c>
      <c r="E130" s="3" t="str">
        <f>IF(A130="","",IF(DATE(LEFT(D130,4),MID(D130,5,2),RIGHT(D130,2))=Helper1!$P$1,Helper1!$P$1,""))</f>
        <v/>
      </c>
      <c r="F130" s="3" t="str">
        <f>IF(A130="","",'ATP Fills'!G130)</f>
        <v/>
      </c>
      <c r="G130" t="str">
        <f>IF(A130="","",'ATP Fills'!H130)</f>
        <v/>
      </c>
      <c r="H130" t="str">
        <f>IF(A130="","",VLOOKUP(G130,表3_3[],2,0))</f>
        <v/>
      </c>
      <c r="I130" t="str">
        <f>IF(A130="","",VLOOKUP(G130,表3_3[],3,0))</f>
        <v/>
      </c>
      <c r="J130" t="str">
        <f>IF(A130="","",IF('ATP Fills'!I130="3M","",VLOOKUP(RIGHT('ATP Fills'!I130,2),Helper1!$O$36:$P$48,2,0)))</f>
        <v/>
      </c>
      <c r="K130" t="str">
        <f>IF(J130="","",LEFT('ATP Fills'!I130,4))</f>
        <v/>
      </c>
      <c r="L130" t="str">
        <f>IF(A130="","",IF('ATP Fills'!G130="LME",'ATP Fills'!I130,""))</f>
        <v/>
      </c>
      <c r="M130" t="str">
        <f t="shared" si="1"/>
        <v/>
      </c>
    </row>
    <row r="131" spans="1:13">
      <c r="A131" t="str">
        <f>IF('ATP Fills'!A131="","",IF('ATP Fills'!Q131="PHILLIPSG",'ATP Fills'!F131,""))</f>
        <v>H0000592</v>
      </c>
      <c r="B131" t="str">
        <f>IF(A131="","",'ATP Fills'!L131)</f>
        <v>Buy</v>
      </c>
      <c r="C131">
        <f>IF(A131="","",'ATP Fills'!M131)</f>
        <v>10</v>
      </c>
      <c r="D131">
        <f>IF(A131="","",'ATP Fills'!B131)</f>
        <v>20210916</v>
      </c>
      <c r="E131" s="3" t="str">
        <f ca="1">IF(A131="","",IF(DATE(LEFT(D131,4),MID(D131,5,2),RIGHT(D131,2))=Helper1!$P$1,Helper1!$P$1,""))</f>
        <v/>
      </c>
      <c r="F131" s="3" t="str">
        <f>IF(A131="","",'ATP Fills'!G131)</f>
        <v>SGX</v>
      </c>
      <c r="G131" t="str">
        <f>IF(A131="","",'ATP Fills'!H131)</f>
        <v>CN</v>
      </c>
      <c r="H131" t="str">
        <f>IF(A131="","",VLOOKUP(G131,表3_3[],2,0))</f>
        <v>SIMEX</v>
      </c>
      <c r="I131" t="str">
        <f>IF(A131="","",VLOOKUP(G131,表3_3[],3,0))</f>
        <v>CN</v>
      </c>
      <c r="J131" t="str">
        <f>IF(A131="","",IF('ATP Fills'!I131="3M","",VLOOKUP(RIGHT('ATP Fills'!I131,2),Helper1!$O$36:$P$48,2,0)))</f>
        <v>V</v>
      </c>
      <c r="K131" t="str">
        <f>IF(J131="","",LEFT('ATP Fills'!I131,4))</f>
        <v>2021</v>
      </c>
      <c r="L131" t="str">
        <f>IF(A131="","",IF('ATP Fills'!G131="LME",'ATP Fills'!I131,""))</f>
        <v/>
      </c>
      <c r="M131" t="str">
        <f t="shared" ref="M131:M194" si="2">IF(A131="","",IF(F131="LME",F131&amp;"-"&amp;I131&amp;"-"&amp;L131,J131&amp;"-"&amp;K131&amp;"-"&amp;I131))</f>
        <v>V-2021-CN</v>
      </c>
    </row>
    <row r="132" spans="1:13">
      <c r="A132" t="str">
        <f>IF('ATP Fills'!A132="","",IF('ATP Fills'!Q132="PHILLIPSG",'ATP Fills'!F132,""))</f>
        <v>H0000592</v>
      </c>
      <c r="B132" t="str">
        <f>IF(A132="","",'ATP Fills'!L132)</f>
        <v>Buy</v>
      </c>
      <c r="C132">
        <f>IF(A132="","",'ATP Fills'!M132)</f>
        <v>5</v>
      </c>
      <c r="D132">
        <f>IF(A132="","",'ATP Fills'!B132)</f>
        <v>20210916</v>
      </c>
      <c r="E132" s="3" t="str">
        <f ca="1">IF(A132="","",IF(DATE(LEFT(D132,4),MID(D132,5,2),RIGHT(D132,2))=Helper1!$P$1,Helper1!$P$1,""))</f>
        <v/>
      </c>
      <c r="F132" s="3" t="str">
        <f>IF(A132="","",'ATP Fills'!G132)</f>
        <v>SGX</v>
      </c>
      <c r="G132" t="str">
        <f>IF(A132="","",'ATP Fills'!H132)</f>
        <v>CN</v>
      </c>
      <c r="H132" t="str">
        <f>IF(A132="","",VLOOKUP(G132,表3_3[],2,0))</f>
        <v>SIMEX</v>
      </c>
      <c r="I132" t="str">
        <f>IF(A132="","",VLOOKUP(G132,表3_3[],3,0))</f>
        <v>CN</v>
      </c>
      <c r="J132" t="str">
        <f>IF(A132="","",IF('ATP Fills'!I132="3M","",VLOOKUP(RIGHT('ATP Fills'!I132,2),Helper1!$O$36:$P$48,2,0)))</f>
        <v>V</v>
      </c>
      <c r="K132" t="str">
        <f>IF(J132="","",LEFT('ATP Fills'!I132,4))</f>
        <v>2021</v>
      </c>
      <c r="L132" t="str">
        <f>IF(A132="","",IF('ATP Fills'!G132="LME",'ATP Fills'!I132,""))</f>
        <v/>
      </c>
      <c r="M132" t="str">
        <f t="shared" si="2"/>
        <v>V-2021-CN</v>
      </c>
    </row>
    <row r="133" spans="1:13">
      <c r="A133" t="str">
        <f>IF('ATP Fills'!A133="","",IF('ATP Fills'!Q133="PHILLIPSG",'ATP Fills'!F133,""))</f>
        <v>H0000592</v>
      </c>
      <c r="B133" t="str">
        <f>IF(A133="","",'ATP Fills'!L133)</f>
        <v>Buy</v>
      </c>
      <c r="C133">
        <f>IF(A133="","",'ATP Fills'!M133)</f>
        <v>4</v>
      </c>
      <c r="D133">
        <f>IF(A133="","",'ATP Fills'!B133)</f>
        <v>20210916</v>
      </c>
      <c r="E133" s="3" t="str">
        <f ca="1">IF(A133="","",IF(DATE(LEFT(D133,4),MID(D133,5,2),RIGHT(D133,2))=Helper1!$P$1,Helper1!$P$1,""))</f>
        <v/>
      </c>
      <c r="F133" s="3" t="str">
        <f>IF(A133="","",'ATP Fills'!G133)</f>
        <v>SGX</v>
      </c>
      <c r="G133" t="str">
        <f>IF(A133="","",'ATP Fills'!H133)</f>
        <v>CN</v>
      </c>
      <c r="H133" t="str">
        <f>IF(A133="","",VLOOKUP(G133,表3_3[],2,0))</f>
        <v>SIMEX</v>
      </c>
      <c r="I133" t="str">
        <f>IF(A133="","",VLOOKUP(G133,表3_3[],3,0))</f>
        <v>CN</v>
      </c>
      <c r="J133" t="str">
        <f>IF(A133="","",IF('ATP Fills'!I133="3M","",VLOOKUP(RIGHT('ATP Fills'!I133,2),Helper1!$O$36:$P$48,2,0)))</f>
        <v>V</v>
      </c>
      <c r="K133" t="str">
        <f>IF(J133="","",LEFT('ATP Fills'!I133,4))</f>
        <v>2021</v>
      </c>
      <c r="L133" t="str">
        <f>IF(A133="","",IF('ATP Fills'!G133="LME",'ATP Fills'!I133,""))</f>
        <v/>
      </c>
      <c r="M133" t="str">
        <f t="shared" si="2"/>
        <v>V-2021-CN</v>
      </c>
    </row>
    <row r="134" spans="1:13">
      <c r="A134" t="str">
        <f>IF('ATP Fills'!A134="","",IF('ATP Fills'!Q134="PHILLIPSG",'ATP Fills'!F134,""))</f>
        <v>H0000592</v>
      </c>
      <c r="B134" t="str">
        <f>IF(A134="","",'ATP Fills'!L134)</f>
        <v>Buy</v>
      </c>
      <c r="C134">
        <f>IF(A134="","",'ATP Fills'!M134)</f>
        <v>1</v>
      </c>
      <c r="D134">
        <f>IF(A134="","",'ATP Fills'!B134)</f>
        <v>20210916</v>
      </c>
      <c r="E134" s="3" t="str">
        <f ca="1">IF(A134="","",IF(DATE(LEFT(D134,4),MID(D134,5,2),RIGHT(D134,2))=Helper1!$P$1,Helper1!$P$1,""))</f>
        <v/>
      </c>
      <c r="F134" s="3" t="str">
        <f>IF(A134="","",'ATP Fills'!G134)</f>
        <v>SGX</v>
      </c>
      <c r="G134" t="str">
        <f>IF(A134="","",'ATP Fills'!H134)</f>
        <v>CN</v>
      </c>
      <c r="H134" t="str">
        <f>IF(A134="","",VLOOKUP(G134,表3_3[],2,0))</f>
        <v>SIMEX</v>
      </c>
      <c r="I134" t="str">
        <f>IF(A134="","",VLOOKUP(G134,表3_3[],3,0))</f>
        <v>CN</v>
      </c>
      <c r="J134" t="str">
        <f>IF(A134="","",IF('ATP Fills'!I134="3M","",VLOOKUP(RIGHT('ATP Fills'!I134,2),Helper1!$O$36:$P$48,2,0)))</f>
        <v>V</v>
      </c>
      <c r="K134" t="str">
        <f>IF(J134="","",LEFT('ATP Fills'!I134,4))</f>
        <v>2021</v>
      </c>
      <c r="L134" t="str">
        <f>IF(A134="","",IF('ATP Fills'!G134="LME",'ATP Fills'!I134,""))</f>
        <v/>
      </c>
      <c r="M134" t="str">
        <f t="shared" si="2"/>
        <v>V-2021-CN</v>
      </c>
    </row>
    <row r="135" spans="1:13">
      <c r="A135" t="str">
        <f>IF('ATP Fills'!A135="","",IF('ATP Fills'!Q135="PHILLIPSG",'ATP Fills'!F135,""))</f>
        <v/>
      </c>
      <c r="B135" t="str">
        <f>IF(A135="","",'ATP Fills'!L135)</f>
        <v/>
      </c>
      <c r="C135" t="str">
        <f>IF(A135="","",'ATP Fills'!M135)</f>
        <v/>
      </c>
      <c r="D135" t="str">
        <f>IF(A135="","",'ATP Fills'!B135)</f>
        <v/>
      </c>
      <c r="E135" s="3" t="str">
        <f>IF(A135="","",IF(DATE(LEFT(D135,4),MID(D135,5,2),RIGHT(D135,2))=Helper1!$P$1,Helper1!$P$1,""))</f>
        <v/>
      </c>
      <c r="F135" s="3" t="str">
        <f>IF(A135="","",'ATP Fills'!G135)</f>
        <v/>
      </c>
      <c r="G135" t="str">
        <f>IF(A135="","",'ATP Fills'!H135)</f>
        <v/>
      </c>
      <c r="H135" t="str">
        <f>IF(A135="","",VLOOKUP(G135,表3_3[],2,0))</f>
        <v/>
      </c>
      <c r="I135" t="str">
        <f>IF(A135="","",VLOOKUP(G135,表3_3[],3,0))</f>
        <v/>
      </c>
      <c r="J135" t="str">
        <f>IF(A135="","",IF('ATP Fills'!I135="3M","",VLOOKUP(RIGHT('ATP Fills'!I135,2),Helper1!$O$36:$P$48,2,0)))</f>
        <v/>
      </c>
      <c r="K135" t="str">
        <f>IF(J135="","",LEFT('ATP Fills'!I135,4))</f>
        <v/>
      </c>
      <c r="L135" t="str">
        <f>IF(A135="","",IF('ATP Fills'!G135="LME",'ATP Fills'!I135,""))</f>
        <v/>
      </c>
      <c r="M135" t="str">
        <f t="shared" si="2"/>
        <v/>
      </c>
    </row>
    <row r="136" spans="1:13">
      <c r="A136" t="str">
        <f>IF('ATP Fills'!A136="","",IF('ATP Fills'!Q136="PHILLIPSG",'ATP Fills'!F136,""))</f>
        <v/>
      </c>
      <c r="B136" t="str">
        <f>IF(A136="","",'ATP Fills'!L136)</f>
        <v/>
      </c>
      <c r="C136" t="str">
        <f>IF(A136="","",'ATP Fills'!M136)</f>
        <v/>
      </c>
      <c r="D136" t="str">
        <f>IF(A136="","",'ATP Fills'!B136)</f>
        <v/>
      </c>
      <c r="E136" s="3" t="str">
        <f>IF(A136="","",IF(DATE(LEFT(D136,4),MID(D136,5,2),RIGHT(D136,2))=Helper1!$P$1,Helper1!$P$1,""))</f>
        <v/>
      </c>
      <c r="F136" s="3" t="str">
        <f>IF(A136="","",'ATP Fills'!G136)</f>
        <v/>
      </c>
      <c r="G136" t="str">
        <f>IF(A136="","",'ATP Fills'!H136)</f>
        <v/>
      </c>
      <c r="H136" t="str">
        <f>IF(A136="","",VLOOKUP(G136,表3_3[],2,0))</f>
        <v/>
      </c>
      <c r="I136" t="str">
        <f>IF(A136="","",VLOOKUP(G136,表3_3[],3,0))</f>
        <v/>
      </c>
      <c r="J136" t="str">
        <f>IF(A136="","",IF('ATP Fills'!I136="3M","",VLOOKUP(RIGHT('ATP Fills'!I136,2),Helper1!$O$36:$P$48,2,0)))</f>
        <v/>
      </c>
      <c r="K136" t="str">
        <f>IF(J136="","",LEFT('ATP Fills'!I136,4))</f>
        <v/>
      </c>
      <c r="L136" t="str">
        <f>IF(A136="","",IF('ATP Fills'!G136="LME",'ATP Fills'!I136,""))</f>
        <v/>
      </c>
      <c r="M136" t="str">
        <f t="shared" si="2"/>
        <v/>
      </c>
    </row>
    <row r="137" spans="1:13">
      <c r="A137" t="str">
        <f>IF('ATP Fills'!A137="","",IF('ATP Fills'!Q137="PHILLIPSG",'ATP Fills'!F137,""))</f>
        <v/>
      </c>
      <c r="B137" t="str">
        <f>IF(A137="","",'ATP Fills'!L137)</f>
        <v/>
      </c>
      <c r="C137" t="str">
        <f>IF(A137="","",'ATP Fills'!M137)</f>
        <v/>
      </c>
      <c r="D137" t="str">
        <f>IF(A137="","",'ATP Fills'!B137)</f>
        <v/>
      </c>
      <c r="E137" s="3" t="str">
        <f>IF(A137="","",IF(DATE(LEFT(D137,4),MID(D137,5,2),RIGHT(D137,2))=Helper1!$P$1,Helper1!$P$1,""))</f>
        <v/>
      </c>
      <c r="F137" s="3" t="str">
        <f>IF(A137="","",'ATP Fills'!G137)</f>
        <v/>
      </c>
      <c r="G137" t="str">
        <f>IF(A137="","",'ATP Fills'!H137)</f>
        <v/>
      </c>
      <c r="H137" t="str">
        <f>IF(A137="","",VLOOKUP(G137,表3_3[],2,0))</f>
        <v/>
      </c>
      <c r="I137" t="str">
        <f>IF(A137="","",VLOOKUP(G137,表3_3[],3,0))</f>
        <v/>
      </c>
      <c r="J137" t="str">
        <f>IF(A137="","",IF('ATP Fills'!I137="3M","",VLOOKUP(RIGHT('ATP Fills'!I137,2),Helper1!$O$36:$P$48,2,0)))</f>
        <v/>
      </c>
      <c r="K137" t="str">
        <f>IF(J137="","",LEFT('ATP Fills'!I137,4))</f>
        <v/>
      </c>
      <c r="L137" t="str">
        <f>IF(A137="","",IF('ATP Fills'!G137="LME",'ATP Fills'!I137,""))</f>
        <v/>
      </c>
      <c r="M137" t="str">
        <f t="shared" si="2"/>
        <v/>
      </c>
    </row>
    <row r="138" spans="1:13">
      <c r="A138" t="str">
        <f>IF('ATP Fills'!A138="","",IF('ATP Fills'!Q138="PHILLIPSG",'ATP Fills'!F138,""))</f>
        <v/>
      </c>
      <c r="B138" t="str">
        <f>IF(A138="","",'ATP Fills'!L138)</f>
        <v/>
      </c>
      <c r="C138" t="str">
        <f>IF(A138="","",'ATP Fills'!M138)</f>
        <v/>
      </c>
      <c r="D138" t="str">
        <f>IF(A138="","",'ATP Fills'!B138)</f>
        <v/>
      </c>
      <c r="E138" s="3" t="str">
        <f>IF(A138="","",IF(DATE(LEFT(D138,4),MID(D138,5,2),RIGHT(D138,2))=Helper1!$P$1,Helper1!$P$1,""))</f>
        <v/>
      </c>
      <c r="F138" s="3" t="str">
        <f>IF(A138="","",'ATP Fills'!G138)</f>
        <v/>
      </c>
      <c r="G138" t="str">
        <f>IF(A138="","",'ATP Fills'!H138)</f>
        <v/>
      </c>
      <c r="H138" t="str">
        <f>IF(A138="","",VLOOKUP(G138,表3_3[],2,0))</f>
        <v/>
      </c>
      <c r="I138" t="str">
        <f>IF(A138="","",VLOOKUP(G138,表3_3[],3,0))</f>
        <v/>
      </c>
      <c r="J138" t="str">
        <f>IF(A138="","",IF('ATP Fills'!I138="3M","",VLOOKUP(RIGHT('ATP Fills'!I138,2),Helper1!$O$36:$P$48,2,0)))</f>
        <v/>
      </c>
      <c r="K138" t="str">
        <f>IF(J138="","",LEFT('ATP Fills'!I138,4))</f>
        <v/>
      </c>
      <c r="L138" t="str">
        <f>IF(A138="","",IF('ATP Fills'!G138="LME",'ATP Fills'!I138,""))</f>
        <v/>
      </c>
      <c r="M138" t="str">
        <f t="shared" si="2"/>
        <v/>
      </c>
    </row>
    <row r="139" spans="1:13">
      <c r="A139" t="str">
        <f>IF('ATP Fills'!A139="","",IF('ATP Fills'!Q139="PHILLIPSG",'ATP Fills'!F139,""))</f>
        <v/>
      </c>
      <c r="B139" t="str">
        <f>IF(A139="","",'ATP Fills'!L139)</f>
        <v/>
      </c>
      <c r="C139" t="str">
        <f>IF(A139="","",'ATP Fills'!M139)</f>
        <v/>
      </c>
      <c r="D139" t="str">
        <f>IF(A139="","",'ATP Fills'!B139)</f>
        <v/>
      </c>
      <c r="E139" s="3" t="str">
        <f>IF(A139="","",IF(DATE(LEFT(D139,4),MID(D139,5,2),RIGHT(D139,2))=Helper1!$P$1,Helper1!$P$1,""))</f>
        <v/>
      </c>
      <c r="F139" s="3" t="str">
        <f>IF(A139="","",'ATP Fills'!G139)</f>
        <v/>
      </c>
      <c r="G139" t="str">
        <f>IF(A139="","",'ATP Fills'!H139)</f>
        <v/>
      </c>
      <c r="H139" t="str">
        <f>IF(A139="","",VLOOKUP(G139,表3_3[],2,0))</f>
        <v/>
      </c>
      <c r="I139" t="str">
        <f>IF(A139="","",VLOOKUP(G139,表3_3[],3,0))</f>
        <v/>
      </c>
      <c r="J139" t="str">
        <f>IF(A139="","",IF('ATP Fills'!I139="3M","",VLOOKUP(RIGHT('ATP Fills'!I139,2),Helper1!$O$36:$P$48,2,0)))</f>
        <v/>
      </c>
      <c r="K139" t="str">
        <f>IF(J139="","",LEFT('ATP Fills'!I139,4))</f>
        <v/>
      </c>
      <c r="L139" t="str">
        <f>IF(A139="","",IF('ATP Fills'!G139="LME",'ATP Fills'!I139,""))</f>
        <v/>
      </c>
      <c r="M139" t="str">
        <f t="shared" si="2"/>
        <v/>
      </c>
    </row>
    <row r="140" spans="1:13">
      <c r="A140" t="str">
        <f>IF('ATP Fills'!A140="","",IF('ATP Fills'!Q140="PHILLIPSG",'ATP Fills'!F140,""))</f>
        <v/>
      </c>
      <c r="B140" t="str">
        <f>IF(A140="","",'ATP Fills'!L140)</f>
        <v/>
      </c>
      <c r="C140" t="str">
        <f>IF(A140="","",'ATP Fills'!M140)</f>
        <v/>
      </c>
      <c r="D140" t="str">
        <f>IF(A140="","",'ATP Fills'!B140)</f>
        <v/>
      </c>
      <c r="E140" s="3" t="str">
        <f>IF(A140="","",IF(DATE(LEFT(D140,4),MID(D140,5,2),RIGHT(D140,2))=Helper1!$P$1,Helper1!$P$1,""))</f>
        <v/>
      </c>
      <c r="F140" s="3" t="str">
        <f>IF(A140="","",'ATP Fills'!G140)</f>
        <v/>
      </c>
      <c r="G140" t="str">
        <f>IF(A140="","",'ATP Fills'!H140)</f>
        <v/>
      </c>
      <c r="H140" t="str">
        <f>IF(A140="","",VLOOKUP(G140,表3_3[],2,0))</f>
        <v/>
      </c>
      <c r="I140" t="str">
        <f>IF(A140="","",VLOOKUP(G140,表3_3[],3,0))</f>
        <v/>
      </c>
      <c r="J140" t="str">
        <f>IF(A140="","",IF('ATP Fills'!I140="3M","",VLOOKUP(RIGHT('ATP Fills'!I140,2),Helper1!$O$36:$P$48,2,0)))</f>
        <v/>
      </c>
      <c r="K140" t="str">
        <f>IF(J140="","",LEFT('ATP Fills'!I140,4))</f>
        <v/>
      </c>
      <c r="L140" t="str">
        <f>IF(A140="","",IF('ATP Fills'!G140="LME",'ATP Fills'!I140,""))</f>
        <v/>
      </c>
      <c r="M140" t="str">
        <f t="shared" si="2"/>
        <v/>
      </c>
    </row>
    <row r="141" spans="1:13">
      <c r="A141" t="str">
        <f>IF('ATP Fills'!A141="","",IF('ATP Fills'!Q141="PHILLIPSG",'ATP Fills'!F141,""))</f>
        <v/>
      </c>
      <c r="B141" t="str">
        <f>IF(A141="","",'ATP Fills'!L141)</f>
        <v/>
      </c>
      <c r="C141" t="str">
        <f>IF(A141="","",'ATP Fills'!M141)</f>
        <v/>
      </c>
      <c r="D141" t="str">
        <f>IF(A141="","",'ATP Fills'!B141)</f>
        <v/>
      </c>
      <c r="E141" s="3" t="str">
        <f>IF(A141="","",IF(DATE(LEFT(D141,4),MID(D141,5,2),RIGHT(D141,2))=Helper1!$P$1,Helper1!$P$1,""))</f>
        <v/>
      </c>
      <c r="F141" s="3" t="str">
        <f>IF(A141="","",'ATP Fills'!G141)</f>
        <v/>
      </c>
      <c r="G141" t="str">
        <f>IF(A141="","",'ATP Fills'!H141)</f>
        <v/>
      </c>
      <c r="H141" t="str">
        <f>IF(A141="","",VLOOKUP(G141,表3_3[],2,0))</f>
        <v/>
      </c>
      <c r="I141" t="str">
        <f>IF(A141="","",VLOOKUP(G141,表3_3[],3,0))</f>
        <v/>
      </c>
      <c r="J141" t="str">
        <f>IF(A141="","",IF('ATP Fills'!I141="3M","",VLOOKUP(RIGHT('ATP Fills'!I141,2),Helper1!$O$36:$P$48,2,0)))</f>
        <v/>
      </c>
      <c r="K141" t="str">
        <f>IF(J141="","",LEFT('ATP Fills'!I141,4))</f>
        <v/>
      </c>
      <c r="L141" t="str">
        <f>IF(A141="","",IF('ATP Fills'!G141="LME",'ATP Fills'!I141,""))</f>
        <v/>
      </c>
      <c r="M141" t="str">
        <f t="shared" si="2"/>
        <v/>
      </c>
    </row>
    <row r="142" spans="1:13">
      <c r="A142" t="str">
        <f>IF('ATP Fills'!A142="","",IF('ATP Fills'!Q142="PHILLIPSG",'ATP Fills'!F142,""))</f>
        <v/>
      </c>
      <c r="B142" t="str">
        <f>IF(A142="","",'ATP Fills'!L142)</f>
        <v/>
      </c>
      <c r="C142" t="str">
        <f>IF(A142="","",'ATP Fills'!M142)</f>
        <v/>
      </c>
      <c r="D142" t="str">
        <f>IF(A142="","",'ATP Fills'!B142)</f>
        <v/>
      </c>
      <c r="E142" s="3" t="str">
        <f>IF(A142="","",IF(DATE(LEFT(D142,4),MID(D142,5,2),RIGHT(D142,2))=Helper1!$P$1,Helper1!$P$1,""))</f>
        <v/>
      </c>
      <c r="F142" s="3" t="str">
        <f>IF(A142="","",'ATP Fills'!G142)</f>
        <v/>
      </c>
      <c r="G142" t="str">
        <f>IF(A142="","",'ATP Fills'!H142)</f>
        <v/>
      </c>
      <c r="H142" t="str">
        <f>IF(A142="","",VLOOKUP(G142,表3_3[],2,0))</f>
        <v/>
      </c>
      <c r="I142" t="str">
        <f>IF(A142="","",VLOOKUP(G142,表3_3[],3,0))</f>
        <v/>
      </c>
      <c r="J142" t="str">
        <f>IF(A142="","",IF('ATP Fills'!I142="3M","",VLOOKUP(RIGHT('ATP Fills'!I142,2),Helper1!$O$36:$P$48,2,0)))</f>
        <v/>
      </c>
      <c r="K142" t="str">
        <f>IF(J142="","",LEFT('ATP Fills'!I142,4))</f>
        <v/>
      </c>
      <c r="L142" t="str">
        <f>IF(A142="","",IF('ATP Fills'!G142="LME",'ATP Fills'!I142,""))</f>
        <v/>
      </c>
      <c r="M142" t="str">
        <f t="shared" si="2"/>
        <v/>
      </c>
    </row>
    <row r="143" spans="1:13">
      <c r="A143" t="str">
        <f>IF('ATP Fills'!A143="","",IF('ATP Fills'!Q143="PHILLIPSG",'ATP Fills'!F143,""))</f>
        <v/>
      </c>
      <c r="B143" t="str">
        <f>IF(A143="","",'ATP Fills'!L143)</f>
        <v/>
      </c>
      <c r="C143" t="str">
        <f>IF(A143="","",'ATP Fills'!M143)</f>
        <v/>
      </c>
      <c r="D143" t="str">
        <f>IF(A143="","",'ATP Fills'!B143)</f>
        <v/>
      </c>
      <c r="E143" s="3" t="str">
        <f>IF(A143="","",IF(DATE(LEFT(D143,4),MID(D143,5,2),RIGHT(D143,2))=Helper1!$P$1,Helper1!$P$1,""))</f>
        <v/>
      </c>
      <c r="F143" s="3" t="str">
        <f>IF(A143="","",'ATP Fills'!G143)</f>
        <v/>
      </c>
      <c r="G143" t="str">
        <f>IF(A143="","",'ATP Fills'!H143)</f>
        <v/>
      </c>
      <c r="H143" t="str">
        <f>IF(A143="","",VLOOKUP(G143,表3_3[],2,0))</f>
        <v/>
      </c>
      <c r="I143" t="str">
        <f>IF(A143="","",VLOOKUP(G143,表3_3[],3,0))</f>
        <v/>
      </c>
      <c r="J143" t="str">
        <f>IF(A143="","",IF('ATP Fills'!I143="3M","",VLOOKUP(RIGHT('ATP Fills'!I143,2),Helper1!$O$36:$P$48,2,0)))</f>
        <v/>
      </c>
      <c r="K143" t="str">
        <f>IF(J143="","",LEFT('ATP Fills'!I143,4))</f>
        <v/>
      </c>
      <c r="L143" t="str">
        <f>IF(A143="","",IF('ATP Fills'!G143="LME",'ATP Fills'!I143,""))</f>
        <v/>
      </c>
      <c r="M143" t="str">
        <f t="shared" si="2"/>
        <v/>
      </c>
    </row>
    <row r="144" spans="1:13">
      <c r="A144" t="str">
        <f>IF('ATP Fills'!A144="","",IF('ATP Fills'!Q144="PHILLIPSG",'ATP Fills'!F144,""))</f>
        <v/>
      </c>
      <c r="B144" t="str">
        <f>IF(A144="","",'ATP Fills'!L144)</f>
        <v/>
      </c>
      <c r="C144" t="str">
        <f>IF(A144="","",'ATP Fills'!M144)</f>
        <v/>
      </c>
      <c r="D144" t="str">
        <f>IF(A144="","",'ATP Fills'!B144)</f>
        <v/>
      </c>
      <c r="E144" s="3" t="str">
        <f>IF(A144="","",IF(DATE(LEFT(D144,4),MID(D144,5,2),RIGHT(D144,2))=Helper1!$P$1,Helper1!$P$1,""))</f>
        <v/>
      </c>
      <c r="F144" s="3" t="str">
        <f>IF(A144="","",'ATP Fills'!G144)</f>
        <v/>
      </c>
      <c r="G144" t="str">
        <f>IF(A144="","",'ATP Fills'!H144)</f>
        <v/>
      </c>
      <c r="H144" t="str">
        <f>IF(A144="","",VLOOKUP(G144,表3_3[],2,0))</f>
        <v/>
      </c>
      <c r="I144" t="str">
        <f>IF(A144="","",VLOOKUP(G144,表3_3[],3,0))</f>
        <v/>
      </c>
      <c r="J144" t="str">
        <f>IF(A144="","",IF('ATP Fills'!I144="3M","",VLOOKUP(RIGHT('ATP Fills'!I144,2),Helper1!$O$36:$P$48,2,0)))</f>
        <v/>
      </c>
      <c r="K144" t="str">
        <f>IF(J144="","",LEFT('ATP Fills'!I144,4))</f>
        <v/>
      </c>
      <c r="L144" t="str">
        <f>IF(A144="","",IF('ATP Fills'!G144="LME",'ATP Fills'!I144,""))</f>
        <v/>
      </c>
      <c r="M144" t="str">
        <f t="shared" si="2"/>
        <v/>
      </c>
    </row>
    <row r="145" spans="1:13">
      <c r="A145" t="str">
        <f>IF('ATP Fills'!A145="","",IF('ATP Fills'!Q145="PHILLIPSG",'ATP Fills'!F145,""))</f>
        <v/>
      </c>
      <c r="B145" t="str">
        <f>IF(A145="","",'ATP Fills'!L145)</f>
        <v/>
      </c>
      <c r="C145" t="str">
        <f>IF(A145="","",'ATP Fills'!M145)</f>
        <v/>
      </c>
      <c r="D145" t="str">
        <f>IF(A145="","",'ATP Fills'!B145)</f>
        <v/>
      </c>
      <c r="E145" s="3" t="str">
        <f>IF(A145="","",IF(DATE(LEFT(D145,4),MID(D145,5,2),RIGHT(D145,2))=Helper1!$P$1,Helper1!$P$1,""))</f>
        <v/>
      </c>
      <c r="F145" s="3" t="str">
        <f>IF(A145="","",'ATP Fills'!G145)</f>
        <v/>
      </c>
      <c r="G145" t="str">
        <f>IF(A145="","",'ATP Fills'!H145)</f>
        <v/>
      </c>
      <c r="H145" t="str">
        <f>IF(A145="","",VLOOKUP(G145,表3_3[],2,0))</f>
        <v/>
      </c>
      <c r="I145" t="str">
        <f>IF(A145="","",VLOOKUP(G145,表3_3[],3,0))</f>
        <v/>
      </c>
      <c r="J145" t="str">
        <f>IF(A145="","",IF('ATP Fills'!I145="3M","",VLOOKUP(RIGHT('ATP Fills'!I145,2),Helper1!$O$36:$P$48,2,0)))</f>
        <v/>
      </c>
      <c r="K145" t="str">
        <f>IF(J145="","",LEFT('ATP Fills'!I145,4))</f>
        <v/>
      </c>
      <c r="L145" t="str">
        <f>IF(A145="","",IF('ATP Fills'!G145="LME",'ATP Fills'!I145,""))</f>
        <v/>
      </c>
      <c r="M145" t="str">
        <f t="shared" si="2"/>
        <v/>
      </c>
    </row>
    <row r="146" spans="1:13">
      <c r="A146" t="str">
        <f>IF('ATP Fills'!A146="","",IF('ATP Fills'!Q146="PHILLIPSG",'ATP Fills'!F146,""))</f>
        <v/>
      </c>
      <c r="B146" t="str">
        <f>IF(A146="","",'ATP Fills'!L146)</f>
        <v/>
      </c>
      <c r="C146" t="str">
        <f>IF(A146="","",'ATP Fills'!M146)</f>
        <v/>
      </c>
      <c r="D146" t="str">
        <f>IF(A146="","",'ATP Fills'!B146)</f>
        <v/>
      </c>
      <c r="E146" s="3" t="str">
        <f>IF(A146="","",IF(DATE(LEFT(D146,4),MID(D146,5,2),RIGHT(D146,2))=Helper1!$P$1,Helper1!$P$1,""))</f>
        <v/>
      </c>
      <c r="F146" s="3" t="str">
        <f>IF(A146="","",'ATP Fills'!G146)</f>
        <v/>
      </c>
      <c r="G146" t="str">
        <f>IF(A146="","",'ATP Fills'!H146)</f>
        <v/>
      </c>
      <c r="H146" t="str">
        <f>IF(A146="","",VLOOKUP(G146,表3_3[],2,0))</f>
        <v/>
      </c>
      <c r="I146" t="str">
        <f>IF(A146="","",VLOOKUP(G146,表3_3[],3,0))</f>
        <v/>
      </c>
      <c r="J146" t="str">
        <f>IF(A146="","",IF('ATP Fills'!I146="3M","",VLOOKUP(RIGHT('ATP Fills'!I146,2),Helper1!$O$36:$P$48,2,0)))</f>
        <v/>
      </c>
      <c r="K146" t="str">
        <f>IF(J146="","",LEFT('ATP Fills'!I146,4))</f>
        <v/>
      </c>
      <c r="L146" t="str">
        <f>IF(A146="","",IF('ATP Fills'!G146="LME",'ATP Fills'!I146,""))</f>
        <v/>
      </c>
      <c r="M146" t="str">
        <f t="shared" si="2"/>
        <v/>
      </c>
    </row>
    <row r="147" spans="1:13">
      <c r="A147" t="str">
        <f>IF('ATP Fills'!A147="","",IF('ATP Fills'!Q147="PHILLIPSG",'ATP Fills'!F147,""))</f>
        <v/>
      </c>
      <c r="B147" t="str">
        <f>IF(A147="","",'ATP Fills'!L147)</f>
        <v/>
      </c>
      <c r="C147" t="str">
        <f>IF(A147="","",'ATP Fills'!M147)</f>
        <v/>
      </c>
      <c r="D147" t="str">
        <f>IF(A147="","",'ATP Fills'!B147)</f>
        <v/>
      </c>
      <c r="E147" s="3" t="str">
        <f>IF(A147="","",IF(DATE(LEFT(D147,4),MID(D147,5,2),RIGHT(D147,2))=Helper1!$P$1,Helper1!$P$1,""))</f>
        <v/>
      </c>
      <c r="F147" s="3" t="str">
        <f>IF(A147="","",'ATP Fills'!G147)</f>
        <v/>
      </c>
      <c r="G147" t="str">
        <f>IF(A147="","",'ATP Fills'!H147)</f>
        <v/>
      </c>
      <c r="H147" t="str">
        <f>IF(A147="","",VLOOKUP(G147,表3_3[],2,0))</f>
        <v/>
      </c>
      <c r="I147" t="str">
        <f>IF(A147="","",VLOOKUP(G147,表3_3[],3,0))</f>
        <v/>
      </c>
      <c r="J147" t="str">
        <f>IF(A147="","",IF('ATP Fills'!I147="3M","",VLOOKUP(RIGHT('ATP Fills'!I147,2),Helper1!$O$36:$P$48,2,0)))</f>
        <v/>
      </c>
      <c r="K147" t="str">
        <f>IF(J147="","",LEFT('ATP Fills'!I147,4))</f>
        <v/>
      </c>
      <c r="L147" t="str">
        <f>IF(A147="","",IF('ATP Fills'!G147="LME",'ATP Fills'!I147,""))</f>
        <v/>
      </c>
      <c r="M147" t="str">
        <f t="shared" si="2"/>
        <v/>
      </c>
    </row>
    <row r="148" spans="1:13">
      <c r="A148" t="str">
        <f>IF('ATP Fills'!A148="","",IF('ATP Fills'!Q148="PHILLIPSG",'ATP Fills'!F148,""))</f>
        <v/>
      </c>
      <c r="B148" t="str">
        <f>IF(A148="","",'ATP Fills'!L148)</f>
        <v/>
      </c>
      <c r="C148" t="str">
        <f>IF(A148="","",'ATP Fills'!M148)</f>
        <v/>
      </c>
      <c r="D148" t="str">
        <f>IF(A148="","",'ATP Fills'!B148)</f>
        <v/>
      </c>
      <c r="E148" s="3" t="str">
        <f>IF(A148="","",IF(DATE(LEFT(D148,4),MID(D148,5,2),RIGHT(D148,2))=Helper1!$P$1,Helper1!$P$1,""))</f>
        <v/>
      </c>
      <c r="F148" s="3" t="str">
        <f>IF(A148="","",'ATP Fills'!G148)</f>
        <v/>
      </c>
      <c r="G148" t="str">
        <f>IF(A148="","",'ATP Fills'!H148)</f>
        <v/>
      </c>
      <c r="H148" t="str">
        <f>IF(A148="","",VLOOKUP(G148,表3_3[],2,0))</f>
        <v/>
      </c>
      <c r="I148" t="str">
        <f>IF(A148="","",VLOOKUP(G148,表3_3[],3,0))</f>
        <v/>
      </c>
      <c r="J148" t="str">
        <f>IF(A148="","",IF('ATP Fills'!I148="3M","",VLOOKUP(RIGHT('ATP Fills'!I148,2),Helper1!$O$36:$P$48,2,0)))</f>
        <v/>
      </c>
      <c r="K148" t="str">
        <f>IF(J148="","",LEFT('ATP Fills'!I148,4))</f>
        <v/>
      </c>
      <c r="L148" t="str">
        <f>IF(A148="","",IF('ATP Fills'!G148="LME",'ATP Fills'!I148,""))</f>
        <v/>
      </c>
      <c r="M148" t="str">
        <f t="shared" si="2"/>
        <v/>
      </c>
    </row>
    <row r="149" spans="1:13">
      <c r="A149" t="str">
        <f>IF('ATP Fills'!A149="","",IF('ATP Fills'!Q149="PHILLIPSG",'ATP Fills'!F149,""))</f>
        <v/>
      </c>
      <c r="B149" t="str">
        <f>IF(A149="","",'ATP Fills'!L149)</f>
        <v/>
      </c>
      <c r="C149" t="str">
        <f>IF(A149="","",'ATP Fills'!M149)</f>
        <v/>
      </c>
      <c r="D149" t="str">
        <f>IF(A149="","",'ATP Fills'!B149)</f>
        <v/>
      </c>
      <c r="E149" s="3" t="str">
        <f>IF(A149="","",IF(DATE(LEFT(D149,4),MID(D149,5,2),RIGHT(D149,2))=Helper1!$P$1,Helper1!$P$1,""))</f>
        <v/>
      </c>
      <c r="F149" s="3" t="str">
        <f>IF(A149="","",'ATP Fills'!G149)</f>
        <v/>
      </c>
      <c r="G149" t="str">
        <f>IF(A149="","",'ATP Fills'!H149)</f>
        <v/>
      </c>
      <c r="H149" t="str">
        <f>IF(A149="","",VLOOKUP(G149,表3_3[],2,0))</f>
        <v/>
      </c>
      <c r="I149" t="str">
        <f>IF(A149="","",VLOOKUP(G149,表3_3[],3,0))</f>
        <v/>
      </c>
      <c r="J149" t="str">
        <f>IF(A149="","",IF('ATP Fills'!I149="3M","",VLOOKUP(RIGHT('ATP Fills'!I149,2),Helper1!$O$36:$P$48,2,0)))</f>
        <v/>
      </c>
      <c r="K149" t="str">
        <f>IF(J149="","",LEFT('ATP Fills'!I149,4))</f>
        <v/>
      </c>
      <c r="L149" t="str">
        <f>IF(A149="","",IF('ATP Fills'!G149="LME",'ATP Fills'!I149,""))</f>
        <v/>
      </c>
      <c r="M149" t="str">
        <f t="shared" si="2"/>
        <v/>
      </c>
    </row>
    <row r="150" spans="1:13">
      <c r="A150" t="str">
        <f>IF('ATP Fills'!A150="","",IF('ATP Fills'!Q150="PHILLIPSG",'ATP Fills'!F150,""))</f>
        <v/>
      </c>
      <c r="B150" t="str">
        <f>IF(A150="","",'ATP Fills'!L150)</f>
        <v/>
      </c>
      <c r="C150" t="str">
        <f>IF(A150="","",'ATP Fills'!M150)</f>
        <v/>
      </c>
      <c r="D150" t="str">
        <f>IF(A150="","",'ATP Fills'!B150)</f>
        <v/>
      </c>
      <c r="E150" s="3" t="str">
        <f>IF(A150="","",IF(DATE(LEFT(D150,4),MID(D150,5,2),RIGHT(D150,2))=Helper1!$P$1,Helper1!$P$1,""))</f>
        <v/>
      </c>
      <c r="F150" s="3" t="str">
        <f>IF(A150="","",'ATP Fills'!G150)</f>
        <v/>
      </c>
      <c r="G150" t="str">
        <f>IF(A150="","",'ATP Fills'!H150)</f>
        <v/>
      </c>
      <c r="H150" t="str">
        <f>IF(A150="","",VLOOKUP(G150,表3_3[],2,0))</f>
        <v/>
      </c>
      <c r="I150" t="str">
        <f>IF(A150="","",VLOOKUP(G150,表3_3[],3,0))</f>
        <v/>
      </c>
      <c r="J150" t="str">
        <f>IF(A150="","",IF('ATP Fills'!I150="3M","",VLOOKUP(RIGHT('ATP Fills'!I150,2),Helper1!$O$36:$P$48,2,0)))</f>
        <v/>
      </c>
      <c r="K150" t="str">
        <f>IF(J150="","",LEFT('ATP Fills'!I150,4))</f>
        <v/>
      </c>
      <c r="L150" t="str">
        <f>IF(A150="","",IF('ATP Fills'!G150="LME",'ATP Fills'!I150,""))</f>
        <v/>
      </c>
      <c r="M150" t="str">
        <f t="shared" si="2"/>
        <v/>
      </c>
    </row>
    <row r="151" spans="1:13">
      <c r="A151" t="str">
        <f>IF('ATP Fills'!A151="","",IF('ATP Fills'!Q151="PHILLIPSG",'ATP Fills'!F151,""))</f>
        <v/>
      </c>
      <c r="B151" t="str">
        <f>IF(A151="","",'ATP Fills'!L151)</f>
        <v/>
      </c>
      <c r="C151" t="str">
        <f>IF(A151="","",'ATP Fills'!M151)</f>
        <v/>
      </c>
      <c r="D151" t="str">
        <f>IF(A151="","",'ATP Fills'!B151)</f>
        <v/>
      </c>
      <c r="E151" s="3" t="str">
        <f>IF(A151="","",IF(DATE(LEFT(D151,4),MID(D151,5,2),RIGHT(D151,2))=Helper1!$P$1,Helper1!$P$1,""))</f>
        <v/>
      </c>
      <c r="F151" s="3" t="str">
        <f>IF(A151="","",'ATP Fills'!G151)</f>
        <v/>
      </c>
      <c r="G151" t="str">
        <f>IF(A151="","",'ATP Fills'!H151)</f>
        <v/>
      </c>
      <c r="H151" t="str">
        <f>IF(A151="","",VLOOKUP(G151,表3_3[],2,0))</f>
        <v/>
      </c>
      <c r="I151" t="str">
        <f>IF(A151="","",VLOOKUP(G151,表3_3[],3,0))</f>
        <v/>
      </c>
      <c r="J151" t="str">
        <f>IF(A151="","",IF('ATP Fills'!I151="3M","",VLOOKUP(RIGHT('ATP Fills'!I151,2),Helper1!$O$36:$P$48,2,0)))</f>
        <v/>
      </c>
      <c r="K151" t="str">
        <f>IF(J151="","",LEFT('ATP Fills'!I151,4))</f>
        <v/>
      </c>
      <c r="L151" t="str">
        <f>IF(A151="","",IF('ATP Fills'!G151="LME",'ATP Fills'!I151,""))</f>
        <v/>
      </c>
      <c r="M151" t="str">
        <f t="shared" si="2"/>
        <v/>
      </c>
    </row>
    <row r="152" spans="1:13">
      <c r="A152" t="str">
        <f>IF('ATP Fills'!A152="","",IF('ATP Fills'!Q152="PHILLIPSG",'ATP Fills'!F152,""))</f>
        <v/>
      </c>
      <c r="B152" t="str">
        <f>IF(A152="","",'ATP Fills'!L152)</f>
        <v/>
      </c>
      <c r="C152" t="str">
        <f>IF(A152="","",'ATP Fills'!M152)</f>
        <v/>
      </c>
      <c r="D152" t="str">
        <f>IF(A152="","",'ATP Fills'!B152)</f>
        <v/>
      </c>
      <c r="E152" s="3" t="str">
        <f>IF(A152="","",IF(DATE(LEFT(D152,4),MID(D152,5,2),RIGHT(D152,2))=Helper1!$P$1,Helper1!$P$1,""))</f>
        <v/>
      </c>
      <c r="F152" s="3" t="str">
        <f>IF(A152="","",'ATP Fills'!G152)</f>
        <v/>
      </c>
      <c r="G152" t="str">
        <f>IF(A152="","",'ATP Fills'!H152)</f>
        <v/>
      </c>
      <c r="H152" t="str">
        <f>IF(A152="","",VLOOKUP(G152,表3_3[],2,0))</f>
        <v/>
      </c>
      <c r="I152" t="str">
        <f>IF(A152="","",VLOOKUP(G152,表3_3[],3,0))</f>
        <v/>
      </c>
      <c r="J152" t="str">
        <f>IF(A152="","",IF('ATP Fills'!I152="3M","",VLOOKUP(RIGHT('ATP Fills'!I152,2),Helper1!$O$36:$P$48,2,0)))</f>
        <v/>
      </c>
      <c r="K152" t="str">
        <f>IF(J152="","",LEFT('ATP Fills'!I152,4))</f>
        <v/>
      </c>
      <c r="L152" t="str">
        <f>IF(A152="","",IF('ATP Fills'!G152="LME",'ATP Fills'!I152,""))</f>
        <v/>
      </c>
      <c r="M152" t="str">
        <f t="shared" si="2"/>
        <v/>
      </c>
    </row>
    <row r="153" spans="1:13">
      <c r="A153" t="str">
        <f>IF('ATP Fills'!A153="","",IF('ATP Fills'!Q153="PHILLIPSG",'ATP Fills'!F153,""))</f>
        <v/>
      </c>
      <c r="B153" t="str">
        <f>IF(A153="","",'ATP Fills'!L153)</f>
        <v/>
      </c>
      <c r="C153" t="str">
        <f>IF(A153="","",'ATP Fills'!M153)</f>
        <v/>
      </c>
      <c r="D153" t="str">
        <f>IF(A153="","",'ATP Fills'!B153)</f>
        <v/>
      </c>
      <c r="E153" s="3" t="str">
        <f>IF(A153="","",IF(DATE(LEFT(D153,4),MID(D153,5,2),RIGHT(D153,2))=Helper1!$P$1,Helper1!$P$1,""))</f>
        <v/>
      </c>
      <c r="F153" s="3" t="str">
        <f>IF(A153="","",'ATP Fills'!G153)</f>
        <v/>
      </c>
      <c r="G153" t="str">
        <f>IF(A153="","",'ATP Fills'!H153)</f>
        <v/>
      </c>
      <c r="H153" t="str">
        <f>IF(A153="","",VLOOKUP(G153,表3_3[],2,0))</f>
        <v/>
      </c>
      <c r="I153" t="str">
        <f>IF(A153="","",VLOOKUP(G153,表3_3[],3,0))</f>
        <v/>
      </c>
      <c r="J153" t="str">
        <f>IF(A153="","",IF('ATP Fills'!I153="3M","",VLOOKUP(RIGHT('ATP Fills'!I153,2),Helper1!$O$36:$P$48,2,0)))</f>
        <v/>
      </c>
      <c r="K153" t="str">
        <f>IF(J153="","",LEFT('ATP Fills'!I153,4))</f>
        <v/>
      </c>
      <c r="L153" t="str">
        <f>IF(A153="","",IF('ATP Fills'!G153="LME",'ATP Fills'!I153,""))</f>
        <v/>
      </c>
      <c r="M153" t="str">
        <f t="shared" si="2"/>
        <v/>
      </c>
    </row>
    <row r="154" spans="1:13">
      <c r="A154" t="str">
        <f>IF('ATP Fills'!A154="","",IF('ATP Fills'!Q154="PHILLIPSG",'ATP Fills'!F154,""))</f>
        <v/>
      </c>
      <c r="B154" t="str">
        <f>IF(A154="","",'ATP Fills'!L154)</f>
        <v/>
      </c>
      <c r="C154" t="str">
        <f>IF(A154="","",'ATP Fills'!M154)</f>
        <v/>
      </c>
      <c r="D154" t="str">
        <f>IF(A154="","",'ATP Fills'!B154)</f>
        <v/>
      </c>
      <c r="E154" s="3" t="str">
        <f>IF(A154="","",IF(DATE(LEFT(D154,4),MID(D154,5,2),RIGHT(D154,2))=Helper1!$P$1,Helper1!$P$1,""))</f>
        <v/>
      </c>
      <c r="F154" s="3" t="str">
        <f>IF(A154="","",'ATP Fills'!G154)</f>
        <v/>
      </c>
      <c r="G154" t="str">
        <f>IF(A154="","",'ATP Fills'!H154)</f>
        <v/>
      </c>
      <c r="H154" t="str">
        <f>IF(A154="","",VLOOKUP(G154,表3_3[],2,0))</f>
        <v/>
      </c>
      <c r="I154" t="str">
        <f>IF(A154="","",VLOOKUP(G154,表3_3[],3,0))</f>
        <v/>
      </c>
      <c r="J154" t="str">
        <f>IF(A154="","",IF('ATP Fills'!I154="3M","",VLOOKUP(RIGHT('ATP Fills'!I154,2),Helper1!$O$36:$P$48,2,0)))</f>
        <v/>
      </c>
      <c r="K154" t="str">
        <f>IF(J154="","",LEFT('ATP Fills'!I154,4))</f>
        <v/>
      </c>
      <c r="L154" t="str">
        <f>IF(A154="","",IF('ATP Fills'!G154="LME",'ATP Fills'!I154,""))</f>
        <v/>
      </c>
      <c r="M154" t="str">
        <f t="shared" si="2"/>
        <v/>
      </c>
    </row>
    <row r="155" spans="1:13">
      <c r="A155" t="str">
        <f>IF('ATP Fills'!A155="","",IF('ATP Fills'!Q155="PHILLIPSG",'ATP Fills'!F155,""))</f>
        <v/>
      </c>
      <c r="B155" t="str">
        <f>IF(A155="","",'ATP Fills'!L155)</f>
        <v/>
      </c>
      <c r="C155" t="str">
        <f>IF(A155="","",'ATP Fills'!M155)</f>
        <v/>
      </c>
      <c r="D155" t="str">
        <f>IF(A155="","",'ATP Fills'!B155)</f>
        <v/>
      </c>
      <c r="E155" s="3" t="str">
        <f>IF(A155="","",IF(DATE(LEFT(D155,4),MID(D155,5,2),RIGHT(D155,2))=Helper1!$P$1,Helper1!$P$1,""))</f>
        <v/>
      </c>
      <c r="F155" s="3" t="str">
        <f>IF(A155="","",'ATP Fills'!G155)</f>
        <v/>
      </c>
      <c r="G155" t="str">
        <f>IF(A155="","",'ATP Fills'!H155)</f>
        <v/>
      </c>
      <c r="H155" t="str">
        <f>IF(A155="","",VLOOKUP(G155,表3_3[],2,0))</f>
        <v/>
      </c>
      <c r="I155" t="str">
        <f>IF(A155="","",VLOOKUP(G155,表3_3[],3,0))</f>
        <v/>
      </c>
      <c r="J155" t="str">
        <f>IF(A155="","",IF('ATP Fills'!I155="3M","",VLOOKUP(RIGHT('ATP Fills'!I155,2),Helper1!$O$36:$P$48,2,0)))</f>
        <v/>
      </c>
      <c r="K155" t="str">
        <f>IF(J155="","",LEFT('ATP Fills'!I155,4))</f>
        <v/>
      </c>
      <c r="L155" t="str">
        <f>IF(A155="","",IF('ATP Fills'!G155="LME",'ATP Fills'!I155,""))</f>
        <v/>
      </c>
      <c r="M155" t="str">
        <f t="shared" si="2"/>
        <v/>
      </c>
    </row>
    <row r="156" spans="1:13">
      <c r="A156" t="str">
        <f>IF('ATP Fills'!A156="","",IF('ATP Fills'!Q156="PHILLIPSG",'ATP Fills'!F156,""))</f>
        <v/>
      </c>
      <c r="B156" t="str">
        <f>IF(A156="","",'ATP Fills'!L156)</f>
        <v/>
      </c>
      <c r="C156" t="str">
        <f>IF(A156="","",'ATP Fills'!M156)</f>
        <v/>
      </c>
      <c r="D156" t="str">
        <f>IF(A156="","",'ATP Fills'!B156)</f>
        <v/>
      </c>
      <c r="E156" s="3" t="str">
        <f>IF(A156="","",IF(DATE(LEFT(D156,4),MID(D156,5,2),RIGHT(D156,2))=Helper1!$P$1,Helper1!$P$1,""))</f>
        <v/>
      </c>
      <c r="F156" s="3" t="str">
        <f>IF(A156="","",'ATP Fills'!G156)</f>
        <v/>
      </c>
      <c r="G156" t="str">
        <f>IF(A156="","",'ATP Fills'!H156)</f>
        <v/>
      </c>
      <c r="H156" t="str">
        <f>IF(A156="","",VLOOKUP(G156,表3_3[],2,0))</f>
        <v/>
      </c>
      <c r="I156" t="str">
        <f>IF(A156="","",VLOOKUP(G156,表3_3[],3,0))</f>
        <v/>
      </c>
      <c r="J156" t="str">
        <f>IF(A156="","",IF('ATP Fills'!I156="3M","",VLOOKUP(RIGHT('ATP Fills'!I156,2),Helper1!$O$36:$P$48,2,0)))</f>
        <v/>
      </c>
      <c r="K156" t="str">
        <f>IF(J156="","",LEFT('ATP Fills'!I156,4))</f>
        <v/>
      </c>
      <c r="L156" t="str">
        <f>IF(A156="","",IF('ATP Fills'!G156="LME",'ATP Fills'!I156,""))</f>
        <v/>
      </c>
      <c r="M156" t="str">
        <f t="shared" si="2"/>
        <v/>
      </c>
    </row>
    <row r="157" spans="1:13">
      <c r="A157" t="str">
        <f>IF('ATP Fills'!A157="","",IF('ATP Fills'!Q157="PHILLIPSG",'ATP Fills'!F157,""))</f>
        <v/>
      </c>
      <c r="B157" t="str">
        <f>IF(A157="","",'ATP Fills'!L157)</f>
        <v/>
      </c>
      <c r="C157" t="str">
        <f>IF(A157="","",'ATP Fills'!M157)</f>
        <v/>
      </c>
      <c r="D157" t="str">
        <f>IF(A157="","",'ATP Fills'!B157)</f>
        <v/>
      </c>
      <c r="E157" s="3" t="str">
        <f>IF(A157="","",IF(DATE(LEFT(D157,4),MID(D157,5,2),RIGHT(D157,2))=Helper1!$P$1,Helper1!$P$1,""))</f>
        <v/>
      </c>
      <c r="F157" s="3" t="str">
        <f>IF(A157="","",'ATP Fills'!G157)</f>
        <v/>
      </c>
      <c r="G157" t="str">
        <f>IF(A157="","",'ATP Fills'!H157)</f>
        <v/>
      </c>
      <c r="H157" t="str">
        <f>IF(A157="","",VLOOKUP(G157,表3_3[],2,0))</f>
        <v/>
      </c>
      <c r="I157" t="str">
        <f>IF(A157="","",VLOOKUP(G157,表3_3[],3,0))</f>
        <v/>
      </c>
      <c r="J157" t="str">
        <f>IF(A157="","",IF('ATP Fills'!I157="3M","",VLOOKUP(RIGHT('ATP Fills'!I157,2),Helper1!$O$36:$P$48,2,0)))</f>
        <v/>
      </c>
      <c r="K157" t="str">
        <f>IF(J157="","",LEFT('ATP Fills'!I157,4))</f>
        <v/>
      </c>
      <c r="L157" t="str">
        <f>IF(A157="","",IF('ATP Fills'!G157="LME",'ATP Fills'!I157,""))</f>
        <v/>
      </c>
      <c r="M157" t="str">
        <f t="shared" si="2"/>
        <v/>
      </c>
    </row>
    <row r="158" spans="1:13">
      <c r="A158" t="str">
        <f>IF('ATP Fills'!A158="","",IF('ATP Fills'!Q158="PHILLIPSG",'ATP Fills'!F158,""))</f>
        <v/>
      </c>
      <c r="B158" t="str">
        <f>IF(A158="","",'ATP Fills'!L158)</f>
        <v/>
      </c>
      <c r="C158" t="str">
        <f>IF(A158="","",'ATP Fills'!M158)</f>
        <v/>
      </c>
      <c r="D158" t="str">
        <f>IF(A158="","",'ATP Fills'!B158)</f>
        <v/>
      </c>
      <c r="E158" s="3" t="str">
        <f>IF(A158="","",IF(DATE(LEFT(D158,4),MID(D158,5,2),RIGHT(D158,2))=Helper1!$P$1,Helper1!$P$1,""))</f>
        <v/>
      </c>
      <c r="F158" s="3" t="str">
        <f>IF(A158="","",'ATP Fills'!G158)</f>
        <v/>
      </c>
      <c r="G158" t="str">
        <f>IF(A158="","",'ATP Fills'!H158)</f>
        <v/>
      </c>
      <c r="H158" t="str">
        <f>IF(A158="","",VLOOKUP(G158,表3_3[],2,0))</f>
        <v/>
      </c>
      <c r="I158" t="str">
        <f>IF(A158="","",VLOOKUP(G158,表3_3[],3,0))</f>
        <v/>
      </c>
      <c r="J158" t="str">
        <f>IF(A158="","",IF('ATP Fills'!I158="3M","",VLOOKUP(RIGHT('ATP Fills'!I158,2),Helper1!$O$36:$P$48,2,0)))</f>
        <v/>
      </c>
      <c r="K158" t="str">
        <f>IF(J158="","",LEFT('ATP Fills'!I158,4))</f>
        <v/>
      </c>
      <c r="L158" t="str">
        <f>IF(A158="","",IF('ATP Fills'!G158="LME",'ATP Fills'!I158,""))</f>
        <v/>
      </c>
      <c r="M158" t="str">
        <f t="shared" si="2"/>
        <v/>
      </c>
    </row>
    <row r="159" spans="1:13">
      <c r="A159" t="str">
        <f>IF('ATP Fills'!A159="","",IF('ATP Fills'!Q159="PHILLIPSG",'ATP Fills'!F159,""))</f>
        <v/>
      </c>
      <c r="B159" t="str">
        <f>IF(A159="","",'ATP Fills'!L159)</f>
        <v/>
      </c>
      <c r="C159" t="str">
        <f>IF(A159="","",'ATP Fills'!M159)</f>
        <v/>
      </c>
      <c r="D159" t="str">
        <f>IF(A159="","",'ATP Fills'!B159)</f>
        <v/>
      </c>
      <c r="E159" s="3" t="str">
        <f>IF(A159="","",IF(DATE(LEFT(D159,4),MID(D159,5,2),RIGHT(D159,2))=Helper1!$P$1,Helper1!$P$1,""))</f>
        <v/>
      </c>
      <c r="F159" s="3" t="str">
        <f>IF(A159="","",'ATP Fills'!G159)</f>
        <v/>
      </c>
      <c r="G159" t="str">
        <f>IF(A159="","",'ATP Fills'!H159)</f>
        <v/>
      </c>
      <c r="H159" t="str">
        <f>IF(A159="","",VLOOKUP(G159,表3_3[],2,0))</f>
        <v/>
      </c>
      <c r="I159" t="str">
        <f>IF(A159="","",VLOOKUP(G159,表3_3[],3,0))</f>
        <v/>
      </c>
      <c r="J159" t="str">
        <f>IF(A159="","",IF('ATP Fills'!I159="3M","",VLOOKUP(RIGHT('ATP Fills'!I159,2),Helper1!$O$36:$P$48,2,0)))</f>
        <v/>
      </c>
      <c r="K159" t="str">
        <f>IF(J159="","",LEFT('ATP Fills'!I159,4))</f>
        <v/>
      </c>
      <c r="L159" t="str">
        <f>IF(A159="","",IF('ATP Fills'!G159="LME",'ATP Fills'!I159,""))</f>
        <v/>
      </c>
      <c r="M159" t="str">
        <f t="shared" si="2"/>
        <v/>
      </c>
    </row>
    <row r="160" spans="1:13">
      <c r="A160" t="str">
        <f>IF('ATP Fills'!A160="","",IF('ATP Fills'!Q160="PHILLIPSG",'ATP Fills'!F160,""))</f>
        <v/>
      </c>
      <c r="B160" t="str">
        <f>IF(A160="","",'ATP Fills'!L160)</f>
        <v/>
      </c>
      <c r="C160" t="str">
        <f>IF(A160="","",'ATP Fills'!M160)</f>
        <v/>
      </c>
      <c r="D160" t="str">
        <f>IF(A160="","",'ATP Fills'!B160)</f>
        <v/>
      </c>
      <c r="E160" s="3" t="str">
        <f>IF(A160="","",IF(DATE(LEFT(D160,4),MID(D160,5,2),RIGHT(D160,2))=Helper1!$P$1,Helper1!$P$1,""))</f>
        <v/>
      </c>
      <c r="F160" s="3" t="str">
        <f>IF(A160="","",'ATP Fills'!G160)</f>
        <v/>
      </c>
      <c r="G160" t="str">
        <f>IF(A160="","",'ATP Fills'!H160)</f>
        <v/>
      </c>
      <c r="H160" t="str">
        <f>IF(A160="","",VLOOKUP(G160,表3_3[],2,0))</f>
        <v/>
      </c>
      <c r="I160" t="str">
        <f>IF(A160="","",VLOOKUP(G160,表3_3[],3,0))</f>
        <v/>
      </c>
      <c r="J160" t="str">
        <f>IF(A160="","",IF('ATP Fills'!I160="3M","",VLOOKUP(RIGHT('ATP Fills'!I160,2),Helper1!$O$36:$P$48,2,0)))</f>
        <v/>
      </c>
      <c r="K160" t="str">
        <f>IF(J160="","",LEFT('ATP Fills'!I160,4))</f>
        <v/>
      </c>
      <c r="L160" t="str">
        <f>IF(A160="","",IF('ATP Fills'!G160="LME",'ATP Fills'!I160,""))</f>
        <v/>
      </c>
      <c r="M160" t="str">
        <f t="shared" si="2"/>
        <v/>
      </c>
    </row>
    <row r="161" spans="1:13">
      <c r="A161" t="str">
        <f>IF('ATP Fills'!A161="","",IF('ATP Fills'!Q161="PHILLIPSG",'ATP Fills'!F161,""))</f>
        <v/>
      </c>
      <c r="B161" t="str">
        <f>IF(A161="","",'ATP Fills'!L161)</f>
        <v/>
      </c>
      <c r="C161" t="str">
        <f>IF(A161="","",'ATP Fills'!M161)</f>
        <v/>
      </c>
      <c r="D161" t="str">
        <f>IF(A161="","",'ATP Fills'!B161)</f>
        <v/>
      </c>
      <c r="E161" s="3" t="str">
        <f>IF(A161="","",IF(DATE(LEFT(D161,4),MID(D161,5,2),RIGHT(D161,2))=Helper1!$P$1,Helper1!$P$1,""))</f>
        <v/>
      </c>
      <c r="F161" s="3" t="str">
        <f>IF(A161="","",'ATP Fills'!G161)</f>
        <v/>
      </c>
      <c r="G161" t="str">
        <f>IF(A161="","",'ATP Fills'!H161)</f>
        <v/>
      </c>
      <c r="H161" t="str">
        <f>IF(A161="","",VLOOKUP(G161,表3_3[],2,0))</f>
        <v/>
      </c>
      <c r="I161" t="str">
        <f>IF(A161="","",VLOOKUP(G161,表3_3[],3,0))</f>
        <v/>
      </c>
      <c r="J161" t="str">
        <f>IF(A161="","",IF('ATP Fills'!I161="3M","",VLOOKUP(RIGHT('ATP Fills'!I161,2),Helper1!$O$36:$P$48,2,0)))</f>
        <v/>
      </c>
      <c r="K161" t="str">
        <f>IF(J161="","",LEFT('ATP Fills'!I161,4))</f>
        <v/>
      </c>
      <c r="L161" t="str">
        <f>IF(A161="","",IF('ATP Fills'!G161="LME",'ATP Fills'!I161,""))</f>
        <v/>
      </c>
      <c r="M161" t="str">
        <f t="shared" si="2"/>
        <v/>
      </c>
    </row>
    <row r="162" spans="1:13">
      <c r="A162" t="str">
        <f>IF('ATP Fills'!A162="","",IF('ATP Fills'!Q162="PHILLIPSG",'ATP Fills'!F162,""))</f>
        <v/>
      </c>
      <c r="B162" t="str">
        <f>IF(A162="","",'ATP Fills'!L162)</f>
        <v/>
      </c>
      <c r="C162" t="str">
        <f>IF(A162="","",'ATP Fills'!M162)</f>
        <v/>
      </c>
      <c r="D162" t="str">
        <f>IF(A162="","",'ATP Fills'!B162)</f>
        <v/>
      </c>
      <c r="E162" s="3" t="str">
        <f>IF(A162="","",IF(DATE(LEFT(D162,4),MID(D162,5,2),RIGHT(D162,2))=Helper1!$P$1,Helper1!$P$1,""))</f>
        <v/>
      </c>
      <c r="F162" s="3" t="str">
        <f>IF(A162="","",'ATP Fills'!G162)</f>
        <v/>
      </c>
      <c r="G162" t="str">
        <f>IF(A162="","",'ATP Fills'!H162)</f>
        <v/>
      </c>
      <c r="H162" t="str">
        <f>IF(A162="","",VLOOKUP(G162,表3_3[],2,0))</f>
        <v/>
      </c>
      <c r="I162" t="str">
        <f>IF(A162="","",VLOOKUP(G162,表3_3[],3,0))</f>
        <v/>
      </c>
      <c r="J162" t="str">
        <f>IF(A162="","",IF('ATP Fills'!I162="3M","",VLOOKUP(RIGHT('ATP Fills'!I162,2),Helper1!$O$36:$P$48,2,0)))</f>
        <v/>
      </c>
      <c r="K162" t="str">
        <f>IF(J162="","",LEFT('ATP Fills'!I162,4))</f>
        <v/>
      </c>
      <c r="L162" t="str">
        <f>IF(A162="","",IF('ATP Fills'!G162="LME",'ATP Fills'!I162,""))</f>
        <v/>
      </c>
      <c r="M162" t="str">
        <f t="shared" si="2"/>
        <v/>
      </c>
    </row>
    <row r="163" spans="1:13">
      <c r="A163" t="str">
        <f>IF('ATP Fills'!A163="","",IF('ATP Fills'!Q163="PHILLIPSG",'ATP Fills'!F163,""))</f>
        <v/>
      </c>
      <c r="B163" t="str">
        <f>IF(A163="","",'ATP Fills'!L163)</f>
        <v/>
      </c>
      <c r="C163" t="str">
        <f>IF(A163="","",'ATP Fills'!M163)</f>
        <v/>
      </c>
      <c r="D163" t="str">
        <f>IF(A163="","",'ATP Fills'!B163)</f>
        <v/>
      </c>
      <c r="E163" s="3" t="str">
        <f>IF(A163="","",IF(DATE(LEFT(D163,4),MID(D163,5,2),RIGHT(D163,2))=Helper1!$P$1,Helper1!$P$1,""))</f>
        <v/>
      </c>
      <c r="F163" s="3" t="str">
        <f>IF(A163="","",'ATP Fills'!G163)</f>
        <v/>
      </c>
      <c r="G163" t="str">
        <f>IF(A163="","",'ATP Fills'!H163)</f>
        <v/>
      </c>
      <c r="H163" t="str">
        <f>IF(A163="","",VLOOKUP(G163,表3_3[],2,0))</f>
        <v/>
      </c>
      <c r="I163" t="str">
        <f>IF(A163="","",VLOOKUP(G163,表3_3[],3,0))</f>
        <v/>
      </c>
      <c r="J163" t="str">
        <f>IF(A163="","",IF('ATP Fills'!I163="3M","",VLOOKUP(RIGHT('ATP Fills'!I163,2),Helper1!$O$36:$P$48,2,0)))</f>
        <v/>
      </c>
      <c r="K163" t="str">
        <f>IF(J163="","",LEFT('ATP Fills'!I163,4))</f>
        <v/>
      </c>
      <c r="L163" t="str">
        <f>IF(A163="","",IF('ATP Fills'!G163="LME",'ATP Fills'!I163,""))</f>
        <v/>
      </c>
      <c r="M163" t="str">
        <f t="shared" si="2"/>
        <v/>
      </c>
    </row>
    <row r="164" spans="1:13">
      <c r="A164" t="str">
        <f>IF('ATP Fills'!A164="","",IF('ATP Fills'!Q164="PHILLIPSG",'ATP Fills'!F164,""))</f>
        <v/>
      </c>
      <c r="B164" t="str">
        <f>IF(A164="","",'ATP Fills'!L164)</f>
        <v/>
      </c>
      <c r="C164" t="str">
        <f>IF(A164="","",'ATP Fills'!M164)</f>
        <v/>
      </c>
      <c r="D164" t="str">
        <f>IF(A164="","",'ATP Fills'!B164)</f>
        <v/>
      </c>
      <c r="E164" s="3" t="str">
        <f>IF(A164="","",IF(DATE(LEFT(D164,4),MID(D164,5,2),RIGHT(D164,2))=Helper1!$P$1,Helper1!$P$1,""))</f>
        <v/>
      </c>
      <c r="F164" s="3" t="str">
        <f>IF(A164="","",'ATP Fills'!G164)</f>
        <v/>
      </c>
      <c r="G164" t="str">
        <f>IF(A164="","",'ATP Fills'!H164)</f>
        <v/>
      </c>
      <c r="H164" t="str">
        <f>IF(A164="","",VLOOKUP(G164,表3_3[],2,0))</f>
        <v/>
      </c>
      <c r="I164" t="str">
        <f>IF(A164="","",VLOOKUP(G164,表3_3[],3,0))</f>
        <v/>
      </c>
      <c r="J164" t="str">
        <f>IF(A164="","",IF('ATP Fills'!I164="3M","",VLOOKUP(RIGHT('ATP Fills'!I164,2),Helper1!$O$36:$P$48,2,0)))</f>
        <v/>
      </c>
      <c r="K164" t="str">
        <f>IF(J164="","",LEFT('ATP Fills'!I164,4))</f>
        <v/>
      </c>
      <c r="L164" t="str">
        <f>IF(A164="","",IF('ATP Fills'!G164="LME",'ATP Fills'!I164,""))</f>
        <v/>
      </c>
      <c r="M164" t="str">
        <f t="shared" si="2"/>
        <v/>
      </c>
    </row>
    <row r="165" spans="1:13">
      <c r="A165" t="str">
        <f>IF('ATP Fills'!A165="","",IF('ATP Fills'!Q165="PHILLIPSG",'ATP Fills'!F165,""))</f>
        <v/>
      </c>
      <c r="B165" t="str">
        <f>IF(A165="","",'ATP Fills'!L165)</f>
        <v/>
      </c>
      <c r="C165" t="str">
        <f>IF(A165="","",'ATP Fills'!M165)</f>
        <v/>
      </c>
      <c r="D165" t="str">
        <f>IF(A165="","",'ATP Fills'!B165)</f>
        <v/>
      </c>
      <c r="E165" s="3" t="str">
        <f>IF(A165="","",IF(DATE(LEFT(D165,4),MID(D165,5,2),RIGHT(D165,2))=Helper1!$P$1,Helper1!$P$1,""))</f>
        <v/>
      </c>
      <c r="F165" s="3" t="str">
        <f>IF(A165="","",'ATP Fills'!G165)</f>
        <v/>
      </c>
      <c r="G165" t="str">
        <f>IF(A165="","",'ATP Fills'!H165)</f>
        <v/>
      </c>
      <c r="H165" t="str">
        <f>IF(A165="","",VLOOKUP(G165,表3_3[],2,0))</f>
        <v/>
      </c>
      <c r="I165" t="str">
        <f>IF(A165="","",VLOOKUP(G165,表3_3[],3,0))</f>
        <v/>
      </c>
      <c r="J165" t="str">
        <f>IF(A165="","",IF('ATP Fills'!I165="3M","",VLOOKUP(RIGHT('ATP Fills'!I165,2),Helper1!$O$36:$P$48,2,0)))</f>
        <v/>
      </c>
      <c r="K165" t="str">
        <f>IF(J165="","",LEFT('ATP Fills'!I165,4))</f>
        <v/>
      </c>
      <c r="L165" t="str">
        <f>IF(A165="","",IF('ATP Fills'!G165="LME",'ATP Fills'!I165,""))</f>
        <v/>
      </c>
      <c r="M165" t="str">
        <f t="shared" si="2"/>
        <v/>
      </c>
    </row>
    <row r="166" spans="1:13">
      <c r="A166" t="str">
        <f>IF('ATP Fills'!A166="","",IF('ATP Fills'!Q166="PHILLIPSG",'ATP Fills'!F166,""))</f>
        <v/>
      </c>
      <c r="B166" t="str">
        <f>IF(A166="","",'ATP Fills'!L166)</f>
        <v/>
      </c>
      <c r="C166" t="str">
        <f>IF(A166="","",'ATP Fills'!M166)</f>
        <v/>
      </c>
      <c r="D166" t="str">
        <f>IF(A166="","",'ATP Fills'!B166)</f>
        <v/>
      </c>
      <c r="E166" s="3" t="str">
        <f>IF(A166="","",IF(DATE(LEFT(D166,4),MID(D166,5,2),RIGHT(D166,2))=Helper1!$P$1,Helper1!$P$1,""))</f>
        <v/>
      </c>
      <c r="F166" s="3" t="str">
        <f>IF(A166="","",'ATP Fills'!G166)</f>
        <v/>
      </c>
      <c r="G166" t="str">
        <f>IF(A166="","",'ATP Fills'!H166)</f>
        <v/>
      </c>
      <c r="H166" t="str">
        <f>IF(A166="","",VLOOKUP(G166,表3_3[],2,0))</f>
        <v/>
      </c>
      <c r="I166" t="str">
        <f>IF(A166="","",VLOOKUP(G166,表3_3[],3,0))</f>
        <v/>
      </c>
      <c r="J166" t="str">
        <f>IF(A166="","",IF('ATP Fills'!I166="3M","",VLOOKUP(RIGHT('ATP Fills'!I166,2),Helper1!$O$36:$P$48,2,0)))</f>
        <v/>
      </c>
      <c r="K166" t="str">
        <f>IF(J166="","",LEFT('ATP Fills'!I166,4))</f>
        <v/>
      </c>
      <c r="L166" t="str">
        <f>IF(A166="","",IF('ATP Fills'!G166="LME",'ATP Fills'!I166,""))</f>
        <v/>
      </c>
      <c r="M166" t="str">
        <f t="shared" si="2"/>
        <v/>
      </c>
    </row>
    <row r="167" spans="1:13">
      <c r="A167" t="str">
        <f>IF('ATP Fills'!A167="","",IF('ATP Fills'!Q167="PHILLIPSG",'ATP Fills'!F167,""))</f>
        <v/>
      </c>
      <c r="B167" t="str">
        <f>IF(A167="","",'ATP Fills'!L167)</f>
        <v/>
      </c>
      <c r="C167" t="str">
        <f>IF(A167="","",'ATP Fills'!M167)</f>
        <v/>
      </c>
      <c r="D167" t="str">
        <f>IF(A167="","",'ATP Fills'!B167)</f>
        <v/>
      </c>
      <c r="E167" s="3" t="str">
        <f>IF(A167="","",IF(DATE(LEFT(D167,4),MID(D167,5,2),RIGHT(D167,2))=Helper1!$P$1,Helper1!$P$1,""))</f>
        <v/>
      </c>
      <c r="F167" s="3" t="str">
        <f>IF(A167="","",'ATP Fills'!G167)</f>
        <v/>
      </c>
      <c r="G167" t="str">
        <f>IF(A167="","",'ATP Fills'!H167)</f>
        <v/>
      </c>
      <c r="H167" t="str">
        <f>IF(A167="","",VLOOKUP(G167,表3_3[],2,0))</f>
        <v/>
      </c>
      <c r="I167" t="str">
        <f>IF(A167="","",VLOOKUP(G167,表3_3[],3,0))</f>
        <v/>
      </c>
      <c r="J167" t="str">
        <f>IF(A167="","",IF('ATP Fills'!I167="3M","",VLOOKUP(RIGHT('ATP Fills'!I167,2),Helper1!$O$36:$P$48,2,0)))</f>
        <v/>
      </c>
      <c r="K167" t="str">
        <f>IF(J167="","",LEFT('ATP Fills'!I167,4))</f>
        <v/>
      </c>
      <c r="L167" t="str">
        <f>IF(A167="","",IF('ATP Fills'!G167="LME",'ATP Fills'!I167,""))</f>
        <v/>
      </c>
      <c r="M167" t="str">
        <f t="shared" si="2"/>
        <v/>
      </c>
    </row>
    <row r="168" spans="1:13">
      <c r="A168" t="str">
        <f>IF('ATP Fills'!A168="","",IF('ATP Fills'!Q168="PHILLIPSG",'ATP Fills'!F168,""))</f>
        <v/>
      </c>
      <c r="B168" t="str">
        <f>IF(A168="","",'ATP Fills'!L168)</f>
        <v/>
      </c>
      <c r="C168" t="str">
        <f>IF(A168="","",'ATP Fills'!M168)</f>
        <v/>
      </c>
      <c r="D168" t="str">
        <f>IF(A168="","",'ATP Fills'!B168)</f>
        <v/>
      </c>
      <c r="E168" s="3" t="str">
        <f>IF(A168="","",IF(DATE(LEFT(D168,4),MID(D168,5,2),RIGHT(D168,2))=Helper1!$P$1,Helper1!$P$1,""))</f>
        <v/>
      </c>
      <c r="F168" s="3" t="str">
        <f>IF(A168="","",'ATP Fills'!G168)</f>
        <v/>
      </c>
      <c r="G168" t="str">
        <f>IF(A168="","",'ATP Fills'!H168)</f>
        <v/>
      </c>
      <c r="H168" t="str">
        <f>IF(A168="","",VLOOKUP(G168,表3_3[],2,0))</f>
        <v/>
      </c>
      <c r="I168" t="str">
        <f>IF(A168="","",VLOOKUP(G168,表3_3[],3,0))</f>
        <v/>
      </c>
      <c r="J168" t="str">
        <f>IF(A168="","",IF('ATP Fills'!I168="3M","",VLOOKUP(RIGHT('ATP Fills'!I168,2),Helper1!$O$36:$P$48,2,0)))</f>
        <v/>
      </c>
      <c r="K168" t="str">
        <f>IF(J168="","",LEFT('ATP Fills'!I168,4))</f>
        <v/>
      </c>
      <c r="L168" t="str">
        <f>IF(A168="","",IF('ATP Fills'!G168="LME",'ATP Fills'!I168,""))</f>
        <v/>
      </c>
      <c r="M168" t="str">
        <f t="shared" si="2"/>
        <v/>
      </c>
    </row>
    <row r="169" spans="1:13">
      <c r="A169" t="str">
        <f>IF('ATP Fills'!A169="","",IF('ATP Fills'!Q169="PHILLIPSG",'ATP Fills'!F169,""))</f>
        <v/>
      </c>
      <c r="B169" t="str">
        <f>IF(A169="","",'ATP Fills'!L169)</f>
        <v/>
      </c>
      <c r="C169" t="str">
        <f>IF(A169="","",'ATP Fills'!M169)</f>
        <v/>
      </c>
      <c r="D169" t="str">
        <f>IF(A169="","",'ATP Fills'!B169)</f>
        <v/>
      </c>
      <c r="E169" s="3" t="str">
        <f>IF(A169="","",IF(DATE(LEFT(D169,4),MID(D169,5,2),RIGHT(D169,2))=Helper1!$P$1,Helper1!$P$1,""))</f>
        <v/>
      </c>
      <c r="F169" s="3" t="str">
        <f>IF(A169="","",'ATP Fills'!G169)</f>
        <v/>
      </c>
      <c r="G169" t="str">
        <f>IF(A169="","",'ATP Fills'!H169)</f>
        <v/>
      </c>
      <c r="H169" t="str">
        <f>IF(A169="","",VLOOKUP(G169,表3_3[],2,0))</f>
        <v/>
      </c>
      <c r="I169" t="str">
        <f>IF(A169="","",VLOOKUP(G169,表3_3[],3,0))</f>
        <v/>
      </c>
      <c r="J169" t="str">
        <f>IF(A169="","",IF('ATP Fills'!I169="3M","",VLOOKUP(RIGHT('ATP Fills'!I169,2),Helper1!$O$36:$P$48,2,0)))</f>
        <v/>
      </c>
      <c r="K169" t="str">
        <f>IF(J169="","",LEFT('ATP Fills'!I169,4))</f>
        <v/>
      </c>
      <c r="L169" t="str">
        <f>IF(A169="","",IF('ATP Fills'!G169="LME",'ATP Fills'!I169,""))</f>
        <v/>
      </c>
      <c r="M169" t="str">
        <f t="shared" si="2"/>
        <v/>
      </c>
    </row>
    <row r="170" spans="1:13">
      <c r="A170" t="str">
        <f>IF('ATP Fills'!A170="","",IF('ATP Fills'!Q170="PHILLIPSG",'ATP Fills'!F170,""))</f>
        <v/>
      </c>
      <c r="B170" t="str">
        <f>IF(A170="","",'ATP Fills'!L170)</f>
        <v/>
      </c>
      <c r="C170" t="str">
        <f>IF(A170="","",'ATP Fills'!M170)</f>
        <v/>
      </c>
      <c r="D170" t="str">
        <f>IF(A170="","",'ATP Fills'!B170)</f>
        <v/>
      </c>
      <c r="E170" s="3" t="str">
        <f>IF(A170="","",IF(DATE(LEFT(D170,4),MID(D170,5,2),RIGHT(D170,2))=Helper1!$P$1,Helper1!$P$1,""))</f>
        <v/>
      </c>
      <c r="F170" s="3" t="str">
        <f>IF(A170="","",'ATP Fills'!G170)</f>
        <v/>
      </c>
      <c r="G170" t="str">
        <f>IF(A170="","",'ATP Fills'!H170)</f>
        <v/>
      </c>
      <c r="H170" t="str">
        <f>IF(A170="","",VLOOKUP(G170,表3_3[],2,0))</f>
        <v/>
      </c>
      <c r="I170" t="str">
        <f>IF(A170="","",VLOOKUP(G170,表3_3[],3,0))</f>
        <v/>
      </c>
      <c r="J170" t="str">
        <f>IF(A170="","",IF('ATP Fills'!I170="3M","",VLOOKUP(RIGHT('ATP Fills'!I170,2),Helper1!$O$36:$P$48,2,0)))</f>
        <v/>
      </c>
      <c r="K170" t="str">
        <f>IF(J170="","",LEFT('ATP Fills'!I170,4))</f>
        <v/>
      </c>
      <c r="L170" t="str">
        <f>IF(A170="","",IF('ATP Fills'!G170="LME",'ATP Fills'!I170,""))</f>
        <v/>
      </c>
      <c r="M170" t="str">
        <f t="shared" si="2"/>
        <v/>
      </c>
    </row>
    <row r="171" spans="1:13">
      <c r="A171" t="str">
        <f>IF('ATP Fills'!A171="","",IF('ATP Fills'!Q171="PHILLIPSG",'ATP Fills'!F171,""))</f>
        <v/>
      </c>
      <c r="B171" t="str">
        <f>IF(A171="","",'ATP Fills'!L171)</f>
        <v/>
      </c>
      <c r="C171" t="str">
        <f>IF(A171="","",'ATP Fills'!M171)</f>
        <v/>
      </c>
      <c r="D171" t="str">
        <f>IF(A171="","",'ATP Fills'!B171)</f>
        <v/>
      </c>
      <c r="E171" s="3" t="str">
        <f>IF(A171="","",IF(DATE(LEFT(D171,4),MID(D171,5,2),RIGHT(D171,2))=Helper1!$P$1,Helper1!$P$1,""))</f>
        <v/>
      </c>
      <c r="F171" s="3" t="str">
        <f>IF(A171="","",'ATP Fills'!G171)</f>
        <v/>
      </c>
      <c r="G171" t="str">
        <f>IF(A171="","",'ATP Fills'!H171)</f>
        <v/>
      </c>
      <c r="H171" t="str">
        <f>IF(A171="","",VLOOKUP(G171,表3_3[],2,0))</f>
        <v/>
      </c>
      <c r="I171" t="str">
        <f>IF(A171="","",VLOOKUP(G171,表3_3[],3,0))</f>
        <v/>
      </c>
      <c r="J171" t="str">
        <f>IF(A171="","",IF('ATP Fills'!I171="3M","",VLOOKUP(RIGHT('ATP Fills'!I171,2),Helper1!$O$36:$P$48,2,0)))</f>
        <v/>
      </c>
      <c r="K171" t="str">
        <f>IF(J171="","",LEFT('ATP Fills'!I171,4))</f>
        <v/>
      </c>
      <c r="L171" t="str">
        <f>IF(A171="","",IF('ATP Fills'!G171="LME",'ATP Fills'!I171,""))</f>
        <v/>
      </c>
      <c r="M171" t="str">
        <f t="shared" si="2"/>
        <v/>
      </c>
    </row>
    <row r="172" spans="1:13">
      <c r="A172" t="str">
        <f>IF('ATP Fills'!A172="","",IF('ATP Fills'!Q172="PHILLIPSG",'ATP Fills'!F172,""))</f>
        <v/>
      </c>
      <c r="B172" t="str">
        <f>IF(A172="","",'ATP Fills'!L172)</f>
        <v/>
      </c>
      <c r="C172" t="str">
        <f>IF(A172="","",'ATP Fills'!M172)</f>
        <v/>
      </c>
      <c r="D172" t="str">
        <f>IF(A172="","",'ATP Fills'!B172)</f>
        <v/>
      </c>
      <c r="E172" s="3" t="str">
        <f>IF(A172="","",IF(DATE(LEFT(D172,4),MID(D172,5,2),RIGHT(D172,2))=Helper1!$P$1,Helper1!$P$1,""))</f>
        <v/>
      </c>
      <c r="F172" s="3" t="str">
        <f>IF(A172="","",'ATP Fills'!G172)</f>
        <v/>
      </c>
      <c r="G172" t="str">
        <f>IF(A172="","",'ATP Fills'!H172)</f>
        <v/>
      </c>
      <c r="H172" t="str">
        <f>IF(A172="","",VLOOKUP(G172,表3_3[],2,0))</f>
        <v/>
      </c>
      <c r="I172" t="str">
        <f>IF(A172="","",VLOOKUP(G172,表3_3[],3,0))</f>
        <v/>
      </c>
      <c r="J172" t="str">
        <f>IF(A172="","",IF('ATP Fills'!I172="3M","",VLOOKUP(RIGHT('ATP Fills'!I172,2),Helper1!$O$36:$P$48,2,0)))</f>
        <v/>
      </c>
      <c r="K172" t="str">
        <f>IF(J172="","",LEFT('ATP Fills'!I172,4))</f>
        <v/>
      </c>
      <c r="L172" t="str">
        <f>IF(A172="","",IF('ATP Fills'!G172="LME",'ATP Fills'!I172,""))</f>
        <v/>
      </c>
      <c r="M172" t="str">
        <f t="shared" si="2"/>
        <v/>
      </c>
    </row>
    <row r="173" spans="1:13">
      <c r="A173" t="str">
        <f>IF('ATP Fills'!A173="","",IF('ATP Fills'!Q173="PHILLIPSG",'ATP Fills'!F173,""))</f>
        <v/>
      </c>
      <c r="B173" t="str">
        <f>IF(A173="","",'ATP Fills'!L173)</f>
        <v/>
      </c>
      <c r="C173" t="str">
        <f>IF(A173="","",'ATP Fills'!M173)</f>
        <v/>
      </c>
      <c r="D173" t="str">
        <f>IF(A173="","",'ATP Fills'!B173)</f>
        <v/>
      </c>
      <c r="E173" s="3" t="str">
        <f>IF(A173="","",IF(DATE(LEFT(D173,4),MID(D173,5,2),RIGHT(D173,2))=Helper1!$P$1,Helper1!$P$1,""))</f>
        <v/>
      </c>
      <c r="F173" s="3" t="str">
        <f>IF(A173="","",'ATP Fills'!G173)</f>
        <v/>
      </c>
      <c r="G173" t="str">
        <f>IF(A173="","",'ATP Fills'!H173)</f>
        <v/>
      </c>
      <c r="H173" t="str">
        <f>IF(A173="","",VLOOKUP(G173,表3_3[],2,0))</f>
        <v/>
      </c>
      <c r="I173" t="str">
        <f>IF(A173="","",VLOOKUP(G173,表3_3[],3,0))</f>
        <v/>
      </c>
      <c r="J173" t="str">
        <f>IF(A173="","",IF('ATP Fills'!I173="3M","",VLOOKUP(RIGHT('ATP Fills'!I173,2),Helper1!$O$36:$P$48,2,0)))</f>
        <v/>
      </c>
      <c r="K173" t="str">
        <f>IF(J173="","",LEFT('ATP Fills'!I173,4))</f>
        <v/>
      </c>
      <c r="L173" t="str">
        <f>IF(A173="","",IF('ATP Fills'!G173="LME",'ATP Fills'!I173,""))</f>
        <v/>
      </c>
      <c r="M173" t="str">
        <f t="shared" si="2"/>
        <v/>
      </c>
    </row>
    <row r="174" spans="1:13">
      <c r="A174" t="str">
        <f>IF('ATP Fills'!A174="","",IF('ATP Fills'!Q174="PHILLIPSG",'ATP Fills'!F174,""))</f>
        <v/>
      </c>
      <c r="B174" t="str">
        <f>IF(A174="","",'ATP Fills'!L174)</f>
        <v/>
      </c>
      <c r="C174" t="str">
        <f>IF(A174="","",'ATP Fills'!M174)</f>
        <v/>
      </c>
      <c r="D174" t="str">
        <f>IF(A174="","",'ATP Fills'!B174)</f>
        <v/>
      </c>
      <c r="E174" s="3" t="str">
        <f>IF(A174="","",IF(DATE(LEFT(D174,4),MID(D174,5,2),RIGHT(D174,2))=Helper1!$P$1,Helper1!$P$1,""))</f>
        <v/>
      </c>
      <c r="F174" s="3" t="str">
        <f>IF(A174="","",'ATP Fills'!G174)</f>
        <v/>
      </c>
      <c r="G174" t="str">
        <f>IF(A174="","",'ATP Fills'!H174)</f>
        <v/>
      </c>
      <c r="H174" t="str">
        <f>IF(A174="","",VLOOKUP(G174,表3_3[],2,0))</f>
        <v/>
      </c>
      <c r="I174" t="str">
        <f>IF(A174="","",VLOOKUP(G174,表3_3[],3,0))</f>
        <v/>
      </c>
      <c r="J174" t="str">
        <f>IF(A174="","",IF('ATP Fills'!I174="3M","",VLOOKUP(RIGHT('ATP Fills'!I174,2),Helper1!$O$36:$P$48,2,0)))</f>
        <v/>
      </c>
      <c r="K174" t="str">
        <f>IF(J174="","",LEFT('ATP Fills'!I174,4))</f>
        <v/>
      </c>
      <c r="L174" t="str">
        <f>IF(A174="","",IF('ATP Fills'!G174="LME",'ATP Fills'!I174,""))</f>
        <v/>
      </c>
      <c r="M174" t="str">
        <f t="shared" si="2"/>
        <v/>
      </c>
    </row>
    <row r="175" spans="1:13">
      <c r="A175" t="str">
        <f>IF('ATP Fills'!A175="","",IF('ATP Fills'!Q175="PHILLIPSG",'ATP Fills'!F175,""))</f>
        <v/>
      </c>
      <c r="B175" t="str">
        <f>IF(A175="","",'ATP Fills'!L175)</f>
        <v/>
      </c>
      <c r="C175" t="str">
        <f>IF(A175="","",'ATP Fills'!M175)</f>
        <v/>
      </c>
      <c r="D175" t="str">
        <f>IF(A175="","",'ATP Fills'!B175)</f>
        <v/>
      </c>
      <c r="E175" s="3" t="str">
        <f>IF(A175="","",IF(DATE(LEFT(D175,4),MID(D175,5,2),RIGHT(D175,2))=Helper1!$P$1,Helper1!$P$1,""))</f>
        <v/>
      </c>
      <c r="F175" s="3" t="str">
        <f>IF(A175="","",'ATP Fills'!G175)</f>
        <v/>
      </c>
      <c r="G175" t="str">
        <f>IF(A175="","",'ATP Fills'!H175)</f>
        <v/>
      </c>
      <c r="H175" t="str">
        <f>IF(A175="","",VLOOKUP(G175,表3_3[],2,0))</f>
        <v/>
      </c>
      <c r="I175" t="str">
        <f>IF(A175="","",VLOOKUP(G175,表3_3[],3,0))</f>
        <v/>
      </c>
      <c r="J175" t="str">
        <f>IF(A175="","",IF('ATP Fills'!I175="3M","",VLOOKUP(RIGHT('ATP Fills'!I175,2),Helper1!$O$36:$P$48,2,0)))</f>
        <v/>
      </c>
      <c r="K175" t="str">
        <f>IF(J175="","",LEFT('ATP Fills'!I175,4))</f>
        <v/>
      </c>
      <c r="L175" t="str">
        <f>IF(A175="","",IF('ATP Fills'!G175="LME",'ATP Fills'!I175,""))</f>
        <v/>
      </c>
      <c r="M175" t="str">
        <f t="shared" si="2"/>
        <v/>
      </c>
    </row>
    <row r="176" spans="1:13">
      <c r="A176" t="str">
        <f>IF('ATP Fills'!A176="","",IF('ATP Fills'!Q176="PHILLIPSG",'ATP Fills'!F176,""))</f>
        <v/>
      </c>
      <c r="B176" t="str">
        <f>IF(A176="","",'ATP Fills'!L176)</f>
        <v/>
      </c>
      <c r="C176" t="str">
        <f>IF(A176="","",'ATP Fills'!M176)</f>
        <v/>
      </c>
      <c r="D176" t="str">
        <f>IF(A176="","",'ATP Fills'!B176)</f>
        <v/>
      </c>
      <c r="E176" s="3" t="str">
        <f>IF(A176="","",IF(DATE(LEFT(D176,4),MID(D176,5,2),RIGHT(D176,2))=Helper1!$P$1,Helper1!$P$1,""))</f>
        <v/>
      </c>
      <c r="F176" s="3" t="str">
        <f>IF(A176="","",'ATP Fills'!G176)</f>
        <v/>
      </c>
      <c r="G176" t="str">
        <f>IF(A176="","",'ATP Fills'!H176)</f>
        <v/>
      </c>
      <c r="H176" t="str">
        <f>IF(A176="","",VLOOKUP(G176,表3_3[],2,0))</f>
        <v/>
      </c>
      <c r="I176" t="str">
        <f>IF(A176="","",VLOOKUP(G176,表3_3[],3,0))</f>
        <v/>
      </c>
      <c r="J176" t="str">
        <f>IF(A176="","",IF('ATP Fills'!I176="3M","",VLOOKUP(RIGHT('ATP Fills'!I176,2),Helper1!$O$36:$P$48,2,0)))</f>
        <v/>
      </c>
      <c r="K176" t="str">
        <f>IF(J176="","",LEFT('ATP Fills'!I176,4))</f>
        <v/>
      </c>
      <c r="L176" t="str">
        <f>IF(A176="","",IF('ATP Fills'!G176="LME",'ATP Fills'!I176,""))</f>
        <v/>
      </c>
      <c r="M176" t="str">
        <f t="shared" si="2"/>
        <v/>
      </c>
    </row>
    <row r="177" spans="1:13">
      <c r="A177" t="str">
        <f>IF('ATP Fills'!A177="","",IF('ATP Fills'!Q177="PHILLIPSG",'ATP Fills'!F177,""))</f>
        <v/>
      </c>
      <c r="B177" t="str">
        <f>IF(A177="","",'ATP Fills'!L177)</f>
        <v/>
      </c>
      <c r="C177" t="str">
        <f>IF(A177="","",'ATP Fills'!M177)</f>
        <v/>
      </c>
      <c r="D177" t="str">
        <f>IF(A177="","",'ATP Fills'!B177)</f>
        <v/>
      </c>
      <c r="E177" s="3" t="str">
        <f>IF(A177="","",IF(DATE(LEFT(D177,4),MID(D177,5,2),RIGHT(D177,2))=Helper1!$P$1,Helper1!$P$1,""))</f>
        <v/>
      </c>
      <c r="F177" s="3" t="str">
        <f>IF(A177="","",'ATP Fills'!G177)</f>
        <v/>
      </c>
      <c r="G177" t="str">
        <f>IF(A177="","",'ATP Fills'!H177)</f>
        <v/>
      </c>
      <c r="H177" t="str">
        <f>IF(A177="","",VLOOKUP(G177,表3_3[],2,0))</f>
        <v/>
      </c>
      <c r="I177" t="str">
        <f>IF(A177="","",VLOOKUP(G177,表3_3[],3,0))</f>
        <v/>
      </c>
      <c r="J177" t="str">
        <f>IF(A177="","",IF('ATP Fills'!I177="3M","",VLOOKUP(RIGHT('ATP Fills'!I177,2),Helper1!$O$36:$P$48,2,0)))</f>
        <v/>
      </c>
      <c r="K177" t="str">
        <f>IF(J177="","",LEFT('ATP Fills'!I177,4))</f>
        <v/>
      </c>
      <c r="L177" t="str">
        <f>IF(A177="","",IF('ATP Fills'!G177="LME",'ATP Fills'!I177,""))</f>
        <v/>
      </c>
      <c r="M177" t="str">
        <f t="shared" si="2"/>
        <v/>
      </c>
    </row>
    <row r="178" spans="1:13">
      <c r="A178" t="str">
        <f>IF('ATP Fills'!A178="","",IF('ATP Fills'!Q178="PHILLIPSG",'ATP Fills'!F178,""))</f>
        <v/>
      </c>
      <c r="B178" t="str">
        <f>IF(A178="","",'ATP Fills'!L178)</f>
        <v/>
      </c>
      <c r="C178" t="str">
        <f>IF(A178="","",'ATP Fills'!M178)</f>
        <v/>
      </c>
      <c r="D178" t="str">
        <f>IF(A178="","",'ATP Fills'!B178)</f>
        <v/>
      </c>
      <c r="E178" s="3" t="str">
        <f>IF(A178="","",IF(DATE(LEFT(D178,4),MID(D178,5,2),RIGHT(D178,2))=Helper1!$P$1,Helper1!$P$1,""))</f>
        <v/>
      </c>
      <c r="F178" s="3" t="str">
        <f>IF(A178="","",'ATP Fills'!G178)</f>
        <v/>
      </c>
      <c r="G178" t="str">
        <f>IF(A178="","",'ATP Fills'!H178)</f>
        <v/>
      </c>
      <c r="H178" t="str">
        <f>IF(A178="","",VLOOKUP(G178,表3_3[],2,0))</f>
        <v/>
      </c>
      <c r="I178" t="str">
        <f>IF(A178="","",VLOOKUP(G178,表3_3[],3,0))</f>
        <v/>
      </c>
      <c r="J178" t="str">
        <f>IF(A178="","",IF('ATP Fills'!I178="3M","",VLOOKUP(RIGHT('ATP Fills'!I178,2),Helper1!$O$36:$P$48,2,0)))</f>
        <v/>
      </c>
      <c r="K178" t="str">
        <f>IF(J178="","",LEFT('ATP Fills'!I178,4))</f>
        <v/>
      </c>
      <c r="L178" t="str">
        <f>IF(A178="","",IF('ATP Fills'!G178="LME",'ATP Fills'!I178,""))</f>
        <v/>
      </c>
      <c r="M178" t="str">
        <f t="shared" si="2"/>
        <v/>
      </c>
    </row>
    <row r="179" spans="1:13">
      <c r="A179" t="str">
        <f>IF('ATP Fills'!A179="","",IF('ATP Fills'!Q179="PHILLIPSG",'ATP Fills'!F179,""))</f>
        <v/>
      </c>
      <c r="B179" t="str">
        <f>IF(A179="","",'ATP Fills'!L179)</f>
        <v/>
      </c>
      <c r="C179" t="str">
        <f>IF(A179="","",'ATP Fills'!M179)</f>
        <v/>
      </c>
      <c r="D179" t="str">
        <f>IF(A179="","",'ATP Fills'!B179)</f>
        <v/>
      </c>
      <c r="E179" s="3" t="str">
        <f>IF(A179="","",IF(DATE(LEFT(D179,4),MID(D179,5,2),RIGHT(D179,2))=Helper1!$P$1,Helper1!$P$1,""))</f>
        <v/>
      </c>
      <c r="F179" s="3" t="str">
        <f>IF(A179="","",'ATP Fills'!G179)</f>
        <v/>
      </c>
      <c r="G179" t="str">
        <f>IF(A179="","",'ATP Fills'!H179)</f>
        <v/>
      </c>
      <c r="H179" t="str">
        <f>IF(A179="","",VLOOKUP(G179,表3_3[],2,0))</f>
        <v/>
      </c>
      <c r="I179" t="str">
        <f>IF(A179="","",VLOOKUP(G179,表3_3[],3,0))</f>
        <v/>
      </c>
      <c r="J179" t="str">
        <f>IF(A179="","",IF('ATP Fills'!I179="3M","",VLOOKUP(RIGHT('ATP Fills'!I179,2),Helper1!$O$36:$P$48,2,0)))</f>
        <v/>
      </c>
      <c r="K179" t="str">
        <f>IF(J179="","",LEFT('ATP Fills'!I179,4))</f>
        <v/>
      </c>
      <c r="L179" t="str">
        <f>IF(A179="","",IF('ATP Fills'!G179="LME",'ATP Fills'!I179,""))</f>
        <v/>
      </c>
      <c r="M179" t="str">
        <f t="shared" si="2"/>
        <v/>
      </c>
    </row>
    <row r="180" spans="1:13">
      <c r="A180" t="str">
        <f>IF('ATP Fills'!A180="","",IF('ATP Fills'!Q180="PHILLIPSG",'ATP Fills'!F180,""))</f>
        <v/>
      </c>
      <c r="B180" t="str">
        <f>IF(A180="","",'ATP Fills'!L180)</f>
        <v/>
      </c>
      <c r="C180" t="str">
        <f>IF(A180="","",'ATP Fills'!M180)</f>
        <v/>
      </c>
      <c r="D180" t="str">
        <f>IF(A180="","",'ATP Fills'!B180)</f>
        <v/>
      </c>
      <c r="E180" s="3" t="str">
        <f>IF(A180="","",IF(DATE(LEFT(D180,4),MID(D180,5,2),RIGHT(D180,2))=Helper1!$P$1,Helper1!$P$1,""))</f>
        <v/>
      </c>
      <c r="F180" s="3" t="str">
        <f>IF(A180="","",'ATP Fills'!G180)</f>
        <v/>
      </c>
      <c r="G180" t="str">
        <f>IF(A180="","",'ATP Fills'!H180)</f>
        <v/>
      </c>
      <c r="H180" t="str">
        <f>IF(A180="","",VLOOKUP(G180,表3_3[],2,0))</f>
        <v/>
      </c>
      <c r="I180" t="str">
        <f>IF(A180="","",VLOOKUP(G180,表3_3[],3,0))</f>
        <v/>
      </c>
      <c r="J180" t="str">
        <f>IF(A180="","",IF('ATP Fills'!I180="3M","",VLOOKUP(RIGHT('ATP Fills'!I180,2),Helper1!$O$36:$P$48,2,0)))</f>
        <v/>
      </c>
      <c r="K180" t="str">
        <f>IF(J180="","",LEFT('ATP Fills'!I180,4))</f>
        <v/>
      </c>
      <c r="L180" t="str">
        <f>IF(A180="","",IF('ATP Fills'!G180="LME",'ATP Fills'!I180,""))</f>
        <v/>
      </c>
      <c r="M180" t="str">
        <f t="shared" si="2"/>
        <v/>
      </c>
    </row>
    <row r="181" spans="1:13">
      <c r="A181" t="str">
        <f>IF('ATP Fills'!A181="","",IF('ATP Fills'!Q181="PHILLIPSG",'ATP Fills'!F181,""))</f>
        <v/>
      </c>
      <c r="B181" t="str">
        <f>IF(A181="","",'ATP Fills'!L181)</f>
        <v/>
      </c>
      <c r="C181" t="str">
        <f>IF(A181="","",'ATP Fills'!M181)</f>
        <v/>
      </c>
      <c r="D181" t="str">
        <f>IF(A181="","",'ATP Fills'!B181)</f>
        <v/>
      </c>
      <c r="E181" s="3" t="str">
        <f>IF(A181="","",IF(DATE(LEFT(D181,4),MID(D181,5,2),RIGHT(D181,2))=Helper1!$P$1,Helper1!$P$1,""))</f>
        <v/>
      </c>
      <c r="F181" s="3" t="str">
        <f>IF(A181="","",'ATP Fills'!G181)</f>
        <v/>
      </c>
      <c r="G181" t="str">
        <f>IF(A181="","",'ATP Fills'!H181)</f>
        <v/>
      </c>
      <c r="H181" t="str">
        <f>IF(A181="","",VLOOKUP(G181,表3_3[],2,0))</f>
        <v/>
      </c>
      <c r="I181" t="str">
        <f>IF(A181="","",VLOOKUP(G181,表3_3[],3,0))</f>
        <v/>
      </c>
      <c r="J181" t="str">
        <f>IF(A181="","",IF('ATP Fills'!I181="3M","",VLOOKUP(RIGHT('ATP Fills'!I181,2),Helper1!$O$36:$P$48,2,0)))</f>
        <v/>
      </c>
      <c r="K181" t="str">
        <f>IF(J181="","",LEFT('ATP Fills'!I181,4))</f>
        <v/>
      </c>
      <c r="L181" t="str">
        <f>IF(A181="","",IF('ATP Fills'!G181="LME",'ATP Fills'!I181,""))</f>
        <v/>
      </c>
      <c r="M181" t="str">
        <f t="shared" si="2"/>
        <v/>
      </c>
    </row>
    <row r="182" spans="1:13">
      <c r="A182" t="str">
        <f>IF('ATP Fills'!A182="","",IF('ATP Fills'!Q182="PHILLIPSG",'ATP Fills'!F182,""))</f>
        <v/>
      </c>
      <c r="B182" t="str">
        <f>IF(A182="","",'ATP Fills'!L182)</f>
        <v/>
      </c>
      <c r="C182" t="str">
        <f>IF(A182="","",'ATP Fills'!M182)</f>
        <v/>
      </c>
      <c r="D182" t="str">
        <f>IF(A182="","",'ATP Fills'!B182)</f>
        <v/>
      </c>
      <c r="E182" s="3" t="str">
        <f>IF(A182="","",IF(DATE(LEFT(D182,4),MID(D182,5,2),RIGHT(D182,2))=Helper1!$P$1,Helper1!$P$1,""))</f>
        <v/>
      </c>
      <c r="F182" s="3" t="str">
        <f>IF(A182="","",'ATP Fills'!G182)</f>
        <v/>
      </c>
      <c r="G182" t="str">
        <f>IF(A182="","",'ATP Fills'!H182)</f>
        <v/>
      </c>
      <c r="H182" t="str">
        <f>IF(A182="","",VLOOKUP(G182,表3_3[],2,0))</f>
        <v/>
      </c>
      <c r="I182" t="str">
        <f>IF(A182="","",VLOOKUP(G182,表3_3[],3,0))</f>
        <v/>
      </c>
      <c r="J182" t="str">
        <f>IF(A182="","",IF('ATP Fills'!I182="3M","",VLOOKUP(RIGHT('ATP Fills'!I182,2),Helper1!$O$36:$P$48,2,0)))</f>
        <v/>
      </c>
      <c r="K182" t="str">
        <f>IF(J182="","",LEFT('ATP Fills'!I182,4))</f>
        <v/>
      </c>
      <c r="L182" t="str">
        <f>IF(A182="","",IF('ATP Fills'!G182="LME",'ATP Fills'!I182,""))</f>
        <v/>
      </c>
      <c r="M182" t="str">
        <f t="shared" si="2"/>
        <v/>
      </c>
    </row>
    <row r="183" spans="1:13">
      <c r="A183" t="str">
        <f>IF('ATP Fills'!A183="","",IF('ATP Fills'!Q183="PHILLIPSG",'ATP Fills'!F183,""))</f>
        <v/>
      </c>
      <c r="B183" t="str">
        <f>IF(A183="","",'ATP Fills'!L183)</f>
        <v/>
      </c>
      <c r="C183" t="str">
        <f>IF(A183="","",'ATP Fills'!M183)</f>
        <v/>
      </c>
      <c r="D183" t="str">
        <f>IF(A183="","",'ATP Fills'!B183)</f>
        <v/>
      </c>
      <c r="E183" s="3" t="str">
        <f>IF(A183="","",IF(DATE(LEFT(D183,4),MID(D183,5,2),RIGHT(D183,2))=Helper1!$P$1,Helper1!$P$1,""))</f>
        <v/>
      </c>
      <c r="F183" s="3" t="str">
        <f>IF(A183="","",'ATP Fills'!G183)</f>
        <v/>
      </c>
      <c r="G183" t="str">
        <f>IF(A183="","",'ATP Fills'!H183)</f>
        <v/>
      </c>
      <c r="H183" t="str">
        <f>IF(A183="","",VLOOKUP(G183,表3_3[],2,0))</f>
        <v/>
      </c>
      <c r="I183" t="str">
        <f>IF(A183="","",VLOOKUP(G183,表3_3[],3,0))</f>
        <v/>
      </c>
      <c r="J183" t="str">
        <f>IF(A183="","",IF('ATP Fills'!I183="3M","",VLOOKUP(RIGHT('ATP Fills'!I183,2),Helper1!$O$36:$P$48,2,0)))</f>
        <v/>
      </c>
      <c r="K183" t="str">
        <f>IF(J183="","",LEFT('ATP Fills'!I183,4))</f>
        <v/>
      </c>
      <c r="L183" t="str">
        <f>IF(A183="","",IF('ATP Fills'!G183="LME",'ATP Fills'!I183,""))</f>
        <v/>
      </c>
      <c r="M183" t="str">
        <f t="shared" si="2"/>
        <v/>
      </c>
    </row>
    <row r="184" spans="1:13">
      <c r="A184" t="str">
        <f>IF('ATP Fills'!A184="","",IF('ATP Fills'!Q184="PHILLIPSG",'ATP Fills'!F184,""))</f>
        <v/>
      </c>
      <c r="B184" t="str">
        <f>IF(A184="","",'ATP Fills'!L184)</f>
        <v/>
      </c>
      <c r="C184" t="str">
        <f>IF(A184="","",'ATP Fills'!M184)</f>
        <v/>
      </c>
      <c r="D184" t="str">
        <f>IF(A184="","",'ATP Fills'!B184)</f>
        <v/>
      </c>
      <c r="E184" s="3" t="str">
        <f>IF(A184="","",IF(DATE(LEFT(D184,4),MID(D184,5,2),RIGHT(D184,2))=Helper1!$P$1,Helper1!$P$1,""))</f>
        <v/>
      </c>
      <c r="F184" s="3" t="str">
        <f>IF(A184="","",'ATP Fills'!G184)</f>
        <v/>
      </c>
      <c r="G184" t="str">
        <f>IF(A184="","",'ATP Fills'!H184)</f>
        <v/>
      </c>
      <c r="H184" t="str">
        <f>IF(A184="","",VLOOKUP(G184,表3_3[],2,0))</f>
        <v/>
      </c>
      <c r="I184" t="str">
        <f>IF(A184="","",VLOOKUP(G184,表3_3[],3,0))</f>
        <v/>
      </c>
      <c r="J184" t="str">
        <f>IF(A184="","",IF('ATP Fills'!I184="3M","",VLOOKUP(RIGHT('ATP Fills'!I184,2),Helper1!$O$36:$P$48,2,0)))</f>
        <v/>
      </c>
      <c r="K184" t="str">
        <f>IF(J184="","",LEFT('ATP Fills'!I184,4))</f>
        <v/>
      </c>
      <c r="L184" t="str">
        <f>IF(A184="","",IF('ATP Fills'!G184="LME",'ATP Fills'!I184,""))</f>
        <v/>
      </c>
      <c r="M184" t="str">
        <f t="shared" si="2"/>
        <v/>
      </c>
    </row>
    <row r="185" spans="1:13">
      <c r="A185" t="str">
        <f>IF('ATP Fills'!A185="","",IF('ATP Fills'!Q185="PHILLIPSG",'ATP Fills'!F185,""))</f>
        <v/>
      </c>
      <c r="B185" t="str">
        <f>IF(A185="","",'ATP Fills'!L185)</f>
        <v/>
      </c>
      <c r="C185" t="str">
        <f>IF(A185="","",'ATP Fills'!M185)</f>
        <v/>
      </c>
      <c r="D185" t="str">
        <f>IF(A185="","",'ATP Fills'!B185)</f>
        <v/>
      </c>
      <c r="E185" s="3" t="str">
        <f>IF(A185="","",IF(DATE(LEFT(D185,4),MID(D185,5,2),RIGHT(D185,2))=Helper1!$P$1,Helper1!$P$1,""))</f>
        <v/>
      </c>
      <c r="F185" s="3" t="str">
        <f>IF(A185="","",'ATP Fills'!G185)</f>
        <v/>
      </c>
      <c r="G185" t="str">
        <f>IF(A185="","",'ATP Fills'!H185)</f>
        <v/>
      </c>
      <c r="H185" t="str">
        <f>IF(A185="","",VLOOKUP(G185,表3_3[],2,0))</f>
        <v/>
      </c>
      <c r="I185" t="str">
        <f>IF(A185="","",VLOOKUP(G185,表3_3[],3,0))</f>
        <v/>
      </c>
      <c r="J185" t="str">
        <f>IF(A185="","",IF('ATP Fills'!I185="3M","",VLOOKUP(RIGHT('ATP Fills'!I185,2),Helper1!$O$36:$P$48,2,0)))</f>
        <v/>
      </c>
      <c r="K185" t="str">
        <f>IF(J185="","",LEFT('ATP Fills'!I185,4))</f>
        <v/>
      </c>
      <c r="L185" t="str">
        <f>IF(A185="","",IF('ATP Fills'!G185="LME",'ATP Fills'!I185,""))</f>
        <v/>
      </c>
      <c r="M185" t="str">
        <f t="shared" si="2"/>
        <v/>
      </c>
    </row>
    <row r="186" spans="1:13">
      <c r="A186" t="str">
        <f>IF('ATP Fills'!A186="","",IF('ATP Fills'!Q186="PHILLIPSG",'ATP Fills'!F186,""))</f>
        <v/>
      </c>
      <c r="B186" t="str">
        <f>IF(A186="","",'ATP Fills'!L186)</f>
        <v/>
      </c>
      <c r="C186" t="str">
        <f>IF(A186="","",'ATP Fills'!M186)</f>
        <v/>
      </c>
      <c r="D186" t="str">
        <f>IF(A186="","",'ATP Fills'!B186)</f>
        <v/>
      </c>
      <c r="E186" s="3" t="str">
        <f>IF(A186="","",IF(DATE(LEFT(D186,4),MID(D186,5,2),RIGHT(D186,2))=Helper1!$P$1,Helper1!$P$1,""))</f>
        <v/>
      </c>
      <c r="F186" s="3" t="str">
        <f>IF(A186="","",'ATP Fills'!G186)</f>
        <v/>
      </c>
      <c r="G186" t="str">
        <f>IF(A186="","",'ATP Fills'!H186)</f>
        <v/>
      </c>
      <c r="H186" t="str">
        <f>IF(A186="","",VLOOKUP(G186,表3_3[],2,0))</f>
        <v/>
      </c>
      <c r="I186" t="str">
        <f>IF(A186="","",VLOOKUP(G186,表3_3[],3,0))</f>
        <v/>
      </c>
      <c r="J186" t="str">
        <f>IF(A186="","",IF('ATP Fills'!I186="3M","",VLOOKUP(RIGHT('ATP Fills'!I186,2),Helper1!$O$36:$P$48,2,0)))</f>
        <v/>
      </c>
      <c r="K186" t="str">
        <f>IF(J186="","",LEFT('ATP Fills'!I186,4))</f>
        <v/>
      </c>
      <c r="L186" t="str">
        <f>IF(A186="","",IF('ATP Fills'!G186="LME",'ATP Fills'!I186,""))</f>
        <v/>
      </c>
      <c r="M186" t="str">
        <f t="shared" si="2"/>
        <v/>
      </c>
    </row>
    <row r="187" spans="1:13">
      <c r="A187" t="str">
        <f>IF('ATP Fills'!A187="","",IF('ATP Fills'!Q187="PHILLIPSG",'ATP Fills'!F187,""))</f>
        <v/>
      </c>
      <c r="B187" t="str">
        <f>IF(A187="","",'ATP Fills'!L187)</f>
        <v/>
      </c>
      <c r="C187" t="str">
        <f>IF(A187="","",'ATP Fills'!M187)</f>
        <v/>
      </c>
      <c r="D187" t="str">
        <f>IF(A187="","",'ATP Fills'!B187)</f>
        <v/>
      </c>
      <c r="E187" s="3" t="str">
        <f>IF(A187="","",IF(DATE(LEFT(D187,4),MID(D187,5,2),RIGHT(D187,2))=Helper1!$P$1,Helper1!$P$1,""))</f>
        <v/>
      </c>
      <c r="F187" s="3" t="str">
        <f>IF(A187="","",'ATP Fills'!G187)</f>
        <v/>
      </c>
      <c r="G187" t="str">
        <f>IF(A187="","",'ATP Fills'!H187)</f>
        <v/>
      </c>
      <c r="H187" t="str">
        <f>IF(A187="","",VLOOKUP(G187,表3_3[],2,0))</f>
        <v/>
      </c>
      <c r="I187" t="str">
        <f>IF(A187="","",VLOOKUP(G187,表3_3[],3,0))</f>
        <v/>
      </c>
      <c r="J187" t="str">
        <f>IF(A187="","",IF('ATP Fills'!I187="3M","",VLOOKUP(RIGHT('ATP Fills'!I187,2),Helper1!$O$36:$P$48,2,0)))</f>
        <v/>
      </c>
      <c r="K187" t="str">
        <f>IF(J187="","",LEFT('ATP Fills'!I187,4))</f>
        <v/>
      </c>
      <c r="L187" t="str">
        <f>IF(A187="","",IF('ATP Fills'!G187="LME",'ATP Fills'!I187,""))</f>
        <v/>
      </c>
      <c r="M187" t="str">
        <f t="shared" si="2"/>
        <v/>
      </c>
    </row>
    <row r="188" spans="1:13">
      <c r="A188" t="str">
        <f>IF('ATP Fills'!A188="","",IF('ATP Fills'!Q188="PHILLIPSG",'ATP Fills'!F188,""))</f>
        <v/>
      </c>
      <c r="B188" t="str">
        <f>IF(A188="","",'ATP Fills'!L188)</f>
        <v/>
      </c>
      <c r="C188" t="str">
        <f>IF(A188="","",'ATP Fills'!M188)</f>
        <v/>
      </c>
      <c r="D188" t="str">
        <f>IF(A188="","",'ATP Fills'!B188)</f>
        <v/>
      </c>
      <c r="E188" s="3" t="str">
        <f>IF(A188="","",IF(DATE(LEFT(D188,4),MID(D188,5,2),RIGHT(D188,2))=Helper1!$P$1,Helper1!$P$1,""))</f>
        <v/>
      </c>
      <c r="F188" s="3" t="str">
        <f>IF(A188="","",'ATP Fills'!G188)</f>
        <v/>
      </c>
      <c r="G188" t="str">
        <f>IF(A188="","",'ATP Fills'!H188)</f>
        <v/>
      </c>
      <c r="H188" t="str">
        <f>IF(A188="","",VLOOKUP(G188,表3_3[],2,0))</f>
        <v/>
      </c>
      <c r="I188" t="str">
        <f>IF(A188="","",VLOOKUP(G188,表3_3[],3,0))</f>
        <v/>
      </c>
      <c r="J188" t="str">
        <f>IF(A188="","",IF('ATP Fills'!I188="3M","",VLOOKUP(RIGHT('ATP Fills'!I188,2),Helper1!$O$36:$P$48,2,0)))</f>
        <v/>
      </c>
      <c r="K188" t="str">
        <f>IF(J188="","",LEFT('ATP Fills'!I188,4))</f>
        <v/>
      </c>
      <c r="L188" t="str">
        <f>IF(A188="","",IF('ATP Fills'!G188="LME",'ATP Fills'!I188,""))</f>
        <v/>
      </c>
      <c r="M188" t="str">
        <f t="shared" si="2"/>
        <v/>
      </c>
    </row>
    <row r="189" spans="1:13">
      <c r="A189" t="str">
        <f>IF('ATP Fills'!A189="","",IF('ATP Fills'!Q189="PHILLIPSG",'ATP Fills'!F189,""))</f>
        <v/>
      </c>
      <c r="B189" t="str">
        <f>IF(A189="","",'ATP Fills'!L189)</f>
        <v/>
      </c>
      <c r="C189" t="str">
        <f>IF(A189="","",'ATP Fills'!M189)</f>
        <v/>
      </c>
      <c r="D189" t="str">
        <f>IF(A189="","",'ATP Fills'!B189)</f>
        <v/>
      </c>
      <c r="E189" s="3" t="str">
        <f>IF(A189="","",IF(DATE(LEFT(D189,4),MID(D189,5,2),RIGHT(D189,2))=Helper1!$P$1,Helper1!$P$1,""))</f>
        <v/>
      </c>
      <c r="F189" s="3" t="str">
        <f>IF(A189="","",'ATP Fills'!G189)</f>
        <v/>
      </c>
      <c r="G189" t="str">
        <f>IF(A189="","",'ATP Fills'!H189)</f>
        <v/>
      </c>
      <c r="H189" t="str">
        <f>IF(A189="","",VLOOKUP(G189,表3_3[],2,0))</f>
        <v/>
      </c>
      <c r="I189" t="str">
        <f>IF(A189="","",VLOOKUP(G189,表3_3[],3,0))</f>
        <v/>
      </c>
      <c r="J189" t="str">
        <f>IF(A189="","",IF('ATP Fills'!I189="3M","",VLOOKUP(RIGHT('ATP Fills'!I189,2),Helper1!$O$36:$P$48,2,0)))</f>
        <v/>
      </c>
      <c r="K189" t="str">
        <f>IF(J189="","",LEFT('ATP Fills'!I189,4))</f>
        <v/>
      </c>
      <c r="L189" t="str">
        <f>IF(A189="","",IF('ATP Fills'!G189="LME",'ATP Fills'!I189,""))</f>
        <v/>
      </c>
      <c r="M189" t="str">
        <f t="shared" si="2"/>
        <v/>
      </c>
    </row>
    <row r="190" spans="1:13">
      <c r="A190" t="str">
        <f>IF('ATP Fills'!A190="","",IF('ATP Fills'!Q190="PHILLIPSG",'ATP Fills'!F190,""))</f>
        <v/>
      </c>
      <c r="B190" t="str">
        <f>IF(A190="","",'ATP Fills'!L190)</f>
        <v/>
      </c>
      <c r="C190" t="str">
        <f>IF(A190="","",'ATP Fills'!M190)</f>
        <v/>
      </c>
      <c r="D190" t="str">
        <f>IF(A190="","",'ATP Fills'!B190)</f>
        <v/>
      </c>
      <c r="E190" s="3" t="str">
        <f>IF(A190="","",IF(DATE(LEFT(D190,4),MID(D190,5,2),RIGHT(D190,2))=Helper1!$P$1,Helper1!$P$1,""))</f>
        <v/>
      </c>
      <c r="F190" s="3" t="str">
        <f>IF(A190="","",'ATP Fills'!G190)</f>
        <v/>
      </c>
      <c r="G190" t="str">
        <f>IF(A190="","",'ATP Fills'!H190)</f>
        <v/>
      </c>
      <c r="H190" t="str">
        <f>IF(A190="","",VLOOKUP(G190,表3_3[],2,0))</f>
        <v/>
      </c>
      <c r="I190" t="str">
        <f>IF(A190="","",VLOOKUP(G190,表3_3[],3,0))</f>
        <v/>
      </c>
      <c r="J190" t="str">
        <f>IF(A190="","",IF('ATP Fills'!I190="3M","",VLOOKUP(RIGHT('ATP Fills'!I190,2),Helper1!$O$36:$P$48,2,0)))</f>
        <v/>
      </c>
      <c r="K190" t="str">
        <f>IF(J190="","",LEFT('ATP Fills'!I190,4))</f>
        <v/>
      </c>
      <c r="L190" t="str">
        <f>IF(A190="","",IF('ATP Fills'!G190="LME",'ATP Fills'!I190,""))</f>
        <v/>
      </c>
      <c r="M190" t="str">
        <f t="shared" si="2"/>
        <v/>
      </c>
    </row>
    <row r="191" spans="1:13">
      <c r="A191" t="str">
        <f>IF('ATP Fills'!A191="","",IF('ATP Fills'!Q191="PHILLIPSG",'ATP Fills'!F191,""))</f>
        <v/>
      </c>
      <c r="B191" t="str">
        <f>IF(A191="","",'ATP Fills'!L191)</f>
        <v/>
      </c>
      <c r="C191" t="str">
        <f>IF(A191="","",'ATP Fills'!M191)</f>
        <v/>
      </c>
      <c r="D191" t="str">
        <f>IF(A191="","",'ATP Fills'!B191)</f>
        <v/>
      </c>
      <c r="E191" s="3" t="str">
        <f>IF(A191="","",IF(DATE(LEFT(D191,4),MID(D191,5,2),RIGHT(D191,2))=Helper1!$P$1,Helper1!$P$1,""))</f>
        <v/>
      </c>
      <c r="F191" s="3" t="str">
        <f>IF(A191="","",'ATP Fills'!G191)</f>
        <v/>
      </c>
      <c r="G191" t="str">
        <f>IF(A191="","",'ATP Fills'!H191)</f>
        <v/>
      </c>
      <c r="H191" t="str">
        <f>IF(A191="","",VLOOKUP(G191,表3_3[],2,0))</f>
        <v/>
      </c>
      <c r="I191" t="str">
        <f>IF(A191="","",VLOOKUP(G191,表3_3[],3,0))</f>
        <v/>
      </c>
      <c r="J191" t="str">
        <f>IF(A191="","",IF('ATP Fills'!I191="3M","",VLOOKUP(RIGHT('ATP Fills'!I191,2),Helper1!$O$36:$P$48,2,0)))</f>
        <v/>
      </c>
      <c r="K191" t="str">
        <f>IF(J191="","",LEFT('ATP Fills'!I191,4))</f>
        <v/>
      </c>
      <c r="L191" t="str">
        <f>IF(A191="","",IF('ATP Fills'!G191="LME",'ATP Fills'!I191,""))</f>
        <v/>
      </c>
      <c r="M191" t="str">
        <f t="shared" si="2"/>
        <v/>
      </c>
    </row>
    <row r="192" spans="1:13">
      <c r="A192" t="str">
        <f>IF('ATP Fills'!A192="","",IF('ATP Fills'!Q192="PHILLIPSG",'ATP Fills'!F192,""))</f>
        <v/>
      </c>
      <c r="B192" t="str">
        <f>IF(A192="","",'ATP Fills'!L192)</f>
        <v/>
      </c>
      <c r="C192" t="str">
        <f>IF(A192="","",'ATP Fills'!M192)</f>
        <v/>
      </c>
      <c r="D192" t="str">
        <f>IF(A192="","",'ATP Fills'!B192)</f>
        <v/>
      </c>
      <c r="E192" s="3" t="str">
        <f>IF(A192="","",IF(DATE(LEFT(D192,4),MID(D192,5,2),RIGHT(D192,2))=Helper1!$P$1,Helper1!$P$1,""))</f>
        <v/>
      </c>
      <c r="F192" s="3" t="str">
        <f>IF(A192="","",'ATP Fills'!G192)</f>
        <v/>
      </c>
      <c r="G192" t="str">
        <f>IF(A192="","",'ATP Fills'!H192)</f>
        <v/>
      </c>
      <c r="H192" t="str">
        <f>IF(A192="","",VLOOKUP(G192,表3_3[],2,0))</f>
        <v/>
      </c>
      <c r="I192" t="str">
        <f>IF(A192="","",VLOOKUP(G192,表3_3[],3,0))</f>
        <v/>
      </c>
      <c r="J192" t="str">
        <f>IF(A192="","",IF('ATP Fills'!I192="3M","",VLOOKUP(RIGHT('ATP Fills'!I192,2),Helper1!$O$36:$P$48,2,0)))</f>
        <v/>
      </c>
      <c r="K192" t="str">
        <f>IF(J192="","",LEFT('ATP Fills'!I192,4))</f>
        <v/>
      </c>
      <c r="L192" t="str">
        <f>IF(A192="","",IF('ATP Fills'!G192="LME",'ATP Fills'!I192,""))</f>
        <v/>
      </c>
      <c r="M192" t="str">
        <f t="shared" si="2"/>
        <v/>
      </c>
    </row>
    <row r="193" spans="1:13">
      <c r="A193" t="str">
        <f>IF('ATP Fills'!A193="","",IF('ATP Fills'!Q193="PHILLIPSG",'ATP Fills'!F193,""))</f>
        <v/>
      </c>
      <c r="B193" t="str">
        <f>IF(A193="","",'ATP Fills'!L193)</f>
        <v/>
      </c>
      <c r="C193" t="str">
        <f>IF(A193="","",'ATP Fills'!M193)</f>
        <v/>
      </c>
      <c r="D193" t="str">
        <f>IF(A193="","",'ATP Fills'!B193)</f>
        <v/>
      </c>
      <c r="E193" s="3" t="str">
        <f>IF(A193="","",IF(DATE(LEFT(D193,4),MID(D193,5,2),RIGHT(D193,2))=Helper1!$P$1,Helper1!$P$1,""))</f>
        <v/>
      </c>
      <c r="F193" s="3" t="str">
        <f>IF(A193="","",'ATP Fills'!G193)</f>
        <v/>
      </c>
      <c r="G193" t="str">
        <f>IF(A193="","",'ATP Fills'!H193)</f>
        <v/>
      </c>
      <c r="H193" t="str">
        <f>IF(A193="","",VLOOKUP(G193,表3_3[],2,0))</f>
        <v/>
      </c>
      <c r="I193" t="str">
        <f>IF(A193="","",VLOOKUP(G193,表3_3[],3,0))</f>
        <v/>
      </c>
      <c r="J193" t="str">
        <f>IF(A193="","",IF('ATP Fills'!I193="3M","",VLOOKUP(RIGHT('ATP Fills'!I193,2),Helper1!$O$36:$P$48,2,0)))</f>
        <v/>
      </c>
      <c r="K193" t="str">
        <f>IF(J193="","",LEFT('ATP Fills'!I193,4))</f>
        <v/>
      </c>
      <c r="L193" t="str">
        <f>IF(A193="","",IF('ATP Fills'!G193="LME",'ATP Fills'!I193,""))</f>
        <v/>
      </c>
      <c r="M193" t="str">
        <f t="shared" si="2"/>
        <v/>
      </c>
    </row>
    <row r="194" spans="1:13">
      <c r="A194" t="str">
        <f>IF('ATP Fills'!A194="","",IF('ATP Fills'!Q194="PHILLIPSG",'ATP Fills'!F194,""))</f>
        <v/>
      </c>
      <c r="B194" t="str">
        <f>IF(A194="","",'ATP Fills'!L194)</f>
        <v/>
      </c>
      <c r="C194" t="str">
        <f>IF(A194="","",'ATP Fills'!M194)</f>
        <v/>
      </c>
      <c r="D194" t="str">
        <f>IF(A194="","",'ATP Fills'!B194)</f>
        <v/>
      </c>
      <c r="E194" s="3" t="str">
        <f>IF(A194="","",IF(DATE(LEFT(D194,4),MID(D194,5,2),RIGHT(D194,2))=Helper1!$P$1,Helper1!$P$1,""))</f>
        <v/>
      </c>
      <c r="F194" s="3" t="str">
        <f>IF(A194="","",'ATP Fills'!G194)</f>
        <v/>
      </c>
      <c r="G194" t="str">
        <f>IF(A194="","",'ATP Fills'!H194)</f>
        <v/>
      </c>
      <c r="H194" t="str">
        <f>IF(A194="","",VLOOKUP(G194,表3_3[],2,0))</f>
        <v/>
      </c>
      <c r="I194" t="str">
        <f>IF(A194="","",VLOOKUP(G194,表3_3[],3,0))</f>
        <v/>
      </c>
      <c r="J194" t="str">
        <f>IF(A194="","",IF('ATP Fills'!I194="3M","",VLOOKUP(RIGHT('ATP Fills'!I194,2),Helper1!$O$36:$P$48,2,0)))</f>
        <v/>
      </c>
      <c r="K194" t="str">
        <f>IF(J194="","",LEFT('ATP Fills'!I194,4))</f>
        <v/>
      </c>
      <c r="L194" t="str">
        <f>IF(A194="","",IF('ATP Fills'!G194="LME",'ATP Fills'!I194,""))</f>
        <v/>
      </c>
      <c r="M194" t="str">
        <f t="shared" si="2"/>
        <v/>
      </c>
    </row>
    <row r="195" spans="1:13">
      <c r="A195" t="str">
        <f>IF('ATP Fills'!A195="","",IF('ATP Fills'!Q195="PHILLIPSG",'ATP Fills'!F195,""))</f>
        <v/>
      </c>
      <c r="B195" t="str">
        <f>IF(A195="","",'ATP Fills'!L195)</f>
        <v/>
      </c>
      <c r="C195" t="str">
        <f>IF(A195="","",'ATP Fills'!M195)</f>
        <v/>
      </c>
      <c r="D195" t="str">
        <f>IF(A195="","",'ATP Fills'!B195)</f>
        <v/>
      </c>
      <c r="E195" s="3" t="str">
        <f>IF(A195="","",IF(DATE(LEFT(D195,4),MID(D195,5,2),RIGHT(D195,2))=Helper1!$P$1,Helper1!$P$1,""))</f>
        <v/>
      </c>
      <c r="F195" s="3" t="str">
        <f>IF(A195="","",'ATP Fills'!G195)</f>
        <v/>
      </c>
      <c r="G195" t="str">
        <f>IF(A195="","",'ATP Fills'!H195)</f>
        <v/>
      </c>
      <c r="H195" t="str">
        <f>IF(A195="","",VLOOKUP(G195,表3_3[],2,0))</f>
        <v/>
      </c>
      <c r="I195" t="str">
        <f>IF(A195="","",VLOOKUP(G195,表3_3[],3,0))</f>
        <v/>
      </c>
      <c r="J195" t="str">
        <f>IF(A195="","",IF('ATP Fills'!I195="3M","",VLOOKUP(RIGHT('ATP Fills'!I195,2),Helper1!$O$36:$P$48,2,0)))</f>
        <v/>
      </c>
      <c r="K195" t="str">
        <f>IF(J195="","",LEFT('ATP Fills'!I195,4))</f>
        <v/>
      </c>
      <c r="L195" t="str">
        <f>IF(A195="","",IF('ATP Fills'!G195="LME",'ATP Fills'!I195,""))</f>
        <v/>
      </c>
      <c r="M195" t="str">
        <f t="shared" ref="M195:M258" si="3">IF(A195="","",IF(F195="LME",F195&amp;"-"&amp;I195&amp;"-"&amp;L195,J195&amp;"-"&amp;K195&amp;"-"&amp;I195))</f>
        <v/>
      </c>
    </row>
    <row r="196" spans="1:13">
      <c r="A196" t="str">
        <f>IF('ATP Fills'!A196="","",IF('ATP Fills'!Q196="PHILLIPSG",'ATP Fills'!F196,""))</f>
        <v/>
      </c>
      <c r="B196" t="str">
        <f>IF(A196="","",'ATP Fills'!L196)</f>
        <v/>
      </c>
      <c r="C196" t="str">
        <f>IF(A196="","",'ATP Fills'!M196)</f>
        <v/>
      </c>
      <c r="D196" t="str">
        <f>IF(A196="","",'ATP Fills'!B196)</f>
        <v/>
      </c>
      <c r="E196" s="3" t="str">
        <f>IF(A196="","",IF(DATE(LEFT(D196,4),MID(D196,5,2),RIGHT(D196,2))=Helper1!$P$1,Helper1!$P$1,""))</f>
        <v/>
      </c>
      <c r="F196" s="3" t="str">
        <f>IF(A196="","",'ATP Fills'!G196)</f>
        <v/>
      </c>
      <c r="G196" t="str">
        <f>IF(A196="","",'ATP Fills'!H196)</f>
        <v/>
      </c>
      <c r="H196" t="str">
        <f>IF(A196="","",VLOOKUP(G196,表3_3[],2,0))</f>
        <v/>
      </c>
      <c r="I196" t="str">
        <f>IF(A196="","",VLOOKUP(G196,表3_3[],3,0))</f>
        <v/>
      </c>
      <c r="J196" t="str">
        <f>IF(A196="","",IF('ATP Fills'!I196="3M","",VLOOKUP(RIGHT('ATP Fills'!I196,2),Helper1!$O$36:$P$48,2,0)))</f>
        <v/>
      </c>
      <c r="K196" t="str">
        <f>IF(J196="","",LEFT('ATP Fills'!I196,4))</f>
        <v/>
      </c>
      <c r="L196" t="str">
        <f>IF(A196="","",IF('ATP Fills'!G196="LME",'ATP Fills'!I196,""))</f>
        <v/>
      </c>
      <c r="M196" t="str">
        <f t="shared" si="3"/>
        <v/>
      </c>
    </row>
    <row r="197" spans="1:13">
      <c r="A197" t="str">
        <f>IF('ATP Fills'!A197="","",IF('ATP Fills'!Q197="PHILLIPSG",'ATP Fills'!F197,""))</f>
        <v/>
      </c>
      <c r="B197" t="str">
        <f>IF(A197="","",'ATP Fills'!L197)</f>
        <v/>
      </c>
      <c r="C197" t="str">
        <f>IF(A197="","",'ATP Fills'!M197)</f>
        <v/>
      </c>
      <c r="D197" t="str">
        <f>IF(A197="","",'ATP Fills'!B197)</f>
        <v/>
      </c>
      <c r="E197" s="3" t="str">
        <f>IF(A197="","",IF(DATE(LEFT(D197,4),MID(D197,5,2),RIGHT(D197,2))=Helper1!$P$1,Helper1!$P$1,""))</f>
        <v/>
      </c>
      <c r="F197" s="3" t="str">
        <f>IF(A197="","",'ATP Fills'!G197)</f>
        <v/>
      </c>
      <c r="G197" t="str">
        <f>IF(A197="","",'ATP Fills'!H197)</f>
        <v/>
      </c>
      <c r="H197" t="str">
        <f>IF(A197="","",VLOOKUP(G197,表3_3[],2,0))</f>
        <v/>
      </c>
      <c r="I197" t="str">
        <f>IF(A197="","",VLOOKUP(G197,表3_3[],3,0))</f>
        <v/>
      </c>
      <c r="J197" t="str">
        <f>IF(A197="","",IF('ATP Fills'!I197="3M","",VLOOKUP(RIGHT('ATP Fills'!I197,2),Helper1!$O$36:$P$48,2,0)))</f>
        <v/>
      </c>
      <c r="K197" t="str">
        <f>IF(J197="","",LEFT('ATP Fills'!I197,4))</f>
        <v/>
      </c>
      <c r="L197" t="str">
        <f>IF(A197="","",IF('ATP Fills'!G197="LME",'ATP Fills'!I197,""))</f>
        <v/>
      </c>
      <c r="M197" t="str">
        <f t="shared" si="3"/>
        <v/>
      </c>
    </row>
    <row r="198" spans="1:13">
      <c r="A198" t="str">
        <f>IF('ATP Fills'!A198="","",IF('ATP Fills'!Q198="PHILLIPSG",'ATP Fills'!F198,""))</f>
        <v/>
      </c>
      <c r="B198" t="str">
        <f>IF(A198="","",'ATP Fills'!L198)</f>
        <v/>
      </c>
      <c r="C198" t="str">
        <f>IF(A198="","",'ATP Fills'!M198)</f>
        <v/>
      </c>
      <c r="D198" t="str">
        <f>IF(A198="","",'ATP Fills'!B198)</f>
        <v/>
      </c>
      <c r="E198" s="3" t="str">
        <f>IF(A198="","",IF(DATE(LEFT(D198,4),MID(D198,5,2),RIGHT(D198,2))=Helper1!$P$1,Helper1!$P$1,""))</f>
        <v/>
      </c>
      <c r="F198" s="3" t="str">
        <f>IF(A198="","",'ATP Fills'!G198)</f>
        <v/>
      </c>
      <c r="G198" t="str">
        <f>IF(A198="","",'ATP Fills'!H198)</f>
        <v/>
      </c>
      <c r="H198" t="str">
        <f>IF(A198="","",VLOOKUP(G198,表3_3[],2,0))</f>
        <v/>
      </c>
      <c r="I198" t="str">
        <f>IF(A198="","",VLOOKUP(G198,表3_3[],3,0))</f>
        <v/>
      </c>
      <c r="J198" t="str">
        <f>IF(A198="","",IF('ATP Fills'!I198="3M","",VLOOKUP(RIGHT('ATP Fills'!I198,2),Helper1!$O$36:$P$48,2,0)))</f>
        <v/>
      </c>
      <c r="K198" t="str">
        <f>IF(J198="","",LEFT('ATP Fills'!I198,4))</f>
        <v/>
      </c>
      <c r="L198" t="str">
        <f>IF(A198="","",IF('ATP Fills'!G198="LME",'ATP Fills'!I198,""))</f>
        <v/>
      </c>
      <c r="M198" t="str">
        <f t="shared" si="3"/>
        <v/>
      </c>
    </row>
    <row r="199" spans="1:13">
      <c r="A199" t="str">
        <f>IF('ATP Fills'!A199="","",IF('ATP Fills'!Q199="PHILLIPSG",'ATP Fills'!F199,""))</f>
        <v/>
      </c>
      <c r="B199" t="str">
        <f>IF(A199="","",'ATP Fills'!L199)</f>
        <v/>
      </c>
      <c r="C199" t="str">
        <f>IF(A199="","",'ATP Fills'!M199)</f>
        <v/>
      </c>
      <c r="D199" t="str">
        <f>IF(A199="","",'ATP Fills'!B199)</f>
        <v/>
      </c>
      <c r="E199" s="3" t="str">
        <f>IF(A199="","",IF(DATE(LEFT(D199,4),MID(D199,5,2),RIGHT(D199,2))=Helper1!$P$1,Helper1!$P$1,""))</f>
        <v/>
      </c>
      <c r="F199" s="3" t="str">
        <f>IF(A199="","",'ATP Fills'!G199)</f>
        <v/>
      </c>
      <c r="G199" t="str">
        <f>IF(A199="","",'ATP Fills'!H199)</f>
        <v/>
      </c>
      <c r="H199" t="str">
        <f>IF(A199="","",VLOOKUP(G199,表3_3[],2,0))</f>
        <v/>
      </c>
      <c r="I199" t="str">
        <f>IF(A199="","",VLOOKUP(G199,表3_3[],3,0))</f>
        <v/>
      </c>
      <c r="J199" t="str">
        <f>IF(A199="","",IF('ATP Fills'!I199="3M","",VLOOKUP(RIGHT('ATP Fills'!I199,2),Helper1!$O$36:$P$48,2,0)))</f>
        <v/>
      </c>
      <c r="K199" t="str">
        <f>IF(J199="","",LEFT('ATP Fills'!I199,4))</f>
        <v/>
      </c>
      <c r="L199" t="str">
        <f>IF(A199="","",IF('ATP Fills'!G199="LME",'ATP Fills'!I199,""))</f>
        <v/>
      </c>
      <c r="M199" t="str">
        <f t="shared" si="3"/>
        <v/>
      </c>
    </row>
    <row r="200" spans="1:13">
      <c r="A200" t="str">
        <f>IF('ATP Fills'!A200="","",IF('ATP Fills'!Q200="PHILLIPSG",'ATP Fills'!F200,""))</f>
        <v/>
      </c>
      <c r="B200" t="str">
        <f>IF(A200="","",'ATP Fills'!L200)</f>
        <v/>
      </c>
      <c r="C200" t="str">
        <f>IF(A200="","",'ATP Fills'!M200)</f>
        <v/>
      </c>
      <c r="D200" t="str">
        <f>IF(A200="","",'ATP Fills'!B200)</f>
        <v/>
      </c>
      <c r="E200" s="3" t="str">
        <f>IF(A200="","",IF(DATE(LEFT(D200,4),MID(D200,5,2),RIGHT(D200,2))=Helper1!$P$1,Helper1!$P$1,""))</f>
        <v/>
      </c>
      <c r="F200" s="3" t="str">
        <f>IF(A200="","",'ATP Fills'!G200)</f>
        <v/>
      </c>
      <c r="G200" t="str">
        <f>IF(A200="","",'ATP Fills'!H200)</f>
        <v/>
      </c>
      <c r="H200" t="str">
        <f>IF(A200="","",VLOOKUP(G200,表3_3[],2,0))</f>
        <v/>
      </c>
      <c r="I200" t="str">
        <f>IF(A200="","",VLOOKUP(G200,表3_3[],3,0))</f>
        <v/>
      </c>
      <c r="J200" t="str">
        <f>IF(A200="","",IF('ATP Fills'!I200="3M","",VLOOKUP(RIGHT('ATP Fills'!I200,2),Helper1!$O$36:$P$48,2,0)))</f>
        <v/>
      </c>
      <c r="K200" t="str">
        <f>IF(J200="","",LEFT('ATP Fills'!I200,4))</f>
        <v/>
      </c>
      <c r="L200" t="str">
        <f>IF(A200="","",IF('ATP Fills'!G200="LME",'ATP Fills'!I200,""))</f>
        <v/>
      </c>
      <c r="M200" t="str">
        <f t="shared" si="3"/>
        <v/>
      </c>
    </row>
    <row r="201" spans="1:13">
      <c r="A201" t="str">
        <f>IF('ATP Fills'!A201="","",IF('ATP Fills'!Q201="PHILLIPSG",'ATP Fills'!F201,""))</f>
        <v/>
      </c>
      <c r="B201" t="str">
        <f>IF(A201="","",'ATP Fills'!L201)</f>
        <v/>
      </c>
      <c r="C201" t="str">
        <f>IF(A201="","",'ATP Fills'!M201)</f>
        <v/>
      </c>
      <c r="D201" t="str">
        <f>IF(A201="","",'ATP Fills'!B201)</f>
        <v/>
      </c>
      <c r="E201" s="3" t="str">
        <f>IF(A201="","",IF(DATE(LEFT(D201,4),MID(D201,5,2),RIGHT(D201,2))=Helper1!$P$1,Helper1!$P$1,""))</f>
        <v/>
      </c>
      <c r="F201" s="3" t="str">
        <f>IF(A201="","",'ATP Fills'!G201)</f>
        <v/>
      </c>
      <c r="G201" t="str">
        <f>IF(A201="","",'ATP Fills'!H201)</f>
        <v/>
      </c>
      <c r="H201" t="str">
        <f>IF(A201="","",VLOOKUP(G201,表3_3[],2,0))</f>
        <v/>
      </c>
      <c r="I201" t="str">
        <f>IF(A201="","",VLOOKUP(G201,表3_3[],3,0))</f>
        <v/>
      </c>
      <c r="J201" t="str">
        <f>IF(A201="","",IF('ATP Fills'!I201="3M","",VLOOKUP(RIGHT('ATP Fills'!I201,2),Helper1!$O$36:$P$48,2,0)))</f>
        <v/>
      </c>
      <c r="K201" t="str">
        <f>IF(J201="","",LEFT('ATP Fills'!I201,4))</f>
        <v/>
      </c>
      <c r="L201" t="str">
        <f>IF(A201="","",IF('ATP Fills'!G201="LME",'ATP Fills'!I201,""))</f>
        <v/>
      </c>
      <c r="M201" t="str">
        <f t="shared" si="3"/>
        <v/>
      </c>
    </row>
    <row r="202" spans="1:13">
      <c r="A202" t="str">
        <f>IF('ATP Fills'!A202="","",IF('ATP Fills'!Q202="PHILLIPSG",'ATP Fills'!F202,""))</f>
        <v/>
      </c>
      <c r="B202" t="str">
        <f>IF(A202="","",'ATP Fills'!L202)</f>
        <v/>
      </c>
      <c r="C202" t="str">
        <f>IF(A202="","",'ATP Fills'!M202)</f>
        <v/>
      </c>
      <c r="D202" t="str">
        <f>IF(A202="","",'ATP Fills'!B202)</f>
        <v/>
      </c>
      <c r="E202" s="3" t="str">
        <f>IF(A202="","",IF(DATE(LEFT(D202,4),MID(D202,5,2),RIGHT(D202,2))=Helper1!$P$1,Helper1!$P$1,""))</f>
        <v/>
      </c>
      <c r="F202" s="3" t="str">
        <f>IF(A202="","",'ATP Fills'!G202)</f>
        <v/>
      </c>
      <c r="G202" t="str">
        <f>IF(A202="","",'ATP Fills'!H202)</f>
        <v/>
      </c>
      <c r="H202" t="str">
        <f>IF(A202="","",VLOOKUP(G202,表3_3[],2,0))</f>
        <v/>
      </c>
      <c r="I202" t="str">
        <f>IF(A202="","",VLOOKUP(G202,表3_3[],3,0))</f>
        <v/>
      </c>
      <c r="J202" t="str">
        <f>IF(A202="","",IF('ATP Fills'!I202="3M","",VLOOKUP(RIGHT('ATP Fills'!I202,2),Helper1!$O$36:$P$48,2,0)))</f>
        <v/>
      </c>
      <c r="K202" t="str">
        <f>IF(J202="","",LEFT('ATP Fills'!I202,4))</f>
        <v/>
      </c>
      <c r="L202" t="str">
        <f>IF(A202="","",IF('ATP Fills'!G202="LME",'ATP Fills'!I202,""))</f>
        <v/>
      </c>
      <c r="M202" t="str">
        <f t="shared" si="3"/>
        <v/>
      </c>
    </row>
    <row r="203" spans="1:13">
      <c r="A203" t="str">
        <f>IF('ATP Fills'!A203="","",IF('ATP Fills'!Q203="PHILLIPSG",'ATP Fills'!F203,""))</f>
        <v/>
      </c>
      <c r="B203" t="str">
        <f>IF(A203="","",'ATP Fills'!L203)</f>
        <v/>
      </c>
      <c r="C203" t="str">
        <f>IF(A203="","",'ATP Fills'!M203)</f>
        <v/>
      </c>
      <c r="D203" t="str">
        <f>IF(A203="","",'ATP Fills'!B203)</f>
        <v/>
      </c>
      <c r="E203" s="3" t="str">
        <f>IF(A203="","",IF(DATE(LEFT(D203,4),MID(D203,5,2),RIGHT(D203,2))=Helper1!$P$1,Helper1!$P$1,""))</f>
        <v/>
      </c>
      <c r="F203" s="3" t="str">
        <f>IF(A203="","",'ATP Fills'!G203)</f>
        <v/>
      </c>
      <c r="G203" t="str">
        <f>IF(A203="","",'ATP Fills'!H203)</f>
        <v/>
      </c>
      <c r="H203" t="str">
        <f>IF(A203="","",VLOOKUP(G203,表3_3[],2,0))</f>
        <v/>
      </c>
      <c r="I203" t="str">
        <f>IF(A203="","",VLOOKUP(G203,表3_3[],3,0))</f>
        <v/>
      </c>
      <c r="J203" t="str">
        <f>IF(A203="","",IF('ATP Fills'!I203="3M","",VLOOKUP(RIGHT('ATP Fills'!I203,2),Helper1!$O$36:$P$48,2,0)))</f>
        <v/>
      </c>
      <c r="K203" t="str">
        <f>IF(J203="","",LEFT('ATP Fills'!I203,4))</f>
        <v/>
      </c>
      <c r="L203" t="str">
        <f>IF(A203="","",IF('ATP Fills'!G203="LME",'ATP Fills'!I203,""))</f>
        <v/>
      </c>
      <c r="M203" t="str">
        <f t="shared" si="3"/>
        <v/>
      </c>
    </row>
    <row r="204" spans="1:13">
      <c r="A204" t="str">
        <f>IF('ATP Fills'!A204="","",IF('ATP Fills'!Q204="PHILLIPSG",'ATP Fills'!F204,""))</f>
        <v/>
      </c>
      <c r="B204" t="str">
        <f>IF(A204="","",'ATP Fills'!L204)</f>
        <v/>
      </c>
      <c r="C204" t="str">
        <f>IF(A204="","",'ATP Fills'!M204)</f>
        <v/>
      </c>
      <c r="D204" t="str">
        <f>IF(A204="","",'ATP Fills'!B204)</f>
        <v/>
      </c>
      <c r="E204" s="3" t="str">
        <f>IF(A204="","",IF(DATE(LEFT(D204,4),MID(D204,5,2),RIGHT(D204,2))=Helper1!$P$1,Helper1!$P$1,""))</f>
        <v/>
      </c>
      <c r="F204" s="3" t="str">
        <f>IF(A204="","",'ATP Fills'!G204)</f>
        <v/>
      </c>
      <c r="G204" t="str">
        <f>IF(A204="","",'ATP Fills'!H204)</f>
        <v/>
      </c>
      <c r="H204" t="str">
        <f>IF(A204="","",VLOOKUP(G204,表3_3[],2,0))</f>
        <v/>
      </c>
      <c r="I204" t="str">
        <f>IF(A204="","",VLOOKUP(G204,表3_3[],3,0))</f>
        <v/>
      </c>
      <c r="J204" t="str">
        <f>IF(A204="","",IF('ATP Fills'!I204="3M","",VLOOKUP(RIGHT('ATP Fills'!I204,2),Helper1!$O$36:$P$48,2,0)))</f>
        <v/>
      </c>
      <c r="K204" t="str">
        <f>IF(J204="","",LEFT('ATP Fills'!I204,4))</f>
        <v/>
      </c>
      <c r="L204" t="str">
        <f>IF(A204="","",IF('ATP Fills'!G204="LME",'ATP Fills'!I204,""))</f>
        <v/>
      </c>
      <c r="M204" t="str">
        <f t="shared" si="3"/>
        <v/>
      </c>
    </row>
    <row r="205" spans="1:13">
      <c r="A205" t="str">
        <f>IF('ATP Fills'!A205="","",IF('ATP Fills'!Q205="PHILLIPSG",'ATP Fills'!F205,""))</f>
        <v/>
      </c>
      <c r="B205" t="str">
        <f>IF(A205="","",'ATP Fills'!L205)</f>
        <v/>
      </c>
      <c r="C205" t="str">
        <f>IF(A205="","",'ATP Fills'!M205)</f>
        <v/>
      </c>
      <c r="D205" t="str">
        <f>IF(A205="","",'ATP Fills'!B205)</f>
        <v/>
      </c>
      <c r="E205" s="3" t="str">
        <f>IF(A205="","",IF(DATE(LEFT(D205,4),MID(D205,5,2),RIGHT(D205,2))=Helper1!$P$1,Helper1!$P$1,""))</f>
        <v/>
      </c>
      <c r="F205" s="3" t="str">
        <f>IF(A205="","",'ATP Fills'!G205)</f>
        <v/>
      </c>
      <c r="G205" t="str">
        <f>IF(A205="","",'ATP Fills'!H205)</f>
        <v/>
      </c>
      <c r="H205" t="str">
        <f>IF(A205="","",VLOOKUP(G205,表3_3[],2,0))</f>
        <v/>
      </c>
      <c r="I205" t="str">
        <f>IF(A205="","",VLOOKUP(G205,表3_3[],3,0))</f>
        <v/>
      </c>
      <c r="J205" t="str">
        <f>IF(A205="","",IF('ATP Fills'!I205="3M","",VLOOKUP(RIGHT('ATP Fills'!I205,2),Helper1!$O$36:$P$48,2,0)))</f>
        <v/>
      </c>
      <c r="K205" t="str">
        <f>IF(J205="","",LEFT('ATP Fills'!I205,4))</f>
        <v/>
      </c>
      <c r="L205" t="str">
        <f>IF(A205="","",IF('ATP Fills'!G205="LME",'ATP Fills'!I205,""))</f>
        <v/>
      </c>
      <c r="M205" t="str">
        <f t="shared" si="3"/>
        <v/>
      </c>
    </row>
    <row r="206" spans="1:13">
      <c r="A206" t="str">
        <f>IF('ATP Fills'!A206="","",IF('ATP Fills'!Q206="PHILLIPSG",'ATP Fills'!F206,""))</f>
        <v/>
      </c>
      <c r="B206" t="str">
        <f>IF(A206="","",'ATP Fills'!L206)</f>
        <v/>
      </c>
      <c r="C206" t="str">
        <f>IF(A206="","",'ATP Fills'!M206)</f>
        <v/>
      </c>
      <c r="D206" t="str">
        <f>IF(A206="","",'ATP Fills'!B206)</f>
        <v/>
      </c>
      <c r="E206" s="3" t="str">
        <f>IF(A206="","",IF(DATE(LEFT(D206,4),MID(D206,5,2),RIGHT(D206,2))=Helper1!$P$1,Helper1!$P$1,""))</f>
        <v/>
      </c>
      <c r="F206" s="3" t="str">
        <f>IF(A206="","",'ATP Fills'!G206)</f>
        <v/>
      </c>
      <c r="G206" t="str">
        <f>IF(A206="","",'ATP Fills'!H206)</f>
        <v/>
      </c>
      <c r="H206" t="str">
        <f>IF(A206="","",VLOOKUP(G206,表3_3[],2,0))</f>
        <v/>
      </c>
      <c r="I206" t="str">
        <f>IF(A206="","",VLOOKUP(G206,表3_3[],3,0))</f>
        <v/>
      </c>
      <c r="J206" t="str">
        <f>IF(A206="","",IF('ATP Fills'!I206="3M","",VLOOKUP(RIGHT('ATP Fills'!I206,2),Helper1!$O$36:$P$48,2,0)))</f>
        <v/>
      </c>
      <c r="K206" t="str">
        <f>IF(J206="","",LEFT('ATP Fills'!I206,4))</f>
        <v/>
      </c>
      <c r="L206" t="str">
        <f>IF(A206="","",IF('ATP Fills'!G206="LME",'ATP Fills'!I206,""))</f>
        <v/>
      </c>
      <c r="M206" t="str">
        <f t="shared" si="3"/>
        <v/>
      </c>
    </row>
    <row r="207" spans="1:13">
      <c r="A207" t="str">
        <f>IF('ATP Fills'!A207="","",IF('ATP Fills'!Q207="PHILLIPSG",'ATP Fills'!F207,""))</f>
        <v/>
      </c>
      <c r="B207" t="str">
        <f>IF(A207="","",'ATP Fills'!L207)</f>
        <v/>
      </c>
      <c r="C207" t="str">
        <f>IF(A207="","",'ATP Fills'!M207)</f>
        <v/>
      </c>
      <c r="D207" t="str">
        <f>IF(A207="","",'ATP Fills'!B207)</f>
        <v/>
      </c>
      <c r="E207" s="3" t="str">
        <f>IF(A207="","",IF(DATE(LEFT(D207,4),MID(D207,5,2),RIGHT(D207,2))=Helper1!$P$1,Helper1!$P$1,""))</f>
        <v/>
      </c>
      <c r="F207" s="3" t="str">
        <f>IF(A207="","",'ATP Fills'!G207)</f>
        <v/>
      </c>
      <c r="G207" t="str">
        <f>IF(A207="","",'ATP Fills'!H207)</f>
        <v/>
      </c>
      <c r="H207" t="str">
        <f>IF(A207="","",VLOOKUP(G207,表3_3[],2,0))</f>
        <v/>
      </c>
      <c r="I207" t="str">
        <f>IF(A207="","",VLOOKUP(G207,表3_3[],3,0))</f>
        <v/>
      </c>
      <c r="J207" t="str">
        <f>IF(A207="","",IF('ATP Fills'!I207="3M","",VLOOKUP(RIGHT('ATP Fills'!I207,2),Helper1!$O$36:$P$48,2,0)))</f>
        <v/>
      </c>
      <c r="K207" t="str">
        <f>IF(J207="","",LEFT('ATP Fills'!I207,4))</f>
        <v/>
      </c>
      <c r="L207" t="str">
        <f>IF(A207="","",IF('ATP Fills'!G207="LME",'ATP Fills'!I207,""))</f>
        <v/>
      </c>
      <c r="M207" t="str">
        <f t="shared" si="3"/>
        <v/>
      </c>
    </row>
    <row r="208" spans="1:13">
      <c r="A208" t="str">
        <f>IF('ATP Fills'!A208="","",IF('ATP Fills'!Q208="PHILLIPSG",'ATP Fills'!F208,""))</f>
        <v/>
      </c>
      <c r="B208" t="str">
        <f>IF(A208="","",'ATP Fills'!L208)</f>
        <v/>
      </c>
      <c r="C208" t="str">
        <f>IF(A208="","",'ATP Fills'!M208)</f>
        <v/>
      </c>
      <c r="D208" t="str">
        <f>IF(A208="","",'ATP Fills'!B208)</f>
        <v/>
      </c>
      <c r="E208" s="3" t="str">
        <f>IF(A208="","",IF(DATE(LEFT(D208,4),MID(D208,5,2),RIGHT(D208,2))=Helper1!$P$1,Helper1!$P$1,""))</f>
        <v/>
      </c>
      <c r="F208" s="3" t="str">
        <f>IF(A208="","",'ATP Fills'!G208)</f>
        <v/>
      </c>
      <c r="G208" t="str">
        <f>IF(A208="","",'ATP Fills'!H208)</f>
        <v/>
      </c>
      <c r="H208" t="str">
        <f>IF(A208="","",VLOOKUP(G208,表3_3[],2,0))</f>
        <v/>
      </c>
      <c r="I208" t="str">
        <f>IF(A208="","",VLOOKUP(G208,表3_3[],3,0))</f>
        <v/>
      </c>
      <c r="J208" t="str">
        <f>IF(A208="","",IF('ATP Fills'!I208="3M","",VLOOKUP(RIGHT('ATP Fills'!I208,2),Helper1!$O$36:$P$48,2,0)))</f>
        <v/>
      </c>
      <c r="K208" t="str">
        <f>IF(J208="","",LEFT('ATP Fills'!I208,4))</f>
        <v/>
      </c>
      <c r="L208" t="str">
        <f>IF(A208="","",IF('ATP Fills'!G208="LME",'ATP Fills'!I208,""))</f>
        <v/>
      </c>
      <c r="M208" t="str">
        <f t="shared" si="3"/>
        <v/>
      </c>
    </row>
    <row r="209" spans="1:13">
      <c r="A209" t="str">
        <f>IF('ATP Fills'!A209="","",IF('ATP Fills'!Q209="PHILLIPSG",'ATP Fills'!F209,""))</f>
        <v/>
      </c>
      <c r="B209" t="str">
        <f>IF(A209="","",'ATP Fills'!L209)</f>
        <v/>
      </c>
      <c r="C209" t="str">
        <f>IF(A209="","",'ATP Fills'!M209)</f>
        <v/>
      </c>
      <c r="D209" t="str">
        <f>IF(A209="","",'ATP Fills'!B209)</f>
        <v/>
      </c>
      <c r="E209" s="3" t="str">
        <f>IF(A209="","",IF(DATE(LEFT(D209,4),MID(D209,5,2),RIGHT(D209,2))=Helper1!$P$1,Helper1!$P$1,""))</f>
        <v/>
      </c>
      <c r="F209" s="3" t="str">
        <f>IF(A209="","",'ATP Fills'!G209)</f>
        <v/>
      </c>
      <c r="G209" t="str">
        <f>IF(A209="","",'ATP Fills'!H209)</f>
        <v/>
      </c>
      <c r="H209" t="str">
        <f>IF(A209="","",VLOOKUP(G209,表3_3[],2,0))</f>
        <v/>
      </c>
      <c r="I209" t="str">
        <f>IF(A209="","",VLOOKUP(G209,表3_3[],3,0))</f>
        <v/>
      </c>
      <c r="J209" t="str">
        <f>IF(A209="","",IF('ATP Fills'!I209="3M","",VLOOKUP(RIGHT('ATP Fills'!I209,2),Helper1!$O$36:$P$48,2,0)))</f>
        <v/>
      </c>
      <c r="K209" t="str">
        <f>IF(J209="","",LEFT('ATP Fills'!I209,4))</f>
        <v/>
      </c>
      <c r="L209" t="str">
        <f>IF(A209="","",IF('ATP Fills'!G209="LME",'ATP Fills'!I209,""))</f>
        <v/>
      </c>
      <c r="M209" t="str">
        <f t="shared" si="3"/>
        <v/>
      </c>
    </row>
    <row r="210" spans="1:13">
      <c r="A210" t="str">
        <f>IF('ATP Fills'!A210="","",IF('ATP Fills'!Q210="PHILLIPSG",'ATP Fills'!F210,""))</f>
        <v/>
      </c>
      <c r="B210" t="str">
        <f>IF(A210="","",'ATP Fills'!L210)</f>
        <v/>
      </c>
      <c r="C210" t="str">
        <f>IF(A210="","",'ATP Fills'!M210)</f>
        <v/>
      </c>
      <c r="D210" t="str">
        <f>IF(A210="","",'ATP Fills'!B210)</f>
        <v/>
      </c>
      <c r="E210" s="3" t="str">
        <f>IF(A210="","",IF(DATE(LEFT(D210,4),MID(D210,5,2),RIGHT(D210,2))=Helper1!$P$1,Helper1!$P$1,""))</f>
        <v/>
      </c>
      <c r="F210" s="3" t="str">
        <f>IF(A210="","",'ATP Fills'!G210)</f>
        <v/>
      </c>
      <c r="G210" t="str">
        <f>IF(A210="","",'ATP Fills'!H210)</f>
        <v/>
      </c>
      <c r="H210" t="str">
        <f>IF(A210="","",VLOOKUP(G210,表3_3[],2,0))</f>
        <v/>
      </c>
      <c r="I210" t="str">
        <f>IF(A210="","",VLOOKUP(G210,表3_3[],3,0))</f>
        <v/>
      </c>
      <c r="J210" t="str">
        <f>IF(A210="","",IF('ATP Fills'!I210="3M","",VLOOKUP(RIGHT('ATP Fills'!I210,2),Helper1!$O$36:$P$48,2,0)))</f>
        <v/>
      </c>
      <c r="K210" t="str">
        <f>IF(J210="","",LEFT('ATP Fills'!I210,4))</f>
        <v/>
      </c>
      <c r="L210" t="str">
        <f>IF(A210="","",IF('ATP Fills'!G210="LME",'ATP Fills'!I210,""))</f>
        <v/>
      </c>
      <c r="M210" t="str">
        <f t="shared" si="3"/>
        <v/>
      </c>
    </row>
    <row r="211" spans="1:13">
      <c r="A211" t="str">
        <f>IF('ATP Fills'!A211="","",IF('ATP Fills'!Q211="PHILLIPSG",'ATP Fills'!F211,""))</f>
        <v/>
      </c>
      <c r="B211" t="str">
        <f>IF(A211="","",'ATP Fills'!L211)</f>
        <v/>
      </c>
      <c r="C211" t="str">
        <f>IF(A211="","",'ATP Fills'!M211)</f>
        <v/>
      </c>
      <c r="D211" t="str">
        <f>IF(A211="","",'ATP Fills'!B211)</f>
        <v/>
      </c>
      <c r="E211" s="3" t="str">
        <f>IF(A211="","",IF(DATE(LEFT(D211,4),MID(D211,5,2),RIGHT(D211,2))=Helper1!$P$1,Helper1!$P$1,""))</f>
        <v/>
      </c>
      <c r="F211" s="3" t="str">
        <f>IF(A211="","",'ATP Fills'!G211)</f>
        <v/>
      </c>
      <c r="G211" t="str">
        <f>IF(A211="","",'ATP Fills'!H211)</f>
        <v/>
      </c>
      <c r="H211" t="str">
        <f>IF(A211="","",VLOOKUP(G211,表3_3[],2,0))</f>
        <v/>
      </c>
      <c r="I211" t="str">
        <f>IF(A211="","",VLOOKUP(G211,表3_3[],3,0))</f>
        <v/>
      </c>
      <c r="J211" t="str">
        <f>IF(A211="","",IF('ATP Fills'!I211="3M","",VLOOKUP(RIGHT('ATP Fills'!I211,2),Helper1!$O$36:$P$48,2,0)))</f>
        <v/>
      </c>
      <c r="K211" t="str">
        <f>IF(J211="","",LEFT('ATP Fills'!I211,4))</f>
        <v/>
      </c>
      <c r="L211" t="str">
        <f>IF(A211="","",IF('ATP Fills'!G211="LME",'ATP Fills'!I211,""))</f>
        <v/>
      </c>
      <c r="M211" t="str">
        <f t="shared" si="3"/>
        <v/>
      </c>
    </row>
    <row r="212" spans="1:13">
      <c r="A212" t="str">
        <f>IF('ATP Fills'!A212="","",IF('ATP Fills'!Q212="PHILLIPSG",'ATP Fills'!F212,""))</f>
        <v/>
      </c>
      <c r="B212" t="str">
        <f>IF(A212="","",'ATP Fills'!L212)</f>
        <v/>
      </c>
      <c r="C212" t="str">
        <f>IF(A212="","",'ATP Fills'!M212)</f>
        <v/>
      </c>
      <c r="D212" t="str">
        <f>IF(A212="","",'ATP Fills'!B212)</f>
        <v/>
      </c>
      <c r="E212" s="3" t="str">
        <f>IF(A212="","",IF(DATE(LEFT(D212,4),MID(D212,5,2),RIGHT(D212,2))=Helper1!$P$1,Helper1!$P$1,""))</f>
        <v/>
      </c>
      <c r="F212" s="3" t="str">
        <f>IF(A212="","",'ATP Fills'!G212)</f>
        <v/>
      </c>
      <c r="G212" t="str">
        <f>IF(A212="","",'ATP Fills'!H212)</f>
        <v/>
      </c>
      <c r="H212" t="str">
        <f>IF(A212="","",VLOOKUP(G212,表3_3[],2,0))</f>
        <v/>
      </c>
      <c r="I212" t="str">
        <f>IF(A212="","",VLOOKUP(G212,表3_3[],3,0))</f>
        <v/>
      </c>
      <c r="J212" t="str">
        <f>IF(A212="","",IF('ATP Fills'!I212="3M","",VLOOKUP(RIGHT('ATP Fills'!I212,2),Helper1!$O$36:$P$48,2,0)))</f>
        <v/>
      </c>
      <c r="K212" t="str">
        <f>IF(J212="","",LEFT('ATP Fills'!I212,4))</f>
        <v/>
      </c>
      <c r="L212" t="str">
        <f>IF(A212="","",IF('ATP Fills'!G212="LME",'ATP Fills'!I212,""))</f>
        <v/>
      </c>
      <c r="M212" t="str">
        <f t="shared" si="3"/>
        <v/>
      </c>
    </row>
    <row r="213" spans="1:13">
      <c r="A213" t="str">
        <f>IF('ATP Fills'!A213="","",IF('ATP Fills'!Q213="PHILLIPSG",'ATP Fills'!F213,""))</f>
        <v/>
      </c>
      <c r="B213" t="str">
        <f>IF(A213="","",'ATP Fills'!L213)</f>
        <v/>
      </c>
      <c r="C213" t="str">
        <f>IF(A213="","",'ATP Fills'!M213)</f>
        <v/>
      </c>
      <c r="D213" t="str">
        <f>IF(A213="","",'ATP Fills'!B213)</f>
        <v/>
      </c>
      <c r="E213" s="3" t="str">
        <f>IF(A213="","",IF(DATE(LEFT(D213,4),MID(D213,5,2),RIGHT(D213,2))=Helper1!$P$1,Helper1!$P$1,""))</f>
        <v/>
      </c>
      <c r="F213" s="3" t="str">
        <f>IF(A213="","",'ATP Fills'!G213)</f>
        <v/>
      </c>
      <c r="G213" t="str">
        <f>IF(A213="","",'ATP Fills'!H213)</f>
        <v/>
      </c>
      <c r="H213" t="str">
        <f>IF(A213="","",VLOOKUP(G213,表3_3[],2,0))</f>
        <v/>
      </c>
      <c r="I213" t="str">
        <f>IF(A213="","",VLOOKUP(G213,表3_3[],3,0))</f>
        <v/>
      </c>
      <c r="J213" t="str">
        <f>IF(A213="","",IF('ATP Fills'!I213="3M","",VLOOKUP(RIGHT('ATP Fills'!I213,2),Helper1!$O$36:$P$48,2,0)))</f>
        <v/>
      </c>
      <c r="K213" t="str">
        <f>IF(J213="","",LEFT('ATP Fills'!I213,4))</f>
        <v/>
      </c>
      <c r="L213" t="str">
        <f>IF(A213="","",IF('ATP Fills'!G213="LME",'ATP Fills'!I213,""))</f>
        <v/>
      </c>
      <c r="M213" t="str">
        <f t="shared" si="3"/>
        <v/>
      </c>
    </row>
    <row r="214" spans="1:13">
      <c r="A214" t="str">
        <f>IF('ATP Fills'!A214="","",IF('ATP Fills'!Q214="PHILLIPSG",'ATP Fills'!F214,""))</f>
        <v/>
      </c>
      <c r="B214" t="str">
        <f>IF(A214="","",'ATP Fills'!L214)</f>
        <v/>
      </c>
      <c r="C214" t="str">
        <f>IF(A214="","",'ATP Fills'!M214)</f>
        <v/>
      </c>
      <c r="D214" t="str">
        <f>IF(A214="","",'ATP Fills'!B214)</f>
        <v/>
      </c>
      <c r="E214" s="3" t="str">
        <f>IF(A214="","",IF(DATE(LEFT(D214,4),MID(D214,5,2),RIGHT(D214,2))=Helper1!$P$1,Helper1!$P$1,""))</f>
        <v/>
      </c>
      <c r="F214" s="3" t="str">
        <f>IF(A214="","",'ATP Fills'!G214)</f>
        <v/>
      </c>
      <c r="G214" t="str">
        <f>IF(A214="","",'ATP Fills'!H214)</f>
        <v/>
      </c>
      <c r="H214" t="str">
        <f>IF(A214="","",VLOOKUP(G214,表3_3[],2,0))</f>
        <v/>
      </c>
      <c r="I214" t="str">
        <f>IF(A214="","",VLOOKUP(G214,表3_3[],3,0))</f>
        <v/>
      </c>
      <c r="J214" t="str">
        <f>IF(A214="","",IF('ATP Fills'!I214="3M","",VLOOKUP(RIGHT('ATP Fills'!I214,2),Helper1!$O$36:$P$48,2,0)))</f>
        <v/>
      </c>
      <c r="K214" t="str">
        <f>IF(J214="","",LEFT('ATP Fills'!I214,4))</f>
        <v/>
      </c>
      <c r="L214" t="str">
        <f>IF(A214="","",IF('ATP Fills'!G214="LME",'ATP Fills'!I214,""))</f>
        <v/>
      </c>
      <c r="M214" t="str">
        <f t="shared" si="3"/>
        <v/>
      </c>
    </row>
    <row r="215" spans="1:13">
      <c r="A215" t="str">
        <f>IF('ATP Fills'!A215="","",IF('ATP Fills'!Q215="PHILLIPSG",'ATP Fills'!F215,""))</f>
        <v/>
      </c>
      <c r="B215" t="str">
        <f>IF(A215="","",'ATP Fills'!L215)</f>
        <v/>
      </c>
      <c r="C215" t="str">
        <f>IF(A215="","",'ATP Fills'!M215)</f>
        <v/>
      </c>
      <c r="D215" t="str">
        <f>IF(A215="","",'ATP Fills'!B215)</f>
        <v/>
      </c>
      <c r="E215" s="3" t="str">
        <f>IF(A215="","",IF(DATE(LEFT(D215,4),MID(D215,5,2),RIGHT(D215,2))=Helper1!$P$1,Helper1!$P$1,""))</f>
        <v/>
      </c>
      <c r="F215" s="3" t="str">
        <f>IF(A215="","",'ATP Fills'!G215)</f>
        <v/>
      </c>
      <c r="G215" t="str">
        <f>IF(A215="","",'ATP Fills'!H215)</f>
        <v/>
      </c>
      <c r="H215" t="str">
        <f>IF(A215="","",VLOOKUP(G215,表3_3[],2,0))</f>
        <v/>
      </c>
      <c r="I215" t="str">
        <f>IF(A215="","",VLOOKUP(G215,表3_3[],3,0))</f>
        <v/>
      </c>
      <c r="J215" t="str">
        <f>IF(A215="","",IF('ATP Fills'!I215="3M","",VLOOKUP(RIGHT('ATP Fills'!I215,2),Helper1!$O$36:$P$48,2,0)))</f>
        <v/>
      </c>
      <c r="K215" t="str">
        <f>IF(J215="","",LEFT('ATP Fills'!I215,4))</f>
        <v/>
      </c>
      <c r="L215" t="str">
        <f>IF(A215="","",IF('ATP Fills'!G215="LME",'ATP Fills'!I215,""))</f>
        <v/>
      </c>
      <c r="M215" t="str">
        <f t="shared" si="3"/>
        <v/>
      </c>
    </row>
    <row r="216" spans="1:13">
      <c r="A216" t="str">
        <f>IF('ATP Fills'!A216="","",IF('ATP Fills'!Q216="PHILLIPSG",'ATP Fills'!F216,""))</f>
        <v/>
      </c>
      <c r="B216" t="str">
        <f>IF(A216="","",'ATP Fills'!L216)</f>
        <v/>
      </c>
      <c r="C216" t="str">
        <f>IF(A216="","",'ATP Fills'!M216)</f>
        <v/>
      </c>
      <c r="D216" t="str">
        <f>IF(A216="","",'ATP Fills'!B216)</f>
        <v/>
      </c>
      <c r="E216" s="3" t="str">
        <f>IF(A216="","",IF(DATE(LEFT(D216,4),MID(D216,5,2),RIGHT(D216,2))=Helper1!$P$1,Helper1!$P$1,""))</f>
        <v/>
      </c>
      <c r="F216" s="3" t="str">
        <f>IF(A216="","",'ATP Fills'!G216)</f>
        <v/>
      </c>
      <c r="G216" t="str">
        <f>IF(A216="","",'ATP Fills'!H216)</f>
        <v/>
      </c>
      <c r="H216" t="str">
        <f>IF(A216="","",VLOOKUP(G216,表3_3[],2,0))</f>
        <v/>
      </c>
      <c r="I216" t="str">
        <f>IF(A216="","",VLOOKUP(G216,表3_3[],3,0))</f>
        <v/>
      </c>
      <c r="J216" t="str">
        <f>IF(A216="","",IF('ATP Fills'!I216="3M","",VLOOKUP(RIGHT('ATP Fills'!I216,2),Helper1!$O$36:$P$48,2,0)))</f>
        <v/>
      </c>
      <c r="K216" t="str">
        <f>IF(J216="","",LEFT('ATP Fills'!I216,4))</f>
        <v/>
      </c>
      <c r="L216" t="str">
        <f>IF(A216="","",IF('ATP Fills'!G216="LME",'ATP Fills'!I216,""))</f>
        <v/>
      </c>
      <c r="M216" t="str">
        <f t="shared" si="3"/>
        <v/>
      </c>
    </row>
    <row r="217" spans="1:13">
      <c r="A217" t="str">
        <f>IF('ATP Fills'!A217="","",IF('ATP Fills'!Q217="PHILLIPSG",'ATP Fills'!F217,""))</f>
        <v/>
      </c>
      <c r="B217" t="str">
        <f>IF(A217="","",'ATP Fills'!L217)</f>
        <v/>
      </c>
      <c r="C217" t="str">
        <f>IF(A217="","",'ATP Fills'!M217)</f>
        <v/>
      </c>
      <c r="D217" t="str">
        <f>IF(A217="","",'ATP Fills'!B217)</f>
        <v/>
      </c>
      <c r="E217" s="3" t="str">
        <f>IF(A217="","",IF(DATE(LEFT(D217,4),MID(D217,5,2),RIGHT(D217,2))=Helper1!$P$1,Helper1!$P$1,""))</f>
        <v/>
      </c>
      <c r="F217" s="3" t="str">
        <f>IF(A217="","",'ATP Fills'!G217)</f>
        <v/>
      </c>
      <c r="G217" t="str">
        <f>IF(A217="","",'ATP Fills'!H217)</f>
        <v/>
      </c>
      <c r="H217" t="str">
        <f>IF(A217="","",VLOOKUP(G217,表3_3[],2,0))</f>
        <v/>
      </c>
      <c r="I217" t="str">
        <f>IF(A217="","",VLOOKUP(G217,表3_3[],3,0))</f>
        <v/>
      </c>
      <c r="J217" t="str">
        <f>IF(A217="","",IF('ATP Fills'!I217="3M","",VLOOKUP(RIGHT('ATP Fills'!I217,2),Helper1!$O$36:$P$48,2,0)))</f>
        <v/>
      </c>
      <c r="K217" t="str">
        <f>IF(J217="","",LEFT('ATP Fills'!I217,4))</f>
        <v/>
      </c>
      <c r="L217" t="str">
        <f>IF(A217="","",IF('ATP Fills'!G217="LME",'ATP Fills'!I217,""))</f>
        <v/>
      </c>
      <c r="M217" t="str">
        <f t="shared" si="3"/>
        <v/>
      </c>
    </row>
    <row r="218" spans="1:13">
      <c r="A218" t="str">
        <f>IF('ATP Fills'!A218="","",IF('ATP Fills'!Q218="PHILLIPSG",'ATP Fills'!F218,""))</f>
        <v/>
      </c>
      <c r="B218" t="str">
        <f>IF(A218="","",'ATP Fills'!L218)</f>
        <v/>
      </c>
      <c r="C218" t="str">
        <f>IF(A218="","",'ATP Fills'!M218)</f>
        <v/>
      </c>
      <c r="D218" t="str">
        <f>IF(A218="","",'ATP Fills'!B218)</f>
        <v/>
      </c>
      <c r="E218" s="3" t="str">
        <f>IF(A218="","",IF(DATE(LEFT(D218,4),MID(D218,5,2),RIGHT(D218,2))=Helper1!$P$1,Helper1!$P$1,""))</f>
        <v/>
      </c>
      <c r="F218" s="3" t="str">
        <f>IF(A218="","",'ATP Fills'!G218)</f>
        <v/>
      </c>
      <c r="G218" t="str">
        <f>IF(A218="","",'ATP Fills'!H218)</f>
        <v/>
      </c>
      <c r="H218" t="str">
        <f>IF(A218="","",VLOOKUP(G218,表3_3[],2,0))</f>
        <v/>
      </c>
      <c r="I218" t="str">
        <f>IF(A218="","",VLOOKUP(G218,表3_3[],3,0))</f>
        <v/>
      </c>
      <c r="J218" t="str">
        <f>IF(A218="","",IF('ATP Fills'!I218="3M","",VLOOKUP(RIGHT('ATP Fills'!I218,2),Helper1!$O$36:$P$48,2,0)))</f>
        <v/>
      </c>
      <c r="K218" t="str">
        <f>IF(J218="","",LEFT('ATP Fills'!I218,4))</f>
        <v/>
      </c>
      <c r="L218" t="str">
        <f>IF(A218="","",IF('ATP Fills'!G218="LME",'ATP Fills'!I218,""))</f>
        <v/>
      </c>
      <c r="M218" t="str">
        <f t="shared" si="3"/>
        <v/>
      </c>
    </row>
    <row r="219" spans="1:13">
      <c r="A219" t="str">
        <f>IF('ATP Fills'!A219="","",IF('ATP Fills'!Q219="PHILLIPSG",'ATP Fills'!F219,""))</f>
        <v/>
      </c>
      <c r="B219" t="str">
        <f>IF(A219="","",'ATP Fills'!L219)</f>
        <v/>
      </c>
      <c r="C219" t="str">
        <f>IF(A219="","",'ATP Fills'!M219)</f>
        <v/>
      </c>
      <c r="D219" t="str">
        <f>IF(A219="","",'ATP Fills'!B219)</f>
        <v/>
      </c>
      <c r="E219" s="3" t="str">
        <f>IF(A219="","",IF(DATE(LEFT(D219,4),MID(D219,5,2),RIGHT(D219,2))=Helper1!$P$1,Helper1!$P$1,""))</f>
        <v/>
      </c>
      <c r="F219" s="3" t="str">
        <f>IF(A219="","",'ATP Fills'!G219)</f>
        <v/>
      </c>
      <c r="G219" t="str">
        <f>IF(A219="","",'ATP Fills'!H219)</f>
        <v/>
      </c>
      <c r="H219" t="str">
        <f>IF(A219="","",VLOOKUP(G219,表3_3[],2,0))</f>
        <v/>
      </c>
      <c r="I219" t="str">
        <f>IF(A219="","",VLOOKUP(G219,表3_3[],3,0))</f>
        <v/>
      </c>
      <c r="J219" t="str">
        <f>IF(A219="","",IF('ATP Fills'!I219="3M","",VLOOKUP(RIGHT('ATP Fills'!I219,2),Helper1!$O$36:$P$48,2,0)))</f>
        <v/>
      </c>
      <c r="K219" t="str">
        <f>IF(J219="","",LEFT('ATP Fills'!I219,4))</f>
        <v/>
      </c>
      <c r="L219" t="str">
        <f>IF(A219="","",IF('ATP Fills'!G219="LME",'ATP Fills'!I219,""))</f>
        <v/>
      </c>
      <c r="M219" t="str">
        <f t="shared" si="3"/>
        <v/>
      </c>
    </row>
    <row r="220" spans="1:13">
      <c r="A220" t="str">
        <f>IF('ATP Fills'!A220="","",IF('ATP Fills'!Q220="PHILLIPSG",'ATP Fills'!F220,""))</f>
        <v/>
      </c>
      <c r="B220" t="str">
        <f>IF(A220="","",'ATP Fills'!L220)</f>
        <v/>
      </c>
      <c r="C220" t="str">
        <f>IF(A220="","",'ATP Fills'!M220)</f>
        <v/>
      </c>
      <c r="D220" t="str">
        <f>IF(A220="","",'ATP Fills'!B220)</f>
        <v/>
      </c>
      <c r="E220" s="3" t="str">
        <f>IF(A220="","",IF(DATE(LEFT(D220,4),MID(D220,5,2),RIGHT(D220,2))=Helper1!$P$1,Helper1!$P$1,""))</f>
        <v/>
      </c>
      <c r="F220" s="3" t="str">
        <f>IF(A220="","",'ATP Fills'!G220)</f>
        <v/>
      </c>
      <c r="G220" t="str">
        <f>IF(A220="","",'ATP Fills'!H220)</f>
        <v/>
      </c>
      <c r="H220" t="str">
        <f>IF(A220="","",VLOOKUP(G220,表3_3[],2,0))</f>
        <v/>
      </c>
      <c r="I220" t="str">
        <f>IF(A220="","",VLOOKUP(G220,表3_3[],3,0))</f>
        <v/>
      </c>
      <c r="J220" t="str">
        <f>IF(A220="","",IF('ATP Fills'!I220="3M","",VLOOKUP(RIGHT('ATP Fills'!I220,2),Helper1!$O$36:$P$48,2,0)))</f>
        <v/>
      </c>
      <c r="K220" t="str">
        <f>IF(J220="","",LEFT('ATP Fills'!I220,4))</f>
        <v/>
      </c>
      <c r="L220" t="str">
        <f>IF(A220="","",IF('ATP Fills'!G220="LME",'ATP Fills'!I220,""))</f>
        <v/>
      </c>
      <c r="M220" t="str">
        <f t="shared" si="3"/>
        <v/>
      </c>
    </row>
    <row r="221" spans="1:13">
      <c r="A221" t="str">
        <f>IF('ATP Fills'!A221="","",IF('ATP Fills'!Q221="PHILLIPSG",'ATP Fills'!F221,""))</f>
        <v/>
      </c>
      <c r="B221" t="str">
        <f>IF(A221="","",'ATP Fills'!L221)</f>
        <v/>
      </c>
      <c r="C221" t="str">
        <f>IF(A221="","",'ATP Fills'!M221)</f>
        <v/>
      </c>
      <c r="D221" t="str">
        <f>IF(A221="","",'ATP Fills'!B221)</f>
        <v/>
      </c>
      <c r="E221" s="3" t="str">
        <f>IF(A221="","",IF(DATE(LEFT(D221,4),MID(D221,5,2),RIGHT(D221,2))=Helper1!$P$1,Helper1!$P$1,""))</f>
        <v/>
      </c>
      <c r="F221" s="3" t="str">
        <f>IF(A221="","",'ATP Fills'!G221)</f>
        <v/>
      </c>
      <c r="G221" t="str">
        <f>IF(A221="","",'ATP Fills'!H221)</f>
        <v/>
      </c>
      <c r="H221" t="str">
        <f>IF(A221="","",VLOOKUP(G221,表3_3[],2,0))</f>
        <v/>
      </c>
      <c r="I221" t="str">
        <f>IF(A221="","",VLOOKUP(G221,表3_3[],3,0))</f>
        <v/>
      </c>
      <c r="J221" t="str">
        <f>IF(A221="","",IF('ATP Fills'!I221="3M","",VLOOKUP(RIGHT('ATP Fills'!I221,2),Helper1!$O$36:$P$48,2,0)))</f>
        <v/>
      </c>
      <c r="K221" t="str">
        <f>IF(J221="","",LEFT('ATP Fills'!I221,4))</f>
        <v/>
      </c>
      <c r="L221" t="str">
        <f>IF(A221="","",IF('ATP Fills'!G221="LME",'ATP Fills'!I221,""))</f>
        <v/>
      </c>
      <c r="M221" t="str">
        <f t="shared" si="3"/>
        <v/>
      </c>
    </row>
    <row r="222" spans="1:13">
      <c r="A222" t="str">
        <f>IF('ATP Fills'!A222="","",IF('ATP Fills'!Q222="PHILLIPSG",'ATP Fills'!F222,""))</f>
        <v/>
      </c>
      <c r="B222" t="str">
        <f>IF(A222="","",'ATP Fills'!L222)</f>
        <v/>
      </c>
      <c r="C222" t="str">
        <f>IF(A222="","",'ATP Fills'!M222)</f>
        <v/>
      </c>
      <c r="D222" t="str">
        <f>IF(A222="","",'ATP Fills'!B222)</f>
        <v/>
      </c>
      <c r="E222" s="3" t="str">
        <f>IF(A222="","",IF(DATE(LEFT(D222,4),MID(D222,5,2),RIGHT(D222,2))=Helper1!$P$1,Helper1!$P$1,""))</f>
        <v/>
      </c>
      <c r="F222" s="3" t="str">
        <f>IF(A222="","",'ATP Fills'!G222)</f>
        <v/>
      </c>
      <c r="G222" t="str">
        <f>IF(A222="","",'ATP Fills'!H222)</f>
        <v/>
      </c>
      <c r="H222" t="str">
        <f>IF(A222="","",VLOOKUP(G222,表3_3[],2,0))</f>
        <v/>
      </c>
      <c r="I222" t="str">
        <f>IF(A222="","",VLOOKUP(G222,表3_3[],3,0))</f>
        <v/>
      </c>
      <c r="J222" t="str">
        <f>IF(A222="","",IF('ATP Fills'!I222="3M","",VLOOKUP(RIGHT('ATP Fills'!I222,2),Helper1!$O$36:$P$48,2,0)))</f>
        <v/>
      </c>
      <c r="K222" t="str">
        <f>IF(J222="","",LEFT('ATP Fills'!I222,4))</f>
        <v/>
      </c>
      <c r="L222" t="str">
        <f>IF(A222="","",IF('ATP Fills'!G222="LME",'ATP Fills'!I222,""))</f>
        <v/>
      </c>
      <c r="M222" t="str">
        <f t="shared" si="3"/>
        <v/>
      </c>
    </row>
    <row r="223" spans="1:13">
      <c r="A223" t="str">
        <f>IF('ATP Fills'!A223="","",IF('ATP Fills'!Q223="PHILLIPSG",'ATP Fills'!F223,""))</f>
        <v/>
      </c>
      <c r="B223" t="str">
        <f>IF(A223="","",'ATP Fills'!L223)</f>
        <v/>
      </c>
      <c r="C223" t="str">
        <f>IF(A223="","",'ATP Fills'!M223)</f>
        <v/>
      </c>
      <c r="D223" t="str">
        <f>IF(A223="","",'ATP Fills'!B223)</f>
        <v/>
      </c>
      <c r="E223" s="3" t="str">
        <f>IF(A223="","",IF(DATE(LEFT(D223,4),MID(D223,5,2),RIGHT(D223,2))=Helper1!$P$1,Helper1!$P$1,""))</f>
        <v/>
      </c>
      <c r="F223" s="3" t="str">
        <f>IF(A223="","",'ATP Fills'!G223)</f>
        <v/>
      </c>
      <c r="G223" t="str">
        <f>IF(A223="","",'ATP Fills'!H223)</f>
        <v/>
      </c>
      <c r="H223" t="str">
        <f>IF(A223="","",VLOOKUP(G223,表3_3[],2,0))</f>
        <v/>
      </c>
      <c r="I223" t="str">
        <f>IF(A223="","",VLOOKUP(G223,表3_3[],3,0))</f>
        <v/>
      </c>
      <c r="J223" t="str">
        <f>IF(A223="","",IF('ATP Fills'!I223="3M","",VLOOKUP(RIGHT('ATP Fills'!I223,2),Helper1!$O$36:$P$48,2,0)))</f>
        <v/>
      </c>
      <c r="K223" t="str">
        <f>IF(J223="","",LEFT('ATP Fills'!I223,4))</f>
        <v/>
      </c>
      <c r="L223" t="str">
        <f>IF(A223="","",IF('ATP Fills'!G223="LME",'ATP Fills'!I223,""))</f>
        <v/>
      </c>
      <c r="M223" t="str">
        <f t="shared" si="3"/>
        <v/>
      </c>
    </row>
    <row r="224" spans="1:13">
      <c r="A224" t="str">
        <f>IF('ATP Fills'!A224="","",IF('ATP Fills'!Q224="PHILLIPSG",'ATP Fills'!F224,""))</f>
        <v/>
      </c>
      <c r="B224" t="str">
        <f>IF(A224="","",'ATP Fills'!L224)</f>
        <v/>
      </c>
      <c r="C224" t="str">
        <f>IF(A224="","",'ATP Fills'!M224)</f>
        <v/>
      </c>
      <c r="D224" t="str">
        <f>IF(A224="","",'ATP Fills'!B224)</f>
        <v/>
      </c>
      <c r="E224" s="3" t="str">
        <f>IF(A224="","",IF(DATE(LEFT(D224,4),MID(D224,5,2),RIGHT(D224,2))=Helper1!$P$1,Helper1!$P$1,""))</f>
        <v/>
      </c>
      <c r="F224" s="3" t="str">
        <f>IF(A224="","",'ATP Fills'!G224)</f>
        <v/>
      </c>
      <c r="G224" t="str">
        <f>IF(A224="","",'ATP Fills'!H224)</f>
        <v/>
      </c>
      <c r="H224" t="str">
        <f>IF(A224="","",VLOOKUP(G224,表3_3[],2,0))</f>
        <v/>
      </c>
      <c r="I224" t="str">
        <f>IF(A224="","",VLOOKUP(G224,表3_3[],3,0))</f>
        <v/>
      </c>
      <c r="J224" t="str">
        <f>IF(A224="","",IF('ATP Fills'!I224="3M","",VLOOKUP(RIGHT('ATP Fills'!I224,2),Helper1!$O$36:$P$48,2,0)))</f>
        <v/>
      </c>
      <c r="K224" t="str">
        <f>IF(J224="","",LEFT('ATP Fills'!I224,4))</f>
        <v/>
      </c>
      <c r="L224" t="str">
        <f>IF(A224="","",IF('ATP Fills'!G224="LME",'ATP Fills'!I224,""))</f>
        <v/>
      </c>
      <c r="M224" t="str">
        <f t="shared" si="3"/>
        <v/>
      </c>
    </row>
    <row r="225" spans="1:13">
      <c r="A225" t="str">
        <f>IF('ATP Fills'!A225="","",IF('ATP Fills'!Q225="PHILLIPSG",'ATP Fills'!F225,""))</f>
        <v/>
      </c>
      <c r="B225" t="str">
        <f>IF(A225="","",'ATP Fills'!L225)</f>
        <v/>
      </c>
      <c r="C225" t="str">
        <f>IF(A225="","",'ATP Fills'!M225)</f>
        <v/>
      </c>
      <c r="D225" t="str">
        <f>IF(A225="","",'ATP Fills'!B225)</f>
        <v/>
      </c>
      <c r="E225" s="3" t="str">
        <f>IF(A225="","",IF(DATE(LEFT(D225,4),MID(D225,5,2),RIGHT(D225,2))=Helper1!$P$1,Helper1!$P$1,""))</f>
        <v/>
      </c>
      <c r="F225" s="3" t="str">
        <f>IF(A225="","",'ATP Fills'!G225)</f>
        <v/>
      </c>
      <c r="G225" t="str">
        <f>IF(A225="","",'ATP Fills'!H225)</f>
        <v/>
      </c>
      <c r="H225" t="str">
        <f>IF(A225="","",VLOOKUP(G225,表3_3[],2,0))</f>
        <v/>
      </c>
      <c r="I225" t="str">
        <f>IF(A225="","",VLOOKUP(G225,表3_3[],3,0))</f>
        <v/>
      </c>
      <c r="J225" t="str">
        <f>IF(A225="","",IF('ATP Fills'!I225="3M","",VLOOKUP(RIGHT('ATP Fills'!I225,2),Helper1!$O$36:$P$48,2,0)))</f>
        <v/>
      </c>
      <c r="K225" t="str">
        <f>IF(J225="","",LEFT('ATP Fills'!I225,4))</f>
        <v/>
      </c>
      <c r="L225" t="str">
        <f>IF(A225="","",IF('ATP Fills'!G225="LME",'ATP Fills'!I225,""))</f>
        <v/>
      </c>
      <c r="M225" t="str">
        <f t="shared" si="3"/>
        <v/>
      </c>
    </row>
    <row r="226" spans="1:13">
      <c r="A226" t="str">
        <f>IF('ATP Fills'!A226="","",IF('ATP Fills'!Q226="PHILLIPSG",'ATP Fills'!F226,""))</f>
        <v/>
      </c>
      <c r="B226" t="str">
        <f>IF(A226="","",'ATP Fills'!L226)</f>
        <v/>
      </c>
      <c r="C226" t="str">
        <f>IF(A226="","",'ATP Fills'!M226)</f>
        <v/>
      </c>
      <c r="D226" t="str">
        <f>IF(A226="","",'ATP Fills'!B226)</f>
        <v/>
      </c>
      <c r="E226" s="3" t="str">
        <f>IF(A226="","",IF(DATE(LEFT(D226,4),MID(D226,5,2),RIGHT(D226,2))=Helper1!$P$1,Helper1!$P$1,""))</f>
        <v/>
      </c>
      <c r="F226" s="3" t="str">
        <f>IF(A226="","",'ATP Fills'!G226)</f>
        <v/>
      </c>
      <c r="G226" t="str">
        <f>IF(A226="","",'ATP Fills'!H226)</f>
        <v/>
      </c>
      <c r="H226" t="str">
        <f>IF(A226="","",VLOOKUP(G226,表3_3[],2,0))</f>
        <v/>
      </c>
      <c r="I226" t="str">
        <f>IF(A226="","",VLOOKUP(G226,表3_3[],3,0))</f>
        <v/>
      </c>
      <c r="J226" t="str">
        <f>IF(A226="","",IF('ATP Fills'!I226="3M","",VLOOKUP(RIGHT('ATP Fills'!I226,2),Helper1!$O$36:$P$48,2,0)))</f>
        <v/>
      </c>
      <c r="K226" t="str">
        <f>IF(J226="","",LEFT('ATP Fills'!I226,4))</f>
        <v/>
      </c>
      <c r="L226" t="str">
        <f>IF(A226="","",IF('ATP Fills'!G226="LME",'ATP Fills'!I226,""))</f>
        <v/>
      </c>
      <c r="M226" t="str">
        <f t="shared" si="3"/>
        <v/>
      </c>
    </row>
    <row r="227" spans="1:13">
      <c r="A227" t="str">
        <f>IF('ATP Fills'!A227="","",IF('ATP Fills'!Q227="PHILLIPSG",'ATP Fills'!F227,""))</f>
        <v/>
      </c>
      <c r="B227" t="str">
        <f>IF(A227="","",'ATP Fills'!L227)</f>
        <v/>
      </c>
      <c r="C227" t="str">
        <f>IF(A227="","",'ATP Fills'!M227)</f>
        <v/>
      </c>
      <c r="D227" t="str">
        <f>IF(A227="","",'ATP Fills'!B227)</f>
        <v/>
      </c>
      <c r="E227" s="3" t="str">
        <f>IF(A227="","",IF(DATE(LEFT(D227,4),MID(D227,5,2),RIGHT(D227,2))=Helper1!$P$1,Helper1!$P$1,""))</f>
        <v/>
      </c>
      <c r="F227" s="3" t="str">
        <f>IF(A227="","",'ATP Fills'!G227)</f>
        <v/>
      </c>
      <c r="G227" t="str">
        <f>IF(A227="","",'ATP Fills'!H227)</f>
        <v/>
      </c>
      <c r="H227" t="str">
        <f>IF(A227="","",VLOOKUP(G227,表3_3[],2,0))</f>
        <v/>
      </c>
      <c r="I227" t="str">
        <f>IF(A227="","",VLOOKUP(G227,表3_3[],3,0))</f>
        <v/>
      </c>
      <c r="J227" t="str">
        <f>IF(A227="","",IF('ATP Fills'!I227="3M","",VLOOKUP(RIGHT('ATP Fills'!I227,2),Helper1!$O$36:$P$48,2,0)))</f>
        <v/>
      </c>
      <c r="K227" t="str">
        <f>IF(J227="","",LEFT('ATP Fills'!I227,4))</f>
        <v/>
      </c>
      <c r="L227" t="str">
        <f>IF(A227="","",IF('ATP Fills'!G227="LME",'ATP Fills'!I227,""))</f>
        <v/>
      </c>
      <c r="M227" t="str">
        <f t="shared" si="3"/>
        <v/>
      </c>
    </row>
    <row r="228" spans="1:13">
      <c r="A228" t="str">
        <f>IF('ATP Fills'!A228="","",IF('ATP Fills'!Q228="PHILLIPSG",'ATP Fills'!F228,""))</f>
        <v/>
      </c>
      <c r="B228" t="str">
        <f>IF(A228="","",'ATP Fills'!L228)</f>
        <v/>
      </c>
      <c r="C228" t="str">
        <f>IF(A228="","",'ATP Fills'!M228)</f>
        <v/>
      </c>
      <c r="D228" t="str">
        <f>IF(A228="","",'ATP Fills'!B228)</f>
        <v/>
      </c>
      <c r="E228" s="3" t="str">
        <f>IF(A228="","",IF(DATE(LEFT(D228,4),MID(D228,5,2),RIGHT(D228,2))=Helper1!$P$1,Helper1!$P$1,""))</f>
        <v/>
      </c>
      <c r="F228" s="3" t="str">
        <f>IF(A228="","",'ATP Fills'!G228)</f>
        <v/>
      </c>
      <c r="G228" t="str">
        <f>IF(A228="","",'ATP Fills'!H228)</f>
        <v/>
      </c>
      <c r="H228" t="str">
        <f>IF(A228="","",VLOOKUP(G228,表3_3[],2,0))</f>
        <v/>
      </c>
      <c r="I228" t="str">
        <f>IF(A228="","",VLOOKUP(G228,表3_3[],3,0))</f>
        <v/>
      </c>
      <c r="J228" t="str">
        <f>IF(A228="","",IF('ATP Fills'!I228="3M","",VLOOKUP(RIGHT('ATP Fills'!I228,2),Helper1!$O$36:$P$48,2,0)))</f>
        <v/>
      </c>
      <c r="K228" t="str">
        <f>IF(J228="","",LEFT('ATP Fills'!I228,4))</f>
        <v/>
      </c>
      <c r="L228" t="str">
        <f>IF(A228="","",IF('ATP Fills'!G228="LME",'ATP Fills'!I228,""))</f>
        <v/>
      </c>
      <c r="M228" t="str">
        <f t="shared" si="3"/>
        <v/>
      </c>
    </row>
    <row r="229" spans="1:13">
      <c r="A229" t="str">
        <f>IF('ATP Fills'!A229="","",IF('ATP Fills'!Q229="PHILLIPSG",'ATP Fills'!F229,""))</f>
        <v/>
      </c>
      <c r="B229" t="str">
        <f>IF(A229="","",'ATP Fills'!L229)</f>
        <v/>
      </c>
      <c r="C229" t="str">
        <f>IF(A229="","",'ATP Fills'!M229)</f>
        <v/>
      </c>
      <c r="D229" t="str">
        <f>IF(A229="","",'ATP Fills'!B229)</f>
        <v/>
      </c>
      <c r="E229" s="3" t="str">
        <f>IF(A229="","",IF(DATE(LEFT(D229,4),MID(D229,5,2),RIGHT(D229,2))=Helper1!$P$1,Helper1!$P$1,""))</f>
        <v/>
      </c>
      <c r="F229" s="3" t="str">
        <f>IF(A229="","",'ATP Fills'!G229)</f>
        <v/>
      </c>
      <c r="G229" t="str">
        <f>IF(A229="","",'ATP Fills'!H229)</f>
        <v/>
      </c>
      <c r="H229" t="str">
        <f>IF(A229="","",VLOOKUP(G229,表3_3[],2,0))</f>
        <v/>
      </c>
      <c r="I229" t="str">
        <f>IF(A229="","",VLOOKUP(G229,表3_3[],3,0))</f>
        <v/>
      </c>
      <c r="J229" t="str">
        <f>IF(A229="","",IF('ATP Fills'!I229="3M","",VLOOKUP(RIGHT('ATP Fills'!I229,2),Helper1!$O$36:$P$48,2,0)))</f>
        <v/>
      </c>
      <c r="K229" t="str">
        <f>IF(J229="","",LEFT('ATP Fills'!I229,4))</f>
        <v/>
      </c>
      <c r="L229" t="str">
        <f>IF(A229="","",IF('ATP Fills'!G229="LME",'ATP Fills'!I229,""))</f>
        <v/>
      </c>
      <c r="M229" t="str">
        <f t="shared" si="3"/>
        <v/>
      </c>
    </row>
    <row r="230" spans="1:13">
      <c r="A230" t="str">
        <f>IF('ATP Fills'!A230="","",IF('ATP Fills'!Q230="PHILLIPSG",'ATP Fills'!F230,""))</f>
        <v/>
      </c>
      <c r="B230" t="str">
        <f>IF(A230="","",'ATP Fills'!L230)</f>
        <v/>
      </c>
      <c r="C230" t="str">
        <f>IF(A230="","",'ATP Fills'!M230)</f>
        <v/>
      </c>
      <c r="D230" t="str">
        <f>IF(A230="","",'ATP Fills'!B230)</f>
        <v/>
      </c>
      <c r="E230" s="3" t="str">
        <f>IF(A230="","",IF(DATE(LEFT(D230,4),MID(D230,5,2),RIGHT(D230,2))=Helper1!$P$1,Helper1!$P$1,""))</f>
        <v/>
      </c>
      <c r="F230" s="3" t="str">
        <f>IF(A230="","",'ATP Fills'!G230)</f>
        <v/>
      </c>
      <c r="G230" t="str">
        <f>IF(A230="","",'ATP Fills'!H230)</f>
        <v/>
      </c>
      <c r="H230" t="str">
        <f>IF(A230="","",VLOOKUP(G230,表3_3[],2,0))</f>
        <v/>
      </c>
      <c r="I230" t="str">
        <f>IF(A230="","",VLOOKUP(G230,表3_3[],3,0))</f>
        <v/>
      </c>
      <c r="J230" t="str">
        <f>IF(A230="","",IF('ATP Fills'!I230="3M","",VLOOKUP(RIGHT('ATP Fills'!I230,2),Helper1!$O$36:$P$48,2,0)))</f>
        <v/>
      </c>
      <c r="K230" t="str">
        <f>IF(J230="","",LEFT('ATP Fills'!I230,4))</f>
        <v/>
      </c>
      <c r="L230" t="str">
        <f>IF(A230="","",IF('ATP Fills'!G230="LME",'ATP Fills'!I230,""))</f>
        <v/>
      </c>
      <c r="M230" t="str">
        <f t="shared" si="3"/>
        <v/>
      </c>
    </row>
    <row r="231" spans="1:13">
      <c r="A231" t="str">
        <f>IF('ATP Fills'!A231="","",IF('ATP Fills'!Q231="PHILLIPSG",'ATP Fills'!F231,""))</f>
        <v/>
      </c>
      <c r="B231" t="str">
        <f>IF(A231="","",'ATP Fills'!L231)</f>
        <v/>
      </c>
      <c r="C231" t="str">
        <f>IF(A231="","",'ATP Fills'!M231)</f>
        <v/>
      </c>
      <c r="D231" t="str">
        <f>IF(A231="","",'ATP Fills'!B231)</f>
        <v/>
      </c>
      <c r="E231" s="3" t="str">
        <f>IF(A231="","",IF(DATE(LEFT(D231,4),MID(D231,5,2),RIGHT(D231,2))=Helper1!$P$1,Helper1!$P$1,""))</f>
        <v/>
      </c>
      <c r="F231" s="3" t="str">
        <f>IF(A231="","",'ATP Fills'!G231)</f>
        <v/>
      </c>
      <c r="G231" t="str">
        <f>IF(A231="","",'ATP Fills'!H231)</f>
        <v/>
      </c>
      <c r="H231" t="str">
        <f>IF(A231="","",VLOOKUP(G231,表3_3[],2,0))</f>
        <v/>
      </c>
      <c r="I231" t="str">
        <f>IF(A231="","",VLOOKUP(G231,表3_3[],3,0))</f>
        <v/>
      </c>
      <c r="J231" t="str">
        <f>IF(A231="","",IF('ATP Fills'!I231="3M","",VLOOKUP(RIGHT('ATP Fills'!I231,2),Helper1!$O$36:$P$48,2,0)))</f>
        <v/>
      </c>
      <c r="K231" t="str">
        <f>IF(J231="","",LEFT('ATP Fills'!I231,4))</f>
        <v/>
      </c>
      <c r="L231" t="str">
        <f>IF(A231="","",IF('ATP Fills'!G231="LME",'ATP Fills'!I231,""))</f>
        <v/>
      </c>
      <c r="M231" t="str">
        <f t="shared" si="3"/>
        <v/>
      </c>
    </row>
    <row r="232" spans="1:13">
      <c r="A232" t="str">
        <f>IF('ATP Fills'!A232="","",IF('ATP Fills'!Q232="PHILLIPSG",'ATP Fills'!F232,""))</f>
        <v/>
      </c>
      <c r="B232" t="str">
        <f>IF(A232="","",'ATP Fills'!L232)</f>
        <v/>
      </c>
      <c r="C232" t="str">
        <f>IF(A232="","",'ATP Fills'!M232)</f>
        <v/>
      </c>
      <c r="D232" t="str">
        <f>IF(A232="","",'ATP Fills'!B232)</f>
        <v/>
      </c>
      <c r="E232" s="3" t="str">
        <f>IF(A232="","",IF(DATE(LEFT(D232,4),MID(D232,5,2),RIGHT(D232,2))=Helper1!$P$1,Helper1!$P$1,""))</f>
        <v/>
      </c>
      <c r="F232" s="3" t="str">
        <f>IF(A232="","",'ATP Fills'!G232)</f>
        <v/>
      </c>
      <c r="G232" t="str">
        <f>IF(A232="","",'ATP Fills'!H232)</f>
        <v/>
      </c>
      <c r="H232" t="str">
        <f>IF(A232="","",VLOOKUP(G232,表3_3[],2,0))</f>
        <v/>
      </c>
      <c r="I232" t="str">
        <f>IF(A232="","",VLOOKUP(G232,表3_3[],3,0))</f>
        <v/>
      </c>
      <c r="J232" t="str">
        <f>IF(A232="","",IF('ATP Fills'!I232="3M","",VLOOKUP(RIGHT('ATP Fills'!I232,2),Helper1!$O$36:$P$48,2,0)))</f>
        <v/>
      </c>
      <c r="K232" t="str">
        <f>IF(J232="","",LEFT('ATP Fills'!I232,4))</f>
        <v/>
      </c>
      <c r="L232" t="str">
        <f>IF(A232="","",IF('ATP Fills'!G232="LME",'ATP Fills'!I232,""))</f>
        <v/>
      </c>
      <c r="M232" t="str">
        <f t="shared" si="3"/>
        <v/>
      </c>
    </row>
    <row r="233" spans="1:13">
      <c r="A233" t="str">
        <f>IF('ATP Fills'!A233="","",IF('ATP Fills'!Q233="PHILLIPSG",'ATP Fills'!F233,""))</f>
        <v/>
      </c>
      <c r="B233" t="str">
        <f>IF(A233="","",'ATP Fills'!L233)</f>
        <v/>
      </c>
      <c r="C233" t="str">
        <f>IF(A233="","",'ATP Fills'!M233)</f>
        <v/>
      </c>
      <c r="D233" t="str">
        <f>IF(A233="","",'ATP Fills'!B233)</f>
        <v/>
      </c>
      <c r="E233" s="3" t="str">
        <f>IF(A233="","",IF(DATE(LEFT(D233,4),MID(D233,5,2),RIGHT(D233,2))=Helper1!$P$1,Helper1!$P$1,""))</f>
        <v/>
      </c>
      <c r="F233" s="3" t="str">
        <f>IF(A233="","",'ATP Fills'!G233)</f>
        <v/>
      </c>
      <c r="G233" t="str">
        <f>IF(A233="","",'ATP Fills'!H233)</f>
        <v/>
      </c>
      <c r="H233" t="str">
        <f>IF(A233="","",VLOOKUP(G233,表3_3[],2,0))</f>
        <v/>
      </c>
      <c r="I233" t="str">
        <f>IF(A233="","",VLOOKUP(G233,表3_3[],3,0))</f>
        <v/>
      </c>
      <c r="J233" t="str">
        <f>IF(A233="","",IF('ATP Fills'!I233="3M","",VLOOKUP(RIGHT('ATP Fills'!I233,2),Helper1!$O$36:$P$48,2,0)))</f>
        <v/>
      </c>
      <c r="K233" t="str">
        <f>IF(J233="","",LEFT('ATP Fills'!I233,4))</f>
        <v/>
      </c>
      <c r="L233" t="str">
        <f>IF(A233="","",IF('ATP Fills'!G233="LME",'ATP Fills'!I233,""))</f>
        <v/>
      </c>
      <c r="M233" t="str">
        <f t="shared" si="3"/>
        <v/>
      </c>
    </row>
    <row r="234" spans="1:13">
      <c r="A234" t="str">
        <f>IF('ATP Fills'!A234="","",IF('ATP Fills'!Q234="PHILLIPSG",'ATP Fills'!F234,""))</f>
        <v/>
      </c>
      <c r="B234" t="str">
        <f>IF(A234="","",'ATP Fills'!L234)</f>
        <v/>
      </c>
      <c r="C234" t="str">
        <f>IF(A234="","",'ATP Fills'!M234)</f>
        <v/>
      </c>
      <c r="D234" t="str">
        <f>IF(A234="","",'ATP Fills'!B234)</f>
        <v/>
      </c>
      <c r="E234" s="3" t="str">
        <f>IF(A234="","",IF(DATE(LEFT(D234,4),MID(D234,5,2),RIGHT(D234,2))=Helper1!$P$1,Helper1!$P$1,""))</f>
        <v/>
      </c>
      <c r="F234" s="3" t="str">
        <f>IF(A234="","",'ATP Fills'!G234)</f>
        <v/>
      </c>
      <c r="G234" t="str">
        <f>IF(A234="","",'ATP Fills'!H234)</f>
        <v/>
      </c>
      <c r="H234" t="str">
        <f>IF(A234="","",VLOOKUP(G234,表3_3[],2,0))</f>
        <v/>
      </c>
      <c r="I234" t="str">
        <f>IF(A234="","",VLOOKUP(G234,表3_3[],3,0))</f>
        <v/>
      </c>
      <c r="J234" t="str">
        <f>IF(A234="","",IF('ATP Fills'!I234="3M","",VLOOKUP(RIGHT('ATP Fills'!I234,2),Helper1!$O$36:$P$48,2,0)))</f>
        <v/>
      </c>
      <c r="K234" t="str">
        <f>IF(J234="","",LEFT('ATP Fills'!I234,4))</f>
        <v/>
      </c>
      <c r="L234" t="str">
        <f>IF(A234="","",IF('ATP Fills'!G234="LME",'ATP Fills'!I234,""))</f>
        <v/>
      </c>
      <c r="M234" t="str">
        <f t="shared" si="3"/>
        <v/>
      </c>
    </row>
    <row r="235" spans="1:13">
      <c r="A235" t="str">
        <f>IF('ATP Fills'!A235="","",IF('ATP Fills'!Q235="PHILLIPSG",'ATP Fills'!F235,""))</f>
        <v/>
      </c>
      <c r="B235" t="str">
        <f>IF(A235="","",'ATP Fills'!L235)</f>
        <v/>
      </c>
      <c r="C235" t="str">
        <f>IF(A235="","",'ATP Fills'!M235)</f>
        <v/>
      </c>
      <c r="D235" t="str">
        <f>IF(A235="","",'ATP Fills'!B235)</f>
        <v/>
      </c>
      <c r="E235" s="3" t="str">
        <f>IF(A235="","",IF(DATE(LEFT(D235,4),MID(D235,5,2),RIGHT(D235,2))=Helper1!$P$1,Helper1!$P$1,""))</f>
        <v/>
      </c>
      <c r="F235" s="3" t="str">
        <f>IF(A235="","",'ATP Fills'!G235)</f>
        <v/>
      </c>
      <c r="G235" t="str">
        <f>IF(A235="","",'ATP Fills'!H235)</f>
        <v/>
      </c>
      <c r="H235" t="str">
        <f>IF(A235="","",VLOOKUP(G235,表3_3[],2,0))</f>
        <v/>
      </c>
      <c r="I235" t="str">
        <f>IF(A235="","",VLOOKUP(G235,表3_3[],3,0))</f>
        <v/>
      </c>
      <c r="J235" t="str">
        <f>IF(A235="","",IF('ATP Fills'!I235="3M","",VLOOKUP(RIGHT('ATP Fills'!I235,2),Helper1!$O$36:$P$48,2,0)))</f>
        <v/>
      </c>
      <c r="K235" t="str">
        <f>IF(J235="","",LEFT('ATP Fills'!I235,4))</f>
        <v/>
      </c>
      <c r="L235" t="str">
        <f>IF(A235="","",IF('ATP Fills'!G235="LME",'ATP Fills'!I235,""))</f>
        <v/>
      </c>
      <c r="M235" t="str">
        <f t="shared" si="3"/>
        <v/>
      </c>
    </row>
    <row r="236" spans="1:13">
      <c r="A236" t="str">
        <f>IF('ATP Fills'!A236="","",IF('ATP Fills'!Q236="PHILLIPSG",'ATP Fills'!F236,""))</f>
        <v/>
      </c>
      <c r="B236" t="str">
        <f>IF(A236="","",'ATP Fills'!L236)</f>
        <v/>
      </c>
      <c r="C236" t="str">
        <f>IF(A236="","",'ATP Fills'!M236)</f>
        <v/>
      </c>
      <c r="D236" t="str">
        <f>IF(A236="","",'ATP Fills'!B236)</f>
        <v/>
      </c>
      <c r="E236" s="3" t="str">
        <f>IF(A236="","",IF(DATE(LEFT(D236,4),MID(D236,5,2),RIGHT(D236,2))=Helper1!$P$1,Helper1!$P$1,""))</f>
        <v/>
      </c>
      <c r="F236" s="3" t="str">
        <f>IF(A236="","",'ATP Fills'!G236)</f>
        <v/>
      </c>
      <c r="G236" t="str">
        <f>IF(A236="","",'ATP Fills'!H236)</f>
        <v/>
      </c>
      <c r="H236" t="str">
        <f>IF(A236="","",VLOOKUP(G236,表3_3[],2,0))</f>
        <v/>
      </c>
      <c r="I236" t="str">
        <f>IF(A236="","",VLOOKUP(G236,表3_3[],3,0))</f>
        <v/>
      </c>
      <c r="J236" t="str">
        <f>IF(A236="","",IF('ATP Fills'!I236="3M","",VLOOKUP(RIGHT('ATP Fills'!I236,2),Helper1!$O$36:$P$48,2,0)))</f>
        <v/>
      </c>
      <c r="K236" t="str">
        <f>IF(J236="","",LEFT('ATP Fills'!I236,4))</f>
        <v/>
      </c>
      <c r="L236" t="str">
        <f>IF(A236="","",IF('ATP Fills'!G236="LME",'ATP Fills'!I236,""))</f>
        <v/>
      </c>
      <c r="M236" t="str">
        <f t="shared" si="3"/>
        <v/>
      </c>
    </row>
    <row r="237" spans="1:13">
      <c r="A237" t="str">
        <f>IF('ATP Fills'!A237="","",IF('ATP Fills'!Q237="PHILLIPSG",'ATP Fills'!F237,""))</f>
        <v/>
      </c>
      <c r="B237" t="str">
        <f>IF(A237="","",'ATP Fills'!L237)</f>
        <v/>
      </c>
      <c r="C237" t="str">
        <f>IF(A237="","",'ATP Fills'!M237)</f>
        <v/>
      </c>
      <c r="D237" t="str">
        <f>IF(A237="","",'ATP Fills'!B237)</f>
        <v/>
      </c>
      <c r="E237" s="3" t="str">
        <f>IF(A237="","",IF(DATE(LEFT(D237,4),MID(D237,5,2),RIGHT(D237,2))=Helper1!$P$1,Helper1!$P$1,""))</f>
        <v/>
      </c>
      <c r="F237" s="3" t="str">
        <f>IF(A237="","",'ATP Fills'!G237)</f>
        <v/>
      </c>
      <c r="G237" t="str">
        <f>IF(A237="","",'ATP Fills'!H237)</f>
        <v/>
      </c>
      <c r="H237" t="str">
        <f>IF(A237="","",VLOOKUP(G237,表3_3[],2,0))</f>
        <v/>
      </c>
      <c r="I237" t="str">
        <f>IF(A237="","",VLOOKUP(G237,表3_3[],3,0))</f>
        <v/>
      </c>
      <c r="J237" t="str">
        <f>IF(A237="","",IF('ATP Fills'!I237="3M","",VLOOKUP(RIGHT('ATP Fills'!I237,2),Helper1!$O$36:$P$48,2,0)))</f>
        <v/>
      </c>
      <c r="K237" t="str">
        <f>IF(J237="","",LEFT('ATP Fills'!I237,4))</f>
        <v/>
      </c>
      <c r="L237" t="str">
        <f>IF(A237="","",IF('ATP Fills'!G237="LME",'ATP Fills'!I237,""))</f>
        <v/>
      </c>
      <c r="M237" t="str">
        <f t="shared" si="3"/>
        <v/>
      </c>
    </row>
    <row r="238" spans="1:13">
      <c r="A238" t="str">
        <f>IF('ATP Fills'!A238="","",IF('ATP Fills'!Q238="PHILLIPSG",'ATP Fills'!F238,""))</f>
        <v/>
      </c>
      <c r="B238" t="str">
        <f>IF(A238="","",'ATP Fills'!L238)</f>
        <v/>
      </c>
      <c r="C238" t="str">
        <f>IF(A238="","",'ATP Fills'!M238)</f>
        <v/>
      </c>
      <c r="D238" t="str">
        <f>IF(A238="","",'ATP Fills'!B238)</f>
        <v/>
      </c>
      <c r="E238" s="3" t="str">
        <f>IF(A238="","",IF(DATE(LEFT(D238,4),MID(D238,5,2),RIGHT(D238,2))=Helper1!$P$1,Helper1!$P$1,""))</f>
        <v/>
      </c>
      <c r="F238" s="3" t="str">
        <f>IF(A238="","",'ATP Fills'!G238)</f>
        <v/>
      </c>
      <c r="G238" t="str">
        <f>IF(A238="","",'ATP Fills'!H238)</f>
        <v/>
      </c>
      <c r="H238" t="str">
        <f>IF(A238="","",VLOOKUP(G238,表3_3[],2,0))</f>
        <v/>
      </c>
      <c r="I238" t="str">
        <f>IF(A238="","",VLOOKUP(G238,表3_3[],3,0))</f>
        <v/>
      </c>
      <c r="J238" t="str">
        <f>IF(A238="","",IF('ATP Fills'!I238="3M","",VLOOKUP(RIGHT('ATP Fills'!I238,2),Helper1!$O$36:$P$48,2,0)))</f>
        <v/>
      </c>
      <c r="K238" t="str">
        <f>IF(J238="","",LEFT('ATP Fills'!I238,4))</f>
        <v/>
      </c>
      <c r="L238" t="str">
        <f>IF(A238="","",IF('ATP Fills'!G238="LME",'ATP Fills'!I238,""))</f>
        <v/>
      </c>
      <c r="M238" t="str">
        <f t="shared" si="3"/>
        <v/>
      </c>
    </row>
    <row r="239" spans="1:13">
      <c r="A239" t="str">
        <f>IF('ATP Fills'!A239="","",IF('ATP Fills'!Q239="PHILLIPSG",'ATP Fills'!F239,""))</f>
        <v/>
      </c>
      <c r="B239" t="str">
        <f>IF(A239="","",'ATP Fills'!L239)</f>
        <v/>
      </c>
      <c r="C239" t="str">
        <f>IF(A239="","",'ATP Fills'!M239)</f>
        <v/>
      </c>
      <c r="D239" t="str">
        <f>IF(A239="","",'ATP Fills'!B239)</f>
        <v/>
      </c>
      <c r="E239" s="3" t="str">
        <f>IF(A239="","",IF(DATE(LEFT(D239,4),MID(D239,5,2),RIGHT(D239,2))=Helper1!$P$1,Helper1!$P$1,""))</f>
        <v/>
      </c>
      <c r="F239" s="3" t="str">
        <f>IF(A239="","",'ATP Fills'!G239)</f>
        <v/>
      </c>
      <c r="G239" t="str">
        <f>IF(A239="","",'ATP Fills'!H239)</f>
        <v/>
      </c>
      <c r="H239" t="str">
        <f>IF(A239="","",VLOOKUP(G239,表3_3[],2,0))</f>
        <v/>
      </c>
      <c r="I239" t="str">
        <f>IF(A239="","",VLOOKUP(G239,表3_3[],3,0))</f>
        <v/>
      </c>
      <c r="J239" t="str">
        <f>IF(A239="","",IF('ATP Fills'!I239="3M","",VLOOKUP(RIGHT('ATP Fills'!I239,2),Helper1!$O$36:$P$48,2,0)))</f>
        <v/>
      </c>
      <c r="K239" t="str">
        <f>IF(J239="","",LEFT('ATP Fills'!I239,4))</f>
        <v/>
      </c>
      <c r="L239" t="str">
        <f>IF(A239="","",IF('ATP Fills'!G239="LME",'ATP Fills'!I239,""))</f>
        <v/>
      </c>
      <c r="M239" t="str">
        <f t="shared" si="3"/>
        <v/>
      </c>
    </row>
    <row r="240" spans="1:13">
      <c r="A240" t="str">
        <f>IF('ATP Fills'!A240="","",IF('ATP Fills'!Q240="PHILLIPSG",'ATP Fills'!F240,""))</f>
        <v/>
      </c>
      <c r="B240" t="str">
        <f>IF(A240="","",'ATP Fills'!L240)</f>
        <v/>
      </c>
      <c r="C240" t="str">
        <f>IF(A240="","",'ATP Fills'!M240)</f>
        <v/>
      </c>
      <c r="D240" t="str">
        <f>IF(A240="","",'ATP Fills'!B240)</f>
        <v/>
      </c>
      <c r="E240" s="3" t="str">
        <f>IF(A240="","",IF(DATE(LEFT(D240,4),MID(D240,5,2),RIGHT(D240,2))=Helper1!$P$1,Helper1!$P$1,""))</f>
        <v/>
      </c>
      <c r="F240" s="3" t="str">
        <f>IF(A240="","",'ATP Fills'!G240)</f>
        <v/>
      </c>
      <c r="G240" t="str">
        <f>IF(A240="","",'ATP Fills'!H240)</f>
        <v/>
      </c>
      <c r="H240" t="str">
        <f>IF(A240="","",VLOOKUP(G240,表3_3[],2,0))</f>
        <v/>
      </c>
      <c r="I240" t="str">
        <f>IF(A240="","",VLOOKUP(G240,表3_3[],3,0))</f>
        <v/>
      </c>
      <c r="J240" t="str">
        <f>IF(A240="","",IF('ATP Fills'!I240="3M","",VLOOKUP(RIGHT('ATP Fills'!I240,2),Helper1!$O$36:$P$48,2,0)))</f>
        <v/>
      </c>
      <c r="K240" t="str">
        <f>IF(J240="","",LEFT('ATP Fills'!I240,4))</f>
        <v/>
      </c>
      <c r="L240" t="str">
        <f>IF(A240="","",IF('ATP Fills'!G240="LME",'ATP Fills'!I240,""))</f>
        <v/>
      </c>
      <c r="M240" t="str">
        <f t="shared" si="3"/>
        <v/>
      </c>
    </row>
    <row r="241" spans="1:13">
      <c r="A241" t="str">
        <f>IF('ATP Fills'!A241="","",IF('ATP Fills'!Q241="PHILLIPSG",'ATP Fills'!F241,""))</f>
        <v/>
      </c>
      <c r="B241" t="str">
        <f>IF(A241="","",'ATP Fills'!L241)</f>
        <v/>
      </c>
      <c r="C241" t="str">
        <f>IF(A241="","",'ATP Fills'!M241)</f>
        <v/>
      </c>
      <c r="D241" t="str">
        <f>IF(A241="","",'ATP Fills'!B241)</f>
        <v/>
      </c>
      <c r="E241" s="3" t="str">
        <f>IF(A241="","",IF(DATE(LEFT(D241,4),MID(D241,5,2),RIGHT(D241,2))=Helper1!$P$1,Helper1!$P$1,""))</f>
        <v/>
      </c>
      <c r="F241" s="3" t="str">
        <f>IF(A241="","",'ATP Fills'!G241)</f>
        <v/>
      </c>
      <c r="G241" t="str">
        <f>IF(A241="","",'ATP Fills'!H241)</f>
        <v/>
      </c>
      <c r="H241" t="str">
        <f>IF(A241="","",VLOOKUP(G241,表3_3[],2,0))</f>
        <v/>
      </c>
      <c r="I241" t="str">
        <f>IF(A241="","",VLOOKUP(G241,表3_3[],3,0))</f>
        <v/>
      </c>
      <c r="J241" t="str">
        <f>IF(A241="","",IF('ATP Fills'!I241="3M","",VLOOKUP(RIGHT('ATP Fills'!I241,2),Helper1!$O$36:$P$48,2,0)))</f>
        <v/>
      </c>
      <c r="K241" t="str">
        <f>IF(J241="","",LEFT('ATP Fills'!I241,4))</f>
        <v/>
      </c>
      <c r="L241" t="str">
        <f>IF(A241="","",IF('ATP Fills'!G241="LME",'ATP Fills'!I241,""))</f>
        <v/>
      </c>
      <c r="M241" t="str">
        <f t="shared" si="3"/>
        <v/>
      </c>
    </row>
    <row r="242" spans="1:13">
      <c r="A242" t="str">
        <f>IF('ATP Fills'!A242="","",IF('ATP Fills'!Q242="PHILLIPSG",'ATP Fills'!F242,""))</f>
        <v/>
      </c>
      <c r="B242" t="str">
        <f>IF(A242="","",'ATP Fills'!L242)</f>
        <v/>
      </c>
      <c r="C242" t="str">
        <f>IF(A242="","",'ATP Fills'!M242)</f>
        <v/>
      </c>
      <c r="D242" t="str">
        <f>IF(A242="","",'ATP Fills'!B242)</f>
        <v/>
      </c>
      <c r="E242" s="3" t="str">
        <f>IF(A242="","",IF(DATE(LEFT(D242,4),MID(D242,5,2),RIGHT(D242,2))=Helper1!$P$1,Helper1!$P$1,""))</f>
        <v/>
      </c>
      <c r="F242" s="3" t="str">
        <f>IF(A242="","",'ATP Fills'!G242)</f>
        <v/>
      </c>
      <c r="G242" t="str">
        <f>IF(A242="","",'ATP Fills'!H242)</f>
        <v/>
      </c>
      <c r="H242" t="str">
        <f>IF(A242="","",VLOOKUP(G242,表3_3[],2,0))</f>
        <v/>
      </c>
      <c r="I242" t="str">
        <f>IF(A242="","",VLOOKUP(G242,表3_3[],3,0))</f>
        <v/>
      </c>
      <c r="J242" t="str">
        <f>IF(A242="","",IF('ATP Fills'!I242="3M","",VLOOKUP(RIGHT('ATP Fills'!I242,2),Helper1!$O$36:$P$48,2,0)))</f>
        <v/>
      </c>
      <c r="K242" t="str">
        <f>IF(J242="","",LEFT('ATP Fills'!I242,4))</f>
        <v/>
      </c>
      <c r="L242" t="str">
        <f>IF(A242="","",IF('ATP Fills'!G242="LME",'ATP Fills'!I242,""))</f>
        <v/>
      </c>
      <c r="M242" t="str">
        <f t="shared" si="3"/>
        <v/>
      </c>
    </row>
    <row r="243" spans="1:13">
      <c r="A243" t="str">
        <f>IF('ATP Fills'!A243="","",IF('ATP Fills'!Q243="PHILLIPSG",'ATP Fills'!F243,""))</f>
        <v/>
      </c>
      <c r="B243" t="str">
        <f>IF(A243="","",'ATP Fills'!L243)</f>
        <v/>
      </c>
      <c r="C243" t="str">
        <f>IF(A243="","",'ATP Fills'!M243)</f>
        <v/>
      </c>
      <c r="D243" t="str">
        <f>IF(A243="","",'ATP Fills'!B243)</f>
        <v/>
      </c>
      <c r="E243" s="3" t="str">
        <f>IF(A243="","",IF(DATE(LEFT(D243,4),MID(D243,5,2),RIGHT(D243,2))=Helper1!$P$1,Helper1!$P$1,""))</f>
        <v/>
      </c>
      <c r="F243" s="3" t="str">
        <f>IF(A243="","",'ATP Fills'!G243)</f>
        <v/>
      </c>
      <c r="G243" t="str">
        <f>IF(A243="","",'ATP Fills'!H243)</f>
        <v/>
      </c>
      <c r="H243" t="str">
        <f>IF(A243="","",VLOOKUP(G243,表3_3[],2,0))</f>
        <v/>
      </c>
      <c r="I243" t="str">
        <f>IF(A243="","",VLOOKUP(G243,表3_3[],3,0))</f>
        <v/>
      </c>
      <c r="J243" t="str">
        <f>IF(A243="","",IF('ATP Fills'!I243="3M","",VLOOKUP(RIGHT('ATP Fills'!I243,2),Helper1!$O$36:$P$48,2,0)))</f>
        <v/>
      </c>
      <c r="K243" t="str">
        <f>IF(J243="","",LEFT('ATP Fills'!I243,4))</f>
        <v/>
      </c>
      <c r="L243" t="str">
        <f>IF(A243="","",IF('ATP Fills'!G243="LME",'ATP Fills'!I243,""))</f>
        <v/>
      </c>
      <c r="M243" t="str">
        <f t="shared" si="3"/>
        <v/>
      </c>
    </row>
    <row r="244" spans="1:13">
      <c r="A244" t="str">
        <f>IF('ATP Fills'!A244="","",IF('ATP Fills'!Q244="PHILLIPSG",'ATP Fills'!F244,""))</f>
        <v/>
      </c>
      <c r="B244" t="str">
        <f>IF(A244="","",'ATP Fills'!L244)</f>
        <v/>
      </c>
      <c r="C244" t="str">
        <f>IF(A244="","",'ATP Fills'!M244)</f>
        <v/>
      </c>
      <c r="D244" t="str">
        <f>IF(A244="","",'ATP Fills'!B244)</f>
        <v/>
      </c>
      <c r="E244" s="3" t="str">
        <f>IF(A244="","",IF(DATE(LEFT(D244,4),MID(D244,5,2),RIGHT(D244,2))=Helper1!$P$1,Helper1!$P$1,""))</f>
        <v/>
      </c>
      <c r="F244" s="3" t="str">
        <f>IF(A244="","",'ATP Fills'!G244)</f>
        <v/>
      </c>
      <c r="G244" t="str">
        <f>IF(A244="","",'ATP Fills'!H244)</f>
        <v/>
      </c>
      <c r="H244" t="str">
        <f>IF(A244="","",VLOOKUP(G244,表3_3[],2,0))</f>
        <v/>
      </c>
      <c r="I244" t="str">
        <f>IF(A244="","",VLOOKUP(G244,表3_3[],3,0))</f>
        <v/>
      </c>
      <c r="J244" t="str">
        <f>IF(A244="","",IF('ATP Fills'!I244="3M","",VLOOKUP(RIGHT('ATP Fills'!I244,2),Helper1!$O$36:$P$48,2,0)))</f>
        <v/>
      </c>
      <c r="K244" t="str">
        <f>IF(J244="","",LEFT('ATP Fills'!I244,4))</f>
        <v/>
      </c>
      <c r="L244" t="str">
        <f>IF(A244="","",IF('ATP Fills'!G244="LME",'ATP Fills'!I244,""))</f>
        <v/>
      </c>
      <c r="M244" t="str">
        <f t="shared" si="3"/>
        <v/>
      </c>
    </row>
    <row r="245" spans="1:13">
      <c r="A245" t="str">
        <f>IF('ATP Fills'!A245="","",IF('ATP Fills'!Q245="PHILLIPSG",'ATP Fills'!F245,""))</f>
        <v/>
      </c>
      <c r="B245" t="str">
        <f>IF(A245="","",'ATP Fills'!L245)</f>
        <v/>
      </c>
      <c r="C245" t="str">
        <f>IF(A245="","",'ATP Fills'!M245)</f>
        <v/>
      </c>
      <c r="D245" t="str">
        <f>IF(A245="","",'ATP Fills'!B245)</f>
        <v/>
      </c>
      <c r="E245" s="3" t="str">
        <f>IF(A245="","",IF(DATE(LEFT(D245,4),MID(D245,5,2),RIGHT(D245,2))=Helper1!$P$1,Helper1!$P$1,""))</f>
        <v/>
      </c>
      <c r="F245" s="3" t="str">
        <f>IF(A245="","",'ATP Fills'!G245)</f>
        <v/>
      </c>
      <c r="G245" t="str">
        <f>IF(A245="","",'ATP Fills'!H245)</f>
        <v/>
      </c>
      <c r="H245" t="str">
        <f>IF(A245="","",VLOOKUP(G245,表3_3[],2,0))</f>
        <v/>
      </c>
      <c r="I245" t="str">
        <f>IF(A245="","",VLOOKUP(G245,表3_3[],3,0))</f>
        <v/>
      </c>
      <c r="J245" t="str">
        <f>IF(A245="","",IF('ATP Fills'!I245="3M","",VLOOKUP(RIGHT('ATP Fills'!I245,2),Helper1!$O$36:$P$48,2,0)))</f>
        <v/>
      </c>
      <c r="K245" t="str">
        <f>IF(J245="","",LEFT('ATP Fills'!I245,4))</f>
        <v/>
      </c>
      <c r="L245" t="str">
        <f>IF(A245="","",IF('ATP Fills'!G245="LME",'ATP Fills'!I245,""))</f>
        <v/>
      </c>
      <c r="M245" t="str">
        <f t="shared" si="3"/>
        <v/>
      </c>
    </row>
    <row r="246" spans="1:13">
      <c r="A246" t="str">
        <f>IF('ATP Fills'!A246="","",IF('ATP Fills'!Q246="PHILLIPSG",'ATP Fills'!F246,""))</f>
        <v/>
      </c>
      <c r="B246" t="str">
        <f>IF(A246="","",'ATP Fills'!L246)</f>
        <v/>
      </c>
      <c r="C246" t="str">
        <f>IF(A246="","",'ATP Fills'!M246)</f>
        <v/>
      </c>
      <c r="D246" t="str">
        <f>IF(A246="","",'ATP Fills'!B246)</f>
        <v/>
      </c>
      <c r="E246" s="3" t="str">
        <f>IF(A246="","",IF(DATE(LEFT(D246,4),MID(D246,5,2),RIGHT(D246,2))=Helper1!$P$1,Helper1!$P$1,""))</f>
        <v/>
      </c>
      <c r="F246" s="3" t="str">
        <f>IF(A246="","",'ATP Fills'!G246)</f>
        <v/>
      </c>
      <c r="G246" t="str">
        <f>IF(A246="","",'ATP Fills'!H246)</f>
        <v/>
      </c>
      <c r="H246" t="str">
        <f>IF(A246="","",VLOOKUP(G246,表3_3[],2,0))</f>
        <v/>
      </c>
      <c r="I246" t="str">
        <f>IF(A246="","",VLOOKUP(G246,表3_3[],3,0))</f>
        <v/>
      </c>
      <c r="J246" t="str">
        <f>IF(A246="","",IF('ATP Fills'!I246="3M","",VLOOKUP(RIGHT('ATP Fills'!I246,2),Helper1!$O$36:$P$48,2,0)))</f>
        <v/>
      </c>
      <c r="K246" t="str">
        <f>IF(J246="","",LEFT('ATP Fills'!I246,4))</f>
        <v/>
      </c>
      <c r="L246" t="str">
        <f>IF(A246="","",IF('ATP Fills'!G246="LME",'ATP Fills'!I246,""))</f>
        <v/>
      </c>
      <c r="M246" t="str">
        <f t="shared" si="3"/>
        <v/>
      </c>
    </row>
    <row r="247" spans="1:13">
      <c r="A247" t="str">
        <f>IF('ATP Fills'!A247="","",IF('ATP Fills'!Q247="PHILLIPSG",'ATP Fills'!F247,""))</f>
        <v/>
      </c>
      <c r="B247" t="str">
        <f>IF(A247="","",'ATP Fills'!L247)</f>
        <v/>
      </c>
      <c r="C247" t="str">
        <f>IF(A247="","",'ATP Fills'!M247)</f>
        <v/>
      </c>
      <c r="D247" t="str">
        <f>IF(A247="","",'ATP Fills'!B247)</f>
        <v/>
      </c>
      <c r="E247" s="3" t="str">
        <f>IF(A247="","",IF(DATE(LEFT(D247,4),MID(D247,5,2),RIGHT(D247,2))=Helper1!$P$1,Helper1!$P$1,""))</f>
        <v/>
      </c>
      <c r="F247" s="3" t="str">
        <f>IF(A247="","",'ATP Fills'!G247)</f>
        <v/>
      </c>
      <c r="G247" t="str">
        <f>IF(A247="","",'ATP Fills'!H247)</f>
        <v/>
      </c>
      <c r="H247" t="str">
        <f>IF(A247="","",VLOOKUP(G247,表3_3[],2,0))</f>
        <v/>
      </c>
      <c r="I247" t="str">
        <f>IF(A247="","",VLOOKUP(G247,表3_3[],3,0))</f>
        <v/>
      </c>
      <c r="J247" t="str">
        <f>IF(A247="","",IF('ATP Fills'!I247="3M","",VLOOKUP(RIGHT('ATP Fills'!I247,2),Helper1!$O$36:$P$48,2,0)))</f>
        <v/>
      </c>
      <c r="K247" t="str">
        <f>IF(J247="","",LEFT('ATP Fills'!I247,4))</f>
        <v/>
      </c>
      <c r="L247" t="str">
        <f>IF(A247="","",IF('ATP Fills'!G247="LME",'ATP Fills'!I247,""))</f>
        <v/>
      </c>
      <c r="M247" t="str">
        <f t="shared" si="3"/>
        <v/>
      </c>
    </row>
    <row r="248" spans="1:13">
      <c r="A248" t="str">
        <f>IF('ATP Fills'!A248="","",IF('ATP Fills'!Q248="PHILLIPSG",'ATP Fills'!F248,""))</f>
        <v/>
      </c>
      <c r="B248" t="str">
        <f>IF(A248="","",'ATP Fills'!L248)</f>
        <v/>
      </c>
      <c r="C248" t="str">
        <f>IF(A248="","",'ATP Fills'!M248)</f>
        <v/>
      </c>
      <c r="D248" t="str">
        <f>IF(A248="","",'ATP Fills'!B248)</f>
        <v/>
      </c>
      <c r="E248" s="3" t="str">
        <f>IF(A248="","",IF(DATE(LEFT(D248,4),MID(D248,5,2),RIGHT(D248,2))=Helper1!$P$1,Helper1!$P$1,""))</f>
        <v/>
      </c>
      <c r="F248" s="3" t="str">
        <f>IF(A248="","",'ATP Fills'!G248)</f>
        <v/>
      </c>
      <c r="G248" t="str">
        <f>IF(A248="","",'ATP Fills'!H248)</f>
        <v/>
      </c>
      <c r="H248" t="str">
        <f>IF(A248="","",VLOOKUP(G248,表3_3[],2,0))</f>
        <v/>
      </c>
      <c r="I248" t="str">
        <f>IF(A248="","",VLOOKUP(G248,表3_3[],3,0))</f>
        <v/>
      </c>
      <c r="J248" t="str">
        <f>IF(A248="","",IF('ATP Fills'!I248="3M","",VLOOKUP(RIGHT('ATP Fills'!I248,2),Helper1!$O$36:$P$48,2,0)))</f>
        <v/>
      </c>
      <c r="K248" t="str">
        <f>IF(J248="","",LEFT('ATP Fills'!I248,4))</f>
        <v/>
      </c>
      <c r="L248" t="str">
        <f>IF(A248="","",IF('ATP Fills'!G248="LME",'ATP Fills'!I248,""))</f>
        <v/>
      </c>
      <c r="M248" t="str">
        <f t="shared" si="3"/>
        <v/>
      </c>
    </row>
    <row r="249" spans="1:13">
      <c r="A249" t="str">
        <f>IF('ATP Fills'!A249="","",IF('ATP Fills'!Q249="PHILLIPSG",'ATP Fills'!F249,""))</f>
        <v/>
      </c>
      <c r="B249" t="str">
        <f>IF(A249="","",'ATP Fills'!L249)</f>
        <v/>
      </c>
      <c r="C249" t="str">
        <f>IF(A249="","",'ATP Fills'!M249)</f>
        <v/>
      </c>
      <c r="D249" t="str">
        <f>IF(A249="","",'ATP Fills'!B249)</f>
        <v/>
      </c>
      <c r="E249" s="3" t="str">
        <f>IF(A249="","",IF(DATE(LEFT(D249,4),MID(D249,5,2),RIGHT(D249,2))=Helper1!$P$1,Helper1!$P$1,""))</f>
        <v/>
      </c>
      <c r="F249" s="3" t="str">
        <f>IF(A249="","",'ATP Fills'!G249)</f>
        <v/>
      </c>
      <c r="G249" t="str">
        <f>IF(A249="","",'ATP Fills'!H249)</f>
        <v/>
      </c>
      <c r="H249" t="str">
        <f>IF(A249="","",VLOOKUP(G249,表3_3[],2,0))</f>
        <v/>
      </c>
      <c r="I249" t="str">
        <f>IF(A249="","",VLOOKUP(G249,表3_3[],3,0))</f>
        <v/>
      </c>
      <c r="J249" t="str">
        <f>IF(A249="","",IF('ATP Fills'!I249="3M","",VLOOKUP(RIGHT('ATP Fills'!I249,2),Helper1!$O$36:$P$48,2,0)))</f>
        <v/>
      </c>
      <c r="K249" t="str">
        <f>IF(J249="","",LEFT('ATP Fills'!I249,4))</f>
        <v/>
      </c>
      <c r="L249" t="str">
        <f>IF(A249="","",IF('ATP Fills'!G249="LME",'ATP Fills'!I249,""))</f>
        <v/>
      </c>
      <c r="M249" t="str">
        <f t="shared" si="3"/>
        <v/>
      </c>
    </row>
    <row r="250" spans="1:13">
      <c r="A250" t="str">
        <f>IF('ATP Fills'!A250="","",IF('ATP Fills'!Q250="PHILLIPSG",'ATP Fills'!F250,""))</f>
        <v/>
      </c>
      <c r="B250" t="str">
        <f>IF(A250="","",'ATP Fills'!L250)</f>
        <v/>
      </c>
      <c r="C250" t="str">
        <f>IF(A250="","",'ATP Fills'!M250)</f>
        <v/>
      </c>
      <c r="D250" t="str">
        <f>IF(A250="","",'ATP Fills'!B250)</f>
        <v/>
      </c>
      <c r="E250" s="3" t="str">
        <f>IF(A250="","",IF(DATE(LEFT(D250,4),MID(D250,5,2),RIGHT(D250,2))=Helper1!$P$1,Helper1!$P$1,""))</f>
        <v/>
      </c>
      <c r="F250" s="3" t="str">
        <f>IF(A250="","",'ATP Fills'!G250)</f>
        <v/>
      </c>
      <c r="G250" t="str">
        <f>IF(A250="","",'ATP Fills'!H250)</f>
        <v/>
      </c>
      <c r="H250" t="str">
        <f>IF(A250="","",VLOOKUP(G250,表3_3[],2,0))</f>
        <v/>
      </c>
      <c r="I250" t="str">
        <f>IF(A250="","",VLOOKUP(G250,表3_3[],3,0))</f>
        <v/>
      </c>
      <c r="J250" t="str">
        <f>IF(A250="","",IF('ATP Fills'!I250="3M","",VLOOKUP(RIGHT('ATP Fills'!I250,2),Helper1!$O$36:$P$48,2,0)))</f>
        <v/>
      </c>
      <c r="K250" t="str">
        <f>IF(J250="","",LEFT('ATP Fills'!I250,4))</f>
        <v/>
      </c>
      <c r="L250" t="str">
        <f>IF(A250="","",IF('ATP Fills'!G250="LME",'ATP Fills'!I250,""))</f>
        <v/>
      </c>
      <c r="M250" t="str">
        <f t="shared" si="3"/>
        <v/>
      </c>
    </row>
    <row r="251" spans="1:13">
      <c r="A251" t="str">
        <f>IF('ATP Fills'!A251="","",IF('ATP Fills'!Q251="PHILLIPSG",'ATP Fills'!F251,""))</f>
        <v/>
      </c>
      <c r="B251" t="str">
        <f>IF(A251="","",'ATP Fills'!L251)</f>
        <v/>
      </c>
      <c r="C251" t="str">
        <f>IF(A251="","",'ATP Fills'!M251)</f>
        <v/>
      </c>
      <c r="D251" t="str">
        <f>IF(A251="","",'ATP Fills'!B251)</f>
        <v/>
      </c>
      <c r="E251" s="3" t="str">
        <f>IF(A251="","",IF(DATE(LEFT(D251,4),MID(D251,5,2),RIGHT(D251,2))=Helper1!$P$1,Helper1!$P$1,""))</f>
        <v/>
      </c>
      <c r="F251" s="3" t="str">
        <f>IF(A251="","",'ATP Fills'!G251)</f>
        <v/>
      </c>
      <c r="G251" t="str">
        <f>IF(A251="","",'ATP Fills'!H251)</f>
        <v/>
      </c>
      <c r="H251" t="str">
        <f>IF(A251="","",VLOOKUP(G251,表3_3[],2,0))</f>
        <v/>
      </c>
      <c r="I251" t="str">
        <f>IF(A251="","",VLOOKUP(G251,表3_3[],3,0))</f>
        <v/>
      </c>
      <c r="J251" t="str">
        <f>IF(A251="","",IF('ATP Fills'!I251="3M","",VLOOKUP(RIGHT('ATP Fills'!I251,2),Helper1!$O$36:$P$48,2,0)))</f>
        <v/>
      </c>
      <c r="K251" t="str">
        <f>IF(J251="","",LEFT('ATP Fills'!I251,4))</f>
        <v/>
      </c>
      <c r="L251" t="str">
        <f>IF(A251="","",IF('ATP Fills'!G251="LME",'ATP Fills'!I251,""))</f>
        <v/>
      </c>
      <c r="M251" t="str">
        <f t="shared" si="3"/>
        <v/>
      </c>
    </row>
    <row r="252" spans="1:13">
      <c r="A252" t="str">
        <f>IF('ATP Fills'!A252="","",IF('ATP Fills'!Q252="PHILLIPSG",'ATP Fills'!F252,""))</f>
        <v/>
      </c>
      <c r="B252" t="str">
        <f>IF(A252="","",'ATP Fills'!L252)</f>
        <v/>
      </c>
      <c r="C252" t="str">
        <f>IF(A252="","",'ATP Fills'!M252)</f>
        <v/>
      </c>
      <c r="D252" t="str">
        <f>IF(A252="","",'ATP Fills'!B252)</f>
        <v/>
      </c>
      <c r="E252" s="3" t="str">
        <f>IF(A252="","",IF(DATE(LEFT(D252,4),MID(D252,5,2),RIGHT(D252,2))=Helper1!$P$1,Helper1!$P$1,""))</f>
        <v/>
      </c>
      <c r="F252" s="3" t="str">
        <f>IF(A252="","",'ATP Fills'!G252)</f>
        <v/>
      </c>
      <c r="G252" t="str">
        <f>IF(A252="","",'ATP Fills'!H252)</f>
        <v/>
      </c>
      <c r="H252" t="str">
        <f>IF(A252="","",VLOOKUP(G252,表3_3[],2,0))</f>
        <v/>
      </c>
      <c r="I252" t="str">
        <f>IF(A252="","",VLOOKUP(G252,表3_3[],3,0))</f>
        <v/>
      </c>
      <c r="J252" t="str">
        <f>IF(A252="","",IF('ATP Fills'!I252="3M","",VLOOKUP(RIGHT('ATP Fills'!I252,2),Helper1!$O$36:$P$48,2,0)))</f>
        <v/>
      </c>
      <c r="K252" t="str">
        <f>IF(J252="","",LEFT('ATP Fills'!I252,4))</f>
        <v/>
      </c>
      <c r="L252" t="str">
        <f>IF(A252="","",IF('ATP Fills'!G252="LME",'ATP Fills'!I252,""))</f>
        <v/>
      </c>
      <c r="M252" t="str">
        <f t="shared" si="3"/>
        <v/>
      </c>
    </row>
    <row r="253" spans="1:13">
      <c r="A253" t="str">
        <f>IF('ATP Fills'!A253="","",IF('ATP Fills'!Q253="PHILLIPSG",'ATP Fills'!F253,""))</f>
        <v/>
      </c>
      <c r="B253" t="str">
        <f>IF(A253="","",'ATP Fills'!L253)</f>
        <v/>
      </c>
      <c r="C253" t="str">
        <f>IF(A253="","",'ATP Fills'!M253)</f>
        <v/>
      </c>
      <c r="D253" t="str">
        <f>IF(A253="","",'ATP Fills'!B253)</f>
        <v/>
      </c>
      <c r="E253" s="3" t="str">
        <f>IF(A253="","",IF(DATE(LEFT(D253,4),MID(D253,5,2),RIGHT(D253,2))=Helper1!$P$1,Helper1!$P$1,""))</f>
        <v/>
      </c>
      <c r="F253" s="3" t="str">
        <f>IF(A253="","",'ATP Fills'!G253)</f>
        <v/>
      </c>
      <c r="G253" t="str">
        <f>IF(A253="","",'ATP Fills'!H253)</f>
        <v/>
      </c>
      <c r="H253" t="str">
        <f>IF(A253="","",VLOOKUP(G253,表3_3[],2,0))</f>
        <v/>
      </c>
      <c r="I253" t="str">
        <f>IF(A253="","",VLOOKUP(G253,表3_3[],3,0))</f>
        <v/>
      </c>
      <c r="J253" t="str">
        <f>IF(A253="","",IF('ATP Fills'!I253="3M","",VLOOKUP(RIGHT('ATP Fills'!I253,2),Helper1!$O$36:$P$48,2,0)))</f>
        <v/>
      </c>
      <c r="K253" t="str">
        <f>IF(J253="","",LEFT('ATP Fills'!I253,4))</f>
        <v/>
      </c>
      <c r="L253" t="str">
        <f>IF(A253="","",IF('ATP Fills'!G253="LME",'ATP Fills'!I253,""))</f>
        <v/>
      </c>
      <c r="M253" t="str">
        <f t="shared" si="3"/>
        <v/>
      </c>
    </row>
    <row r="254" spans="1:13">
      <c r="A254" t="str">
        <f>IF('ATP Fills'!A254="","",IF('ATP Fills'!Q254="PHILLIPSG",'ATP Fills'!F254,""))</f>
        <v/>
      </c>
      <c r="B254" t="str">
        <f>IF(A254="","",'ATP Fills'!L254)</f>
        <v/>
      </c>
      <c r="C254" t="str">
        <f>IF(A254="","",'ATP Fills'!M254)</f>
        <v/>
      </c>
      <c r="D254" t="str">
        <f>IF(A254="","",'ATP Fills'!B254)</f>
        <v/>
      </c>
      <c r="E254" s="3" t="str">
        <f>IF(A254="","",IF(DATE(LEFT(D254,4),MID(D254,5,2),RIGHT(D254,2))=Helper1!$P$1,Helper1!$P$1,""))</f>
        <v/>
      </c>
      <c r="F254" s="3" t="str">
        <f>IF(A254="","",'ATP Fills'!G254)</f>
        <v/>
      </c>
      <c r="G254" t="str">
        <f>IF(A254="","",'ATP Fills'!H254)</f>
        <v/>
      </c>
      <c r="H254" t="str">
        <f>IF(A254="","",VLOOKUP(G254,表3_3[],2,0))</f>
        <v/>
      </c>
      <c r="I254" t="str">
        <f>IF(A254="","",VLOOKUP(G254,表3_3[],3,0))</f>
        <v/>
      </c>
      <c r="J254" t="str">
        <f>IF(A254="","",IF('ATP Fills'!I254="3M","",VLOOKUP(RIGHT('ATP Fills'!I254,2),Helper1!$O$36:$P$48,2,0)))</f>
        <v/>
      </c>
      <c r="K254" t="str">
        <f>IF(J254="","",LEFT('ATP Fills'!I254,4))</f>
        <v/>
      </c>
      <c r="L254" t="str">
        <f>IF(A254="","",IF('ATP Fills'!G254="LME",'ATP Fills'!I254,""))</f>
        <v/>
      </c>
      <c r="M254" t="str">
        <f t="shared" si="3"/>
        <v/>
      </c>
    </row>
    <row r="255" spans="1:13">
      <c r="A255" t="str">
        <f>IF('ATP Fills'!A255="","",IF('ATP Fills'!Q255="PHILLIPSG",'ATP Fills'!F255,""))</f>
        <v/>
      </c>
      <c r="B255" t="str">
        <f>IF(A255="","",'ATP Fills'!L255)</f>
        <v/>
      </c>
      <c r="C255" t="str">
        <f>IF(A255="","",'ATP Fills'!M255)</f>
        <v/>
      </c>
      <c r="D255" t="str">
        <f>IF(A255="","",'ATP Fills'!B255)</f>
        <v/>
      </c>
      <c r="E255" s="3" t="str">
        <f>IF(A255="","",IF(DATE(LEFT(D255,4),MID(D255,5,2),RIGHT(D255,2))=Helper1!$P$1,Helper1!$P$1,""))</f>
        <v/>
      </c>
      <c r="F255" s="3" t="str">
        <f>IF(A255="","",'ATP Fills'!G255)</f>
        <v/>
      </c>
      <c r="G255" t="str">
        <f>IF(A255="","",'ATP Fills'!H255)</f>
        <v/>
      </c>
      <c r="H255" t="str">
        <f>IF(A255="","",VLOOKUP(G255,表3_3[],2,0))</f>
        <v/>
      </c>
      <c r="I255" t="str">
        <f>IF(A255="","",VLOOKUP(G255,表3_3[],3,0))</f>
        <v/>
      </c>
      <c r="J255" t="str">
        <f>IF(A255="","",IF('ATP Fills'!I255="3M","",VLOOKUP(RIGHT('ATP Fills'!I255,2),Helper1!$O$36:$P$48,2,0)))</f>
        <v/>
      </c>
      <c r="K255" t="str">
        <f>IF(J255="","",LEFT('ATP Fills'!I255,4))</f>
        <v/>
      </c>
      <c r="L255" t="str">
        <f>IF(A255="","",IF('ATP Fills'!G255="LME",'ATP Fills'!I255,""))</f>
        <v/>
      </c>
      <c r="M255" t="str">
        <f t="shared" si="3"/>
        <v/>
      </c>
    </row>
    <row r="256" spans="1:13">
      <c r="A256" t="str">
        <f>IF('ATP Fills'!A256="","",IF('ATP Fills'!Q256="PHILLIPSG",'ATP Fills'!F256,""))</f>
        <v/>
      </c>
      <c r="B256" t="str">
        <f>IF(A256="","",'ATP Fills'!L256)</f>
        <v/>
      </c>
      <c r="C256" t="str">
        <f>IF(A256="","",'ATP Fills'!M256)</f>
        <v/>
      </c>
      <c r="D256" t="str">
        <f>IF(A256="","",'ATP Fills'!B256)</f>
        <v/>
      </c>
      <c r="E256" s="3" t="str">
        <f>IF(A256="","",IF(DATE(LEFT(D256,4),MID(D256,5,2),RIGHT(D256,2))=Helper1!$P$1,Helper1!$P$1,""))</f>
        <v/>
      </c>
      <c r="F256" s="3" t="str">
        <f>IF(A256="","",'ATP Fills'!G256)</f>
        <v/>
      </c>
      <c r="G256" t="str">
        <f>IF(A256="","",'ATP Fills'!H256)</f>
        <v/>
      </c>
      <c r="H256" t="str">
        <f>IF(A256="","",VLOOKUP(G256,表3_3[],2,0))</f>
        <v/>
      </c>
      <c r="I256" t="str">
        <f>IF(A256="","",VLOOKUP(G256,表3_3[],3,0))</f>
        <v/>
      </c>
      <c r="J256" t="str">
        <f>IF(A256="","",IF('ATP Fills'!I256="3M","",VLOOKUP(RIGHT('ATP Fills'!I256,2),Helper1!$O$36:$P$48,2,0)))</f>
        <v/>
      </c>
      <c r="K256" t="str">
        <f>IF(J256="","",LEFT('ATP Fills'!I256,4))</f>
        <v/>
      </c>
      <c r="L256" t="str">
        <f>IF(A256="","",IF('ATP Fills'!G256="LME",'ATP Fills'!I256,""))</f>
        <v/>
      </c>
      <c r="M256" t="str">
        <f t="shared" si="3"/>
        <v/>
      </c>
    </row>
    <row r="257" spans="1:13">
      <c r="A257" t="str">
        <f>IF('ATP Fills'!A257="","",IF('ATP Fills'!Q257="PHILLIPSG",'ATP Fills'!F257,""))</f>
        <v/>
      </c>
      <c r="B257" t="str">
        <f>IF(A257="","",'ATP Fills'!L257)</f>
        <v/>
      </c>
      <c r="C257" t="str">
        <f>IF(A257="","",'ATP Fills'!M257)</f>
        <v/>
      </c>
      <c r="D257" t="str">
        <f>IF(A257="","",'ATP Fills'!B257)</f>
        <v/>
      </c>
      <c r="E257" s="3" t="str">
        <f>IF(A257="","",IF(DATE(LEFT(D257,4),MID(D257,5,2),RIGHT(D257,2))=Helper1!$P$1,Helper1!$P$1,""))</f>
        <v/>
      </c>
      <c r="F257" s="3" t="str">
        <f>IF(A257="","",'ATP Fills'!G257)</f>
        <v/>
      </c>
      <c r="G257" t="str">
        <f>IF(A257="","",'ATP Fills'!H257)</f>
        <v/>
      </c>
      <c r="H257" t="str">
        <f>IF(A257="","",VLOOKUP(G257,表3_3[],2,0))</f>
        <v/>
      </c>
      <c r="I257" t="str">
        <f>IF(A257="","",VLOOKUP(G257,表3_3[],3,0))</f>
        <v/>
      </c>
      <c r="J257" t="str">
        <f>IF(A257="","",IF('ATP Fills'!I257="3M","",VLOOKUP(RIGHT('ATP Fills'!I257,2),Helper1!$O$36:$P$48,2,0)))</f>
        <v/>
      </c>
      <c r="K257" t="str">
        <f>IF(J257="","",LEFT('ATP Fills'!I257,4))</f>
        <v/>
      </c>
      <c r="L257" t="str">
        <f>IF(A257="","",IF('ATP Fills'!G257="LME",'ATP Fills'!I257,""))</f>
        <v/>
      </c>
      <c r="M257" t="str">
        <f t="shared" si="3"/>
        <v/>
      </c>
    </row>
    <row r="258" spans="1:13">
      <c r="A258" t="str">
        <f>IF('ATP Fills'!A258="","",IF('ATP Fills'!Q258="PHILLIPSG",'ATP Fills'!F258,""))</f>
        <v/>
      </c>
      <c r="B258" t="str">
        <f>IF(A258="","",'ATP Fills'!L258)</f>
        <v/>
      </c>
      <c r="C258" t="str">
        <f>IF(A258="","",'ATP Fills'!M258)</f>
        <v/>
      </c>
      <c r="D258" t="str">
        <f>IF(A258="","",'ATP Fills'!B258)</f>
        <v/>
      </c>
      <c r="E258" s="3" t="str">
        <f>IF(A258="","",IF(DATE(LEFT(D258,4),MID(D258,5,2),RIGHT(D258,2))=Helper1!$P$1,Helper1!$P$1,""))</f>
        <v/>
      </c>
      <c r="F258" s="3" t="str">
        <f>IF(A258="","",'ATP Fills'!G258)</f>
        <v/>
      </c>
      <c r="G258" t="str">
        <f>IF(A258="","",'ATP Fills'!H258)</f>
        <v/>
      </c>
      <c r="H258" t="str">
        <f>IF(A258="","",VLOOKUP(G258,表3_3[],2,0))</f>
        <v/>
      </c>
      <c r="I258" t="str">
        <f>IF(A258="","",VLOOKUP(G258,表3_3[],3,0))</f>
        <v/>
      </c>
      <c r="J258" t="str">
        <f>IF(A258="","",IF('ATP Fills'!I258="3M","",VLOOKUP(RIGHT('ATP Fills'!I258,2),Helper1!$O$36:$P$48,2,0)))</f>
        <v/>
      </c>
      <c r="K258" t="str">
        <f>IF(J258="","",LEFT('ATP Fills'!I258,4))</f>
        <v/>
      </c>
      <c r="L258" t="str">
        <f>IF(A258="","",IF('ATP Fills'!G258="LME",'ATP Fills'!I258,""))</f>
        <v/>
      </c>
      <c r="M258" t="str">
        <f t="shared" si="3"/>
        <v/>
      </c>
    </row>
    <row r="259" spans="1:13">
      <c r="A259" t="str">
        <f>IF('ATP Fills'!A259="","",IF('ATP Fills'!Q259="PHILLIPSG",'ATP Fills'!F259,""))</f>
        <v/>
      </c>
      <c r="B259" t="str">
        <f>IF(A259="","",'ATP Fills'!L259)</f>
        <v/>
      </c>
      <c r="C259" t="str">
        <f>IF(A259="","",'ATP Fills'!M259)</f>
        <v/>
      </c>
      <c r="D259" t="str">
        <f>IF(A259="","",'ATP Fills'!B259)</f>
        <v/>
      </c>
      <c r="E259" s="3" t="str">
        <f>IF(A259="","",IF(DATE(LEFT(D259,4),MID(D259,5,2),RIGHT(D259,2))=Helper1!$P$1,Helper1!$P$1,""))</f>
        <v/>
      </c>
      <c r="F259" s="3" t="str">
        <f>IF(A259="","",'ATP Fills'!G259)</f>
        <v/>
      </c>
      <c r="G259" t="str">
        <f>IF(A259="","",'ATP Fills'!H259)</f>
        <v/>
      </c>
      <c r="H259" t="str">
        <f>IF(A259="","",VLOOKUP(G259,表3_3[],2,0))</f>
        <v/>
      </c>
      <c r="I259" t="str">
        <f>IF(A259="","",VLOOKUP(G259,表3_3[],3,0))</f>
        <v/>
      </c>
      <c r="J259" t="str">
        <f>IF(A259="","",IF('ATP Fills'!I259="3M","",VLOOKUP(RIGHT('ATP Fills'!I259,2),Helper1!$O$36:$P$48,2,0)))</f>
        <v/>
      </c>
      <c r="K259" t="str">
        <f>IF(J259="","",LEFT('ATP Fills'!I259,4))</f>
        <v/>
      </c>
      <c r="L259" t="str">
        <f>IF(A259="","",IF('ATP Fills'!G259="LME",'ATP Fills'!I259,""))</f>
        <v/>
      </c>
      <c r="M259" t="str">
        <f t="shared" ref="M259:M322" si="4">IF(A259="","",IF(F259="LME",F259&amp;"-"&amp;I259&amp;"-"&amp;L259,J259&amp;"-"&amp;K259&amp;"-"&amp;I259))</f>
        <v/>
      </c>
    </row>
    <row r="260" spans="1:13">
      <c r="A260" t="str">
        <f>IF('ATP Fills'!A260="","",IF('ATP Fills'!Q260="PHILLIPSG",'ATP Fills'!F260,""))</f>
        <v/>
      </c>
      <c r="B260" t="str">
        <f>IF(A260="","",'ATP Fills'!L260)</f>
        <v/>
      </c>
      <c r="C260" t="str">
        <f>IF(A260="","",'ATP Fills'!M260)</f>
        <v/>
      </c>
      <c r="D260" t="str">
        <f>IF(A260="","",'ATP Fills'!B260)</f>
        <v/>
      </c>
      <c r="E260" s="3" t="str">
        <f>IF(A260="","",IF(DATE(LEFT(D260,4),MID(D260,5,2),RIGHT(D260,2))=Helper1!$P$1,Helper1!$P$1,""))</f>
        <v/>
      </c>
      <c r="F260" s="3" t="str">
        <f>IF(A260="","",'ATP Fills'!G260)</f>
        <v/>
      </c>
      <c r="G260" t="str">
        <f>IF(A260="","",'ATP Fills'!H260)</f>
        <v/>
      </c>
      <c r="H260" t="str">
        <f>IF(A260="","",VLOOKUP(G260,表3_3[],2,0))</f>
        <v/>
      </c>
      <c r="I260" t="str">
        <f>IF(A260="","",VLOOKUP(G260,表3_3[],3,0))</f>
        <v/>
      </c>
      <c r="J260" t="str">
        <f>IF(A260="","",IF('ATP Fills'!I260="3M","",VLOOKUP(RIGHT('ATP Fills'!I260,2),Helper1!$O$36:$P$48,2,0)))</f>
        <v/>
      </c>
      <c r="K260" t="str">
        <f>IF(J260="","",LEFT('ATP Fills'!I260,4))</f>
        <v/>
      </c>
      <c r="L260" t="str">
        <f>IF(A260="","",IF('ATP Fills'!G260="LME",'ATP Fills'!I260,""))</f>
        <v/>
      </c>
      <c r="M260" t="str">
        <f t="shared" si="4"/>
        <v/>
      </c>
    </row>
    <row r="261" spans="1:13">
      <c r="A261" t="str">
        <f>IF('ATP Fills'!A261="","",IF('ATP Fills'!Q261="PHILLIPSG",'ATP Fills'!F261,""))</f>
        <v/>
      </c>
      <c r="B261" t="str">
        <f>IF(A261="","",'ATP Fills'!L261)</f>
        <v/>
      </c>
      <c r="C261" t="str">
        <f>IF(A261="","",'ATP Fills'!M261)</f>
        <v/>
      </c>
      <c r="D261" t="str">
        <f>IF(A261="","",'ATP Fills'!B261)</f>
        <v/>
      </c>
      <c r="E261" s="3" t="str">
        <f>IF(A261="","",IF(DATE(LEFT(D261,4),MID(D261,5,2),RIGHT(D261,2))=Helper1!$P$1,Helper1!$P$1,""))</f>
        <v/>
      </c>
      <c r="F261" s="3" t="str">
        <f>IF(A261="","",'ATP Fills'!G261)</f>
        <v/>
      </c>
      <c r="G261" t="str">
        <f>IF(A261="","",'ATP Fills'!H261)</f>
        <v/>
      </c>
      <c r="H261" t="str">
        <f>IF(A261="","",VLOOKUP(G261,表3_3[],2,0))</f>
        <v/>
      </c>
      <c r="I261" t="str">
        <f>IF(A261="","",VLOOKUP(G261,表3_3[],3,0))</f>
        <v/>
      </c>
      <c r="J261" t="str">
        <f>IF(A261="","",IF('ATP Fills'!I261="3M","",VLOOKUP(RIGHT('ATP Fills'!I261,2),Helper1!$O$36:$P$48,2,0)))</f>
        <v/>
      </c>
      <c r="K261" t="str">
        <f>IF(J261="","",LEFT('ATP Fills'!I261,4))</f>
        <v/>
      </c>
      <c r="L261" t="str">
        <f>IF(A261="","",IF('ATP Fills'!G261="LME",'ATP Fills'!I261,""))</f>
        <v/>
      </c>
      <c r="M261" t="str">
        <f t="shared" si="4"/>
        <v/>
      </c>
    </row>
    <row r="262" spans="1:13">
      <c r="A262" t="str">
        <f>IF('ATP Fills'!A262="","",IF('ATP Fills'!Q262="PHILLIPSG",'ATP Fills'!F262,""))</f>
        <v/>
      </c>
      <c r="B262" t="str">
        <f>IF(A262="","",'ATP Fills'!L262)</f>
        <v/>
      </c>
      <c r="C262" t="str">
        <f>IF(A262="","",'ATP Fills'!M262)</f>
        <v/>
      </c>
      <c r="D262" t="str">
        <f>IF(A262="","",'ATP Fills'!B262)</f>
        <v/>
      </c>
      <c r="E262" s="3" t="str">
        <f>IF(A262="","",IF(DATE(LEFT(D262,4),MID(D262,5,2),RIGHT(D262,2))=Helper1!$P$1,Helper1!$P$1,""))</f>
        <v/>
      </c>
      <c r="F262" s="3" t="str">
        <f>IF(A262="","",'ATP Fills'!G262)</f>
        <v/>
      </c>
      <c r="G262" t="str">
        <f>IF(A262="","",'ATP Fills'!H262)</f>
        <v/>
      </c>
      <c r="H262" t="str">
        <f>IF(A262="","",VLOOKUP(G262,表3_3[],2,0))</f>
        <v/>
      </c>
      <c r="I262" t="str">
        <f>IF(A262="","",VLOOKUP(G262,表3_3[],3,0))</f>
        <v/>
      </c>
      <c r="J262" t="str">
        <f>IF(A262="","",IF('ATP Fills'!I262="3M","",VLOOKUP(RIGHT('ATP Fills'!I262,2),Helper1!$O$36:$P$48,2,0)))</f>
        <v/>
      </c>
      <c r="K262" t="str">
        <f>IF(J262="","",LEFT('ATP Fills'!I262,4))</f>
        <v/>
      </c>
      <c r="L262" t="str">
        <f>IF(A262="","",IF('ATP Fills'!G262="LME",'ATP Fills'!I262,""))</f>
        <v/>
      </c>
      <c r="M262" t="str">
        <f t="shared" si="4"/>
        <v/>
      </c>
    </row>
    <row r="263" spans="1:13">
      <c r="A263" t="str">
        <f>IF('ATP Fills'!A263="","",IF('ATP Fills'!Q263="PHILLIPSG",'ATP Fills'!F263,""))</f>
        <v/>
      </c>
      <c r="B263" t="str">
        <f>IF(A263="","",'ATP Fills'!L263)</f>
        <v/>
      </c>
      <c r="C263" t="str">
        <f>IF(A263="","",'ATP Fills'!M263)</f>
        <v/>
      </c>
      <c r="D263" t="str">
        <f>IF(A263="","",'ATP Fills'!B263)</f>
        <v/>
      </c>
      <c r="E263" s="3" t="str">
        <f>IF(A263="","",IF(DATE(LEFT(D263,4),MID(D263,5,2),RIGHT(D263,2))=Helper1!$P$1,Helper1!$P$1,""))</f>
        <v/>
      </c>
      <c r="F263" s="3" t="str">
        <f>IF(A263="","",'ATP Fills'!G263)</f>
        <v/>
      </c>
      <c r="G263" t="str">
        <f>IF(A263="","",'ATP Fills'!H263)</f>
        <v/>
      </c>
      <c r="H263" t="str">
        <f>IF(A263="","",VLOOKUP(G263,表3_3[],2,0))</f>
        <v/>
      </c>
      <c r="I263" t="str">
        <f>IF(A263="","",VLOOKUP(G263,表3_3[],3,0))</f>
        <v/>
      </c>
      <c r="J263" t="str">
        <f>IF(A263="","",IF('ATP Fills'!I263="3M","",VLOOKUP(RIGHT('ATP Fills'!I263,2),Helper1!$O$36:$P$48,2,0)))</f>
        <v/>
      </c>
      <c r="K263" t="str">
        <f>IF(J263="","",LEFT('ATP Fills'!I263,4))</f>
        <v/>
      </c>
      <c r="L263" t="str">
        <f>IF(A263="","",IF('ATP Fills'!G263="LME",'ATP Fills'!I263,""))</f>
        <v/>
      </c>
      <c r="M263" t="str">
        <f t="shared" si="4"/>
        <v/>
      </c>
    </row>
    <row r="264" spans="1:13">
      <c r="A264" t="str">
        <f>IF('ATP Fills'!A264="","",IF('ATP Fills'!Q264="PHILLIPSG",'ATP Fills'!F264,""))</f>
        <v/>
      </c>
      <c r="B264" t="str">
        <f>IF(A264="","",'ATP Fills'!L264)</f>
        <v/>
      </c>
      <c r="C264" t="str">
        <f>IF(A264="","",'ATP Fills'!M264)</f>
        <v/>
      </c>
      <c r="D264" t="str">
        <f>IF(A264="","",'ATP Fills'!B264)</f>
        <v/>
      </c>
      <c r="E264" s="3" t="str">
        <f>IF(A264="","",IF(DATE(LEFT(D264,4),MID(D264,5,2),RIGHT(D264,2))=Helper1!$P$1,Helper1!$P$1,""))</f>
        <v/>
      </c>
      <c r="F264" s="3" t="str">
        <f>IF(A264="","",'ATP Fills'!G264)</f>
        <v/>
      </c>
      <c r="G264" t="str">
        <f>IF(A264="","",'ATP Fills'!H264)</f>
        <v/>
      </c>
      <c r="H264" t="str">
        <f>IF(A264="","",VLOOKUP(G264,表3_3[],2,0))</f>
        <v/>
      </c>
      <c r="I264" t="str">
        <f>IF(A264="","",VLOOKUP(G264,表3_3[],3,0))</f>
        <v/>
      </c>
      <c r="J264" t="str">
        <f>IF(A264="","",IF('ATP Fills'!I264="3M","",VLOOKUP(RIGHT('ATP Fills'!I264,2),Helper1!$O$36:$P$48,2,0)))</f>
        <v/>
      </c>
      <c r="K264" t="str">
        <f>IF(J264="","",LEFT('ATP Fills'!I264,4))</f>
        <v/>
      </c>
      <c r="L264" t="str">
        <f>IF(A264="","",IF('ATP Fills'!G264="LME",'ATP Fills'!I264,""))</f>
        <v/>
      </c>
      <c r="M264" t="str">
        <f t="shared" si="4"/>
        <v/>
      </c>
    </row>
    <row r="265" spans="1:13">
      <c r="A265" t="str">
        <f>IF('ATP Fills'!A265="","",IF('ATP Fills'!Q265="PHILLIPSG",'ATP Fills'!F265,""))</f>
        <v/>
      </c>
      <c r="B265" t="str">
        <f>IF(A265="","",'ATP Fills'!L265)</f>
        <v/>
      </c>
      <c r="C265" t="str">
        <f>IF(A265="","",'ATP Fills'!M265)</f>
        <v/>
      </c>
      <c r="D265" t="str">
        <f>IF(A265="","",'ATP Fills'!B265)</f>
        <v/>
      </c>
      <c r="E265" s="3" t="str">
        <f>IF(A265="","",IF(DATE(LEFT(D265,4),MID(D265,5,2),RIGHT(D265,2))=Helper1!$P$1,Helper1!$P$1,""))</f>
        <v/>
      </c>
      <c r="F265" s="3" t="str">
        <f>IF(A265="","",'ATP Fills'!G265)</f>
        <v/>
      </c>
      <c r="G265" t="str">
        <f>IF(A265="","",'ATP Fills'!H265)</f>
        <v/>
      </c>
      <c r="H265" t="str">
        <f>IF(A265="","",VLOOKUP(G265,表3_3[],2,0))</f>
        <v/>
      </c>
      <c r="I265" t="str">
        <f>IF(A265="","",VLOOKUP(G265,表3_3[],3,0))</f>
        <v/>
      </c>
      <c r="J265" t="str">
        <f>IF(A265="","",IF('ATP Fills'!I265="3M","",VLOOKUP(RIGHT('ATP Fills'!I265,2),Helper1!$O$36:$P$48,2,0)))</f>
        <v/>
      </c>
      <c r="K265" t="str">
        <f>IF(J265="","",LEFT('ATP Fills'!I265,4))</f>
        <v/>
      </c>
      <c r="L265" t="str">
        <f>IF(A265="","",IF('ATP Fills'!G265="LME",'ATP Fills'!I265,""))</f>
        <v/>
      </c>
      <c r="M265" t="str">
        <f t="shared" si="4"/>
        <v/>
      </c>
    </row>
    <row r="266" spans="1:13">
      <c r="A266" t="str">
        <f>IF('ATP Fills'!A266="","",IF('ATP Fills'!Q266="PHILLIPSG",'ATP Fills'!F266,""))</f>
        <v/>
      </c>
      <c r="B266" t="str">
        <f>IF(A266="","",'ATP Fills'!L266)</f>
        <v/>
      </c>
      <c r="C266" t="str">
        <f>IF(A266="","",'ATP Fills'!M266)</f>
        <v/>
      </c>
      <c r="D266" t="str">
        <f>IF(A266="","",'ATP Fills'!B266)</f>
        <v/>
      </c>
      <c r="E266" s="3" t="str">
        <f>IF(A266="","",IF(DATE(LEFT(D266,4),MID(D266,5,2),RIGHT(D266,2))=Helper1!$P$1,Helper1!$P$1,""))</f>
        <v/>
      </c>
      <c r="F266" s="3" t="str">
        <f>IF(A266="","",'ATP Fills'!G266)</f>
        <v/>
      </c>
      <c r="G266" t="str">
        <f>IF(A266="","",'ATP Fills'!H266)</f>
        <v/>
      </c>
      <c r="H266" t="str">
        <f>IF(A266="","",VLOOKUP(G266,表3_3[],2,0))</f>
        <v/>
      </c>
      <c r="I266" t="str">
        <f>IF(A266="","",VLOOKUP(G266,表3_3[],3,0))</f>
        <v/>
      </c>
      <c r="J266" t="str">
        <f>IF(A266="","",IF('ATP Fills'!I266="3M","",VLOOKUP(RIGHT('ATP Fills'!I266,2),Helper1!$O$36:$P$48,2,0)))</f>
        <v/>
      </c>
      <c r="K266" t="str">
        <f>IF(J266="","",LEFT('ATP Fills'!I266,4))</f>
        <v/>
      </c>
      <c r="L266" t="str">
        <f>IF(A266="","",IF('ATP Fills'!G266="LME",'ATP Fills'!I266,""))</f>
        <v/>
      </c>
      <c r="M266" t="str">
        <f t="shared" si="4"/>
        <v/>
      </c>
    </row>
    <row r="267" spans="1:13">
      <c r="A267" t="str">
        <f>IF('ATP Fills'!A267="","",IF('ATP Fills'!Q267="PHILLIPSG",'ATP Fills'!F267,""))</f>
        <v/>
      </c>
      <c r="B267" t="str">
        <f>IF(A267="","",'ATP Fills'!L267)</f>
        <v/>
      </c>
      <c r="C267" t="str">
        <f>IF(A267="","",'ATP Fills'!M267)</f>
        <v/>
      </c>
      <c r="D267" t="str">
        <f>IF(A267="","",'ATP Fills'!B267)</f>
        <v/>
      </c>
      <c r="E267" s="3" t="str">
        <f>IF(A267="","",IF(DATE(LEFT(D267,4),MID(D267,5,2),RIGHT(D267,2))=Helper1!$P$1,Helper1!$P$1,""))</f>
        <v/>
      </c>
      <c r="F267" s="3" t="str">
        <f>IF(A267="","",'ATP Fills'!G267)</f>
        <v/>
      </c>
      <c r="G267" t="str">
        <f>IF(A267="","",'ATP Fills'!H267)</f>
        <v/>
      </c>
      <c r="H267" t="str">
        <f>IF(A267="","",VLOOKUP(G267,表3_3[],2,0))</f>
        <v/>
      </c>
      <c r="I267" t="str">
        <f>IF(A267="","",VLOOKUP(G267,表3_3[],3,0))</f>
        <v/>
      </c>
      <c r="J267" t="str">
        <f>IF(A267="","",IF('ATP Fills'!I267="3M","",VLOOKUP(RIGHT('ATP Fills'!I267,2),Helper1!$O$36:$P$48,2,0)))</f>
        <v/>
      </c>
      <c r="K267" t="str">
        <f>IF(J267="","",LEFT('ATP Fills'!I267,4))</f>
        <v/>
      </c>
      <c r="L267" t="str">
        <f>IF(A267="","",IF('ATP Fills'!G267="LME",'ATP Fills'!I267,""))</f>
        <v/>
      </c>
      <c r="M267" t="str">
        <f t="shared" si="4"/>
        <v/>
      </c>
    </row>
    <row r="268" spans="1:13">
      <c r="A268" t="str">
        <f>IF('ATP Fills'!A268="","",IF('ATP Fills'!Q268="PHILLIPSG",'ATP Fills'!F268,""))</f>
        <v/>
      </c>
      <c r="B268" t="str">
        <f>IF(A268="","",'ATP Fills'!L268)</f>
        <v/>
      </c>
      <c r="C268" t="str">
        <f>IF(A268="","",'ATP Fills'!M268)</f>
        <v/>
      </c>
      <c r="D268" t="str">
        <f>IF(A268="","",'ATP Fills'!B268)</f>
        <v/>
      </c>
      <c r="E268" s="3" t="str">
        <f>IF(A268="","",IF(DATE(LEFT(D268,4),MID(D268,5,2),RIGHT(D268,2))=Helper1!$P$1,Helper1!$P$1,""))</f>
        <v/>
      </c>
      <c r="F268" s="3" t="str">
        <f>IF(A268="","",'ATP Fills'!G268)</f>
        <v/>
      </c>
      <c r="G268" t="str">
        <f>IF(A268="","",'ATP Fills'!H268)</f>
        <v/>
      </c>
      <c r="H268" t="str">
        <f>IF(A268="","",VLOOKUP(G268,表3_3[],2,0))</f>
        <v/>
      </c>
      <c r="I268" t="str">
        <f>IF(A268="","",VLOOKUP(G268,表3_3[],3,0))</f>
        <v/>
      </c>
      <c r="J268" t="str">
        <f>IF(A268="","",IF('ATP Fills'!I268="3M","",VLOOKUP(RIGHT('ATP Fills'!I268,2),Helper1!$O$36:$P$48,2,0)))</f>
        <v/>
      </c>
      <c r="K268" t="str">
        <f>IF(J268="","",LEFT('ATP Fills'!I268,4))</f>
        <v/>
      </c>
      <c r="L268" t="str">
        <f>IF(A268="","",IF('ATP Fills'!G268="LME",'ATP Fills'!I268,""))</f>
        <v/>
      </c>
      <c r="M268" t="str">
        <f t="shared" si="4"/>
        <v/>
      </c>
    </row>
    <row r="269" spans="1:13">
      <c r="A269" t="str">
        <f>IF('ATP Fills'!A269="","",IF('ATP Fills'!Q269="PHILLIPSG",'ATP Fills'!F269,""))</f>
        <v/>
      </c>
      <c r="B269" t="str">
        <f>IF(A269="","",'ATP Fills'!L269)</f>
        <v/>
      </c>
      <c r="C269" t="str">
        <f>IF(A269="","",'ATP Fills'!M269)</f>
        <v/>
      </c>
      <c r="D269" t="str">
        <f>IF(A269="","",'ATP Fills'!B269)</f>
        <v/>
      </c>
      <c r="E269" s="3" t="str">
        <f>IF(A269="","",IF(DATE(LEFT(D269,4),MID(D269,5,2),RIGHT(D269,2))=Helper1!$P$1,Helper1!$P$1,""))</f>
        <v/>
      </c>
      <c r="F269" s="3" t="str">
        <f>IF(A269="","",'ATP Fills'!G269)</f>
        <v/>
      </c>
      <c r="G269" t="str">
        <f>IF(A269="","",'ATP Fills'!H269)</f>
        <v/>
      </c>
      <c r="H269" t="str">
        <f>IF(A269="","",VLOOKUP(G269,表3_3[],2,0))</f>
        <v/>
      </c>
      <c r="I269" t="str">
        <f>IF(A269="","",VLOOKUP(G269,表3_3[],3,0))</f>
        <v/>
      </c>
      <c r="J269" t="str">
        <f>IF(A269="","",IF('ATP Fills'!I269="3M","",VLOOKUP(RIGHT('ATP Fills'!I269,2),Helper1!$O$36:$P$48,2,0)))</f>
        <v/>
      </c>
      <c r="K269" t="str">
        <f>IF(J269="","",LEFT('ATP Fills'!I269,4))</f>
        <v/>
      </c>
      <c r="L269" t="str">
        <f>IF(A269="","",IF('ATP Fills'!G269="LME",'ATP Fills'!I269,""))</f>
        <v/>
      </c>
      <c r="M269" t="str">
        <f t="shared" si="4"/>
        <v/>
      </c>
    </row>
    <row r="270" spans="1:13">
      <c r="A270" t="str">
        <f>IF('ATP Fills'!A270="","",IF('ATP Fills'!Q270="PHILLIPSG",'ATP Fills'!F270,""))</f>
        <v/>
      </c>
      <c r="B270" t="str">
        <f>IF(A270="","",'ATP Fills'!L270)</f>
        <v/>
      </c>
      <c r="C270" t="str">
        <f>IF(A270="","",'ATP Fills'!M270)</f>
        <v/>
      </c>
      <c r="D270" t="str">
        <f>IF(A270="","",'ATP Fills'!B270)</f>
        <v/>
      </c>
      <c r="E270" s="3" t="str">
        <f>IF(A270="","",IF(DATE(LEFT(D270,4),MID(D270,5,2),RIGHT(D270,2))=Helper1!$P$1,Helper1!$P$1,""))</f>
        <v/>
      </c>
      <c r="F270" s="3" t="str">
        <f>IF(A270="","",'ATP Fills'!G270)</f>
        <v/>
      </c>
      <c r="G270" t="str">
        <f>IF(A270="","",'ATP Fills'!H270)</f>
        <v/>
      </c>
      <c r="H270" t="str">
        <f>IF(A270="","",VLOOKUP(G270,表3_3[],2,0))</f>
        <v/>
      </c>
      <c r="I270" t="str">
        <f>IF(A270="","",VLOOKUP(G270,表3_3[],3,0))</f>
        <v/>
      </c>
      <c r="J270" t="str">
        <f>IF(A270="","",IF('ATP Fills'!I270="3M","",VLOOKUP(RIGHT('ATP Fills'!I270,2),Helper1!$O$36:$P$48,2,0)))</f>
        <v/>
      </c>
      <c r="K270" t="str">
        <f>IF(J270="","",LEFT('ATP Fills'!I270,4))</f>
        <v/>
      </c>
      <c r="L270" t="str">
        <f>IF(A270="","",IF('ATP Fills'!G270="LME",'ATP Fills'!I270,""))</f>
        <v/>
      </c>
      <c r="M270" t="str">
        <f t="shared" si="4"/>
        <v/>
      </c>
    </row>
    <row r="271" spans="1:13">
      <c r="A271" t="str">
        <f>IF('ATP Fills'!A271="","",IF('ATP Fills'!Q271="PHILLIPSG",'ATP Fills'!F271,""))</f>
        <v/>
      </c>
      <c r="B271" t="str">
        <f>IF(A271="","",'ATP Fills'!L271)</f>
        <v/>
      </c>
      <c r="C271" t="str">
        <f>IF(A271="","",'ATP Fills'!M271)</f>
        <v/>
      </c>
      <c r="D271" t="str">
        <f>IF(A271="","",'ATP Fills'!B271)</f>
        <v/>
      </c>
      <c r="E271" s="3" t="str">
        <f>IF(A271="","",IF(DATE(LEFT(D271,4),MID(D271,5,2),RIGHT(D271,2))=Helper1!$P$1,Helper1!$P$1,""))</f>
        <v/>
      </c>
      <c r="F271" s="3" t="str">
        <f>IF(A271="","",'ATP Fills'!G271)</f>
        <v/>
      </c>
      <c r="G271" t="str">
        <f>IF(A271="","",'ATP Fills'!H271)</f>
        <v/>
      </c>
      <c r="H271" t="str">
        <f>IF(A271="","",VLOOKUP(G271,表3_3[],2,0))</f>
        <v/>
      </c>
      <c r="I271" t="str">
        <f>IF(A271="","",VLOOKUP(G271,表3_3[],3,0))</f>
        <v/>
      </c>
      <c r="J271" t="str">
        <f>IF(A271="","",IF('ATP Fills'!I271="3M","",VLOOKUP(RIGHT('ATP Fills'!I271,2),Helper1!$O$36:$P$48,2,0)))</f>
        <v/>
      </c>
      <c r="K271" t="str">
        <f>IF(J271="","",LEFT('ATP Fills'!I271,4))</f>
        <v/>
      </c>
      <c r="L271" t="str">
        <f>IF(A271="","",IF('ATP Fills'!G271="LME",'ATP Fills'!I271,""))</f>
        <v/>
      </c>
      <c r="M271" t="str">
        <f t="shared" si="4"/>
        <v/>
      </c>
    </row>
    <row r="272" spans="1:13">
      <c r="A272" t="str">
        <f>IF('ATP Fills'!A272="","",IF('ATP Fills'!Q272="PHILLIPSG",'ATP Fills'!F272,""))</f>
        <v/>
      </c>
      <c r="B272" t="str">
        <f>IF(A272="","",'ATP Fills'!L272)</f>
        <v/>
      </c>
      <c r="C272" t="str">
        <f>IF(A272="","",'ATP Fills'!M272)</f>
        <v/>
      </c>
      <c r="D272" t="str">
        <f>IF(A272="","",'ATP Fills'!B272)</f>
        <v/>
      </c>
      <c r="E272" s="3" t="str">
        <f>IF(A272="","",IF(DATE(LEFT(D272,4),MID(D272,5,2),RIGHT(D272,2))=Helper1!$P$1,Helper1!$P$1,""))</f>
        <v/>
      </c>
      <c r="F272" s="3" t="str">
        <f>IF(A272="","",'ATP Fills'!G272)</f>
        <v/>
      </c>
      <c r="G272" t="str">
        <f>IF(A272="","",'ATP Fills'!H272)</f>
        <v/>
      </c>
      <c r="H272" t="str">
        <f>IF(A272="","",VLOOKUP(G272,表3_3[],2,0))</f>
        <v/>
      </c>
      <c r="I272" t="str">
        <f>IF(A272="","",VLOOKUP(G272,表3_3[],3,0))</f>
        <v/>
      </c>
      <c r="J272" t="str">
        <f>IF(A272="","",IF('ATP Fills'!I272="3M","",VLOOKUP(RIGHT('ATP Fills'!I272,2),Helper1!$O$36:$P$48,2,0)))</f>
        <v/>
      </c>
      <c r="K272" t="str">
        <f>IF(J272="","",LEFT('ATP Fills'!I272,4))</f>
        <v/>
      </c>
      <c r="L272" t="str">
        <f>IF(A272="","",IF('ATP Fills'!G272="LME",'ATP Fills'!I272,""))</f>
        <v/>
      </c>
      <c r="M272" t="str">
        <f t="shared" si="4"/>
        <v/>
      </c>
    </row>
    <row r="273" spans="1:13">
      <c r="A273" t="str">
        <f>IF('ATP Fills'!A273="","",IF('ATP Fills'!Q273="PHILLIPSG",'ATP Fills'!F273,""))</f>
        <v/>
      </c>
      <c r="B273" t="str">
        <f>IF(A273="","",'ATP Fills'!L273)</f>
        <v/>
      </c>
      <c r="C273" t="str">
        <f>IF(A273="","",'ATP Fills'!M273)</f>
        <v/>
      </c>
      <c r="D273" t="str">
        <f>IF(A273="","",'ATP Fills'!B273)</f>
        <v/>
      </c>
      <c r="E273" s="3" t="str">
        <f>IF(A273="","",IF(DATE(LEFT(D273,4),MID(D273,5,2),RIGHT(D273,2))=Helper1!$P$1,Helper1!$P$1,""))</f>
        <v/>
      </c>
      <c r="F273" s="3" t="str">
        <f>IF(A273="","",'ATP Fills'!G273)</f>
        <v/>
      </c>
      <c r="G273" t="str">
        <f>IF(A273="","",'ATP Fills'!H273)</f>
        <v/>
      </c>
      <c r="H273" t="str">
        <f>IF(A273="","",VLOOKUP(G273,表3_3[],2,0))</f>
        <v/>
      </c>
      <c r="I273" t="str">
        <f>IF(A273="","",VLOOKUP(G273,表3_3[],3,0))</f>
        <v/>
      </c>
      <c r="J273" t="str">
        <f>IF(A273="","",IF('ATP Fills'!I273="3M","",VLOOKUP(RIGHT('ATP Fills'!I273,2),Helper1!$O$36:$P$48,2,0)))</f>
        <v/>
      </c>
      <c r="K273" t="str">
        <f>IF(J273="","",LEFT('ATP Fills'!I273,4))</f>
        <v/>
      </c>
      <c r="L273" t="str">
        <f>IF(A273="","",IF('ATP Fills'!G273="LME",'ATP Fills'!I273,""))</f>
        <v/>
      </c>
      <c r="M273" t="str">
        <f t="shared" si="4"/>
        <v/>
      </c>
    </row>
    <row r="274" spans="1:13">
      <c r="A274" t="str">
        <f>IF('ATP Fills'!A274="","",IF('ATP Fills'!Q274="PHILLIPSG",'ATP Fills'!F274,""))</f>
        <v/>
      </c>
      <c r="B274" t="str">
        <f>IF(A274="","",'ATP Fills'!L274)</f>
        <v/>
      </c>
      <c r="C274" t="str">
        <f>IF(A274="","",'ATP Fills'!M274)</f>
        <v/>
      </c>
      <c r="D274" t="str">
        <f>IF(A274="","",'ATP Fills'!B274)</f>
        <v/>
      </c>
      <c r="E274" s="3" t="str">
        <f>IF(A274="","",IF(DATE(LEFT(D274,4),MID(D274,5,2),RIGHT(D274,2))=Helper1!$P$1,Helper1!$P$1,""))</f>
        <v/>
      </c>
      <c r="F274" s="3" t="str">
        <f>IF(A274="","",'ATP Fills'!G274)</f>
        <v/>
      </c>
      <c r="G274" t="str">
        <f>IF(A274="","",'ATP Fills'!H274)</f>
        <v/>
      </c>
      <c r="H274" t="str">
        <f>IF(A274="","",VLOOKUP(G274,表3_3[],2,0))</f>
        <v/>
      </c>
      <c r="I274" t="str">
        <f>IF(A274="","",VLOOKUP(G274,表3_3[],3,0))</f>
        <v/>
      </c>
      <c r="J274" t="str">
        <f>IF(A274="","",IF('ATP Fills'!I274="3M","",VLOOKUP(RIGHT('ATP Fills'!I274,2),Helper1!$O$36:$P$48,2,0)))</f>
        <v/>
      </c>
      <c r="K274" t="str">
        <f>IF(J274="","",LEFT('ATP Fills'!I274,4))</f>
        <v/>
      </c>
      <c r="L274" t="str">
        <f>IF(A274="","",IF('ATP Fills'!G274="LME",'ATP Fills'!I274,""))</f>
        <v/>
      </c>
      <c r="M274" t="str">
        <f t="shared" si="4"/>
        <v/>
      </c>
    </row>
    <row r="275" spans="1:13">
      <c r="A275" t="str">
        <f>IF('ATP Fills'!A275="","",IF('ATP Fills'!Q275="PHILLIPSG",'ATP Fills'!F275,""))</f>
        <v/>
      </c>
      <c r="B275" t="str">
        <f>IF(A275="","",'ATP Fills'!L275)</f>
        <v/>
      </c>
      <c r="C275" t="str">
        <f>IF(A275="","",'ATP Fills'!M275)</f>
        <v/>
      </c>
      <c r="D275" t="str">
        <f>IF(A275="","",'ATP Fills'!B275)</f>
        <v/>
      </c>
      <c r="E275" s="3" t="str">
        <f>IF(A275="","",IF(DATE(LEFT(D275,4),MID(D275,5,2),RIGHT(D275,2))=Helper1!$P$1,Helper1!$P$1,""))</f>
        <v/>
      </c>
      <c r="F275" s="3" t="str">
        <f>IF(A275="","",'ATP Fills'!G275)</f>
        <v/>
      </c>
      <c r="G275" t="str">
        <f>IF(A275="","",'ATP Fills'!H275)</f>
        <v/>
      </c>
      <c r="H275" t="str">
        <f>IF(A275="","",VLOOKUP(G275,表3_3[],2,0))</f>
        <v/>
      </c>
      <c r="I275" t="str">
        <f>IF(A275="","",VLOOKUP(G275,表3_3[],3,0))</f>
        <v/>
      </c>
      <c r="J275" t="str">
        <f>IF(A275="","",IF('ATP Fills'!I275="3M","",VLOOKUP(RIGHT('ATP Fills'!I275,2),Helper1!$O$36:$P$48,2,0)))</f>
        <v/>
      </c>
      <c r="K275" t="str">
        <f>IF(J275="","",LEFT('ATP Fills'!I275,4))</f>
        <v/>
      </c>
      <c r="L275" t="str">
        <f>IF(A275="","",IF('ATP Fills'!G275="LME",'ATP Fills'!I275,""))</f>
        <v/>
      </c>
      <c r="M275" t="str">
        <f t="shared" si="4"/>
        <v/>
      </c>
    </row>
    <row r="276" spans="1:13">
      <c r="A276" t="str">
        <f>IF('ATP Fills'!A276="","",IF('ATP Fills'!Q276="PHILLIPSG",'ATP Fills'!F276,""))</f>
        <v/>
      </c>
      <c r="B276" t="str">
        <f>IF(A276="","",'ATP Fills'!L276)</f>
        <v/>
      </c>
      <c r="C276" t="str">
        <f>IF(A276="","",'ATP Fills'!M276)</f>
        <v/>
      </c>
      <c r="D276" t="str">
        <f>IF(A276="","",'ATP Fills'!B276)</f>
        <v/>
      </c>
      <c r="E276" s="3" t="str">
        <f>IF(A276="","",IF(DATE(LEFT(D276,4),MID(D276,5,2),RIGHT(D276,2))=Helper1!$P$1,Helper1!$P$1,""))</f>
        <v/>
      </c>
      <c r="F276" s="3" t="str">
        <f>IF(A276="","",'ATP Fills'!G276)</f>
        <v/>
      </c>
      <c r="G276" t="str">
        <f>IF(A276="","",'ATP Fills'!H276)</f>
        <v/>
      </c>
      <c r="H276" t="str">
        <f>IF(A276="","",VLOOKUP(G276,表3_3[],2,0))</f>
        <v/>
      </c>
      <c r="I276" t="str">
        <f>IF(A276="","",VLOOKUP(G276,表3_3[],3,0))</f>
        <v/>
      </c>
      <c r="J276" t="str">
        <f>IF(A276="","",IF('ATP Fills'!I276="3M","",VLOOKUP(RIGHT('ATP Fills'!I276,2),Helper1!$O$36:$P$48,2,0)))</f>
        <v/>
      </c>
      <c r="K276" t="str">
        <f>IF(J276="","",LEFT('ATP Fills'!I276,4))</f>
        <v/>
      </c>
      <c r="L276" t="str">
        <f>IF(A276="","",IF('ATP Fills'!G276="LME",'ATP Fills'!I276,""))</f>
        <v/>
      </c>
      <c r="M276" t="str">
        <f t="shared" si="4"/>
        <v/>
      </c>
    </row>
    <row r="277" spans="1:13">
      <c r="A277" t="str">
        <f>IF('ATP Fills'!A277="","",IF('ATP Fills'!Q277="PHILLIPSG",'ATP Fills'!F277,""))</f>
        <v/>
      </c>
      <c r="B277" t="str">
        <f>IF(A277="","",'ATP Fills'!L277)</f>
        <v/>
      </c>
      <c r="C277" t="str">
        <f>IF(A277="","",'ATP Fills'!M277)</f>
        <v/>
      </c>
      <c r="D277" t="str">
        <f>IF(A277="","",'ATP Fills'!B277)</f>
        <v/>
      </c>
      <c r="E277" s="3" t="str">
        <f>IF(A277="","",IF(DATE(LEFT(D277,4),MID(D277,5,2),RIGHT(D277,2))=Helper1!$P$1,Helper1!$P$1,""))</f>
        <v/>
      </c>
      <c r="F277" s="3" t="str">
        <f>IF(A277="","",'ATP Fills'!G277)</f>
        <v/>
      </c>
      <c r="G277" t="str">
        <f>IF(A277="","",'ATP Fills'!H277)</f>
        <v/>
      </c>
      <c r="H277" t="str">
        <f>IF(A277="","",VLOOKUP(G277,表3_3[],2,0))</f>
        <v/>
      </c>
      <c r="I277" t="str">
        <f>IF(A277="","",VLOOKUP(G277,表3_3[],3,0))</f>
        <v/>
      </c>
      <c r="J277" t="str">
        <f>IF(A277="","",IF('ATP Fills'!I277="3M","",VLOOKUP(RIGHT('ATP Fills'!I277,2),Helper1!$O$36:$P$48,2,0)))</f>
        <v/>
      </c>
      <c r="K277" t="str">
        <f>IF(J277="","",LEFT('ATP Fills'!I277,4))</f>
        <v/>
      </c>
      <c r="L277" t="str">
        <f>IF(A277="","",IF('ATP Fills'!G277="LME",'ATP Fills'!I277,""))</f>
        <v/>
      </c>
      <c r="M277" t="str">
        <f t="shared" si="4"/>
        <v/>
      </c>
    </row>
    <row r="278" spans="1:13">
      <c r="A278" t="str">
        <f>IF('ATP Fills'!A278="","",IF('ATP Fills'!Q278="PHILLIPSG",'ATP Fills'!F278,""))</f>
        <v/>
      </c>
      <c r="B278" t="str">
        <f>IF(A278="","",'ATP Fills'!L278)</f>
        <v/>
      </c>
      <c r="C278" t="str">
        <f>IF(A278="","",'ATP Fills'!M278)</f>
        <v/>
      </c>
      <c r="D278" t="str">
        <f>IF(A278="","",'ATP Fills'!B278)</f>
        <v/>
      </c>
      <c r="E278" s="3" t="str">
        <f>IF(A278="","",IF(DATE(LEFT(D278,4),MID(D278,5,2),RIGHT(D278,2))=Helper1!$P$1,Helper1!$P$1,""))</f>
        <v/>
      </c>
      <c r="F278" s="3" t="str">
        <f>IF(A278="","",'ATP Fills'!G278)</f>
        <v/>
      </c>
      <c r="G278" t="str">
        <f>IF(A278="","",'ATP Fills'!H278)</f>
        <v/>
      </c>
      <c r="H278" t="str">
        <f>IF(A278="","",VLOOKUP(G278,表3_3[],2,0))</f>
        <v/>
      </c>
      <c r="I278" t="str">
        <f>IF(A278="","",VLOOKUP(G278,表3_3[],3,0))</f>
        <v/>
      </c>
      <c r="J278" t="str">
        <f>IF(A278="","",IF('ATP Fills'!I278="3M","",VLOOKUP(RIGHT('ATP Fills'!I278,2),Helper1!$O$36:$P$48,2,0)))</f>
        <v/>
      </c>
      <c r="K278" t="str">
        <f>IF(J278="","",LEFT('ATP Fills'!I278,4))</f>
        <v/>
      </c>
      <c r="L278" t="str">
        <f>IF(A278="","",IF('ATP Fills'!G278="LME",'ATP Fills'!I278,""))</f>
        <v/>
      </c>
      <c r="M278" t="str">
        <f t="shared" si="4"/>
        <v/>
      </c>
    </row>
    <row r="279" spans="1:13">
      <c r="A279" t="str">
        <f>IF('ATP Fills'!A279="","",IF('ATP Fills'!Q279="PHILLIPSG",'ATP Fills'!F279,""))</f>
        <v/>
      </c>
      <c r="B279" t="str">
        <f>IF(A279="","",'ATP Fills'!L279)</f>
        <v/>
      </c>
      <c r="C279" t="str">
        <f>IF(A279="","",'ATP Fills'!M279)</f>
        <v/>
      </c>
      <c r="D279" t="str">
        <f>IF(A279="","",'ATP Fills'!B279)</f>
        <v/>
      </c>
      <c r="E279" s="3" t="str">
        <f>IF(A279="","",IF(DATE(LEFT(D279,4),MID(D279,5,2),RIGHT(D279,2))=Helper1!$P$1,Helper1!$P$1,""))</f>
        <v/>
      </c>
      <c r="F279" s="3" t="str">
        <f>IF(A279="","",'ATP Fills'!G279)</f>
        <v/>
      </c>
      <c r="G279" t="str">
        <f>IF(A279="","",'ATP Fills'!H279)</f>
        <v/>
      </c>
      <c r="H279" t="str">
        <f>IF(A279="","",VLOOKUP(G279,表3_3[],2,0))</f>
        <v/>
      </c>
      <c r="I279" t="str">
        <f>IF(A279="","",VLOOKUP(G279,表3_3[],3,0))</f>
        <v/>
      </c>
      <c r="J279" t="str">
        <f>IF(A279="","",IF('ATP Fills'!I279="3M","",VLOOKUP(RIGHT('ATP Fills'!I279,2),Helper1!$O$36:$P$48,2,0)))</f>
        <v/>
      </c>
      <c r="K279" t="str">
        <f>IF(J279="","",LEFT('ATP Fills'!I279,4))</f>
        <v/>
      </c>
      <c r="L279" t="str">
        <f>IF(A279="","",IF('ATP Fills'!G279="LME",'ATP Fills'!I279,""))</f>
        <v/>
      </c>
      <c r="M279" t="str">
        <f t="shared" si="4"/>
        <v/>
      </c>
    </row>
    <row r="280" spans="1:13">
      <c r="A280" t="str">
        <f>IF('ATP Fills'!A280="","",IF('ATP Fills'!Q280="PHILLIPSG",'ATP Fills'!F280,""))</f>
        <v/>
      </c>
      <c r="B280" t="str">
        <f>IF(A280="","",'ATP Fills'!L280)</f>
        <v/>
      </c>
      <c r="C280" t="str">
        <f>IF(A280="","",'ATP Fills'!M280)</f>
        <v/>
      </c>
      <c r="D280" t="str">
        <f>IF(A280="","",'ATP Fills'!B280)</f>
        <v/>
      </c>
      <c r="E280" s="3" t="str">
        <f>IF(A280="","",IF(DATE(LEFT(D280,4),MID(D280,5,2),RIGHT(D280,2))=Helper1!$P$1,Helper1!$P$1,""))</f>
        <v/>
      </c>
      <c r="F280" s="3" t="str">
        <f>IF(A280="","",'ATP Fills'!G280)</f>
        <v/>
      </c>
      <c r="G280" t="str">
        <f>IF(A280="","",'ATP Fills'!H280)</f>
        <v/>
      </c>
      <c r="H280" t="str">
        <f>IF(A280="","",VLOOKUP(G280,表3_3[],2,0))</f>
        <v/>
      </c>
      <c r="I280" t="str">
        <f>IF(A280="","",VLOOKUP(G280,表3_3[],3,0))</f>
        <v/>
      </c>
      <c r="J280" t="str">
        <f>IF(A280="","",IF('ATP Fills'!I280="3M","",VLOOKUP(RIGHT('ATP Fills'!I280,2),Helper1!$O$36:$P$48,2,0)))</f>
        <v/>
      </c>
      <c r="K280" t="str">
        <f>IF(J280="","",LEFT('ATP Fills'!I280,4))</f>
        <v/>
      </c>
      <c r="L280" t="str">
        <f>IF(A280="","",IF('ATP Fills'!G280="LME",'ATP Fills'!I280,""))</f>
        <v/>
      </c>
      <c r="M280" t="str">
        <f t="shared" si="4"/>
        <v/>
      </c>
    </row>
    <row r="281" spans="1:13">
      <c r="A281" t="str">
        <f>IF('ATP Fills'!A281="","",IF('ATP Fills'!Q281="PHILLIPSG",'ATP Fills'!F281,""))</f>
        <v/>
      </c>
      <c r="B281" t="str">
        <f>IF(A281="","",'ATP Fills'!L281)</f>
        <v/>
      </c>
      <c r="C281" t="str">
        <f>IF(A281="","",'ATP Fills'!M281)</f>
        <v/>
      </c>
      <c r="D281" t="str">
        <f>IF(A281="","",'ATP Fills'!B281)</f>
        <v/>
      </c>
      <c r="E281" s="3" t="str">
        <f>IF(A281="","",IF(DATE(LEFT(D281,4),MID(D281,5,2),RIGHT(D281,2))=Helper1!$P$1,Helper1!$P$1,""))</f>
        <v/>
      </c>
      <c r="F281" s="3" t="str">
        <f>IF(A281="","",'ATP Fills'!G281)</f>
        <v/>
      </c>
      <c r="G281" t="str">
        <f>IF(A281="","",'ATP Fills'!H281)</f>
        <v/>
      </c>
      <c r="H281" t="str">
        <f>IF(A281="","",VLOOKUP(G281,表3_3[],2,0))</f>
        <v/>
      </c>
      <c r="I281" t="str">
        <f>IF(A281="","",VLOOKUP(G281,表3_3[],3,0))</f>
        <v/>
      </c>
      <c r="J281" t="str">
        <f>IF(A281="","",IF('ATP Fills'!I281="3M","",VLOOKUP(RIGHT('ATP Fills'!I281,2),Helper1!$O$36:$P$48,2,0)))</f>
        <v/>
      </c>
      <c r="K281" t="str">
        <f>IF(J281="","",LEFT('ATP Fills'!I281,4))</f>
        <v/>
      </c>
      <c r="L281" t="str">
        <f>IF(A281="","",IF('ATP Fills'!G281="LME",'ATP Fills'!I281,""))</f>
        <v/>
      </c>
      <c r="M281" t="str">
        <f t="shared" si="4"/>
        <v/>
      </c>
    </row>
    <row r="282" spans="1:13">
      <c r="A282" t="str">
        <f>IF('ATP Fills'!A282="","",IF('ATP Fills'!Q282="PHILLIPSG",'ATP Fills'!F282,""))</f>
        <v/>
      </c>
      <c r="B282" t="str">
        <f>IF(A282="","",'ATP Fills'!L282)</f>
        <v/>
      </c>
      <c r="C282" t="str">
        <f>IF(A282="","",'ATP Fills'!M282)</f>
        <v/>
      </c>
      <c r="D282" t="str">
        <f>IF(A282="","",'ATP Fills'!B282)</f>
        <v/>
      </c>
      <c r="E282" s="3" t="str">
        <f>IF(A282="","",IF(DATE(LEFT(D282,4),MID(D282,5,2),RIGHT(D282,2))=Helper1!$P$1,Helper1!$P$1,""))</f>
        <v/>
      </c>
      <c r="F282" s="3" t="str">
        <f>IF(A282="","",'ATP Fills'!G282)</f>
        <v/>
      </c>
      <c r="G282" t="str">
        <f>IF(A282="","",'ATP Fills'!H282)</f>
        <v/>
      </c>
      <c r="H282" t="str">
        <f>IF(A282="","",VLOOKUP(G282,表3_3[],2,0))</f>
        <v/>
      </c>
      <c r="I282" t="str">
        <f>IF(A282="","",VLOOKUP(G282,表3_3[],3,0))</f>
        <v/>
      </c>
      <c r="J282" t="str">
        <f>IF(A282="","",IF('ATP Fills'!I282="3M","",VLOOKUP(RIGHT('ATP Fills'!I282,2),Helper1!$O$36:$P$48,2,0)))</f>
        <v/>
      </c>
      <c r="K282" t="str">
        <f>IF(J282="","",LEFT('ATP Fills'!I282,4))</f>
        <v/>
      </c>
      <c r="L282" t="str">
        <f>IF(A282="","",IF('ATP Fills'!G282="LME",'ATP Fills'!I282,""))</f>
        <v/>
      </c>
      <c r="M282" t="str">
        <f t="shared" si="4"/>
        <v/>
      </c>
    </row>
    <row r="283" spans="1:13">
      <c r="A283" t="str">
        <f>IF('ATP Fills'!A283="","",IF('ATP Fills'!Q283="PHILLIPSG",'ATP Fills'!F283,""))</f>
        <v/>
      </c>
      <c r="B283" t="str">
        <f>IF(A283="","",'ATP Fills'!L283)</f>
        <v/>
      </c>
      <c r="C283" t="str">
        <f>IF(A283="","",'ATP Fills'!M283)</f>
        <v/>
      </c>
      <c r="D283" t="str">
        <f>IF(A283="","",'ATP Fills'!B283)</f>
        <v/>
      </c>
      <c r="E283" s="3" t="str">
        <f>IF(A283="","",IF(DATE(LEFT(D283,4),MID(D283,5,2),RIGHT(D283,2))=Helper1!$P$1,Helper1!$P$1,""))</f>
        <v/>
      </c>
      <c r="F283" s="3" t="str">
        <f>IF(A283="","",'ATP Fills'!G283)</f>
        <v/>
      </c>
      <c r="G283" t="str">
        <f>IF(A283="","",'ATP Fills'!H283)</f>
        <v/>
      </c>
      <c r="H283" t="str">
        <f>IF(A283="","",VLOOKUP(G283,表3_3[],2,0))</f>
        <v/>
      </c>
      <c r="I283" t="str">
        <f>IF(A283="","",VLOOKUP(G283,表3_3[],3,0))</f>
        <v/>
      </c>
      <c r="J283" t="str">
        <f>IF(A283="","",IF('ATP Fills'!I283="3M","",VLOOKUP(RIGHT('ATP Fills'!I283,2),Helper1!$O$36:$P$48,2,0)))</f>
        <v/>
      </c>
      <c r="K283" t="str">
        <f>IF(J283="","",LEFT('ATP Fills'!I283,4))</f>
        <v/>
      </c>
      <c r="L283" t="str">
        <f>IF(A283="","",IF('ATP Fills'!G283="LME",'ATP Fills'!I283,""))</f>
        <v/>
      </c>
      <c r="M283" t="str">
        <f t="shared" si="4"/>
        <v/>
      </c>
    </row>
    <row r="284" spans="1:13">
      <c r="A284" t="str">
        <f>IF('ATP Fills'!A284="","",IF('ATP Fills'!Q284="PHILLIPSG",'ATP Fills'!F284,""))</f>
        <v/>
      </c>
      <c r="B284" t="str">
        <f>IF(A284="","",'ATP Fills'!L284)</f>
        <v/>
      </c>
      <c r="C284" t="str">
        <f>IF(A284="","",'ATP Fills'!M284)</f>
        <v/>
      </c>
      <c r="D284" t="str">
        <f>IF(A284="","",'ATP Fills'!B284)</f>
        <v/>
      </c>
      <c r="E284" s="3" t="str">
        <f>IF(A284="","",IF(DATE(LEFT(D284,4),MID(D284,5,2),RIGHT(D284,2))=Helper1!$P$1,Helper1!$P$1,""))</f>
        <v/>
      </c>
      <c r="F284" s="3" t="str">
        <f>IF(A284="","",'ATP Fills'!G284)</f>
        <v/>
      </c>
      <c r="G284" t="str">
        <f>IF(A284="","",'ATP Fills'!H284)</f>
        <v/>
      </c>
      <c r="H284" t="str">
        <f>IF(A284="","",VLOOKUP(G284,表3_3[],2,0))</f>
        <v/>
      </c>
      <c r="I284" t="str">
        <f>IF(A284="","",VLOOKUP(G284,表3_3[],3,0))</f>
        <v/>
      </c>
      <c r="J284" t="str">
        <f>IF(A284="","",IF('ATP Fills'!I284="3M","",VLOOKUP(RIGHT('ATP Fills'!I284,2),Helper1!$O$36:$P$48,2,0)))</f>
        <v/>
      </c>
      <c r="K284" t="str">
        <f>IF(J284="","",LEFT('ATP Fills'!I284,4))</f>
        <v/>
      </c>
      <c r="L284" t="str">
        <f>IF(A284="","",IF('ATP Fills'!G284="LME",'ATP Fills'!I284,""))</f>
        <v/>
      </c>
      <c r="M284" t="str">
        <f t="shared" si="4"/>
        <v/>
      </c>
    </row>
    <row r="285" spans="1:13">
      <c r="A285" t="str">
        <f>IF('ATP Fills'!A285="","",IF('ATP Fills'!Q285="PHILLIPSG",'ATP Fills'!F285,""))</f>
        <v/>
      </c>
      <c r="B285" t="str">
        <f>IF(A285="","",'ATP Fills'!L285)</f>
        <v/>
      </c>
      <c r="C285" t="str">
        <f>IF(A285="","",'ATP Fills'!M285)</f>
        <v/>
      </c>
      <c r="D285" t="str">
        <f>IF(A285="","",'ATP Fills'!B285)</f>
        <v/>
      </c>
      <c r="E285" s="3" t="str">
        <f>IF(A285="","",IF(DATE(LEFT(D285,4),MID(D285,5,2),RIGHT(D285,2))=Helper1!$P$1,Helper1!$P$1,""))</f>
        <v/>
      </c>
      <c r="F285" s="3" t="str">
        <f>IF(A285="","",'ATP Fills'!G285)</f>
        <v/>
      </c>
      <c r="G285" t="str">
        <f>IF(A285="","",'ATP Fills'!H285)</f>
        <v/>
      </c>
      <c r="H285" t="str">
        <f>IF(A285="","",VLOOKUP(G285,表3_3[],2,0))</f>
        <v/>
      </c>
      <c r="I285" t="str">
        <f>IF(A285="","",VLOOKUP(G285,表3_3[],3,0))</f>
        <v/>
      </c>
      <c r="J285" t="str">
        <f>IF(A285="","",IF('ATP Fills'!I285="3M","",VLOOKUP(RIGHT('ATP Fills'!I285,2),Helper1!$O$36:$P$48,2,0)))</f>
        <v/>
      </c>
      <c r="K285" t="str">
        <f>IF(J285="","",LEFT('ATP Fills'!I285,4))</f>
        <v/>
      </c>
      <c r="L285" t="str">
        <f>IF(A285="","",IF('ATP Fills'!G285="LME",'ATP Fills'!I285,""))</f>
        <v/>
      </c>
      <c r="M285" t="str">
        <f t="shared" si="4"/>
        <v/>
      </c>
    </row>
    <row r="286" spans="1:13">
      <c r="A286" t="str">
        <f>IF('ATP Fills'!A286="","",IF('ATP Fills'!Q286="PHILLIPSG",'ATP Fills'!F286,""))</f>
        <v/>
      </c>
      <c r="B286" t="str">
        <f>IF(A286="","",'ATP Fills'!L286)</f>
        <v/>
      </c>
      <c r="C286" t="str">
        <f>IF(A286="","",'ATP Fills'!M286)</f>
        <v/>
      </c>
      <c r="D286" t="str">
        <f>IF(A286="","",'ATP Fills'!B286)</f>
        <v/>
      </c>
      <c r="E286" s="3" t="str">
        <f>IF(A286="","",IF(DATE(LEFT(D286,4),MID(D286,5,2),RIGHT(D286,2))=Helper1!$P$1,Helper1!$P$1,""))</f>
        <v/>
      </c>
      <c r="F286" s="3" t="str">
        <f>IF(A286="","",'ATP Fills'!G286)</f>
        <v/>
      </c>
      <c r="G286" t="str">
        <f>IF(A286="","",'ATP Fills'!H286)</f>
        <v/>
      </c>
      <c r="H286" t="str">
        <f>IF(A286="","",VLOOKUP(G286,表3_3[],2,0))</f>
        <v/>
      </c>
      <c r="I286" t="str">
        <f>IF(A286="","",VLOOKUP(G286,表3_3[],3,0))</f>
        <v/>
      </c>
      <c r="J286" t="str">
        <f>IF(A286="","",IF('ATP Fills'!I286="3M","",VLOOKUP(RIGHT('ATP Fills'!I286,2),Helper1!$O$36:$P$48,2,0)))</f>
        <v/>
      </c>
      <c r="K286" t="str">
        <f>IF(J286="","",LEFT('ATP Fills'!I286,4))</f>
        <v/>
      </c>
      <c r="L286" t="str">
        <f>IF(A286="","",IF('ATP Fills'!G286="LME",'ATP Fills'!I286,""))</f>
        <v/>
      </c>
      <c r="M286" t="str">
        <f t="shared" si="4"/>
        <v/>
      </c>
    </row>
    <row r="287" spans="1:13">
      <c r="A287" t="str">
        <f>IF('ATP Fills'!A287="","",IF('ATP Fills'!Q287="PHILLIPSG",'ATP Fills'!F287,""))</f>
        <v/>
      </c>
      <c r="B287" t="str">
        <f>IF(A287="","",'ATP Fills'!L287)</f>
        <v/>
      </c>
      <c r="C287" t="str">
        <f>IF(A287="","",'ATP Fills'!M287)</f>
        <v/>
      </c>
      <c r="D287" t="str">
        <f>IF(A287="","",'ATP Fills'!B287)</f>
        <v/>
      </c>
      <c r="E287" s="3" t="str">
        <f>IF(A287="","",IF(DATE(LEFT(D287,4),MID(D287,5,2),RIGHT(D287,2))=Helper1!$P$1,Helper1!$P$1,""))</f>
        <v/>
      </c>
      <c r="F287" s="3" t="str">
        <f>IF(A287="","",'ATP Fills'!G287)</f>
        <v/>
      </c>
      <c r="G287" t="str">
        <f>IF(A287="","",'ATP Fills'!H287)</f>
        <v/>
      </c>
      <c r="H287" t="str">
        <f>IF(A287="","",VLOOKUP(G287,表3_3[],2,0))</f>
        <v/>
      </c>
      <c r="I287" t="str">
        <f>IF(A287="","",VLOOKUP(G287,表3_3[],3,0))</f>
        <v/>
      </c>
      <c r="J287" t="str">
        <f>IF(A287="","",IF('ATP Fills'!I287="3M","",VLOOKUP(RIGHT('ATP Fills'!I287,2),Helper1!$O$36:$P$48,2,0)))</f>
        <v/>
      </c>
      <c r="K287" t="str">
        <f>IF(J287="","",LEFT('ATP Fills'!I287,4))</f>
        <v/>
      </c>
      <c r="L287" t="str">
        <f>IF(A287="","",IF('ATP Fills'!G287="LME",'ATP Fills'!I287,""))</f>
        <v/>
      </c>
      <c r="M287" t="str">
        <f t="shared" si="4"/>
        <v/>
      </c>
    </row>
    <row r="288" spans="1:13">
      <c r="A288" t="str">
        <f>IF('ATP Fills'!A288="","",IF('ATP Fills'!Q288="PHILLIPSG",'ATP Fills'!F288,""))</f>
        <v/>
      </c>
      <c r="B288" t="str">
        <f>IF(A288="","",'ATP Fills'!L288)</f>
        <v/>
      </c>
      <c r="C288" t="str">
        <f>IF(A288="","",'ATP Fills'!M288)</f>
        <v/>
      </c>
      <c r="D288" t="str">
        <f>IF(A288="","",'ATP Fills'!B288)</f>
        <v/>
      </c>
      <c r="E288" s="3" t="str">
        <f>IF(A288="","",IF(DATE(LEFT(D288,4),MID(D288,5,2),RIGHT(D288,2))=Helper1!$P$1,Helper1!$P$1,""))</f>
        <v/>
      </c>
      <c r="F288" s="3" t="str">
        <f>IF(A288="","",'ATP Fills'!G288)</f>
        <v/>
      </c>
      <c r="G288" t="str">
        <f>IF(A288="","",'ATP Fills'!H288)</f>
        <v/>
      </c>
      <c r="H288" t="str">
        <f>IF(A288="","",VLOOKUP(G288,表3_3[],2,0))</f>
        <v/>
      </c>
      <c r="I288" t="str">
        <f>IF(A288="","",VLOOKUP(G288,表3_3[],3,0))</f>
        <v/>
      </c>
      <c r="J288" t="str">
        <f>IF(A288="","",IF('ATP Fills'!I288="3M","",VLOOKUP(RIGHT('ATP Fills'!I288,2),Helper1!$O$36:$P$48,2,0)))</f>
        <v/>
      </c>
      <c r="K288" t="str">
        <f>IF(J288="","",LEFT('ATP Fills'!I288,4))</f>
        <v/>
      </c>
      <c r="L288" t="str">
        <f>IF(A288="","",IF('ATP Fills'!G288="LME",'ATP Fills'!I288,""))</f>
        <v/>
      </c>
      <c r="M288" t="str">
        <f t="shared" si="4"/>
        <v/>
      </c>
    </row>
    <row r="289" spans="1:13">
      <c r="A289" t="str">
        <f>IF('ATP Fills'!A289="","",IF('ATP Fills'!Q289="PHILLIPSG",'ATP Fills'!F289,""))</f>
        <v/>
      </c>
      <c r="B289" t="str">
        <f>IF(A289="","",'ATP Fills'!L289)</f>
        <v/>
      </c>
      <c r="C289" t="str">
        <f>IF(A289="","",'ATP Fills'!M289)</f>
        <v/>
      </c>
      <c r="D289" t="str">
        <f>IF(A289="","",'ATP Fills'!B289)</f>
        <v/>
      </c>
      <c r="E289" s="3" t="str">
        <f>IF(A289="","",IF(DATE(LEFT(D289,4),MID(D289,5,2),RIGHT(D289,2))=Helper1!$P$1,Helper1!$P$1,""))</f>
        <v/>
      </c>
      <c r="F289" s="3" t="str">
        <f>IF(A289="","",'ATP Fills'!G289)</f>
        <v/>
      </c>
      <c r="G289" t="str">
        <f>IF(A289="","",'ATP Fills'!H289)</f>
        <v/>
      </c>
      <c r="H289" t="str">
        <f>IF(A289="","",VLOOKUP(G289,表3_3[],2,0))</f>
        <v/>
      </c>
      <c r="I289" t="str">
        <f>IF(A289="","",VLOOKUP(G289,表3_3[],3,0))</f>
        <v/>
      </c>
      <c r="J289" t="str">
        <f>IF(A289="","",IF('ATP Fills'!I289="3M","",VLOOKUP(RIGHT('ATP Fills'!I289,2),Helper1!$O$36:$P$48,2,0)))</f>
        <v/>
      </c>
      <c r="K289" t="str">
        <f>IF(J289="","",LEFT('ATP Fills'!I289,4))</f>
        <v/>
      </c>
      <c r="L289" t="str">
        <f>IF(A289="","",IF('ATP Fills'!G289="LME",'ATP Fills'!I289,""))</f>
        <v/>
      </c>
      <c r="M289" t="str">
        <f t="shared" si="4"/>
        <v/>
      </c>
    </row>
    <row r="290" spans="1:13">
      <c r="A290" t="str">
        <f>IF('ATP Fills'!A290="","",IF('ATP Fills'!Q290="PHILLIPSG",'ATP Fills'!F290,""))</f>
        <v/>
      </c>
      <c r="B290" t="str">
        <f>IF(A290="","",'ATP Fills'!L290)</f>
        <v/>
      </c>
      <c r="C290" t="str">
        <f>IF(A290="","",'ATP Fills'!M290)</f>
        <v/>
      </c>
      <c r="D290" t="str">
        <f>IF(A290="","",'ATP Fills'!B290)</f>
        <v/>
      </c>
      <c r="E290" s="3" t="str">
        <f>IF(A290="","",IF(DATE(LEFT(D290,4),MID(D290,5,2),RIGHT(D290,2))=Helper1!$P$1,Helper1!$P$1,""))</f>
        <v/>
      </c>
      <c r="F290" s="3" t="str">
        <f>IF(A290="","",'ATP Fills'!G290)</f>
        <v/>
      </c>
      <c r="G290" t="str">
        <f>IF(A290="","",'ATP Fills'!H290)</f>
        <v/>
      </c>
      <c r="H290" t="str">
        <f>IF(A290="","",VLOOKUP(G290,表3_3[],2,0))</f>
        <v/>
      </c>
      <c r="I290" t="str">
        <f>IF(A290="","",VLOOKUP(G290,表3_3[],3,0))</f>
        <v/>
      </c>
      <c r="J290" t="str">
        <f>IF(A290="","",IF('ATP Fills'!I290="3M","",VLOOKUP(RIGHT('ATP Fills'!I290,2),Helper1!$O$36:$P$48,2,0)))</f>
        <v/>
      </c>
      <c r="K290" t="str">
        <f>IF(J290="","",LEFT('ATP Fills'!I290,4))</f>
        <v/>
      </c>
      <c r="L290" t="str">
        <f>IF(A290="","",IF('ATP Fills'!G290="LME",'ATP Fills'!I290,""))</f>
        <v/>
      </c>
      <c r="M290" t="str">
        <f t="shared" si="4"/>
        <v/>
      </c>
    </row>
    <row r="291" spans="1:13">
      <c r="A291" t="str">
        <f>IF('ATP Fills'!A291="","",IF('ATP Fills'!Q291="PHILLIPSG",'ATP Fills'!F291,""))</f>
        <v/>
      </c>
      <c r="B291" t="str">
        <f>IF(A291="","",'ATP Fills'!L291)</f>
        <v/>
      </c>
      <c r="C291" t="str">
        <f>IF(A291="","",'ATP Fills'!M291)</f>
        <v/>
      </c>
      <c r="D291" t="str">
        <f>IF(A291="","",'ATP Fills'!B291)</f>
        <v/>
      </c>
      <c r="E291" s="3" t="str">
        <f>IF(A291="","",IF(DATE(LEFT(D291,4),MID(D291,5,2),RIGHT(D291,2))=Helper1!$P$1,Helper1!$P$1,""))</f>
        <v/>
      </c>
      <c r="F291" s="3" t="str">
        <f>IF(A291="","",'ATP Fills'!G291)</f>
        <v/>
      </c>
      <c r="G291" t="str">
        <f>IF(A291="","",'ATP Fills'!H291)</f>
        <v/>
      </c>
      <c r="H291" t="str">
        <f>IF(A291="","",VLOOKUP(G291,表3_3[],2,0))</f>
        <v/>
      </c>
      <c r="I291" t="str">
        <f>IF(A291="","",VLOOKUP(G291,表3_3[],3,0))</f>
        <v/>
      </c>
      <c r="J291" t="str">
        <f>IF(A291="","",IF('ATP Fills'!I291="3M","",VLOOKUP(RIGHT('ATP Fills'!I291,2),Helper1!$O$36:$P$48,2,0)))</f>
        <v/>
      </c>
      <c r="K291" t="str">
        <f>IF(J291="","",LEFT('ATP Fills'!I291,4))</f>
        <v/>
      </c>
      <c r="L291" t="str">
        <f>IF(A291="","",IF('ATP Fills'!G291="LME",'ATP Fills'!I291,""))</f>
        <v/>
      </c>
      <c r="M291" t="str">
        <f t="shared" si="4"/>
        <v/>
      </c>
    </row>
    <row r="292" spans="1:13">
      <c r="A292" t="str">
        <f>IF('ATP Fills'!A292="","",IF('ATP Fills'!Q292="PHILLIPSG",'ATP Fills'!F292,""))</f>
        <v/>
      </c>
      <c r="B292" t="str">
        <f>IF(A292="","",'ATP Fills'!L292)</f>
        <v/>
      </c>
      <c r="C292" t="str">
        <f>IF(A292="","",'ATP Fills'!M292)</f>
        <v/>
      </c>
      <c r="D292" t="str">
        <f>IF(A292="","",'ATP Fills'!B292)</f>
        <v/>
      </c>
      <c r="E292" s="3" t="str">
        <f>IF(A292="","",IF(DATE(LEFT(D292,4),MID(D292,5,2),RIGHT(D292,2))=Helper1!$P$1,Helper1!$P$1,""))</f>
        <v/>
      </c>
      <c r="F292" s="3" t="str">
        <f>IF(A292="","",'ATP Fills'!G292)</f>
        <v/>
      </c>
      <c r="G292" t="str">
        <f>IF(A292="","",'ATP Fills'!H292)</f>
        <v/>
      </c>
      <c r="H292" t="str">
        <f>IF(A292="","",VLOOKUP(G292,表3_3[],2,0))</f>
        <v/>
      </c>
      <c r="I292" t="str">
        <f>IF(A292="","",VLOOKUP(G292,表3_3[],3,0))</f>
        <v/>
      </c>
      <c r="J292" t="str">
        <f>IF(A292="","",IF('ATP Fills'!I292="3M","",VLOOKUP(RIGHT('ATP Fills'!I292,2),Helper1!$O$36:$P$48,2,0)))</f>
        <v/>
      </c>
      <c r="K292" t="str">
        <f>IF(J292="","",LEFT('ATP Fills'!I292,4))</f>
        <v/>
      </c>
      <c r="L292" t="str">
        <f>IF(A292="","",IF('ATP Fills'!G292="LME",'ATP Fills'!I292,""))</f>
        <v/>
      </c>
      <c r="M292" t="str">
        <f t="shared" si="4"/>
        <v/>
      </c>
    </row>
    <row r="293" spans="1:13">
      <c r="A293" t="str">
        <f>IF('ATP Fills'!A293="","",IF('ATP Fills'!Q293="PHILLIPSG",'ATP Fills'!F293,""))</f>
        <v/>
      </c>
      <c r="B293" t="str">
        <f>IF(A293="","",'ATP Fills'!L293)</f>
        <v/>
      </c>
      <c r="C293" t="str">
        <f>IF(A293="","",'ATP Fills'!M293)</f>
        <v/>
      </c>
      <c r="D293" t="str">
        <f>IF(A293="","",'ATP Fills'!B293)</f>
        <v/>
      </c>
      <c r="E293" s="3" t="str">
        <f>IF(A293="","",IF(DATE(LEFT(D293,4),MID(D293,5,2),RIGHT(D293,2))=Helper1!$P$1,Helper1!$P$1,""))</f>
        <v/>
      </c>
      <c r="F293" s="3" t="str">
        <f>IF(A293="","",'ATP Fills'!G293)</f>
        <v/>
      </c>
      <c r="G293" t="str">
        <f>IF(A293="","",'ATP Fills'!H293)</f>
        <v/>
      </c>
      <c r="H293" t="str">
        <f>IF(A293="","",VLOOKUP(G293,表3_3[],2,0))</f>
        <v/>
      </c>
      <c r="I293" t="str">
        <f>IF(A293="","",VLOOKUP(G293,表3_3[],3,0))</f>
        <v/>
      </c>
      <c r="J293" t="str">
        <f>IF(A293="","",IF('ATP Fills'!I293="3M","",VLOOKUP(RIGHT('ATP Fills'!I293,2),Helper1!$O$36:$P$48,2,0)))</f>
        <v/>
      </c>
      <c r="K293" t="str">
        <f>IF(J293="","",LEFT('ATP Fills'!I293,4))</f>
        <v/>
      </c>
      <c r="L293" t="str">
        <f>IF(A293="","",IF('ATP Fills'!G293="LME",'ATP Fills'!I293,""))</f>
        <v/>
      </c>
      <c r="M293" t="str">
        <f t="shared" si="4"/>
        <v/>
      </c>
    </row>
    <row r="294" spans="1:13">
      <c r="A294" t="str">
        <f>IF('ATP Fills'!A294="","",IF('ATP Fills'!Q294="PHILLIPSG",'ATP Fills'!F294,""))</f>
        <v/>
      </c>
      <c r="B294" t="str">
        <f>IF(A294="","",'ATP Fills'!L294)</f>
        <v/>
      </c>
      <c r="C294" t="str">
        <f>IF(A294="","",'ATP Fills'!M294)</f>
        <v/>
      </c>
      <c r="D294" t="str">
        <f>IF(A294="","",'ATP Fills'!B294)</f>
        <v/>
      </c>
      <c r="E294" s="3" t="str">
        <f>IF(A294="","",IF(DATE(LEFT(D294,4),MID(D294,5,2),RIGHT(D294,2))=Helper1!$P$1,Helper1!$P$1,""))</f>
        <v/>
      </c>
      <c r="F294" s="3" t="str">
        <f>IF(A294="","",'ATP Fills'!G294)</f>
        <v/>
      </c>
      <c r="G294" t="str">
        <f>IF(A294="","",'ATP Fills'!H294)</f>
        <v/>
      </c>
      <c r="H294" t="str">
        <f>IF(A294="","",VLOOKUP(G294,表3_3[],2,0))</f>
        <v/>
      </c>
      <c r="I294" t="str">
        <f>IF(A294="","",VLOOKUP(G294,表3_3[],3,0))</f>
        <v/>
      </c>
      <c r="J294" t="str">
        <f>IF(A294="","",IF('ATP Fills'!I294="3M","",VLOOKUP(RIGHT('ATP Fills'!I294,2),Helper1!$O$36:$P$48,2,0)))</f>
        <v/>
      </c>
      <c r="K294" t="str">
        <f>IF(J294="","",LEFT('ATP Fills'!I294,4))</f>
        <v/>
      </c>
      <c r="L294" t="str">
        <f>IF(A294="","",IF('ATP Fills'!G294="LME",'ATP Fills'!I294,""))</f>
        <v/>
      </c>
      <c r="M294" t="str">
        <f t="shared" si="4"/>
        <v/>
      </c>
    </row>
    <row r="295" spans="1:13">
      <c r="A295" t="str">
        <f>IF('ATP Fills'!A295="","",IF('ATP Fills'!Q295="PHILLIPSG",'ATP Fills'!F295,""))</f>
        <v/>
      </c>
      <c r="B295" t="str">
        <f>IF(A295="","",'ATP Fills'!L295)</f>
        <v/>
      </c>
      <c r="C295" t="str">
        <f>IF(A295="","",'ATP Fills'!M295)</f>
        <v/>
      </c>
      <c r="D295" t="str">
        <f>IF(A295="","",'ATP Fills'!B295)</f>
        <v/>
      </c>
      <c r="E295" s="3" t="str">
        <f>IF(A295="","",IF(DATE(LEFT(D295,4),MID(D295,5,2),RIGHT(D295,2))=Helper1!$P$1,Helper1!$P$1,""))</f>
        <v/>
      </c>
      <c r="F295" s="3" t="str">
        <f>IF(A295="","",'ATP Fills'!G295)</f>
        <v/>
      </c>
      <c r="G295" t="str">
        <f>IF(A295="","",'ATP Fills'!H295)</f>
        <v/>
      </c>
      <c r="H295" t="str">
        <f>IF(A295="","",VLOOKUP(G295,表3_3[],2,0))</f>
        <v/>
      </c>
      <c r="I295" t="str">
        <f>IF(A295="","",VLOOKUP(G295,表3_3[],3,0))</f>
        <v/>
      </c>
      <c r="J295" t="str">
        <f>IF(A295="","",IF('ATP Fills'!I295="3M","",VLOOKUP(RIGHT('ATP Fills'!I295,2),Helper1!$O$36:$P$48,2,0)))</f>
        <v/>
      </c>
      <c r="K295" t="str">
        <f>IF(J295="","",LEFT('ATP Fills'!I295,4))</f>
        <v/>
      </c>
      <c r="L295" t="str">
        <f>IF(A295="","",IF('ATP Fills'!G295="LME",'ATP Fills'!I295,""))</f>
        <v/>
      </c>
      <c r="M295" t="str">
        <f t="shared" si="4"/>
        <v/>
      </c>
    </row>
    <row r="296" spans="1:13">
      <c r="A296" t="str">
        <f>IF('ATP Fills'!A296="","",IF('ATP Fills'!Q296="PHILLIPSG",'ATP Fills'!F296,""))</f>
        <v/>
      </c>
      <c r="B296" t="str">
        <f>IF(A296="","",'ATP Fills'!L296)</f>
        <v/>
      </c>
      <c r="C296" t="str">
        <f>IF(A296="","",'ATP Fills'!M296)</f>
        <v/>
      </c>
      <c r="D296" t="str">
        <f>IF(A296="","",'ATP Fills'!B296)</f>
        <v/>
      </c>
      <c r="E296" s="3" t="str">
        <f>IF(A296="","",IF(DATE(LEFT(D296,4),MID(D296,5,2),RIGHT(D296,2))=Helper1!$P$1,Helper1!$P$1,""))</f>
        <v/>
      </c>
      <c r="F296" s="3" t="str">
        <f>IF(A296="","",'ATP Fills'!G296)</f>
        <v/>
      </c>
      <c r="G296" t="str">
        <f>IF(A296="","",'ATP Fills'!H296)</f>
        <v/>
      </c>
      <c r="H296" t="str">
        <f>IF(A296="","",VLOOKUP(G296,表3_3[],2,0))</f>
        <v/>
      </c>
      <c r="I296" t="str">
        <f>IF(A296="","",VLOOKUP(G296,表3_3[],3,0))</f>
        <v/>
      </c>
      <c r="J296" t="str">
        <f>IF(A296="","",IF('ATP Fills'!I296="3M","",VLOOKUP(RIGHT('ATP Fills'!I296,2),Helper1!$O$36:$P$48,2,0)))</f>
        <v/>
      </c>
      <c r="K296" t="str">
        <f>IF(J296="","",LEFT('ATP Fills'!I296,4))</f>
        <v/>
      </c>
      <c r="L296" t="str">
        <f>IF(A296="","",IF('ATP Fills'!G296="LME",'ATP Fills'!I296,""))</f>
        <v/>
      </c>
      <c r="M296" t="str">
        <f t="shared" si="4"/>
        <v/>
      </c>
    </row>
    <row r="297" spans="1:13">
      <c r="A297" t="str">
        <f>IF('ATP Fills'!A297="","",IF('ATP Fills'!Q297="PHILLIPSG",'ATP Fills'!F297,""))</f>
        <v/>
      </c>
      <c r="B297" t="str">
        <f>IF(A297="","",'ATP Fills'!L297)</f>
        <v/>
      </c>
      <c r="C297" t="str">
        <f>IF(A297="","",'ATP Fills'!M297)</f>
        <v/>
      </c>
      <c r="D297" t="str">
        <f>IF(A297="","",'ATP Fills'!B297)</f>
        <v/>
      </c>
      <c r="E297" s="3" t="str">
        <f>IF(A297="","",IF(DATE(LEFT(D297,4),MID(D297,5,2),RIGHT(D297,2))=Helper1!$P$1,Helper1!$P$1,""))</f>
        <v/>
      </c>
      <c r="F297" s="3" t="str">
        <f>IF(A297="","",'ATP Fills'!G297)</f>
        <v/>
      </c>
      <c r="G297" t="str">
        <f>IF(A297="","",'ATP Fills'!H297)</f>
        <v/>
      </c>
      <c r="H297" t="str">
        <f>IF(A297="","",VLOOKUP(G297,表3_3[],2,0))</f>
        <v/>
      </c>
      <c r="I297" t="str">
        <f>IF(A297="","",VLOOKUP(G297,表3_3[],3,0))</f>
        <v/>
      </c>
      <c r="J297" t="str">
        <f>IF(A297="","",IF('ATP Fills'!I297="3M","",VLOOKUP(RIGHT('ATP Fills'!I297,2),Helper1!$O$36:$P$48,2,0)))</f>
        <v/>
      </c>
      <c r="K297" t="str">
        <f>IF(J297="","",LEFT('ATP Fills'!I297,4))</f>
        <v/>
      </c>
      <c r="L297" t="str">
        <f>IF(A297="","",IF('ATP Fills'!G297="LME",'ATP Fills'!I297,""))</f>
        <v/>
      </c>
      <c r="M297" t="str">
        <f t="shared" si="4"/>
        <v/>
      </c>
    </row>
    <row r="298" spans="1:13">
      <c r="A298" t="str">
        <f>IF('ATP Fills'!A298="","",IF('ATP Fills'!Q298="PHILLIPSG",'ATP Fills'!F298,""))</f>
        <v/>
      </c>
      <c r="B298" t="str">
        <f>IF(A298="","",'ATP Fills'!L298)</f>
        <v/>
      </c>
      <c r="C298" t="str">
        <f>IF(A298="","",'ATP Fills'!M298)</f>
        <v/>
      </c>
      <c r="D298" t="str">
        <f>IF(A298="","",'ATP Fills'!B298)</f>
        <v/>
      </c>
      <c r="E298" s="3" t="str">
        <f>IF(A298="","",IF(DATE(LEFT(D298,4),MID(D298,5,2),RIGHT(D298,2))=Helper1!$P$1,Helper1!$P$1,""))</f>
        <v/>
      </c>
      <c r="F298" s="3" t="str">
        <f>IF(A298="","",'ATP Fills'!G298)</f>
        <v/>
      </c>
      <c r="G298" t="str">
        <f>IF(A298="","",'ATP Fills'!H298)</f>
        <v/>
      </c>
      <c r="H298" t="str">
        <f>IF(A298="","",VLOOKUP(G298,表3_3[],2,0))</f>
        <v/>
      </c>
      <c r="I298" t="str">
        <f>IF(A298="","",VLOOKUP(G298,表3_3[],3,0))</f>
        <v/>
      </c>
      <c r="J298" t="str">
        <f>IF(A298="","",IF('ATP Fills'!I298="3M","",VLOOKUP(RIGHT('ATP Fills'!I298,2),Helper1!$O$36:$P$48,2,0)))</f>
        <v/>
      </c>
      <c r="K298" t="str">
        <f>IF(J298="","",LEFT('ATP Fills'!I298,4))</f>
        <v/>
      </c>
      <c r="L298" t="str">
        <f>IF(A298="","",IF('ATP Fills'!G298="LME",'ATP Fills'!I298,""))</f>
        <v/>
      </c>
      <c r="M298" t="str">
        <f t="shared" si="4"/>
        <v/>
      </c>
    </row>
    <row r="299" spans="1:13">
      <c r="A299" t="str">
        <f>IF('ATP Fills'!A299="","",IF('ATP Fills'!Q299="PHILLIPSG",'ATP Fills'!F299,""))</f>
        <v/>
      </c>
      <c r="B299" t="str">
        <f>IF(A299="","",'ATP Fills'!L299)</f>
        <v/>
      </c>
      <c r="C299" t="str">
        <f>IF(A299="","",'ATP Fills'!M299)</f>
        <v/>
      </c>
      <c r="D299" t="str">
        <f>IF(A299="","",'ATP Fills'!B299)</f>
        <v/>
      </c>
      <c r="E299" s="3" t="str">
        <f>IF(A299="","",IF(DATE(LEFT(D299,4),MID(D299,5,2),RIGHT(D299,2))=Helper1!$P$1,Helper1!$P$1,""))</f>
        <v/>
      </c>
      <c r="F299" s="3" t="str">
        <f>IF(A299="","",'ATP Fills'!G299)</f>
        <v/>
      </c>
      <c r="G299" t="str">
        <f>IF(A299="","",'ATP Fills'!H299)</f>
        <v/>
      </c>
      <c r="H299" t="str">
        <f>IF(A299="","",VLOOKUP(G299,表3_3[],2,0))</f>
        <v/>
      </c>
      <c r="I299" t="str">
        <f>IF(A299="","",VLOOKUP(G299,表3_3[],3,0))</f>
        <v/>
      </c>
      <c r="J299" t="str">
        <f>IF(A299="","",IF('ATP Fills'!I299="3M","",VLOOKUP(RIGHT('ATP Fills'!I299,2),Helper1!$O$36:$P$48,2,0)))</f>
        <v/>
      </c>
      <c r="K299" t="str">
        <f>IF(J299="","",LEFT('ATP Fills'!I299,4))</f>
        <v/>
      </c>
      <c r="L299" t="str">
        <f>IF(A299="","",IF('ATP Fills'!G299="LME",'ATP Fills'!I299,""))</f>
        <v/>
      </c>
      <c r="M299" t="str">
        <f t="shared" si="4"/>
        <v/>
      </c>
    </row>
    <row r="300" spans="1:13">
      <c r="A300" t="str">
        <f>IF('ATP Fills'!A300="","",IF('ATP Fills'!Q300="PHILLIPSG",'ATP Fills'!F300,""))</f>
        <v/>
      </c>
      <c r="B300" t="str">
        <f>IF(A300="","",'ATP Fills'!L300)</f>
        <v/>
      </c>
      <c r="C300" t="str">
        <f>IF(A300="","",'ATP Fills'!M300)</f>
        <v/>
      </c>
      <c r="D300" t="str">
        <f>IF(A300="","",'ATP Fills'!B300)</f>
        <v/>
      </c>
      <c r="E300" s="3" t="str">
        <f>IF(A300="","",IF(DATE(LEFT(D300,4),MID(D300,5,2),RIGHT(D300,2))=Helper1!$P$1,Helper1!$P$1,""))</f>
        <v/>
      </c>
      <c r="F300" s="3" t="str">
        <f>IF(A300="","",'ATP Fills'!G300)</f>
        <v/>
      </c>
      <c r="G300" t="str">
        <f>IF(A300="","",'ATP Fills'!H300)</f>
        <v/>
      </c>
      <c r="H300" t="str">
        <f>IF(A300="","",VLOOKUP(G300,表3_3[],2,0))</f>
        <v/>
      </c>
      <c r="I300" t="str">
        <f>IF(A300="","",VLOOKUP(G300,表3_3[],3,0))</f>
        <v/>
      </c>
      <c r="J300" t="str">
        <f>IF(A300="","",IF('ATP Fills'!I300="3M","",VLOOKUP(RIGHT('ATP Fills'!I300,2),Helper1!$O$36:$P$48,2,0)))</f>
        <v/>
      </c>
      <c r="K300" t="str">
        <f>IF(J300="","",LEFT('ATP Fills'!I300,4))</f>
        <v/>
      </c>
      <c r="L300" t="str">
        <f>IF(A300="","",IF('ATP Fills'!G300="LME",'ATP Fills'!I300,""))</f>
        <v/>
      </c>
      <c r="M300" t="str">
        <f t="shared" si="4"/>
        <v/>
      </c>
    </row>
    <row r="301" spans="1:13">
      <c r="A301" t="str">
        <f>IF('ATP Fills'!A301="","",IF('ATP Fills'!Q301="PHILLIPSG",'ATP Fills'!F301,""))</f>
        <v/>
      </c>
      <c r="B301" t="str">
        <f>IF(A301="","",'ATP Fills'!L301)</f>
        <v/>
      </c>
      <c r="C301" t="str">
        <f>IF(A301="","",'ATP Fills'!M301)</f>
        <v/>
      </c>
      <c r="D301" t="str">
        <f>IF(A301="","",'ATP Fills'!B301)</f>
        <v/>
      </c>
      <c r="E301" s="3" t="str">
        <f>IF(A301="","",IF(DATE(LEFT(D301,4),MID(D301,5,2),RIGHT(D301,2))=Helper1!$P$1,Helper1!$P$1,""))</f>
        <v/>
      </c>
      <c r="F301" s="3" t="str">
        <f>IF(A301="","",'ATP Fills'!G301)</f>
        <v/>
      </c>
      <c r="G301" t="str">
        <f>IF(A301="","",'ATP Fills'!H301)</f>
        <v/>
      </c>
      <c r="H301" t="str">
        <f>IF(A301="","",VLOOKUP(G301,表3_3[],2,0))</f>
        <v/>
      </c>
      <c r="I301" t="str">
        <f>IF(A301="","",VLOOKUP(G301,表3_3[],3,0))</f>
        <v/>
      </c>
      <c r="J301" t="str">
        <f>IF(A301="","",IF('ATP Fills'!I301="3M","",VLOOKUP(RIGHT('ATP Fills'!I301,2),Helper1!$O$36:$P$48,2,0)))</f>
        <v/>
      </c>
      <c r="K301" t="str">
        <f>IF(J301="","",LEFT('ATP Fills'!I301,4))</f>
        <v/>
      </c>
      <c r="L301" t="str">
        <f>IF(A301="","",IF('ATP Fills'!G301="LME",'ATP Fills'!I301,""))</f>
        <v/>
      </c>
      <c r="M301" t="str">
        <f t="shared" si="4"/>
        <v/>
      </c>
    </row>
    <row r="302" spans="1:13">
      <c r="A302" t="str">
        <f>IF('ATP Fills'!A302="","",IF('ATP Fills'!Q302="PHILLIPSG",'ATP Fills'!F302,""))</f>
        <v/>
      </c>
      <c r="B302" t="str">
        <f>IF(A302="","",'ATP Fills'!L302)</f>
        <v/>
      </c>
      <c r="C302" t="str">
        <f>IF(A302="","",'ATP Fills'!M302)</f>
        <v/>
      </c>
      <c r="D302" t="str">
        <f>IF(A302="","",'ATP Fills'!B302)</f>
        <v/>
      </c>
      <c r="E302" s="3" t="str">
        <f>IF(A302="","",IF(DATE(LEFT(D302,4),MID(D302,5,2),RIGHT(D302,2))=Helper1!$P$1,Helper1!$P$1,""))</f>
        <v/>
      </c>
      <c r="F302" s="3" t="str">
        <f>IF(A302="","",'ATP Fills'!G302)</f>
        <v/>
      </c>
      <c r="G302" t="str">
        <f>IF(A302="","",'ATP Fills'!H302)</f>
        <v/>
      </c>
      <c r="H302" t="str">
        <f>IF(A302="","",VLOOKUP(G302,表3_3[],2,0))</f>
        <v/>
      </c>
      <c r="I302" t="str">
        <f>IF(A302="","",VLOOKUP(G302,表3_3[],3,0))</f>
        <v/>
      </c>
      <c r="J302" t="str">
        <f>IF(A302="","",IF('ATP Fills'!I302="3M","",VLOOKUP(RIGHT('ATP Fills'!I302,2),Helper1!$O$36:$P$48,2,0)))</f>
        <v/>
      </c>
      <c r="K302" t="str">
        <f>IF(J302="","",LEFT('ATP Fills'!I302,4))</f>
        <v/>
      </c>
      <c r="L302" t="str">
        <f>IF(A302="","",IF('ATP Fills'!G302="LME",'ATP Fills'!I302,""))</f>
        <v/>
      </c>
      <c r="M302" t="str">
        <f t="shared" si="4"/>
        <v/>
      </c>
    </row>
    <row r="303" spans="1:13">
      <c r="A303" t="str">
        <f>IF('ATP Fills'!A303="","",IF('ATP Fills'!Q303="PHILLIPSG",'ATP Fills'!F303,""))</f>
        <v/>
      </c>
      <c r="B303" t="str">
        <f>IF(A303="","",'ATP Fills'!L303)</f>
        <v/>
      </c>
      <c r="C303" t="str">
        <f>IF(A303="","",'ATP Fills'!M303)</f>
        <v/>
      </c>
      <c r="D303" t="str">
        <f>IF(A303="","",'ATP Fills'!B303)</f>
        <v/>
      </c>
      <c r="E303" s="3" t="str">
        <f>IF(A303="","",IF(DATE(LEFT(D303,4),MID(D303,5,2),RIGHT(D303,2))=Helper1!$P$1,Helper1!$P$1,""))</f>
        <v/>
      </c>
      <c r="F303" s="3" t="str">
        <f>IF(A303="","",'ATP Fills'!G303)</f>
        <v/>
      </c>
      <c r="G303" t="str">
        <f>IF(A303="","",'ATP Fills'!H303)</f>
        <v/>
      </c>
      <c r="H303" t="str">
        <f>IF(A303="","",VLOOKUP(G303,表3_3[],2,0))</f>
        <v/>
      </c>
      <c r="I303" t="str">
        <f>IF(A303="","",VLOOKUP(G303,表3_3[],3,0))</f>
        <v/>
      </c>
      <c r="J303" t="str">
        <f>IF(A303="","",IF('ATP Fills'!I303="3M","",VLOOKUP(RIGHT('ATP Fills'!I303,2),Helper1!$O$36:$P$48,2,0)))</f>
        <v/>
      </c>
      <c r="K303" t="str">
        <f>IF(J303="","",LEFT('ATP Fills'!I303,4))</f>
        <v/>
      </c>
      <c r="L303" t="str">
        <f>IF(A303="","",IF('ATP Fills'!G303="LME",'ATP Fills'!I303,""))</f>
        <v/>
      </c>
      <c r="M303" t="str">
        <f t="shared" si="4"/>
        <v/>
      </c>
    </row>
    <row r="304" spans="1:13">
      <c r="A304" t="str">
        <f>IF('ATP Fills'!A304="","",IF('ATP Fills'!Q304="PHILLIPSG",'ATP Fills'!F304,""))</f>
        <v/>
      </c>
      <c r="B304" t="str">
        <f>IF(A304="","",'ATP Fills'!L304)</f>
        <v/>
      </c>
      <c r="C304" t="str">
        <f>IF(A304="","",'ATP Fills'!M304)</f>
        <v/>
      </c>
      <c r="D304" t="str">
        <f>IF(A304="","",'ATP Fills'!B304)</f>
        <v/>
      </c>
      <c r="E304" s="3" t="str">
        <f>IF(A304="","",IF(DATE(LEFT(D304,4),MID(D304,5,2),RIGHT(D304,2))=Helper1!$P$1,Helper1!$P$1,""))</f>
        <v/>
      </c>
      <c r="F304" s="3" t="str">
        <f>IF(A304="","",'ATP Fills'!G304)</f>
        <v/>
      </c>
      <c r="G304" t="str">
        <f>IF(A304="","",'ATP Fills'!H304)</f>
        <v/>
      </c>
      <c r="H304" t="str">
        <f>IF(A304="","",VLOOKUP(G304,表3_3[],2,0))</f>
        <v/>
      </c>
      <c r="I304" t="str">
        <f>IF(A304="","",VLOOKUP(G304,表3_3[],3,0))</f>
        <v/>
      </c>
      <c r="J304" t="str">
        <f>IF(A304="","",IF('ATP Fills'!I304="3M","",VLOOKUP(RIGHT('ATP Fills'!I304,2),Helper1!$O$36:$P$48,2,0)))</f>
        <v/>
      </c>
      <c r="K304" t="str">
        <f>IF(J304="","",LEFT('ATP Fills'!I304,4))</f>
        <v/>
      </c>
      <c r="L304" t="str">
        <f>IF(A304="","",IF('ATP Fills'!G304="LME",'ATP Fills'!I304,""))</f>
        <v/>
      </c>
      <c r="M304" t="str">
        <f t="shared" si="4"/>
        <v/>
      </c>
    </row>
    <row r="305" spans="1:13">
      <c r="A305" t="str">
        <f>IF('ATP Fills'!A305="","",IF('ATP Fills'!Q305="PHILLIPSG",'ATP Fills'!F305,""))</f>
        <v/>
      </c>
      <c r="B305" t="str">
        <f>IF(A305="","",'ATP Fills'!L305)</f>
        <v/>
      </c>
      <c r="C305" t="str">
        <f>IF(A305="","",'ATP Fills'!M305)</f>
        <v/>
      </c>
      <c r="D305" t="str">
        <f>IF(A305="","",'ATP Fills'!B305)</f>
        <v/>
      </c>
      <c r="E305" s="3" t="str">
        <f>IF(A305="","",IF(DATE(LEFT(D305,4),MID(D305,5,2),RIGHT(D305,2))=Helper1!$P$1,Helper1!$P$1,""))</f>
        <v/>
      </c>
      <c r="F305" s="3" t="str">
        <f>IF(A305="","",'ATP Fills'!G305)</f>
        <v/>
      </c>
      <c r="G305" t="str">
        <f>IF(A305="","",'ATP Fills'!H305)</f>
        <v/>
      </c>
      <c r="H305" t="str">
        <f>IF(A305="","",VLOOKUP(G305,表3_3[],2,0))</f>
        <v/>
      </c>
      <c r="I305" t="str">
        <f>IF(A305="","",VLOOKUP(G305,表3_3[],3,0))</f>
        <v/>
      </c>
      <c r="J305" t="str">
        <f>IF(A305="","",IF('ATP Fills'!I305="3M","",VLOOKUP(RIGHT('ATP Fills'!I305,2),Helper1!$O$36:$P$48,2,0)))</f>
        <v/>
      </c>
      <c r="K305" t="str">
        <f>IF(J305="","",LEFT('ATP Fills'!I305,4))</f>
        <v/>
      </c>
      <c r="L305" t="str">
        <f>IF(A305="","",IF('ATP Fills'!G305="LME",'ATP Fills'!I305,""))</f>
        <v/>
      </c>
      <c r="M305" t="str">
        <f t="shared" si="4"/>
        <v/>
      </c>
    </row>
    <row r="306" spans="1:13">
      <c r="A306" t="str">
        <f>IF('ATP Fills'!A306="","",IF('ATP Fills'!Q306="PHILLIPSG",'ATP Fills'!F306,""))</f>
        <v/>
      </c>
      <c r="B306" t="str">
        <f>IF(A306="","",'ATP Fills'!L306)</f>
        <v/>
      </c>
      <c r="C306" t="str">
        <f>IF(A306="","",'ATP Fills'!M306)</f>
        <v/>
      </c>
      <c r="D306" t="str">
        <f>IF(A306="","",'ATP Fills'!B306)</f>
        <v/>
      </c>
      <c r="E306" s="3" t="str">
        <f>IF(A306="","",IF(DATE(LEFT(D306,4),MID(D306,5,2),RIGHT(D306,2))=Helper1!$P$1,Helper1!$P$1,""))</f>
        <v/>
      </c>
      <c r="F306" s="3" t="str">
        <f>IF(A306="","",'ATP Fills'!G306)</f>
        <v/>
      </c>
      <c r="G306" t="str">
        <f>IF(A306="","",'ATP Fills'!H306)</f>
        <v/>
      </c>
      <c r="H306" t="str">
        <f>IF(A306="","",VLOOKUP(G306,表3_3[],2,0))</f>
        <v/>
      </c>
      <c r="I306" t="str">
        <f>IF(A306="","",VLOOKUP(G306,表3_3[],3,0))</f>
        <v/>
      </c>
      <c r="J306" t="str">
        <f>IF(A306="","",IF('ATP Fills'!I306="3M","",VLOOKUP(RIGHT('ATP Fills'!I306,2),Helper1!$O$36:$P$48,2,0)))</f>
        <v/>
      </c>
      <c r="K306" t="str">
        <f>IF(J306="","",LEFT('ATP Fills'!I306,4))</f>
        <v/>
      </c>
      <c r="L306" t="str">
        <f>IF(A306="","",IF('ATP Fills'!G306="LME",'ATP Fills'!I306,""))</f>
        <v/>
      </c>
      <c r="M306" t="str">
        <f t="shared" si="4"/>
        <v/>
      </c>
    </row>
    <row r="307" spans="1:13">
      <c r="A307" t="str">
        <f>IF('ATP Fills'!A307="","",IF('ATP Fills'!Q307="PHILLIPSG",'ATP Fills'!F307,""))</f>
        <v/>
      </c>
      <c r="B307" t="str">
        <f>IF(A307="","",'ATP Fills'!L307)</f>
        <v/>
      </c>
      <c r="C307" t="str">
        <f>IF(A307="","",'ATP Fills'!M307)</f>
        <v/>
      </c>
      <c r="D307" t="str">
        <f>IF(A307="","",'ATP Fills'!B307)</f>
        <v/>
      </c>
      <c r="E307" s="3" t="str">
        <f>IF(A307="","",IF(DATE(LEFT(D307,4),MID(D307,5,2),RIGHT(D307,2))=Helper1!$P$1,Helper1!$P$1,""))</f>
        <v/>
      </c>
      <c r="F307" s="3" t="str">
        <f>IF(A307="","",'ATP Fills'!G307)</f>
        <v/>
      </c>
      <c r="G307" t="str">
        <f>IF(A307="","",'ATP Fills'!H307)</f>
        <v/>
      </c>
      <c r="H307" t="str">
        <f>IF(A307="","",VLOOKUP(G307,表3_3[],2,0))</f>
        <v/>
      </c>
      <c r="I307" t="str">
        <f>IF(A307="","",VLOOKUP(G307,表3_3[],3,0))</f>
        <v/>
      </c>
      <c r="J307" t="str">
        <f>IF(A307="","",IF('ATP Fills'!I307="3M","",VLOOKUP(RIGHT('ATP Fills'!I307,2),Helper1!$O$36:$P$48,2,0)))</f>
        <v/>
      </c>
      <c r="K307" t="str">
        <f>IF(J307="","",LEFT('ATP Fills'!I307,4))</f>
        <v/>
      </c>
      <c r="L307" t="str">
        <f>IF(A307="","",IF('ATP Fills'!G307="LME",'ATP Fills'!I307,""))</f>
        <v/>
      </c>
      <c r="M307" t="str">
        <f t="shared" si="4"/>
        <v/>
      </c>
    </row>
    <row r="308" spans="1:13">
      <c r="A308" t="str">
        <f>IF('ATP Fills'!A308="","",IF('ATP Fills'!Q308="PHILLIPSG",'ATP Fills'!F308,""))</f>
        <v/>
      </c>
      <c r="B308" t="str">
        <f>IF(A308="","",'ATP Fills'!L308)</f>
        <v/>
      </c>
      <c r="C308" t="str">
        <f>IF(A308="","",'ATP Fills'!M308)</f>
        <v/>
      </c>
      <c r="D308" t="str">
        <f>IF(A308="","",'ATP Fills'!B308)</f>
        <v/>
      </c>
      <c r="E308" s="3" t="str">
        <f>IF(A308="","",IF(DATE(LEFT(D308,4),MID(D308,5,2),RIGHT(D308,2))=Helper1!$P$1,Helper1!$P$1,""))</f>
        <v/>
      </c>
      <c r="F308" s="3" t="str">
        <f>IF(A308="","",'ATP Fills'!G308)</f>
        <v/>
      </c>
      <c r="G308" t="str">
        <f>IF(A308="","",'ATP Fills'!H308)</f>
        <v/>
      </c>
      <c r="H308" t="str">
        <f>IF(A308="","",VLOOKUP(G308,表3_3[],2,0))</f>
        <v/>
      </c>
      <c r="I308" t="str">
        <f>IF(A308="","",VLOOKUP(G308,表3_3[],3,0))</f>
        <v/>
      </c>
      <c r="J308" t="str">
        <f>IF(A308="","",IF('ATP Fills'!I308="3M","",VLOOKUP(RIGHT('ATP Fills'!I308,2),Helper1!$O$36:$P$48,2,0)))</f>
        <v/>
      </c>
      <c r="K308" t="str">
        <f>IF(J308="","",LEFT('ATP Fills'!I308,4))</f>
        <v/>
      </c>
      <c r="L308" t="str">
        <f>IF(A308="","",IF('ATP Fills'!G308="LME",'ATP Fills'!I308,""))</f>
        <v/>
      </c>
      <c r="M308" t="str">
        <f t="shared" si="4"/>
        <v/>
      </c>
    </row>
    <row r="309" spans="1:13">
      <c r="A309" t="str">
        <f>IF('ATP Fills'!A309="","",IF('ATP Fills'!Q309="PHILLIPSG",'ATP Fills'!F309,""))</f>
        <v/>
      </c>
      <c r="B309" t="str">
        <f>IF(A309="","",'ATP Fills'!L309)</f>
        <v/>
      </c>
      <c r="C309" t="str">
        <f>IF(A309="","",'ATP Fills'!M309)</f>
        <v/>
      </c>
      <c r="D309" t="str">
        <f>IF(A309="","",'ATP Fills'!B309)</f>
        <v/>
      </c>
      <c r="E309" s="3" t="str">
        <f>IF(A309="","",IF(DATE(LEFT(D309,4),MID(D309,5,2),RIGHT(D309,2))=Helper1!$P$1,Helper1!$P$1,""))</f>
        <v/>
      </c>
      <c r="F309" s="3" t="str">
        <f>IF(A309="","",'ATP Fills'!G309)</f>
        <v/>
      </c>
      <c r="G309" t="str">
        <f>IF(A309="","",'ATP Fills'!H309)</f>
        <v/>
      </c>
      <c r="H309" t="str">
        <f>IF(A309="","",VLOOKUP(G309,表3_3[],2,0))</f>
        <v/>
      </c>
      <c r="I309" t="str">
        <f>IF(A309="","",VLOOKUP(G309,表3_3[],3,0))</f>
        <v/>
      </c>
      <c r="J309" t="str">
        <f>IF(A309="","",IF('ATP Fills'!I309="3M","",VLOOKUP(RIGHT('ATP Fills'!I309,2),Helper1!$O$36:$P$48,2,0)))</f>
        <v/>
      </c>
      <c r="K309" t="str">
        <f>IF(J309="","",LEFT('ATP Fills'!I309,4))</f>
        <v/>
      </c>
      <c r="L309" t="str">
        <f>IF(A309="","",IF('ATP Fills'!G309="LME",'ATP Fills'!I309,""))</f>
        <v/>
      </c>
      <c r="M309" t="str">
        <f t="shared" si="4"/>
        <v/>
      </c>
    </row>
    <row r="310" spans="1:13">
      <c r="A310" t="str">
        <f>IF('ATP Fills'!A310="","",IF('ATP Fills'!Q310="PHILLIPSG",'ATP Fills'!F310,""))</f>
        <v/>
      </c>
      <c r="B310" t="str">
        <f>IF(A310="","",'ATP Fills'!L310)</f>
        <v/>
      </c>
      <c r="C310" t="str">
        <f>IF(A310="","",'ATP Fills'!M310)</f>
        <v/>
      </c>
      <c r="D310" t="str">
        <f>IF(A310="","",'ATP Fills'!B310)</f>
        <v/>
      </c>
      <c r="E310" s="3" t="str">
        <f>IF(A310="","",IF(DATE(LEFT(D310,4),MID(D310,5,2),RIGHT(D310,2))=Helper1!$P$1,Helper1!$P$1,""))</f>
        <v/>
      </c>
      <c r="F310" s="3" t="str">
        <f>IF(A310="","",'ATP Fills'!G310)</f>
        <v/>
      </c>
      <c r="G310" t="str">
        <f>IF(A310="","",'ATP Fills'!H310)</f>
        <v/>
      </c>
      <c r="H310" t="str">
        <f>IF(A310="","",VLOOKUP(G310,表3_3[],2,0))</f>
        <v/>
      </c>
      <c r="I310" t="str">
        <f>IF(A310="","",VLOOKUP(G310,表3_3[],3,0))</f>
        <v/>
      </c>
      <c r="J310" t="str">
        <f>IF(A310="","",IF('ATP Fills'!I310="3M","",VLOOKUP(RIGHT('ATP Fills'!I310,2),Helper1!$O$36:$P$48,2,0)))</f>
        <v/>
      </c>
      <c r="K310" t="str">
        <f>IF(J310="","",LEFT('ATP Fills'!I310,4))</f>
        <v/>
      </c>
      <c r="L310" t="str">
        <f>IF(A310="","",IF('ATP Fills'!G310="LME",'ATP Fills'!I310,""))</f>
        <v/>
      </c>
      <c r="M310" t="str">
        <f t="shared" si="4"/>
        <v/>
      </c>
    </row>
    <row r="311" spans="1:13">
      <c r="A311" t="str">
        <f>IF('ATP Fills'!A311="","",IF('ATP Fills'!Q311="PHILLIPSG",'ATP Fills'!F311,""))</f>
        <v/>
      </c>
      <c r="B311" t="str">
        <f>IF(A311="","",'ATP Fills'!L311)</f>
        <v/>
      </c>
      <c r="C311" t="str">
        <f>IF(A311="","",'ATP Fills'!M311)</f>
        <v/>
      </c>
      <c r="D311" t="str">
        <f>IF(A311="","",'ATP Fills'!B311)</f>
        <v/>
      </c>
      <c r="E311" s="3" t="str">
        <f>IF(A311="","",IF(DATE(LEFT(D311,4),MID(D311,5,2),RIGHT(D311,2))=Helper1!$P$1,Helper1!$P$1,""))</f>
        <v/>
      </c>
      <c r="F311" s="3" t="str">
        <f>IF(A311="","",'ATP Fills'!G311)</f>
        <v/>
      </c>
      <c r="G311" t="str">
        <f>IF(A311="","",'ATP Fills'!H311)</f>
        <v/>
      </c>
      <c r="H311" t="str">
        <f>IF(A311="","",VLOOKUP(G311,表3_3[],2,0))</f>
        <v/>
      </c>
      <c r="I311" t="str">
        <f>IF(A311="","",VLOOKUP(G311,表3_3[],3,0))</f>
        <v/>
      </c>
      <c r="J311" t="str">
        <f>IF(A311="","",IF('ATP Fills'!I311="3M","",VLOOKUP(RIGHT('ATP Fills'!I311,2),Helper1!$O$36:$P$48,2,0)))</f>
        <v/>
      </c>
      <c r="K311" t="str">
        <f>IF(J311="","",LEFT('ATP Fills'!I311,4))</f>
        <v/>
      </c>
      <c r="L311" t="str">
        <f>IF(A311="","",IF('ATP Fills'!G311="LME",'ATP Fills'!I311,""))</f>
        <v/>
      </c>
      <c r="M311" t="str">
        <f t="shared" si="4"/>
        <v/>
      </c>
    </row>
    <row r="312" spans="1:13">
      <c r="A312" t="str">
        <f>IF('ATP Fills'!A312="","",IF('ATP Fills'!Q312="PHILLIPSG",'ATP Fills'!F312,""))</f>
        <v/>
      </c>
      <c r="B312" t="str">
        <f>IF(A312="","",'ATP Fills'!L312)</f>
        <v/>
      </c>
      <c r="C312" t="str">
        <f>IF(A312="","",'ATP Fills'!M312)</f>
        <v/>
      </c>
      <c r="D312" t="str">
        <f>IF(A312="","",'ATP Fills'!B312)</f>
        <v/>
      </c>
      <c r="E312" s="3" t="str">
        <f>IF(A312="","",IF(DATE(LEFT(D312,4),MID(D312,5,2),RIGHT(D312,2))=Helper1!$P$1,Helper1!$P$1,""))</f>
        <v/>
      </c>
      <c r="F312" s="3" t="str">
        <f>IF(A312="","",'ATP Fills'!G312)</f>
        <v/>
      </c>
      <c r="G312" t="str">
        <f>IF(A312="","",'ATP Fills'!H312)</f>
        <v/>
      </c>
      <c r="H312" t="str">
        <f>IF(A312="","",VLOOKUP(G312,表3_3[],2,0))</f>
        <v/>
      </c>
      <c r="I312" t="str">
        <f>IF(A312="","",VLOOKUP(G312,表3_3[],3,0))</f>
        <v/>
      </c>
      <c r="J312" t="str">
        <f>IF(A312="","",IF('ATP Fills'!I312="3M","",VLOOKUP(RIGHT('ATP Fills'!I312,2),Helper1!$O$36:$P$48,2,0)))</f>
        <v/>
      </c>
      <c r="K312" t="str">
        <f>IF(J312="","",LEFT('ATP Fills'!I312,4))</f>
        <v/>
      </c>
      <c r="L312" t="str">
        <f>IF(A312="","",IF('ATP Fills'!G312="LME",'ATP Fills'!I312,""))</f>
        <v/>
      </c>
      <c r="M312" t="str">
        <f t="shared" si="4"/>
        <v/>
      </c>
    </row>
    <row r="313" spans="1:13">
      <c r="A313" t="str">
        <f>IF('ATP Fills'!A313="","",IF('ATP Fills'!Q313="PHILLIPSG",'ATP Fills'!F313,""))</f>
        <v/>
      </c>
      <c r="B313" t="str">
        <f>IF(A313="","",'ATP Fills'!L313)</f>
        <v/>
      </c>
      <c r="C313" t="str">
        <f>IF(A313="","",'ATP Fills'!M313)</f>
        <v/>
      </c>
      <c r="D313" t="str">
        <f>IF(A313="","",'ATP Fills'!B313)</f>
        <v/>
      </c>
      <c r="E313" s="3" t="str">
        <f>IF(A313="","",IF(DATE(LEFT(D313,4),MID(D313,5,2),RIGHT(D313,2))=Helper1!$P$1,Helper1!$P$1,""))</f>
        <v/>
      </c>
      <c r="F313" s="3" t="str">
        <f>IF(A313="","",'ATP Fills'!G313)</f>
        <v/>
      </c>
      <c r="G313" t="str">
        <f>IF(A313="","",'ATP Fills'!H313)</f>
        <v/>
      </c>
      <c r="H313" t="str">
        <f>IF(A313="","",VLOOKUP(G313,表3_3[],2,0))</f>
        <v/>
      </c>
      <c r="I313" t="str">
        <f>IF(A313="","",VLOOKUP(G313,表3_3[],3,0))</f>
        <v/>
      </c>
      <c r="J313" t="str">
        <f>IF(A313="","",IF('ATP Fills'!I313="3M","",VLOOKUP(RIGHT('ATP Fills'!I313,2),Helper1!$O$36:$P$48,2,0)))</f>
        <v/>
      </c>
      <c r="K313" t="str">
        <f>IF(J313="","",LEFT('ATP Fills'!I313,4))</f>
        <v/>
      </c>
      <c r="L313" t="str">
        <f>IF(A313="","",IF('ATP Fills'!G313="LME",'ATP Fills'!I313,""))</f>
        <v/>
      </c>
      <c r="M313" t="str">
        <f t="shared" si="4"/>
        <v/>
      </c>
    </row>
    <row r="314" spans="1:13">
      <c r="A314" t="str">
        <f>IF('ATP Fills'!A314="","",IF('ATP Fills'!Q314="PHILLIPSG",'ATP Fills'!F314,""))</f>
        <v/>
      </c>
      <c r="B314" t="str">
        <f>IF(A314="","",'ATP Fills'!L314)</f>
        <v/>
      </c>
      <c r="C314" t="str">
        <f>IF(A314="","",'ATP Fills'!M314)</f>
        <v/>
      </c>
      <c r="D314" t="str">
        <f>IF(A314="","",'ATP Fills'!B314)</f>
        <v/>
      </c>
      <c r="E314" s="3" t="str">
        <f>IF(A314="","",IF(DATE(LEFT(D314,4),MID(D314,5,2),RIGHT(D314,2))=Helper1!$P$1,Helper1!$P$1,""))</f>
        <v/>
      </c>
      <c r="F314" s="3" t="str">
        <f>IF(A314="","",'ATP Fills'!G314)</f>
        <v/>
      </c>
      <c r="G314" t="str">
        <f>IF(A314="","",'ATP Fills'!H314)</f>
        <v/>
      </c>
      <c r="H314" t="str">
        <f>IF(A314="","",VLOOKUP(G314,表3_3[],2,0))</f>
        <v/>
      </c>
      <c r="I314" t="str">
        <f>IF(A314="","",VLOOKUP(G314,表3_3[],3,0))</f>
        <v/>
      </c>
      <c r="J314" t="str">
        <f>IF(A314="","",IF('ATP Fills'!I314="3M","",VLOOKUP(RIGHT('ATP Fills'!I314,2),Helper1!$O$36:$P$48,2,0)))</f>
        <v/>
      </c>
      <c r="K314" t="str">
        <f>IF(J314="","",LEFT('ATP Fills'!I314,4))</f>
        <v/>
      </c>
      <c r="L314" t="str">
        <f>IF(A314="","",IF('ATP Fills'!G314="LME",'ATP Fills'!I314,""))</f>
        <v/>
      </c>
      <c r="M314" t="str">
        <f t="shared" si="4"/>
        <v/>
      </c>
    </row>
    <row r="315" spans="1:13">
      <c r="A315" t="str">
        <f>IF('ATP Fills'!A315="","",IF('ATP Fills'!Q315="PHILLIPSG",'ATP Fills'!F315,""))</f>
        <v/>
      </c>
      <c r="B315" t="str">
        <f>IF(A315="","",'ATP Fills'!L315)</f>
        <v/>
      </c>
      <c r="C315" t="str">
        <f>IF(A315="","",'ATP Fills'!M315)</f>
        <v/>
      </c>
      <c r="D315" t="str">
        <f>IF(A315="","",'ATP Fills'!B315)</f>
        <v/>
      </c>
      <c r="E315" s="3" t="str">
        <f>IF(A315="","",IF(DATE(LEFT(D315,4),MID(D315,5,2),RIGHT(D315,2))=Helper1!$P$1,Helper1!$P$1,""))</f>
        <v/>
      </c>
      <c r="F315" s="3" t="str">
        <f>IF(A315="","",'ATP Fills'!G315)</f>
        <v/>
      </c>
      <c r="G315" t="str">
        <f>IF(A315="","",'ATP Fills'!H315)</f>
        <v/>
      </c>
      <c r="H315" t="str">
        <f>IF(A315="","",VLOOKUP(G315,表3_3[],2,0))</f>
        <v/>
      </c>
      <c r="I315" t="str">
        <f>IF(A315="","",VLOOKUP(G315,表3_3[],3,0))</f>
        <v/>
      </c>
      <c r="J315" t="str">
        <f>IF(A315="","",IF('ATP Fills'!I315="3M","",VLOOKUP(RIGHT('ATP Fills'!I315,2),Helper1!$O$36:$P$48,2,0)))</f>
        <v/>
      </c>
      <c r="K315" t="str">
        <f>IF(J315="","",LEFT('ATP Fills'!I315,4))</f>
        <v/>
      </c>
      <c r="L315" t="str">
        <f>IF(A315="","",IF('ATP Fills'!G315="LME",'ATP Fills'!I315,""))</f>
        <v/>
      </c>
      <c r="M315" t="str">
        <f t="shared" si="4"/>
        <v/>
      </c>
    </row>
    <row r="316" spans="1:13">
      <c r="A316" t="str">
        <f>IF('ATP Fills'!A316="","",IF('ATP Fills'!Q316="PHILLIPSG",'ATP Fills'!F316,""))</f>
        <v/>
      </c>
      <c r="B316" t="str">
        <f>IF(A316="","",'ATP Fills'!L316)</f>
        <v/>
      </c>
      <c r="C316" t="str">
        <f>IF(A316="","",'ATP Fills'!M316)</f>
        <v/>
      </c>
      <c r="D316" t="str">
        <f>IF(A316="","",'ATP Fills'!B316)</f>
        <v/>
      </c>
      <c r="E316" s="3" t="str">
        <f>IF(A316="","",IF(DATE(LEFT(D316,4),MID(D316,5,2),RIGHT(D316,2))=Helper1!$P$1,Helper1!$P$1,""))</f>
        <v/>
      </c>
      <c r="F316" s="3" t="str">
        <f>IF(A316="","",'ATP Fills'!G316)</f>
        <v/>
      </c>
      <c r="G316" t="str">
        <f>IF(A316="","",'ATP Fills'!H316)</f>
        <v/>
      </c>
      <c r="H316" t="str">
        <f>IF(A316="","",VLOOKUP(G316,表3_3[],2,0))</f>
        <v/>
      </c>
      <c r="I316" t="str">
        <f>IF(A316="","",VLOOKUP(G316,表3_3[],3,0))</f>
        <v/>
      </c>
      <c r="J316" t="str">
        <f>IF(A316="","",IF('ATP Fills'!I316="3M","",VLOOKUP(RIGHT('ATP Fills'!I316,2),Helper1!$O$36:$P$48,2,0)))</f>
        <v/>
      </c>
      <c r="K316" t="str">
        <f>IF(J316="","",LEFT('ATP Fills'!I316,4))</f>
        <v/>
      </c>
      <c r="L316" t="str">
        <f>IF(A316="","",IF('ATP Fills'!G316="LME",'ATP Fills'!I316,""))</f>
        <v/>
      </c>
      <c r="M316" t="str">
        <f t="shared" si="4"/>
        <v/>
      </c>
    </row>
    <row r="317" spans="1:13">
      <c r="A317" t="str">
        <f>IF('ATP Fills'!A317="","",IF('ATP Fills'!Q317="PHILLIPSG",'ATP Fills'!F317,""))</f>
        <v/>
      </c>
      <c r="B317" t="str">
        <f>IF(A317="","",'ATP Fills'!L317)</f>
        <v/>
      </c>
      <c r="C317" t="str">
        <f>IF(A317="","",'ATP Fills'!M317)</f>
        <v/>
      </c>
      <c r="D317" t="str">
        <f>IF(A317="","",'ATP Fills'!B317)</f>
        <v/>
      </c>
      <c r="E317" s="3" t="str">
        <f>IF(A317="","",IF(DATE(LEFT(D317,4),MID(D317,5,2),RIGHT(D317,2))=Helper1!$P$1,Helper1!$P$1,""))</f>
        <v/>
      </c>
      <c r="F317" s="3" t="str">
        <f>IF(A317="","",'ATP Fills'!G317)</f>
        <v/>
      </c>
      <c r="G317" t="str">
        <f>IF(A317="","",'ATP Fills'!H317)</f>
        <v/>
      </c>
      <c r="H317" t="str">
        <f>IF(A317="","",VLOOKUP(G317,表3_3[],2,0))</f>
        <v/>
      </c>
      <c r="I317" t="str">
        <f>IF(A317="","",VLOOKUP(G317,表3_3[],3,0))</f>
        <v/>
      </c>
      <c r="J317" t="str">
        <f>IF(A317="","",IF('ATP Fills'!I317="3M","",VLOOKUP(RIGHT('ATP Fills'!I317,2),Helper1!$O$36:$P$48,2,0)))</f>
        <v/>
      </c>
      <c r="K317" t="str">
        <f>IF(J317="","",LEFT('ATP Fills'!I317,4))</f>
        <v/>
      </c>
      <c r="L317" t="str">
        <f>IF(A317="","",IF('ATP Fills'!G317="LME",'ATP Fills'!I317,""))</f>
        <v/>
      </c>
      <c r="M317" t="str">
        <f t="shared" si="4"/>
        <v/>
      </c>
    </row>
    <row r="318" spans="1:13">
      <c r="A318" t="str">
        <f>IF('ATP Fills'!A318="","",IF('ATP Fills'!Q318="PHILLIPSG",'ATP Fills'!F318,""))</f>
        <v/>
      </c>
      <c r="B318" t="str">
        <f>IF(A318="","",'ATP Fills'!L318)</f>
        <v/>
      </c>
      <c r="C318" t="str">
        <f>IF(A318="","",'ATP Fills'!M318)</f>
        <v/>
      </c>
      <c r="D318" t="str">
        <f>IF(A318="","",'ATP Fills'!B318)</f>
        <v/>
      </c>
      <c r="E318" s="3" t="str">
        <f>IF(A318="","",IF(DATE(LEFT(D318,4),MID(D318,5,2),RIGHT(D318,2))=Helper1!$P$1,Helper1!$P$1,""))</f>
        <v/>
      </c>
      <c r="F318" s="3" t="str">
        <f>IF(A318="","",'ATP Fills'!G318)</f>
        <v/>
      </c>
      <c r="G318" t="str">
        <f>IF(A318="","",'ATP Fills'!H318)</f>
        <v/>
      </c>
      <c r="H318" t="str">
        <f>IF(A318="","",VLOOKUP(G318,表3_3[],2,0))</f>
        <v/>
      </c>
      <c r="I318" t="str">
        <f>IF(A318="","",VLOOKUP(G318,表3_3[],3,0))</f>
        <v/>
      </c>
      <c r="J318" t="str">
        <f>IF(A318="","",IF('ATP Fills'!I318="3M","",VLOOKUP(RIGHT('ATP Fills'!I318,2),Helper1!$O$36:$P$48,2,0)))</f>
        <v/>
      </c>
      <c r="K318" t="str">
        <f>IF(J318="","",LEFT('ATP Fills'!I318,4))</f>
        <v/>
      </c>
      <c r="L318" t="str">
        <f>IF(A318="","",IF('ATP Fills'!G318="LME",'ATP Fills'!I318,""))</f>
        <v/>
      </c>
      <c r="M318" t="str">
        <f t="shared" si="4"/>
        <v/>
      </c>
    </row>
    <row r="319" spans="1:13">
      <c r="A319" t="str">
        <f>IF('ATP Fills'!A319="","",IF('ATP Fills'!Q319="PHILLIPSG",'ATP Fills'!F319,""))</f>
        <v/>
      </c>
      <c r="B319" t="str">
        <f>IF(A319="","",'ATP Fills'!L319)</f>
        <v/>
      </c>
      <c r="C319" t="str">
        <f>IF(A319="","",'ATP Fills'!M319)</f>
        <v/>
      </c>
      <c r="D319" t="str">
        <f>IF(A319="","",'ATP Fills'!B319)</f>
        <v/>
      </c>
      <c r="E319" s="3" t="str">
        <f>IF(A319="","",IF(DATE(LEFT(D319,4),MID(D319,5,2),RIGHT(D319,2))=Helper1!$P$1,Helper1!$P$1,""))</f>
        <v/>
      </c>
      <c r="F319" s="3" t="str">
        <f>IF(A319="","",'ATP Fills'!G319)</f>
        <v/>
      </c>
      <c r="G319" t="str">
        <f>IF(A319="","",'ATP Fills'!H319)</f>
        <v/>
      </c>
      <c r="H319" t="str">
        <f>IF(A319="","",VLOOKUP(G319,表3_3[],2,0))</f>
        <v/>
      </c>
      <c r="I319" t="str">
        <f>IF(A319="","",VLOOKUP(G319,表3_3[],3,0))</f>
        <v/>
      </c>
      <c r="J319" t="str">
        <f>IF(A319="","",IF('ATP Fills'!I319="3M","",VLOOKUP(RIGHT('ATP Fills'!I319,2),Helper1!$O$36:$P$48,2,0)))</f>
        <v/>
      </c>
      <c r="K319" t="str">
        <f>IF(J319="","",LEFT('ATP Fills'!I319,4))</f>
        <v/>
      </c>
      <c r="L319" t="str">
        <f>IF(A319="","",IF('ATP Fills'!G319="LME",'ATP Fills'!I319,""))</f>
        <v/>
      </c>
      <c r="M319" t="str">
        <f t="shared" si="4"/>
        <v/>
      </c>
    </row>
    <row r="320" spans="1:13">
      <c r="A320" t="str">
        <f>IF('ATP Fills'!A320="","",IF('ATP Fills'!Q320="PHILLIPSG",'ATP Fills'!F320,""))</f>
        <v/>
      </c>
      <c r="B320" t="str">
        <f>IF(A320="","",'ATP Fills'!L320)</f>
        <v/>
      </c>
      <c r="C320" t="str">
        <f>IF(A320="","",'ATP Fills'!M320)</f>
        <v/>
      </c>
      <c r="D320" t="str">
        <f>IF(A320="","",'ATP Fills'!B320)</f>
        <v/>
      </c>
      <c r="E320" s="3" t="str">
        <f>IF(A320="","",IF(DATE(LEFT(D320,4),MID(D320,5,2),RIGHT(D320,2))=Helper1!$P$1,Helper1!$P$1,""))</f>
        <v/>
      </c>
      <c r="F320" s="3" t="str">
        <f>IF(A320="","",'ATP Fills'!G320)</f>
        <v/>
      </c>
      <c r="G320" t="str">
        <f>IF(A320="","",'ATP Fills'!H320)</f>
        <v/>
      </c>
      <c r="H320" t="str">
        <f>IF(A320="","",VLOOKUP(G320,表3_3[],2,0))</f>
        <v/>
      </c>
      <c r="I320" t="str">
        <f>IF(A320="","",VLOOKUP(G320,表3_3[],3,0))</f>
        <v/>
      </c>
      <c r="J320" t="str">
        <f>IF(A320="","",IF('ATP Fills'!I320="3M","",VLOOKUP(RIGHT('ATP Fills'!I320,2),Helper1!$O$36:$P$48,2,0)))</f>
        <v/>
      </c>
      <c r="K320" t="str">
        <f>IF(J320="","",LEFT('ATP Fills'!I320,4))</f>
        <v/>
      </c>
      <c r="L320" t="str">
        <f>IF(A320="","",IF('ATP Fills'!G320="LME",'ATP Fills'!I320,""))</f>
        <v/>
      </c>
      <c r="M320" t="str">
        <f t="shared" si="4"/>
        <v/>
      </c>
    </row>
    <row r="321" spans="1:13">
      <c r="A321" t="str">
        <f>IF('ATP Fills'!A321="","",IF('ATP Fills'!Q321="PHILLIPSG",'ATP Fills'!F321,""))</f>
        <v/>
      </c>
      <c r="B321" t="str">
        <f>IF(A321="","",'ATP Fills'!L321)</f>
        <v/>
      </c>
      <c r="C321" t="str">
        <f>IF(A321="","",'ATP Fills'!M321)</f>
        <v/>
      </c>
      <c r="D321" t="str">
        <f>IF(A321="","",'ATP Fills'!B321)</f>
        <v/>
      </c>
      <c r="E321" s="3" t="str">
        <f>IF(A321="","",IF(DATE(LEFT(D321,4),MID(D321,5,2),RIGHT(D321,2))=Helper1!$P$1,Helper1!$P$1,""))</f>
        <v/>
      </c>
      <c r="F321" s="3" t="str">
        <f>IF(A321="","",'ATP Fills'!G321)</f>
        <v/>
      </c>
      <c r="G321" t="str">
        <f>IF(A321="","",'ATP Fills'!H321)</f>
        <v/>
      </c>
      <c r="H321" t="str">
        <f>IF(A321="","",VLOOKUP(G321,表3_3[],2,0))</f>
        <v/>
      </c>
      <c r="I321" t="str">
        <f>IF(A321="","",VLOOKUP(G321,表3_3[],3,0))</f>
        <v/>
      </c>
      <c r="J321" t="str">
        <f>IF(A321="","",IF('ATP Fills'!I321="3M","",VLOOKUP(RIGHT('ATP Fills'!I321,2),Helper1!$O$36:$P$48,2,0)))</f>
        <v/>
      </c>
      <c r="K321" t="str">
        <f>IF(J321="","",LEFT('ATP Fills'!I321,4))</f>
        <v/>
      </c>
      <c r="L321" t="str">
        <f>IF(A321="","",IF('ATP Fills'!G321="LME",'ATP Fills'!I321,""))</f>
        <v/>
      </c>
      <c r="M321" t="str">
        <f t="shared" si="4"/>
        <v/>
      </c>
    </row>
    <row r="322" spans="1:13">
      <c r="A322" t="str">
        <f>IF('ATP Fills'!A322="","",IF('ATP Fills'!Q322="PHILLIPSG",'ATP Fills'!F322,""))</f>
        <v/>
      </c>
      <c r="B322" t="str">
        <f>IF(A322="","",'ATP Fills'!L322)</f>
        <v/>
      </c>
      <c r="C322" t="str">
        <f>IF(A322="","",'ATP Fills'!M322)</f>
        <v/>
      </c>
      <c r="D322" t="str">
        <f>IF(A322="","",'ATP Fills'!B322)</f>
        <v/>
      </c>
      <c r="E322" s="3" t="str">
        <f>IF(A322="","",IF(DATE(LEFT(D322,4),MID(D322,5,2),RIGHT(D322,2))=Helper1!$P$1,Helper1!$P$1,""))</f>
        <v/>
      </c>
      <c r="F322" s="3" t="str">
        <f>IF(A322="","",'ATP Fills'!G322)</f>
        <v/>
      </c>
      <c r="G322" t="str">
        <f>IF(A322="","",'ATP Fills'!H322)</f>
        <v/>
      </c>
      <c r="H322" t="str">
        <f>IF(A322="","",VLOOKUP(G322,表3_3[],2,0))</f>
        <v/>
      </c>
      <c r="I322" t="str">
        <f>IF(A322="","",VLOOKUP(G322,表3_3[],3,0))</f>
        <v/>
      </c>
      <c r="J322" t="str">
        <f>IF(A322="","",IF('ATP Fills'!I322="3M","",VLOOKUP(RIGHT('ATP Fills'!I322,2),Helper1!$O$36:$P$48,2,0)))</f>
        <v/>
      </c>
      <c r="K322" t="str">
        <f>IF(J322="","",LEFT('ATP Fills'!I322,4))</f>
        <v/>
      </c>
      <c r="L322" t="str">
        <f>IF(A322="","",IF('ATP Fills'!G322="LME",'ATP Fills'!I322,""))</f>
        <v/>
      </c>
      <c r="M322" t="str">
        <f t="shared" si="4"/>
        <v/>
      </c>
    </row>
    <row r="323" spans="1:13">
      <c r="A323" t="str">
        <f>IF('ATP Fills'!A323="","",IF('ATP Fills'!Q323="PHILLIPSG",'ATP Fills'!F323,""))</f>
        <v/>
      </c>
      <c r="B323" t="str">
        <f>IF(A323="","",'ATP Fills'!L323)</f>
        <v/>
      </c>
      <c r="C323" t="str">
        <f>IF(A323="","",'ATP Fills'!M323)</f>
        <v/>
      </c>
      <c r="D323" t="str">
        <f>IF(A323="","",'ATP Fills'!B323)</f>
        <v/>
      </c>
      <c r="E323" s="3" t="str">
        <f>IF(A323="","",IF(DATE(LEFT(D323,4),MID(D323,5,2),RIGHT(D323,2))=Helper1!$P$1,Helper1!$P$1,""))</f>
        <v/>
      </c>
      <c r="F323" s="3" t="str">
        <f>IF(A323="","",'ATP Fills'!G323)</f>
        <v/>
      </c>
      <c r="G323" t="str">
        <f>IF(A323="","",'ATP Fills'!H323)</f>
        <v/>
      </c>
      <c r="H323" t="str">
        <f>IF(A323="","",VLOOKUP(G323,表3_3[],2,0))</f>
        <v/>
      </c>
      <c r="I323" t="str">
        <f>IF(A323="","",VLOOKUP(G323,表3_3[],3,0))</f>
        <v/>
      </c>
      <c r="J323" t="str">
        <f>IF(A323="","",IF('ATP Fills'!I323="3M","",VLOOKUP(RIGHT('ATP Fills'!I323,2),Helper1!$O$36:$P$48,2,0)))</f>
        <v/>
      </c>
      <c r="K323" t="str">
        <f>IF(J323="","",LEFT('ATP Fills'!I323,4))</f>
        <v/>
      </c>
      <c r="L323" t="str">
        <f>IF(A323="","",IF('ATP Fills'!G323="LME",'ATP Fills'!I323,""))</f>
        <v/>
      </c>
      <c r="M323" t="str">
        <f t="shared" ref="M323:M386" si="5">IF(A323="","",IF(F323="LME",F323&amp;"-"&amp;I323&amp;"-"&amp;L323,J323&amp;"-"&amp;K323&amp;"-"&amp;I323))</f>
        <v/>
      </c>
    </row>
    <row r="324" spans="1:13">
      <c r="A324" t="str">
        <f>IF('ATP Fills'!A324="","",IF('ATP Fills'!Q324="PHILLIPSG",'ATP Fills'!F324,""))</f>
        <v/>
      </c>
      <c r="B324" t="str">
        <f>IF(A324="","",'ATP Fills'!L324)</f>
        <v/>
      </c>
      <c r="C324" t="str">
        <f>IF(A324="","",'ATP Fills'!M324)</f>
        <v/>
      </c>
      <c r="D324" t="str">
        <f>IF(A324="","",'ATP Fills'!B324)</f>
        <v/>
      </c>
      <c r="E324" s="3" t="str">
        <f>IF(A324="","",IF(DATE(LEFT(D324,4),MID(D324,5,2),RIGHT(D324,2))=Helper1!$P$1,Helper1!$P$1,""))</f>
        <v/>
      </c>
      <c r="F324" s="3" t="str">
        <f>IF(A324="","",'ATP Fills'!G324)</f>
        <v/>
      </c>
      <c r="G324" t="str">
        <f>IF(A324="","",'ATP Fills'!H324)</f>
        <v/>
      </c>
      <c r="H324" t="str">
        <f>IF(A324="","",VLOOKUP(G324,表3_3[],2,0))</f>
        <v/>
      </c>
      <c r="I324" t="str">
        <f>IF(A324="","",VLOOKUP(G324,表3_3[],3,0))</f>
        <v/>
      </c>
      <c r="J324" t="str">
        <f>IF(A324="","",IF('ATP Fills'!I324="3M","",VLOOKUP(RIGHT('ATP Fills'!I324,2),Helper1!$O$36:$P$48,2,0)))</f>
        <v/>
      </c>
      <c r="K324" t="str">
        <f>IF(J324="","",LEFT('ATP Fills'!I324,4))</f>
        <v/>
      </c>
      <c r="L324" t="str">
        <f>IF(A324="","",IF('ATP Fills'!G324="LME",'ATP Fills'!I324,""))</f>
        <v/>
      </c>
      <c r="M324" t="str">
        <f t="shared" si="5"/>
        <v/>
      </c>
    </row>
    <row r="325" spans="1:13">
      <c r="A325" t="str">
        <f>IF('ATP Fills'!A325="","",IF('ATP Fills'!Q325="PHILLIPSG",'ATP Fills'!F325,""))</f>
        <v/>
      </c>
      <c r="B325" t="str">
        <f>IF(A325="","",'ATP Fills'!L325)</f>
        <v/>
      </c>
      <c r="C325" t="str">
        <f>IF(A325="","",'ATP Fills'!M325)</f>
        <v/>
      </c>
      <c r="D325" t="str">
        <f>IF(A325="","",'ATP Fills'!B325)</f>
        <v/>
      </c>
      <c r="E325" s="3" t="str">
        <f>IF(A325="","",IF(DATE(LEFT(D325,4),MID(D325,5,2),RIGHT(D325,2))=Helper1!$P$1,Helper1!$P$1,""))</f>
        <v/>
      </c>
      <c r="F325" s="3" t="str">
        <f>IF(A325="","",'ATP Fills'!G325)</f>
        <v/>
      </c>
      <c r="G325" t="str">
        <f>IF(A325="","",'ATP Fills'!H325)</f>
        <v/>
      </c>
      <c r="H325" t="str">
        <f>IF(A325="","",VLOOKUP(G325,表3_3[],2,0))</f>
        <v/>
      </c>
      <c r="I325" t="str">
        <f>IF(A325="","",VLOOKUP(G325,表3_3[],3,0))</f>
        <v/>
      </c>
      <c r="J325" t="str">
        <f>IF(A325="","",IF('ATP Fills'!I325="3M","",VLOOKUP(RIGHT('ATP Fills'!I325,2),Helper1!$O$36:$P$48,2,0)))</f>
        <v/>
      </c>
      <c r="K325" t="str">
        <f>IF(J325="","",LEFT('ATP Fills'!I325,4))</f>
        <v/>
      </c>
      <c r="L325" t="str">
        <f>IF(A325="","",IF('ATP Fills'!G325="LME",'ATP Fills'!I325,""))</f>
        <v/>
      </c>
      <c r="M325" t="str">
        <f t="shared" si="5"/>
        <v/>
      </c>
    </row>
    <row r="326" spans="1:13">
      <c r="A326" t="str">
        <f>IF('ATP Fills'!A326="","",IF('ATP Fills'!Q326="PHILLIPSG",'ATP Fills'!F326,""))</f>
        <v/>
      </c>
      <c r="B326" t="str">
        <f>IF(A326="","",'ATP Fills'!L326)</f>
        <v/>
      </c>
      <c r="C326" t="str">
        <f>IF(A326="","",'ATP Fills'!M326)</f>
        <v/>
      </c>
      <c r="D326" t="str">
        <f>IF(A326="","",'ATP Fills'!B326)</f>
        <v/>
      </c>
      <c r="E326" s="3" t="str">
        <f>IF(A326="","",IF(DATE(LEFT(D326,4),MID(D326,5,2),RIGHT(D326,2))=Helper1!$P$1,Helper1!$P$1,""))</f>
        <v/>
      </c>
      <c r="F326" s="3" t="str">
        <f>IF(A326="","",'ATP Fills'!G326)</f>
        <v/>
      </c>
      <c r="G326" t="str">
        <f>IF(A326="","",'ATP Fills'!H326)</f>
        <v/>
      </c>
      <c r="H326" t="str">
        <f>IF(A326="","",VLOOKUP(G326,表3_3[],2,0))</f>
        <v/>
      </c>
      <c r="I326" t="str">
        <f>IF(A326="","",VLOOKUP(G326,表3_3[],3,0))</f>
        <v/>
      </c>
      <c r="J326" t="str">
        <f>IF(A326="","",IF('ATP Fills'!I326="3M","",VLOOKUP(RIGHT('ATP Fills'!I326,2),Helper1!$O$36:$P$48,2,0)))</f>
        <v/>
      </c>
      <c r="K326" t="str">
        <f>IF(J326="","",LEFT('ATP Fills'!I326,4))</f>
        <v/>
      </c>
      <c r="L326" t="str">
        <f>IF(A326="","",IF('ATP Fills'!G326="LME",'ATP Fills'!I326,""))</f>
        <v/>
      </c>
      <c r="M326" t="str">
        <f t="shared" si="5"/>
        <v/>
      </c>
    </row>
    <row r="327" spans="1:13">
      <c r="A327" t="str">
        <f>IF('ATP Fills'!A327="","",IF('ATP Fills'!Q327="PHILLIPSG",'ATP Fills'!F327,""))</f>
        <v/>
      </c>
      <c r="B327" t="str">
        <f>IF(A327="","",'ATP Fills'!L327)</f>
        <v/>
      </c>
      <c r="C327" t="str">
        <f>IF(A327="","",'ATP Fills'!M327)</f>
        <v/>
      </c>
      <c r="D327" t="str">
        <f>IF(A327="","",'ATP Fills'!B327)</f>
        <v/>
      </c>
      <c r="E327" s="3" t="str">
        <f>IF(A327="","",IF(DATE(LEFT(D327,4),MID(D327,5,2),RIGHT(D327,2))=Helper1!$P$1,Helper1!$P$1,""))</f>
        <v/>
      </c>
      <c r="F327" s="3" t="str">
        <f>IF(A327="","",'ATP Fills'!G327)</f>
        <v/>
      </c>
      <c r="G327" t="str">
        <f>IF(A327="","",'ATP Fills'!H327)</f>
        <v/>
      </c>
      <c r="H327" t="str">
        <f>IF(A327="","",VLOOKUP(G327,表3_3[],2,0))</f>
        <v/>
      </c>
      <c r="I327" t="str">
        <f>IF(A327="","",VLOOKUP(G327,表3_3[],3,0))</f>
        <v/>
      </c>
      <c r="J327" t="str">
        <f>IF(A327="","",IF('ATP Fills'!I327="3M","",VLOOKUP(RIGHT('ATP Fills'!I327,2),Helper1!$O$36:$P$48,2,0)))</f>
        <v/>
      </c>
      <c r="K327" t="str">
        <f>IF(J327="","",LEFT('ATP Fills'!I327,4))</f>
        <v/>
      </c>
      <c r="L327" t="str">
        <f>IF(A327="","",IF('ATP Fills'!G327="LME",'ATP Fills'!I327,""))</f>
        <v/>
      </c>
      <c r="M327" t="str">
        <f t="shared" si="5"/>
        <v/>
      </c>
    </row>
    <row r="328" spans="1:13">
      <c r="A328" t="str">
        <f>IF('ATP Fills'!A328="","",IF('ATP Fills'!Q328="PHILLIPSG",'ATP Fills'!F328,""))</f>
        <v/>
      </c>
      <c r="B328" t="str">
        <f>IF(A328="","",'ATP Fills'!L328)</f>
        <v/>
      </c>
      <c r="C328" t="str">
        <f>IF(A328="","",'ATP Fills'!M328)</f>
        <v/>
      </c>
      <c r="D328" t="str">
        <f>IF(A328="","",'ATP Fills'!B328)</f>
        <v/>
      </c>
      <c r="E328" s="3" t="str">
        <f>IF(A328="","",IF(DATE(LEFT(D328,4),MID(D328,5,2),RIGHT(D328,2))=Helper1!$P$1,Helper1!$P$1,""))</f>
        <v/>
      </c>
      <c r="F328" s="3" t="str">
        <f>IF(A328="","",'ATP Fills'!G328)</f>
        <v/>
      </c>
      <c r="G328" t="str">
        <f>IF(A328="","",'ATP Fills'!H328)</f>
        <v/>
      </c>
      <c r="H328" t="str">
        <f>IF(A328="","",VLOOKUP(G328,表3_3[],2,0))</f>
        <v/>
      </c>
      <c r="I328" t="str">
        <f>IF(A328="","",VLOOKUP(G328,表3_3[],3,0))</f>
        <v/>
      </c>
      <c r="J328" t="str">
        <f>IF(A328="","",IF('ATP Fills'!I328="3M","",VLOOKUP(RIGHT('ATP Fills'!I328,2),Helper1!$O$36:$P$48,2,0)))</f>
        <v/>
      </c>
      <c r="K328" t="str">
        <f>IF(J328="","",LEFT('ATP Fills'!I328,4))</f>
        <v/>
      </c>
      <c r="L328" t="str">
        <f>IF(A328="","",IF('ATP Fills'!G328="LME",'ATP Fills'!I328,""))</f>
        <v/>
      </c>
      <c r="M328" t="str">
        <f t="shared" si="5"/>
        <v/>
      </c>
    </row>
    <row r="329" spans="1:13">
      <c r="A329" t="str">
        <f>IF('ATP Fills'!A329="","",IF('ATP Fills'!Q329="PHILLIPSG",'ATP Fills'!F329,""))</f>
        <v/>
      </c>
      <c r="B329" t="str">
        <f>IF(A329="","",'ATP Fills'!L329)</f>
        <v/>
      </c>
      <c r="C329" t="str">
        <f>IF(A329="","",'ATP Fills'!M329)</f>
        <v/>
      </c>
      <c r="D329" t="str">
        <f>IF(A329="","",'ATP Fills'!B329)</f>
        <v/>
      </c>
      <c r="E329" s="3" t="str">
        <f>IF(A329="","",IF(DATE(LEFT(D329,4),MID(D329,5,2),RIGHT(D329,2))=Helper1!$P$1,Helper1!$P$1,""))</f>
        <v/>
      </c>
      <c r="F329" s="3" t="str">
        <f>IF(A329="","",'ATP Fills'!G329)</f>
        <v/>
      </c>
      <c r="G329" t="str">
        <f>IF(A329="","",'ATP Fills'!H329)</f>
        <v/>
      </c>
      <c r="H329" t="str">
        <f>IF(A329="","",VLOOKUP(G329,表3_3[],2,0))</f>
        <v/>
      </c>
      <c r="I329" t="str">
        <f>IF(A329="","",VLOOKUP(G329,表3_3[],3,0))</f>
        <v/>
      </c>
      <c r="J329" t="str">
        <f>IF(A329="","",IF('ATP Fills'!I329="3M","",VLOOKUP(RIGHT('ATP Fills'!I329,2),Helper1!$O$36:$P$48,2,0)))</f>
        <v/>
      </c>
      <c r="K329" t="str">
        <f>IF(J329="","",LEFT('ATP Fills'!I329,4))</f>
        <v/>
      </c>
      <c r="L329" t="str">
        <f>IF(A329="","",IF('ATP Fills'!G329="LME",'ATP Fills'!I329,""))</f>
        <v/>
      </c>
      <c r="M329" t="str">
        <f t="shared" si="5"/>
        <v/>
      </c>
    </row>
    <row r="330" spans="1:13">
      <c r="A330" t="str">
        <f>IF('ATP Fills'!A330="","",IF('ATP Fills'!Q330="PHILLIPSG",'ATP Fills'!F330,""))</f>
        <v/>
      </c>
      <c r="B330" t="str">
        <f>IF(A330="","",'ATP Fills'!L330)</f>
        <v/>
      </c>
      <c r="C330" t="str">
        <f>IF(A330="","",'ATP Fills'!M330)</f>
        <v/>
      </c>
      <c r="D330" t="str">
        <f>IF(A330="","",'ATP Fills'!B330)</f>
        <v/>
      </c>
      <c r="E330" s="3" t="str">
        <f>IF(A330="","",IF(DATE(LEFT(D330,4),MID(D330,5,2),RIGHT(D330,2))=Helper1!$P$1,Helper1!$P$1,""))</f>
        <v/>
      </c>
      <c r="F330" s="3" t="str">
        <f>IF(A330="","",'ATP Fills'!G330)</f>
        <v/>
      </c>
      <c r="G330" t="str">
        <f>IF(A330="","",'ATP Fills'!H330)</f>
        <v/>
      </c>
      <c r="H330" t="str">
        <f>IF(A330="","",VLOOKUP(G330,表3_3[],2,0))</f>
        <v/>
      </c>
      <c r="I330" t="str">
        <f>IF(A330="","",VLOOKUP(G330,表3_3[],3,0))</f>
        <v/>
      </c>
      <c r="J330" t="str">
        <f>IF(A330="","",IF('ATP Fills'!I330="3M","",VLOOKUP(RIGHT('ATP Fills'!I330,2),Helper1!$O$36:$P$48,2,0)))</f>
        <v/>
      </c>
      <c r="K330" t="str">
        <f>IF(J330="","",LEFT('ATP Fills'!I330,4))</f>
        <v/>
      </c>
      <c r="L330" t="str">
        <f>IF(A330="","",IF('ATP Fills'!G330="LME",'ATP Fills'!I330,""))</f>
        <v/>
      </c>
      <c r="M330" t="str">
        <f t="shared" si="5"/>
        <v/>
      </c>
    </row>
    <row r="331" spans="1:13">
      <c r="A331" t="str">
        <f>IF('ATP Fills'!A331="","",IF('ATP Fills'!Q331="PHILLIPSG",'ATP Fills'!F331,""))</f>
        <v/>
      </c>
      <c r="B331" t="str">
        <f>IF(A331="","",'ATP Fills'!L331)</f>
        <v/>
      </c>
      <c r="C331" t="str">
        <f>IF(A331="","",'ATP Fills'!M331)</f>
        <v/>
      </c>
      <c r="D331" t="str">
        <f>IF(A331="","",'ATP Fills'!B331)</f>
        <v/>
      </c>
      <c r="E331" s="3" t="str">
        <f>IF(A331="","",IF(DATE(LEFT(D331,4),MID(D331,5,2),RIGHT(D331,2))=Helper1!$P$1,Helper1!$P$1,""))</f>
        <v/>
      </c>
      <c r="F331" s="3" t="str">
        <f>IF(A331="","",'ATP Fills'!G331)</f>
        <v/>
      </c>
      <c r="G331" t="str">
        <f>IF(A331="","",'ATP Fills'!H331)</f>
        <v/>
      </c>
      <c r="H331" t="str">
        <f>IF(A331="","",VLOOKUP(G331,表3_3[],2,0))</f>
        <v/>
      </c>
      <c r="I331" t="str">
        <f>IF(A331="","",VLOOKUP(G331,表3_3[],3,0))</f>
        <v/>
      </c>
      <c r="J331" t="str">
        <f>IF(A331="","",IF('ATP Fills'!I331="3M","",VLOOKUP(RIGHT('ATP Fills'!I331,2),Helper1!$O$36:$P$48,2,0)))</f>
        <v/>
      </c>
      <c r="K331" t="str">
        <f>IF(J331="","",LEFT('ATP Fills'!I331,4))</f>
        <v/>
      </c>
      <c r="L331" t="str">
        <f>IF(A331="","",IF('ATP Fills'!G331="LME",'ATP Fills'!I331,""))</f>
        <v/>
      </c>
      <c r="M331" t="str">
        <f t="shared" si="5"/>
        <v/>
      </c>
    </row>
    <row r="332" spans="1:13">
      <c r="A332" t="str">
        <f>IF('ATP Fills'!A332="","",IF('ATP Fills'!Q332="PHILLIPSG",'ATP Fills'!F332,""))</f>
        <v/>
      </c>
      <c r="B332" t="str">
        <f>IF(A332="","",'ATP Fills'!L332)</f>
        <v/>
      </c>
      <c r="C332" t="str">
        <f>IF(A332="","",'ATP Fills'!M332)</f>
        <v/>
      </c>
      <c r="D332" t="str">
        <f>IF(A332="","",'ATP Fills'!B332)</f>
        <v/>
      </c>
      <c r="E332" s="3" t="str">
        <f>IF(A332="","",IF(DATE(LEFT(D332,4),MID(D332,5,2),RIGHT(D332,2))=Helper1!$P$1,Helper1!$P$1,""))</f>
        <v/>
      </c>
      <c r="F332" s="3" t="str">
        <f>IF(A332="","",'ATP Fills'!G332)</f>
        <v/>
      </c>
      <c r="G332" t="str">
        <f>IF(A332="","",'ATP Fills'!H332)</f>
        <v/>
      </c>
      <c r="H332" t="str">
        <f>IF(A332="","",VLOOKUP(G332,表3_3[],2,0))</f>
        <v/>
      </c>
      <c r="I332" t="str">
        <f>IF(A332="","",VLOOKUP(G332,表3_3[],3,0))</f>
        <v/>
      </c>
      <c r="J332" t="str">
        <f>IF(A332="","",IF('ATP Fills'!I332="3M","",VLOOKUP(RIGHT('ATP Fills'!I332,2),Helper1!$O$36:$P$48,2,0)))</f>
        <v/>
      </c>
      <c r="K332" t="str">
        <f>IF(J332="","",LEFT('ATP Fills'!I332,4))</f>
        <v/>
      </c>
      <c r="L332" t="str">
        <f>IF(A332="","",IF('ATP Fills'!G332="LME",'ATP Fills'!I332,""))</f>
        <v/>
      </c>
      <c r="M332" t="str">
        <f t="shared" si="5"/>
        <v/>
      </c>
    </row>
    <row r="333" spans="1:13">
      <c r="A333" t="str">
        <f>IF('ATP Fills'!A333="","",IF('ATP Fills'!Q333="PHILLIPSG",'ATP Fills'!F333,""))</f>
        <v/>
      </c>
      <c r="B333" t="str">
        <f>IF(A333="","",'ATP Fills'!L333)</f>
        <v/>
      </c>
      <c r="C333" t="str">
        <f>IF(A333="","",'ATP Fills'!M333)</f>
        <v/>
      </c>
      <c r="D333" t="str">
        <f>IF(A333="","",'ATP Fills'!B333)</f>
        <v/>
      </c>
      <c r="E333" s="3" t="str">
        <f>IF(A333="","",IF(DATE(LEFT(D333,4),MID(D333,5,2),RIGHT(D333,2))=Helper1!$P$1,Helper1!$P$1,""))</f>
        <v/>
      </c>
      <c r="F333" s="3" t="str">
        <f>IF(A333="","",'ATP Fills'!G333)</f>
        <v/>
      </c>
      <c r="G333" t="str">
        <f>IF(A333="","",'ATP Fills'!H333)</f>
        <v/>
      </c>
      <c r="H333" t="str">
        <f>IF(A333="","",VLOOKUP(G333,表3_3[],2,0))</f>
        <v/>
      </c>
      <c r="I333" t="str">
        <f>IF(A333="","",VLOOKUP(G333,表3_3[],3,0))</f>
        <v/>
      </c>
      <c r="J333" t="str">
        <f>IF(A333="","",IF('ATP Fills'!I333="3M","",VLOOKUP(RIGHT('ATP Fills'!I333,2),Helper1!$O$36:$P$48,2,0)))</f>
        <v/>
      </c>
      <c r="K333" t="str">
        <f>IF(J333="","",LEFT('ATP Fills'!I333,4))</f>
        <v/>
      </c>
      <c r="L333" t="str">
        <f>IF(A333="","",IF('ATP Fills'!G333="LME",'ATP Fills'!I333,""))</f>
        <v/>
      </c>
      <c r="M333" t="str">
        <f t="shared" si="5"/>
        <v/>
      </c>
    </row>
    <row r="334" spans="1:13">
      <c r="A334" t="str">
        <f>IF('ATP Fills'!A334="","",IF('ATP Fills'!Q334="PHILLIPSG",'ATP Fills'!F334,""))</f>
        <v/>
      </c>
      <c r="B334" t="str">
        <f>IF(A334="","",'ATP Fills'!L334)</f>
        <v/>
      </c>
      <c r="C334" t="str">
        <f>IF(A334="","",'ATP Fills'!M334)</f>
        <v/>
      </c>
      <c r="D334" t="str">
        <f>IF(A334="","",'ATP Fills'!B334)</f>
        <v/>
      </c>
      <c r="E334" s="3" t="str">
        <f>IF(A334="","",IF(DATE(LEFT(D334,4),MID(D334,5,2),RIGHT(D334,2))=Helper1!$P$1,Helper1!$P$1,""))</f>
        <v/>
      </c>
      <c r="F334" s="3" t="str">
        <f>IF(A334="","",'ATP Fills'!G334)</f>
        <v/>
      </c>
      <c r="G334" t="str">
        <f>IF(A334="","",'ATP Fills'!H334)</f>
        <v/>
      </c>
      <c r="H334" t="str">
        <f>IF(A334="","",VLOOKUP(G334,表3_3[],2,0))</f>
        <v/>
      </c>
      <c r="I334" t="str">
        <f>IF(A334="","",VLOOKUP(G334,表3_3[],3,0))</f>
        <v/>
      </c>
      <c r="J334" t="str">
        <f>IF(A334="","",IF('ATP Fills'!I334="3M","",VLOOKUP(RIGHT('ATP Fills'!I334,2),Helper1!$O$36:$P$48,2,0)))</f>
        <v/>
      </c>
      <c r="K334" t="str">
        <f>IF(J334="","",LEFT('ATP Fills'!I334,4))</f>
        <v/>
      </c>
      <c r="L334" t="str">
        <f>IF(A334="","",IF('ATP Fills'!G334="LME",'ATP Fills'!I334,""))</f>
        <v/>
      </c>
      <c r="M334" t="str">
        <f t="shared" si="5"/>
        <v/>
      </c>
    </row>
    <row r="335" spans="1:13">
      <c r="A335" t="str">
        <f>IF('ATP Fills'!A335="","",IF('ATP Fills'!Q335="PHILLIPSG",'ATP Fills'!F335,""))</f>
        <v/>
      </c>
      <c r="B335" t="str">
        <f>IF(A335="","",'ATP Fills'!L335)</f>
        <v/>
      </c>
      <c r="C335" t="str">
        <f>IF(A335="","",'ATP Fills'!M335)</f>
        <v/>
      </c>
      <c r="D335" t="str">
        <f>IF(A335="","",'ATP Fills'!B335)</f>
        <v/>
      </c>
      <c r="E335" s="3" t="str">
        <f>IF(A335="","",IF(DATE(LEFT(D335,4),MID(D335,5,2),RIGHT(D335,2))=Helper1!$P$1,Helper1!$P$1,""))</f>
        <v/>
      </c>
      <c r="F335" s="3" t="str">
        <f>IF(A335="","",'ATP Fills'!G335)</f>
        <v/>
      </c>
      <c r="G335" t="str">
        <f>IF(A335="","",'ATP Fills'!H335)</f>
        <v/>
      </c>
      <c r="H335" t="str">
        <f>IF(A335="","",VLOOKUP(G335,表3_3[],2,0))</f>
        <v/>
      </c>
      <c r="I335" t="str">
        <f>IF(A335="","",VLOOKUP(G335,表3_3[],3,0))</f>
        <v/>
      </c>
      <c r="J335" t="str">
        <f>IF(A335="","",IF('ATP Fills'!I335="3M","",VLOOKUP(RIGHT('ATP Fills'!I335,2),Helper1!$O$36:$P$48,2,0)))</f>
        <v/>
      </c>
      <c r="K335" t="str">
        <f>IF(J335="","",LEFT('ATP Fills'!I335,4))</f>
        <v/>
      </c>
      <c r="L335" t="str">
        <f>IF(A335="","",IF('ATP Fills'!G335="LME",'ATP Fills'!I335,""))</f>
        <v/>
      </c>
      <c r="M335" t="str">
        <f t="shared" si="5"/>
        <v/>
      </c>
    </row>
    <row r="336" spans="1:13">
      <c r="A336" t="str">
        <f>IF('ATP Fills'!A336="","",IF('ATP Fills'!Q336="PHILLIPSG",'ATP Fills'!F336,""))</f>
        <v/>
      </c>
      <c r="B336" t="str">
        <f>IF(A336="","",'ATP Fills'!L336)</f>
        <v/>
      </c>
      <c r="C336" t="str">
        <f>IF(A336="","",'ATP Fills'!M336)</f>
        <v/>
      </c>
      <c r="D336" t="str">
        <f>IF(A336="","",'ATP Fills'!B336)</f>
        <v/>
      </c>
      <c r="E336" s="3" t="str">
        <f>IF(A336="","",IF(DATE(LEFT(D336,4),MID(D336,5,2),RIGHT(D336,2))=Helper1!$P$1,Helper1!$P$1,""))</f>
        <v/>
      </c>
      <c r="F336" s="3" t="str">
        <f>IF(A336="","",'ATP Fills'!G336)</f>
        <v/>
      </c>
      <c r="G336" t="str">
        <f>IF(A336="","",'ATP Fills'!H336)</f>
        <v/>
      </c>
      <c r="H336" t="str">
        <f>IF(A336="","",VLOOKUP(G336,表3_3[],2,0))</f>
        <v/>
      </c>
      <c r="I336" t="str">
        <f>IF(A336="","",VLOOKUP(G336,表3_3[],3,0))</f>
        <v/>
      </c>
      <c r="J336" t="str">
        <f>IF(A336="","",IF('ATP Fills'!I336="3M","",VLOOKUP(RIGHT('ATP Fills'!I336,2),Helper1!$O$36:$P$48,2,0)))</f>
        <v/>
      </c>
      <c r="K336" t="str">
        <f>IF(J336="","",LEFT('ATP Fills'!I336,4))</f>
        <v/>
      </c>
      <c r="L336" t="str">
        <f>IF(A336="","",IF('ATP Fills'!G336="LME",'ATP Fills'!I336,""))</f>
        <v/>
      </c>
      <c r="M336" t="str">
        <f t="shared" si="5"/>
        <v/>
      </c>
    </row>
    <row r="337" spans="1:13">
      <c r="A337" t="str">
        <f>IF('ATP Fills'!A337="","",IF('ATP Fills'!Q337="PHILLIPSG",'ATP Fills'!F337,""))</f>
        <v/>
      </c>
      <c r="B337" t="str">
        <f>IF(A337="","",'ATP Fills'!L337)</f>
        <v/>
      </c>
      <c r="C337" t="str">
        <f>IF(A337="","",'ATP Fills'!M337)</f>
        <v/>
      </c>
      <c r="D337" t="str">
        <f>IF(A337="","",'ATP Fills'!B337)</f>
        <v/>
      </c>
      <c r="E337" s="3" t="str">
        <f>IF(A337="","",IF(DATE(LEFT(D337,4),MID(D337,5,2),RIGHT(D337,2))=Helper1!$P$1,Helper1!$P$1,""))</f>
        <v/>
      </c>
      <c r="F337" s="3" t="str">
        <f>IF(A337="","",'ATP Fills'!G337)</f>
        <v/>
      </c>
      <c r="G337" t="str">
        <f>IF(A337="","",'ATP Fills'!H337)</f>
        <v/>
      </c>
      <c r="H337" t="str">
        <f>IF(A337="","",VLOOKUP(G337,表3_3[],2,0))</f>
        <v/>
      </c>
      <c r="I337" t="str">
        <f>IF(A337="","",VLOOKUP(G337,表3_3[],3,0))</f>
        <v/>
      </c>
      <c r="J337" t="str">
        <f>IF(A337="","",IF('ATP Fills'!I337="3M","",VLOOKUP(RIGHT('ATP Fills'!I337,2),Helper1!$O$36:$P$48,2,0)))</f>
        <v/>
      </c>
      <c r="K337" t="str">
        <f>IF(J337="","",LEFT('ATP Fills'!I337,4))</f>
        <v/>
      </c>
      <c r="L337" t="str">
        <f>IF(A337="","",IF('ATP Fills'!G337="LME",'ATP Fills'!I337,""))</f>
        <v/>
      </c>
      <c r="M337" t="str">
        <f t="shared" si="5"/>
        <v/>
      </c>
    </row>
    <row r="338" spans="1:13">
      <c r="A338" t="str">
        <f>IF('ATP Fills'!A338="","",IF('ATP Fills'!Q338="PHILLIPSG",'ATP Fills'!F338,""))</f>
        <v/>
      </c>
      <c r="B338" t="str">
        <f>IF(A338="","",'ATP Fills'!L338)</f>
        <v/>
      </c>
      <c r="C338" t="str">
        <f>IF(A338="","",'ATP Fills'!M338)</f>
        <v/>
      </c>
      <c r="D338" t="str">
        <f>IF(A338="","",'ATP Fills'!B338)</f>
        <v/>
      </c>
      <c r="E338" s="3" t="str">
        <f>IF(A338="","",IF(DATE(LEFT(D338,4),MID(D338,5,2),RIGHT(D338,2))=Helper1!$P$1,Helper1!$P$1,""))</f>
        <v/>
      </c>
      <c r="F338" s="3" t="str">
        <f>IF(A338="","",'ATP Fills'!G338)</f>
        <v/>
      </c>
      <c r="G338" t="str">
        <f>IF(A338="","",'ATP Fills'!H338)</f>
        <v/>
      </c>
      <c r="H338" t="str">
        <f>IF(A338="","",VLOOKUP(G338,表3_3[],2,0))</f>
        <v/>
      </c>
      <c r="I338" t="str">
        <f>IF(A338="","",VLOOKUP(G338,表3_3[],3,0))</f>
        <v/>
      </c>
      <c r="J338" t="str">
        <f>IF(A338="","",IF('ATP Fills'!I338="3M","",VLOOKUP(RIGHT('ATP Fills'!I338,2),Helper1!$O$36:$P$48,2,0)))</f>
        <v/>
      </c>
      <c r="K338" t="str">
        <f>IF(J338="","",LEFT('ATP Fills'!I338,4))</f>
        <v/>
      </c>
      <c r="L338" t="str">
        <f>IF(A338="","",IF('ATP Fills'!G338="LME",'ATP Fills'!I338,""))</f>
        <v/>
      </c>
      <c r="M338" t="str">
        <f t="shared" si="5"/>
        <v/>
      </c>
    </row>
    <row r="339" spans="1:13">
      <c r="A339" t="str">
        <f>IF('ATP Fills'!A339="","",IF('ATP Fills'!Q339="PHILLIPSG",'ATP Fills'!F339,""))</f>
        <v/>
      </c>
      <c r="B339" t="str">
        <f>IF(A339="","",'ATP Fills'!L339)</f>
        <v/>
      </c>
      <c r="C339" t="str">
        <f>IF(A339="","",'ATP Fills'!M339)</f>
        <v/>
      </c>
      <c r="D339" t="str">
        <f>IF(A339="","",'ATP Fills'!B339)</f>
        <v/>
      </c>
      <c r="E339" s="3" t="str">
        <f>IF(A339="","",IF(DATE(LEFT(D339,4),MID(D339,5,2),RIGHT(D339,2))=Helper1!$P$1,Helper1!$P$1,""))</f>
        <v/>
      </c>
      <c r="F339" s="3" t="str">
        <f>IF(A339="","",'ATP Fills'!G339)</f>
        <v/>
      </c>
      <c r="G339" t="str">
        <f>IF(A339="","",'ATP Fills'!H339)</f>
        <v/>
      </c>
      <c r="H339" t="str">
        <f>IF(A339="","",VLOOKUP(G339,表3_3[],2,0))</f>
        <v/>
      </c>
      <c r="I339" t="str">
        <f>IF(A339="","",VLOOKUP(G339,表3_3[],3,0))</f>
        <v/>
      </c>
      <c r="J339" t="str">
        <f>IF(A339="","",IF('ATP Fills'!I339="3M","",VLOOKUP(RIGHT('ATP Fills'!I339,2),Helper1!$O$36:$P$48,2,0)))</f>
        <v/>
      </c>
      <c r="K339" t="str">
        <f>IF(J339="","",LEFT('ATP Fills'!I339,4))</f>
        <v/>
      </c>
      <c r="L339" t="str">
        <f>IF(A339="","",IF('ATP Fills'!G339="LME",'ATP Fills'!I339,""))</f>
        <v/>
      </c>
      <c r="M339" t="str">
        <f t="shared" si="5"/>
        <v/>
      </c>
    </row>
    <row r="340" spans="1:13">
      <c r="A340" t="str">
        <f>IF('ATP Fills'!A340="","",IF('ATP Fills'!Q340="PHILLIPSG",'ATP Fills'!F340,""))</f>
        <v/>
      </c>
      <c r="B340" t="str">
        <f>IF(A340="","",'ATP Fills'!L340)</f>
        <v/>
      </c>
      <c r="C340" t="str">
        <f>IF(A340="","",'ATP Fills'!M340)</f>
        <v/>
      </c>
      <c r="D340" t="str">
        <f>IF(A340="","",'ATP Fills'!B340)</f>
        <v/>
      </c>
      <c r="E340" s="3" t="str">
        <f>IF(A340="","",IF(DATE(LEFT(D340,4),MID(D340,5,2),RIGHT(D340,2))=Helper1!$P$1,Helper1!$P$1,""))</f>
        <v/>
      </c>
      <c r="F340" s="3" t="str">
        <f>IF(A340="","",'ATP Fills'!G340)</f>
        <v/>
      </c>
      <c r="G340" t="str">
        <f>IF(A340="","",'ATP Fills'!H340)</f>
        <v/>
      </c>
      <c r="H340" t="str">
        <f>IF(A340="","",VLOOKUP(G340,表3_3[],2,0))</f>
        <v/>
      </c>
      <c r="I340" t="str">
        <f>IF(A340="","",VLOOKUP(G340,表3_3[],3,0))</f>
        <v/>
      </c>
      <c r="J340" t="str">
        <f>IF(A340="","",IF('ATP Fills'!I340="3M","",VLOOKUP(RIGHT('ATP Fills'!I340,2),Helper1!$O$36:$P$48,2,0)))</f>
        <v/>
      </c>
      <c r="K340" t="str">
        <f>IF(J340="","",LEFT('ATP Fills'!I340,4))</f>
        <v/>
      </c>
      <c r="L340" t="str">
        <f>IF(A340="","",IF('ATP Fills'!G340="LME",'ATP Fills'!I340,""))</f>
        <v/>
      </c>
      <c r="M340" t="str">
        <f t="shared" si="5"/>
        <v/>
      </c>
    </row>
    <row r="341" spans="1:13">
      <c r="A341" t="str">
        <f>IF('ATP Fills'!A341="","",IF('ATP Fills'!Q341="PHILLIPSG",'ATP Fills'!F341,""))</f>
        <v/>
      </c>
      <c r="B341" t="str">
        <f>IF(A341="","",'ATP Fills'!L341)</f>
        <v/>
      </c>
      <c r="C341" t="str">
        <f>IF(A341="","",'ATP Fills'!M341)</f>
        <v/>
      </c>
      <c r="D341" t="str">
        <f>IF(A341="","",'ATP Fills'!B341)</f>
        <v/>
      </c>
      <c r="E341" s="3" t="str">
        <f>IF(A341="","",IF(DATE(LEFT(D341,4),MID(D341,5,2),RIGHT(D341,2))=Helper1!$P$1,Helper1!$P$1,""))</f>
        <v/>
      </c>
      <c r="F341" s="3" t="str">
        <f>IF(A341="","",'ATP Fills'!G341)</f>
        <v/>
      </c>
      <c r="G341" t="str">
        <f>IF(A341="","",'ATP Fills'!H341)</f>
        <v/>
      </c>
      <c r="H341" t="str">
        <f>IF(A341="","",VLOOKUP(G341,表3_3[],2,0))</f>
        <v/>
      </c>
      <c r="I341" t="str">
        <f>IF(A341="","",VLOOKUP(G341,表3_3[],3,0))</f>
        <v/>
      </c>
      <c r="J341" t="str">
        <f>IF(A341="","",IF('ATP Fills'!I341="3M","",VLOOKUP(RIGHT('ATP Fills'!I341,2),Helper1!$O$36:$P$48,2,0)))</f>
        <v/>
      </c>
      <c r="K341" t="str">
        <f>IF(J341="","",LEFT('ATP Fills'!I341,4))</f>
        <v/>
      </c>
      <c r="L341" t="str">
        <f>IF(A341="","",IF('ATP Fills'!G341="LME",'ATP Fills'!I341,""))</f>
        <v/>
      </c>
      <c r="M341" t="str">
        <f t="shared" si="5"/>
        <v/>
      </c>
    </row>
    <row r="342" spans="1:13">
      <c r="A342" t="str">
        <f>IF('ATP Fills'!A342="","",IF('ATP Fills'!Q342="PHILLIPSG",'ATP Fills'!F342,""))</f>
        <v/>
      </c>
      <c r="B342" t="str">
        <f>IF(A342="","",'ATP Fills'!L342)</f>
        <v/>
      </c>
      <c r="C342" t="str">
        <f>IF(A342="","",'ATP Fills'!M342)</f>
        <v/>
      </c>
      <c r="D342" t="str">
        <f>IF(A342="","",'ATP Fills'!B342)</f>
        <v/>
      </c>
      <c r="E342" s="3" t="str">
        <f>IF(A342="","",IF(DATE(LEFT(D342,4),MID(D342,5,2),RIGHT(D342,2))=Helper1!$P$1,Helper1!$P$1,""))</f>
        <v/>
      </c>
      <c r="F342" s="3" t="str">
        <f>IF(A342="","",'ATP Fills'!G342)</f>
        <v/>
      </c>
      <c r="G342" t="str">
        <f>IF(A342="","",'ATP Fills'!H342)</f>
        <v/>
      </c>
      <c r="H342" t="str">
        <f>IF(A342="","",VLOOKUP(G342,表3_3[],2,0))</f>
        <v/>
      </c>
      <c r="I342" t="str">
        <f>IF(A342="","",VLOOKUP(G342,表3_3[],3,0))</f>
        <v/>
      </c>
      <c r="J342" t="str">
        <f>IF(A342="","",IF('ATP Fills'!I342="3M","",VLOOKUP(RIGHT('ATP Fills'!I342,2),Helper1!$O$36:$P$48,2,0)))</f>
        <v/>
      </c>
      <c r="K342" t="str">
        <f>IF(J342="","",LEFT('ATP Fills'!I342,4))</f>
        <v/>
      </c>
      <c r="L342" t="str">
        <f>IF(A342="","",IF('ATP Fills'!G342="LME",'ATP Fills'!I342,""))</f>
        <v/>
      </c>
      <c r="M342" t="str">
        <f t="shared" si="5"/>
        <v/>
      </c>
    </row>
    <row r="343" spans="1:13">
      <c r="A343" t="str">
        <f>IF('ATP Fills'!A343="","",IF('ATP Fills'!Q343="PHILLIPSG",'ATP Fills'!F343,""))</f>
        <v/>
      </c>
      <c r="B343" t="str">
        <f>IF(A343="","",'ATP Fills'!L343)</f>
        <v/>
      </c>
      <c r="C343" t="str">
        <f>IF(A343="","",'ATP Fills'!M343)</f>
        <v/>
      </c>
      <c r="D343" t="str">
        <f>IF(A343="","",'ATP Fills'!B343)</f>
        <v/>
      </c>
      <c r="E343" s="3" t="str">
        <f>IF(A343="","",IF(DATE(LEFT(D343,4),MID(D343,5,2),RIGHT(D343,2))=Helper1!$P$1,Helper1!$P$1,""))</f>
        <v/>
      </c>
      <c r="F343" s="3" t="str">
        <f>IF(A343="","",'ATP Fills'!G343)</f>
        <v/>
      </c>
      <c r="G343" t="str">
        <f>IF(A343="","",'ATP Fills'!H343)</f>
        <v/>
      </c>
      <c r="H343" t="str">
        <f>IF(A343="","",VLOOKUP(G343,表3_3[],2,0))</f>
        <v/>
      </c>
      <c r="I343" t="str">
        <f>IF(A343="","",VLOOKUP(G343,表3_3[],3,0))</f>
        <v/>
      </c>
      <c r="J343" t="str">
        <f>IF(A343="","",IF('ATP Fills'!I343="3M","",VLOOKUP(RIGHT('ATP Fills'!I343,2),Helper1!$O$36:$P$48,2,0)))</f>
        <v/>
      </c>
      <c r="K343" t="str">
        <f>IF(J343="","",LEFT('ATP Fills'!I343,4))</f>
        <v/>
      </c>
      <c r="L343" t="str">
        <f>IF(A343="","",IF('ATP Fills'!G343="LME",'ATP Fills'!I343,""))</f>
        <v/>
      </c>
      <c r="M343" t="str">
        <f t="shared" si="5"/>
        <v/>
      </c>
    </row>
    <row r="344" spans="1:13">
      <c r="A344" t="str">
        <f>IF('ATP Fills'!A344="","",IF('ATP Fills'!Q344="PHILLIPSG",'ATP Fills'!F344,""))</f>
        <v/>
      </c>
      <c r="B344" t="str">
        <f>IF(A344="","",'ATP Fills'!L344)</f>
        <v/>
      </c>
      <c r="C344" t="str">
        <f>IF(A344="","",'ATP Fills'!M344)</f>
        <v/>
      </c>
      <c r="D344" t="str">
        <f>IF(A344="","",'ATP Fills'!B344)</f>
        <v/>
      </c>
      <c r="E344" s="3" t="str">
        <f>IF(A344="","",IF(DATE(LEFT(D344,4),MID(D344,5,2),RIGHT(D344,2))=Helper1!$P$1,Helper1!$P$1,""))</f>
        <v/>
      </c>
      <c r="F344" s="3" t="str">
        <f>IF(A344="","",'ATP Fills'!G344)</f>
        <v/>
      </c>
      <c r="G344" t="str">
        <f>IF(A344="","",'ATP Fills'!H344)</f>
        <v/>
      </c>
      <c r="H344" t="str">
        <f>IF(A344="","",VLOOKUP(G344,表3_3[],2,0))</f>
        <v/>
      </c>
      <c r="I344" t="str">
        <f>IF(A344="","",VLOOKUP(G344,表3_3[],3,0))</f>
        <v/>
      </c>
      <c r="J344" t="str">
        <f>IF(A344="","",IF('ATP Fills'!I344="3M","",VLOOKUP(RIGHT('ATP Fills'!I344,2),Helper1!$O$36:$P$48,2,0)))</f>
        <v/>
      </c>
      <c r="K344" t="str">
        <f>IF(J344="","",LEFT('ATP Fills'!I344,4))</f>
        <v/>
      </c>
      <c r="L344" t="str">
        <f>IF(A344="","",IF('ATP Fills'!G344="LME",'ATP Fills'!I344,""))</f>
        <v/>
      </c>
      <c r="M344" t="str">
        <f t="shared" si="5"/>
        <v/>
      </c>
    </row>
    <row r="345" spans="1:13">
      <c r="A345" t="str">
        <f>IF('ATP Fills'!A345="","",IF('ATP Fills'!Q345="PHILLIPSG",'ATP Fills'!F345,""))</f>
        <v/>
      </c>
      <c r="B345" t="str">
        <f>IF(A345="","",'ATP Fills'!L345)</f>
        <v/>
      </c>
      <c r="C345" t="str">
        <f>IF(A345="","",'ATP Fills'!M345)</f>
        <v/>
      </c>
      <c r="D345" t="str">
        <f>IF(A345="","",'ATP Fills'!B345)</f>
        <v/>
      </c>
      <c r="E345" s="3" t="str">
        <f>IF(A345="","",IF(DATE(LEFT(D345,4),MID(D345,5,2),RIGHT(D345,2))=Helper1!$P$1,Helper1!$P$1,""))</f>
        <v/>
      </c>
      <c r="F345" s="3" t="str">
        <f>IF(A345="","",'ATP Fills'!G345)</f>
        <v/>
      </c>
      <c r="G345" t="str">
        <f>IF(A345="","",'ATP Fills'!H345)</f>
        <v/>
      </c>
      <c r="H345" t="str">
        <f>IF(A345="","",VLOOKUP(G345,表3_3[],2,0))</f>
        <v/>
      </c>
      <c r="I345" t="str">
        <f>IF(A345="","",VLOOKUP(G345,表3_3[],3,0))</f>
        <v/>
      </c>
      <c r="J345" t="str">
        <f>IF(A345="","",IF('ATP Fills'!I345="3M","",VLOOKUP(RIGHT('ATP Fills'!I345,2),Helper1!$O$36:$P$48,2,0)))</f>
        <v/>
      </c>
      <c r="K345" t="str">
        <f>IF(J345="","",LEFT('ATP Fills'!I345,4))</f>
        <v/>
      </c>
      <c r="L345" t="str">
        <f>IF(A345="","",IF('ATP Fills'!G345="LME",'ATP Fills'!I345,""))</f>
        <v/>
      </c>
      <c r="M345" t="str">
        <f t="shared" si="5"/>
        <v/>
      </c>
    </row>
    <row r="346" spans="1:13">
      <c r="A346" t="str">
        <f>IF('ATP Fills'!A346="","",IF('ATP Fills'!Q346="PHILLIPSG",'ATP Fills'!F346,""))</f>
        <v/>
      </c>
      <c r="B346" t="str">
        <f>IF(A346="","",'ATP Fills'!L346)</f>
        <v/>
      </c>
      <c r="C346" t="str">
        <f>IF(A346="","",'ATP Fills'!M346)</f>
        <v/>
      </c>
      <c r="D346" t="str">
        <f>IF(A346="","",'ATP Fills'!B346)</f>
        <v/>
      </c>
      <c r="E346" s="3" t="str">
        <f>IF(A346="","",IF(DATE(LEFT(D346,4),MID(D346,5,2),RIGHT(D346,2))=Helper1!$P$1,Helper1!$P$1,""))</f>
        <v/>
      </c>
      <c r="F346" s="3" t="str">
        <f>IF(A346="","",'ATP Fills'!G346)</f>
        <v/>
      </c>
      <c r="G346" t="str">
        <f>IF(A346="","",'ATP Fills'!H346)</f>
        <v/>
      </c>
      <c r="H346" t="str">
        <f>IF(A346="","",VLOOKUP(G346,表3_3[],2,0))</f>
        <v/>
      </c>
      <c r="I346" t="str">
        <f>IF(A346="","",VLOOKUP(G346,表3_3[],3,0))</f>
        <v/>
      </c>
      <c r="J346" t="str">
        <f>IF(A346="","",IF('ATP Fills'!I346="3M","",VLOOKUP(RIGHT('ATP Fills'!I346,2),Helper1!$O$36:$P$48,2,0)))</f>
        <v/>
      </c>
      <c r="K346" t="str">
        <f>IF(J346="","",LEFT('ATP Fills'!I346,4))</f>
        <v/>
      </c>
      <c r="L346" t="str">
        <f>IF(A346="","",IF('ATP Fills'!G346="LME",'ATP Fills'!I346,""))</f>
        <v/>
      </c>
      <c r="M346" t="str">
        <f t="shared" si="5"/>
        <v/>
      </c>
    </row>
    <row r="347" spans="1:13">
      <c r="A347" t="str">
        <f>IF('ATP Fills'!A347="","",IF('ATP Fills'!Q347="PHILLIPSG",'ATP Fills'!F347,""))</f>
        <v/>
      </c>
      <c r="B347" t="str">
        <f>IF(A347="","",'ATP Fills'!L347)</f>
        <v/>
      </c>
      <c r="C347" t="str">
        <f>IF(A347="","",'ATP Fills'!M347)</f>
        <v/>
      </c>
      <c r="D347" t="str">
        <f>IF(A347="","",'ATP Fills'!B347)</f>
        <v/>
      </c>
      <c r="E347" s="3" t="str">
        <f>IF(A347="","",IF(DATE(LEFT(D347,4),MID(D347,5,2),RIGHT(D347,2))=Helper1!$P$1,Helper1!$P$1,""))</f>
        <v/>
      </c>
      <c r="F347" s="3" t="str">
        <f>IF(A347="","",'ATP Fills'!G347)</f>
        <v/>
      </c>
      <c r="G347" t="str">
        <f>IF(A347="","",'ATP Fills'!H347)</f>
        <v/>
      </c>
      <c r="H347" t="str">
        <f>IF(A347="","",VLOOKUP(G347,表3_3[],2,0))</f>
        <v/>
      </c>
      <c r="I347" t="str">
        <f>IF(A347="","",VLOOKUP(G347,表3_3[],3,0))</f>
        <v/>
      </c>
      <c r="J347" t="str">
        <f>IF(A347="","",IF('ATP Fills'!I347="3M","",VLOOKUP(RIGHT('ATP Fills'!I347,2),Helper1!$O$36:$P$48,2,0)))</f>
        <v/>
      </c>
      <c r="K347" t="str">
        <f>IF(J347="","",LEFT('ATP Fills'!I347,4))</f>
        <v/>
      </c>
      <c r="L347" t="str">
        <f>IF(A347="","",IF('ATP Fills'!G347="LME",'ATP Fills'!I347,""))</f>
        <v/>
      </c>
      <c r="M347" t="str">
        <f t="shared" si="5"/>
        <v/>
      </c>
    </row>
    <row r="348" spans="1:13">
      <c r="A348" t="str">
        <f>IF('ATP Fills'!A348="","",IF('ATP Fills'!Q348="PHILLIPSG",'ATP Fills'!F348,""))</f>
        <v/>
      </c>
      <c r="B348" t="str">
        <f>IF(A348="","",'ATP Fills'!L348)</f>
        <v/>
      </c>
      <c r="C348" t="str">
        <f>IF(A348="","",'ATP Fills'!M348)</f>
        <v/>
      </c>
      <c r="D348" t="str">
        <f>IF(A348="","",'ATP Fills'!B348)</f>
        <v/>
      </c>
      <c r="E348" s="3" t="str">
        <f>IF(A348="","",IF(DATE(LEFT(D348,4),MID(D348,5,2),RIGHT(D348,2))=Helper1!$P$1,Helper1!$P$1,""))</f>
        <v/>
      </c>
      <c r="F348" s="3" t="str">
        <f>IF(A348="","",'ATP Fills'!G348)</f>
        <v/>
      </c>
      <c r="G348" t="str">
        <f>IF(A348="","",'ATP Fills'!H348)</f>
        <v/>
      </c>
      <c r="H348" t="str">
        <f>IF(A348="","",VLOOKUP(G348,表3_3[],2,0))</f>
        <v/>
      </c>
      <c r="I348" t="str">
        <f>IF(A348="","",VLOOKUP(G348,表3_3[],3,0))</f>
        <v/>
      </c>
      <c r="J348" t="str">
        <f>IF(A348="","",IF('ATP Fills'!I348="3M","",VLOOKUP(RIGHT('ATP Fills'!I348,2),Helper1!$O$36:$P$48,2,0)))</f>
        <v/>
      </c>
      <c r="K348" t="str">
        <f>IF(J348="","",LEFT('ATP Fills'!I348,4))</f>
        <v/>
      </c>
      <c r="L348" t="str">
        <f>IF(A348="","",IF('ATP Fills'!G348="LME",'ATP Fills'!I348,""))</f>
        <v/>
      </c>
      <c r="M348" t="str">
        <f t="shared" si="5"/>
        <v/>
      </c>
    </row>
    <row r="349" spans="1:13">
      <c r="A349" t="str">
        <f>IF('ATP Fills'!A349="","",IF('ATP Fills'!Q349="PHILLIPSG",'ATP Fills'!F349,""))</f>
        <v/>
      </c>
      <c r="B349" t="str">
        <f>IF(A349="","",'ATP Fills'!L349)</f>
        <v/>
      </c>
      <c r="C349" t="str">
        <f>IF(A349="","",'ATP Fills'!M349)</f>
        <v/>
      </c>
      <c r="D349" t="str">
        <f>IF(A349="","",'ATP Fills'!B349)</f>
        <v/>
      </c>
      <c r="E349" s="3" t="str">
        <f>IF(A349="","",IF(DATE(LEFT(D349,4),MID(D349,5,2),RIGHT(D349,2))=Helper1!$P$1,Helper1!$P$1,""))</f>
        <v/>
      </c>
      <c r="F349" s="3" t="str">
        <f>IF(A349="","",'ATP Fills'!G349)</f>
        <v/>
      </c>
      <c r="G349" t="str">
        <f>IF(A349="","",'ATP Fills'!H349)</f>
        <v/>
      </c>
      <c r="H349" t="str">
        <f>IF(A349="","",VLOOKUP(G349,表3_3[],2,0))</f>
        <v/>
      </c>
      <c r="I349" t="str">
        <f>IF(A349="","",VLOOKUP(G349,表3_3[],3,0))</f>
        <v/>
      </c>
      <c r="J349" t="str">
        <f>IF(A349="","",IF('ATP Fills'!I349="3M","",VLOOKUP(RIGHT('ATP Fills'!I349,2),Helper1!$O$36:$P$48,2,0)))</f>
        <v/>
      </c>
      <c r="K349" t="str">
        <f>IF(J349="","",LEFT('ATP Fills'!I349,4))</f>
        <v/>
      </c>
      <c r="L349" t="str">
        <f>IF(A349="","",IF('ATP Fills'!G349="LME",'ATP Fills'!I349,""))</f>
        <v/>
      </c>
      <c r="M349" t="str">
        <f t="shared" si="5"/>
        <v/>
      </c>
    </row>
    <row r="350" spans="1:13">
      <c r="A350" t="str">
        <f>IF('ATP Fills'!A350="","",IF('ATP Fills'!Q350="PHILLIPSG",'ATP Fills'!F350,""))</f>
        <v/>
      </c>
      <c r="B350" t="str">
        <f>IF(A350="","",'ATP Fills'!L350)</f>
        <v/>
      </c>
      <c r="C350" t="str">
        <f>IF(A350="","",'ATP Fills'!M350)</f>
        <v/>
      </c>
      <c r="D350" t="str">
        <f>IF(A350="","",'ATP Fills'!B350)</f>
        <v/>
      </c>
      <c r="E350" s="3" t="str">
        <f>IF(A350="","",IF(DATE(LEFT(D350,4),MID(D350,5,2),RIGHT(D350,2))=Helper1!$P$1,Helper1!$P$1,""))</f>
        <v/>
      </c>
      <c r="F350" s="3" t="str">
        <f>IF(A350="","",'ATP Fills'!G350)</f>
        <v/>
      </c>
      <c r="G350" t="str">
        <f>IF(A350="","",'ATP Fills'!H350)</f>
        <v/>
      </c>
      <c r="H350" t="str">
        <f>IF(A350="","",VLOOKUP(G350,表3_3[],2,0))</f>
        <v/>
      </c>
      <c r="I350" t="str">
        <f>IF(A350="","",VLOOKUP(G350,表3_3[],3,0))</f>
        <v/>
      </c>
      <c r="J350" t="str">
        <f>IF(A350="","",IF('ATP Fills'!I350="3M","",VLOOKUP(RIGHT('ATP Fills'!I350,2),Helper1!$O$36:$P$48,2,0)))</f>
        <v/>
      </c>
      <c r="K350" t="str">
        <f>IF(J350="","",LEFT('ATP Fills'!I350,4))</f>
        <v/>
      </c>
      <c r="L350" t="str">
        <f>IF(A350="","",IF('ATP Fills'!G350="LME",'ATP Fills'!I350,""))</f>
        <v/>
      </c>
      <c r="M350" t="str">
        <f t="shared" si="5"/>
        <v/>
      </c>
    </row>
    <row r="351" spans="1:13">
      <c r="A351" t="str">
        <f>IF('ATP Fills'!A351="","",IF('ATP Fills'!Q351="PHILLIPSG",'ATP Fills'!F351,""))</f>
        <v/>
      </c>
      <c r="B351" t="str">
        <f>IF(A351="","",'ATP Fills'!L351)</f>
        <v/>
      </c>
      <c r="C351" t="str">
        <f>IF(A351="","",'ATP Fills'!M351)</f>
        <v/>
      </c>
      <c r="D351" t="str">
        <f>IF(A351="","",'ATP Fills'!B351)</f>
        <v/>
      </c>
      <c r="E351" s="3" t="str">
        <f>IF(A351="","",IF(DATE(LEFT(D351,4),MID(D351,5,2),RIGHT(D351,2))=Helper1!$P$1,Helper1!$P$1,""))</f>
        <v/>
      </c>
      <c r="F351" s="3" t="str">
        <f>IF(A351="","",'ATP Fills'!G351)</f>
        <v/>
      </c>
      <c r="G351" t="str">
        <f>IF(A351="","",'ATP Fills'!H351)</f>
        <v/>
      </c>
      <c r="H351" t="str">
        <f>IF(A351="","",VLOOKUP(G351,表3_3[],2,0))</f>
        <v/>
      </c>
      <c r="I351" t="str">
        <f>IF(A351="","",VLOOKUP(G351,表3_3[],3,0))</f>
        <v/>
      </c>
      <c r="J351" t="str">
        <f>IF(A351="","",IF('ATP Fills'!I351="3M","",VLOOKUP(RIGHT('ATP Fills'!I351,2),Helper1!$O$36:$P$48,2,0)))</f>
        <v/>
      </c>
      <c r="K351" t="str">
        <f>IF(J351="","",LEFT('ATP Fills'!I351,4))</f>
        <v/>
      </c>
      <c r="L351" t="str">
        <f>IF(A351="","",IF('ATP Fills'!G351="LME",'ATP Fills'!I351,""))</f>
        <v/>
      </c>
      <c r="M351" t="str">
        <f t="shared" si="5"/>
        <v/>
      </c>
    </row>
    <row r="352" spans="1:13">
      <c r="A352" t="str">
        <f>IF('ATP Fills'!A352="","",IF('ATP Fills'!Q352="PHILLIPSG",'ATP Fills'!F352,""))</f>
        <v/>
      </c>
      <c r="B352" t="str">
        <f>IF(A352="","",'ATP Fills'!L352)</f>
        <v/>
      </c>
      <c r="C352" t="str">
        <f>IF(A352="","",'ATP Fills'!M352)</f>
        <v/>
      </c>
      <c r="D352" t="str">
        <f>IF(A352="","",'ATP Fills'!B352)</f>
        <v/>
      </c>
      <c r="E352" s="3" t="str">
        <f>IF(A352="","",IF(DATE(LEFT(D352,4),MID(D352,5,2),RIGHT(D352,2))=Helper1!$P$1,Helper1!$P$1,""))</f>
        <v/>
      </c>
      <c r="F352" s="3" t="str">
        <f>IF(A352="","",'ATP Fills'!G352)</f>
        <v/>
      </c>
      <c r="G352" t="str">
        <f>IF(A352="","",'ATP Fills'!H352)</f>
        <v/>
      </c>
      <c r="H352" t="str">
        <f>IF(A352="","",VLOOKUP(G352,表3_3[],2,0))</f>
        <v/>
      </c>
      <c r="I352" t="str">
        <f>IF(A352="","",VLOOKUP(G352,表3_3[],3,0))</f>
        <v/>
      </c>
      <c r="J352" t="str">
        <f>IF(A352="","",IF('ATP Fills'!I352="3M","",VLOOKUP(RIGHT('ATP Fills'!I352,2),Helper1!$O$36:$P$48,2,0)))</f>
        <v/>
      </c>
      <c r="K352" t="str">
        <f>IF(J352="","",LEFT('ATP Fills'!I352,4))</f>
        <v/>
      </c>
      <c r="L352" t="str">
        <f>IF(A352="","",IF('ATP Fills'!G352="LME",'ATP Fills'!I352,""))</f>
        <v/>
      </c>
      <c r="M352" t="str">
        <f t="shared" si="5"/>
        <v/>
      </c>
    </row>
    <row r="353" spans="1:13">
      <c r="A353" t="str">
        <f>IF('ATP Fills'!A353="","",IF('ATP Fills'!Q353="PHILLIPSG",'ATP Fills'!F353,""))</f>
        <v/>
      </c>
      <c r="B353" t="str">
        <f>IF(A353="","",'ATP Fills'!L353)</f>
        <v/>
      </c>
      <c r="C353" t="str">
        <f>IF(A353="","",'ATP Fills'!M353)</f>
        <v/>
      </c>
      <c r="D353" t="str">
        <f>IF(A353="","",'ATP Fills'!B353)</f>
        <v/>
      </c>
      <c r="E353" s="3" t="str">
        <f>IF(A353="","",IF(DATE(LEFT(D353,4),MID(D353,5,2),RIGHT(D353,2))=Helper1!$P$1,Helper1!$P$1,""))</f>
        <v/>
      </c>
      <c r="F353" s="3" t="str">
        <f>IF(A353="","",'ATP Fills'!G353)</f>
        <v/>
      </c>
      <c r="G353" t="str">
        <f>IF(A353="","",'ATP Fills'!H353)</f>
        <v/>
      </c>
      <c r="H353" t="str">
        <f>IF(A353="","",VLOOKUP(G353,表3_3[],2,0))</f>
        <v/>
      </c>
      <c r="I353" t="str">
        <f>IF(A353="","",VLOOKUP(G353,表3_3[],3,0))</f>
        <v/>
      </c>
      <c r="J353" t="str">
        <f>IF(A353="","",IF('ATP Fills'!I353="3M","",VLOOKUP(RIGHT('ATP Fills'!I353,2),Helper1!$O$36:$P$48,2,0)))</f>
        <v/>
      </c>
      <c r="K353" t="str">
        <f>IF(J353="","",LEFT('ATP Fills'!I353,4))</f>
        <v/>
      </c>
      <c r="L353" t="str">
        <f>IF(A353="","",IF('ATP Fills'!G353="LME",'ATP Fills'!I353,""))</f>
        <v/>
      </c>
      <c r="M353" t="str">
        <f t="shared" si="5"/>
        <v/>
      </c>
    </row>
    <row r="354" spans="1:13">
      <c r="A354" t="str">
        <f>IF('ATP Fills'!A354="","",IF('ATP Fills'!Q354="PHILLIPSG",'ATP Fills'!F354,""))</f>
        <v/>
      </c>
      <c r="B354" t="str">
        <f>IF(A354="","",'ATP Fills'!L354)</f>
        <v/>
      </c>
      <c r="C354" t="str">
        <f>IF(A354="","",'ATP Fills'!M354)</f>
        <v/>
      </c>
      <c r="D354" t="str">
        <f>IF(A354="","",'ATP Fills'!B354)</f>
        <v/>
      </c>
      <c r="E354" s="3" t="str">
        <f>IF(A354="","",IF(DATE(LEFT(D354,4),MID(D354,5,2),RIGHT(D354,2))=Helper1!$P$1,Helper1!$P$1,""))</f>
        <v/>
      </c>
      <c r="F354" s="3" t="str">
        <f>IF(A354="","",'ATP Fills'!G354)</f>
        <v/>
      </c>
      <c r="G354" t="str">
        <f>IF(A354="","",'ATP Fills'!H354)</f>
        <v/>
      </c>
      <c r="H354" t="str">
        <f>IF(A354="","",VLOOKUP(G354,表3_3[],2,0))</f>
        <v/>
      </c>
      <c r="I354" t="str">
        <f>IF(A354="","",VLOOKUP(G354,表3_3[],3,0))</f>
        <v/>
      </c>
      <c r="J354" t="str">
        <f>IF(A354="","",IF('ATP Fills'!I354="3M","",VLOOKUP(RIGHT('ATP Fills'!I354,2),Helper1!$O$36:$P$48,2,0)))</f>
        <v/>
      </c>
      <c r="K354" t="str">
        <f>IF(J354="","",LEFT('ATP Fills'!I354,4))</f>
        <v/>
      </c>
      <c r="L354" t="str">
        <f>IF(A354="","",IF('ATP Fills'!G354="LME",'ATP Fills'!I354,""))</f>
        <v/>
      </c>
      <c r="M354" t="str">
        <f t="shared" si="5"/>
        <v/>
      </c>
    </row>
    <row r="355" spans="1:13">
      <c r="A355" t="str">
        <f>IF('ATP Fills'!A355="","",IF('ATP Fills'!Q355="PHILLIPSG",'ATP Fills'!F355,""))</f>
        <v/>
      </c>
      <c r="B355" t="str">
        <f>IF(A355="","",'ATP Fills'!L355)</f>
        <v/>
      </c>
      <c r="C355" t="str">
        <f>IF(A355="","",'ATP Fills'!M355)</f>
        <v/>
      </c>
      <c r="D355" t="str">
        <f>IF(A355="","",'ATP Fills'!B355)</f>
        <v/>
      </c>
      <c r="E355" s="3" t="str">
        <f>IF(A355="","",IF(DATE(LEFT(D355,4),MID(D355,5,2),RIGHT(D355,2))=Helper1!$P$1,Helper1!$P$1,""))</f>
        <v/>
      </c>
      <c r="F355" s="3" t="str">
        <f>IF(A355="","",'ATP Fills'!G355)</f>
        <v/>
      </c>
      <c r="G355" t="str">
        <f>IF(A355="","",'ATP Fills'!H355)</f>
        <v/>
      </c>
      <c r="H355" t="str">
        <f>IF(A355="","",VLOOKUP(G355,表3_3[],2,0))</f>
        <v/>
      </c>
      <c r="I355" t="str">
        <f>IF(A355="","",VLOOKUP(G355,表3_3[],3,0))</f>
        <v/>
      </c>
      <c r="J355" t="str">
        <f>IF(A355="","",IF('ATP Fills'!I355="3M","",VLOOKUP(RIGHT('ATP Fills'!I355,2),Helper1!$O$36:$P$48,2,0)))</f>
        <v/>
      </c>
      <c r="K355" t="str">
        <f>IF(J355="","",LEFT('ATP Fills'!I355,4))</f>
        <v/>
      </c>
      <c r="L355" t="str">
        <f>IF(A355="","",IF('ATP Fills'!G355="LME",'ATP Fills'!I355,""))</f>
        <v/>
      </c>
      <c r="M355" t="str">
        <f t="shared" si="5"/>
        <v/>
      </c>
    </row>
    <row r="356" spans="1:13">
      <c r="A356" t="str">
        <f>IF('ATP Fills'!A356="","",IF('ATP Fills'!Q356="PHILLIPSG",'ATP Fills'!F356,""))</f>
        <v/>
      </c>
      <c r="B356" t="str">
        <f>IF(A356="","",'ATP Fills'!L356)</f>
        <v/>
      </c>
      <c r="C356" t="str">
        <f>IF(A356="","",'ATP Fills'!M356)</f>
        <v/>
      </c>
      <c r="D356" t="str">
        <f>IF(A356="","",'ATP Fills'!B356)</f>
        <v/>
      </c>
      <c r="E356" s="3" t="str">
        <f>IF(A356="","",IF(DATE(LEFT(D356,4),MID(D356,5,2),RIGHT(D356,2))=Helper1!$P$1,Helper1!$P$1,""))</f>
        <v/>
      </c>
      <c r="F356" s="3" t="str">
        <f>IF(A356="","",'ATP Fills'!G356)</f>
        <v/>
      </c>
      <c r="G356" t="str">
        <f>IF(A356="","",'ATP Fills'!H356)</f>
        <v/>
      </c>
      <c r="H356" t="str">
        <f>IF(A356="","",VLOOKUP(G356,表3_3[],2,0))</f>
        <v/>
      </c>
      <c r="I356" t="str">
        <f>IF(A356="","",VLOOKUP(G356,表3_3[],3,0))</f>
        <v/>
      </c>
      <c r="J356" t="str">
        <f>IF(A356="","",IF('ATP Fills'!I356="3M","",VLOOKUP(RIGHT('ATP Fills'!I356,2),Helper1!$O$36:$P$48,2,0)))</f>
        <v/>
      </c>
      <c r="K356" t="str">
        <f>IF(J356="","",LEFT('ATP Fills'!I356,4))</f>
        <v/>
      </c>
      <c r="L356" t="str">
        <f>IF(A356="","",IF('ATP Fills'!G356="LME",'ATP Fills'!I356,""))</f>
        <v/>
      </c>
      <c r="M356" t="str">
        <f t="shared" si="5"/>
        <v/>
      </c>
    </row>
    <row r="357" spans="1:13">
      <c r="A357" t="str">
        <f>IF('ATP Fills'!A357="","",IF('ATP Fills'!Q357="PHILLIPSG",'ATP Fills'!F357,""))</f>
        <v/>
      </c>
      <c r="B357" t="str">
        <f>IF(A357="","",'ATP Fills'!L357)</f>
        <v/>
      </c>
      <c r="C357" t="str">
        <f>IF(A357="","",'ATP Fills'!M357)</f>
        <v/>
      </c>
      <c r="D357" t="str">
        <f>IF(A357="","",'ATP Fills'!B357)</f>
        <v/>
      </c>
      <c r="E357" s="3" t="str">
        <f>IF(A357="","",IF(DATE(LEFT(D357,4),MID(D357,5,2),RIGHT(D357,2))=Helper1!$P$1,Helper1!$P$1,""))</f>
        <v/>
      </c>
      <c r="F357" s="3" t="str">
        <f>IF(A357="","",'ATP Fills'!G357)</f>
        <v/>
      </c>
      <c r="G357" t="str">
        <f>IF(A357="","",'ATP Fills'!H357)</f>
        <v/>
      </c>
      <c r="H357" t="str">
        <f>IF(A357="","",VLOOKUP(G357,表3_3[],2,0))</f>
        <v/>
      </c>
      <c r="I357" t="str">
        <f>IF(A357="","",VLOOKUP(G357,表3_3[],3,0))</f>
        <v/>
      </c>
      <c r="J357" t="str">
        <f>IF(A357="","",IF('ATP Fills'!I357="3M","",VLOOKUP(RIGHT('ATP Fills'!I357,2),Helper1!$O$36:$P$48,2,0)))</f>
        <v/>
      </c>
      <c r="K357" t="str">
        <f>IF(J357="","",LEFT('ATP Fills'!I357,4))</f>
        <v/>
      </c>
      <c r="L357" t="str">
        <f>IF(A357="","",IF('ATP Fills'!G357="LME",'ATP Fills'!I357,""))</f>
        <v/>
      </c>
      <c r="M357" t="str">
        <f t="shared" si="5"/>
        <v/>
      </c>
    </row>
    <row r="358" spans="1:13">
      <c r="A358" t="str">
        <f>IF('ATP Fills'!A358="","",IF('ATP Fills'!Q358="PHILLIPSG",'ATP Fills'!F358,""))</f>
        <v/>
      </c>
      <c r="B358" t="str">
        <f>IF(A358="","",'ATP Fills'!L358)</f>
        <v/>
      </c>
      <c r="C358" t="str">
        <f>IF(A358="","",'ATP Fills'!M358)</f>
        <v/>
      </c>
      <c r="D358" t="str">
        <f>IF(A358="","",'ATP Fills'!B358)</f>
        <v/>
      </c>
      <c r="E358" s="3" t="str">
        <f>IF(A358="","",IF(DATE(LEFT(D358,4),MID(D358,5,2),RIGHT(D358,2))=Helper1!$P$1,Helper1!$P$1,""))</f>
        <v/>
      </c>
      <c r="F358" s="3" t="str">
        <f>IF(A358="","",'ATP Fills'!G358)</f>
        <v/>
      </c>
      <c r="G358" t="str">
        <f>IF(A358="","",'ATP Fills'!H358)</f>
        <v/>
      </c>
      <c r="H358" t="str">
        <f>IF(A358="","",VLOOKUP(G358,表3_3[],2,0))</f>
        <v/>
      </c>
      <c r="I358" t="str">
        <f>IF(A358="","",VLOOKUP(G358,表3_3[],3,0))</f>
        <v/>
      </c>
      <c r="J358" t="str">
        <f>IF(A358="","",IF('ATP Fills'!I358="3M","",VLOOKUP(RIGHT('ATP Fills'!I358,2),Helper1!$O$36:$P$48,2,0)))</f>
        <v/>
      </c>
      <c r="K358" t="str">
        <f>IF(J358="","",LEFT('ATP Fills'!I358,4))</f>
        <v/>
      </c>
      <c r="L358" t="str">
        <f>IF(A358="","",IF('ATP Fills'!G358="LME",'ATP Fills'!I358,""))</f>
        <v/>
      </c>
      <c r="M358" t="str">
        <f t="shared" si="5"/>
        <v/>
      </c>
    </row>
    <row r="359" spans="1:13">
      <c r="A359" t="str">
        <f>IF('ATP Fills'!A359="","",IF('ATP Fills'!Q359="PHILLIPSG",'ATP Fills'!F359,""))</f>
        <v/>
      </c>
      <c r="B359" t="str">
        <f>IF(A359="","",'ATP Fills'!L359)</f>
        <v/>
      </c>
      <c r="C359" t="str">
        <f>IF(A359="","",'ATP Fills'!M359)</f>
        <v/>
      </c>
      <c r="D359" t="str">
        <f>IF(A359="","",'ATP Fills'!B359)</f>
        <v/>
      </c>
      <c r="E359" s="3" t="str">
        <f>IF(A359="","",IF(DATE(LEFT(D359,4),MID(D359,5,2),RIGHT(D359,2))=Helper1!$P$1,Helper1!$P$1,""))</f>
        <v/>
      </c>
      <c r="F359" s="3" t="str">
        <f>IF(A359="","",'ATP Fills'!G359)</f>
        <v/>
      </c>
      <c r="G359" t="str">
        <f>IF(A359="","",'ATP Fills'!H359)</f>
        <v/>
      </c>
      <c r="H359" t="str">
        <f>IF(A359="","",VLOOKUP(G359,表3_3[],2,0))</f>
        <v/>
      </c>
      <c r="I359" t="str">
        <f>IF(A359="","",VLOOKUP(G359,表3_3[],3,0))</f>
        <v/>
      </c>
      <c r="J359" t="str">
        <f>IF(A359="","",IF('ATP Fills'!I359="3M","",VLOOKUP(RIGHT('ATP Fills'!I359,2),Helper1!$O$36:$P$48,2,0)))</f>
        <v/>
      </c>
      <c r="K359" t="str">
        <f>IF(J359="","",LEFT('ATP Fills'!I359,4))</f>
        <v/>
      </c>
      <c r="L359" t="str">
        <f>IF(A359="","",IF('ATP Fills'!G359="LME",'ATP Fills'!I359,""))</f>
        <v/>
      </c>
      <c r="M359" t="str">
        <f t="shared" si="5"/>
        <v/>
      </c>
    </row>
    <row r="360" spans="1:13">
      <c r="A360" t="str">
        <f>IF('ATP Fills'!A360="","",IF('ATP Fills'!Q360="PHILLIPSG",'ATP Fills'!F360,""))</f>
        <v/>
      </c>
      <c r="B360" t="str">
        <f>IF(A360="","",'ATP Fills'!L360)</f>
        <v/>
      </c>
      <c r="C360" t="str">
        <f>IF(A360="","",'ATP Fills'!M360)</f>
        <v/>
      </c>
      <c r="D360" t="str">
        <f>IF(A360="","",'ATP Fills'!B360)</f>
        <v/>
      </c>
      <c r="E360" s="3" t="str">
        <f>IF(A360="","",IF(DATE(LEFT(D360,4),MID(D360,5,2),RIGHT(D360,2))=Helper1!$P$1,Helper1!$P$1,""))</f>
        <v/>
      </c>
      <c r="F360" s="3" t="str">
        <f>IF(A360="","",'ATP Fills'!G360)</f>
        <v/>
      </c>
      <c r="G360" t="str">
        <f>IF(A360="","",'ATP Fills'!H360)</f>
        <v/>
      </c>
      <c r="H360" t="str">
        <f>IF(A360="","",VLOOKUP(G360,表3_3[],2,0))</f>
        <v/>
      </c>
      <c r="I360" t="str">
        <f>IF(A360="","",VLOOKUP(G360,表3_3[],3,0))</f>
        <v/>
      </c>
      <c r="J360" t="str">
        <f>IF(A360="","",IF('ATP Fills'!I360="3M","",VLOOKUP(RIGHT('ATP Fills'!I360,2),Helper1!$O$36:$P$48,2,0)))</f>
        <v/>
      </c>
      <c r="K360" t="str">
        <f>IF(J360="","",LEFT('ATP Fills'!I360,4))</f>
        <v/>
      </c>
      <c r="L360" t="str">
        <f>IF(A360="","",IF('ATP Fills'!G360="LME",'ATP Fills'!I360,""))</f>
        <v/>
      </c>
      <c r="M360" t="str">
        <f t="shared" si="5"/>
        <v/>
      </c>
    </row>
    <row r="361" spans="1:13">
      <c r="A361" t="str">
        <f>IF('ATP Fills'!A361="","",IF('ATP Fills'!Q361="PHILLIPSG",'ATP Fills'!F361,""))</f>
        <v/>
      </c>
      <c r="B361" t="str">
        <f>IF(A361="","",'ATP Fills'!L361)</f>
        <v/>
      </c>
      <c r="C361" t="str">
        <f>IF(A361="","",'ATP Fills'!M361)</f>
        <v/>
      </c>
      <c r="D361" t="str">
        <f>IF(A361="","",'ATP Fills'!B361)</f>
        <v/>
      </c>
      <c r="E361" s="3" t="str">
        <f>IF(A361="","",IF(DATE(LEFT(D361,4),MID(D361,5,2),RIGHT(D361,2))=Helper1!$P$1,Helper1!$P$1,""))</f>
        <v/>
      </c>
      <c r="F361" s="3" t="str">
        <f>IF(A361="","",'ATP Fills'!G361)</f>
        <v/>
      </c>
      <c r="G361" t="str">
        <f>IF(A361="","",'ATP Fills'!H361)</f>
        <v/>
      </c>
      <c r="H361" t="str">
        <f>IF(A361="","",VLOOKUP(G361,表3_3[],2,0))</f>
        <v/>
      </c>
      <c r="I361" t="str">
        <f>IF(A361="","",VLOOKUP(G361,表3_3[],3,0))</f>
        <v/>
      </c>
      <c r="J361" t="str">
        <f>IF(A361="","",IF('ATP Fills'!I361="3M","",VLOOKUP(RIGHT('ATP Fills'!I361,2),Helper1!$O$36:$P$48,2,0)))</f>
        <v/>
      </c>
      <c r="K361" t="str">
        <f>IF(J361="","",LEFT('ATP Fills'!I361,4))</f>
        <v/>
      </c>
      <c r="L361" t="str">
        <f>IF(A361="","",IF('ATP Fills'!G361="LME",'ATP Fills'!I361,""))</f>
        <v/>
      </c>
      <c r="M361" t="str">
        <f t="shared" si="5"/>
        <v/>
      </c>
    </row>
    <row r="362" spans="1:13">
      <c r="A362" t="str">
        <f>IF('ATP Fills'!A362="","",IF('ATP Fills'!Q362="PHILLIPSG",'ATP Fills'!F362,""))</f>
        <v/>
      </c>
      <c r="B362" t="str">
        <f>IF(A362="","",'ATP Fills'!L362)</f>
        <v/>
      </c>
      <c r="C362" t="str">
        <f>IF(A362="","",'ATP Fills'!M362)</f>
        <v/>
      </c>
      <c r="D362" t="str">
        <f>IF(A362="","",'ATP Fills'!B362)</f>
        <v/>
      </c>
      <c r="E362" s="3" t="str">
        <f>IF(A362="","",IF(DATE(LEFT(D362,4),MID(D362,5,2),RIGHT(D362,2))=Helper1!$P$1,Helper1!$P$1,""))</f>
        <v/>
      </c>
      <c r="F362" s="3" t="str">
        <f>IF(A362="","",'ATP Fills'!G362)</f>
        <v/>
      </c>
      <c r="G362" t="str">
        <f>IF(A362="","",'ATP Fills'!H362)</f>
        <v/>
      </c>
      <c r="H362" t="str">
        <f>IF(A362="","",VLOOKUP(G362,表3_3[],2,0))</f>
        <v/>
      </c>
      <c r="I362" t="str">
        <f>IF(A362="","",VLOOKUP(G362,表3_3[],3,0))</f>
        <v/>
      </c>
      <c r="J362" t="str">
        <f>IF(A362="","",IF('ATP Fills'!I362="3M","",VLOOKUP(RIGHT('ATP Fills'!I362,2),Helper1!$O$36:$P$48,2,0)))</f>
        <v/>
      </c>
      <c r="K362" t="str">
        <f>IF(J362="","",LEFT('ATP Fills'!I362,4))</f>
        <v/>
      </c>
      <c r="L362" t="str">
        <f>IF(A362="","",IF('ATP Fills'!G362="LME",'ATP Fills'!I362,""))</f>
        <v/>
      </c>
      <c r="M362" t="str">
        <f t="shared" si="5"/>
        <v/>
      </c>
    </row>
    <row r="363" spans="1:13">
      <c r="A363" t="str">
        <f>IF('ATP Fills'!A363="","",IF('ATP Fills'!Q363="PHILLIPSG",'ATP Fills'!F363,""))</f>
        <v/>
      </c>
      <c r="B363" t="str">
        <f>IF(A363="","",'ATP Fills'!L363)</f>
        <v/>
      </c>
      <c r="C363" t="str">
        <f>IF(A363="","",'ATP Fills'!M363)</f>
        <v/>
      </c>
      <c r="D363" t="str">
        <f>IF(A363="","",'ATP Fills'!B363)</f>
        <v/>
      </c>
      <c r="E363" s="3" t="str">
        <f>IF(A363="","",IF(DATE(LEFT(D363,4),MID(D363,5,2),RIGHT(D363,2))=Helper1!$P$1,Helper1!$P$1,""))</f>
        <v/>
      </c>
      <c r="F363" s="3" t="str">
        <f>IF(A363="","",'ATP Fills'!G363)</f>
        <v/>
      </c>
      <c r="G363" t="str">
        <f>IF(A363="","",'ATP Fills'!H363)</f>
        <v/>
      </c>
      <c r="H363" t="str">
        <f>IF(A363="","",VLOOKUP(G363,表3_3[],2,0))</f>
        <v/>
      </c>
      <c r="I363" t="str">
        <f>IF(A363="","",VLOOKUP(G363,表3_3[],3,0))</f>
        <v/>
      </c>
      <c r="J363" t="str">
        <f>IF(A363="","",IF('ATP Fills'!I363="3M","",VLOOKUP(RIGHT('ATP Fills'!I363,2),Helper1!$O$36:$P$48,2,0)))</f>
        <v/>
      </c>
      <c r="K363" t="str">
        <f>IF(J363="","",LEFT('ATP Fills'!I363,4))</f>
        <v/>
      </c>
      <c r="L363" t="str">
        <f>IF(A363="","",IF('ATP Fills'!G363="LME",'ATP Fills'!I363,""))</f>
        <v/>
      </c>
      <c r="M363" t="str">
        <f t="shared" si="5"/>
        <v/>
      </c>
    </row>
    <row r="364" spans="1:13">
      <c r="A364" t="str">
        <f>IF('ATP Fills'!A364="","",IF('ATP Fills'!Q364="PHILLIPSG",'ATP Fills'!F364,""))</f>
        <v/>
      </c>
      <c r="B364" t="str">
        <f>IF(A364="","",'ATP Fills'!L364)</f>
        <v/>
      </c>
      <c r="C364" t="str">
        <f>IF(A364="","",'ATP Fills'!M364)</f>
        <v/>
      </c>
      <c r="D364" t="str">
        <f>IF(A364="","",'ATP Fills'!B364)</f>
        <v/>
      </c>
      <c r="E364" s="3" t="str">
        <f>IF(A364="","",IF(DATE(LEFT(D364,4),MID(D364,5,2),RIGHT(D364,2))=Helper1!$P$1,Helper1!$P$1,""))</f>
        <v/>
      </c>
      <c r="F364" s="3" t="str">
        <f>IF(A364="","",'ATP Fills'!G364)</f>
        <v/>
      </c>
      <c r="G364" t="str">
        <f>IF(A364="","",'ATP Fills'!H364)</f>
        <v/>
      </c>
      <c r="H364" t="str">
        <f>IF(A364="","",VLOOKUP(G364,表3_3[],2,0))</f>
        <v/>
      </c>
      <c r="I364" t="str">
        <f>IF(A364="","",VLOOKUP(G364,表3_3[],3,0))</f>
        <v/>
      </c>
      <c r="J364" t="str">
        <f>IF(A364="","",IF('ATP Fills'!I364="3M","",VLOOKUP(RIGHT('ATP Fills'!I364,2),Helper1!$O$36:$P$48,2,0)))</f>
        <v/>
      </c>
      <c r="K364" t="str">
        <f>IF(J364="","",LEFT('ATP Fills'!I364,4))</f>
        <v/>
      </c>
      <c r="L364" t="str">
        <f>IF(A364="","",IF('ATP Fills'!G364="LME",'ATP Fills'!I364,""))</f>
        <v/>
      </c>
      <c r="M364" t="str">
        <f t="shared" si="5"/>
        <v/>
      </c>
    </row>
    <row r="365" spans="1:13">
      <c r="A365" t="str">
        <f>IF('ATP Fills'!A365="","",IF('ATP Fills'!Q365="PHILLIPSG",'ATP Fills'!F365,""))</f>
        <v/>
      </c>
      <c r="B365" t="str">
        <f>IF(A365="","",'ATP Fills'!L365)</f>
        <v/>
      </c>
      <c r="C365" t="str">
        <f>IF(A365="","",'ATP Fills'!M365)</f>
        <v/>
      </c>
      <c r="D365" t="str">
        <f>IF(A365="","",'ATP Fills'!B365)</f>
        <v/>
      </c>
      <c r="E365" s="3" t="str">
        <f>IF(A365="","",IF(DATE(LEFT(D365,4),MID(D365,5,2),RIGHT(D365,2))=Helper1!$P$1,Helper1!$P$1,""))</f>
        <v/>
      </c>
      <c r="F365" s="3" t="str">
        <f>IF(A365="","",'ATP Fills'!G365)</f>
        <v/>
      </c>
      <c r="G365" t="str">
        <f>IF(A365="","",'ATP Fills'!H365)</f>
        <v/>
      </c>
      <c r="H365" t="str">
        <f>IF(A365="","",VLOOKUP(G365,表3_3[],2,0))</f>
        <v/>
      </c>
      <c r="I365" t="str">
        <f>IF(A365="","",VLOOKUP(G365,表3_3[],3,0))</f>
        <v/>
      </c>
      <c r="J365" t="str">
        <f>IF(A365="","",IF('ATP Fills'!I365="3M","",VLOOKUP(RIGHT('ATP Fills'!I365,2),Helper1!$O$36:$P$48,2,0)))</f>
        <v/>
      </c>
      <c r="K365" t="str">
        <f>IF(J365="","",LEFT('ATP Fills'!I365,4))</f>
        <v/>
      </c>
      <c r="L365" t="str">
        <f>IF(A365="","",IF('ATP Fills'!G365="LME",'ATP Fills'!I365,""))</f>
        <v/>
      </c>
      <c r="M365" t="str">
        <f t="shared" si="5"/>
        <v/>
      </c>
    </row>
    <row r="366" spans="1:13">
      <c r="A366" t="str">
        <f>IF('ATP Fills'!A366="","",IF('ATP Fills'!Q366="PHILLIPSG",'ATP Fills'!F366,""))</f>
        <v/>
      </c>
      <c r="B366" t="str">
        <f>IF(A366="","",'ATP Fills'!L366)</f>
        <v/>
      </c>
      <c r="C366" t="str">
        <f>IF(A366="","",'ATP Fills'!M366)</f>
        <v/>
      </c>
      <c r="D366" t="str">
        <f>IF(A366="","",'ATP Fills'!B366)</f>
        <v/>
      </c>
      <c r="E366" s="3" t="str">
        <f>IF(A366="","",IF(DATE(LEFT(D366,4),MID(D366,5,2),RIGHT(D366,2))=Helper1!$P$1,Helper1!$P$1,""))</f>
        <v/>
      </c>
      <c r="F366" s="3" t="str">
        <f>IF(A366="","",'ATP Fills'!G366)</f>
        <v/>
      </c>
      <c r="G366" t="str">
        <f>IF(A366="","",'ATP Fills'!H366)</f>
        <v/>
      </c>
      <c r="H366" t="str">
        <f>IF(A366="","",VLOOKUP(G366,表3_3[],2,0))</f>
        <v/>
      </c>
      <c r="I366" t="str">
        <f>IF(A366="","",VLOOKUP(G366,表3_3[],3,0))</f>
        <v/>
      </c>
      <c r="J366" t="str">
        <f>IF(A366="","",IF('ATP Fills'!I366="3M","",VLOOKUP(RIGHT('ATP Fills'!I366,2),Helper1!$O$36:$P$48,2,0)))</f>
        <v/>
      </c>
      <c r="K366" t="str">
        <f>IF(J366="","",LEFT('ATP Fills'!I366,4))</f>
        <v/>
      </c>
      <c r="L366" t="str">
        <f>IF(A366="","",IF('ATP Fills'!G366="LME",'ATP Fills'!I366,""))</f>
        <v/>
      </c>
      <c r="M366" t="str">
        <f t="shared" si="5"/>
        <v/>
      </c>
    </row>
    <row r="367" spans="1:13">
      <c r="A367" t="str">
        <f>IF('ATP Fills'!A367="","",IF('ATP Fills'!Q367="PHILLIPSG",'ATP Fills'!F367,""))</f>
        <v/>
      </c>
      <c r="B367" t="str">
        <f>IF(A367="","",'ATP Fills'!L367)</f>
        <v/>
      </c>
      <c r="C367" t="str">
        <f>IF(A367="","",'ATP Fills'!M367)</f>
        <v/>
      </c>
      <c r="D367" t="str">
        <f>IF(A367="","",'ATP Fills'!B367)</f>
        <v/>
      </c>
      <c r="E367" s="3" t="str">
        <f>IF(A367="","",IF(DATE(LEFT(D367,4),MID(D367,5,2),RIGHT(D367,2))=Helper1!$P$1,Helper1!$P$1,""))</f>
        <v/>
      </c>
      <c r="F367" s="3" t="str">
        <f>IF(A367="","",'ATP Fills'!G367)</f>
        <v/>
      </c>
      <c r="G367" t="str">
        <f>IF(A367="","",'ATP Fills'!H367)</f>
        <v/>
      </c>
      <c r="H367" t="str">
        <f>IF(A367="","",VLOOKUP(G367,表3_3[],2,0))</f>
        <v/>
      </c>
      <c r="I367" t="str">
        <f>IF(A367="","",VLOOKUP(G367,表3_3[],3,0))</f>
        <v/>
      </c>
      <c r="J367" t="str">
        <f>IF(A367="","",IF('ATP Fills'!I367="3M","",VLOOKUP(RIGHT('ATP Fills'!I367,2),Helper1!$O$36:$P$48,2,0)))</f>
        <v/>
      </c>
      <c r="K367" t="str">
        <f>IF(J367="","",LEFT('ATP Fills'!I367,4))</f>
        <v/>
      </c>
      <c r="L367" t="str">
        <f>IF(A367="","",IF('ATP Fills'!G367="LME",'ATP Fills'!I367,""))</f>
        <v/>
      </c>
      <c r="M367" t="str">
        <f t="shared" si="5"/>
        <v/>
      </c>
    </row>
    <row r="368" spans="1:13">
      <c r="A368" t="str">
        <f>IF('ATP Fills'!A368="","",IF('ATP Fills'!Q368="PHILLIPSG",'ATP Fills'!F368,""))</f>
        <v/>
      </c>
      <c r="B368" t="str">
        <f>IF(A368="","",'ATP Fills'!L368)</f>
        <v/>
      </c>
      <c r="C368" t="str">
        <f>IF(A368="","",'ATP Fills'!M368)</f>
        <v/>
      </c>
      <c r="D368" t="str">
        <f>IF(A368="","",'ATP Fills'!B368)</f>
        <v/>
      </c>
      <c r="E368" s="3" t="str">
        <f>IF(A368="","",IF(DATE(LEFT(D368,4),MID(D368,5,2),RIGHT(D368,2))=Helper1!$P$1,Helper1!$P$1,""))</f>
        <v/>
      </c>
      <c r="F368" s="3" t="str">
        <f>IF(A368="","",'ATP Fills'!G368)</f>
        <v/>
      </c>
      <c r="G368" t="str">
        <f>IF(A368="","",'ATP Fills'!H368)</f>
        <v/>
      </c>
      <c r="H368" t="str">
        <f>IF(A368="","",VLOOKUP(G368,表3_3[],2,0))</f>
        <v/>
      </c>
      <c r="I368" t="str">
        <f>IF(A368="","",VLOOKUP(G368,表3_3[],3,0))</f>
        <v/>
      </c>
      <c r="J368" t="str">
        <f>IF(A368="","",IF('ATP Fills'!I368="3M","",VLOOKUP(RIGHT('ATP Fills'!I368,2),Helper1!$O$36:$P$48,2,0)))</f>
        <v/>
      </c>
      <c r="K368" t="str">
        <f>IF(J368="","",LEFT('ATP Fills'!I368,4))</f>
        <v/>
      </c>
      <c r="L368" t="str">
        <f>IF(A368="","",IF('ATP Fills'!G368="LME",'ATP Fills'!I368,""))</f>
        <v/>
      </c>
      <c r="M368" t="str">
        <f t="shared" si="5"/>
        <v/>
      </c>
    </row>
    <row r="369" spans="1:13">
      <c r="A369" t="str">
        <f>IF('ATP Fills'!A369="","",IF('ATP Fills'!Q369="PHILLIPSG",'ATP Fills'!F369,""))</f>
        <v/>
      </c>
      <c r="B369" t="str">
        <f>IF(A369="","",'ATP Fills'!L369)</f>
        <v/>
      </c>
      <c r="C369" t="str">
        <f>IF(A369="","",'ATP Fills'!M369)</f>
        <v/>
      </c>
      <c r="D369" t="str">
        <f>IF(A369="","",'ATP Fills'!B369)</f>
        <v/>
      </c>
      <c r="E369" s="3" t="str">
        <f>IF(A369="","",IF(DATE(LEFT(D369,4),MID(D369,5,2),RIGHT(D369,2))=Helper1!$P$1,Helper1!$P$1,""))</f>
        <v/>
      </c>
      <c r="F369" s="3" t="str">
        <f>IF(A369="","",'ATP Fills'!G369)</f>
        <v/>
      </c>
      <c r="G369" t="str">
        <f>IF(A369="","",'ATP Fills'!H369)</f>
        <v/>
      </c>
      <c r="H369" t="str">
        <f>IF(A369="","",VLOOKUP(G369,表3_3[],2,0))</f>
        <v/>
      </c>
      <c r="I369" t="str">
        <f>IF(A369="","",VLOOKUP(G369,表3_3[],3,0))</f>
        <v/>
      </c>
      <c r="J369" t="str">
        <f>IF(A369="","",IF('ATP Fills'!I369="3M","",VLOOKUP(RIGHT('ATP Fills'!I369,2),Helper1!$O$36:$P$48,2,0)))</f>
        <v/>
      </c>
      <c r="K369" t="str">
        <f>IF(J369="","",LEFT('ATP Fills'!I369,4))</f>
        <v/>
      </c>
      <c r="L369" t="str">
        <f>IF(A369="","",IF('ATP Fills'!G369="LME",'ATP Fills'!I369,""))</f>
        <v/>
      </c>
      <c r="M369" t="str">
        <f t="shared" si="5"/>
        <v/>
      </c>
    </row>
    <row r="370" spans="1:13">
      <c r="A370" t="str">
        <f>IF('ATP Fills'!A370="","",IF('ATP Fills'!Q370="PHILLIPSG",'ATP Fills'!F370,""))</f>
        <v/>
      </c>
      <c r="B370" t="str">
        <f>IF(A370="","",'ATP Fills'!L370)</f>
        <v/>
      </c>
      <c r="C370" t="str">
        <f>IF(A370="","",'ATP Fills'!M370)</f>
        <v/>
      </c>
      <c r="D370" t="str">
        <f>IF(A370="","",'ATP Fills'!B370)</f>
        <v/>
      </c>
      <c r="E370" s="3" t="str">
        <f>IF(A370="","",IF(DATE(LEFT(D370,4),MID(D370,5,2),RIGHT(D370,2))=Helper1!$P$1,Helper1!$P$1,""))</f>
        <v/>
      </c>
      <c r="F370" s="3" t="str">
        <f>IF(A370="","",'ATP Fills'!G370)</f>
        <v/>
      </c>
      <c r="G370" t="str">
        <f>IF(A370="","",'ATP Fills'!H370)</f>
        <v/>
      </c>
      <c r="H370" t="str">
        <f>IF(A370="","",VLOOKUP(G370,表3_3[],2,0))</f>
        <v/>
      </c>
      <c r="I370" t="str">
        <f>IF(A370="","",VLOOKUP(G370,表3_3[],3,0))</f>
        <v/>
      </c>
      <c r="J370" t="str">
        <f>IF(A370="","",IF('ATP Fills'!I370="3M","",VLOOKUP(RIGHT('ATP Fills'!I370,2),Helper1!$O$36:$P$48,2,0)))</f>
        <v/>
      </c>
      <c r="K370" t="str">
        <f>IF(J370="","",LEFT('ATP Fills'!I370,4))</f>
        <v/>
      </c>
      <c r="L370" t="str">
        <f>IF(A370="","",IF('ATP Fills'!G370="LME",'ATP Fills'!I370,""))</f>
        <v/>
      </c>
      <c r="M370" t="str">
        <f t="shared" si="5"/>
        <v/>
      </c>
    </row>
    <row r="371" spans="1:13">
      <c r="A371" t="str">
        <f>IF('ATP Fills'!A371="","",IF('ATP Fills'!Q371="PHILLIPSG",'ATP Fills'!F371,""))</f>
        <v/>
      </c>
      <c r="B371" t="str">
        <f>IF(A371="","",'ATP Fills'!L371)</f>
        <v/>
      </c>
      <c r="C371" t="str">
        <f>IF(A371="","",'ATP Fills'!M371)</f>
        <v/>
      </c>
      <c r="D371" t="str">
        <f>IF(A371="","",'ATP Fills'!B371)</f>
        <v/>
      </c>
      <c r="E371" s="3" t="str">
        <f>IF(A371="","",IF(DATE(LEFT(D371,4),MID(D371,5,2),RIGHT(D371,2))=Helper1!$P$1,Helper1!$P$1,""))</f>
        <v/>
      </c>
      <c r="F371" s="3" t="str">
        <f>IF(A371="","",'ATP Fills'!G371)</f>
        <v/>
      </c>
      <c r="G371" t="str">
        <f>IF(A371="","",'ATP Fills'!H371)</f>
        <v/>
      </c>
      <c r="H371" t="str">
        <f>IF(A371="","",VLOOKUP(G371,表3_3[],2,0))</f>
        <v/>
      </c>
      <c r="I371" t="str">
        <f>IF(A371="","",VLOOKUP(G371,表3_3[],3,0))</f>
        <v/>
      </c>
      <c r="J371" t="str">
        <f>IF(A371="","",IF('ATP Fills'!I371="3M","",VLOOKUP(RIGHT('ATP Fills'!I371,2),Helper1!$O$36:$P$48,2,0)))</f>
        <v/>
      </c>
      <c r="K371" t="str">
        <f>IF(J371="","",LEFT('ATP Fills'!I371,4))</f>
        <v/>
      </c>
      <c r="L371" t="str">
        <f>IF(A371="","",IF('ATP Fills'!G371="LME",'ATP Fills'!I371,""))</f>
        <v/>
      </c>
      <c r="M371" t="str">
        <f t="shared" si="5"/>
        <v/>
      </c>
    </row>
    <row r="372" spans="1:13">
      <c r="A372" t="str">
        <f>IF('ATP Fills'!A372="","",IF('ATP Fills'!Q372="PHILLIPSG",'ATP Fills'!F372,""))</f>
        <v/>
      </c>
      <c r="B372" t="str">
        <f>IF(A372="","",'ATP Fills'!L372)</f>
        <v/>
      </c>
      <c r="C372" t="str">
        <f>IF(A372="","",'ATP Fills'!M372)</f>
        <v/>
      </c>
      <c r="D372" t="str">
        <f>IF(A372="","",'ATP Fills'!B372)</f>
        <v/>
      </c>
      <c r="E372" s="3" t="str">
        <f>IF(A372="","",IF(DATE(LEFT(D372,4),MID(D372,5,2),RIGHT(D372,2))=Helper1!$P$1,Helper1!$P$1,""))</f>
        <v/>
      </c>
      <c r="F372" s="3" t="str">
        <f>IF(A372="","",'ATP Fills'!G372)</f>
        <v/>
      </c>
      <c r="G372" t="str">
        <f>IF(A372="","",'ATP Fills'!H372)</f>
        <v/>
      </c>
      <c r="H372" t="str">
        <f>IF(A372="","",VLOOKUP(G372,表3_3[],2,0))</f>
        <v/>
      </c>
      <c r="I372" t="str">
        <f>IF(A372="","",VLOOKUP(G372,表3_3[],3,0))</f>
        <v/>
      </c>
      <c r="J372" t="str">
        <f>IF(A372="","",IF('ATP Fills'!I372="3M","",VLOOKUP(RIGHT('ATP Fills'!I372,2),Helper1!$O$36:$P$48,2,0)))</f>
        <v/>
      </c>
      <c r="K372" t="str">
        <f>IF(J372="","",LEFT('ATP Fills'!I372,4))</f>
        <v/>
      </c>
      <c r="L372" t="str">
        <f>IF(A372="","",IF('ATP Fills'!G372="LME",'ATP Fills'!I372,""))</f>
        <v/>
      </c>
      <c r="M372" t="str">
        <f t="shared" si="5"/>
        <v/>
      </c>
    </row>
    <row r="373" spans="1:13">
      <c r="A373" t="str">
        <f>IF('ATP Fills'!A373="","",IF('ATP Fills'!Q373="PHILLIPSG",'ATP Fills'!F373,""))</f>
        <v/>
      </c>
      <c r="B373" t="str">
        <f>IF(A373="","",'ATP Fills'!L373)</f>
        <v/>
      </c>
      <c r="C373" t="str">
        <f>IF(A373="","",'ATP Fills'!M373)</f>
        <v/>
      </c>
      <c r="D373" t="str">
        <f>IF(A373="","",'ATP Fills'!B373)</f>
        <v/>
      </c>
      <c r="E373" s="3" t="str">
        <f>IF(A373="","",IF(DATE(LEFT(D373,4),MID(D373,5,2),RIGHT(D373,2))=Helper1!$P$1,Helper1!$P$1,""))</f>
        <v/>
      </c>
      <c r="F373" s="3" t="str">
        <f>IF(A373="","",'ATP Fills'!G373)</f>
        <v/>
      </c>
      <c r="G373" t="str">
        <f>IF(A373="","",'ATP Fills'!H373)</f>
        <v/>
      </c>
      <c r="H373" t="str">
        <f>IF(A373="","",VLOOKUP(G373,表3_3[],2,0))</f>
        <v/>
      </c>
      <c r="I373" t="str">
        <f>IF(A373="","",VLOOKUP(G373,表3_3[],3,0))</f>
        <v/>
      </c>
      <c r="J373" t="str">
        <f>IF(A373="","",IF('ATP Fills'!I373="3M","",VLOOKUP(RIGHT('ATP Fills'!I373,2),Helper1!$O$36:$P$48,2,0)))</f>
        <v/>
      </c>
      <c r="K373" t="str">
        <f>IF(J373="","",LEFT('ATP Fills'!I373,4))</f>
        <v/>
      </c>
      <c r="L373" t="str">
        <f>IF(A373="","",IF('ATP Fills'!G373="LME",'ATP Fills'!I373,""))</f>
        <v/>
      </c>
      <c r="M373" t="str">
        <f t="shared" si="5"/>
        <v/>
      </c>
    </row>
    <row r="374" spans="1:13">
      <c r="A374" t="str">
        <f>IF('ATP Fills'!A374="","",IF('ATP Fills'!Q374="PHILLIPSG",'ATP Fills'!F374,""))</f>
        <v/>
      </c>
      <c r="B374" t="str">
        <f>IF(A374="","",'ATP Fills'!L374)</f>
        <v/>
      </c>
      <c r="C374" t="str">
        <f>IF(A374="","",'ATP Fills'!M374)</f>
        <v/>
      </c>
      <c r="D374" t="str">
        <f>IF(A374="","",'ATP Fills'!B374)</f>
        <v/>
      </c>
      <c r="E374" s="3" t="str">
        <f>IF(A374="","",IF(DATE(LEFT(D374,4),MID(D374,5,2),RIGHT(D374,2))=Helper1!$P$1,Helper1!$P$1,""))</f>
        <v/>
      </c>
      <c r="F374" s="3" t="str">
        <f>IF(A374="","",'ATP Fills'!G374)</f>
        <v/>
      </c>
      <c r="G374" t="str">
        <f>IF(A374="","",'ATP Fills'!H374)</f>
        <v/>
      </c>
      <c r="H374" t="str">
        <f>IF(A374="","",VLOOKUP(G374,表3_3[],2,0))</f>
        <v/>
      </c>
      <c r="I374" t="str">
        <f>IF(A374="","",VLOOKUP(G374,表3_3[],3,0))</f>
        <v/>
      </c>
      <c r="J374" t="str">
        <f>IF(A374="","",IF('ATP Fills'!I374="3M","",VLOOKUP(RIGHT('ATP Fills'!I374,2),Helper1!$O$36:$P$48,2,0)))</f>
        <v/>
      </c>
      <c r="K374" t="str">
        <f>IF(J374="","",LEFT('ATP Fills'!I374,4))</f>
        <v/>
      </c>
      <c r="L374" t="str">
        <f>IF(A374="","",IF('ATP Fills'!G374="LME",'ATP Fills'!I374,""))</f>
        <v/>
      </c>
      <c r="M374" t="str">
        <f t="shared" si="5"/>
        <v/>
      </c>
    </row>
    <row r="375" spans="1:13">
      <c r="A375" t="str">
        <f>IF('ATP Fills'!A375="","",IF('ATP Fills'!Q375="PHILLIPSG",'ATP Fills'!F375,""))</f>
        <v/>
      </c>
      <c r="B375" t="str">
        <f>IF(A375="","",'ATP Fills'!L375)</f>
        <v/>
      </c>
      <c r="C375" t="str">
        <f>IF(A375="","",'ATP Fills'!M375)</f>
        <v/>
      </c>
      <c r="D375" t="str">
        <f>IF(A375="","",'ATP Fills'!B375)</f>
        <v/>
      </c>
      <c r="E375" s="3" t="str">
        <f>IF(A375="","",IF(DATE(LEFT(D375,4),MID(D375,5,2),RIGHT(D375,2))=Helper1!$P$1,Helper1!$P$1,""))</f>
        <v/>
      </c>
      <c r="F375" s="3" t="str">
        <f>IF(A375="","",'ATP Fills'!G375)</f>
        <v/>
      </c>
      <c r="G375" t="str">
        <f>IF(A375="","",'ATP Fills'!H375)</f>
        <v/>
      </c>
      <c r="H375" t="str">
        <f>IF(A375="","",VLOOKUP(G375,表3_3[],2,0))</f>
        <v/>
      </c>
      <c r="I375" t="str">
        <f>IF(A375="","",VLOOKUP(G375,表3_3[],3,0))</f>
        <v/>
      </c>
      <c r="J375" t="str">
        <f>IF(A375="","",IF('ATP Fills'!I375="3M","",VLOOKUP(RIGHT('ATP Fills'!I375,2),Helper1!$O$36:$P$48,2,0)))</f>
        <v/>
      </c>
      <c r="K375" t="str">
        <f>IF(J375="","",LEFT('ATP Fills'!I375,4))</f>
        <v/>
      </c>
      <c r="L375" t="str">
        <f>IF(A375="","",IF('ATP Fills'!G375="LME",'ATP Fills'!I375,""))</f>
        <v/>
      </c>
      <c r="M375" t="str">
        <f t="shared" si="5"/>
        <v/>
      </c>
    </row>
    <row r="376" spans="1:13">
      <c r="A376" t="str">
        <f>IF('ATP Fills'!A376="","",IF('ATP Fills'!Q376="PHILLIPSG",'ATP Fills'!F376,""))</f>
        <v/>
      </c>
      <c r="B376" t="str">
        <f>IF(A376="","",'ATP Fills'!L376)</f>
        <v/>
      </c>
      <c r="C376" t="str">
        <f>IF(A376="","",'ATP Fills'!M376)</f>
        <v/>
      </c>
      <c r="D376" t="str">
        <f>IF(A376="","",'ATP Fills'!B376)</f>
        <v/>
      </c>
      <c r="E376" s="3" t="str">
        <f>IF(A376="","",IF(DATE(LEFT(D376,4),MID(D376,5,2),RIGHT(D376,2))=Helper1!$P$1,Helper1!$P$1,""))</f>
        <v/>
      </c>
      <c r="F376" s="3" t="str">
        <f>IF(A376="","",'ATP Fills'!G376)</f>
        <v/>
      </c>
      <c r="G376" t="str">
        <f>IF(A376="","",'ATP Fills'!H376)</f>
        <v/>
      </c>
      <c r="H376" t="str">
        <f>IF(A376="","",VLOOKUP(G376,表3_3[],2,0))</f>
        <v/>
      </c>
      <c r="I376" t="str">
        <f>IF(A376="","",VLOOKUP(G376,表3_3[],3,0))</f>
        <v/>
      </c>
      <c r="J376" t="str">
        <f>IF(A376="","",IF('ATP Fills'!I376="3M","",VLOOKUP(RIGHT('ATP Fills'!I376,2),Helper1!$O$36:$P$48,2,0)))</f>
        <v/>
      </c>
      <c r="K376" t="str">
        <f>IF(J376="","",LEFT('ATP Fills'!I376,4))</f>
        <v/>
      </c>
      <c r="L376" t="str">
        <f>IF(A376="","",IF('ATP Fills'!G376="LME",'ATP Fills'!I376,""))</f>
        <v/>
      </c>
      <c r="M376" t="str">
        <f t="shared" si="5"/>
        <v/>
      </c>
    </row>
    <row r="377" spans="1:13">
      <c r="A377" t="str">
        <f>IF('ATP Fills'!A377="","",IF('ATP Fills'!Q377="PHILLIPSG",'ATP Fills'!F377,""))</f>
        <v/>
      </c>
      <c r="B377" t="str">
        <f>IF(A377="","",'ATP Fills'!L377)</f>
        <v/>
      </c>
      <c r="C377" t="str">
        <f>IF(A377="","",'ATP Fills'!M377)</f>
        <v/>
      </c>
      <c r="D377" t="str">
        <f>IF(A377="","",'ATP Fills'!B377)</f>
        <v/>
      </c>
      <c r="E377" s="3" t="str">
        <f>IF(A377="","",IF(DATE(LEFT(D377,4),MID(D377,5,2),RIGHT(D377,2))=Helper1!$P$1,Helper1!$P$1,""))</f>
        <v/>
      </c>
      <c r="F377" s="3" t="str">
        <f>IF(A377="","",'ATP Fills'!G377)</f>
        <v/>
      </c>
      <c r="G377" t="str">
        <f>IF(A377="","",'ATP Fills'!H377)</f>
        <v/>
      </c>
      <c r="H377" t="str">
        <f>IF(A377="","",VLOOKUP(G377,表3_3[],2,0))</f>
        <v/>
      </c>
      <c r="I377" t="str">
        <f>IF(A377="","",VLOOKUP(G377,表3_3[],3,0))</f>
        <v/>
      </c>
      <c r="J377" t="str">
        <f>IF(A377="","",IF('ATP Fills'!I377="3M","",VLOOKUP(RIGHT('ATP Fills'!I377,2),Helper1!$O$36:$P$48,2,0)))</f>
        <v/>
      </c>
      <c r="K377" t="str">
        <f>IF(J377="","",LEFT('ATP Fills'!I377,4))</f>
        <v/>
      </c>
      <c r="L377" t="str">
        <f>IF(A377="","",IF('ATP Fills'!G377="LME",'ATP Fills'!I377,""))</f>
        <v/>
      </c>
      <c r="M377" t="str">
        <f t="shared" si="5"/>
        <v/>
      </c>
    </row>
    <row r="378" spans="1:13">
      <c r="A378" t="str">
        <f>IF('ATP Fills'!A378="","",IF('ATP Fills'!Q378="PHILLIPSG",'ATP Fills'!F378,""))</f>
        <v/>
      </c>
      <c r="B378" t="str">
        <f>IF(A378="","",'ATP Fills'!L378)</f>
        <v/>
      </c>
      <c r="C378" t="str">
        <f>IF(A378="","",'ATP Fills'!M378)</f>
        <v/>
      </c>
      <c r="D378" t="str">
        <f>IF(A378="","",'ATP Fills'!B378)</f>
        <v/>
      </c>
      <c r="E378" s="3" t="str">
        <f>IF(A378="","",IF(DATE(LEFT(D378,4),MID(D378,5,2),RIGHT(D378,2))=Helper1!$P$1,Helper1!$P$1,""))</f>
        <v/>
      </c>
      <c r="F378" s="3" t="str">
        <f>IF(A378="","",'ATP Fills'!G378)</f>
        <v/>
      </c>
      <c r="G378" t="str">
        <f>IF(A378="","",'ATP Fills'!H378)</f>
        <v/>
      </c>
      <c r="H378" t="str">
        <f>IF(A378="","",VLOOKUP(G378,表3_3[],2,0))</f>
        <v/>
      </c>
      <c r="I378" t="str">
        <f>IF(A378="","",VLOOKUP(G378,表3_3[],3,0))</f>
        <v/>
      </c>
      <c r="J378" t="str">
        <f>IF(A378="","",IF('ATP Fills'!I378="3M","",VLOOKUP(RIGHT('ATP Fills'!I378,2),Helper1!$O$36:$P$48,2,0)))</f>
        <v/>
      </c>
      <c r="K378" t="str">
        <f>IF(J378="","",LEFT('ATP Fills'!I378,4))</f>
        <v/>
      </c>
      <c r="L378" t="str">
        <f>IF(A378="","",IF('ATP Fills'!G378="LME",'ATP Fills'!I378,""))</f>
        <v/>
      </c>
      <c r="M378" t="str">
        <f t="shared" si="5"/>
        <v/>
      </c>
    </row>
    <row r="379" spans="1:13">
      <c r="A379" t="str">
        <f>IF('ATP Fills'!A379="","",IF('ATP Fills'!Q379="PHILLIPSG",'ATP Fills'!F379,""))</f>
        <v/>
      </c>
      <c r="B379" t="str">
        <f>IF(A379="","",'ATP Fills'!L379)</f>
        <v/>
      </c>
      <c r="C379" t="str">
        <f>IF(A379="","",'ATP Fills'!M379)</f>
        <v/>
      </c>
      <c r="D379" t="str">
        <f>IF(A379="","",'ATP Fills'!B379)</f>
        <v/>
      </c>
      <c r="E379" s="3" t="str">
        <f>IF(A379="","",IF(DATE(LEFT(D379,4),MID(D379,5,2),RIGHT(D379,2))=Helper1!$P$1,Helper1!$P$1,""))</f>
        <v/>
      </c>
      <c r="F379" s="3" t="str">
        <f>IF(A379="","",'ATP Fills'!G379)</f>
        <v/>
      </c>
      <c r="G379" t="str">
        <f>IF(A379="","",'ATP Fills'!H379)</f>
        <v/>
      </c>
      <c r="H379" t="str">
        <f>IF(A379="","",VLOOKUP(G379,表3_3[],2,0))</f>
        <v/>
      </c>
      <c r="I379" t="str">
        <f>IF(A379="","",VLOOKUP(G379,表3_3[],3,0))</f>
        <v/>
      </c>
      <c r="J379" t="str">
        <f>IF(A379="","",IF('ATP Fills'!I379="3M","",VLOOKUP(RIGHT('ATP Fills'!I379,2),Helper1!$O$36:$P$48,2,0)))</f>
        <v/>
      </c>
      <c r="K379" t="str">
        <f>IF(J379="","",LEFT('ATP Fills'!I379,4))</f>
        <v/>
      </c>
      <c r="L379" t="str">
        <f>IF(A379="","",IF('ATP Fills'!G379="LME",'ATP Fills'!I379,""))</f>
        <v/>
      </c>
      <c r="M379" t="str">
        <f t="shared" si="5"/>
        <v/>
      </c>
    </row>
    <row r="380" spans="1:13">
      <c r="A380" t="str">
        <f>IF('ATP Fills'!A380="","",IF('ATP Fills'!Q380="PHILLIPSG",'ATP Fills'!F380,""))</f>
        <v/>
      </c>
      <c r="B380" t="str">
        <f>IF(A380="","",'ATP Fills'!L380)</f>
        <v/>
      </c>
      <c r="C380" t="str">
        <f>IF(A380="","",'ATP Fills'!M380)</f>
        <v/>
      </c>
      <c r="D380" t="str">
        <f>IF(A380="","",'ATP Fills'!B380)</f>
        <v/>
      </c>
      <c r="E380" s="3" t="str">
        <f>IF(A380="","",IF(DATE(LEFT(D380,4),MID(D380,5,2),RIGHT(D380,2))=Helper1!$P$1,Helper1!$P$1,""))</f>
        <v/>
      </c>
      <c r="F380" s="3" t="str">
        <f>IF(A380="","",'ATP Fills'!G380)</f>
        <v/>
      </c>
      <c r="G380" t="str">
        <f>IF(A380="","",'ATP Fills'!H380)</f>
        <v/>
      </c>
      <c r="H380" t="str">
        <f>IF(A380="","",VLOOKUP(G380,表3_3[],2,0))</f>
        <v/>
      </c>
      <c r="I380" t="str">
        <f>IF(A380="","",VLOOKUP(G380,表3_3[],3,0))</f>
        <v/>
      </c>
      <c r="J380" t="str">
        <f>IF(A380="","",IF('ATP Fills'!I380="3M","",VLOOKUP(RIGHT('ATP Fills'!I380,2),Helper1!$O$36:$P$48,2,0)))</f>
        <v/>
      </c>
      <c r="K380" t="str">
        <f>IF(J380="","",LEFT('ATP Fills'!I380,4))</f>
        <v/>
      </c>
      <c r="L380" t="str">
        <f>IF(A380="","",IF('ATP Fills'!G380="LME",'ATP Fills'!I380,""))</f>
        <v/>
      </c>
      <c r="M380" t="str">
        <f t="shared" si="5"/>
        <v/>
      </c>
    </row>
    <row r="381" spans="1:13">
      <c r="A381" t="str">
        <f>IF('ATP Fills'!A381="","",IF('ATP Fills'!Q381="PHILLIPSG",'ATP Fills'!F381,""))</f>
        <v/>
      </c>
      <c r="B381" t="str">
        <f>IF(A381="","",'ATP Fills'!L381)</f>
        <v/>
      </c>
      <c r="C381" t="str">
        <f>IF(A381="","",'ATP Fills'!M381)</f>
        <v/>
      </c>
      <c r="D381" t="str">
        <f>IF(A381="","",'ATP Fills'!B381)</f>
        <v/>
      </c>
      <c r="E381" s="3" t="str">
        <f>IF(A381="","",IF(DATE(LEFT(D381,4),MID(D381,5,2),RIGHT(D381,2))=Helper1!$P$1,Helper1!$P$1,""))</f>
        <v/>
      </c>
      <c r="F381" s="3" t="str">
        <f>IF(A381="","",'ATP Fills'!G381)</f>
        <v/>
      </c>
      <c r="G381" t="str">
        <f>IF(A381="","",'ATP Fills'!H381)</f>
        <v/>
      </c>
      <c r="H381" t="str">
        <f>IF(A381="","",VLOOKUP(G381,表3_3[],2,0))</f>
        <v/>
      </c>
      <c r="I381" t="str">
        <f>IF(A381="","",VLOOKUP(G381,表3_3[],3,0))</f>
        <v/>
      </c>
      <c r="J381" t="str">
        <f>IF(A381="","",IF('ATP Fills'!I381="3M","",VLOOKUP(RIGHT('ATP Fills'!I381,2),Helper1!$O$36:$P$48,2,0)))</f>
        <v/>
      </c>
      <c r="K381" t="str">
        <f>IF(J381="","",LEFT('ATP Fills'!I381,4))</f>
        <v/>
      </c>
      <c r="L381" t="str">
        <f>IF(A381="","",IF('ATP Fills'!G381="LME",'ATP Fills'!I381,""))</f>
        <v/>
      </c>
      <c r="M381" t="str">
        <f t="shared" si="5"/>
        <v/>
      </c>
    </row>
    <row r="382" spans="1:13">
      <c r="A382" t="str">
        <f>IF('ATP Fills'!A382="","",IF('ATP Fills'!Q382="PHILLIPSG",'ATP Fills'!F382,""))</f>
        <v/>
      </c>
      <c r="B382" t="str">
        <f>IF(A382="","",'ATP Fills'!L382)</f>
        <v/>
      </c>
      <c r="C382" t="str">
        <f>IF(A382="","",'ATP Fills'!M382)</f>
        <v/>
      </c>
      <c r="D382" t="str">
        <f>IF(A382="","",'ATP Fills'!B382)</f>
        <v/>
      </c>
      <c r="E382" s="3" t="str">
        <f>IF(A382="","",IF(DATE(LEFT(D382,4),MID(D382,5,2),RIGHT(D382,2))=Helper1!$P$1,Helper1!$P$1,""))</f>
        <v/>
      </c>
      <c r="F382" s="3" t="str">
        <f>IF(A382="","",'ATP Fills'!G382)</f>
        <v/>
      </c>
      <c r="G382" t="str">
        <f>IF(A382="","",'ATP Fills'!H382)</f>
        <v/>
      </c>
      <c r="H382" t="str">
        <f>IF(A382="","",VLOOKUP(G382,表3_3[],2,0))</f>
        <v/>
      </c>
      <c r="I382" t="str">
        <f>IF(A382="","",VLOOKUP(G382,表3_3[],3,0))</f>
        <v/>
      </c>
      <c r="J382" t="str">
        <f>IF(A382="","",IF('ATP Fills'!I382="3M","",VLOOKUP(RIGHT('ATP Fills'!I382,2),Helper1!$O$36:$P$48,2,0)))</f>
        <v/>
      </c>
      <c r="K382" t="str">
        <f>IF(J382="","",LEFT('ATP Fills'!I382,4))</f>
        <v/>
      </c>
      <c r="L382" t="str">
        <f>IF(A382="","",IF('ATP Fills'!G382="LME",'ATP Fills'!I382,""))</f>
        <v/>
      </c>
      <c r="M382" t="str">
        <f t="shared" si="5"/>
        <v/>
      </c>
    </row>
    <row r="383" spans="1:13">
      <c r="A383" t="str">
        <f>IF('ATP Fills'!A383="","",IF('ATP Fills'!Q383="PHILLIPSG",'ATP Fills'!F383,""))</f>
        <v/>
      </c>
      <c r="B383" t="str">
        <f>IF(A383="","",'ATP Fills'!L383)</f>
        <v/>
      </c>
      <c r="C383" t="str">
        <f>IF(A383="","",'ATP Fills'!M383)</f>
        <v/>
      </c>
      <c r="D383" t="str">
        <f>IF(A383="","",'ATP Fills'!B383)</f>
        <v/>
      </c>
      <c r="E383" s="3" t="str">
        <f>IF(A383="","",IF(DATE(LEFT(D383,4),MID(D383,5,2),RIGHT(D383,2))=Helper1!$P$1,Helper1!$P$1,""))</f>
        <v/>
      </c>
      <c r="F383" s="3" t="str">
        <f>IF(A383="","",'ATP Fills'!G383)</f>
        <v/>
      </c>
      <c r="G383" t="str">
        <f>IF(A383="","",'ATP Fills'!H383)</f>
        <v/>
      </c>
      <c r="H383" t="str">
        <f>IF(A383="","",VLOOKUP(G383,表3_3[],2,0))</f>
        <v/>
      </c>
      <c r="I383" t="str">
        <f>IF(A383="","",VLOOKUP(G383,表3_3[],3,0))</f>
        <v/>
      </c>
      <c r="J383" t="str">
        <f>IF(A383="","",IF('ATP Fills'!I383="3M","",VLOOKUP(RIGHT('ATP Fills'!I383,2),Helper1!$O$36:$P$48,2,0)))</f>
        <v/>
      </c>
      <c r="K383" t="str">
        <f>IF(J383="","",LEFT('ATP Fills'!I383,4))</f>
        <v/>
      </c>
      <c r="L383" t="str">
        <f>IF(A383="","",IF('ATP Fills'!G383="LME",'ATP Fills'!I383,""))</f>
        <v/>
      </c>
      <c r="M383" t="str">
        <f t="shared" si="5"/>
        <v/>
      </c>
    </row>
    <row r="384" spans="1:13">
      <c r="A384" t="str">
        <f>IF('ATP Fills'!A384="","",IF('ATP Fills'!Q384="PHILLIPSG",'ATP Fills'!F384,""))</f>
        <v/>
      </c>
      <c r="B384" t="str">
        <f>IF(A384="","",'ATP Fills'!L384)</f>
        <v/>
      </c>
      <c r="C384" t="str">
        <f>IF(A384="","",'ATP Fills'!M384)</f>
        <v/>
      </c>
      <c r="D384" t="str">
        <f>IF(A384="","",'ATP Fills'!B384)</f>
        <v/>
      </c>
      <c r="E384" s="3" t="str">
        <f>IF(A384="","",IF(DATE(LEFT(D384,4),MID(D384,5,2),RIGHT(D384,2))=Helper1!$P$1,Helper1!$P$1,""))</f>
        <v/>
      </c>
      <c r="F384" s="3" t="str">
        <f>IF(A384="","",'ATP Fills'!G384)</f>
        <v/>
      </c>
      <c r="G384" t="str">
        <f>IF(A384="","",'ATP Fills'!H384)</f>
        <v/>
      </c>
      <c r="H384" t="str">
        <f>IF(A384="","",VLOOKUP(G384,表3_3[],2,0))</f>
        <v/>
      </c>
      <c r="I384" t="str">
        <f>IF(A384="","",VLOOKUP(G384,表3_3[],3,0))</f>
        <v/>
      </c>
      <c r="J384" t="str">
        <f>IF(A384="","",IF('ATP Fills'!I384="3M","",VLOOKUP(RIGHT('ATP Fills'!I384,2),Helper1!$O$36:$P$48,2,0)))</f>
        <v/>
      </c>
      <c r="K384" t="str">
        <f>IF(J384="","",LEFT('ATP Fills'!I384,4))</f>
        <v/>
      </c>
      <c r="L384" t="str">
        <f>IF(A384="","",IF('ATP Fills'!G384="LME",'ATP Fills'!I384,""))</f>
        <v/>
      </c>
      <c r="M384" t="str">
        <f t="shared" si="5"/>
        <v/>
      </c>
    </row>
    <row r="385" spans="1:13">
      <c r="A385" t="str">
        <f>IF('ATP Fills'!A385="","",IF('ATP Fills'!Q385="PHILLIPSG",'ATP Fills'!F385,""))</f>
        <v/>
      </c>
      <c r="B385" t="str">
        <f>IF(A385="","",'ATP Fills'!L385)</f>
        <v/>
      </c>
      <c r="C385" t="str">
        <f>IF(A385="","",'ATP Fills'!M385)</f>
        <v/>
      </c>
      <c r="D385" t="str">
        <f>IF(A385="","",'ATP Fills'!B385)</f>
        <v/>
      </c>
      <c r="E385" s="3" t="str">
        <f>IF(A385="","",IF(DATE(LEFT(D385,4),MID(D385,5,2),RIGHT(D385,2))=Helper1!$P$1,Helper1!$P$1,""))</f>
        <v/>
      </c>
      <c r="F385" s="3" t="str">
        <f>IF(A385="","",'ATP Fills'!G385)</f>
        <v/>
      </c>
      <c r="G385" t="str">
        <f>IF(A385="","",'ATP Fills'!H385)</f>
        <v/>
      </c>
      <c r="H385" t="str">
        <f>IF(A385="","",VLOOKUP(G385,表3_3[],2,0))</f>
        <v/>
      </c>
      <c r="I385" t="str">
        <f>IF(A385="","",VLOOKUP(G385,表3_3[],3,0))</f>
        <v/>
      </c>
      <c r="J385" t="str">
        <f>IF(A385="","",IF('ATP Fills'!I385="3M","",VLOOKUP(RIGHT('ATP Fills'!I385,2),Helper1!$O$36:$P$48,2,0)))</f>
        <v/>
      </c>
      <c r="K385" t="str">
        <f>IF(J385="","",LEFT('ATP Fills'!I385,4))</f>
        <v/>
      </c>
      <c r="L385" t="str">
        <f>IF(A385="","",IF('ATP Fills'!G385="LME",'ATP Fills'!I385,""))</f>
        <v/>
      </c>
      <c r="M385" t="str">
        <f t="shared" si="5"/>
        <v/>
      </c>
    </row>
    <row r="386" spans="1:13">
      <c r="A386" t="str">
        <f>IF('ATP Fills'!A386="","",IF('ATP Fills'!Q386="PHILLIPSG",'ATP Fills'!F386,""))</f>
        <v/>
      </c>
      <c r="B386" t="str">
        <f>IF(A386="","",'ATP Fills'!L386)</f>
        <v/>
      </c>
      <c r="C386" t="str">
        <f>IF(A386="","",'ATP Fills'!M386)</f>
        <v/>
      </c>
      <c r="D386" t="str">
        <f>IF(A386="","",'ATP Fills'!B386)</f>
        <v/>
      </c>
      <c r="E386" s="3" t="str">
        <f>IF(A386="","",IF(DATE(LEFT(D386,4),MID(D386,5,2),RIGHT(D386,2))=Helper1!$P$1,Helper1!$P$1,""))</f>
        <v/>
      </c>
      <c r="F386" s="3" t="str">
        <f>IF(A386="","",'ATP Fills'!G386)</f>
        <v/>
      </c>
      <c r="G386" t="str">
        <f>IF(A386="","",'ATP Fills'!H386)</f>
        <v/>
      </c>
      <c r="H386" t="str">
        <f>IF(A386="","",VLOOKUP(G386,表3_3[],2,0))</f>
        <v/>
      </c>
      <c r="I386" t="str">
        <f>IF(A386="","",VLOOKUP(G386,表3_3[],3,0))</f>
        <v/>
      </c>
      <c r="J386" t="str">
        <f>IF(A386="","",IF('ATP Fills'!I386="3M","",VLOOKUP(RIGHT('ATP Fills'!I386,2),Helper1!$O$36:$P$48,2,0)))</f>
        <v/>
      </c>
      <c r="K386" t="str">
        <f>IF(J386="","",LEFT('ATP Fills'!I386,4))</f>
        <v/>
      </c>
      <c r="L386" t="str">
        <f>IF(A386="","",IF('ATP Fills'!G386="LME",'ATP Fills'!I386,""))</f>
        <v/>
      </c>
      <c r="M386" t="str">
        <f t="shared" si="5"/>
        <v/>
      </c>
    </row>
    <row r="387" spans="1:13">
      <c r="A387" t="str">
        <f>IF('ATP Fills'!A387="","",IF('ATP Fills'!Q387="PHILLIPSG",'ATP Fills'!F387,""))</f>
        <v/>
      </c>
      <c r="B387" t="str">
        <f>IF(A387="","",'ATP Fills'!L387)</f>
        <v/>
      </c>
      <c r="C387" t="str">
        <f>IF(A387="","",'ATP Fills'!M387)</f>
        <v/>
      </c>
      <c r="D387" t="str">
        <f>IF(A387="","",'ATP Fills'!B387)</f>
        <v/>
      </c>
      <c r="E387" s="3" t="str">
        <f>IF(A387="","",IF(DATE(LEFT(D387,4),MID(D387,5,2),RIGHT(D387,2))=Helper1!$P$1,Helper1!$P$1,""))</f>
        <v/>
      </c>
      <c r="F387" s="3" t="str">
        <f>IF(A387="","",'ATP Fills'!G387)</f>
        <v/>
      </c>
      <c r="G387" t="str">
        <f>IF(A387="","",'ATP Fills'!H387)</f>
        <v/>
      </c>
      <c r="H387" t="str">
        <f>IF(A387="","",VLOOKUP(G387,表3_3[],2,0))</f>
        <v/>
      </c>
      <c r="I387" t="str">
        <f>IF(A387="","",VLOOKUP(G387,表3_3[],3,0))</f>
        <v/>
      </c>
      <c r="J387" t="str">
        <f>IF(A387="","",IF('ATP Fills'!I387="3M","",VLOOKUP(RIGHT('ATP Fills'!I387,2),Helper1!$O$36:$P$48,2,0)))</f>
        <v/>
      </c>
      <c r="K387" t="str">
        <f>IF(J387="","",LEFT('ATP Fills'!I387,4))</f>
        <v/>
      </c>
      <c r="L387" t="str">
        <f>IF(A387="","",IF('ATP Fills'!G387="LME",'ATP Fills'!I387,""))</f>
        <v/>
      </c>
      <c r="M387" t="str">
        <f t="shared" ref="M387:M450" si="6">IF(A387="","",IF(F387="LME",F387&amp;"-"&amp;I387&amp;"-"&amp;L387,J387&amp;"-"&amp;K387&amp;"-"&amp;I387))</f>
        <v/>
      </c>
    </row>
    <row r="388" spans="1:13">
      <c r="A388" t="str">
        <f>IF('ATP Fills'!A388="","",IF('ATP Fills'!Q388="PHILLIPSG",'ATP Fills'!F388,""))</f>
        <v/>
      </c>
      <c r="B388" t="str">
        <f>IF(A388="","",'ATP Fills'!L388)</f>
        <v/>
      </c>
      <c r="C388" t="str">
        <f>IF(A388="","",'ATP Fills'!M388)</f>
        <v/>
      </c>
      <c r="D388" t="str">
        <f>IF(A388="","",'ATP Fills'!B388)</f>
        <v/>
      </c>
      <c r="E388" s="3" t="str">
        <f>IF(A388="","",IF(DATE(LEFT(D388,4),MID(D388,5,2),RIGHT(D388,2))=Helper1!$P$1,Helper1!$P$1,""))</f>
        <v/>
      </c>
      <c r="F388" s="3" t="str">
        <f>IF(A388="","",'ATP Fills'!G388)</f>
        <v/>
      </c>
      <c r="G388" t="str">
        <f>IF(A388="","",'ATP Fills'!H388)</f>
        <v/>
      </c>
      <c r="H388" t="str">
        <f>IF(A388="","",VLOOKUP(G388,表3_3[],2,0))</f>
        <v/>
      </c>
      <c r="I388" t="str">
        <f>IF(A388="","",VLOOKUP(G388,表3_3[],3,0))</f>
        <v/>
      </c>
      <c r="J388" t="str">
        <f>IF(A388="","",IF('ATP Fills'!I388="3M","",VLOOKUP(RIGHT('ATP Fills'!I388,2),Helper1!$O$36:$P$48,2,0)))</f>
        <v/>
      </c>
      <c r="K388" t="str">
        <f>IF(J388="","",LEFT('ATP Fills'!I388,4))</f>
        <v/>
      </c>
      <c r="L388" t="str">
        <f>IF(A388="","",IF('ATP Fills'!G388="LME",'ATP Fills'!I388,""))</f>
        <v/>
      </c>
      <c r="M388" t="str">
        <f t="shared" si="6"/>
        <v/>
      </c>
    </row>
    <row r="389" spans="1:13">
      <c r="A389" t="str">
        <f>IF('ATP Fills'!A389="","",IF('ATP Fills'!Q389="PHILLIPSG",'ATP Fills'!F389,""))</f>
        <v/>
      </c>
      <c r="B389" t="str">
        <f>IF(A389="","",'ATP Fills'!L389)</f>
        <v/>
      </c>
      <c r="C389" t="str">
        <f>IF(A389="","",'ATP Fills'!M389)</f>
        <v/>
      </c>
      <c r="D389" t="str">
        <f>IF(A389="","",'ATP Fills'!B389)</f>
        <v/>
      </c>
      <c r="E389" s="3" t="str">
        <f>IF(A389="","",IF(DATE(LEFT(D389,4),MID(D389,5,2),RIGHT(D389,2))=Helper1!$P$1,Helper1!$P$1,""))</f>
        <v/>
      </c>
      <c r="F389" s="3" t="str">
        <f>IF(A389="","",'ATP Fills'!G389)</f>
        <v/>
      </c>
      <c r="G389" t="str">
        <f>IF(A389="","",'ATP Fills'!H389)</f>
        <v/>
      </c>
      <c r="H389" t="str">
        <f>IF(A389="","",VLOOKUP(G389,表3_3[],2,0))</f>
        <v/>
      </c>
      <c r="I389" t="str">
        <f>IF(A389="","",VLOOKUP(G389,表3_3[],3,0))</f>
        <v/>
      </c>
      <c r="J389" t="str">
        <f>IF(A389="","",IF('ATP Fills'!I389="3M","",VLOOKUP(RIGHT('ATP Fills'!I389,2),Helper1!$O$36:$P$48,2,0)))</f>
        <v/>
      </c>
      <c r="K389" t="str">
        <f>IF(J389="","",LEFT('ATP Fills'!I389,4))</f>
        <v/>
      </c>
      <c r="L389" t="str">
        <f>IF(A389="","",IF('ATP Fills'!G389="LME",'ATP Fills'!I389,""))</f>
        <v/>
      </c>
      <c r="M389" t="str">
        <f t="shared" si="6"/>
        <v/>
      </c>
    </row>
    <row r="390" spans="1:13">
      <c r="A390" t="str">
        <f>IF('ATP Fills'!A390="","",IF('ATP Fills'!Q390="PHILLIPSG",'ATP Fills'!F390,""))</f>
        <v/>
      </c>
      <c r="B390" t="str">
        <f>IF(A390="","",'ATP Fills'!L390)</f>
        <v/>
      </c>
      <c r="C390" t="str">
        <f>IF(A390="","",'ATP Fills'!M390)</f>
        <v/>
      </c>
      <c r="D390" t="str">
        <f>IF(A390="","",'ATP Fills'!B390)</f>
        <v/>
      </c>
      <c r="E390" s="3" t="str">
        <f>IF(A390="","",IF(DATE(LEFT(D390,4),MID(D390,5,2),RIGHT(D390,2))=Helper1!$P$1,Helper1!$P$1,""))</f>
        <v/>
      </c>
      <c r="F390" s="3" t="str">
        <f>IF(A390="","",'ATP Fills'!G390)</f>
        <v/>
      </c>
      <c r="G390" t="str">
        <f>IF(A390="","",'ATP Fills'!H390)</f>
        <v/>
      </c>
      <c r="H390" t="str">
        <f>IF(A390="","",VLOOKUP(G390,表3_3[],2,0))</f>
        <v/>
      </c>
      <c r="I390" t="str">
        <f>IF(A390="","",VLOOKUP(G390,表3_3[],3,0))</f>
        <v/>
      </c>
      <c r="J390" t="str">
        <f>IF(A390="","",IF('ATP Fills'!I390="3M","",VLOOKUP(RIGHT('ATP Fills'!I390,2),Helper1!$O$36:$P$48,2,0)))</f>
        <v/>
      </c>
      <c r="K390" t="str">
        <f>IF(J390="","",LEFT('ATP Fills'!I390,4))</f>
        <v/>
      </c>
      <c r="L390" t="str">
        <f>IF(A390="","",IF('ATP Fills'!G390="LME",'ATP Fills'!I390,""))</f>
        <v/>
      </c>
      <c r="M390" t="str">
        <f t="shared" si="6"/>
        <v/>
      </c>
    </row>
    <row r="391" spans="1:13">
      <c r="A391" t="str">
        <f>IF('ATP Fills'!A391="","",IF('ATP Fills'!Q391="PHILLIPSG",'ATP Fills'!F391,""))</f>
        <v/>
      </c>
      <c r="B391" t="str">
        <f>IF(A391="","",'ATP Fills'!L391)</f>
        <v/>
      </c>
      <c r="C391" t="str">
        <f>IF(A391="","",'ATP Fills'!M391)</f>
        <v/>
      </c>
      <c r="D391" t="str">
        <f>IF(A391="","",'ATP Fills'!B391)</f>
        <v/>
      </c>
      <c r="E391" s="3" t="str">
        <f>IF(A391="","",IF(DATE(LEFT(D391,4),MID(D391,5,2),RIGHT(D391,2))=Helper1!$P$1,Helper1!$P$1,""))</f>
        <v/>
      </c>
      <c r="F391" s="3" t="str">
        <f>IF(A391="","",'ATP Fills'!G391)</f>
        <v/>
      </c>
      <c r="G391" t="str">
        <f>IF(A391="","",'ATP Fills'!H391)</f>
        <v/>
      </c>
      <c r="H391" t="str">
        <f>IF(A391="","",VLOOKUP(G391,表3_3[],2,0))</f>
        <v/>
      </c>
      <c r="I391" t="str">
        <f>IF(A391="","",VLOOKUP(G391,表3_3[],3,0))</f>
        <v/>
      </c>
      <c r="J391" t="str">
        <f>IF(A391="","",IF('ATP Fills'!I391="3M","",VLOOKUP(RIGHT('ATP Fills'!I391,2),Helper1!$O$36:$P$48,2,0)))</f>
        <v/>
      </c>
      <c r="K391" t="str">
        <f>IF(J391="","",LEFT('ATP Fills'!I391,4))</f>
        <v/>
      </c>
      <c r="L391" t="str">
        <f>IF(A391="","",IF('ATP Fills'!G391="LME",'ATP Fills'!I391,""))</f>
        <v/>
      </c>
      <c r="M391" t="str">
        <f t="shared" si="6"/>
        <v/>
      </c>
    </row>
    <row r="392" spans="1:13">
      <c r="A392" t="str">
        <f>IF('ATP Fills'!A392="","",IF('ATP Fills'!Q392="PHILLIPSG",'ATP Fills'!F392,""))</f>
        <v/>
      </c>
      <c r="B392" t="str">
        <f>IF(A392="","",'ATP Fills'!L392)</f>
        <v/>
      </c>
      <c r="C392" t="str">
        <f>IF(A392="","",'ATP Fills'!M392)</f>
        <v/>
      </c>
      <c r="D392" t="str">
        <f>IF(A392="","",'ATP Fills'!B392)</f>
        <v/>
      </c>
      <c r="E392" s="3" t="str">
        <f>IF(A392="","",IF(DATE(LEFT(D392,4),MID(D392,5,2),RIGHT(D392,2))=Helper1!$P$1,Helper1!$P$1,""))</f>
        <v/>
      </c>
      <c r="F392" s="3" t="str">
        <f>IF(A392="","",'ATP Fills'!G392)</f>
        <v/>
      </c>
      <c r="G392" t="str">
        <f>IF(A392="","",'ATP Fills'!H392)</f>
        <v/>
      </c>
      <c r="H392" t="str">
        <f>IF(A392="","",VLOOKUP(G392,表3_3[],2,0))</f>
        <v/>
      </c>
      <c r="I392" t="str">
        <f>IF(A392="","",VLOOKUP(G392,表3_3[],3,0))</f>
        <v/>
      </c>
      <c r="J392" t="str">
        <f>IF(A392="","",IF('ATP Fills'!I392="3M","",VLOOKUP(RIGHT('ATP Fills'!I392,2),Helper1!$O$36:$P$48,2,0)))</f>
        <v/>
      </c>
      <c r="K392" t="str">
        <f>IF(J392="","",LEFT('ATP Fills'!I392,4))</f>
        <v/>
      </c>
      <c r="L392" t="str">
        <f>IF(A392="","",IF('ATP Fills'!G392="LME",'ATP Fills'!I392,""))</f>
        <v/>
      </c>
      <c r="M392" t="str">
        <f t="shared" si="6"/>
        <v/>
      </c>
    </row>
    <row r="393" spans="1:13">
      <c r="A393" t="str">
        <f>IF('ATP Fills'!A393="","",IF('ATP Fills'!Q393="PHILLIPSG",'ATP Fills'!F393,""))</f>
        <v/>
      </c>
      <c r="B393" t="str">
        <f>IF(A393="","",'ATP Fills'!L393)</f>
        <v/>
      </c>
      <c r="C393" t="str">
        <f>IF(A393="","",'ATP Fills'!M393)</f>
        <v/>
      </c>
      <c r="D393" t="str">
        <f>IF(A393="","",'ATP Fills'!B393)</f>
        <v/>
      </c>
      <c r="E393" s="3" t="str">
        <f>IF(A393="","",IF(DATE(LEFT(D393,4),MID(D393,5,2),RIGHT(D393,2))=Helper1!$P$1,Helper1!$P$1,""))</f>
        <v/>
      </c>
      <c r="F393" s="3" t="str">
        <f>IF(A393="","",'ATP Fills'!G393)</f>
        <v/>
      </c>
      <c r="G393" t="str">
        <f>IF(A393="","",'ATP Fills'!H393)</f>
        <v/>
      </c>
      <c r="H393" t="str">
        <f>IF(A393="","",VLOOKUP(G393,表3_3[],2,0))</f>
        <v/>
      </c>
      <c r="I393" t="str">
        <f>IF(A393="","",VLOOKUP(G393,表3_3[],3,0))</f>
        <v/>
      </c>
      <c r="J393" t="str">
        <f>IF(A393="","",IF('ATP Fills'!I393="3M","",VLOOKUP(RIGHT('ATP Fills'!I393,2),Helper1!$O$36:$P$48,2,0)))</f>
        <v/>
      </c>
      <c r="K393" t="str">
        <f>IF(J393="","",LEFT('ATP Fills'!I393,4))</f>
        <v/>
      </c>
      <c r="L393" t="str">
        <f>IF(A393="","",IF('ATP Fills'!G393="LME",'ATP Fills'!I393,""))</f>
        <v/>
      </c>
      <c r="M393" t="str">
        <f t="shared" si="6"/>
        <v/>
      </c>
    </row>
    <row r="394" spans="1:13">
      <c r="A394" t="str">
        <f>IF('ATP Fills'!A394="","",IF('ATP Fills'!Q394="PHILLIPSG",'ATP Fills'!F394,""))</f>
        <v/>
      </c>
      <c r="B394" t="str">
        <f>IF(A394="","",'ATP Fills'!L394)</f>
        <v/>
      </c>
      <c r="C394" t="str">
        <f>IF(A394="","",'ATP Fills'!M394)</f>
        <v/>
      </c>
      <c r="D394" t="str">
        <f>IF(A394="","",'ATP Fills'!B394)</f>
        <v/>
      </c>
      <c r="E394" s="3" t="str">
        <f>IF(A394="","",IF(DATE(LEFT(D394,4),MID(D394,5,2),RIGHT(D394,2))=Helper1!$P$1,Helper1!$P$1,""))</f>
        <v/>
      </c>
      <c r="F394" s="3" t="str">
        <f>IF(A394="","",'ATP Fills'!G394)</f>
        <v/>
      </c>
      <c r="G394" t="str">
        <f>IF(A394="","",'ATP Fills'!H394)</f>
        <v/>
      </c>
      <c r="H394" t="str">
        <f>IF(A394="","",VLOOKUP(G394,表3_3[],2,0))</f>
        <v/>
      </c>
      <c r="I394" t="str">
        <f>IF(A394="","",VLOOKUP(G394,表3_3[],3,0))</f>
        <v/>
      </c>
      <c r="J394" t="str">
        <f>IF(A394="","",IF('ATP Fills'!I394="3M","",VLOOKUP(RIGHT('ATP Fills'!I394,2),Helper1!$O$36:$P$48,2,0)))</f>
        <v/>
      </c>
      <c r="K394" t="str">
        <f>IF(J394="","",LEFT('ATP Fills'!I394,4))</f>
        <v/>
      </c>
      <c r="L394" t="str">
        <f>IF(A394="","",IF('ATP Fills'!G394="LME",'ATP Fills'!I394,""))</f>
        <v/>
      </c>
      <c r="M394" t="str">
        <f t="shared" si="6"/>
        <v/>
      </c>
    </row>
    <row r="395" spans="1:13">
      <c r="A395" t="str">
        <f>IF('ATP Fills'!A395="","",IF('ATP Fills'!Q395="PHILLIPSG",'ATP Fills'!F395,""))</f>
        <v/>
      </c>
      <c r="B395" t="str">
        <f>IF(A395="","",'ATP Fills'!L395)</f>
        <v/>
      </c>
      <c r="C395" t="str">
        <f>IF(A395="","",'ATP Fills'!M395)</f>
        <v/>
      </c>
      <c r="D395" t="str">
        <f>IF(A395="","",'ATP Fills'!B395)</f>
        <v/>
      </c>
      <c r="E395" s="3" t="str">
        <f>IF(A395="","",IF(DATE(LEFT(D395,4),MID(D395,5,2),RIGHT(D395,2))=Helper1!$P$1,Helper1!$P$1,""))</f>
        <v/>
      </c>
      <c r="F395" s="3" t="str">
        <f>IF(A395="","",'ATP Fills'!G395)</f>
        <v/>
      </c>
      <c r="G395" t="str">
        <f>IF(A395="","",'ATP Fills'!H395)</f>
        <v/>
      </c>
      <c r="H395" t="str">
        <f>IF(A395="","",VLOOKUP(G395,表3_3[],2,0))</f>
        <v/>
      </c>
      <c r="I395" t="str">
        <f>IF(A395="","",VLOOKUP(G395,表3_3[],3,0))</f>
        <v/>
      </c>
      <c r="J395" t="str">
        <f>IF(A395="","",IF('ATP Fills'!I395="3M","",VLOOKUP(RIGHT('ATP Fills'!I395,2),Helper1!$O$36:$P$48,2,0)))</f>
        <v/>
      </c>
      <c r="K395" t="str">
        <f>IF(J395="","",LEFT('ATP Fills'!I395,4))</f>
        <v/>
      </c>
      <c r="L395" t="str">
        <f>IF(A395="","",IF('ATP Fills'!G395="LME",'ATP Fills'!I395,""))</f>
        <v/>
      </c>
      <c r="M395" t="str">
        <f t="shared" si="6"/>
        <v/>
      </c>
    </row>
    <row r="396" spans="1:13">
      <c r="A396" t="str">
        <f>IF('ATP Fills'!A396="","",IF('ATP Fills'!Q396="PHILLIPSG",'ATP Fills'!F396,""))</f>
        <v/>
      </c>
      <c r="B396" t="str">
        <f>IF(A396="","",'ATP Fills'!L396)</f>
        <v/>
      </c>
      <c r="C396" t="str">
        <f>IF(A396="","",'ATP Fills'!M396)</f>
        <v/>
      </c>
      <c r="D396" t="str">
        <f>IF(A396="","",'ATP Fills'!B396)</f>
        <v/>
      </c>
      <c r="E396" s="3" t="str">
        <f>IF(A396="","",IF(DATE(LEFT(D396,4),MID(D396,5,2),RIGHT(D396,2))=Helper1!$P$1,Helper1!$P$1,""))</f>
        <v/>
      </c>
      <c r="F396" s="3" t="str">
        <f>IF(A396="","",'ATP Fills'!G396)</f>
        <v/>
      </c>
      <c r="G396" t="str">
        <f>IF(A396="","",'ATP Fills'!H396)</f>
        <v/>
      </c>
      <c r="H396" t="str">
        <f>IF(A396="","",VLOOKUP(G396,表3_3[],2,0))</f>
        <v/>
      </c>
      <c r="I396" t="str">
        <f>IF(A396="","",VLOOKUP(G396,表3_3[],3,0))</f>
        <v/>
      </c>
      <c r="J396" t="str">
        <f>IF(A396="","",IF('ATP Fills'!I396="3M","",VLOOKUP(RIGHT('ATP Fills'!I396,2),Helper1!$O$36:$P$48,2,0)))</f>
        <v/>
      </c>
      <c r="K396" t="str">
        <f>IF(J396="","",LEFT('ATP Fills'!I396,4))</f>
        <v/>
      </c>
      <c r="L396" t="str">
        <f>IF(A396="","",IF('ATP Fills'!G396="LME",'ATP Fills'!I396,""))</f>
        <v/>
      </c>
      <c r="M396" t="str">
        <f t="shared" si="6"/>
        <v/>
      </c>
    </row>
    <row r="397" spans="1:13">
      <c r="A397" t="str">
        <f>IF('ATP Fills'!A397="","",IF('ATP Fills'!Q397="PHILLIPSG",'ATP Fills'!F397,""))</f>
        <v/>
      </c>
      <c r="B397" t="str">
        <f>IF(A397="","",'ATP Fills'!L397)</f>
        <v/>
      </c>
      <c r="C397" t="str">
        <f>IF(A397="","",'ATP Fills'!M397)</f>
        <v/>
      </c>
      <c r="D397" t="str">
        <f>IF(A397="","",'ATP Fills'!B397)</f>
        <v/>
      </c>
      <c r="E397" s="3" t="str">
        <f>IF(A397="","",IF(DATE(LEFT(D397,4),MID(D397,5,2),RIGHT(D397,2))=Helper1!$P$1,Helper1!$P$1,""))</f>
        <v/>
      </c>
      <c r="F397" s="3" t="str">
        <f>IF(A397="","",'ATP Fills'!G397)</f>
        <v/>
      </c>
      <c r="G397" t="str">
        <f>IF(A397="","",'ATP Fills'!H397)</f>
        <v/>
      </c>
      <c r="H397" t="str">
        <f>IF(A397="","",VLOOKUP(G397,表3_3[],2,0))</f>
        <v/>
      </c>
      <c r="I397" t="str">
        <f>IF(A397="","",VLOOKUP(G397,表3_3[],3,0))</f>
        <v/>
      </c>
      <c r="J397" t="str">
        <f>IF(A397="","",IF('ATP Fills'!I397="3M","",VLOOKUP(RIGHT('ATP Fills'!I397,2),Helper1!$O$36:$P$48,2,0)))</f>
        <v/>
      </c>
      <c r="K397" t="str">
        <f>IF(J397="","",LEFT('ATP Fills'!I397,4))</f>
        <v/>
      </c>
      <c r="L397" t="str">
        <f>IF(A397="","",IF('ATP Fills'!G397="LME",'ATP Fills'!I397,""))</f>
        <v/>
      </c>
      <c r="M397" t="str">
        <f t="shared" si="6"/>
        <v/>
      </c>
    </row>
    <row r="398" spans="1:13">
      <c r="A398" t="str">
        <f>IF('ATP Fills'!A398="","",IF('ATP Fills'!Q398="PHILLIPSG",'ATP Fills'!F398,""))</f>
        <v/>
      </c>
      <c r="B398" t="str">
        <f>IF(A398="","",'ATP Fills'!L398)</f>
        <v/>
      </c>
      <c r="C398" t="str">
        <f>IF(A398="","",'ATP Fills'!M398)</f>
        <v/>
      </c>
      <c r="D398" t="str">
        <f>IF(A398="","",'ATP Fills'!B398)</f>
        <v/>
      </c>
      <c r="E398" s="3" t="str">
        <f>IF(A398="","",IF(DATE(LEFT(D398,4),MID(D398,5,2),RIGHT(D398,2))=Helper1!$P$1,Helper1!$P$1,""))</f>
        <v/>
      </c>
      <c r="F398" s="3" t="str">
        <f>IF(A398="","",'ATP Fills'!G398)</f>
        <v/>
      </c>
      <c r="G398" t="str">
        <f>IF(A398="","",'ATP Fills'!H398)</f>
        <v/>
      </c>
      <c r="H398" t="str">
        <f>IF(A398="","",VLOOKUP(G398,表3_3[],2,0))</f>
        <v/>
      </c>
      <c r="I398" t="str">
        <f>IF(A398="","",VLOOKUP(G398,表3_3[],3,0))</f>
        <v/>
      </c>
      <c r="J398" t="str">
        <f>IF(A398="","",IF('ATP Fills'!I398="3M","",VLOOKUP(RIGHT('ATP Fills'!I398,2),Helper1!$O$36:$P$48,2,0)))</f>
        <v/>
      </c>
      <c r="K398" t="str">
        <f>IF(J398="","",LEFT('ATP Fills'!I398,4))</f>
        <v/>
      </c>
      <c r="L398" t="str">
        <f>IF(A398="","",IF('ATP Fills'!G398="LME",'ATP Fills'!I398,""))</f>
        <v/>
      </c>
      <c r="M398" t="str">
        <f t="shared" si="6"/>
        <v/>
      </c>
    </row>
    <row r="399" spans="1:13">
      <c r="A399" t="str">
        <f>IF('ATP Fills'!A399="","",IF('ATP Fills'!Q399="PHILLIPSG",'ATP Fills'!F399,""))</f>
        <v/>
      </c>
      <c r="B399" t="str">
        <f>IF(A399="","",'ATP Fills'!L399)</f>
        <v/>
      </c>
      <c r="C399" t="str">
        <f>IF(A399="","",'ATP Fills'!M399)</f>
        <v/>
      </c>
      <c r="D399" t="str">
        <f>IF(A399="","",'ATP Fills'!B399)</f>
        <v/>
      </c>
      <c r="E399" s="3" t="str">
        <f>IF(A399="","",IF(DATE(LEFT(D399,4),MID(D399,5,2),RIGHT(D399,2))=Helper1!$P$1,Helper1!$P$1,""))</f>
        <v/>
      </c>
      <c r="F399" s="3" t="str">
        <f>IF(A399="","",'ATP Fills'!G399)</f>
        <v/>
      </c>
      <c r="G399" t="str">
        <f>IF(A399="","",'ATP Fills'!H399)</f>
        <v/>
      </c>
      <c r="H399" t="str">
        <f>IF(A399="","",VLOOKUP(G399,表3_3[],2,0))</f>
        <v/>
      </c>
      <c r="I399" t="str">
        <f>IF(A399="","",VLOOKUP(G399,表3_3[],3,0))</f>
        <v/>
      </c>
      <c r="J399" t="str">
        <f>IF(A399="","",IF('ATP Fills'!I399="3M","",VLOOKUP(RIGHT('ATP Fills'!I399,2),Helper1!$O$36:$P$48,2,0)))</f>
        <v/>
      </c>
      <c r="K399" t="str">
        <f>IF(J399="","",LEFT('ATP Fills'!I399,4))</f>
        <v/>
      </c>
      <c r="L399" t="str">
        <f>IF(A399="","",IF('ATP Fills'!G399="LME",'ATP Fills'!I399,""))</f>
        <v/>
      </c>
      <c r="M399" t="str">
        <f t="shared" si="6"/>
        <v/>
      </c>
    </row>
    <row r="400" spans="1:13">
      <c r="A400" t="str">
        <f>IF('ATP Fills'!A400="","",IF('ATP Fills'!Q400="PHILLIPSG",'ATP Fills'!F400,""))</f>
        <v/>
      </c>
      <c r="B400" t="str">
        <f>IF(A400="","",'ATP Fills'!L400)</f>
        <v/>
      </c>
      <c r="C400" t="str">
        <f>IF(A400="","",'ATP Fills'!M400)</f>
        <v/>
      </c>
      <c r="D400" t="str">
        <f>IF(A400="","",'ATP Fills'!B400)</f>
        <v/>
      </c>
      <c r="E400" s="3" t="str">
        <f>IF(A400="","",IF(DATE(LEFT(D400,4),MID(D400,5,2),RIGHT(D400,2))=Helper1!$P$1,Helper1!$P$1,""))</f>
        <v/>
      </c>
      <c r="F400" s="3" t="str">
        <f>IF(A400="","",'ATP Fills'!G400)</f>
        <v/>
      </c>
      <c r="G400" t="str">
        <f>IF(A400="","",'ATP Fills'!H400)</f>
        <v/>
      </c>
      <c r="H400" t="str">
        <f>IF(A400="","",VLOOKUP(G400,表3_3[],2,0))</f>
        <v/>
      </c>
      <c r="I400" t="str">
        <f>IF(A400="","",VLOOKUP(G400,表3_3[],3,0))</f>
        <v/>
      </c>
      <c r="J400" t="str">
        <f>IF(A400="","",IF('ATP Fills'!I400="3M","",VLOOKUP(RIGHT('ATP Fills'!I400,2),Helper1!$O$36:$P$48,2,0)))</f>
        <v/>
      </c>
      <c r="K400" t="str">
        <f>IF(J400="","",LEFT('ATP Fills'!I400,4))</f>
        <v/>
      </c>
      <c r="L400" t="str">
        <f>IF(A400="","",IF('ATP Fills'!G400="LME",'ATP Fills'!I400,""))</f>
        <v/>
      </c>
      <c r="M400" t="str">
        <f t="shared" si="6"/>
        <v/>
      </c>
    </row>
    <row r="401" spans="1:13">
      <c r="A401" t="str">
        <f>IF('ATP Fills'!A401="","",IF('ATP Fills'!Q401="PHILLIPSG",'ATP Fills'!F401,""))</f>
        <v/>
      </c>
      <c r="B401" t="str">
        <f>IF(A401="","",'ATP Fills'!L401)</f>
        <v/>
      </c>
      <c r="C401" t="str">
        <f>IF(A401="","",'ATP Fills'!M401)</f>
        <v/>
      </c>
      <c r="D401" t="str">
        <f>IF(A401="","",'ATP Fills'!B401)</f>
        <v/>
      </c>
      <c r="E401" s="3" t="str">
        <f>IF(A401="","",IF(DATE(LEFT(D401,4),MID(D401,5,2),RIGHT(D401,2))=Helper1!$P$1,Helper1!$P$1,""))</f>
        <v/>
      </c>
      <c r="F401" s="3" t="str">
        <f>IF(A401="","",'ATP Fills'!G401)</f>
        <v/>
      </c>
      <c r="G401" t="str">
        <f>IF(A401="","",'ATP Fills'!H401)</f>
        <v/>
      </c>
      <c r="H401" t="str">
        <f>IF(A401="","",VLOOKUP(G401,表3_3[],2,0))</f>
        <v/>
      </c>
      <c r="I401" t="str">
        <f>IF(A401="","",VLOOKUP(G401,表3_3[],3,0))</f>
        <v/>
      </c>
      <c r="J401" t="str">
        <f>IF(A401="","",IF('ATP Fills'!I401="3M","",VLOOKUP(RIGHT('ATP Fills'!I401,2),Helper1!$O$36:$P$48,2,0)))</f>
        <v/>
      </c>
      <c r="K401" t="str">
        <f>IF(J401="","",LEFT('ATP Fills'!I401,4))</f>
        <v/>
      </c>
      <c r="L401" t="str">
        <f>IF(A401="","",IF('ATP Fills'!G401="LME",'ATP Fills'!I401,""))</f>
        <v/>
      </c>
      <c r="M401" t="str">
        <f t="shared" si="6"/>
        <v/>
      </c>
    </row>
    <row r="402" spans="1:13">
      <c r="A402" t="str">
        <f>IF('ATP Fills'!A402="","",IF('ATP Fills'!Q402="PHILLIPSG",'ATP Fills'!F402,""))</f>
        <v/>
      </c>
      <c r="B402" t="str">
        <f>IF(A402="","",'ATP Fills'!L402)</f>
        <v/>
      </c>
      <c r="C402" t="str">
        <f>IF(A402="","",'ATP Fills'!M402)</f>
        <v/>
      </c>
      <c r="D402" t="str">
        <f>IF(A402="","",'ATP Fills'!B402)</f>
        <v/>
      </c>
      <c r="E402" s="3" t="str">
        <f>IF(A402="","",IF(DATE(LEFT(D402,4),MID(D402,5,2),RIGHT(D402,2))=Helper1!$P$1,Helper1!$P$1,""))</f>
        <v/>
      </c>
      <c r="F402" s="3" t="str">
        <f>IF(A402="","",'ATP Fills'!G402)</f>
        <v/>
      </c>
      <c r="G402" t="str">
        <f>IF(A402="","",'ATP Fills'!H402)</f>
        <v/>
      </c>
      <c r="H402" t="str">
        <f>IF(A402="","",VLOOKUP(G402,表3_3[],2,0))</f>
        <v/>
      </c>
      <c r="I402" t="str">
        <f>IF(A402="","",VLOOKUP(G402,表3_3[],3,0))</f>
        <v/>
      </c>
      <c r="J402" t="str">
        <f>IF(A402="","",IF('ATP Fills'!I402="3M","",VLOOKUP(RIGHT('ATP Fills'!I402,2),Helper1!$O$36:$P$48,2,0)))</f>
        <v/>
      </c>
      <c r="K402" t="str">
        <f>IF(J402="","",LEFT('ATP Fills'!I402,4))</f>
        <v/>
      </c>
      <c r="L402" t="str">
        <f>IF(A402="","",IF('ATP Fills'!G402="LME",'ATP Fills'!I402,""))</f>
        <v/>
      </c>
      <c r="M402" t="str">
        <f t="shared" si="6"/>
        <v/>
      </c>
    </row>
    <row r="403" spans="1:13">
      <c r="A403" t="str">
        <f>IF('ATP Fills'!A403="","",IF('ATP Fills'!Q403="PHILLIPSG",'ATP Fills'!F403,""))</f>
        <v/>
      </c>
      <c r="B403" t="str">
        <f>IF(A403="","",'ATP Fills'!L403)</f>
        <v/>
      </c>
      <c r="C403" t="str">
        <f>IF(A403="","",'ATP Fills'!M403)</f>
        <v/>
      </c>
      <c r="D403" t="str">
        <f>IF(A403="","",'ATP Fills'!B403)</f>
        <v/>
      </c>
      <c r="E403" s="3" t="str">
        <f>IF(A403="","",IF(DATE(LEFT(D403,4),MID(D403,5,2),RIGHT(D403,2))=Helper1!$P$1,Helper1!$P$1,""))</f>
        <v/>
      </c>
      <c r="F403" s="3" t="str">
        <f>IF(A403="","",'ATP Fills'!G403)</f>
        <v/>
      </c>
      <c r="G403" t="str">
        <f>IF(A403="","",'ATP Fills'!H403)</f>
        <v/>
      </c>
      <c r="H403" t="str">
        <f>IF(A403="","",VLOOKUP(G403,表3_3[],2,0))</f>
        <v/>
      </c>
      <c r="I403" t="str">
        <f>IF(A403="","",VLOOKUP(G403,表3_3[],3,0))</f>
        <v/>
      </c>
      <c r="J403" t="str">
        <f>IF(A403="","",IF('ATP Fills'!I403="3M","",VLOOKUP(RIGHT('ATP Fills'!I403,2),Helper1!$O$36:$P$48,2,0)))</f>
        <v/>
      </c>
      <c r="K403" t="str">
        <f>IF(J403="","",LEFT('ATP Fills'!I403,4))</f>
        <v/>
      </c>
      <c r="L403" t="str">
        <f>IF(A403="","",IF('ATP Fills'!G403="LME",'ATP Fills'!I403,""))</f>
        <v/>
      </c>
      <c r="M403" t="str">
        <f t="shared" si="6"/>
        <v/>
      </c>
    </row>
    <row r="404" spans="1:13">
      <c r="A404" t="str">
        <f>IF('ATP Fills'!A404="","",IF('ATP Fills'!Q404="PHILLIPSG",'ATP Fills'!F404,""))</f>
        <v/>
      </c>
      <c r="B404" t="str">
        <f>IF(A404="","",'ATP Fills'!L404)</f>
        <v/>
      </c>
      <c r="C404" t="str">
        <f>IF(A404="","",'ATP Fills'!M404)</f>
        <v/>
      </c>
      <c r="D404" t="str">
        <f>IF(A404="","",'ATP Fills'!B404)</f>
        <v/>
      </c>
      <c r="E404" s="3" t="str">
        <f>IF(A404="","",IF(DATE(LEFT(D404,4),MID(D404,5,2),RIGHT(D404,2))=Helper1!$P$1,Helper1!$P$1,""))</f>
        <v/>
      </c>
      <c r="F404" s="3" t="str">
        <f>IF(A404="","",'ATP Fills'!G404)</f>
        <v/>
      </c>
      <c r="G404" t="str">
        <f>IF(A404="","",'ATP Fills'!H404)</f>
        <v/>
      </c>
      <c r="H404" t="str">
        <f>IF(A404="","",VLOOKUP(G404,表3_3[],2,0))</f>
        <v/>
      </c>
      <c r="I404" t="str">
        <f>IF(A404="","",VLOOKUP(G404,表3_3[],3,0))</f>
        <v/>
      </c>
      <c r="J404" t="str">
        <f>IF(A404="","",IF('ATP Fills'!I404="3M","",VLOOKUP(RIGHT('ATP Fills'!I404,2),Helper1!$O$36:$P$48,2,0)))</f>
        <v/>
      </c>
      <c r="K404" t="str">
        <f>IF(J404="","",LEFT('ATP Fills'!I404,4))</f>
        <v/>
      </c>
      <c r="L404" t="str">
        <f>IF(A404="","",IF('ATP Fills'!G404="LME",'ATP Fills'!I404,""))</f>
        <v/>
      </c>
      <c r="M404" t="str">
        <f t="shared" si="6"/>
        <v/>
      </c>
    </row>
    <row r="405" spans="1:13">
      <c r="A405" t="str">
        <f>IF('ATP Fills'!A405="","",IF('ATP Fills'!Q405="PHILLIPSG",'ATP Fills'!F405,""))</f>
        <v/>
      </c>
      <c r="B405" t="str">
        <f>IF(A405="","",'ATP Fills'!L405)</f>
        <v/>
      </c>
      <c r="C405" t="str">
        <f>IF(A405="","",'ATP Fills'!M405)</f>
        <v/>
      </c>
      <c r="D405" t="str">
        <f>IF(A405="","",'ATP Fills'!B405)</f>
        <v/>
      </c>
      <c r="E405" s="3" t="str">
        <f>IF(A405="","",IF(DATE(LEFT(D405,4),MID(D405,5,2),RIGHT(D405,2))=Helper1!$P$1,Helper1!$P$1,""))</f>
        <v/>
      </c>
      <c r="F405" s="3" t="str">
        <f>IF(A405="","",'ATP Fills'!G405)</f>
        <v/>
      </c>
      <c r="G405" t="str">
        <f>IF(A405="","",'ATP Fills'!H405)</f>
        <v/>
      </c>
      <c r="H405" t="str">
        <f>IF(A405="","",VLOOKUP(G405,表3_3[],2,0))</f>
        <v/>
      </c>
      <c r="I405" t="str">
        <f>IF(A405="","",VLOOKUP(G405,表3_3[],3,0))</f>
        <v/>
      </c>
      <c r="J405" t="str">
        <f>IF(A405="","",IF('ATP Fills'!I405="3M","",VLOOKUP(RIGHT('ATP Fills'!I405,2),Helper1!$O$36:$P$48,2,0)))</f>
        <v/>
      </c>
      <c r="K405" t="str">
        <f>IF(J405="","",LEFT('ATP Fills'!I405,4))</f>
        <v/>
      </c>
      <c r="L405" t="str">
        <f>IF(A405="","",IF('ATP Fills'!G405="LME",'ATP Fills'!I405,""))</f>
        <v/>
      </c>
      <c r="M405" t="str">
        <f t="shared" si="6"/>
        <v/>
      </c>
    </row>
    <row r="406" spans="1:13">
      <c r="A406" t="str">
        <f>IF('ATP Fills'!A406="","",IF('ATP Fills'!Q406="PHILLIPSG",'ATP Fills'!F406,""))</f>
        <v/>
      </c>
      <c r="B406" t="str">
        <f>IF(A406="","",'ATP Fills'!L406)</f>
        <v/>
      </c>
      <c r="C406" t="str">
        <f>IF(A406="","",'ATP Fills'!M406)</f>
        <v/>
      </c>
      <c r="D406" t="str">
        <f>IF(A406="","",'ATP Fills'!B406)</f>
        <v/>
      </c>
      <c r="E406" s="3" t="str">
        <f>IF(A406="","",IF(DATE(LEFT(D406,4),MID(D406,5,2),RIGHT(D406,2))=Helper1!$P$1,Helper1!$P$1,""))</f>
        <v/>
      </c>
      <c r="F406" s="3" t="str">
        <f>IF(A406="","",'ATP Fills'!G406)</f>
        <v/>
      </c>
      <c r="G406" t="str">
        <f>IF(A406="","",'ATP Fills'!H406)</f>
        <v/>
      </c>
      <c r="H406" t="str">
        <f>IF(A406="","",VLOOKUP(G406,表3_3[],2,0))</f>
        <v/>
      </c>
      <c r="I406" t="str">
        <f>IF(A406="","",VLOOKUP(G406,表3_3[],3,0))</f>
        <v/>
      </c>
      <c r="J406" t="str">
        <f>IF(A406="","",IF('ATP Fills'!I406="3M","",VLOOKUP(RIGHT('ATP Fills'!I406,2),Helper1!$O$36:$P$48,2,0)))</f>
        <v/>
      </c>
      <c r="K406" t="str">
        <f>IF(J406="","",LEFT('ATP Fills'!I406,4))</f>
        <v/>
      </c>
      <c r="L406" t="str">
        <f>IF(A406="","",IF('ATP Fills'!G406="LME",'ATP Fills'!I406,""))</f>
        <v/>
      </c>
      <c r="M406" t="str">
        <f t="shared" si="6"/>
        <v/>
      </c>
    </row>
    <row r="407" spans="1:13">
      <c r="A407" t="str">
        <f>IF('ATP Fills'!A407="","",IF('ATP Fills'!Q407="PHILLIPSG",'ATP Fills'!F407,""))</f>
        <v/>
      </c>
      <c r="B407" t="str">
        <f>IF(A407="","",'ATP Fills'!L407)</f>
        <v/>
      </c>
      <c r="C407" t="str">
        <f>IF(A407="","",'ATP Fills'!M407)</f>
        <v/>
      </c>
      <c r="D407" t="str">
        <f>IF(A407="","",'ATP Fills'!B407)</f>
        <v/>
      </c>
      <c r="E407" s="3" t="str">
        <f>IF(A407="","",IF(DATE(LEFT(D407,4),MID(D407,5,2),RIGHT(D407,2))=Helper1!$P$1,Helper1!$P$1,""))</f>
        <v/>
      </c>
      <c r="F407" s="3" t="str">
        <f>IF(A407="","",'ATP Fills'!G407)</f>
        <v/>
      </c>
      <c r="G407" t="str">
        <f>IF(A407="","",'ATP Fills'!H407)</f>
        <v/>
      </c>
      <c r="H407" t="str">
        <f>IF(A407="","",VLOOKUP(G407,表3_3[],2,0))</f>
        <v/>
      </c>
      <c r="I407" t="str">
        <f>IF(A407="","",VLOOKUP(G407,表3_3[],3,0))</f>
        <v/>
      </c>
      <c r="J407" t="str">
        <f>IF(A407="","",IF('ATP Fills'!I407="3M","",VLOOKUP(RIGHT('ATP Fills'!I407,2),Helper1!$O$36:$P$48,2,0)))</f>
        <v/>
      </c>
      <c r="K407" t="str">
        <f>IF(J407="","",LEFT('ATP Fills'!I407,4))</f>
        <v/>
      </c>
      <c r="L407" t="str">
        <f>IF(A407="","",IF('ATP Fills'!G407="LME",'ATP Fills'!I407,""))</f>
        <v/>
      </c>
      <c r="M407" t="str">
        <f t="shared" si="6"/>
        <v/>
      </c>
    </row>
    <row r="408" spans="1:13">
      <c r="A408" t="str">
        <f>IF('ATP Fills'!A408="","",IF('ATP Fills'!Q408="PHILLIPSG",'ATP Fills'!F408,""))</f>
        <v/>
      </c>
      <c r="B408" t="str">
        <f>IF(A408="","",'ATP Fills'!L408)</f>
        <v/>
      </c>
      <c r="C408" t="str">
        <f>IF(A408="","",'ATP Fills'!M408)</f>
        <v/>
      </c>
      <c r="D408" t="str">
        <f>IF(A408="","",'ATP Fills'!B408)</f>
        <v/>
      </c>
      <c r="E408" s="3" t="str">
        <f>IF(A408="","",IF(DATE(LEFT(D408,4),MID(D408,5,2),RIGHT(D408,2))=Helper1!$P$1,Helper1!$P$1,""))</f>
        <v/>
      </c>
      <c r="F408" s="3" t="str">
        <f>IF(A408="","",'ATP Fills'!G408)</f>
        <v/>
      </c>
      <c r="G408" t="str">
        <f>IF(A408="","",'ATP Fills'!H408)</f>
        <v/>
      </c>
      <c r="H408" t="str">
        <f>IF(A408="","",VLOOKUP(G408,表3_3[],2,0))</f>
        <v/>
      </c>
      <c r="I408" t="str">
        <f>IF(A408="","",VLOOKUP(G408,表3_3[],3,0))</f>
        <v/>
      </c>
      <c r="J408" t="str">
        <f>IF(A408="","",IF('ATP Fills'!I408="3M","",VLOOKUP(RIGHT('ATP Fills'!I408,2),Helper1!$O$36:$P$48,2,0)))</f>
        <v/>
      </c>
      <c r="K408" t="str">
        <f>IF(J408="","",LEFT('ATP Fills'!I408,4))</f>
        <v/>
      </c>
      <c r="L408" t="str">
        <f>IF(A408="","",IF('ATP Fills'!G408="LME",'ATP Fills'!I408,""))</f>
        <v/>
      </c>
      <c r="M408" t="str">
        <f t="shared" si="6"/>
        <v/>
      </c>
    </row>
    <row r="409" spans="1:13">
      <c r="A409" t="str">
        <f>IF('ATP Fills'!A409="","",IF('ATP Fills'!Q409="PHILLIPSG",'ATP Fills'!F409,""))</f>
        <v/>
      </c>
      <c r="B409" t="str">
        <f>IF(A409="","",'ATP Fills'!L409)</f>
        <v/>
      </c>
      <c r="C409" t="str">
        <f>IF(A409="","",'ATP Fills'!M409)</f>
        <v/>
      </c>
      <c r="D409" t="str">
        <f>IF(A409="","",'ATP Fills'!B409)</f>
        <v/>
      </c>
      <c r="E409" s="3" t="str">
        <f>IF(A409="","",IF(DATE(LEFT(D409,4),MID(D409,5,2),RIGHT(D409,2))=Helper1!$P$1,Helper1!$P$1,""))</f>
        <v/>
      </c>
      <c r="F409" s="3" t="str">
        <f>IF(A409="","",'ATP Fills'!G409)</f>
        <v/>
      </c>
      <c r="G409" t="str">
        <f>IF(A409="","",'ATP Fills'!H409)</f>
        <v/>
      </c>
      <c r="H409" t="str">
        <f>IF(A409="","",VLOOKUP(G409,表3_3[],2,0))</f>
        <v/>
      </c>
      <c r="I409" t="str">
        <f>IF(A409="","",VLOOKUP(G409,表3_3[],3,0))</f>
        <v/>
      </c>
      <c r="J409" t="str">
        <f>IF(A409="","",IF('ATP Fills'!I409="3M","",VLOOKUP(RIGHT('ATP Fills'!I409,2),Helper1!$O$36:$P$48,2,0)))</f>
        <v/>
      </c>
      <c r="K409" t="str">
        <f>IF(J409="","",LEFT('ATP Fills'!I409,4))</f>
        <v/>
      </c>
      <c r="L409" t="str">
        <f>IF(A409="","",IF('ATP Fills'!G409="LME",'ATP Fills'!I409,""))</f>
        <v/>
      </c>
      <c r="M409" t="str">
        <f t="shared" si="6"/>
        <v/>
      </c>
    </row>
    <row r="410" spans="1:13">
      <c r="A410" t="str">
        <f>IF('ATP Fills'!A410="","",IF('ATP Fills'!Q410="PHILLIPSG",'ATP Fills'!F410,""))</f>
        <v/>
      </c>
      <c r="B410" t="str">
        <f>IF(A410="","",'ATP Fills'!L410)</f>
        <v/>
      </c>
      <c r="C410" t="str">
        <f>IF(A410="","",'ATP Fills'!M410)</f>
        <v/>
      </c>
      <c r="D410" t="str">
        <f>IF(A410="","",'ATP Fills'!B410)</f>
        <v/>
      </c>
      <c r="E410" s="3" t="str">
        <f>IF(A410="","",IF(DATE(LEFT(D410,4),MID(D410,5,2),RIGHT(D410,2))=Helper1!$P$1,Helper1!$P$1,""))</f>
        <v/>
      </c>
      <c r="F410" s="3" t="str">
        <f>IF(A410="","",'ATP Fills'!G410)</f>
        <v/>
      </c>
      <c r="G410" t="str">
        <f>IF(A410="","",'ATP Fills'!H410)</f>
        <v/>
      </c>
      <c r="H410" t="str">
        <f>IF(A410="","",VLOOKUP(G410,表3_3[],2,0))</f>
        <v/>
      </c>
      <c r="I410" t="str">
        <f>IF(A410="","",VLOOKUP(G410,表3_3[],3,0))</f>
        <v/>
      </c>
      <c r="J410" t="str">
        <f>IF(A410="","",IF('ATP Fills'!I410="3M","",VLOOKUP(RIGHT('ATP Fills'!I410,2),Helper1!$O$36:$P$48,2,0)))</f>
        <v/>
      </c>
      <c r="K410" t="str">
        <f>IF(J410="","",LEFT('ATP Fills'!I410,4))</f>
        <v/>
      </c>
      <c r="L410" t="str">
        <f>IF(A410="","",IF('ATP Fills'!G410="LME",'ATP Fills'!I410,""))</f>
        <v/>
      </c>
      <c r="M410" t="str">
        <f t="shared" si="6"/>
        <v/>
      </c>
    </row>
    <row r="411" spans="1:13">
      <c r="A411" t="str">
        <f>IF('ATP Fills'!A411="","",IF('ATP Fills'!Q411="PHILLIPSG",'ATP Fills'!F411,""))</f>
        <v/>
      </c>
      <c r="B411" t="str">
        <f>IF(A411="","",'ATP Fills'!L411)</f>
        <v/>
      </c>
      <c r="C411" t="str">
        <f>IF(A411="","",'ATP Fills'!M411)</f>
        <v/>
      </c>
      <c r="D411" t="str">
        <f>IF(A411="","",'ATP Fills'!B411)</f>
        <v/>
      </c>
      <c r="E411" s="3" t="str">
        <f>IF(A411="","",IF(DATE(LEFT(D411,4),MID(D411,5,2),RIGHT(D411,2))=Helper1!$P$1,Helper1!$P$1,""))</f>
        <v/>
      </c>
      <c r="F411" s="3" t="str">
        <f>IF(A411="","",'ATP Fills'!G411)</f>
        <v/>
      </c>
      <c r="G411" t="str">
        <f>IF(A411="","",'ATP Fills'!H411)</f>
        <v/>
      </c>
      <c r="H411" t="str">
        <f>IF(A411="","",VLOOKUP(G411,表3_3[],2,0))</f>
        <v/>
      </c>
      <c r="I411" t="str">
        <f>IF(A411="","",VLOOKUP(G411,表3_3[],3,0))</f>
        <v/>
      </c>
      <c r="J411" t="str">
        <f>IF(A411="","",IF('ATP Fills'!I411="3M","",VLOOKUP(RIGHT('ATP Fills'!I411,2),Helper1!$O$36:$P$48,2,0)))</f>
        <v/>
      </c>
      <c r="K411" t="str">
        <f>IF(J411="","",LEFT('ATP Fills'!I411,4))</f>
        <v/>
      </c>
      <c r="L411" t="str">
        <f>IF(A411="","",IF('ATP Fills'!G411="LME",'ATP Fills'!I411,""))</f>
        <v/>
      </c>
      <c r="M411" t="str">
        <f t="shared" si="6"/>
        <v/>
      </c>
    </row>
    <row r="412" spans="1:13">
      <c r="A412" t="str">
        <f>IF('ATP Fills'!A412="","",IF('ATP Fills'!Q412="PHILLIPSG",'ATP Fills'!F412,""))</f>
        <v/>
      </c>
      <c r="B412" t="str">
        <f>IF(A412="","",'ATP Fills'!L412)</f>
        <v/>
      </c>
      <c r="C412" t="str">
        <f>IF(A412="","",'ATP Fills'!M412)</f>
        <v/>
      </c>
      <c r="D412" t="str">
        <f>IF(A412="","",'ATP Fills'!B412)</f>
        <v/>
      </c>
      <c r="E412" s="3" t="str">
        <f>IF(A412="","",IF(DATE(LEFT(D412,4),MID(D412,5,2),RIGHT(D412,2))=Helper1!$P$1,Helper1!$P$1,""))</f>
        <v/>
      </c>
      <c r="F412" s="3" t="str">
        <f>IF(A412="","",'ATP Fills'!G412)</f>
        <v/>
      </c>
      <c r="G412" t="str">
        <f>IF(A412="","",'ATP Fills'!H412)</f>
        <v/>
      </c>
      <c r="H412" t="str">
        <f>IF(A412="","",VLOOKUP(G412,表3_3[],2,0))</f>
        <v/>
      </c>
      <c r="I412" t="str">
        <f>IF(A412="","",VLOOKUP(G412,表3_3[],3,0))</f>
        <v/>
      </c>
      <c r="J412" t="str">
        <f>IF(A412="","",IF('ATP Fills'!I412="3M","",VLOOKUP(RIGHT('ATP Fills'!I412,2),Helper1!$O$36:$P$48,2,0)))</f>
        <v/>
      </c>
      <c r="K412" t="str">
        <f>IF(J412="","",LEFT('ATP Fills'!I412,4))</f>
        <v/>
      </c>
      <c r="L412" t="str">
        <f>IF(A412="","",IF('ATP Fills'!G412="LME",'ATP Fills'!I412,""))</f>
        <v/>
      </c>
      <c r="M412" t="str">
        <f t="shared" si="6"/>
        <v/>
      </c>
    </row>
    <row r="413" spans="1:13">
      <c r="A413" t="str">
        <f>IF('ATP Fills'!A413="","",IF('ATP Fills'!Q413="PHILLIPSG",'ATP Fills'!F413,""))</f>
        <v/>
      </c>
      <c r="B413" t="str">
        <f>IF(A413="","",'ATP Fills'!L413)</f>
        <v/>
      </c>
      <c r="C413" t="str">
        <f>IF(A413="","",'ATP Fills'!M413)</f>
        <v/>
      </c>
      <c r="D413" t="str">
        <f>IF(A413="","",'ATP Fills'!B413)</f>
        <v/>
      </c>
      <c r="E413" s="3" t="str">
        <f>IF(A413="","",IF(DATE(LEFT(D413,4),MID(D413,5,2),RIGHT(D413,2))=Helper1!$P$1,Helper1!$P$1,""))</f>
        <v/>
      </c>
      <c r="F413" s="3" t="str">
        <f>IF(A413="","",'ATP Fills'!G413)</f>
        <v/>
      </c>
      <c r="G413" t="str">
        <f>IF(A413="","",'ATP Fills'!H413)</f>
        <v/>
      </c>
      <c r="H413" t="str">
        <f>IF(A413="","",VLOOKUP(G413,表3_3[],2,0))</f>
        <v/>
      </c>
      <c r="I413" t="str">
        <f>IF(A413="","",VLOOKUP(G413,表3_3[],3,0))</f>
        <v/>
      </c>
      <c r="J413" t="str">
        <f>IF(A413="","",IF('ATP Fills'!I413="3M","",VLOOKUP(RIGHT('ATP Fills'!I413,2),Helper1!$O$36:$P$48,2,0)))</f>
        <v/>
      </c>
      <c r="K413" t="str">
        <f>IF(J413="","",LEFT('ATP Fills'!I413,4))</f>
        <v/>
      </c>
      <c r="L413" t="str">
        <f>IF(A413="","",IF('ATP Fills'!G413="LME",'ATP Fills'!I413,""))</f>
        <v/>
      </c>
      <c r="M413" t="str">
        <f t="shared" si="6"/>
        <v/>
      </c>
    </row>
    <row r="414" spans="1:13">
      <c r="A414" t="str">
        <f>IF('ATP Fills'!A414="","",IF('ATP Fills'!Q414="PHILLIPSG",'ATP Fills'!F414,""))</f>
        <v/>
      </c>
      <c r="B414" t="str">
        <f>IF(A414="","",'ATP Fills'!L414)</f>
        <v/>
      </c>
      <c r="C414" t="str">
        <f>IF(A414="","",'ATP Fills'!M414)</f>
        <v/>
      </c>
      <c r="D414" t="str">
        <f>IF(A414="","",'ATP Fills'!B414)</f>
        <v/>
      </c>
      <c r="E414" s="3" t="str">
        <f>IF(A414="","",IF(DATE(LEFT(D414,4),MID(D414,5,2),RIGHT(D414,2))=Helper1!$P$1,Helper1!$P$1,""))</f>
        <v/>
      </c>
      <c r="F414" s="3" t="str">
        <f>IF(A414="","",'ATP Fills'!G414)</f>
        <v/>
      </c>
      <c r="G414" t="str">
        <f>IF(A414="","",'ATP Fills'!H414)</f>
        <v/>
      </c>
      <c r="H414" t="str">
        <f>IF(A414="","",VLOOKUP(G414,表3_3[],2,0))</f>
        <v/>
      </c>
      <c r="I414" t="str">
        <f>IF(A414="","",VLOOKUP(G414,表3_3[],3,0))</f>
        <v/>
      </c>
      <c r="J414" t="str">
        <f>IF(A414="","",IF('ATP Fills'!I414="3M","",VLOOKUP(RIGHT('ATP Fills'!I414,2),Helper1!$O$36:$P$48,2,0)))</f>
        <v/>
      </c>
      <c r="K414" t="str">
        <f>IF(J414="","",LEFT('ATP Fills'!I414,4))</f>
        <v/>
      </c>
      <c r="L414" t="str">
        <f>IF(A414="","",IF('ATP Fills'!G414="LME",'ATP Fills'!I414,""))</f>
        <v/>
      </c>
      <c r="M414" t="str">
        <f t="shared" si="6"/>
        <v/>
      </c>
    </row>
    <row r="415" spans="1:13">
      <c r="A415" t="str">
        <f>IF('ATP Fills'!A415="","",IF('ATP Fills'!Q415="PHILLIPSG",'ATP Fills'!F415,""))</f>
        <v/>
      </c>
      <c r="B415" t="str">
        <f>IF(A415="","",'ATP Fills'!L415)</f>
        <v/>
      </c>
      <c r="C415" t="str">
        <f>IF(A415="","",'ATP Fills'!M415)</f>
        <v/>
      </c>
      <c r="D415" t="str">
        <f>IF(A415="","",'ATP Fills'!B415)</f>
        <v/>
      </c>
      <c r="E415" s="3" t="str">
        <f>IF(A415="","",IF(DATE(LEFT(D415,4),MID(D415,5,2),RIGHT(D415,2))=Helper1!$P$1,Helper1!$P$1,""))</f>
        <v/>
      </c>
      <c r="F415" s="3" t="str">
        <f>IF(A415="","",'ATP Fills'!G415)</f>
        <v/>
      </c>
      <c r="G415" t="str">
        <f>IF(A415="","",'ATP Fills'!H415)</f>
        <v/>
      </c>
      <c r="H415" t="str">
        <f>IF(A415="","",VLOOKUP(G415,表3_3[],2,0))</f>
        <v/>
      </c>
      <c r="I415" t="str">
        <f>IF(A415="","",VLOOKUP(G415,表3_3[],3,0))</f>
        <v/>
      </c>
      <c r="J415" t="str">
        <f>IF(A415="","",IF('ATP Fills'!I415="3M","",VLOOKUP(RIGHT('ATP Fills'!I415,2),Helper1!$O$36:$P$48,2,0)))</f>
        <v/>
      </c>
      <c r="K415" t="str">
        <f>IF(J415="","",LEFT('ATP Fills'!I415,4))</f>
        <v/>
      </c>
      <c r="L415" t="str">
        <f>IF(A415="","",IF('ATP Fills'!G415="LME",'ATP Fills'!I415,""))</f>
        <v/>
      </c>
      <c r="M415" t="str">
        <f t="shared" si="6"/>
        <v/>
      </c>
    </row>
    <row r="416" spans="1:13">
      <c r="A416" t="str">
        <f>IF('ATP Fills'!A416="","",IF('ATP Fills'!Q416="PHILLIPSG",'ATP Fills'!F416,""))</f>
        <v/>
      </c>
      <c r="B416" t="str">
        <f>IF(A416="","",'ATP Fills'!L416)</f>
        <v/>
      </c>
      <c r="C416" t="str">
        <f>IF(A416="","",'ATP Fills'!M416)</f>
        <v/>
      </c>
      <c r="D416" t="str">
        <f>IF(A416="","",'ATP Fills'!B416)</f>
        <v/>
      </c>
      <c r="E416" s="3" t="str">
        <f>IF(A416="","",IF(DATE(LEFT(D416,4),MID(D416,5,2),RIGHT(D416,2))=Helper1!$P$1,Helper1!$P$1,""))</f>
        <v/>
      </c>
      <c r="F416" s="3" t="str">
        <f>IF(A416="","",'ATP Fills'!G416)</f>
        <v/>
      </c>
      <c r="G416" t="str">
        <f>IF(A416="","",'ATP Fills'!H416)</f>
        <v/>
      </c>
      <c r="H416" t="str">
        <f>IF(A416="","",VLOOKUP(G416,表3_3[],2,0))</f>
        <v/>
      </c>
      <c r="I416" t="str">
        <f>IF(A416="","",VLOOKUP(G416,表3_3[],3,0))</f>
        <v/>
      </c>
      <c r="J416" t="str">
        <f>IF(A416="","",IF('ATP Fills'!I416="3M","",VLOOKUP(RIGHT('ATP Fills'!I416,2),Helper1!$O$36:$P$48,2,0)))</f>
        <v/>
      </c>
      <c r="K416" t="str">
        <f>IF(J416="","",LEFT('ATP Fills'!I416,4))</f>
        <v/>
      </c>
      <c r="L416" t="str">
        <f>IF(A416="","",IF('ATP Fills'!G416="LME",'ATP Fills'!I416,""))</f>
        <v/>
      </c>
      <c r="M416" t="str">
        <f t="shared" si="6"/>
        <v/>
      </c>
    </row>
    <row r="417" spans="1:13">
      <c r="A417" t="str">
        <f>IF('ATP Fills'!A417="","",IF('ATP Fills'!Q417="PHILLIPSG",'ATP Fills'!F417,""))</f>
        <v/>
      </c>
      <c r="B417" t="str">
        <f>IF(A417="","",'ATP Fills'!L417)</f>
        <v/>
      </c>
      <c r="C417" t="str">
        <f>IF(A417="","",'ATP Fills'!M417)</f>
        <v/>
      </c>
      <c r="D417" t="str">
        <f>IF(A417="","",'ATP Fills'!B417)</f>
        <v/>
      </c>
      <c r="E417" s="3" t="str">
        <f>IF(A417="","",IF(DATE(LEFT(D417,4),MID(D417,5,2),RIGHT(D417,2))=Helper1!$P$1,Helper1!$P$1,""))</f>
        <v/>
      </c>
      <c r="F417" s="3" t="str">
        <f>IF(A417="","",'ATP Fills'!G417)</f>
        <v/>
      </c>
      <c r="G417" t="str">
        <f>IF(A417="","",'ATP Fills'!H417)</f>
        <v/>
      </c>
      <c r="H417" t="str">
        <f>IF(A417="","",VLOOKUP(G417,表3_3[],2,0))</f>
        <v/>
      </c>
      <c r="I417" t="str">
        <f>IF(A417="","",VLOOKUP(G417,表3_3[],3,0))</f>
        <v/>
      </c>
      <c r="J417" t="str">
        <f>IF(A417="","",IF('ATP Fills'!I417="3M","",VLOOKUP(RIGHT('ATP Fills'!I417,2),Helper1!$O$36:$P$48,2,0)))</f>
        <v/>
      </c>
      <c r="K417" t="str">
        <f>IF(J417="","",LEFT('ATP Fills'!I417,4))</f>
        <v/>
      </c>
      <c r="L417" t="str">
        <f>IF(A417="","",IF('ATP Fills'!G417="LME",'ATP Fills'!I417,""))</f>
        <v/>
      </c>
      <c r="M417" t="str">
        <f t="shared" si="6"/>
        <v/>
      </c>
    </row>
    <row r="418" spans="1:13">
      <c r="A418" t="str">
        <f>IF('ATP Fills'!A418="","",IF('ATP Fills'!Q418="PHILLIPSG",'ATP Fills'!F418,""))</f>
        <v/>
      </c>
      <c r="B418" t="str">
        <f>IF(A418="","",'ATP Fills'!L418)</f>
        <v/>
      </c>
      <c r="C418" t="str">
        <f>IF(A418="","",'ATP Fills'!M418)</f>
        <v/>
      </c>
      <c r="D418" t="str">
        <f>IF(A418="","",'ATP Fills'!B418)</f>
        <v/>
      </c>
      <c r="E418" s="3" t="str">
        <f>IF(A418="","",IF(DATE(LEFT(D418,4),MID(D418,5,2),RIGHT(D418,2))=Helper1!$P$1,Helper1!$P$1,""))</f>
        <v/>
      </c>
      <c r="F418" s="3" t="str">
        <f>IF(A418="","",'ATP Fills'!G418)</f>
        <v/>
      </c>
      <c r="G418" t="str">
        <f>IF(A418="","",'ATP Fills'!H418)</f>
        <v/>
      </c>
      <c r="H418" t="str">
        <f>IF(A418="","",VLOOKUP(G418,表3_3[],2,0))</f>
        <v/>
      </c>
      <c r="I418" t="str">
        <f>IF(A418="","",VLOOKUP(G418,表3_3[],3,0))</f>
        <v/>
      </c>
      <c r="J418" t="str">
        <f>IF(A418="","",IF('ATP Fills'!I418="3M","",VLOOKUP(RIGHT('ATP Fills'!I418,2),Helper1!$O$36:$P$48,2,0)))</f>
        <v/>
      </c>
      <c r="K418" t="str">
        <f>IF(J418="","",LEFT('ATP Fills'!I418,4))</f>
        <v/>
      </c>
      <c r="L418" t="str">
        <f>IF(A418="","",IF('ATP Fills'!G418="LME",'ATP Fills'!I418,""))</f>
        <v/>
      </c>
      <c r="M418" t="str">
        <f t="shared" si="6"/>
        <v/>
      </c>
    </row>
    <row r="419" spans="1:13">
      <c r="A419" t="str">
        <f>IF('ATP Fills'!A419="","",IF('ATP Fills'!Q419="PHILLIPSG",'ATP Fills'!F419,""))</f>
        <v/>
      </c>
      <c r="B419" t="str">
        <f>IF(A419="","",'ATP Fills'!L419)</f>
        <v/>
      </c>
      <c r="C419" t="str">
        <f>IF(A419="","",'ATP Fills'!M419)</f>
        <v/>
      </c>
      <c r="D419" t="str">
        <f>IF(A419="","",'ATP Fills'!B419)</f>
        <v/>
      </c>
      <c r="E419" s="3" t="str">
        <f>IF(A419="","",IF(DATE(LEFT(D419,4),MID(D419,5,2),RIGHT(D419,2))=Helper1!$P$1,Helper1!$P$1,""))</f>
        <v/>
      </c>
      <c r="F419" s="3" t="str">
        <f>IF(A419="","",'ATP Fills'!G419)</f>
        <v/>
      </c>
      <c r="G419" t="str">
        <f>IF(A419="","",'ATP Fills'!H419)</f>
        <v/>
      </c>
      <c r="H419" t="str">
        <f>IF(A419="","",VLOOKUP(G419,表3_3[],2,0))</f>
        <v/>
      </c>
      <c r="I419" t="str">
        <f>IF(A419="","",VLOOKUP(G419,表3_3[],3,0))</f>
        <v/>
      </c>
      <c r="J419" t="str">
        <f>IF(A419="","",IF('ATP Fills'!I419="3M","",VLOOKUP(RIGHT('ATP Fills'!I419,2),Helper1!$O$36:$P$48,2,0)))</f>
        <v/>
      </c>
      <c r="K419" t="str">
        <f>IF(J419="","",LEFT('ATP Fills'!I419,4))</f>
        <v/>
      </c>
      <c r="L419" t="str">
        <f>IF(A419="","",IF('ATP Fills'!G419="LME",'ATP Fills'!I419,""))</f>
        <v/>
      </c>
      <c r="M419" t="str">
        <f t="shared" si="6"/>
        <v/>
      </c>
    </row>
    <row r="420" spans="1:13">
      <c r="A420" t="str">
        <f>IF('ATP Fills'!A420="","",IF('ATP Fills'!Q420="PHILLIPSG",'ATP Fills'!F420,""))</f>
        <v/>
      </c>
      <c r="B420" t="str">
        <f>IF(A420="","",'ATP Fills'!L420)</f>
        <v/>
      </c>
      <c r="C420" t="str">
        <f>IF(A420="","",'ATP Fills'!M420)</f>
        <v/>
      </c>
      <c r="D420" t="str">
        <f>IF(A420="","",'ATP Fills'!B420)</f>
        <v/>
      </c>
      <c r="E420" s="3" t="str">
        <f>IF(A420="","",IF(DATE(LEFT(D420,4),MID(D420,5,2),RIGHT(D420,2))=Helper1!$P$1,Helper1!$P$1,""))</f>
        <v/>
      </c>
      <c r="F420" s="3" t="str">
        <f>IF(A420="","",'ATP Fills'!G420)</f>
        <v/>
      </c>
      <c r="G420" t="str">
        <f>IF(A420="","",'ATP Fills'!H420)</f>
        <v/>
      </c>
      <c r="H420" t="str">
        <f>IF(A420="","",VLOOKUP(G420,表3_3[],2,0))</f>
        <v/>
      </c>
      <c r="I420" t="str">
        <f>IF(A420="","",VLOOKUP(G420,表3_3[],3,0))</f>
        <v/>
      </c>
      <c r="J420" t="str">
        <f>IF(A420="","",IF('ATP Fills'!I420="3M","",VLOOKUP(RIGHT('ATP Fills'!I420,2),Helper1!$O$36:$P$48,2,0)))</f>
        <v/>
      </c>
      <c r="K420" t="str">
        <f>IF(J420="","",LEFT('ATP Fills'!I420,4))</f>
        <v/>
      </c>
      <c r="L420" t="str">
        <f>IF(A420="","",IF('ATP Fills'!G420="LME",'ATP Fills'!I420,""))</f>
        <v/>
      </c>
      <c r="M420" t="str">
        <f t="shared" si="6"/>
        <v/>
      </c>
    </row>
    <row r="421" spans="1:13">
      <c r="A421" t="str">
        <f>IF('ATP Fills'!A421="","",IF('ATP Fills'!Q421="PHILLIPSG",'ATP Fills'!F421,""))</f>
        <v/>
      </c>
      <c r="B421" t="str">
        <f>IF(A421="","",'ATP Fills'!L421)</f>
        <v/>
      </c>
      <c r="C421" t="str">
        <f>IF(A421="","",'ATP Fills'!M421)</f>
        <v/>
      </c>
      <c r="D421" t="str">
        <f>IF(A421="","",'ATP Fills'!B421)</f>
        <v/>
      </c>
      <c r="E421" s="3" t="str">
        <f>IF(A421="","",IF(DATE(LEFT(D421,4),MID(D421,5,2),RIGHT(D421,2))=Helper1!$P$1,Helper1!$P$1,""))</f>
        <v/>
      </c>
      <c r="F421" s="3" t="str">
        <f>IF(A421="","",'ATP Fills'!G421)</f>
        <v/>
      </c>
      <c r="G421" t="str">
        <f>IF(A421="","",'ATP Fills'!H421)</f>
        <v/>
      </c>
      <c r="H421" t="str">
        <f>IF(A421="","",VLOOKUP(G421,表3_3[],2,0))</f>
        <v/>
      </c>
      <c r="I421" t="str">
        <f>IF(A421="","",VLOOKUP(G421,表3_3[],3,0))</f>
        <v/>
      </c>
      <c r="J421" t="str">
        <f>IF(A421="","",IF('ATP Fills'!I421="3M","",VLOOKUP(RIGHT('ATP Fills'!I421,2),Helper1!$O$36:$P$48,2,0)))</f>
        <v/>
      </c>
      <c r="K421" t="str">
        <f>IF(J421="","",LEFT('ATP Fills'!I421,4))</f>
        <v/>
      </c>
      <c r="L421" t="str">
        <f>IF(A421="","",IF('ATP Fills'!G421="LME",'ATP Fills'!I421,""))</f>
        <v/>
      </c>
      <c r="M421" t="str">
        <f t="shared" si="6"/>
        <v/>
      </c>
    </row>
    <row r="422" spans="1:13">
      <c r="A422" t="str">
        <f>IF('ATP Fills'!A422="","",IF('ATP Fills'!Q422="PHILLIPSG",'ATP Fills'!F422,""))</f>
        <v/>
      </c>
      <c r="B422" t="str">
        <f>IF(A422="","",'ATP Fills'!L422)</f>
        <v/>
      </c>
      <c r="C422" t="str">
        <f>IF(A422="","",'ATP Fills'!M422)</f>
        <v/>
      </c>
      <c r="D422" t="str">
        <f>IF(A422="","",'ATP Fills'!B422)</f>
        <v/>
      </c>
      <c r="E422" s="3" t="str">
        <f>IF(A422="","",IF(DATE(LEFT(D422,4),MID(D422,5,2),RIGHT(D422,2))=Helper1!$P$1,Helper1!$P$1,""))</f>
        <v/>
      </c>
      <c r="F422" s="3" t="str">
        <f>IF(A422="","",'ATP Fills'!G422)</f>
        <v/>
      </c>
      <c r="G422" t="str">
        <f>IF(A422="","",'ATP Fills'!H422)</f>
        <v/>
      </c>
      <c r="H422" t="str">
        <f>IF(A422="","",VLOOKUP(G422,表3_3[],2,0))</f>
        <v/>
      </c>
      <c r="I422" t="str">
        <f>IF(A422="","",VLOOKUP(G422,表3_3[],3,0))</f>
        <v/>
      </c>
      <c r="J422" t="str">
        <f>IF(A422="","",IF('ATP Fills'!I422="3M","",VLOOKUP(RIGHT('ATP Fills'!I422,2),Helper1!$O$36:$P$48,2,0)))</f>
        <v/>
      </c>
      <c r="K422" t="str">
        <f>IF(J422="","",LEFT('ATP Fills'!I422,4))</f>
        <v/>
      </c>
      <c r="L422" t="str">
        <f>IF(A422="","",IF('ATP Fills'!G422="LME",'ATP Fills'!I422,""))</f>
        <v/>
      </c>
      <c r="M422" t="str">
        <f t="shared" si="6"/>
        <v/>
      </c>
    </row>
    <row r="423" spans="1:13">
      <c r="A423" t="str">
        <f>IF('ATP Fills'!A423="","",IF('ATP Fills'!Q423="PHILLIPSG",'ATP Fills'!F423,""))</f>
        <v/>
      </c>
      <c r="B423" t="str">
        <f>IF(A423="","",'ATP Fills'!L423)</f>
        <v/>
      </c>
      <c r="C423" t="str">
        <f>IF(A423="","",'ATP Fills'!M423)</f>
        <v/>
      </c>
      <c r="D423" t="str">
        <f>IF(A423="","",'ATP Fills'!B423)</f>
        <v/>
      </c>
      <c r="E423" s="3" t="str">
        <f>IF(A423="","",IF(DATE(LEFT(D423,4),MID(D423,5,2),RIGHT(D423,2))=Helper1!$P$1,Helper1!$P$1,""))</f>
        <v/>
      </c>
      <c r="F423" s="3" t="str">
        <f>IF(A423="","",'ATP Fills'!G423)</f>
        <v/>
      </c>
      <c r="G423" t="str">
        <f>IF(A423="","",'ATP Fills'!H423)</f>
        <v/>
      </c>
      <c r="H423" t="str">
        <f>IF(A423="","",VLOOKUP(G423,表3_3[],2,0))</f>
        <v/>
      </c>
      <c r="I423" t="str">
        <f>IF(A423="","",VLOOKUP(G423,表3_3[],3,0))</f>
        <v/>
      </c>
      <c r="J423" t="str">
        <f>IF(A423="","",IF('ATP Fills'!I423="3M","",VLOOKUP(RIGHT('ATP Fills'!I423,2),Helper1!$O$36:$P$48,2,0)))</f>
        <v/>
      </c>
      <c r="K423" t="str">
        <f>IF(J423="","",LEFT('ATP Fills'!I423,4))</f>
        <v/>
      </c>
      <c r="L423" t="str">
        <f>IF(A423="","",IF('ATP Fills'!G423="LME",'ATP Fills'!I423,""))</f>
        <v/>
      </c>
      <c r="M423" t="str">
        <f t="shared" si="6"/>
        <v/>
      </c>
    </row>
    <row r="424" spans="1:13">
      <c r="A424" t="str">
        <f>IF('ATP Fills'!A424="","",IF('ATP Fills'!Q424="PHILLIPSG",'ATP Fills'!F424,""))</f>
        <v/>
      </c>
      <c r="B424" t="str">
        <f>IF(A424="","",'ATP Fills'!L424)</f>
        <v/>
      </c>
      <c r="C424" t="str">
        <f>IF(A424="","",'ATP Fills'!M424)</f>
        <v/>
      </c>
      <c r="D424" t="str">
        <f>IF(A424="","",'ATP Fills'!B424)</f>
        <v/>
      </c>
      <c r="E424" s="3" t="str">
        <f>IF(A424="","",IF(DATE(LEFT(D424,4),MID(D424,5,2),RIGHT(D424,2))=Helper1!$P$1,Helper1!$P$1,""))</f>
        <v/>
      </c>
      <c r="F424" s="3" t="str">
        <f>IF(A424="","",'ATP Fills'!G424)</f>
        <v/>
      </c>
      <c r="G424" t="str">
        <f>IF(A424="","",'ATP Fills'!H424)</f>
        <v/>
      </c>
      <c r="H424" t="str">
        <f>IF(A424="","",VLOOKUP(G424,表3_3[],2,0))</f>
        <v/>
      </c>
      <c r="I424" t="str">
        <f>IF(A424="","",VLOOKUP(G424,表3_3[],3,0))</f>
        <v/>
      </c>
      <c r="J424" t="str">
        <f>IF(A424="","",IF('ATP Fills'!I424="3M","",VLOOKUP(RIGHT('ATP Fills'!I424,2),Helper1!$O$36:$P$48,2,0)))</f>
        <v/>
      </c>
      <c r="K424" t="str">
        <f>IF(J424="","",LEFT('ATP Fills'!I424,4))</f>
        <v/>
      </c>
      <c r="L424" t="str">
        <f>IF(A424="","",IF('ATP Fills'!G424="LME",'ATP Fills'!I424,""))</f>
        <v/>
      </c>
      <c r="M424" t="str">
        <f t="shared" si="6"/>
        <v/>
      </c>
    </row>
    <row r="425" spans="1:13">
      <c r="A425" t="str">
        <f>IF('ATP Fills'!A425="","",IF('ATP Fills'!Q425="PHILLIPSG",'ATP Fills'!F425,""))</f>
        <v/>
      </c>
      <c r="B425" t="str">
        <f>IF(A425="","",'ATP Fills'!L425)</f>
        <v/>
      </c>
      <c r="C425" t="str">
        <f>IF(A425="","",'ATP Fills'!M425)</f>
        <v/>
      </c>
      <c r="D425" t="str">
        <f>IF(A425="","",'ATP Fills'!B425)</f>
        <v/>
      </c>
      <c r="E425" s="3" t="str">
        <f>IF(A425="","",IF(DATE(LEFT(D425,4),MID(D425,5,2),RIGHT(D425,2))=Helper1!$P$1,Helper1!$P$1,""))</f>
        <v/>
      </c>
      <c r="F425" s="3" t="str">
        <f>IF(A425="","",'ATP Fills'!G425)</f>
        <v/>
      </c>
      <c r="G425" t="str">
        <f>IF(A425="","",'ATP Fills'!H425)</f>
        <v/>
      </c>
      <c r="H425" t="str">
        <f>IF(A425="","",VLOOKUP(G425,表3_3[],2,0))</f>
        <v/>
      </c>
      <c r="I425" t="str">
        <f>IF(A425="","",VLOOKUP(G425,表3_3[],3,0))</f>
        <v/>
      </c>
      <c r="J425" t="str">
        <f>IF(A425="","",IF('ATP Fills'!I425="3M","",VLOOKUP(RIGHT('ATP Fills'!I425,2),Helper1!$O$36:$P$48,2,0)))</f>
        <v/>
      </c>
      <c r="K425" t="str">
        <f>IF(J425="","",LEFT('ATP Fills'!I425,4))</f>
        <v/>
      </c>
      <c r="L425" t="str">
        <f>IF(A425="","",IF('ATP Fills'!G425="LME",'ATP Fills'!I425,""))</f>
        <v/>
      </c>
      <c r="M425" t="str">
        <f t="shared" si="6"/>
        <v/>
      </c>
    </row>
    <row r="426" spans="1:13">
      <c r="A426" t="str">
        <f>IF('ATP Fills'!A426="","",IF('ATP Fills'!Q426="PHILLIPSG",'ATP Fills'!F426,""))</f>
        <v/>
      </c>
      <c r="B426" t="str">
        <f>IF(A426="","",'ATP Fills'!L426)</f>
        <v/>
      </c>
      <c r="C426" t="str">
        <f>IF(A426="","",'ATP Fills'!M426)</f>
        <v/>
      </c>
      <c r="D426" t="str">
        <f>IF(A426="","",'ATP Fills'!B426)</f>
        <v/>
      </c>
      <c r="E426" s="3" t="str">
        <f>IF(A426="","",IF(DATE(LEFT(D426,4),MID(D426,5,2),RIGHT(D426,2))=Helper1!$P$1,Helper1!$P$1,""))</f>
        <v/>
      </c>
      <c r="F426" s="3" t="str">
        <f>IF(A426="","",'ATP Fills'!G426)</f>
        <v/>
      </c>
      <c r="G426" t="str">
        <f>IF(A426="","",'ATP Fills'!H426)</f>
        <v/>
      </c>
      <c r="H426" t="str">
        <f>IF(A426="","",VLOOKUP(G426,表3_3[],2,0))</f>
        <v/>
      </c>
      <c r="I426" t="str">
        <f>IF(A426="","",VLOOKUP(G426,表3_3[],3,0))</f>
        <v/>
      </c>
      <c r="J426" t="str">
        <f>IF(A426="","",IF('ATP Fills'!I426="3M","",VLOOKUP(RIGHT('ATP Fills'!I426,2),Helper1!$O$36:$P$48,2,0)))</f>
        <v/>
      </c>
      <c r="K426" t="str">
        <f>IF(J426="","",LEFT('ATP Fills'!I426,4))</f>
        <v/>
      </c>
      <c r="L426" t="str">
        <f>IF(A426="","",IF('ATP Fills'!G426="LME",'ATP Fills'!I426,""))</f>
        <v/>
      </c>
      <c r="M426" t="str">
        <f t="shared" si="6"/>
        <v/>
      </c>
    </row>
    <row r="427" spans="1:13">
      <c r="A427" t="str">
        <f>IF('ATP Fills'!A427="","",IF('ATP Fills'!Q427="PHILLIPSG",'ATP Fills'!F427,""))</f>
        <v/>
      </c>
      <c r="B427" t="str">
        <f>IF(A427="","",'ATP Fills'!L427)</f>
        <v/>
      </c>
      <c r="C427" t="str">
        <f>IF(A427="","",'ATP Fills'!M427)</f>
        <v/>
      </c>
      <c r="D427" t="str">
        <f>IF(A427="","",'ATP Fills'!B427)</f>
        <v/>
      </c>
      <c r="E427" s="3" t="str">
        <f>IF(A427="","",IF(DATE(LEFT(D427,4),MID(D427,5,2),RIGHT(D427,2))=Helper1!$P$1,Helper1!$P$1,""))</f>
        <v/>
      </c>
      <c r="F427" s="3" t="str">
        <f>IF(A427="","",'ATP Fills'!G427)</f>
        <v/>
      </c>
      <c r="G427" t="str">
        <f>IF(A427="","",'ATP Fills'!H427)</f>
        <v/>
      </c>
      <c r="H427" t="str">
        <f>IF(A427="","",VLOOKUP(G427,表3_3[],2,0))</f>
        <v/>
      </c>
      <c r="I427" t="str">
        <f>IF(A427="","",VLOOKUP(G427,表3_3[],3,0))</f>
        <v/>
      </c>
      <c r="J427" t="str">
        <f>IF(A427="","",IF('ATP Fills'!I427="3M","",VLOOKUP(RIGHT('ATP Fills'!I427,2),Helper1!$O$36:$P$48,2,0)))</f>
        <v/>
      </c>
      <c r="K427" t="str">
        <f>IF(J427="","",LEFT('ATP Fills'!I427,4))</f>
        <v/>
      </c>
      <c r="L427" t="str">
        <f>IF(A427="","",IF('ATP Fills'!G427="LME",'ATP Fills'!I427,""))</f>
        <v/>
      </c>
      <c r="M427" t="str">
        <f t="shared" si="6"/>
        <v/>
      </c>
    </row>
    <row r="428" spans="1:13">
      <c r="A428" t="str">
        <f>IF('ATP Fills'!A428="","",IF('ATP Fills'!Q428="PHILLIPSG",'ATP Fills'!F428,""))</f>
        <v/>
      </c>
      <c r="B428" t="str">
        <f>IF(A428="","",'ATP Fills'!L428)</f>
        <v/>
      </c>
      <c r="C428" t="str">
        <f>IF(A428="","",'ATP Fills'!M428)</f>
        <v/>
      </c>
      <c r="D428" t="str">
        <f>IF(A428="","",'ATP Fills'!B428)</f>
        <v/>
      </c>
      <c r="E428" s="3" t="str">
        <f>IF(A428="","",IF(DATE(LEFT(D428,4),MID(D428,5,2),RIGHT(D428,2))=Helper1!$P$1,Helper1!$P$1,""))</f>
        <v/>
      </c>
      <c r="F428" s="3" t="str">
        <f>IF(A428="","",'ATP Fills'!G428)</f>
        <v/>
      </c>
      <c r="G428" t="str">
        <f>IF(A428="","",'ATP Fills'!H428)</f>
        <v/>
      </c>
      <c r="H428" t="str">
        <f>IF(A428="","",VLOOKUP(G428,表3_3[],2,0))</f>
        <v/>
      </c>
      <c r="I428" t="str">
        <f>IF(A428="","",VLOOKUP(G428,表3_3[],3,0))</f>
        <v/>
      </c>
      <c r="J428" t="str">
        <f>IF(A428="","",IF('ATP Fills'!I428="3M","",VLOOKUP(RIGHT('ATP Fills'!I428,2),Helper1!$O$36:$P$48,2,0)))</f>
        <v/>
      </c>
      <c r="K428" t="str">
        <f>IF(J428="","",LEFT('ATP Fills'!I428,4))</f>
        <v/>
      </c>
      <c r="L428" t="str">
        <f>IF(A428="","",IF('ATP Fills'!G428="LME",'ATP Fills'!I428,""))</f>
        <v/>
      </c>
      <c r="M428" t="str">
        <f t="shared" si="6"/>
        <v/>
      </c>
    </row>
    <row r="429" spans="1:13">
      <c r="A429" t="str">
        <f>IF('ATP Fills'!A429="","",IF('ATP Fills'!Q429="PHILLIPSG",'ATP Fills'!F429,""))</f>
        <v/>
      </c>
      <c r="B429" t="str">
        <f>IF(A429="","",'ATP Fills'!L429)</f>
        <v/>
      </c>
      <c r="C429" t="str">
        <f>IF(A429="","",'ATP Fills'!M429)</f>
        <v/>
      </c>
      <c r="D429" t="str">
        <f>IF(A429="","",'ATP Fills'!B429)</f>
        <v/>
      </c>
      <c r="E429" s="3" t="str">
        <f>IF(A429="","",IF(DATE(LEFT(D429,4),MID(D429,5,2),RIGHT(D429,2))=Helper1!$P$1,Helper1!$P$1,""))</f>
        <v/>
      </c>
      <c r="F429" s="3" t="str">
        <f>IF(A429="","",'ATP Fills'!G429)</f>
        <v/>
      </c>
      <c r="G429" t="str">
        <f>IF(A429="","",'ATP Fills'!H429)</f>
        <v/>
      </c>
      <c r="H429" t="str">
        <f>IF(A429="","",VLOOKUP(G429,表3_3[],2,0))</f>
        <v/>
      </c>
      <c r="I429" t="str">
        <f>IF(A429="","",VLOOKUP(G429,表3_3[],3,0))</f>
        <v/>
      </c>
      <c r="J429" t="str">
        <f>IF(A429="","",IF('ATP Fills'!I429="3M","",VLOOKUP(RIGHT('ATP Fills'!I429,2),Helper1!$O$36:$P$48,2,0)))</f>
        <v/>
      </c>
      <c r="K429" t="str">
        <f>IF(J429="","",LEFT('ATP Fills'!I429,4))</f>
        <v/>
      </c>
      <c r="L429" t="str">
        <f>IF(A429="","",IF('ATP Fills'!G429="LME",'ATP Fills'!I429,""))</f>
        <v/>
      </c>
      <c r="M429" t="str">
        <f t="shared" si="6"/>
        <v/>
      </c>
    </row>
    <row r="430" spans="1:13">
      <c r="A430" t="str">
        <f>IF('ATP Fills'!A430="","",IF('ATP Fills'!Q430="PHILLIPSG",'ATP Fills'!F430,""))</f>
        <v/>
      </c>
      <c r="B430" t="str">
        <f>IF(A430="","",'ATP Fills'!L430)</f>
        <v/>
      </c>
      <c r="C430" t="str">
        <f>IF(A430="","",'ATP Fills'!M430)</f>
        <v/>
      </c>
      <c r="D430" t="str">
        <f>IF(A430="","",'ATP Fills'!B430)</f>
        <v/>
      </c>
      <c r="E430" s="3" t="str">
        <f>IF(A430="","",IF(DATE(LEFT(D430,4),MID(D430,5,2),RIGHT(D430,2))=Helper1!$P$1,Helper1!$P$1,""))</f>
        <v/>
      </c>
      <c r="F430" s="3" t="str">
        <f>IF(A430="","",'ATP Fills'!G430)</f>
        <v/>
      </c>
      <c r="G430" t="str">
        <f>IF(A430="","",'ATP Fills'!H430)</f>
        <v/>
      </c>
      <c r="H430" t="str">
        <f>IF(A430="","",VLOOKUP(G430,表3_3[],2,0))</f>
        <v/>
      </c>
      <c r="I430" t="str">
        <f>IF(A430="","",VLOOKUP(G430,表3_3[],3,0))</f>
        <v/>
      </c>
      <c r="J430" t="str">
        <f>IF(A430="","",IF('ATP Fills'!I430="3M","",VLOOKUP(RIGHT('ATP Fills'!I430,2),Helper1!$O$36:$P$48,2,0)))</f>
        <v/>
      </c>
      <c r="K430" t="str">
        <f>IF(J430="","",LEFT('ATP Fills'!I430,4))</f>
        <v/>
      </c>
      <c r="L430" t="str">
        <f>IF(A430="","",IF('ATP Fills'!G430="LME",'ATP Fills'!I430,""))</f>
        <v/>
      </c>
      <c r="M430" t="str">
        <f t="shared" si="6"/>
        <v/>
      </c>
    </row>
    <row r="431" spans="1:13">
      <c r="A431" t="str">
        <f>IF('ATP Fills'!A431="","",IF('ATP Fills'!Q431="PHILLIPSG",'ATP Fills'!F431,""))</f>
        <v/>
      </c>
      <c r="B431" t="str">
        <f>IF(A431="","",'ATP Fills'!L431)</f>
        <v/>
      </c>
      <c r="C431" t="str">
        <f>IF(A431="","",'ATP Fills'!M431)</f>
        <v/>
      </c>
      <c r="D431" t="str">
        <f>IF(A431="","",'ATP Fills'!B431)</f>
        <v/>
      </c>
      <c r="E431" s="3" t="str">
        <f>IF(A431="","",IF(DATE(LEFT(D431,4),MID(D431,5,2),RIGHT(D431,2))=Helper1!$P$1,Helper1!$P$1,""))</f>
        <v/>
      </c>
      <c r="F431" s="3" t="str">
        <f>IF(A431="","",'ATP Fills'!G431)</f>
        <v/>
      </c>
      <c r="G431" t="str">
        <f>IF(A431="","",'ATP Fills'!H431)</f>
        <v/>
      </c>
      <c r="H431" t="str">
        <f>IF(A431="","",VLOOKUP(G431,表3_3[],2,0))</f>
        <v/>
      </c>
      <c r="I431" t="str">
        <f>IF(A431="","",VLOOKUP(G431,表3_3[],3,0))</f>
        <v/>
      </c>
      <c r="J431" t="str">
        <f>IF(A431="","",IF('ATP Fills'!I431="3M","",VLOOKUP(RIGHT('ATP Fills'!I431,2),Helper1!$O$36:$P$48,2,0)))</f>
        <v/>
      </c>
      <c r="K431" t="str">
        <f>IF(J431="","",LEFT('ATP Fills'!I431,4))</f>
        <v/>
      </c>
      <c r="L431" t="str">
        <f>IF(A431="","",IF('ATP Fills'!G431="LME",'ATP Fills'!I431,""))</f>
        <v/>
      </c>
      <c r="M431" t="str">
        <f t="shared" si="6"/>
        <v/>
      </c>
    </row>
    <row r="432" spans="1:13">
      <c r="A432" t="str">
        <f>IF('ATP Fills'!A432="","",IF('ATP Fills'!Q432="PHILLIPSG",'ATP Fills'!F432,""))</f>
        <v/>
      </c>
      <c r="B432" t="str">
        <f>IF(A432="","",'ATP Fills'!L432)</f>
        <v/>
      </c>
      <c r="C432" t="str">
        <f>IF(A432="","",'ATP Fills'!M432)</f>
        <v/>
      </c>
      <c r="D432" t="str">
        <f>IF(A432="","",'ATP Fills'!B432)</f>
        <v/>
      </c>
      <c r="E432" s="3" t="str">
        <f>IF(A432="","",IF(DATE(LEFT(D432,4),MID(D432,5,2),RIGHT(D432,2))=Helper1!$P$1,Helper1!$P$1,""))</f>
        <v/>
      </c>
      <c r="F432" s="3" t="str">
        <f>IF(A432="","",'ATP Fills'!G432)</f>
        <v/>
      </c>
      <c r="G432" t="str">
        <f>IF(A432="","",'ATP Fills'!H432)</f>
        <v/>
      </c>
      <c r="H432" t="str">
        <f>IF(A432="","",VLOOKUP(G432,表3_3[],2,0))</f>
        <v/>
      </c>
      <c r="I432" t="str">
        <f>IF(A432="","",VLOOKUP(G432,表3_3[],3,0))</f>
        <v/>
      </c>
      <c r="J432" t="str">
        <f>IF(A432="","",IF('ATP Fills'!I432="3M","",VLOOKUP(RIGHT('ATP Fills'!I432,2),Helper1!$O$36:$P$48,2,0)))</f>
        <v/>
      </c>
      <c r="K432" t="str">
        <f>IF(J432="","",LEFT('ATP Fills'!I432,4))</f>
        <v/>
      </c>
      <c r="L432" t="str">
        <f>IF(A432="","",IF('ATP Fills'!G432="LME",'ATP Fills'!I432,""))</f>
        <v/>
      </c>
      <c r="M432" t="str">
        <f t="shared" si="6"/>
        <v/>
      </c>
    </row>
    <row r="433" spans="1:13">
      <c r="A433" t="str">
        <f>IF('ATP Fills'!A433="","",IF('ATP Fills'!Q433="PHILLIPSG",'ATP Fills'!F433,""))</f>
        <v/>
      </c>
      <c r="B433" t="str">
        <f>IF(A433="","",'ATP Fills'!L433)</f>
        <v/>
      </c>
      <c r="C433" t="str">
        <f>IF(A433="","",'ATP Fills'!M433)</f>
        <v/>
      </c>
      <c r="D433" t="str">
        <f>IF(A433="","",'ATP Fills'!B433)</f>
        <v/>
      </c>
      <c r="E433" s="3" t="str">
        <f>IF(A433="","",IF(DATE(LEFT(D433,4),MID(D433,5,2),RIGHT(D433,2))=Helper1!$P$1,Helper1!$P$1,""))</f>
        <v/>
      </c>
      <c r="F433" s="3" t="str">
        <f>IF(A433="","",'ATP Fills'!G433)</f>
        <v/>
      </c>
      <c r="G433" t="str">
        <f>IF(A433="","",'ATP Fills'!H433)</f>
        <v/>
      </c>
      <c r="H433" t="str">
        <f>IF(A433="","",VLOOKUP(G433,表3_3[],2,0))</f>
        <v/>
      </c>
      <c r="I433" t="str">
        <f>IF(A433="","",VLOOKUP(G433,表3_3[],3,0))</f>
        <v/>
      </c>
      <c r="J433" t="str">
        <f>IF(A433="","",IF('ATP Fills'!I433="3M","",VLOOKUP(RIGHT('ATP Fills'!I433,2),Helper1!$O$36:$P$48,2,0)))</f>
        <v/>
      </c>
      <c r="K433" t="str">
        <f>IF(J433="","",LEFT('ATP Fills'!I433,4))</f>
        <v/>
      </c>
      <c r="L433" t="str">
        <f>IF(A433="","",IF('ATP Fills'!G433="LME",'ATP Fills'!I433,""))</f>
        <v/>
      </c>
      <c r="M433" t="str">
        <f t="shared" si="6"/>
        <v/>
      </c>
    </row>
    <row r="434" spans="1:13">
      <c r="A434" t="str">
        <f>IF('ATP Fills'!A434="","",IF('ATP Fills'!Q434="PHILLIPSG",'ATP Fills'!F434,""))</f>
        <v/>
      </c>
      <c r="B434" t="str">
        <f>IF(A434="","",'ATP Fills'!L434)</f>
        <v/>
      </c>
      <c r="C434" t="str">
        <f>IF(A434="","",'ATP Fills'!M434)</f>
        <v/>
      </c>
      <c r="D434" t="str">
        <f>IF(A434="","",'ATP Fills'!B434)</f>
        <v/>
      </c>
      <c r="E434" s="3" t="str">
        <f>IF(A434="","",IF(DATE(LEFT(D434,4),MID(D434,5,2),RIGHT(D434,2))=Helper1!$P$1,Helper1!$P$1,""))</f>
        <v/>
      </c>
      <c r="F434" s="3" t="str">
        <f>IF(A434="","",'ATP Fills'!G434)</f>
        <v/>
      </c>
      <c r="G434" t="str">
        <f>IF(A434="","",'ATP Fills'!H434)</f>
        <v/>
      </c>
      <c r="H434" t="str">
        <f>IF(A434="","",VLOOKUP(G434,表3_3[],2,0))</f>
        <v/>
      </c>
      <c r="I434" t="str">
        <f>IF(A434="","",VLOOKUP(G434,表3_3[],3,0))</f>
        <v/>
      </c>
      <c r="J434" t="str">
        <f>IF(A434="","",IF('ATP Fills'!I434="3M","",VLOOKUP(RIGHT('ATP Fills'!I434,2),Helper1!$O$36:$P$48,2,0)))</f>
        <v/>
      </c>
      <c r="K434" t="str">
        <f>IF(J434="","",LEFT('ATP Fills'!I434,4))</f>
        <v/>
      </c>
      <c r="L434" t="str">
        <f>IF(A434="","",IF('ATP Fills'!G434="LME",'ATP Fills'!I434,""))</f>
        <v/>
      </c>
      <c r="M434" t="str">
        <f t="shared" si="6"/>
        <v/>
      </c>
    </row>
    <row r="435" spans="1:13">
      <c r="A435" t="str">
        <f>IF('ATP Fills'!A435="","",IF('ATP Fills'!Q435="PHILLIPSG",'ATP Fills'!F435,""))</f>
        <v/>
      </c>
      <c r="B435" t="str">
        <f>IF(A435="","",'ATP Fills'!L435)</f>
        <v/>
      </c>
      <c r="C435" t="str">
        <f>IF(A435="","",'ATP Fills'!M435)</f>
        <v/>
      </c>
      <c r="D435" t="str">
        <f>IF(A435="","",'ATP Fills'!B435)</f>
        <v/>
      </c>
      <c r="E435" s="3" t="str">
        <f>IF(A435="","",IF(DATE(LEFT(D435,4),MID(D435,5,2),RIGHT(D435,2))=Helper1!$P$1,Helper1!$P$1,""))</f>
        <v/>
      </c>
      <c r="F435" s="3" t="str">
        <f>IF(A435="","",'ATP Fills'!G435)</f>
        <v/>
      </c>
      <c r="G435" t="str">
        <f>IF(A435="","",'ATP Fills'!H435)</f>
        <v/>
      </c>
      <c r="H435" t="str">
        <f>IF(A435="","",VLOOKUP(G435,表3_3[],2,0))</f>
        <v/>
      </c>
      <c r="I435" t="str">
        <f>IF(A435="","",VLOOKUP(G435,表3_3[],3,0))</f>
        <v/>
      </c>
      <c r="J435" t="str">
        <f>IF(A435="","",IF('ATP Fills'!I435="3M","",VLOOKUP(RIGHT('ATP Fills'!I435,2),Helper1!$O$36:$P$48,2,0)))</f>
        <v/>
      </c>
      <c r="K435" t="str">
        <f>IF(J435="","",LEFT('ATP Fills'!I435,4))</f>
        <v/>
      </c>
      <c r="L435" t="str">
        <f>IF(A435="","",IF('ATP Fills'!G435="LME",'ATP Fills'!I435,""))</f>
        <v/>
      </c>
      <c r="M435" t="str">
        <f t="shared" si="6"/>
        <v/>
      </c>
    </row>
    <row r="436" spans="1:13">
      <c r="A436" t="str">
        <f>IF('ATP Fills'!A436="","",IF('ATP Fills'!Q436="PHILLIPSG",'ATP Fills'!F436,""))</f>
        <v/>
      </c>
      <c r="B436" t="str">
        <f>IF(A436="","",'ATP Fills'!L436)</f>
        <v/>
      </c>
      <c r="C436" t="str">
        <f>IF(A436="","",'ATP Fills'!M436)</f>
        <v/>
      </c>
      <c r="D436" t="str">
        <f>IF(A436="","",'ATP Fills'!B436)</f>
        <v/>
      </c>
      <c r="E436" s="3" t="str">
        <f>IF(A436="","",IF(DATE(LEFT(D436,4),MID(D436,5,2),RIGHT(D436,2))=Helper1!$P$1,Helper1!$P$1,""))</f>
        <v/>
      </c>
      <c r="F436" s="3" t="str">
        <f>IF(A436="","",'ATP Fills'!G436)</f>
        <v/>
      </c>
      <c r="G436" t="str">
        <f>IF(A436="","",'ATP Fills'!H436)</f>
        <v/>
      </c>
      <c r="H436" t="str">
        <f>IF(A436="","",VLOOKUP(G436,表3_3[],2,0))</f>
        <v/>
      </c>
      <c r="I436" t="str">
        <f>IF(A436="","",VLOOKUP(G436,表3_3[],3,0))</f>
        <v/>
      </c>
      <c r="J436" t="str">
        <f>IF(A436="","",IF('ATP Fills'!I436="3M","",VLOOKUP(RIGHT('ATP Fills'!I436,2),Helper1!$O$36:$P$48,2,0)))</f>
        <v/>
      </c>
      <c r="K436" t="str">
        <f>IF(J436="","",LEFT('ATP Fills'!I436,4))</f>
        <v/>
      </c>
      <c r="L436" t="str">
        <f>IF(A436="","",IF('ATP Fills'!G436="LME",'ATP Fills'!I436,""))</f>
        <v/>
      </c>
      <c r="M436" t="str">
        <f t="shared" si="6"/>
        <v/>
      </c>
    </row>
    <row r="437" spans="1:13">
      <c r="A437" t="str">
        <f>IF('ATP Fills'!A437="","",IF('ATP Fills'!Q437="PHILLIPSG",'ATP Fills'!F437,""))</f>
        <v/>
      </c>
      <c r="B437" t="str">
        <f>IF(A437="","",'ATP Fills'!L437)</f>
        <v/>
      </c>
      <c r="C437" t="str">
        <f>IF(A437="","",'ATP Fills'!M437)</f>
        <v/>
      </c>
      <c r="D437" t="str">
        <f>IF(A437="","",'ATP Fills'!B437)</f>
        <v/>
      </c>
      <c r="E437" s="3" t="str">
        <f>IF(A437="","",IF(DATE(LEFT(D437,4),MID(D437,5,2),RIGHT(D437,2))=Helper1!$P$1,Helper1!$P$1,""))</f>
        <v/>
      </c>
      <c r="F437" s="3" t="str">
        <f>IF(A437="","",'ATP Fills'!G437)</f>
        <v/>
      </c>
      <c r="G437" t="str">
        <f>IF(A437="","",'ATP Fills'!H437)</f>
        <v/>
      </c>
      <c r="H437" t="str">
        <f>IF(A437="","",VLOOKUP(G437,表3_3[],2,0))</f>
        <v/>
      </c>
      <c r="I437" t="str">
        <f>IF(A437="","",VLOOKUP(G437,表3_3[],3,0))</f>
        <v/>
      </c>
      <c r="J437" t="str">
        <f>IF(A437="","",IF('ATP Fills'!I437="3M","",VLOOKUP(RIGHT('ATP Fills'!I437,2),Helper1!$O$36:$P$48,2,0)))</f>
        <v/>
      </c>
      <c r="K437" t="str">
        <f>IF(J437="","",LEFT('ATP Fills'!I437,4))</f>
        <v/>
      </c>
      <c r="L437" t="str">
        <f>IF(A437="","",IF('ATP Fills'!G437="LME",'ATP Fills'!I437,""))</f>
        <v/>
      </c>
      <c r="M437" t="str">
        <f t="shared" si="6"/>
        <v/>
      </c>
    </row>
    <row r="438" spans="1:13">
      <c r="A438" t="str">
        <f>IF('ATP Fills'!A438="","",IF('ATP Fills'!Q438="PHILLIPSG",'ATP Fills'!F438,""))</f>
        <v/>
      </c>
      <c r="B438" t="str">
        <f>IF(A438="","",'ATP Fills'!L438)</f>
        <v/>
      </c>
      <c r="C438" t="str">
        <f>IF(A438="","",'ATP Fills'!M438)</f>
        <v/>
      </c>
      <c r="D438" t="str">
        <f>IF(A438="","",'ATP Fills'!B438)</f>
        <v/>
      </c>
      <c r="E438" s="3" t="str">
        <f>IF(A438="","",IF(DATE(LEFT(D438,4),MID(D438,5,2),RIGHT(D438,2))=Helper1!$P$1,Helper1!$P$1,""))</f>
        <v/>
      </c>
      <c r="F438" s="3" t="str">
        <f>IF(A438="","",'ATP Fills'!G438)</f>
        <v/>
      </c>
      <c r="G438" t="str">
        <f>IF(A438="","",'ATP Fills'!H438)</f>
        <v/>
      </c>
      <c r="H438" t="str">
        <f>IF(A438="","",VLOOKUP(G438,表3_3[],2,0))</f>
        <v/>
      </c>
      <c r="I438" t="str">
        <f>IF(A438="","",VLOOKUP(G438,表3_3[],3,0))</f>
        <v/>
      </c>
      <c r="J438" t="str">
        <f>IF(A438="","",IF('ATP Fills'!I438="3M","",VLOOKUP(RIGHT('ATP Fills'!I438,2),Helper1!$O$36:$P$48,2,0)))</f>
        <v/>
      </c>
      <c r="K438" t="str">
        <f>IF(J438="","",LEFT('ATP Fills'!I438,4))</f>
        <v/>
      </c>
      <c r="L438" t="str">
        <f>IF(A438="","",IF('ATP Fills'!G438="LME",'ATP Fills'!I438,""))</f>
        <v/>
      </c>
      <c r="M438" t="str">
        <f t="shared" si="6"/>
        <v/>
      </c>
    </row>
    <row r="439" spans="1:13">
      <c r="A439" t="str">
        <f>IF('ATP Fills'!A439="","",IF('ATP Fills'!Q439="PHILLIPSG",'ATP Fills'!F439,""))</f>
        <v/>
      </c>
      <c r="B439" t="str">
        <f>IF(A439="","",'ATP Fills'!L439)</f>
        <v/>
      </c>
      <c r="C439" t="str">
        <f>IF(A439="","",'ATP Fills'!M439)</f>
        <v/>
      </c>
      <c r="D439" t="str">
        <f>IF(A439="","",'ATP Fills'!B439)</f>
        <v/>
      </c>
      <c r="E439" s="3" t="str">
        <f>IF(A439="","",IF(DATE(LEFT(D439,4),MID(D439,5,2),RIGHT(D439,2))=Helper1!$P$1,Helper1!$P$1,""))</f>
        <v/>
      </c>
      <c r="F439" s="3" t="str">
        <f>IF(A439="","",'ATP Fills'!G439)</f>
        <v/>
      </c>
      <c r="G439" t="str">
        <f>IF(A439="","",'ATP Fills'!H439)</f>
        <v/>
      </c>
      <c r="H439" t="str">
        <f>IF(A439="","",VLOOKUP(G439,表3_3[],2,0))</f>
        <v/>
      </c>
      <c r="I439" t="str">
        <f>IF(A439="","",VLOOKUP(G439,表3_3[],3,0))</f>
        <v/>
      </c>
      <c r="J439" t="str">
        <f>IF(A439="","",IF('ATP Fills'!I439="3M","",VLOOKUP(RIGHT('ATP Fills'!I439,2),Helper1!$O$36:$P$48,2,0)))</f>
        <v/>
      </c>
      <c r="K439" t="str">
        <f>IF(J439="","",LEFT('ATP Fills'!I439,4))</f>
        <v/>
      </c>
      <c r="L439" t="str">
        <f>IF(A439="","",IF('ATP Fills'!G439="LME",'ATP Fills'!I439,""))</f>
        <v/>
      </c>
      <c r="M439" t="str">
        <f t="shared" si="6"/>
        <v/>
      </c>
    </row>
    <row r="440" spans="1:13">
      <c r="A440" t="str">
        <f>IF('ATP Fills'!A440="","",IF('ATP Fills'!Q440="PHILLIPSG",'ATP Fills'!F440,""))</f>
        <v/>
      </c>
      <c r="B440" t="str">
        <f>IF(A440="","",'ATP Fills'!L440)</f>
        <v/>
      </c>
      <c r="C440" t="str">
        <f>IF(A440="","",'ATP Fills'!M440)</f>
        <v/>
      </c>
      <c r="D440" t="str">
        <f>IF(A440="","",'ATP Fills'!B440)</f>
        <v/>
      </c>
      <c r="E440" s="3" t="str">
        <f>IF(A440="","",IF(DATE(LEFT(D440,4),MID(D440,5,2),RIGHT(D440,2))=Helper1!$P$1,Helper1!$P$1,""))</f>
        <v/>
      </c>
      <c r="F440" s="3" t="str">
        <f>IF(A440="","",'ATP Fills'!G440)</f>
        <v/>
      </c>
      <c r="G440" t="str">
        <f>IF(A440="","",'ATP Fills'!H440)</f>
        <v/>
      </c>
      <c r="H440" t="str">
        <f>IF(A440="","",VLOOKUP(G440,表3_3[],2,0))</f>
        <v/>
      </c>
      <c r="I440" t="str">
        <f>IF(A440="","",VLOOKUP(G440,表3_3[],3,0))</f>
        <v/>
      </c>
      <c r="J440" t="str">
        <f>IF(A440="","",IF('ATP Fills'!I440="3M","",VLOOKUP(RIGHT('ATP Fills'!I440,2),Helper1!$O$36:$P$48,2,0)))</f>
        <v/>
      </c>
      <c r="K440" t="str">
        <f>IF(J440="","",LEFT('ATP Fills'!I440,4))</f>
        <v/>
      </c>
      <c r="L440" t="str">
        <f>IF(A440="","",IF('ATP Fills'!G440="LME",'ATP Fills'!I440,""))</f>
        <v/>
      </c>
      <c r="M440" t="str">
        <f t="shared" si="6"/>
        <v/>
      </c>
    </row>
    <row r="441" spans="1:13">
      <c r="A441" t="str">
        <f>IF('ATP Fills'!A441="","",IF('ATP Fills'!Q441="PHILLIPSG",'ATP Fills'!F441,""))</f>
        <v/>
      </c>
      <c r="B441" t="str">
        <f>IF(A441="","",'ATP Fills'!L441)</f>
        <v/>
      </c>
      <c r="C441" t="str">
        <f>IF(A441="","",'ATP Fills'!M441)</f>
        <v/>
      </c>
      <c r="D441" t="str">
        <f>IF(A441="","",'ATP Fills'!B441)</f>
        <v/>
      </c>
      <c r="E441" s="3" t="str">
        <f>IF(A441="","",IF(DATE(LEFT(D441,4),MID(D441,5,2),RIGHT(D441,2))=Helper1!$P$1,Helper1!$P$1,""))</f>
        <v/>
      </c>
      <c r="F441" s="3" t="str">
        <f>IF(A441="","",'ATP Fills'!G441)</f>
        <v/>
      </c>
      <c r="G441" t="str">
        <f>IF(A441="","",'ATP Fills'!H441)</f>
        <v/>
      </c>
      <c r="H441" t="str">
        <f>IF(A441="","",VLOOKUP(G441,表3_3[],2,0))</f>
        <v/>
      </c>
      <c r="I441" t="str">
        <f>IF(A441="","",VLOOKUP(G441,表3_3[],3,0))</f>
        <v/>
      </c>
      <c r="J441" t="str">
        <f>IF(A441="","",IF('ATP Fills'!I441="3M","",VLOOKUP(RIGHT('ATP Fills'!I441,2),Helper1!$O$36:$P$48,2,0)))</f>
        <v/>
      </c>
      <c r="K441" t="str">
        <f>IF(J441="","",LEFT('ATP Fills'!I441,4))</f>
        <v/>
      </c>
      <c r="L441" t="str">
        <f>IF(A441="","",IF('ATP Fills'!G441="LME",'ATP Fills'!I441,""))</f>
        <v/>
      </c>
      <c r="M441" t="str">
        <f t="shared" si="6"/>
        <v/>
      </c>
    </row>
    <row r="442" spans="1:13">
      <c r="A442" t="str">
        <f>IF('ATP Fills'!A442="","",IF('ATP Fills'!Q442="PHILLIPSG",'ATP Fills'!F442,""))</f>
        <v/>
      </c>
      <c r="B442" t="str">
        <f>IF(A442="","",'ATP Fills'!L442)</f>
        <v/>
      </c>
      <c r="C442" t="str">
        <f>IF(A442="","",'ATP Fills'!M442)</f>
        <v/>
      </c>
      <c r="D442" t="str">
        <f>IF(A442="","",'ATP Fills'!B442)</f>
        <v/>
      </c>
      <c r="E442" s="3" t="str">
        <f>IF(A442="","",IF(DATE(LEFT(D442,4),MID(D442,5,2),RIGHT(D442,2))=Helper1!$P$1,Helper1!$P$1,""))</f>
        <v/>
      </c>
      <c r="F442" s="3" t="str">
        <f>IF(A442="","",'ATP Fills'!G442)</f>
        <v/>
      </c>
      <c r="G442" t="str">
        <f>IF(A442="","",'ATP Fills'!H442)</f>
        <v/>
      </c>
      <c r="H442" t="str">
        <f>IF(A442="","",VLOOKUP(G442,表3_3[],2,0))</f>
        <v/>
      </c>
      <c r="I442" t="str">
        <f>IF(A442="","",VLOOKUP(G442,表3_3[],3,0))</f>
        <v/>
      </c>
      <c r="J442" t="str">
        <f>IF(A442="","",IF('ATP Fills'!I442="3M","",VLOOKUP(RIGHT('ATP Fills'!I442,2),Helper1!$O$36:$P$48,2,0)))</f>
        <v/>
      </c>
      <c r="K442" t="str">
        <f>IF(J442="","",LEFT('ATP Fills'!I442,4))</f>
        <v/>
      </c>
      <c r="L442" t="str">
        <f>IF(A442="","",IF('ATP Fills'!G442="LME",'ATP Fills'!I442,""))</f>
        <v/>
      </c>
      <c r="M442" t="str">
        <f t="shared" si="6"/>
        <v/>
      </c>
    </row>
    <row r="443" spans="1:13">
      <c r="A443" t="str">
        <f>IF('ATP Fills'!A443="","",IF('ATP Fills'!Q443="PHILLIPSG",'ATP Fills'!F443,""))</f>
        <v/>
      </c>
      <c r="B443" t="str">
        <f>IF(A443="","",'ATP Fills'!L443)</f>
        <v/>
      </c>
      <c r="C443" t="str">
        <f>IF(A443="","",'ATP Fills'!M443)</f>
        <v/>
      </c>
      <c r="D443" t="str">
        <f>IF(A443="","",'ATP Fills'!B443)</f>
        <v/>
      </c>
      <c r="E443" s="3" t="str">
        <f>IF(A443="","",IF(DATE(LEFT(D443,4),MID(D443,5,2),RIGHT(D443,2))=Helper1!$P$1,Helper1!$P$1,""))</f>
        <v/>
      </c>
      <c r="F443" s="3" t="str">
        <f>IF(A443="","",'ATP Fills'!G443)</f>
        <v/>
      </c>
      <c r="G443" t="str">
        <f>IF(A443="","",'ATP Fills'!H443)</f>
        <v/>
      </c>
      <c r="H443" t="str">
        <f>IF(A443="","",VLOOKUP(G443,表3_3[],2,0))</f>
        <v/>
      </c>
      <c r="I443" t="str">
        <f>IF(A443="","",VLOOKUP(G443,表3_3[],3,0))</f>
        <v/>
      </c>
      <c r="J443" t="str">
        <f>IF(A443="","",IF('ATP Fills'!I443="3M","",VLOOKUP(RIGHT('ATP Fills'!I443,2),Helper1!$O$36:$P$48,2,0)))</f>
        <v/>
      </c>
      <c r="K443" t="str">
        <f>IF(J443="","",LEFT('ATP Fills'!I443,4))</f>
        <v/>
      </c>
      <c r="L443" t="str">
        <f>IF(A443="","",IF('ATP Fills'!G443="LME",'ATP Fills'!I443,""))</f>
        <v/>
      </c>
      <c r="M443" t="str">
        <f t="shared" si="6"/>
        <v/>
      </c>
    </row>
    <row r="444" spans="1:13">
      <c r="A444" t="str">
        <f>IF('ATP Fills'!A444="","",IF('ATP Fills'!Q444="PHILLIPSG",'ATP Fills'!F444,""))</f>
        <v/>
      </c>
      <c r="B444" t="str">
        <f>IF(A444="","",'ATP Fills'!L444)</f>
        <v/>
      </c>
      <c r="C444" t="str">
        <f>IF(A444="","",'ATP Fills'!M444)</f>
        <v/>
      </c>
      <c r="D444" t="str">
        <f>IF(A444="","",'ATP Fills'!B444)</f>
        <v/>
      </c>
      <c r="E444" s="3" t="str">
        <f>IF(A444="","",IF(DATE(LEFT(D444,4),MID(D444,5,2),RIGHT(D444,2))=Helper1!$P$1,Helper1!$P$1,""))</f>
        <v/>
      </c>
      <c r="F444" s="3" t="str">
        <f>IF(A444="","",'ATP Fills'!G444)</f>
        <v/>
      </c>
      <c r="G444" t="str">
        <f>IF(A444="","",'ATP Fills'!H444)</f>
        <v/>
      </c>
      <c r="H444" t="str">
        <f>IF(A444="","",VLOOKUP(G444,表3_3[],2,0))</f>
        <v/>
      </c>
      <c r="I444" t="str">
        <f>IF(A444="","",VLOOKUP(G444,表3_3[],3,0))</f>
        <v/>
      </c>
      <c r="J444" t="str">
        <f>IF(A444="","",IF('ATP Fills'!I444="3M","",VLOOKUP(RIGHT('ATP Fills'!I444,2),Helper1!$O$36:$P$48,2,0)))</f>
        <v/>
      </c>
      <c r="K444" t="str">
        <f>IF(J444="","",LEFT('ATP Fills'!I444,4))</f>
        <v/>
      </c>
      <c r="L444" t="str">
        <f>IF(A444="","",IF('ATP Fills'!G444="LME",'ATP Fills'!I444,""))</f>
        <v/>
      </c>
      <c r="M444" t="str">
        <f t="shared" si="6"/>
        <v/>
      </c>
    </row>
    <row r="445" spans="1:13">
      <c r="A445" t="str">
        <f>IF('ATP Fills'!A445="","",IF('ATP Fills'!Q445="PHILLIPSG",'ATP Fills'!F445,""))</f>
        <v/>
      </c>
      <c r="B445" t="str">
        <f>IF(A445="","",'ATP Fills'!L445)</f>
        <v/>
      </c>
      <c r="C445" t="str">
        <f>IF(A445="","",'ATP Fills'!M445)</f>
        <v/>
      </c>
      <c r="D445" t="str">
        <f>IF(A445="","",'ATP Fills'!B445)</f>
        <v/>
      </c>
      <c r="E445" s="3" t="str">
        <f>IF(A445="","",IF(DATE(LEFT(D445,4),MID(D445,5,2),RIGHT(D445,2))=Helper1!$P$1,Helper1!$P$1,""))</f>
        <v/>
      </c>
      <c r="F445" s="3" t="str">
        <f>IF(A445="","",'ATP Fills'!G445)</f>
        <v/>
      </c>
      <c r="G445" t="str">
        <f>IF(A445="","",'ATP Fills'!H445)</f>
        <v/>
      </c>
      <c r="H445" t="str">
        <f>IF(A445="","",VLOOKUP(G445,表3_3[],2,0))</f>
        <v/>
      </c>
      <c r="I445" t="str">
        <f>IF(A445="","",VLOOKUP(G445,表3_3[],3,0))</f>
        <v/>
      </c>
      <c r="J445" t="str">
        <f>IF(A445="","",IF('ATP Fills'!I445="3M","",VLOOKUP(RIGHT('ATP Fills'!I445,2),Helper1!$O$36:$P$48,2,0)))</f>
        <v/>
      </c>
      <c r="K445" t="str">
        <f>IF(J445="","",LEFT('ATP Fills'!I445,4))</f>
        <v/>
      </c>
      <c r="L445" t="str">
        <f>IF(A445="","",IF('ATP Fills'!G445="LME",'ATP Fills'!I445,""))</f>
        <v/>
      </c>
      <c r="M445" t="str">
        <f t="shared" si="6"/>
        <v/>
      </c>
    </row>
    <row r="446" spans="1:13">
      <c r="A446" t="str">
        <f>IF('ATP Fills'!A446="","",IF('ATP Fills'!Q446="PHILLIPSG",'ATP Fills'!F446,""))</f>
        <v/>
      </c>
      <c r="B446" t="str">
        <f>IF(A446="","",'ATP Fills'!L446)</f>
        <v/>
      </c>
      <c r="C446" t="str">
        <f>IF(A446="","",'ATP Fills'!M446)</f>
        <v/>
      </c>
      <c r="D446" t="str">
        <f>IF(A446="","",'ATP Fills'!B446)</f>
        <v/>
      </c>
      <c r="E446" s="3" t="str">
        <f>IF(A446="","",IF(DATE(LEFT(D446,4),MID(D446,5,2),RIGHT(D446,2))=Helper1!$P$1,Helper1!$P$1,""))</f>
        <v/>
      </c>
      <c r="F446" s="3" t="str">
        <f>IF(A446="","",'ATP Fills'!G446)</f>
        <v/>
      </c>
      <c r="G446" t="str">
        <f>IF(A446="","",'ATP Fills'!H446)</f>
        <v/>
      </c>
      <c r="H446" t="str">
        <f>IF(A446="","",VLOOKUP(G446,表3_3[],2,0))</f>
        <v/>
      </c>
      <c r="I446" t="str">
        <f>IF(A446="","",VLOOKUP(G446,表3_3[],3,0))</f>
        <v/>
      </c>
      <c r="J446" t="str">
        <f>IF(A446="","",IF('ATP Fills'!I446="3M","",VLOOKUP(RIGHT('ATP Fills'!I446,2),Helper1!$O$36:$P$48,2,0)))</f>
        <v/>
      </c>
      <c r="K446" t="str">
        <f>IF(J446="","",LEFT('ATP Fills'!I446,4))</f>
        <v/>
      </c>
      <c r="L446" t="str">
        <f>IF(A446="","",IF('ATP Fills'!G446="LME",'ATP Fills'!I446,""))</f>
        <v/>
      </c>
      <c r="M446" t="str">
        <f t="shared" si="6"/>
        <v/>
      </c>
    </row>
    <row r="447" spans="1:13">
      <c r="A447" t="str">
        <f>IF('ATP Fills'!A447="","",IF('ATP Fills'!Q447="PHILLIPSG",'ATP Fills'!F447,""))</f>
        <v/>
      </c>
      <c r="B447" t="str">
        <f>IF(A447="","",'ATP Fills'!L447)</f>
        <v/>
      </c>
      <c r="C447" t="str">
        <f>IF(A447="","",'ATP Fills'!M447)</f>
        <v/>
      </c>
      <c r="D447" t="str">
        <f>IF(A447="","",'ATP Fills'!B447)</f>
        <v/>
      </c>
      <c r="E447" s="3" t="str">
        <f>IF(A447="","",IF(DATE(LEFT(D447,4),MID(D447,5,2),RIGHT(D447,2))=Helper1!$P$1,Helper1!$P$1,""))</f>
        <v/>
      </c>
      <c r="F447" s="3" t="str">
        <f>IF(A447="","",'ATP Fills'!G447)</f>
        <v/>
      </c>
      <c r="G447" t="str">
        <f>IF(A447="","",'ATP Fills'!H447)</f>
        <v/>
      </c>
      <c r="H447" t="str">
        <f>IF(A447="","",VLOOKUP(G447,表3_3[],2,0))</f>
        <v/>
      </c>
      <c r="I447" t="str">
        <f>IF(A447="","",VLOOKUP(G447,表3_3[],3,0))</f>
        <v/>
      </c>
      <c r="J447" t="str">
        <f>IF(A447="","",IF('ATP Fills'!I447="3M","",VLOOKUP(RIGHT('ATP Fills'!I447,2),Helper1!$O$36:$P$48,2,0)))</f>
        <v/>
      </c>
      <c r="K447" t="str">
        <f>IF(J447="","",LEFT('ATP Fills'!I447,4))</f>
        <v/>
      </c>
      <c r="L447" t="str">
        <f>IF(A447="","",IF('ATP Fills'!G447="LME",'ATP Fills'!I447,""))</f>
        <v/>
      </c>
      <c r="M447" t="str">
        <f t="shared" si="6"/>
        <v/>
      </c>
    </row>
    <row r="448" spans="1:13">
      <c r="A448" t="str">
        <f>IF('ATP Fills'!A448="","",IF('ATP Fills'!Q448="PHILLIPSG",'ATP Fills'!F448,""))</f>
        <v/>
      </c>
      <c r="B448" t="str">
        <f>IF(A448="","",'ATP Fills'!L448)</f>
        <v/>
      </c>
      <c r="C448" t="str">
        <f>IF(A448="","",'ATP Fills'!M448)</f>
        <v/>
      </c>
      <c r="D448" t="str">
        <f>IF(A448="","",'ATP Fills'!B448)</f>
        <v/>
      </c>
      <c r="E448" s="3" t="str">
        <f>IF(A448="","",IF(DATE(LEFT(D448,4),MID(D448,5,2),RIGHT(D448,2))=Helper1!$P$1,Helper1!$P$1,""))</f>
        <v/>
      </c>
      <c r="F448" s="3" t="str">
        <f>IF(A448="","",'ATP Fills'!G448)</f>
        <v/>
      </c>
      <c r="G448" t="str">
        <f>IF(A448="","",'ATP Fills'!H448)</f>
        <v/>
      </c>
      <c r="H448" t="str">
        <f>IF(A448="","",VLOOKUP(G448,表3_3[],2,0))</f>
        <v/>
      </c>
      <c r="I448" t="str">
        <f>IF(A448="","",VLOOKUP(G448,表3_3[],3,0))</f>
        <v/>
      </c>
      <c r="J448" t="str">
        <f>IF(A448="","",IF('ATP Fills'!I448="3M","",VLOOKUP(RIGHT('ATP Fills'!I448,2),Helper1!$O$36:$P$48,2,0)))</f>
        <v/>
      </c>
      <c r="K448" t="str">
        <f>IF(J448="","",LEFT('ATP Fills'!I448,4))</f>
        <v/>
      </c>
      <c r="L448" t="str">
        <f>IF(A448="","",IF('ATP Fills'!G448="LME",'ATP Fills'!I448,""))</f>
        <v/>
      </c>
      <c r="M448" t="str">
        <f t="shared" si="6"/>
        <v/>
      </c>
    </row>
    <row r="449" spans="1:13">
      <c r="A449" t="str">
        <f>IF('ATP Fills'!A449="","",IF('ATP Fills'!Q449="PHILLIPSG",'ATP Fills'!F449,""))</f>
        <v/>
      </c>
      <c r="B449" t="str">
        <f>IF(A449="","",'ATP Fills'!L449)</f>
        <v/>
      </c>
      <c r="C449" t="str">
        <f>IF(A449="","",'ATP Fills'!M449)</f>
        <v/>
      </c>
      <c r="D449" t="str">
        <f>IF(A449="","",'ATP Fills'!B449)</f>
        <v/>
      </c>
      <c r="E449" s="3" t="str">
        <f>IF(A449="","",IF(DATE(LEFT(D449,4),MID(D449,5,2),RIGHT(D449,2))=Helper1!$P$1,Helper1!$P$1,""))</f>
        <v/>
      </c>
      <c r="F449" s="3" t="str">
        <f>IF(A449="","",'ATP Fills'!G449)</f>
        <v/>
      </c>
      <c r="G449" t="str">
        <f>IF(A449="","",'ATP Fills'!H449)</f>
        <v/>
      </c>
      <c r="H449" t="str">
        <f>IF(A449="","",VLOOKUP(G449,表3_3[],2,0))</f>
        <v/>
      </c>
      <c r="I449" t="str">
        <f>IF(A449="","",VLOOKUP(G449,表3_3[],3,0))</f>
        <v/>
      </c>
      <c r="J449" t="str">
        <f>IF(A449="","",IF('ATP Fills'!I449="3M","",VLOOKUP(RIGHT('ATP Fills'!I449,2),Helper1!$O$36:$P$48,2,0)))</f>
        <v/>
      </c>
      <c r="K449" t="str">
        <f>IF(J449="","",LEFT('ATP Fills'!I449,4))</f>
        <v/>
      </c>
      <c r="L449" t="str">
        <f>IF(A449="","",IF('ATP Fills'!G449="LME",'ATP Fills'!I449,""))</f>
        <v/>
      </c>
      <c r="M449" t="str">
        <f t="shared" si="6"/>
        <v/>
      </c>
    </row>
    <row r="450" spans="1:13">
      <c r="A450" t="str">
        <f>IF('ATP Fills'!A450="","",IF('ATP Fills'!Q450="PHILLIPSG",'ATP Fills'!F450,""))</f>
        <v/>
      </c>
      <c r="B450" t="str">
        <f>IF(A450="","",'ATP Fills'!L450)</f>
        <v/>
      </c>
      <c r="C450" t="str">
        <f>IF(A450="","",'ATP Fills'!M450)</f>
        <v/>
      </c>
      <c r="D450" t="str">
        <f>IF(A450="","",'ATP Fills'!B450)</f>
        <v/>
      </c>
      <c r="E450" s="3" t="str">
        <f>IF(A450="","",IF(DATE(LEFT(D450,4),MID(D450,5,2),RIGHT(D450,2))=Helper1!$P$1,Helper1!$P$1,""))</f>
        <v/>
      </c>
      <c r="F450" s="3" t="str">
        <f>IF(A450="","",'ATP Fills'!G450)</f>
        <v/>
      </c>
      <c r="G450" t="str">
        <f>IF(A450="","",'ATP Fills'!H450)</f>
        <v/>
      </c>
      <c r="H450" t="str">
        <f>IF(A450="","",VLOOKUP(G450,表3_3[],2,0))</f>
        <v/>
      </c>
      <c r="I450" t="str">
        <f>IF(A450="","",VLOOKUP(G450,表3_3[],3,0))</f>
        <v/>
      </c>
      <c r="J450" t="str">
        <f>IF(A450="","",IF('ATP Fills'!I450="3M","",VLOOKUP(RIGHT('ATP Fills'!I450,2),Helper1!$O$36:$P$48,2,0)))</f>
        <v/>
      </c>
      <c r="K450" t="str">
        <f>IF(J450="","",LEFT('ATP Fills'!I450,4))</f>
        <v/>
      </c>
      <c r="L450" t="str">
        <f>IF(A450="","",IF('ATP Fills'!G450="LME",'ATP Fills'!I450,""))</f>
        <v/>
      </c>
      <c r="M450" t="str">
        <f t="shared" si="6"/>
        <v/>
      </c>
    </row>
    <row r="451" spans="1:13">
      <c r="A451" t="str">
        <f>IF('ATP Fills'!A451="","",IF('ATP Fills'!Q451="PHILLIPSG",'ATP Fills'!F451,""))</f>
        <v/>
      </c>
      <c r="B451" t="str">
        <f>IF(A451="","",'ATP Fills'!L451)</f>
        <v/>
      </c>
      <c r="C451" t="str">
        <f>IF(A451="","",'ATP Fills'!M451)</f>
        <v/>
      </c>
      <c r="D451" t="str">
        <f>IF(A451="","",'ATP Fills'!B451)</f>
        <v/>
      </c>
      <c r="E451" s="3" t="str">
        <f>IF(A451="","",IF(DATE(LEFT(D451,4),MID(D451,5,2),RIGHT(D451,2))=Helper1!$P$1,Helper1!$P$1,""))</f>
        <v/>
      </c>
      <c r="F451" s="3" t="str">
        <f>IF(A451="","",'ATP Fills'!G451)</f>
        <v/>
      </c>
      <c r="G451" t="str">
        <f>IF(A451="","",'ATP Fills'!H451)</f>
        <v/>
      </c>
      <c r="H451" t="str">
        <f>IF(A451="","",VLOOKUP(G451,表3_3[],2,0))</f>
        <v/>
      </c>
      <c r="I451" t="str">
        <f>IF(A451="","",VLOOKUP(G451,表3_3[],3,0))</f>
        <v/>
      </c>
      <c r="J451" t="str">
        <f>IF(A451="","",IF('ATP Fills'!I451="3M","",VLOOKUP(RIGHT('ATP Fills'!I451,2),Helper1!$O$36:$P$48,2,0)))</f>
        <v/>
      </c>
      <c r="K451" t="str">
        <f>IF(J451="","",LEFT('ATP Fills'!I451,4))</f>
        <v/>
      </c>
      <c r="L451" t="str">
        <f>IF(A451="","",IF('ATP Fills'!G451="LME",'ATP Fills'!I451,""))</f>
        <v/>
      </c>
      <c r="M451" t="str">
        <f t="shared" ref="M451:M514" si="7">IF(A451="","",IF(F451="LME",F451&amp;"-"&amp;I451&amp;"-"&amp;L451,J451&amp;"-"&amp;K451&amp;"-"&amp;I451))</f>
        <v/>
      </c>
    </row>
    <row r="452" spans="1:13">
      <c r="A452" t="str">
        <f>IF('ATP Fills'!A452="","",IF('ATP Fills'!Q452="PHILLIPSG",'ATP Fills'!F452,""))</f>
        <v/>
      </c>
      <c r="B452" t="str">
        <f>IF(A452="","",'ATP Fills'!L452)</f>
        <v/>
      </c>
      <c r="C452" t="str">
        <f>IF(A452="","",'ATP Fills'!M452)</f>
        <v/>
      </c>
      <c r="D452" t="str">
        <f>IF(A452="","",'ATP Fills'!B452)</f>
        <v/>
      </c>
      <c r="E452" s="3" t="str">
        <f>IF(A452="","",IF(DATE(LEFT(D452,4),MID(D452,5,2),RIGHT(D452,2))=Helper1!$P$1,Helper1!$P$1,""))</f>
        <v/>
      </c>
      <c r="F452" s="3" t="str">
        <f>IF(A452="","",'ATP Fills'!G452)</f>
        <v/>
      </c>
      <c r="G452" t="str">
        <f>IF(A452="","",'ATP Fills'!H452)</f>
        <v/>
      </c>
      <c r="H452" t="str">
        <f>IF(A452="","",VLOOKUP(G452,表3_3[],2,0))</f>
        <v/>
      </c>
      <c r="I452" t="str">
        <f>IF(A452="","",VLOOKUP(G452,表3_3[],3,0))</f>
        <v/>
      </c>
      <c r="J452" t="str">
        <f>IF(A452="","",IF('ATP Fills'!I452="3M","",VLOOKUP(RIGHT('ATP Fills'!I452,2),Helper1!$O$36:$P$48,2,0)))</f>
        <v/>
      </c>
      <c r="K452" t="str">
        <f>IF(J452="","",LEFT('ATP Fills'!I452,4))</f>
        <v/>
      </c>
      <c r="L452" t="str">
        <f>IF(A452="","",IF('ATP Fills'!G452="LME",'ATP Fills'!I452,""))</f>
        <v/>
      </c>
      <c r="M452" t="str">
        <f t="shared" si="7"/>
        <v/>
      </c>
    </row>
    <row r="453" spans="1:13">
      <c r="A453" t="str">
        <f>IF('ATP Fills'!A453="","",IF('ATP Fills'!Q453="PHILLIPSG",'ATP Fills'!F453,""))</f>
        <v/>
      </c>
      <c r="B453" t="str">
        <f>IF(A453="","",'ATP Fills'!L453)</f>
        <v/>
      </c>
      <c r="C453" t="str">
        <f>IF(A453="","",'ATP Fills'!M453)</f>
        <v/>
      </c>
      <c r="D453" t="str">
        <f>IF(A453="","",'ATP Fills'!B453)</f>
        <v/>
      </c>
      <c r="E453" s="3" t="str">
        <f>IF(A453="","",IF(DATE(LEFT(D453,4),MID(D453,5,2),RIGHT(D453,2))=Helper1!$P$1,Helper1!$P$1,""))</f>
        <v/>
      </c>
      <c r="F453" s="3" t="str">
        <f>IF(A453="","",'ATP Fills'!G453)</f>
        <v/>
      </c>
      <c r="G453" t="str">
        <f>IF(A453="","",'ATP Fills'!H453)</f>
        <v/>
      </c>
      <c r="H453" t="str">
        <f>IF(A453="","",VLOOKUP(G453,表3_3[],2,0))</f>
        <v/>
      </c>
      <c r="I453" t="str">
        <f>IF(A453="","",VLOOKUP(G453,表3_3[],3,0))</f>
        <v/>
      </c>
      <c r="J453" t="str">
        <f>IF(A453="","",IF('ATP Fills'!I453="3M","",VLOOKUP(RIGHT('ATP Fills'!I453,2),Helper1!$O$36:$P$48,2,0)))</f>
        <v/>
      </c>
      <c r="K453" t="str">
        <f>IF(J453="","",LEFT('ATP Fills'!I453,4))</f>
        <v/>
      </c>
      <c r="L453" t="str">
        <f>IF(A453="","",IF('ATP Fills'!G453="LME",'ATP Fills'!I453,""))</f>
        <v/>
      </c>
      <c r="M453" t="str">
        <f t="shared" si="7"/>
        <v/>
      </c>
    </row>
    <row r="454" spans="1:13">
      <c r="A454" t="str">
        <f>IF('ATP Fills'!A454="","",IF('ATP Fills'!Q454="PHILLIPSG",'ATP Fills'!F454,""))</f>
        <v/>
      </c>
      <c r="B454" t="str">
        <f>IF(A454="","",'ATP Fills'!L454)</f>
        <v/>
      </c>
      <c r="C454" t="str">
        <f>IF(A454="","",'ATP Fills'!M454)</f>
        <v/>
      </c>
      <c r="D454" t="str">
        <f>IF(A454="","",'ATP Fills'!B454)</f>
        <v/>
      </c>
      <c r="E454" s="3" t="str">
        <f>IF(A454="","",IF(DATE(LEFT(D454,4),MID(D454,5,2),RIGHT(D454,2))=Helper1!$P$1,Helper1!$P$1,""))</f>
        <v/>
      </c>
      <c r="F454" s="3" t="str">
        <f>IF(A454="","",'ATP Fills'!G454)</f>
        <v/>
      </c>
      <c r="G454" t="str">
        <f>IF(A454="","",'ATP Fills'!H454)</f>
        <v/>
      </c>
      <c r="H454" t="str">
        <f>IF(A454="","",VLOOKUP(G454,表3_3[],2,0))</f>
        <v/>
      </c>
      <c r="I454" t="str">
        <f>IF(A454="","",VLOOKUP(G454,表3_3[],3,0))</f>
        <v/>
      </c>
      <c r="J454" t="str">
        <f>IF(A454="","",IF('ATP Fills'!I454="3M","",VLOOKUP(RIGHT('ATP Fills'!I454,2),Helper1!$O$36:$P$48,2,0)))</f>
        <v/>
      </c>
      <c r="K454" t="str">
        <f>IF(J454="","",LEFT('ATP Fills'!I454,4))</f>
        <v/>
      </c>
      <c r="L454" t="str">
        <f>IF(A454="","",IF('ATP Fills'!G454="LME",'ATP Fills'!I454,""))</f>
        <v/>
      </c>
      <c r="M454" t="str">
        <f t="shared" si="7"/>
        <v/>
      </c>
    </row>
    <row r="455" spans="1:13">
      <c r="A455" t="str">
        <f>IF('ATP Fills'!A455="","",IF('ATP Fills'!Q455="PHILLIPSG",'ATP Fills'!F455,""))</f>
        <v/>
      </c>
      <c r="B455" t="str">
        <f>IF(A455="","",'ATP Fills'!L455)</f>
        <v/>
      </c>
      <c r="C455" t="str">
        <f>IF(A455="","",'ATP Fills'!M455)</f>
        <v/>
      </c>
      <c r="D455" t="str">
        <f>IF(A455="","",'ATP Fills'!B455)</f>
        <v/>
      </c>
      <c r="E455" s="3" t="str">
        <f>IF(A455="","",IF(DATE(LEFT(D455,4),MID(D455,5,2),RIGHT(D455,2))=Helper1!$P$1,Helper1!$P$1,""))</f>
        <v/>
      </c>
      <c r="F455" s="3" t="str">
        <f>IF(A455="","",'ATP Fills'!G455)</f>
        <v/>
      </c>
      <c r="G455" t="str">
        <f>IF(A455="","",'ATP Fills'!H455)</f>
        <v/>
      </c>
      <c r="H455" t="str">
        <f>IF(A455="","",VLOOKUP(G455,表3_3[],2,0))</f>
        <v/>
      </c>
      <c r="I455" t="str">
        <f>IF(A455="","",VLOOKUP(G455,表3_3[],3,0))</f>
        <v/>
      </c>
      <c r="J455" t="str">
        <f>IF(A455="","",IF('ATP Fills'!I455="3M","",VLOOKUP(RIGHT('ATP Fills'!I455,2),Helper1!$O$36:$P$48,2,0)))</f>
        <v/>
      </c>
      <c r="K455" t="str">
        <f>IF(J455="","",LEFT('ATP Fills'!I455,4))</f>
        <v/>
      </c>
      <c r="L455" t="str">
        <f>IF(A455="","",IF('ATP Fills'!G455="LME",'ATP Fills'!I455,""))</f>
        <v/>
      </c>
      <c r="M455" t="str">
        <f t="shared" si="7"/>
        <v/>
      </c>
    </row>
    <row r="456" spans="1:13">
      <c r="A456" t="str">
        <f>IF('ATP Fills'!A456="","",IF('ATP Fills'!Q456="PHILLIPSG",'ATP Fills'!F456,""))</f>
        <v/>
      </c>
      <c r="B456" t="str">
        <f>IF(A456="","",'ATP Fills'!L456)</f>
        <v/>
      </c>
      <c r="C456" t="str">
        <f>IF(A456="","",'ATP Fills'!M456)</f>
        <v/>
      </c>
      <c r="D456" t="str">
        <f>IF(A456="","",'ATP Fills'!B456)</f>
        <v/>
      </c>
      <c r="E456" s="3" t="str">
        <f>IF(A456="","",IF(DATE(LEFT(D456,4),MID(D456,5,2),RIGHT(D456,2))=Helper1!$P$1,Helper1!$P$1,""))</f>
        <v/>
      </c>
      <c r="F456" s="3" t="str">
        <f>IF(A456="","",'ATP Fills'!G456)</f>
        <v/>
      </c>
      <c r="G456" t="str">
        <f>IF(A456="","",'ATP Fills'!H456)</f>
        <v/>
      </c>
      <c r="H456" t="str">
        <f>IF(A456="","",VLOOKUP(G456,表3_3[],2,0))</f>
        <v/>
      </c>
      <c r="I456" t="str">
        <f>IF(A456="","",VLOOKUP(G456,表3_3[],3,0))</f>
        <v/>
      </c>
      <c r="J456" t="str">
        <f>IF(A456="","",IF('ATP Fills'!I456="3M","",VLOOKUP(RIGHT('ATP Fills'!I456,2),Helper1!$O$36:$P$48,2,0)))</f>
        <v/>
      </c>
      <c r="K456" t="str">
        <f>IF(J456="","",LEFT('ATP Fills'!I456,4))</f>
        <v/>
      </c>
      <c r="L456" t="str">
        <f>IF(A456="","",IF('ATP Fills'!G456="LME",'ATP Fills'!I456,""))</f>
        <v/>
      </c>
      <c r="M456" t="str">
        <f t="shared" si="7"/>
        <v/>
      </c>
    </row>
    <row r="457" spans="1:13">
      <c r="A457" t="str">
        <f>IF('ATP Fills'!A457="","",IF('ATP Fills'!Q457="PHILLIPSG",'ATP Fills'!F457,""))</f>
        <v/>
      </c>
      <c r="B457" t="str">
        <f>IF(A457="","",'ATP Fills'!L457)</f>
        <v/>
      </c>
      <c r="C457" t="str">
        <f>IF(A457="","",'ATP Fills'!M457)</f>
        <v/>
      </c>
      <c r="D457" t="str">
        <f>IF(A457="","",'ATP Fills'!B457)</f>
        <v/>
      </c>
      <c r="E457" s="3" t="str">
        <f>IF(A457="","",IF(DATE(LEFT(D457,4),MID(D457,5,2),RIGHT(D457,2))=Helper1!$P$1,Helper1!$P$1,""))</f>
        <v/>
      </c>
      <c r="F457" s="3" t="str">
        <f>IF(A457="","",'ATP Fills'!G457)</f>
        <v/>
      </c>
      <c r="G457" t="str">
        <f>IF(A457="","",'ATP Fills'!H457)</f>
        <v/>
      </c>
      <c r="H457" t="str">
        <f>IF(A457="","",VLOOKUP(G457,表3_3[],2,0))</f>
        <v/>
      </c>
      <c r="I457" t="str">
        <f>IF(A457="","",VLOOKUP(G457,表3_3[],3,0))</f>
        <v/>
      </c>
      <c r="J457" t="str">
        <f>IF(A457="","",IF('ATP Fills'!I457="3M","",VLOOKUP(RIGHT('ATP Fills'!I457,2),Helper1!$O$36:$P$48,2,0)))</f>
        <v/>
      </c>
      <c r="K457" t="str">
        <f>IF(J457="","",LEFT('ATP Fills'!I457,4))</f>
        <v/>
      </c>
      <c r="L457" t="str">
        <f>IF(A457="","",IF('ATP Fills'!G457="LME",'ATP Fills'!I457,""))</f>
        <v/>
      </c>
      <c r="M457" t="str">
        <f t="shared" si="7"/>
        <v/>
      </c>
    </row>
    <row r="458" spans="1:13">
      <c r="A458" t="str">
        <f>IF('ATP Fills'!A458="","",IF('ATP Fills'!Q458="PHILLIPSG",'ATP Fills'!F458,""))</f>
        <v/>
      </c>
      <c r="B458" t="str">
        <f>IF(A458="","",'ATP Fills'!L458)</f>
        <v/>
      </c>
      <c r="C458" t="str">
        <f>IF(A458="","",'ATP Fills'!M458)</f>
        <v/>
      </c>
      <c r="D458" t="str">
        <f>IF(A458="","",'ATP Fills'!B458)</f>
        <v/>
      </c>
      <c r="E458" s="3" t="str">
        <f>IF(A458="","",IF(DATE(LEFT(D458,4),MID(D458,5,2),RIGHT(D458,2))=Helper1!$P$1,Helper1!$P$1,""))</f>
        <v/>
      </c>
      <c r="F458" s="3" t="str">
        <f>IF(A458="","",'ATP Fills'!G458)</f>
        <v/>
      </c>
      <c r="G458" t="str">
        <f>IF(A458="","",'ATP Fills'!H458)</f>
        <v/>
      </c>
      <c r="H458" t="str">
        <f>IF(A458="","",VLOOKUP(G458,表3_3[],2,0))</f>
        <v/>
      </c>
      <c r="I458" t="str">
        <f>IF(A458="","",VLOOKUP(G458,表3_3[],3,0))</f>
        <v/>
      </c>
      <c r="J458" t="str">
        <f>IF(A458="","",IF('ATP Fills'!I458="3M","",VLOOKUP(RIGHT('ATP Fills'!I458,2),Helper1!$O$36:$P$48,2,0)))</f>
        <v/>
      </c>
      <c r="K458" t="str">
        <f>IF(J458="","",LEFT('ATP Fills'!I458,4))</f>
        <v/>
      </c>
      <c r="L458" t="str">
        <f>IF(A458="","",IF('ATP Fills'!G458="LME",'ATP Fills'!I458,""))</f>
        <v/>
      </c>
      <c r="M458" t="str">
        <f t="shared" si="7"/>
        <v/>
      </c>
    </row>
    <row r="459" spans="1:13">
      <c r="A459" t="str">
        <f>IF('ATP Fills'!A459="","",IF('ATP Fills'!Q459="PHILLIPSG",'ATP Fills'!F459,""))</f>
        <v/>
      </c>
      <c r="B459" t="str">
        <f>IF(A459="","",'ATP Fills'!L459)</f>
        <v/>
      </c>
      <c r="C459" t="str">
        <f>IF(A459="","",'ATP Fills'!M459)</f>
        <v/>
      </c>
      <c r="D459" t="str">
        <f>IF(A459="","",'ATP Fills'!B459)</f>
        <v/>
      </c>
      <c r="E459" s="3" t="str">
        <f>IF(A459="","",IF(DATE(LEFT(D459,4),MID(D459,5,2),RIGHT(D459,2))=Helper1!$P$1,Helper1!$P$1,""))</f>
        <v/>
      </c>
      <c r="F459" s="3" t="str">
        <f>IF(A459="","",'ATP Fills'!G459)</f>
        <v/>
      </c>
      <c r="G459" t="str">
        <f>IF(A459="","",'ATP Fills'!H459)</f>
        <v/>
      </c>
      <c r="H459" t="str">
        <f>IF(A459="","",VLOOKUP(G459,表3_3[],2,0))</f>
        <v/>
      </c>
      <c r="I459" t="str">
        <f>IF(A459="","",VLOOKUP(G459,表3_3[],3,0))</f>
        <v/>
      </c>
      <c r="J459" t="str">
        <f>IF(A459="","",IF('ATP Fills'!I459="3M","",VLOOKUP(RIGHT('ATP Fills'!I459,2),Helper1!$O$36:$P$48,2,0)))</f>
        <v/>
      </c>
      <c r="K459" t="str">
        <f>IF(J459="","",LEFT('ATP Fills'!I459,4))</f>
        <v/>
      </c>
      <c r="L459" t="str">
        <f>IF(A459="","",IF('ATP Fills'!G459="LME",'ATP Fills'!I459,""))</f>
        <v/>
      </c>
      <c r="M459" t="str">
        <f t="shared" si="7"/>
        <v/>
      </c>
    </row>
    <row r="460" spans="1:13">
      <c r="A460" t="str">
        <f>IF('ATP Fills'!A460="","",IF('ATP Fills'!Q460="PHILLIPSG",'ATP Fills'!F460,""))</f>
        <v/>
      </c>
      <c r="B460" t="str">
        <f>IF(A460="","",'ATP Fills'!L460)</f>
        <v/>
      </c>
      <c r="C460" t="str">
        <f>IF(A460="","",'ATP Fills'!M460)</f>
        <v/>
      </c>
      <c r="D460" t="str">
        <f>IF(A460="","",'ATP Fills'!B460)</f>
        <v/>
      </c>
      <c r="E460" s="3" t="str">
        <f>IF(A460="","",IF(DATE(LEFT(D460,4),MID(D460,5,2),RIGHT(D460,2))=Helper1!$P$1,Helper1!$P$1,""))</f>
        <v/>
      </c>
      <c r="F460" s="3" t="str">
        <f>IF(A460="","",'ATP Fills'!G460)</f>
        <v/>
      </c>
      <c r="G460" t="str">
        <f>IF(A460="","",'ATP Fills'!H460)</f>
        <v/>
      </c>
      <c r="H460" t="str">
        <f>IF(A460="","",VLOOKUP(G460,表3_3[],2,0))</f>
        <v/>
      </c>
      <c r="I460" t="str">
        <f>IF(A460="","",VLOOKUP(G460,表3_3[],3,0))</f>
        <v/>
      </c>
      <c r="J460" t="str">
        <f>IF(A460="","",IF('ATP Fills'!I460="3M","",VLOOKUP(RIGHT('ATP Fills'!I460,2),Helper1!$O$36:$P$48,2,0)))</f>
        <v/>
      </c>
      <c r="K460" t="str">
        <f>IF(J460="","",LEFT('ATP Fills'!I460,4))</f>
        <v/>
      </c>
      <c r="L460" t="str">
        <f>IF(A460="","",IF('ATP Fills'!G460="LME",'ATP Fills'!I460,""))</f>
        <v/>
      </c>
      <c r="M460" t="str">
        <f t="shared" si="7"/>
        <v/>
      </c>
    </row>
    <row r="461" spans="1:13">
      <c r="A461" t="str">
        <f>IF('ATP Fills'!A461="","",IF('ATP Fills'!Q461="PHILLIPSG",'ATP Fills'!F461,""))</f>
        <v/>
      </c>
      <c r="B461" t="str">
        <f>IF(A461="","",'ATP Fills'!L461)</f>
        <v/>
      </c>
      <c r="C461" t="str">
        <f>IF(A461="","",'ATP Fills'!M461)</f>
        <v/>
      </c>
      <c r="D461" t="str">
        <f>IF(A461="","",'ATP Fills'!B461)</f>
        <v/>
      </c>
      <c r="E461" s="3" t="str">
        <f>IF(A461="","",IF(DATE(LEFT(D461,4),MID(D461,5,2),RIGHT(D461,2))=Helper1!$P$1,Helper1!$P$1,""))</f>
        <v/>
      </c>
      <c r="F461" s="3" t="str">
        <f>IF(A461="","",'ATP Fills'!G461)</f>
        <v/>
      </c>
      <c r="G461" t="str">
        <f>IF(A461="","",'ATP Fills'!H461)</f>
        <v/>
      </c>
      <c r="H461" t="str">
        <f>IF(A461="","",VLOOKUP(G461,表3_3[],2,0))</f>
        <v/>
      </c>
      <c r="I461" t="str">
        <f>IF(A461="","",VLOOKUP(G461,表3_3[],3,0))</f>
        <v/>
      </c>
      <c r="J461" t="str">
        <f>IF(A461="","",IF('ATP Fills'!I461="3M","",VLOOKUP(RIGHT('ATP Fills'!I461,2),Helper1!$O$36:$P$48,2,0)))</f>
        <v/>
      </c>
      <c r="K461" t="str">
        <f>IF(J461="","",LEFT('ATP Fills'!I461,4))</f>
        <v/>
      </c>
      <c r="L461" t="str">
        <f>IF(A461="","",IF('ATP Fills'!G461="LME",'ATP Fills'!I461,""))</f>
        <v/>
      </c>
      <c r="M461" t="str">
        <f t="shared" si="7"/>
        <v/>
      </c>
    </row>
    <row r="462" spans="1:13">
      <c r="A462" t="str">
        <f>IF('ATP Fills'!A462="","",IF('ATP Fills'!Q462="PHILLIPSG",'ATP Fills'!F462,""))</f>
        <v/>
      </c>
      <c r="B462" t="str">
        <f>IF(A462="","",'ATP Fills'!L462)</f>
        <v/>
      </c>
      <c r="C462" t="str">
        <f>IF(A462="","",'ATP Fills'!M462)</f>
        <v/>
      </c>
      <c r="D462" t="str">
        <f>IF(A462="","",'ATP Fills'!B462)</f>
        <v/>
      </c>
      <c r="E462" s="3" t="str">
        <f>IF(A462="","",IF(DATE(LEFT(D462,4),MID(D462,5,2),RIGHT(D462,2))=Helper1!$P$1,Helper1!$P$1,""))</f>
        <v/>
      </c>
      <c r="F462" s="3" t="str">
        <f>IF(A462="","",'ATP Fills'!G462)</f>
        <v/>
      </c>
      <c r="G462" t="str">
        <f>IF(A462="","",'ATP Fills'!H462)</f>
        <v/>
      </c>
      <c r="H462" t="str">
        <f>IF(A462="","",VLOOKUP(G462,表3_3[],2,0))</f>
        <v/>
      </c>
      <c r="I462" t="str">
        <f>IF(A462="","",VLOOKUP(G462,表3_3[],3,0))</f>
        <v/>
      </c>
      <c r="J462" t="str">
        <f>IF(A462="","",IF('ATP Fills'!I462="3M","",VLOOKUP(RIGHT('ATP Fills'!I462,2),Helper1!$O$36:$P$48,2,0)))</f>
        <v/>
      </c>
      <c r="K462" t="str">
        <f>IF(J462="","",LEFT('ATP Fills'!I462,4))</f>
        <v/>
      </c>
      <c r="L462" t="str">
        <f>IF(A462="","",IF('ATP Fills'!G462="LME",'ATP Fills'!I462,""))</f>
        <v/>
      </c>
      <c r="M462" t="str">
        <f t="shared" si="7"/>
        <v/>
      </c>
    </row>
    <row r="463" spans="1:13">
      <c r="A463" t="str">
        <f>IF('ATP Fills'!A463="","",IF('ATP Fills'!Q463="PHILLIPSG",'ATP Fills'!F463,""))</f>
        <v/>
      </c>
      <c r="B463" t="str">
        <f>IF(A463="","",'ATP Fills'!L463)</f>
        <v/>
      </c>
      <c r="C463" t="str">
        <f>IF(A463="","",'ATP Fills'!M463)</f>
        <v/>
      </c>
      <c r="D463" t="str">
        <f>IF(A463="","",'ATP Fills'!B463)</f>
        <v/>
      </c>
      <c r="E463" s="3" t="str">
        <f>IF(A463="","",IF(DATE(LEFT(D463,4),MID(D463,5,2),RIGHT(D463,2))=Helper1!$P$1,Helper1!$P$1,""))</f>
        <v/>
      </c>
      <c r="F463" s="3" t="str">
        <f>IF(A463="","",'ATP Fills'!G463)</f>
        <v/>
      </c>
      <c r="G463" t="str">
        <f>IF(A463="","",'ATP Fills'!H463)</f>
        <v/>
      </c>
      <c r="H463" t="str">
        <f>IF(A463="","",VLOOKUP(G463,表3_3[],2,0))</f>
        <v/>
      </c>
      <c r="I463" t="str">
        <f>IF(A463="","",VLOOKUP(G463,表3_3[],3,0))</f>
        <v/>
      </c>
      <c r="J463" t="str">
        <f>IF(A463="","",IF('ATP Fills'!I463="3M","",VLOOKUP(RIGHT('ATP Fills'!I463,2),Helper1!$O$36:$P$48,2,0)))</f>
        <v/>
      </c>
      <c r="K463" t="str">
        <f>IF(J463="","",LEFT('ATP Fills'!I463,4))</f>
        <v/>
      </c>
      <c r="L463" t="str">
        <f>IF(A463="","",IF('ATP Fills'!G463="LME",'ATP Fills'!I463,""))</f>
        <v/>
      </c>
      <c r="M463" t="str">
        <f t="shared" si="7"/>
        <v/>
      </c>
    </row>
    <row r="464" spans="1:13">
      <c r="A464" t="str">
        <f>IF('ATP Fills'!A464="","",IF('ATP Fills'!Q464="PHILLIPSG",'ATP Fills'!F464,""))</f>
        <v/>
      </c>
      <c r="B464" t="str">
        <f>IF(A464="","",'ATP Fills'!L464)</f>
        <v/>
      </c>
      <c r="C464" t="str">
        <f>IF(A464="","",'ATP Fills'!M464)</f>
        <v/>
      </c>
      <c r="D464" t="str">
        <f>IF(A464="","",'ATP Fills'!B464)</f>
        <v/>
      </c>
      <c r="E464" s="3" t="str">
        <f>IF(A464="","",IF(DATE(LEFT(D464,4),MID(D464,5,2),RIGHT(D464,2))=Helper1!$P$1,Helper1!$P$1,""))</f>
        <v/>
      </c>
      <c r="F464" s="3" t="str">
        <f>IF(A464="","",'ATP Fills'!G464)</f>
        <v/>
      </c>
      <c r="G464" t="str">
        <f>IF(A464="","",'ATP Fills'!H464)</f>
        <v/>
      </c>
      <c r="H464" t="str">
        <f>IF(A464="","",VLOOKUP(G464,表3_3[],2,0))</f>
        <v/>
      </c>
      <c r="I464" t="str">
        <f>IF(A464="","",VLOOKUP(G464,表3_3[],3,0))</f>
        <v/>
      </c>
      <c r="J464" t="str">
        <f>IF(A464="","",IF('ATP Fills'!I464="3M","",VLOOKUP(RIGHT('ATP Fills'!I464,2),Helper1!$O$36:$P$48,2,0)))</f>
        <v/>
      </c>
      <c r="K464" t="str">
        <f>IF(J464="","",LEFT('ATP Fills'!I464,4))</f>
        <v/>
      </c>
      <c r="L464" t="str">
        <f>IF(A464="","",IF('ATP Fills'!G464="LME",'ATP Fills'!I464,""))</f>
        <v/>
      </c>
      <c r="M464" t="str">
        <f t="shared" si="7"/>
        <v/>
      </c>
    </row>
    <row r="465" spans="1:13">
      <c r="A465" t="str">
        <f>IF('ATP Fills'!A465="","",IF('ATP Fills'!Q465="PHILLIPSG",'ATP Fills'!F465,""))</f>
        <v/>
      </c>
      <c r="B465" t="str">
        <f>IF(A465="","",'ATP Fills'!L465)</f>
        <v/>
      </c>
      <c r="C465" t="str">
        <f>IF(A465="","",'ATP Fills'!M465)</f>
        <v/>
      </c>
      <c r="D465" t="str">
        <f>IF(A465="","",'ATP Fills'!B465)</f>
        <v/>
      </c>
      <c r="E465" s="3" t="str">
        <f>IF(A465="","",IF(DATE(LEFT(D465,4),MID(D465,5,2),RIGHT(D465,2))=Helper1!$P$1,Helper1!$P$1,""))</f>
        <v/>
      </c>
      <c r="F465" s="3" t="str">
        <f>IF(A465="","",'ATP Fills'!G465)</f>
        <v/>
      </c>
      <c r="G465" t="str">
        <f>IF(A465="","",'ATP Fills'!H465)</f>
        <v/>
      </c>
      <c r="H465" t="str">
        <f>IF(A465="","",VLOOKUP(G465,表3_3[],2,0))</f>
        <v/>
      </c>
      <c r="I465" t="str">
        <f>IF(A465="","",VLOOKUP(G465,表3_3[],3,0))</f>
        <v/>
      </c>
      <c r="J465" t="str">
        <f>IF(A465="","",IF('ATP Fills'!I465="3M","",VLOOKUP(RIGHT('ATP Fills'!I465,2),Helper1!$O$36:$P$48,2,0)))</f>
        <v/>
      </c>
      <c r="K465" t="str">
        <f>IF(J465="","",LEFT('ATP Fills'!I465,4))</f>
        <v/>
      </c>
      <c r="L465" t="str">
        <f>IF(A465="","",IF('ATP Fills'!G465="LME",'ATP Fills'!I465,""))</f>
        <v/>
      </c>
      <c r="M465" t="str">
        <f t="shared" si="7"/>
        <v/>
      </c>
    </row>
    <row r="466" spans="1:13">
      <c r="A466" t="str">
        <f>IF('ATP Fills'!A466="","",IF('ATP Fills'!Q466="PHILLIPSG",'ATP Fills'!F466,""))</f>
        <v/>
      </c>
      <c r="B466" t="str">
        <f>IF(A466="","",'ATP Fills'!L466)</f>
        <v/>
      </c>
      <c r="C466" t="str">
        <f>IF(A466="","",'ATP Fills'!M466)</f>
        <v/>
      </c>
      <c r="D466" t="str">
        <f>IF(A466="","",'ATP Fills'!B466)</f>
        <v/>
      </c>
      <c r="E466" s="3" t="str">
        <f>IF(A466="","",IF(DATE(LEFT(D466,4),MID(D466,5,2),RIGHT(D466,2))=Helper1!$P$1,Helper1!$P$1,""))</f>
        <v/>
      </c>
      <c r="F466" s="3" t="str">
        <f>IF(A466="","",'ATP Fills'!G466)</f>
        <v/>
      </c>
      <c r="G466" t="str">
        <f>IF(A466="","",'ATP Fills'!H466)</f>
        <v/>
      </c>
      <c r="H466" t="str">
        <f>IF(A466="","",VLOOKUP(G466,表3_3[],2,0))</f>
        <v/>
      </c>
      <c r="I466" t="str">
        <f>IF(A466="","",VLOOKUP(G466,表3_3[],3,0))</f>
        <v/>
      </c>
      <c r="J466" t="str">
        <f>IF(A466="","",IF('ATP Fills'!I466="3M","",VLOOKUP(RIGHT('ATP Fills'!I466,2),Helper1!$O$36:$P$48,2,0)))</f>
        <v/>
      </c>
      <c r="K466" t="str">
        <f>IF(J466="","",LEFT('ATP Fills'!I466,4))</f>
        <v/>
      </c>
      <c r="L466" t="str">
        <f>IF(A466="","",IF('ATP Fills'!G466="LME",'ATP Fills'!I466,""))</f>
        <v/>
      </c>
      <c r="M466" t="str">
        <f t="shared" si="7"/>
        <v/>
      </c>
    </row>
    <row r="467" spans="1:13">
      <c r="A467" t="str">
        <f>IF('ATP Fills'!A467="","",IF('ATP Fills'!Q467="PHILLIPSG",'ATP Fills'!F467,""))</f>
        <v/>
      </c>
      <c r="B467" t="str">
        <f>IF(A467="","",'ATP Fills'!L467)</f>
        <v/>
      </c>
      <c r="C467" t="str">
        <f>IF(A467="","",'ATP Fills'!M467)</f>
        <v/>
      </c>
      <c r="D467" t="str">
        <f>IF(A467="","",'ATP Fills'!B467)</f>
        <v/>
      </c>
      <c r="E467" s="3" t="str">
        <f>IF(A467="","",IF(DATE(LEFT(D467,4),MID(D467,5,2),RIGHT(D467,2))=Helper1!$P$1,Helper1!$P$1,""))</f>
        <v/>
      </c>
      <c r="F467" s="3" t="str">
        <f>IF(A467="","",'ATP Fills'!G467)</f>
        <v/>
      </c>
      <c r="G467" t="str">
        <f>IF(A467="","",'ATP Fills'!H467)</f>
        <v/>
      </c>
      <c r="H467" t="str">
        <f>IF(A467="","",VLOOKUP(G467,表3_3[],2,0))</f>
        <v/>
      </c>
      <c r="I467" t="str">
        <f>IF(A467="","",VLOOKUP(G467,表3_3[],3,0))</f>
        <v/>
      </c>
      <c r="J467" t="str">
        <f>IF(A467="","",IF('ATP Fills'!I467="3M","",VLOOKUP(RIGHT('ATP Fills'!I467,2),Helper1!$O$36:$P$48,2,0)))</f>
        <v/>
      </c>
      <c r="K467" t="str">
        <f>IF(J467="","",LEFT('ATP Fills'!I467,4))</f>
        <v/>
      </c>
      <c r="L467" t="str">
        <f>IF(A467="","",IF('ATP Fills'!G467="LME",'ATP Fills'!I467,""))</f>
        <v/>
      </c>
      <c r="M467" t="str">
        <f t="shared" si="7"/>
        <v/>
      </c>
    </row>
    <row r="468" spans="1:13">
      <c r="A468" t="str">
        <f>IF('ATP Fills'!A468="","",IF('ATP Fills'!Q468="PHILLIPSG",'ATP Fills'!F468,""))</f>
        <v/>
      </c>
      <c r="B468" t="str">
        <f>IF(A468="","",'ATP Fills'!L468)</f>
        <v/>
      </c>
      <c r="C468" t="str">
        <f>IF(A468="","",'ATP Fills'!M468)</f>
        <v/>
      </c>
      <c r="D468" t="str">
        <f>IF(A468="","",'ATP Fills'!B468)</f>
        <v/>
      </c>
      <c r="E468" s="3" t="str">
        <f>IF(A468="","",IF(DATE(LEFT(D468,4),MID(D468,5,2),RIGHT(D468,2))=Helper1!$P$1,Helper1!$P$1,""))</f>
        <v/>
      </c>
      <c r="F468" s="3" t="str">
        <f>IF(A468="","",'ATP Fills'!G468)</f>
        <v/>
      </c>
      <c r="G468" t="str">
        <f>IF(A468="","",'ATP Fills'!H468)</f>
        <v/>
      </c>
      <c r="H468" t="str">
        <f>IF(A468="","",VLOOKUP(G468,表3_3[],2,0))</f>
        <v/>
      </c>
      <c r="I468" t="str">
        <f>IF(A468="","",VLOOKUP(G468,表3_3[],3,0))</f>
        <v/>
      </c>
      <c r="J468" t="str">
        <f>IF(A468="","",IF('ATP Fills'!I468="3M","",VLOOKUP(RIGHT('ATP Fills'!I468,2),Helper1!$O$36:$P$48,2,0)))</f>
        <v/>
      </c>
      <c r="K468" t="str">
        <f>IF(J468="","",LEFT('ATP Fills'!I468,4))</f>
        <v/>
      </c>
      <c r="L468" t="str">
        <f>IF(A468="","",IF('ATP Fills'!G468="LME",'ATP Fills'!I468,""))</f>
        <v/>
      </c>
      <c r="M468" t="str">
        <f t="shared" si="7"/>
        <v/>
      </c>
    </row>
    <row r="469" spans="1:13">
      <c r="A469" t="str">
        <f>IF('ATP Fills'!A469="","",IF('ATP Fills'!Q469="PHILLIPSG",'ATP Fills'!F469,""))</f>
        <v/>
      </c>
      <c r="B469" t="str">
        <f>IF(A469="","",'ATP Fills'!L469)</f>
        <v/>
      </c>
      <c r="C469" t="str">
        <f>IF(A469="","",'ATP Fills'!M469)</f>
        <v/>
      </c>
      <c r="D469" t="str">
        <f>IF(A469="","",'ATP Fills'!B469)</f>
        <v/>
      </c>
      <c r="E469" s="3" t="str">
        <f>IF(A469="","",IF(DATE(LEFT(D469,4),MID(D469,5,2),RIGHT(D469,2))=Helper1!$P$1,Helper1!$P$1,""))</f>
        <v/>
      </c>
      <c r="F469" s="3" t="str">
        <f>IF(A469="","",'ATP Fills'!G469)</f>
        <v/>
      </c>
      <c r="G469" t="str">
        <f>IF(A469="","",'ATP Fills'!H469)</f>
        <v/>
      </c>
      <c r="H469" t="str">
        <f>IF(A469="","",VLOOKUP(G469,表3_3[],2,0))</f>
        <v/>
      </c>
      <c r="I469" t="str">
        <f>IF(A469="","",VLOOKUP(G469,表3_3[],3,0))</f>
        <v/>
      </c>
      <c r="J469" t="str">
        <f>IF(A469="","",IF('ATP Fills'!I469="3M","",VLOOKUP(RIGHT('ATP Fills'!I469,2),Helper1!$O$36:$P$48,2,0)))</f>
        <v/>
      </c>
      <c r="K469" t="str">
        <f>IF(J469="","",LEFT('ATP Fills'!I469,4))</f>
        <v/>
      </c>
      <c r="L469" t="str">
        <f>IF(A469="","",IF('ATP Fills'!G469="LME",'ATP Fills'!I469,""))</f>
        <v/>
      </c>
      <c r="M469" t="str">
        <f t="shared" si="7"/>
        <v/>
      </c>
    </row>
    <row r="470" spans="1:13">
      <c r="A470" t="str">
        <f>IF('ATP Fills'!A470="","",IF('ATP Fills'!Q470="PHILLIPSG",'ATP Fills'!F470,""))</f>
        <v/>
      </c>
      <c r="B470" t="str">
        <f>IF(A470="","",'ATP Fills'!L470)</f>
        <v/>
      </c>
      <c r="C470" t="str">
        <f>IF(A470="","",'ATP Fills'!M470)</f>
        <v/>
      </c>
      <c r="D470" t="str">
        <f>IF(A470="","",'ATP Fills'!B470)</f>
        <v/>
      </c>
      <c r="E470" s="3" t="str">
        <f>IF(A470="","",IF(DATE(LEFT(D470,4),MID(D470,5,2),RIGHT(D470,2))=Helper1!$P$1,Helper1!$P$1,""))</f>
        <v/>
      </c>
      <c r="F470" s="3" t="str">
        <f>IF(A470="","",'ATP Fills'!G470)</f>
        <v/>
      </c>
      <c r="G470" t="str">
        <f>IF(A470="","",'ATP Fills'!H470)</f>
        <v/>
      </c>
      <c r="H470" t="str">
        <f>IF(A470="","",VLOOKUP(G470,表3_3[],2,0))</f>
        <v/>
      </c>
      <c r="I470" t="str">
        <f>IF(A470="","",VLOOKUP(G470,表3_3[],3,0))</f>
        <v/>
      </c>
      <c r="J470" t="str">
        <f>IF(A470="","",IF('ATP Fills'!I470="3M","",VLOOKUP(RIGHT('ATP Fills'!I470,2),Helper1!$O$36:$P$48,2,0)))</f>
        <v/>
      </c>
      <c r="K470" t="str">
        <f>IF(J470="","",LEFT('ATP Fills'!I470,4))</f>
        <v/>
      </c>
      <c r="L470" t="str">
        <f>IF(A470="","",IF('ATP Fills'!G470="LME",'ATP Fills'!I470,""))</f>
        <v/>
      </c>
      <c r="M470" t="str">
        <f t="shared" si="7"/>
        <v/>
      </c>
    </row>
    <row r="471" spans="1:13">
      <c r="A471" t="str">
        <f>IF('ATP Fills'!A471="","",IF('ATP Fills'!Q471="PHILLIPSG",'ATP Fills'!F471,""))</f>
        <v/>
      </c>
      <c r="B471" t="str">
        <f>IF(A471="","",'ATP Fills'!L471)</f>
        <v/>
      </c>
      <c r="C471" t="str">
        <f>IF(A471="","",'ATP Fills'!M471)</f>
        <v/>
      </c>
      <c r="D471" t="str">
        <f>IF(A471="","",'ATP Fills'!B471)</f>
        <v/>
      </c>
      <c r="E471" s="3" t="str">
        <f>IF(A471="","",IF(DATE(LEFT(D471,4),MID(D471,5,2),RIGHT(D471,2))=Helper1!$P$1,Helper1!$P$1,""))</f>
        <v/>
      </c>
      <c r="F471" s="3" t="str">
        <f>IF(A471="","",'ATP Fills'!G471)</f>
        <v/>
      </c>
      <c r="G471" t="str">
        <f>IF(A471="","",'ATP Fills'!H471)</f>
        <v/>
      </c>
      <c r="H471" t="str">
        <f>IF(A471="","",VLOOKUP(G471,表3_3[],2,0))</f>
        <v/>
      </c>
      <c r="I471" t="str">
        <f>IF(A471="","",VLOOKUP(G471,表3_3[],3,0))</f>
        <v/>
      </c>
      <c r="J471" t="str">
        <f>IF(A471="","",IF('ATP Fills'!I471="3M","",VLOOKUP(RIGHT('ATP Fills'!I471,2),Helper1!$O$36:$P$48,2,0)))</f>
        <v/>
      </c>
      <c r="K471" t="str">
        <f>IF(J471="","",LEFT('ATP Fills'!I471,4))</f>
        <v/>
      </c>
      <c r="L471" t="str">
        <f>IF(A471="","",IF('ATP Fills'!G471="LME",'ATP Fills'!I471,""))</f>
        <v/>
      </c>
      <c r="M471" t="str">
        <f t="shared" si="7"/>
        <v/>
      </c>
    </row>
    <row r="472" spans="1:13">
      <c r="A472" t="str">
        <f>IF('ATP Fills'!A472="","",IF('ATP Fills'!Q472="PHILLIPSG",'ATP Fills'!F472,""))</f>
        <v/>
      </c>
      <c r="B472" t="str">
        <f>IF(A472="","",'ATP Fills'!L472)</f>
        <v/>
      </c>
      <c r="C472" t="str">
        <f>IF(A472="","",'ATP Fills'!M472)</f>
        <v/>
      </c>
      <c r="D472" t="str">
        <f>IF(A472="","",'ATP Fills'!B472)</f>
        <v/>
      </c>
      <c r="E472" s="3" t="str">
        <f>IF(A472="","",IF(DATE(LEFT(D472,4),MID(D472,5,2),RIGHT(D472,2))=Helper1!$P$1,Helper1!$P$1,""))</f>
        <v/>
      </c>
      <c r="F472" s="3" t="str">
        <f>IF(A472="","",'ATP Fills'!G472)</f>
        <v/>
      </c>
      <c r="G472" t="str">
        <f>IF(A472="","",'ATP Fills'!H472)</f>
        <v/>
      </c>
      <c r="H472" t="str">
        <f>IF(A472="","",VLOOKUP(G472,表3_3[],2,0))</f>
        <v/>
      </c>
      <c r="I472" t="str">
        <f>IF(A472="","",VLOOKUP(G472,表3_3[],3,0))</f>
        <v/>
      </c>
      <c r="J472" t="str">
        <f>IF(A472="","",IF('ATP Fills'!I472="3M","",VLOOKUP(RIGHT('ATP Fills'!I472,2),Helper1!$O$36:$P$48,2,0)))</f>
        <v/>
      </c>
      <c r="K472" t="str">
        <f>IF(J472="","",LEFT('ATP Fills'!I472,4))</f>
        <v/>
      </c>
      <c r="L472" t="str">
        <f>IF(A472="","",IF('ATP Fills'!G472="LME",'ATP Fills'!I472,""))</f>
        <v/>
      </c>
      <c r="M472" t="str">
        <f t="shared" si="7"/>
        <v/>
      </c>
    </row>
    <row r="473" spans="1:13">
      <c r="A473" t="str">
        <f>IF('ATP Fills'!A473="","",IF('ATP Fills'!Q473="PHILLIPSG",'ATP Fills'!F473,""))</f>
        <v/>
      </c>
      <c r="B473" t="str">
        <f>IF(A473="","",'ATP Fills'!L473)</f>
        <v/>
      </c>
      <c r="C473" t="str">
        <f>IF(A473="","",'ATP Fills'!M473)</f>
        <v/>
      </c>
      <c r="D473" t="str">
        <f>IF(A473="","",'ATP Fills'!B473)</f>
        <v/>
      </c>
      <c r="E473" s="3" t="str">
        <f>IF(A473="","",IF(DATE(LEFT(D473,4),MID(D473,5,2),RIGHT(D473,2))=Helper1!$P$1,Helper1!$P$1,""))</f>
        <v/>
      </c>
      <c r="F473" s="3" t="str">
        <f>IF(A473="","",'ATP Fills'!G473)</f>
        <v/>
      </c>
      <c r="G473" t="str">
        <f>IF(A473="","",'ATP Fills'!H473)</f>
        <v/>
      </c>
      <c r="H473" t="str">
        <f>IF(A473="","",VLOOKUP(G473,表3_3[],2,0))</f>
        <v/>
      </c>
      <c r="I473" t="str">
        <f>IF(A473="","",VLOOKUP(G473,表3_3[],3,0))</f>
        <v/>
      </c>
      <c r="J473" t="str">
        <f>IF(A473="","",IF('ATP Fills'!I473="3M","",VLOOKUP(RIGHT('ATP Fills'!I473,2),Helper1!$O$36:$P$48,2,0)))</f>
        <v/>
      </c>
      <c r="K473" t="str">
        <f>IF(J473="","",LEFT('ATP Fills'!I473,4))</f>
        <v/>
      </c>
      <c r="L473" t="str">
        <f>IF(A473="","",IF('ATP Fills'!G473="LME",'ATP Fills'!I473,""))</f>
        <v/>
      </c>
      <c r="M473" t="str">
        <f t="shared" si="7"/>
        <v/>
      </c>
    </row>
    <row r="474" spans="1:13">
      <c r="A474" t="str">
        <f>IF('ATP Fills'!A474="","",IF('ATP Fills'!Q474="PHILLIPSG",'ATP Fills'!F474,""))</f>
        <v/>
      </c>
      <c r="B474" t="str">
        <f>IF(A474="","",'ATP Fills'!L474)</f>
        <v/>
      </c>
      <c r="C474" t="str">
        <f>IF(A474="","",'ATP Fills'!M474)</f>
        <v/>
      </c>
      <c r="D474" t="str">
        <f>IF(A474="","",'ATP Fills'!B474)</f>
        <v/>
      </c>
      <c r="E474" s="3" t="str">
        <f>IF(A474="","",IF(DATE(LEFT(D474,4),MID(D474,5,2),RIGHT(D474,2))=Helper1!$P$1,Helper1!$P$1,""))</f>
        <v/>
      </c>
      <c r="F474" s="3" t="str">
        <f>IF(A474="","",'ATP Fills'!G474)</f>
        <v/>
      </c>
      <c r="G474" t="str">
        <f>IF(A474="","",'ATP Fills'!H474)</f>
        <v/>
      </c>
      <c r="H474" t="str">
        <f>IF(A474="","",VLOOKUP(G474,表3_3[],2,0))</f>
        <v/>
      </c>
      <c r="I474" t="str">
        <f>IF(A474="","",VLOOKUP(G474,表3_3[],3,0))</f>
        <v/>
      </c>
      <c r="J474" t="str">
        <f>IF(A474="","",IF('ATP Fills'!I474="3M","",VLOOKUP(RIGHT('ATP Fills'!I474,2),Helper1!$O$36:$P$48,2,0)))</f>
        <v/>
      </c>
      <c r="K474" t="str">
        <f>IF(J474="","",LEFT('ATP Fills'!I474,4))</f>
        <v/>
      </c>
      <c r="L474" t="str">
        <f>IF(A474="","",IF('ATP Fills'!G474="LME",'ATP Fills'!I474,""))</f>
        <v/>
      </c>
      <c r="M474" t="str">
        <f t="shared" si="7"/>
        <v/>
      </c>
    </row>
    <row r="475" spans="1:13">
      <c r="A475" t="str">
        <f>IF('ATP Fills'!A475="","",IF('ATP Fills'!Q475="PHILLIPSG",'ATP Fills'!F475,""))</f>
        <v/>
      </c>
      <c r="B475" t="str">
        <f>IF(A475="","",'ATP Fills'!L475)</f>
        <v/>
      </c>
      <c r="C475" t="str">
        <f>IF(A475="","",'ATP Fills'!M475)</f>
        <v/>
      </c>
      <c r="D475" t="str">
        <f>IF(A475="","",'ATP Fills'!B475)</f>
        <v/>
      </c>
      <c r="E475" s="3" t="str">
        <f>IF(A475="","",IF(DATE(LEFT(D475,4),MID(D475,5,2),RIGHT(D475,2))=Helper1!$P$1,Helper1!$P$1,""))</f>
        <v/>
      </c>
      <c r="F475" s="3" t="str">
        <f>IF(A475="","",'ATP Fills'!G475)</f>
        <v/>
      </c>
      <c r="G475" t="str">
        <f>IF(A475="","",'ATP Fills'!H475)</f>
        <v/>
      </c>
      <c r="H475" t="str">
        <f>IF(A475="","",VLOOKUP(G475,表3_3[],2,0))</f>
        <v/>
      </c>
      <c r="I475" t="str">
        <f>IF(A475="","",VLOOKUP(G475,表3_3[],3,0))</f>
        <v/>
      </c>
      <c r="J475" t="str">
        <f>IF(A475="","",IF('ATP Fills'!I475="3M","",VLOOKUP(RIGHT('ATP Fills'!I475,2),Helper1!$O$36:$P$48,2,0)))</f>
        <v/>
      </c>
      <c r="K475" t="str">
        <f>IF(J475="","",LEFT('ATP Fills'!I475,4))</f>
        <v/>
      </c>
      <c r="L475" t="str">
        <f>IF(A475="","",IF('ATP Fills'!G475="LME",'ATP Fills'!I475,""))</f>
        <v/>
      </c>
      <c r="M475" t="str">
        <f t="shared" si="7"/>
        <v/>
      </c>
    </row>
    <row r="476" spans="1:13">
      <c r="A476" t="str">
        <f>IF('ATP Fills'!A476="","",IF('ATP Fills'!Q476="PHILLIPSG",'ATP Fills'!F476,""))</f>
        <v/>
      </c>
      <c r="B476" t="str">
        <f>IF(A476="","",'ATP Fills'!L476)</f>
        <v/>
      </c>
      <c r="C476" t="str">
        <f>IF(A476="","",'ATP Fills'!M476)</f>
        <v/>
      </c>
      <c r="D476" t="str">
        <f>IF(A476="","",'ATP Fills'!B476)</f>
        <v/>
      </c>
      <c r="E476" s="3" t="str">
        <f>IF(A476="","",IF(DATE(LEFT(D476,4),MID(D476,5,2),RIGHT(D476,2))=Helper1!$P$1,Helper1!$P$1,""))</f>
        <v/>
      </c>
      <c r="F476" s="3" t="str">
        <f>IF(A476="","",'ATP Fills'!G476)</f>
        <v/>
      </c>
      <c r="G476" t="str">
        <f>IF(A476="","",'ATP Fills'!H476)</f>
        <v/>
      </c>
      <c r="H476" t="str">
        <f>IF(A476="","",VLOOKUP(G476,表3_3[],2,0))</f>
        <v/>
      </c>
      <c r="I476" t="str">
        <f>IF(A476="","",VLOOKUP(G476,表3_3[],3,0))</f>
        <v/>
      </c>
      <c r="J476" t="str">
        <f>IF(A476="","",IF('ATP Fills'!I476="3M","",VLOOKUP(RIGHT('ATP Fills'!I476,2),Helper1!$O$36:$P$48,2,0)))</f>
        <v/>
      </c>
      <c r="K476" t="str">
        <f>IF(J476="","",LEFT('ATP Fills'!I476,4))</f>
        <v/>
      </c>
      <c r="L476" t="str">
        <f>IF(A476="","",IF('ATP Fills'!G476="LME",'ATP Fills'!I476,""))</f>
        <v/>
      </c>
      <c r="M476" t="str">
        <f t="shared" si="7"/>
        <v/>
      </c>
    </row>
    <row r="477" spans="1:13">
      <c r="A477" t="str">
        <f>IF('ATP Fills'!A477="","",IF('ATP Fills'!Q477="PHILLIPSG",'ATP Fills'!F477,""))</f>
        <v/>
      </c>
      <c r="B477" t="str">
        <f>IF(A477="","",'ATP Fills'!L477)</f>
        <v/>
      </c>
      <c r="C477" t="str">
        <f>IF(A477="","",'ATP Fills'!M477)</f>
        <v/>
      </c>
      <c r="D477" t="str">
        <f>IF(A477="","",'ATP Fills'!B477)</f>
        <v/>
      </c>
      <c r="E477" s="3" t="str">
        <f>IF(A477="","",IF(DATE(LEFT(D477,4),MID(D477,5,2),RIGHT(D477,2))=Helper1!$P$1,Helper1!$P$1,""))</f>
        <v/>
      </c>
      <c r="F477" s="3" t="str">
        <f>IF(A477="","",'ATP Fills'!G477)</f>
        <v/>
      </c>
      <c r="G477" t="str">
        <f>IF(A477="","",'ATP Fills'!H477)</f>
        <v/>
      </c>
      <c r="H477" t="str">
        <f>IF(A477="","",VLOOKUP(G477,表3_3[],2,0))</f>
        <v/>
      </c>
      <c r="I477" t="str">
        <f>IF(A477="","",VLOOKUP(G477,表3_3[],3,0))</f>
        <v/>
      </c>
      <c r="J477" t="str">
        <f>IF(A477="","",IF('ATP Fills'!I477="3M","",VLOOKUP(RIGHT('ATP Fills'!I477,2),Helper1!$O$36:$P$48,2,0)))</f>
        <v/>
      </c>
      <c r="K477" t="str">
        <f>IF(J477="","",LEFT('ATP Fills'!I477,4))</f>
        <v/>
      </c>
      <c r="L477" t="str">
        <f>IF(A477="","",IF('ATP Fills'!G477="LME",'ATP Fills'!I477,""))</f>
        <v/>
      </c>
      <c r="M477" t="str">
        <f t="shared" si="7"/>
        <v/>
      </c>
    </row>
    <row r="478" spans="1:13">
      <c r="A478" t="str">
        <f>IF('ATP Fills'!A478="","",IF('ATP Fills'!Q478="PHILLIPSG",'ATP Fills'!F478,""))</f>
        <v/>
      </c>
      <c r="B478" t="str">
        <f>IF(A478="","",'ATP Fills'!L478)</f>
        <v/>
      </c>
      <c r="C478" t="str">
        <f>IF(A478="","",'ATP Fills'!M478)</f>
        <v/>
      </c>
      <c r="D478" t="str">
        <f>IF(A478="","",'ATP Fills'!B478)</f>
        <v/>
      </c>
      <c r="E478" s="3" t="str">
        <f>IF(A478="","",IF(DATE(LEFT(D478,4),MID(D478,5,2),RIGHT(D478,2))=Helper1!$P$1,Helper1!$P$1,""))</f>
        <v/>
      </c>
      <c r="F478" s="3" t="str">
        <f>IF(A478="","",'ATP Fills'!G478)</f>
        <v/>
      </c>
      <c r="G478" t="str">
        <f>IF(A478="","",'ATP Fills'!H478)</f>
        <v/>
      </c>
      <c r="H478" t="str">
        <f>IF(A478="","",VLOOKUP(G478,表3_3[],2,0))</f>
        <v/>
      </c>
      <c r="I478" t="str">
        <f>IF(A478="","",VLOOKUP(G478,表3_3[],3,0))</f>
        <v/>
      </c>
      <c r="J478" t="str">
        <f>IF(A478="","",IF('ATP Fills'!I478="3M","",VLOOKUP(RIGHT('ATP Fills'!I478,2),Helper1!$O$36:$P$48,2,0)))</f>
        <v/>
      </c>
      <c r="K478" t="str">
        <f>IF(J478="","",LEFT('ATP Fills'!I478,4))</f>
        <v/>
      </c>
      <c r="L478" t="str">
        <f>IF(A478="","",IF('ATP Fills'!G478="LME",'ATP Fills'!I478,""))</f>
        <v/>
      </c>
      <c r="M478" t="str">
        <f t="shared" si="7"/>
        <v/>
      </c>
    </row>
    <row r="479" spans="1:13">
      <c r="A479" t="str">
        <f>IF('ATP Fills'!A479="","",IF('ATP Fills'!Q479="PHILLIPSG",'ATP Fills'!F479,""))</f>
        <v/>
      </c>
      <c r="B479" t="str">
        <f>IF(A479="","",'ATP Fills'!L479)</f>
        <v/>
      </c>
      <c r="C479" t="str">
        <f>IF(A479="","",'ATP Fills'!M479)</f>
        <v/>
      </c>
      <c r="D479" t="str">
        <f>IF(A479="","",'ATP Fills'!B479)</f>
        <v/>
      </c>
      <c r="E479" s="3" t="str">
        <f>IF(A479="","",IF(DATE(LEFT(D479,4),MID(D479,5,2),RIGHT(D479,2))=Helper1!$P$1,Helper1!$P$1,""))</f>
        <v/>
      </c>
      <c r="F479" s="3" t="str">
        <f>IF(A479="","",'ATP Fills'!G479)</f>
        <v/>
      </c>
      <c r="G479" t="str">
        <f>IF(A479="","",'ATP Fills'!H479)</f>
        <v/>
      </c>
      <c r="H479" t="str">
        <f>IF(A479="","",VLOOKUP(G479,表3_3[],2,0))</f>
        <v/>
      </c>
      <c r="I479" t="str">
        <f>IF(A479="","",VLOOKUP(G479,表3_3[],3,0))</f>
        <v/>
      </c>
      <c r="J479" t="str">
        <f>IF(A479="","",IF('ATP Fills'!I479="3M","",VLOOKUP(RIGHT('ATP Fills'!I479,2),Helper1!$O$36:$P$48,2,0)))</f>
        <v/>
      </c>
      <c r="K479" t="str">
        <f>IF(J479="","",LEFT('ATP Fills'!I479,4))</f>
        <v/>
      </c>
      <c r="L479" t="str">
        <f>IF(A479="","",IF('ATP Fills'!G479="LME",'ATP Fills'!I479,""))</f>
        <v/>
      </c>
      <c r="M479" t="str">
        <f t="shared" si="7"/>
        <v/>
      </c>
    </row>
    <row r="480" spans="1:13">
      <c r="A480" t="str">
        <f>IF('ATP Fills'!A480="","",IF('ATP Fills'!Q480="PHILLIPSG",'ATP Fills'!F480,""))</f>
        <v/>
      </c>
      <c r="B480" t="str">
        <f>IF(A480="","",'ATP Fills'!L480)</f>
        <v/>
      </c>
      <c r="C480" t="str">
        <f>IF(A480="","",'ATP Fills'!M480)</f>
        <v/>
      </c>
      <c r="D480" t="str">
        <f>IF(A480="","",'ATP Fills'!B480)</f>
        <v/>
      </c>
      <c r="E480" s="3" t="str">
        <f>IF(A480="","",IF(DATE(LEFT(D480,4),MID(D480,5,2),RIGHT(D480,2))=Helper1!$P$1,Helper1!$P$1,""))</f>
        <v/>
      </c>
      <c r="F480" s="3" t="str">
        <f>IF(A480="","",'ATP Fills'!G480)</f>
        <v/>
      </c>
      <c r="G480" t="str">
        <f>IF(A480="","",'ATP Fills'!H480)</f>
        <v/>
      </c>
      <c r="H480" t="str">
        <f>IF(A480="","",VLOOKUP(G480,表3_3[],2,0))</f>
        <v/>
      </c>
      <c r="I480" t="str">
        <f>IF(A480="","",VLOOKUP(G480,表3_3[],3,0))</f>
        <v/>
      </c>
      <c r="J480" t="str">
        <f>IF(A480="","",IF('ATP Fills'!I480="3M","",VLOOKUP(RIGHT('ATP Fills'!I480,2),Helper1!$O$36:$P$48,2,0)))</f>
        <v/>
      </c>
      <c r="K480" t="str">
        <f>IF(J480="","",LEFT('ATP Fills'!I480,4))</f>
        <v/>
      </c>
      <c r="L480" t="str">
        <f>IF(A480="","",IF('ATP Fills'!G480="LME",'ATP Fills'!I480,""))</f>
        <v/>
      </c>
      <c r="M480" t="str">
        <f t="shared" si="7"/>
        <v/>
      </c>
    </row>
    <row r="481" spans="1:13">
      <c r="A481" t="str">
        <f>IF('ATP Fills'!A481="","",IF('ATP Fills'!Q481="PHILLIPSG",'ATP Fills'!F481,""))</f>
        <v/>
      </c>
      <c r="B481" t="str">
        <f>IF(A481="","",'ATP Fills'!L481)</f>
        <v/>
      </c>
      <c r="C481" t="str">
        <f>IF(A481="","",'ATP Fills'!M481)</f>
        <v/>
      </c>
      <c r="D481" t="str">
        <f>IF(A481="","",'ATP Fills'!B481)</f>
        <v/>
      </c>
      <c r="E481" s="3" t="str">
        <f>IF(A481="","",IF(DATE(LEFT(D481,4),MID(D481,5,2),RIGHT(D481,2))=Helper1!$P$1,Helper1!$P$1,""))</f>
        <v/>
      </c>
      <c r="F481" s="3" t="str">
        <f>IF(A481="","",'ATP Fills'!G481)</f>
        <v/>
      </c>
      <c r="G481" t="str">
        <f>IF(A481="","",'ATP Fills'!H481)</f>
        <v/>
      </c>
      <c r="H481" t="str">
        <f>IF(A481="","",VLOOKUP(G481,表3_3[],2,0))</f>
        <v/>
      </c>
      <c r="I481" t="str">
        <f>IF(A481="","",VLOOKUP(G481,表3_3[],3,0))</f>
        <v/>
      </c>
      <c r="J481" t="str">
        <f>IF(A481="","",IF('ATP Fills'!I481="3M","",VLOOKUP(RIGHT('ATP Fills'!I481,2),Helper1!$O$36:$P$48,2,0)))</f>
        <v/>
      </c>
      <c r="K481" t="str">
        <f>IF(J481="","",LEFT('ATP Fills'!I481,4))</f>
        <v/>
      </c>
      <c r="L481" t="str">
        <f>IF(A481="","",IF('ATP Fills'!G481="LME",'ATP Fills'!I481,""))</f>
        <v/>
      </c>
      <c r="M481" t="str">
        <f t="shared" si="7"/>
        <v/>
      </c>
    </row>
    <row r="482" spans="1:13">
      <c r="A482" t="str">
        <f>IF('ATP Fills'!A482="","",IF('ATP Fills'!Q482="PHILLIPSG",'ATP Fills'!F482,""))</f>
        <v/>
      </c>
      <c r="B482" t="str">
        <f>IF(A482="","",'ATP Fills'!L482)</f>
        <v/>
      </c>
      <c r="C482" t="str">
        <f>IF(A482="","",'ATP Fills'!M482)</f>
        <v/>
      </c>
      <c r="D482" t="str">
        <f>IF(A482="","",'ATP Fills'!B482)</f>
        <v/>
      </c>
      <c r="E482" s="3" t="str">
        <f>IF(A482="","",IF(DATE(LEFT(D482,4),MID(D482,5,2),RIGHT(D482,2))=Helper1!$P$1,Helper1!$P$1,""))</f>
        <v/>
      </c>
      <c r="F482" s="3" t="str">
        <f>IF(A482="","",'ATP Fills'!G482)</f>
        <v/>
      </c>
      <c r="G482" t="str">
        <f>IF(A482="","",'ATP Fills'!H482)</f>
        <v/>
      </c>
      <c r="H482" t="str">
        <f>IF(A482="","",VLOOKUP(G482,表3_3[],2,0))</f>
        <v/>
      </c>
      <c r="I482" t="str">
        <f>IF(A482="","",VLOOKUP(G482,表3_3[],3,0))</f>
        <v/>
      </c>
      <c r="J482" t="str">
        <f>IF(A482="","",IF('ATP Fills'!I482="3M","",VLOOKUP(RIGHT('ATP Fills'!I482,2),Helper1!$O$36:$P$48,2,0)))</f>
        <v/>
      </c>
      <c r="K482" t="str">
        <f>IF(J482="","",LEFT('ATP Fills'!I482,4))</f>
        <v/>
      </c>
      <c r="L482" t="str">
        <f>IF(A482="","",IF('ATP Fills'!G482="LME",'ATP Fills'!I482,""))</f>
        <v/>
      </c>
      <c r="M482" t="str">
        <f t="shared" si="7"/>
        <v/>
      </c>
    </row>
    <row r="483" spans="1:13">
      <c r="A483" t="str">
        <f>IF('ATP Fills'!A483="","",IF('ATP Fills'!Q483="PHILLIPSG",'ATP Fills'!F483,""))</f>
        <v/>
      </c>
      <c r="B483" t="str">
        <f>IF(A483="","",'ATP Fills'!L483)</f>
        <v/>
      </c>
      <c r="C483" t="str">
        <f>IF(A483="","",'ATP Fills'!M483)</f>
        <v/>
      </c>
      <c r="D483" t="str">
        <f>IF(A483="","",'ATP Fills'!B483)</f>
        <v/>
      </c>
      <c r="E483" s="3" t="str">
        <f>IF(A483="","",IF(DATE(LEFT(D483,4),MID(D483,5,2),RIGHT(D483,2))=Helper1!$P$1,Helper1!$P$1,""))</f>
        <v/>
      </c>
      <c r="F483" s="3" t="str">
        <f>IF(A483="","",'ATP Fills'!G483)</f>
        <v/>
      </c>
      <c r="G483" t="str">
        <f>IF(A483="","",'ATP Fills'!H483)</f>
        <v/>
      </c>
      <c r="H483" t="str">
        <f>IF(A483="","",VLOOKUP(G483,表3_3[],2,0))</f>
        <v/>
      </c>
      <c r="I483" t="str">
        <f>IF(A483="","",VLOOKUP(G483,表3_3[],3,0))</f>
        <v/>
      </c>
      <c r="J483" t="str">
        <f>IF(A483="","",IF('ATP Fills'!I483="3M","",VLOOKUP(RIGHT('ATP Fills'!I483,2),Helper1!$O$36:$P$48,2,0)))</f>
        <v/>
      </c>
      <c r="K483" t="str">
        <f>IF(J483="","",LEFT('ATP Fills'!I483,4))</f>
        <v/>
      </c>
      <c r="L483" t="str">
        <f>IF(A483="","",IF('ATP Fills'!G483="LME",'ATP Fills'!I483,""))</f>
        <v/>
      </c>
      <c r="M483" t="str">
        <f t="shared" si="7"/>
        <v/>
      </c>
    </row>
    <row r="484" spans="1:13">
      <c r="A484" t="str">
        <f>IF('ATP Fills'!A484="","",IF('ATP Fills'!Q484="PHILLIPSG",'ATP Fills'!F484,""))</f>
        <v/>
      </c>
      <c r="B484" t="str">
        <f>IF(A484="","",'ATP Fills'!L484)</f>
        <v/>
      </c>
      <c r="C484" t="str">
        <f>IF(A484="","",'ATP Fills'!M484)</f>
        <v/>
      </c>
      <c r="D484" t="str">
        <f>IF(A484="","",'ATP Fills'!B484)</f>
        <v/>
      </c>
      <c r="E484" s="3" t="str">
        <f>IF(A484="","",IF(DATE(LEFT(D484,4),MID(D484,5,2),RIGHT(D484,2))=Helper1!$P$1,Helper1!$P$1,""))</f>
        <v/>
      </c>
      <c r="F484" s="3" t="str">
        <f>IF(A484="","",'ATP Fills'!G484)</f>
        <v/>
      </c>
      <c r="G484" t="str">
        <f>IF(A484="","",'ATP Fills'!H484)</f>
        <v/>
      </c>
      <c r="H484" t="str">
        <f>IF(A484="","",VLOOKUP(G484,表3_3[],2,0))</f>
        <v/>
      </c>
      <c r="I484" t="str">
        <f>IF(A484="","",VLOOKUP(G484,表3_3[],3,0))</f>
        <v/>
      </c>
      <c r="J484" t="str">
        <f>IF(A484="","",IF('ATP Fills'!I484="3M","",VLOOKUP(RIGHT('ATP Fills'!I484,2),Helper1!$O$36:$P$48,2,0)))</f>
        <v/>
      </c>
      <c r="K484" t="str">
        <f>IF(J484="","",LEFT('ATP Fills'!I484,4))</f>
        <v/>
      </c>
      <c r="L484" t="str">
        <f>IF(A484="","",IF('ATP Fills'!G484="LME",'ATP Fills'!I484,""))</f>
        <v/>
      </c>
      <c r="M484" t="str">
        <f t="shared" si="7"/>
        <v/>
      </c>
    </row>
    <row r="485" spans="1:13">
      <c r="A485" t="str">
        <f>IF('ATP Fills'!A485="","",IF('ATP Fills'!Q485="PHILLIPSG",'ATP Fills'!F485,""))</f>
        <v/>
      </c>
      <c r="B485" t="str">
        <f>IF(A485="","",'ATP Fills'!L485)</f>
        <v/>
      </c>
      <c r="C485" t="str">
        <f>IF(A485="","",'ATP Fills'!M485)</f>
        <v/>
      </c>
      <c r="D485" t="str">
        <f>IF(A485="","",'ATP Fills'!B485)</f>
        <v/>
      </c>
      <c r="E485" s="3" t="str">
        <f>IF(A485="","",IF(DATE(LEFT(D485,4),MID(D485,5,2),RIGHT(D485,2))=Helper1!$P$1,Helper1!$P$1,""))</f>
        <v/>
      </c>
      <c r="F485" s="3" t="str">
        <f>IF(A485="","",'ATP Fills'!G485)</f>
        <v/>
      </c>
      <c r="G485" t="str">
        <f>IF(A485="","",'ATP Fills'!H485)</f>
        <v/>
      </c>
      <c r="H485" t="str">
        <f>IF(A485="","",VLOOKUP(G485,表3_3[],2,0))</f>
        <v/>
      </c>
      <c r="I485" t="str">
        <f>IF(A485="","",VLOOKUP(G485,表3_3[],3,0))</f>
        <v/>
      </c>
      <c r="J485" t="str">
        <f>IF(A485="","",IF('ATP Fills'!I485="3M","",VLOOKUP(RIGHT('ATP Fills'!I485,2),Helper1!$O$36:$P$48,2,0)))</f>
        <v/>
      </c>
      <c r="K485" t="str">
        <f>IF(J485="","",LEFT('ATP Fills'!I485,4))</f>
        <v/>
      </c>
      <c r="L485" t="str">
        <f>IF(A485="","",IF('ATP Fills'!G485="LME",'ATP Fills'!I485,""))</f>
        <v/>
      </c>
      <c r="M485" t="str">
        <f t="shared" si="7"/>
        <v/>
      </c>
    </row>
    <row r="486" spans="1:13">
      <c r="A486" t="str">
        <f>IF('ATP Fills'!A486="","",IF('ATP Fills'!Q486="PHILLIPSG",'ATP Fills'!F486,""))</f>
        <v/>
      </c>
      <c r="B486" t="str">
        <f>IF(A486="","",'ATP Fills'!L486)</f>
        <v/>
      </c>
      <c r="C486" t="str">
        <f>IF(A486="","",'ATP Fills'!M486)</f>
        <v/>
      </c>
      <c r="D486" t="str">
        <f>IF(A486="","",'ATP Fills'!B486)</f>
        <v/>
      </c>
      <c r="E486" s="3" t="str">
        <f>IF(A486="","",IF(DATE(LEFT(D486,4),MID(D486,5,2),RIGHT(D486,2))=Helper1!$P$1,Helper1!$P$1,""))</f>
        <v/>
      </c>
      <c r="F486" s="3" t="str">
        <f>IF(A486="","",'ATP Fills'!G486)</f>
        <v/>
      </c>
      <c r="G486" t="str">
        <f>IF(A486="","",'ATP Fills'!H486)</f>
        <v/>
      </c>
      <c r="H486" t="str">
        <f>IF(A486="","",VLOOKUP(G486,表3_3[],2,0))</f>
        <v/>
      </c>
      <c r="I486" t="str">
        <f>IF(A486="","",VLOOKUP(G486,表3_3[],3,0))</f>
        <v/>
      </c>
      <c r="J486" t="str">
        <f>IF(A486="","",IF('ATP Fills'!I486="3M","",VLOOKUP(RIGHT('ATP Fills'!I486,2),Helper1!$O$36:$P$48,2,0)))</f>
        <v/>
      </c>
      <c r="K486" t="str">
        <f>IF(J486="","",LEFT('ATP Fills'!I486,4))</f>
        <v/>
      </c>
      <c r="L486" t="str">
        <f>IF(A486="","",IF('ATP Fills'!G486="LME",'ATP Fills'!I486,""))</f>
        <v/>
      </c>
      <c r="M486" t="str">
        <f t="shared" si="7"/>
        <v/>
      </c>
    </row>
    <row r="487" spans="1:13">
      <c r="A487" t="str">
        <f>IF('ATP Fills'!A487="","",IF('ATP Fills'!Q487="PHILLIPSG",'ATP Fills'!F487,""))</f>
        <v/>
      </c>
      <c r="B487" t="str">
        <f>IF(A487="","",'ATP Fills'!L487)</f>
        <v/>
      </c>
      <c r="C487" t="str">
        <f>IF(A487="","",'ATP Fills'!M487)</f>
        <v/>
      </c>
      <c r="D487" t="str">
        <f>IF(A487="","",'ATP Fills'!B487)</f>
        <v/>
      </c>
      <c r="E487" s="3" t="str">
        <f>IF(A487="","",IF(DATE(LEFT(D487,4),MID(D487,5,2),RIGHT(D487,2))=Helper1!$P$1,Helper1!$P$1,""))</f>
        <v/>
      </c>
      <c r="F487" s="3" t="str">
        <f>IF(A487="","",'ATP Fills'!G487)</f>
        <v/>
      </c>
      <c r="G487" t="str">
        <f>IF(A487="","",'ATP Fills'!H487)</f>
        <v/>
      </c>
      <c r="H487" t="str">
        <f>IF(A487="","",VLOOKUP(G487,表3_3[],2,0))</f>
        <v/>
      </c>
      <c r="I487" t="str">
        <f>IF(A487="","",VLOOKUP(G487,表3_3[],3,0))</f>
        <v/>
      </c>
      <c r="J487" t="str">
        <f>IF(A487="","",IF('ATP Fills'!I487="3M","",VLOOKUP(RIGHT('ATP Fills'!I487,2),Helper1!$O$36:$P$48,2,0)))</f>
        <v/>
      </c>
      <c r="K487" t="str">
        <f>IF(J487="","",LEFT('ATP Fills'!I487,4))</f>
        <v/>
      </c>
      <c r="L487" t="str">
        <f>IF(A487="","",IF('ATP Fills'!G487="LME",'ATP Fills'!I487,""))</f>
        <v/>
      </c>
      <c r="M487" t="str">
        <f t="shared" si="7"/>
        <v/>
      </c>
    </row>
    <row r="488" spans="1:13">
      <c r="A488" t="str">
        <f>IF('ATP Fills'!A488="","",IF('ATP Fills'!Q488="PHILLIPSG",'ATP Fills'!F488,""))</f>
        <v/>
      </c>
      <c r="B488" t="str">
        <f>IF(A488="","",'ATP Fills'!L488)</f>
        <v/>
      </c>
      <c r="C488" t="str">
        <f>IF(A488="","",'ATP Fills'!M488)</f>
        <v/>
      </c>
      <c r="D488" t="str">
        <f>IF(A488="","",'ATP Fills'!B488)</f>
        <v/>
      </c>
      <c r="E488" s="3" t="str">
        <f>IF(A488="","",IF(DATE(LEFT(D488,4),MID(D488,5,2),RIGHT(D488,2))=Helper1!$P$1,Helper1!$P$1,""))</f>
        <v/>
      </c>
      <c r="F488" s="3" t="str">
        <f>IF(A488="","",'ATP Fills'!G488)</f>
        <v/>
      </c>
      <c r="G488" t="str">
        <f>IF(A488="","",'ATP Fills'!H488)</f>
        <v/>
      </c>
      <c r="H488" t="str">
        <f>IF(A488="","",VLOOKUP(G488,表3_3[],2,0))</f>
        <v/>
      </c>
      <c r="I488" t="str">
        <f>IF(A488="","",VLOOKUP(G488,表3_3[],3,0))</f>
        <v/>
      </c>
      <c r="J488" t="str">
        <f>IF(A488="","",IF('ATP Fills'!I488="3M","",VLOOKUP(RIGHT('ATP Fills'!I488,2),Helper1!$O$36:$P$48,2,0)))</f>
        <v/>
      </c>
      <c r="K488" t="str">
        <f>IF(J488="","",LEFT('ATP Fills'!I488,4))</f>
        <v/>
      </c>
      <c r="L488" t="str">
        <f>IF(A488="","",IF('ATP Fills'!G488="LME",'ATP Fills'!I488,""))</f>
        <v/>
      </c>
      <c r="M488" t="str">
        <f t="shared" si="7"/>
        <v/>
      </c>
    </row>
    <row r="489" spans="1:13">
      <c r="A489" t="str">
        <f>IF('ATP Fills'!A489="","",IF('ATP Fills'!Q489="PHILLIPSG",'ATP Fills'!F489,""))</f>
        <v/>
      </c>
      <c r="B489" t="str">
        <f>IF(A489="","",'ATP Fills'!L489)</f>
        <v/>
      </c>
      <c r="C489" t="str">
        <f>IF(A489="","",'ATP Fills'!M489)</f>
        <v/>
      </c>
      <c r="D489" t="str">
        <f>IF(A489="","",'ATP Fills'!B489)</f>
        <v/>
      </c>
      <c r="E489" s="3" t="str">
        <f>IF(A489="","",IF(DATE(LEFT(D489,4),MID(D489,5,2),RIGHT(D489,2))=Helper1!$P$1,Helper1!$P$1,""))</f>
        <v/>
      </c>
      <c r="F489" s="3" t="str">
        <f>IF(A489="","",'ATP Fills'!G489)</f>
        <v/>
      </c>
      <c r="G489" t="str">
        <f>IF(A489="","",'ATP Fills'!H489)</f>
        <v/>
      </c>
      <c r="H489" t="str">
        <f>IF(A489="","",VLOOKUP(G489,表3_3[],2,0))</f>
        <v/>
      </c>
      <c r="I489" t="str">
        <f>IF(A489="","",VLOOKUP(G489,表3_3[],3,0))</f>
        <v/>
      </c>
      <c r="J489" t="str">
        <f>IF(A489="","",IF('ATP Fills'!I489="3M","",VLOOKUP(RIGHT('ATP Fills'!I489,2),Helper1!$O$36:$P$48,2,0)))</f>
        <v/>
      </c>
      <c r="K489" t="str">
        <f>IF(J489="","",LEFT('ATP Fills'!I489,4))</f>
        <v/>
      </c>
      <c r="L489" t="str">
        <f>IF(A489="","",IF('ATP Fills'!G489="LME",'ATP Fills'!I489,""))</f>
        <v/>
      </c>
      <c r="M489" t="str">
        <f t="shared" si="7"/>
        <v/>
      </c>
    </row>
    <row r="490" spans="1:13">
      <c r="A490" t="str">
        <f>IF('ATP Fills'!A490="","",IF('ATP Fills'!Q490="PHILLIPSG",'ATP Fills'!F490,""))</f>
        <v/>
      </c>
      <c r="B490" t="str">
        <f>IF(A490="","",'ATP Fills'!L490)</f>
        <v/>
      </c>
      <c r="C490" t="str">
        <f>IF(A490="","",'ATP Fills'!M490)</f>
        <v/>
      </c>
      <c r="D490" t="str">
        <f>IF(A490="","",'ATP Fills'!B490)</f>
        <v/>
      </c>
      <c r="E490" s="3" t="str">
        <f>IF(A490="","",IF(DATE(LEFT(D490,4),MID(D490,5,2),RIGHT(D490,2))=Helper1!$P$1,Helper1!$P$1,""))</f>
        <v/>
      </c>
      <c r="F490" s="3" t="str">
        <f>IF(A490="","",'ATP Fills'!G490)</f>
        <v/>
      </c>
      <c r="G490" t="str">
        <f>IF(A490="","",'ATP Fills'!H490)</f>
        <v/>
      </c>
      <c r="H490" t="str">
        <f>IF(A490="","",VLOOKUP(G490,表3_3[],2,0))</f>
        <v/>
      </c>
      <c r="I490" t="str">
        <f>IF(A490="","",VLOOKUP(G490,表3_3[],3,0))</f>
        <v/>
      </c>
      <c r="J490" t="str">
        <f>IF(A490="","",IF('ATP Fills'!I490="3M","",VLOOKUP(RIGHT('ATP Fills'!I490,2),Helper1!$O$36:$P$48,2,0)))</f>
        <v/>
      </c>
      <c r="K490" t="str">
        <f>IF(J490="","",LEFT('ATP Fills'!I490,4))</f>
        <v/>
      </c>
      <c r="L490" t="str">
        <f>IF(A490="","",IF('ATP Fills'!G490="LME",'ATP Fills'!I490,""))</f>
        <v/>
      </c>
      <c r="M490" t="str">
        <f t="shared" si="7"/>
        <v/>
      </c>
    </row>
    <row r="491" spans="1:13">
      <c r="A491" t="str">
        <f>IF('ATP Fills'!A491="","",IF('ATP Fills'!Q491="PHILLIPSG",'ATP Fills'!F491,""))</f>
        <v/>
      </c>
      <c r="B491" t="str">
        <f>IF(A491="","",'ATP Fills'!L491)</f>
        <v/>
      </c>
      <c r="C491" t="str">
        <f>IF(A491="","",'ATP Fills'!M491)</f>
        <v/>
      </c>
      <c r="D491" t="str">
        <f>IF(A491="","",'ATP Fills'!B491)</f>
        <v/>
      </c>
      <c r="E491" s="3" t="str">
        <f>IF(A491="","",IF(DATE(LEFT(D491,4),MID(D491,5,2),RIGHT(D491,2))=Helper1!$P$1,Helper1!$P$1,""))</f>
        <v/>
      </c>
      <c r="F491" s="3" t="str">
        <f>IF(A491="","",'ATP Fills'!G491)</f>
        <v/>
      </c>
      <c r="G491" t="str">
        <f>IF(A491="","",'ATP Fills'!H491)</f>
        <v/>
      </c>
      <c r="H491" t="str">
        <f>IF(A491="","",VLOOKUP(G491,表3_3[],2,0))</f>
        <v/>
      </c>
      <c r="I491" t="str">
        <f>IF(A491="","",VLOOKUP(G491,表3_3[],3,0))</f>
        <v/>
      </c>
      <c r="J491" t="str">
        <f>IF(A491="","",IF('ATP Fills'!I491="3M","",VLOOKUP(RIGHT('ATP Fills'!I491,2),Helper1!$O$36:$P$48,2,0)))</f>
        <v/>
      </c>
      <c r="K491" t="str">
        <f>IF(J491="","",LEFT('ATP Fills'!I491,4))</f>
        <v/>
      </c>
      <c r="L491" t="str">
        <f>IF(A491="","",IF('ATP Fills'!G491="LME",'ATP Fills'!I491,""))</f>
        <v/>
      </c>
      <c r="M491" t="str">
        <f t="shared" si="7"/>
        <v/>
      </c>
    </row>
    <row r="492" spans="1:13">
      <c r="A492" t="str">
        <f>IF('ATP Fills'!A492="","",IF('ATP Fills'!Q492="PHILLIPSG",'ATP Fills'!F492,""))</f>
        <v/>
      </c>
      <c r="B492" t="str">
        <f>IF(A492="","",'ATP Fills'!L492)</f>
        <v/>
      </c>
      <c r="C492" t="str">
        <f>IF(A492="","",'ATP Fills'!M492)</f>
        <v/>
      </c>
      <c r="D492" t="str">
        <f>IF(A492="","",'ATP Fills'!B492)</f>
        <v/>
      </c>
      <c r="E492" s="3" t="str">
        <f>IF(A492="","",IF(DATE(LEFT(D492,4),MID(D492,5,2),RIGHT(D492,2))=Helper1!$P$1,Helper1!$P$1,""))</f>
        <v/>
      </c>
      <c r="F492" s="3" t="str">
        <f>IF(A492="","",'ATP Fills'!G492)</f>
        <v/>
      </c>
      <c r="G492" t="str">
        <f>IF(A492="","",'ATP Fills'!H492)</f>
        <v/>
      </c>
      <c r="H492" t="str">
        <f>IF(A492="","",VLOOKUP(G492,表3_3[],2,0))</f>
        <v/>
      </c>
      <c r="I492" t="str">
        <f>IF(A492="","",VLOOKUP(G492,表3_3[],3,0))</f>
        <v/>
      </c>
      <c r="J492" t="str">
        <f>IF(A492="","",IF('ATP Fills'!I492="3M","",VLOOKUP(RIGHT('ATP Fills'!I492,2),Helper1!$O$36:$P$48,2,0)))</f>
        <v/>
      </c>
      <c r="K492" t="str">
        <f>IF(J492="","",LEFT('ATP Fills'!I492,4))</f>
        <v/>
      </c>
      <c r="L492" t="str">
        <f>IF(A492="","",IF('ATP Fills'!G492="LME",'ATP Fills'!I492,""))</f>
        <v/>
      </c>
      <c r="M492" t="str">
        <f t="shared" si="7"/>
        <v/>
      </c>
    </row>
    <row r="493" spans="1:13">
      <c r="A493" t="str">
        <f>IF('ATP Fills'!A493="","",IF('ATP Fills'!Q493="PHILLIPSG",'ATP Fills'!F493,""))</f>
        <v/>
      </c>
      <c r="B493" t="str">
        <f>IF(A493="","",'ATP Fills'!L493)</f>
        <v/>
      </c>
      <c r="C493" t="str">
        <f>IF(A493="","",'ATP Fills'!M493)</f>
        <v/>
      </c>
      <c r="D493" t="str">
        <f>IF(A493="","",'ATP Fills'!B493)</f>
        <v/>
      </c>
      <c r="E493" s="3" t="str">
        <f>IF(A493="","",IF(DATE(LEFT(D493,4),MID(D493,5,2),RIGHT(D493,2))=Helper1!$P$1,Helper1!$P$1,""))</f>
        <v/>
      </c>
      <c r="F493" s="3" t="str">
        <f>IF(A493="","",'ATP Fills'!G493)</f>
        <v/>
      </c>
      <c r="G493" t="str">
        <f>IF(A493="","",'ATP Fills'!H493)</f>
        <v/>
      </c>
      <c r="H493" t="str">
        <f>IF(A493="","",VLOOKUP(G493,表3_3[],2,0))</f>
        <v/>
      </c>
      <c r="I493" t="str">
        <f>IF(A493="","",VLOOKUP(G493,表3_3[],3,0))</f>
        <v/>
      </c>
      <c r="J493" t="str">
        <f>IF(A493="","",IF('ATP Fills'!I493="3M","",VLOOKUP(RIGHT('ATP Fills'!I493,2),Helper1!$O$36:$P$48,2,0)))</f>
        <v/>
      </c>
      <c r="K493" t="str">
        <f>IF(J493="","",LEFT('ATP Fills'!I493,4))</f>
        <v/>
      </c>
      <c r="L493" t="str">
        <f>IF(A493="","",IF('ATP Fills'!G493="LME",'ATP Fills'!I493,""))</f>
        <v/>
      </c>
      <c r="M493" t="str">
        <f t="shared" si="7"/>
        <v/>
      </c>
    </row>
    <row r="494" spans="1:13">
      <c r="A494" t="str">
        <f>IF('ATP Fills'!A494="","",IF('ATP Fills'!Q494="PHILLIPSG",'ATP Fills'!F494,""))</f>
        <v/>
      </c>
      <c r="B494" t="str">
        <f>IF(A494="","",'ATP Fills'!L494)</f>
        <v/>
      </c>
      <c r="C494" t="str">
        <f>IF(A494="","",'ATP Fills'!M494)</f>
        <v/>
      </c>
      <c r="D494" t="str">
        <f>IF(A494="","",'ATP Fills'!B494)</f>
        <v/>
      </c>
      <c r="E494" s="3" t="str">
        <f>IF(A494="","",IF(DATE(LEFT(D494,4),MID(D494,5,2),RIGHT(D494,2))=Helper1!$P$1,Helper1!$P$1,""))</f>
        <v/>
      </c>
      <c r="F494" s="3" t="str">
        <f>IF(A494="","",'ATP Fills'!G494)</f>
        <v/>
      </c>
      <c r="G494" t="str">
        <f>IF(A494="","",'ATP Fills'!H494)</f>
        <v/>
      </c>
      <c r="H494" t="str">
        <f>IF(A494="","",VLOOKUP(G494,表3_3[],2,0))</f>
        <v/>
      </c>
      <c r="I494" t="str">
        <f>IF(A494="","",VLOOKUP(G494,表3_3[],3,0))</f>
        <v/>
      </c>
      <c r="J494" t="str">
        <f>IF(A494="","",IF('ATP Fills'!I494="3M","",VLOOKUP(RIGHT('ATP Fills'!I494,2),Helper1!$O$36:$P$48,2,0)))</f>
        <v/>
      </c>
      <c r="K494" t="str">
        <f>IF(J494="","",LEFT('ATP Fills'!I494,4))</f>
        <v/>
      </c>
      <c r="L494" t="str">
        <f>IF(A494="","",IF('ATP Fills'!G494="LME",'ATP Fills'!I494,""))</f>
        <v/>
      </c>
      <c r="M494" t="str">
        <f t="shared" si="7"/>
        <v/>
      </c>
    </row>
    <row r="495" spans="1:13">
      <c r="A495" t="str">
        <f>IF('ATP Fills'!A495="","",IF('ATP Fills'!Q495="PHILLIPSG",'ATP Fills'!F495,""))</f>
        <v/>
      </c>
      <c r="B495" t="str">
        <f>IF(A495="","",'ATP Fills'!L495)</f>
        <v/>
      </c>
      <c r="C495" t="str">
        <f>IF(A495="","",'ATP Fills'!M495)</f>
        <v/>
      </c>
      <c r="D495" t="str">
        <f>IF(A495="","",'ATP Fills'!B495)</f>
        <v/>
      </c>
      <c r="E495" s="3" t="str">
        <f>IF(A495="","",IF(DATE(LEFT(D495,4),MID(D495,5,2),RIGHT(D495,2))=Helper1!$P$1,Helper1!$P$1,""))</f>
        <v/>
      </c>
      <c r="F495" s="3" t="str">
        <f>IF(A495="","",'ATP Fills'!G495)</f>
        <v/>
      </c>
      <c r="G495" t="str">
        <f>IF(A495="","",'ATP Fills'!H495)</f>
        <v/>
      </c>
      <c r="H495" t="str">
        <f>IF(A495="","",VLOOKUP(G495,表3_3[],2,0))</f>
        <v/>
      </c>
      <c r="I495" t="str">
        <f>IF(A495="","",VLOOKUP(G495,表3_3[],3,0))</f>
        <v/>
      </c>
      <c r="J495" t="str">
        <f>IF(A495="","",IF('ATP Fills'!I495="3M","",VLOOKUP(RIGHT('ATP Fills'!I495,2),Helper1!$O$36:$P$48,2,0)))</f>
        <v/>
      </c>
      <c r="K495" t="str">
        <f>IF(J495="","",LEFT('ATP Fills'!I495,4))</f>
        <v/>
      </c>
      <c r="L495" t="str">
        <f>IF(A495="","",IF('ATP Fills'!G495="LME",'ATP Fills'!I495,""))</f>
        <v/>
      </c>
      <c r="M495" t="str">
        <f t="shared" si="7"/>
        <v/>
      </c>
    </row>
    <row r="496" spans="1:13">
      <c r="A496" t="str">
        <f>IF('ATP Fills'!A496="","",IF('ATP Fills'!Q496="PHILLIPSG",'ATP Fills'!F496,""))</f>
        <v/>
      </c>
      <c r="B496" t="str">
        <f>IF(A496="","",'ATP Fills'!L496)</f>
        <v/>
      </c>
      <c r="C496" t="str">
        <f>IF(A496="","",'ATP Fills'!M496)</f>
        <v/>
      </c>
      <c r="D496" t="str">
        <f>IF(A496="","",'ATP Fills'!B496)</f>
        <v/>
      </c>
      <c r="E496" s="3" t="str">
        <f>IF(A496="","",IF(DATE(LEFT(D496,4),MID(D496,5,2),RIGHT(D496,2))=Helper1!$P$1,Helper1!$P$1,""))</f>
        <v/>
      </c>
      <c r="F496" s="3" t="str">
        <f>IF(A496="","",'ATP Fills'!G496)</f>
        <v/>
      </c>
      <c r="G496" t="str">
        <f>IF(A496="","",'ATP Fills'!H496)</f>
        <v/>
      </c>
      <c r="H496" t="str">
        <f>IF(A496="","",VLOOKUP(G496,表3_3[],2,0))</f>
        <v/>
      </c>
      <c r="I496" t="str">
        <f>IF(A496="","",VLOOKUP(G496,表3_3[],3,0))</f>
        <v/>
      </c>
      <c r="J496" t="str">
        <f>IF(A496="","",IF('ATP Fills'!I496="3M","",VLOOKUP(RIGHT('ATP Fills'!I496,2),Helper1!$O$36:$P$48,2,0)))</f>
        <v/>
      </c>
      <c r="K496" t="str">
        <f>IF(J496="","",LEFT('ATP Fills'!I496,4))</f>
        <v/>
      </c>
      <c r="L496" t="str">
        <f>IF(A496="","",IF('ATP Fills'!G496="LME",'ATP Fills'!I496,""))</f>
        <v/>
      </c>
      <c r="M496" t="str">
        <f t="shared" si="7"/>
        <v/>
      </c>
    </row>
    <row r="497" spans="1:13">
      <c r="A497" t="str">
        <f>IF('ATP Fills'!A497="","",IF('ATP Fills'!Q497="PHILLIPSG",'ATP Fills'!F497,""))</f>
        <v/>
      </c>
      <c r="B497" t="str">
        <f>IF(A497="","",'ATP Fills'!L497)</f>
        <v/>
      </c>
      <c r="C497" t="str">
        <f>IF(A497="","",'ATP Fills'!M497)</f>
        <v/>
      </c>
      <c r="D497" t="str">
        <f>IF(A497="","",'ATP Fills'!B497)</f>
        <v/>
      </c>
      <c r="E497" s="3" t="str">
        <f>IF(A497="","",IF(DATE(LEFT(D497,4),MID(D497,5,2),RIGHT(D497,2))=Helper1!$P$1,Helper1!$P$1,""))</f>
        <v/>
      </c>
      <c r="F497" s="3" t="str">
        <f>IF(A497="","",'ATP Fills'!G497)</f>
        <v/>
      </c>
      <c r="G497" t="str">
        <f>IF(A497="","",'ATP Fills'!H497)</f>
        <v/>
      </c>
      <c r="H497" t="str">
        <f>IF(A497="","",VLOOKUP(G497,表3_3[],2,0))</f>
        <v/>
      </c>
      <c r="I497" t="str">
        <f>IF(A497="","",VLOOKUP(G497,表3_3[],3,0))</f>
        <v/>
      </c>
      <c r="J497" t="str">
        <f>IF(A497="","",IF('ATP Fills'!I497="3M","",VLOOKUP(RIGHT('ATP Fills'!I497,2),Helper1!$O$36:$P$48,2,0)))</f>
        <v/>
      </c>
      <c r="K497" t="str">
        <f>IF(J497="","",LEFT('ATP Fills'!I497,4))</f>
        <v/>
      </c>
      <c r="L497" t="str">
        <f>IF(A497="","",IF('ATP Fills'!G497="LME",'ATP Fills'!I497,""))</f>
        <v/>
      </c>
      <c r="M497" t="str">
        <f t="shared" si="7"/>
        <v/>
      </c>
    </row>
    <row r="498" spans="1:13">
      <c r="A498" t="str">
        <f>IF('ATP Fills'!A498="","",IF('ATP Fills'!Q498="PHILLIPSG",'ATP Fills'!F498,""))</f>
        <v/>
      </c>
      <c r="B498" t="str">
        <f>IF(A498="","",'ATP Fills'!L498)</f>
        <v/>
      </c>
      <c r="C498" t="str">
        <f>IF(A498="","",'ATP Fills'!M498)</f>
        <v/>
      </c>
      <c r="D498" t="str">
        <f>IF(A498="","",'ATP Fills'!B498)</f>
        <v/>
      </c>
      <c r="E498" s="3" t="str">
        <f>IF(A498="","",IF(DATE(LEFT(D498,4),MID(D498,5,2),RIGHT(D498,2))=Helper1!$P$1,Helper1!$P$1,""))</f>
        <v/>
      </c>
      <c r="F498" s="3" t="str">
        <f>IF(A498="","",'ATP Fills'!G498)</f>
        <v/>
      </c>
      <c r="G498" t="str">
        <f>IF(A498="","",'ATP Fills'!H498)</f>
        <v/>
      </c>
      <c r="H498" t="str">
        <f>IF(A498="","",VLOOKUP(G498,表3_3[],2,0))</f>
        <v/>
      </c>
      <c r="I498" t="str">
        <f>IF(A498="","",VLOOKUP(G498,表3_3[],3,0))</f>
        <v/>
      </c>
      <c r="J498" t="str">
        <f>IF(A498="","",IF('ATP Fills'!I498="3M","",VLOOKUP(RIGHT('ATP Fills'!I498,2),Helper1!$O$36:$P$48,2,0)))</f>
        <v/>
      </c>
      <c r="K498" t="str">
        <f>IF(J498="","",LEFT('ATP Fills'!I498,4))</f>
        <v/>
      </c>
      <c r="L498" t="str">
        <f>IF(A498="","",IF('ATP Fills'!G498="LME",'ATP Fills'!I498,""))</f>
        <v/>
      </c>
      <c r="M498" t="str">
        <f t="shared" si="7"/>
        <v/>
      </c>
    </row>
    <row r="499" spans="1:13">
      <c r="A499" t="str">
        <f>IF('ATP Fills'!A499="","",IF('ATP Fills'!Q499="PHILLIPSG",'ATP Fills'!F499,""))</f>
        <v/>
      </c>
      <c r="B499" t="str">
        <f>IF(A499="","",'ATP Fills'!L499)</f>
        <v/>
      </c>
      <c r="C499" t="str">
        <f>IF(A499="","",'ATP Fills'!M499)</f>
        <v/>
      </c>
      <c r="D499" t="str">
        <f>IF(A499="","",'ATP Fills'!B499)</f>
        <v/>
      </c>
      <c r="E499" s="3" t="str">
        <f>IF(A499="","",IF(DATE(LEFT(D499,4),MID(D499,5,2),RIGHT(D499,2))=Helper1!$P$1,Helper1!$P$1,""))</f>
        <v/>
      </c>
      <c r="F499" s="3" t="str">
        <f>IF(A499="","",'ATP Fills'!G499)</f>
        <v/>
      </c>
      <c r="G499" t="str">
        <f>IF(A499="","",'ATP Fills'!H499)</f>
        <v/>
      </c>
      <c r="H499" t="str">
        <f>IF(A499="","",VLOOKUP(G499,表3_3[],2,0))</f>
        <v/>
      </c>
      <c r="I499" t="str">
        <f>IF(A499="","",VLOOKUP(G499,表3_3[],3,0))</f>
        <v/>
      </c>
      <c r="J499" t="str">
        <f>IF(A499="","",IF('ATP Fills'!I499="3M","",VLOOKUP(RIGHT('ATP Fills'!I499,2),Helper1!$O$36:$P$48,2,0)))</f>
        <v/>
      </c>
      <c r="K499" t="str">
        <f>IF(J499="","",LEFT('ATP Fills'!I499,4))</f>
        <v/>
      </c>
      <c r="L499" t="str">
        <f>IF(A499="","",IF('ATP Fills'!G499="LME",'ATP Fills'!I499,""))</f>
        <v/>
      </c>
      <c r="M499" t="str">
        <f t="shared" si="7"/>
        <v/>
      </c>
    </row>
    <row r="500" spans="1:13">
      <c r="A500" t="str">
        <f>IF('ATP Fills'!A500="","",IF('ATP Fills'!Q500="PHILLIPSG",'ATP Fills'!F500,""))</f>
        <v/>
      </c>
      <c r="B500" t="str">
        <f>IF(A500="","",'ATP Fills'!L500)</f>
        <v/>
      </c>
      <c r="C500" t="str">
        <f>IF(A500="","",'ATP Fills'!M500)</f>
        <v/>
      </c>
      <c r="D500" t="str">
        <f>IF(A500="","",'ATP Fills'!B500)</f>
        <v/>
      </c>
      <c r="E500" s="3" t="str">
        <f>IF(A500="","",IF(DATE(LEFT(D500,4),MID(D500,5,2),RIGHT(D500,2))=Helper1!$P$1,Helper1!$P$1,""))</f>
        <v/>
      </c>
      <c r="F500" s="3" t="str">
        <f>IF(A500="","",'ATP Fills'!G500)</f>
        <v/>
      </c>
      <c r="G500" t="str">
        <f>IF(A500="","",'ATP Fills'!H500)</f>
        <v/>
      </c>
      <c r="H500" t="str">
        <f>IF(A500="","",VLOOKUP(G500,表3_3[],2,0))</f>
        <v/>
      </c>
      <c r="I500" t="str">
        <f>IF(A500="","",VLOOKUP(G500,表3_3[],3,0))</f>
        <v/>
      </c>
      <c r="J500" t="str">
        <f>IF(A500="","",IF('ATP Fills'!I500="3M","",VLOOKUP(RIGHT('ATP Fills'!I500,2),Helper1!$O$36:$P$48,2,0)))</f>
        <v/>
      </c>
      <c r="K500" t="str">
        <f>IF(J500="","",LEFT('ATP Fills'!I500,4))</f>
        <v/>
      </c>
      <c r="L500" t="str">
        <f>IF(A500="","",IF('ATP Fills'!G500="LME",'ATP Fills'!I500,""))</f>
        <v/>
      </c>
      <c r="M500" t="str">
        <f t="shared" si="7"/>
        <v/>
      </c>
    </row>
    <row r="501" spans="1:13">
      <c r="A501" t="str">
        <f>IF('ATP Fills'!A501="","",IF('ATP Fills'!Q501="PHILLIPSG",'ATP Fills'!F501,""))</f>
        <v/>
      </c>
      <c r="B501" t="str">
        <f>IF(A501="","",'ATP Fills'!L501)</f>
        <v/>
      </c>
      <c r="C501" t="str">
        <f>IF(A501="","",'ATP Fills'!M501)</f>
        <v/>
      </c>
      <c r="D501" t="str">
        <f>IF(A501="","",'ATP Fills'!B501)</f>
        <v/>
      </c>
      <c r="E501" s="3" t="str">
        <f>IF(A501="","",IF(DATE(LEFT(D501,4),MID(D501,5,2),RIGHT(D501,2))=Helper1!$P$1,Helper1!$P$1,""))</f>
        <v/>
      </c>
      <c r="F501" s="3" t="str">
        <f>IF(A501="","",'ATP Fills'!G501)</f>
        <v/>
      </c>
      <c r="G501" t="str">
        <f>IF(A501="","",'ATP Fills'!H501)</f>
        <v/>
      </c>
      <c r="H501" t="str">
        <f>IF(A501="","",VLOOKUP(G501,表3_3[],2,0))</f>
        <v/>
      </c>
      <c r="I501" t="str">
        <f>IF(A501="","",VLOOKUP(G501,表3_3[],3,0))</f>
        <v/>
      </c>
      <c r="J501" t="str">
        <f>IF(A501="","",IF('ATP Fills'!I501="3M","",VLOOKUP(RIGHT('ATP Fills'!I501,2),Helper1!$O$36:$P$48,2,0)))</f>
        <v/>
      </c>
      <c r="K501" t="str">
        <f>IF(J501="","",LEFT('ATP Fills'!I501,4))</f>
        <v/>
      </c>
      <c r="L501" t="str">
        <f>IF(A501="","",IF('ATP Fills'!G501="LME",'ATP Fills'!I501,""))</f>
        <v/>
      </c>
      <c r="M501" t="str">
        <f t="shared" si="7"/>
        <v/>
      </c>
    </row>
    <row r="502" spans="1:13">
      <c r="A502" t="str">
        <f>IF('ATP Fills'!A502="","",IF('ATP Fills'!Q502="PHILLIPSG",'ATP Fills'!F502,""))</f>
        <v/>
      </c>
      <c r="B502" t="str">
        <f>IF(A502="","",'ATP Fills'!L502)</f>
        <v/>
      </c>
      <c r="C502" t="str">
        <f>IF(A502="","",'ATP Fills'!M502)</f>
        <v/>
      </c>
      <c r="D502" t="str">
        <f>IF(A502="","",'ATP Fills'!B502)</f>
        <v/>
      </c>
      <c r="E502" s="3" t="str">
        <f>IF(A502="","",IF(DATE(LEFT(D502,4),MID(D502,5,2),RIGHT(D502,2))=Helper1!$P$1,Helper1!$P$1,""))</f>
        <v/>
      </c>
      <c r="F502" s="3" t="str">
        <f>IF(A502="","",'ATP Fills'!G502)</f>
        <v/>
      </c>
      <c r="G502" t="str">
        <f>IF(A502="","",'ATP Fills'!H502)</f>
        <v/>
      </c>
      <c r="H502" t="str">
        <f>IF(A502="","",VLOOKUP(G502,表3_3[],2,0))</f>
        <v/>
      </c>
      <c r="I502" t="str">
        <f>IF(A502="","",VLOOKUP(G502,表3_3[],3,0))</f>
        <v/>
      </c>
      <c r="J502" t="str">
        <f>IF(A502="","",IF('ATP Fills'!I502="3M","",VLOOKUP(RIGHT('ATP Fills'!I502,2),Helper1!$O$36:$P$48,2,0)))</f>
        <v/>
      </c>
      <c r="K502" t="str">
        <f>IF(J502="","",LEFT('ATP Fills'!I502,4))</f>
        <v/>
      </c>
      <c r="L502" t="str">
        <f>IF(A502="","",IF('ATP Fills'!G502="LME",'ATP Fills'!I502,""))</f>
        <v/>
      </c>
      <c r="M502" t="str">
        <f t="shared" si="7"/>
        <v/>
      </c>
    </row>
    <row r="503" spans="1:13">
      <c r="A503" t="str">
        <f>IF('ATP Fills'!A503="","",IF('ATP Fills'!Q503="PHILLIPSG",'ATP Fills'!F503,""))</f>
        <v/>
      </c>
      <c r="B503" t="str">
        <f>IF(A503="","",'ATP Fills'!L503)</f>
        <v/>
      </c>
      <c r="C503" t="str">
        <f>IF(A503="","",'ATP Fills'!M503)</f>
        <v/>
      </c>
      <c r="D503" t="str">
        <f>IF(A503="","",'ATP Fills'!B503)</f>
        <v/>
      </c>
      <c r="E503" s="3" t="str">
        <f>IF(A503="","",IF(DATE(LEFT(D503,4),MID(D503,5,2),RIGHT(D503,2))=Helper1!$P$1,Helper1!$P$1,""))</f>
        <v/>
      </c>
      <c r="F503" s="3" t="str">
        <f>IF(A503="","",'ATP Fills'!G503)</f>
        <v/>
      </c>
      <c r="G503" t="str">
        <f>IF(A503="","",'ATP Fills'!H503)</f>
        <v/>
      </c>
      <c r="H503" t="str">
        <f>IF(A503="","",VLOOKUP(G503,表3_3[],2,0))</f>
        <v/>
      </c>
      <c r="I503" t="str">
        <f>IF(A503="","",VLOOKUP(G503,表3_3[],3,0))</f>
        <v/>
      </c>
      <c r="J503" t="str">
        <f>IF(A503="","",IF('ATP Fills'!I503="3M","",VLOOKUP(RIGHT('ATP Fills'!I503,2),Helper1!$O$36:$P$48,2,0)))</f>
        <v/>
      </c>
      <c r="K503" t="str">
        <f>IF(J503="","",LEFT('ATP Fills'!I503,4))</f>
        <v/>
      </c>
      <c r="L503" t="str">
        <f>IF(A503="","",IF('ATP Fills'!G503="LME",'ATP Fills'!I503,""))</f>
        <v/>
      </c>
      <c r="M503" t="str">
        <f t="shared" si="7"/>
        <v/>
      </c>
    </row>
    <row r="504" spans="1:13">
      <c r="A504" t="str">
        <f>IF('ATP Fills'!A504="","",IF('ATP Fills'!Q504="PHILLIPSG",'ATP Fills'!F504,""))</f>
        <v/>
      </c>
      <c r="B504" t="str">
        <f>IF(A504="","",'ATP Fills'!L504)</f>
        <v/>
      </c>
      <c r="C504" t="str">
        <f>IF(A504="","",'ATP Fills'!M504)</f>
        <v/>
      </c>
      <c r="D504" t="str">
        <f>IF(A504="","",'ATP Fills'!B504)</f>
        <v/>
      </c>
      <c r="E504" s="3" t="str">
        <f>IF(A504="","",IF(DATE(LEFT(D504,4),MID(D504,5,2),RIGHT(D504,2))=Helper1!$P$1,Helper1!$P$1,""))</f>
        <v/>
      </c>
      <c r="F504" s="3" t="str">
        <f>IF(A504="","",'ATP Fills'!G504)</f>
        <v/>
      </c>
      <c r="G504" t="str">
        <f>IF(A504="","",'ATP Fills'!H504)</f>
        <v/>
      </c>
      <c r="H504" t="str">
        <f>IF(A504="","",VLOOKUP(G504,表3_3[],2,0))</f>
        <v/>
      </c>
      <c r="I504" t="str">
        <f>IF(A504="","",VLOOKUP(G504,表3_3[],3,0))</f>
        <v/>
      </c>
      <c r="J504" t="str">
        <f>IF(A504="","",IF('ATP Fills'!I504="3M","",VLOOKUP(RIGHT('ATP Fills'!I504,2),Helper1!$O$36:$P$48,2,0)))</f>
        <v/>
      </c>
      <c r="K504" t="str">
        <f>IF(J504="","",LEFT('ATP Fills'!I504,4))</f>
        <v/>
      </c>
      <c r="L504" t="str">
        <f>IF(A504="","",IF('ATP Fills'!G504="LME",'ATP Fills'!I504,""))</f>
        <v/>
      </c>
      <c r="M504" t="str">
        <f t="shared" si="7"/>
        <v/>
      </c>
    </row>
    <row r="505" spans="1:13">
      <c r="A505" t="str">
        <f>IF('ATP Fills'!A505="","",IF('ATP Fills'!Q505="PHILLIPSG",'ATP Fills'!F505,""))</f>
        <v/>
      </c>
      <c r="B505" t="str">
        <f>IF(A505="","",'ATP Fills'!L505)</f>
        <v/>
      </c>
      <c r="C505" t="str">
        <f>IF(A505="","",'ATP Fills'!M505)</f>
        <v/>
      </c>
      <c r="D505" t="str">
        <f>IF(A505="","",'ATP Fills'!B505)</f>
        <v/>
      </c>
      <c r="E505" s="3" t="str">
        <f>IF(A505="","",IF(DATE(LEFT(D505,4),MID(D505,5,2),RIGHT(D505,2))=Helper1!$P$1,Helper1!$P$1,""))</f>
        <v/>
      </c>
      <c r="F505" s="3" t="str">
        <f>IF(A505="","",'ATP Fills'!G505)</f>
        <v/>
      </c>
      <c r="G505" t="str">
        <f>IF(A505="","",'ATP Fills'!H505)</f>
        <v/>
      </c>
      <c r="H505" t="str">
        <f>IF(A505="","",VLOOKUP(G505,表3_3[],2,0))</f>
        <v/>
      </c>
      <c r="I505" t="str">
        <f>IF(A505="","",VLOOKUP(G505,表3_3[],3,0))</f>
        <v/>
      </c>
      <c r="J505" t="str">
        <f>IF(A505="","",IF('ATP Fills'!I505="3M","",VLOOKUP(RIGHT('ATP Fills'!I505,2),Helper1!$O$36:$P$48,2,0)))</f>
        <v/>
      </c>
      <c r="K505" t="str">
        <f>IF(J505="","",LEFT('ATP Fills'!I505,4))</f>
        <v/>
      </c>
      <c r="L505" t="str">
        <f>IF(A505="","",IF('ATP Fills'!G505="LME",'ATP Fills'!I505,""))</f>
        <v/>
      </c>
      <c r="M505" t="str">
        <f t="shared" si="7"/>
        <v/>
      </c>
    </row>
    <row r="506" spans="1:13">
      <c r="A506" t="str">
        <f>IF('ATP Fills'!A506="","",IF('ATP Fills'!Q506="PHILLIPSG",'ATP Fills'!F506,""))</f>
        <v/>
      </c>
      <c r="B506" t="str">
        <f>IF(A506="","",'ATP Fills'!L506)</f>
        <v/>
      </c>
      <c r="C506" t="str">
        <f>IF(A506="","",'ATP Fills'!M506)</f>
        <v/>
      </c>
      <c r="D506" t="str">
        <f>IF(A506="","",'ATP Fills'!B506)</f>
        <v/>
      </c>
      <c r="E506" s="3" t="str">
        <f>IF(A506="","",IF(DATE(LEFT(D506,4),MID(D506,5,2),RIGHT(D506,2))=Helper1!$P$1,Helper1!$P$1,""))</f>
        <v/>
      </c>
      <c r="F506" s="3" t="str">
        <f>IF(A506="","",'ATP Fills'!G506)</f>
        <v/>
      </c>
      <c r="G506" t="str">
        <f>IF(A506="","",'ATP Fills'!H506)</f>
        <v/>
      </c>
      <c r="H506" t="str">
        <f>IF(A506="","",VLOOKUP(G506,表3_3[],2,0))</f>
        <v/>
      </c>
      <c r="I506" t="str">
        <f>IF(A506="","",VLOOKUP(G506,表3_3[],3,0))</f>
        <v/>
      </c>
      <c r="J506" t="str">
        <f>IF(A506="","",IF('ATP Fills'!I506="3M","",VLOOKUP(RIGHT('ATP Fills'!I506,2),Helper1!$O$36:$P$48,2,0)))</f>
        <v/>
      </c>
      <c r="K506" t="str">
        <f>IF(J506="","",LEFT('ATP Fills'!I506,4))</f>
        <v/>
      </c>
      <c r="L506" t="str">
        <f>IF(A506="","",IF('ATP Fills'!G506="LME",'ATP Fills'!I506,""))</f>
        <v/>
      </c>
      <c r="M506" t="str">
        <f t="shared" si="7"/>
        <v/>
      </c>
    </row>
    <row r="507" spans="1:13">
      <c r="A507" t="str">
        <f>IF('ATP Fills'!A507="","",IF('ATP Fills'!Q507="PHILLIPSG",'ATP Fills'!F507,""))</f>
        <v/>
      </c>
      <c r="B507" t="str">
        <f>IF(A507="","",'ATP Fills'!L507)</f>
        <v/>
      </c>
      <c r="C507" t="str">
        <f>IF(A507="","",'ATP Fills'!M507)</f>
        <v/>
      </c>
      <c r="D507" t="str">
        <f>IF(A507="","",'ATP Fills'!B507)</f>
        <v/>
      </c>
      <c r="E507" s="3" t="str">
        <f>IF(A507="","",IF(DATE(LEFT(D507,4),MID(D507,5,2),RIGHT(D507,2))=Helper1!$P$1,Helper1!$P$1,""))</f>
        <v/>
      </c>
      <c r="F507" s="3" t="str">
        <f>IF(A507="","",'ATP Fills'!G507)</f>
        <v/>
      </c>
      <c r="G507" t="str">
        <f>IF(A507="","",'ATP Fills'!H507)</f>
        <v/>
      </c>
      <c r="H507" t="str">
        <f>IF(A507="","",VLOOKUP(G507,表3_3[],2,0))</f>
        <v/>
      </c>
      <c r="I507" t="str">
        <f>IF(A507="","",VLOOKUP(G507,表3_3[],3,0))</f>
        <v/>
      </c>
      <c r="J507" t="str">
        <f>IF(A507="","",IF('ATP Fills'!I507="3M","",VLOOKUP(RIGHT('ATP Fills'!I507,2),Helper1!$O$36:$P$48,2,0)))</f>
        <v/>
      </c>
      <c r="K507" t="str">
        <f>IF(J507="","",LEFT('ATP Fills'!I507,4))</f>
        <v/>
      </c>
      <c r="L507" t="str">
        <f>IF(A507="","",IF('ATP Fills'!G507="LME",'ATP Fills'!I507,""))</f>
        <v/>
      </c>
      <c r="M507" t="str">
        <f t="shared" si="7"/>
        <v/>
      </c>
    </row>
    <row r="508" spans="1:13">
      <c r="A508" t="str">
        <f>IF('ATP Fills'!A508="","",IF('ATP Fills'!Q508="PHILLIPSG",'ATP Fills'!F508,""))</f>
        <v/>
      </c>
      <c r="B508" t="str">
        <f>IF(A508="","",'ATP Fills'!L508)</f>
        <v/>
      </c>
      <c r="C508" t="str">
        <f>IF(A508="","",'ATP Fills'!M508)</f>
        <v/>
      </c>
      <c r="D508" t="str">
        <f>IF(A508="","",'ATP Fills'!B508)</f>
        <v/>
      </c>
      <c r="E508" s="3" t="str">
        <f>IF(A508="","",IF(DATE(LEFT(D508,4),MID(D508,5,2),RIGHT(D508,2))=Helper1!$P$1,Helper1!$P$1,""))</f>
        <v/>
      </c>
      <c r="F508" s="3" t="str">
        <f>IF(A508="","",'ATP Fills'!G508)</f>
        <v/>
      </c>
      <c r="G508" t="str">
        <f>IF(A508="","",'ATP Fills'!H508)</f>
        <v/>
      </c>
      <c r="H508" t="str">
        <f>IF(A508="","",VLOOKUP(G508,表3_3[],2,0))</f>
        <v/>
      </c>
      <c r="I508" t="str">
        <f>IF(A508="","",VLOOKUP(G508,表3_3[],3,0))</f>
        <v/>
      </c>
      <c r="J508" t="str">
        <f>IF(A508="","",IF('ATP Fills'!I508="3M","",VLOOKUP(RIGHT('ATP Fills'!I508,2),Helper1!$O$36:$P$48,2,0)))</f>
        <v/>
      </c>
      <c r="K508" t="str">
        <f>IF(J508="","",LEFT('ATP Fills'!I508,4))</f>
        <v/>
      </c>
      <c r="L508" t="str">
        <f>IF(A508="","",IF('ATP Fills'!G508="LME",'ATP Fills'!I508,""))</f>
        <v/>
      </c>
      <c r="M508" t="str">
        <f t="shared" si="7"/>
        <v/>
      </c>
    </row>
    <row r="509" spans="1:13">
      <c r="A509" t="str">
        <f>IF('ATP Fills'!A509="","",IF('ATP Fills'!Q509="PHILLIPSG",'ATP Fills'!F509,""))</f>
        <v/>
      </c>
      <c r="B509" t="str">
        <f>IF(A509="","",'ATP Fills'!L509)</f>
        <v/>
      </c>
      <c r="C509" t="str">
        <f>IF(A509="","",'ATP Fills'!M509)</f>
        <v/>
      </c>
      <c r="D509" t="str">
        <f>IF(A509="","",'ATP Fills'!B509)</f>
        <v/>
      </c>
      <c r="E509" s="3" t="str">
        <f>IF(A509="","",IF(DATE(LEFT(D509,4),MID(D509,5,2),RIGHT(D509,2))=Helper1!$P$1,Helper1!$P$1,""))</f>
        <v/>
      </c>
      <c r="F509" s="3" t="str">
        <f>IF(A509="","",'ATP Fills'!G509)</f>
        <v/>
      </c>
      <c r="G509" t="str">
        <f>IF(A509="","",'ATP Fills'!H509)</f>
        <v/>
      </c>
      <c r="H509" t="str">
        <f>IF(A509="","",VLOOKUP(G509,表3_3[],2,0))</f>
        <v/>
      </c>
      <c r="I509" t="str">
        <f>IF(A509="","",VLOOKUP(G509,表3_3[],3,0))</f>
        <v/>
      </c>
      <c r="J509" t="str">
        <f>IF(A509="","",IF('ATP Fills'!I509="3M","",VLOOKUP(RIGHT('ATP Fills'!I509,2),Helper1!$O$36:$P$48,2,0)))</f>
        <v/>
      </c>
      <c r="K509" t="str">
        <f>IF(J509="","",LEFT('ATP Fills'!I509,4))</f>
        <v/>
      </c>
      <c r="L509" t="str">
        <f>IF(A509="","",IF('ATP Fills'!G509="LME",'ATP Fills'!I509,""))</f>
        <v/>
      </c>
      <c r="M509" t="str">
        <f t="shared" si="7"/>
        <v/>
      </c>
    </row>
    <row r="510" spans="1:13">
      <c r="A510" t="str">
        <f>IF('ATP Fills'!A510="","",IF('ATP Fills'!Q510="PHILLIPSG",'ATP Fills'!F510,""))</f>
        <v/>
      </c>
      <c r="B510" t="str">
        <f>IF(A510="","",'ATP Fills'!L510)</f>
        <v/>
      </c>
      <c r="C510" t="str">
        <f>IF(A510="","",'ATP Fills'!M510)</f>
        <v/>
      </c>
      <c r="D510" t="str">
        <f>IF(A510="","",'ATP Fills'!B510)</f>
        <v/>
      </c>
      <c r="E510" s="3" t="str">
        <f>IF(A510="","",IF(DATE(LEFT(D510,4),MID(D510,5,2),RIGHT(D510,2))=Helper1!$P$1,Helper1!$P$1,""))</f>
        <v/>
      </c>
      <c r="F510" s="3" t="str">
        <f>IF(A510="","",'ATP Fills'!G510)</f>
        <v/>
      </c>
      <c r="G510" t="str">
        <f>IF(A510="","",'ATP Fills'!H510)</f>
        <v/>
      </c>
      <c r="H510" t="str">
        <f>IF(A510="","",VLOOKUP(G510,表3_3[],2,0))</f>
        <v/>
      </c>
      <c r="I510" t="str">
        <f>IF(A510="","",VLOOKUP(G510,表3_3[],3,0))</f>
        <v/>
      </c>
      <c r="J510" t="str">
        <f>IF(A510="","",IF('ATP Fills'!I510="3M","",VLOOKUP(RIGHT('ATP Fills'!I510,2),Helper1!$O$36:$P$48,2,0)))</f>
        <v/>
      </c>
      <c r="K510" t="str">
        <f>IF(J510="","",LEFT('ATP Fills'!I510,4))</f>
        <v/>
      </c>
      <c r="L510" t="str">
        <f>IF(A510="","",IF('ATP Fills'!G510="LME",'ATP Fills'!I510,""))</f>
        <v/>
      </c>
      <c r="M510" t="str">
        <f t="shared" si="7"/>
        <v/>
      </c>
    </row>
    <row r="511" spans="1:13">
      <c r="A511" t="str">
        <f>IF('ATP Fills'!A511="","",IF('ATP Fills'!Q511="PHILLIPSG",'ATP Fills'!F511,""))</f>
        <v/>
      </c>
      <c r="B511" t="str">
        <f>IF(A511="","",'ATP Fills'!L511)</f>
        <v/>
      </c>
      <c r="C511" t="str">
        <f>IF(A511="","",'ATP Fills'!M511)</f>
        <v/>
      </c>
      <c r="D511" t="str">
        <f>IF(A511="","",'ATP Fills'!B511)</f>
        <v/>
      </c>
      <c r="E511" s="3" t="str">
        <f>IF(A511="","",IF(DATE(LEFT(D511,4),MID(D511,5,2),RIGHT(D511,2))=Helper1!$P$1,Helper1!$P$1,""))</f>
        <v/>
      </c>
      <c r="F511" s="3" t="str">
        <f>IF(A511="","",'ATP Fills'!G511)</f>
        <v/>
      </c>
      <c r="G511" t="str">
        <f>IF(A511="","",'ATP Fills'!H511)</f>
        <v/>
      </c>
      <c r="H511" t="str">
        <f>IF(A511="","",VLOOKUP(G511,表3_3[],2,0))</f>
        <v/>
      </c>
      <c r="I511" t="str">
        <f>IF(A511="","",VLOOKUP(G511,表3_3[],3,0))</f>
        <v/>
      </c>
      <c r="J511" t="str">
        <f>IF(A511="","",IF('ATP Fills'!I511="3M","",VLOOKUP(RIGHT('ATP Fills'!I511,2),Helper1!$O$36:$P$48,2,0)))</f>
        <v/>
      </c>
      <c r="K511" t="str">
        <f>IF(J511="","",LEFT('ATP Fills'!I511,4))</f>
        <v/>
      </c>
      <c r="L511" t="str">
        <f>IF(A511="","",IF('ATP Fills'!G511="LME",'ATP Fills'!I511,""))</f>
        <v/>
      </c>
      <c r="M511" t="str">
        <f t="shared" si="7"/>
        <v/>
      </c>
    </row>
    <row r="512" spans="1:13">
      <c r="A512" t="str">
        <f>IF('ATP Fills'!A512="","",IF('ATP Fills'!Q512="PHILLIPSG",'ATP Fills'!F512,""))</f>
        <v/>
      </c>
      <c r="B512" t="str">
        <f>IF(A512="","",'ATP Fills'!L512)</f>
        <v/>
      </c>
      <c r="C512" t="str">
        <f>IF(A512="","",'ATP Fills'!M512)</f>
        <v/>
      </c>
      <c r="D512" t="str">
        <f>IF(A512="","",'ATP Fills'!B512)</f>
        <v/>
      </c>
      <c r="E512" s="3" t="str">
        <f>IF(A512="","",IF(DATE(LEFT(D512,4),MID(D512,5,2),RIGHT(D512,2))=Helper1!$P$1,Helper1!$P$1,""))</f>
        <v/>
      </c>
      <c r="F512" s="3" t="str">
        <f>IF(A512="","",'ATP Fills'!G512)</f>
        <v/>
      </c>
      <c r="G512" t="str">
        <f>IF(A512="","",'ATP Fills'!H512)</f>
        <v/>
      </c>
      <c r="H512" t="str">
        <f>IF(A512="","",VLOOKUP(G512,表3_3[],2,0))</f>
        <v/>
      </c>
      <c r="I512" t="str">
        <f>IF(A512="","",VLOOKUP(G512,表3_3[],3,0))</f>
        <v/>
      </c>
      <c r="J512" t="str">
        <f>IF(A512="","",IF('ATP Fills'!I512="3M","",VLOOKUP(RIGHT('ATP Fills'!I512,2),Helper1!$O$36:$P$48,2,0)))</f>
        <v/>
      </c>
      <c r="K512" t="str">
        <f>IF(J512="","",LEFT('ATP Fills'!I512,4))</f>
        <v/>
      </c>
      <c r="L512" t="str">
        <f>IF(A512="","",IF('ATP Fills'!G512="LME",'ATP Fills'!I512,""))</f>
        <v/>
      </c>
      <c r="M512" t="str">
        <f t="shared" si="7"/>
        <v/>
      </c>
    </row>
    <row r="513" spans="1:13">
      <c r="A513" t="str">
        <f>IF('ATP Fills'!A513="","",IF('ATP Fills'!Q513="PHILLIPSG",'ATP Fills'!F513,""))</f>
        <v/>
      </c>
      <c r="B513" t="str">
        <f>IF(A513="","",'ATP Fills'!L513)</f>
        <v/>
      </c>
      <c r="C513" t="str">
        <f>IF(A513="","",'ATP Fills'!M513)</f>
        <v/>
      </c>
      <c r="D513" t="str">
        <f>IF(A513="","",'ATP Fills'!B513)</f>
        <v/>
      </c>
      <c r="E513" s="3" t="str">
        <f>IF(A513="","",IF(DATE(LEFT(D513,4),MID(D513,5,2),RIGHT(D513,2))=Helper1!$P$1,Helper1!$P$1,""))</f>
        <v/>
      </c>
      <c r="F513" s="3" t="str">
        <f>IF(A513="","",'ATP Fills'!G513)</f>
        <v/>
      </c>
      <c r="G513" t="str">
        <f>IF(A513="","",'ATP Fills'!H513)</f>
        <v/>
      </c>
      <c r="H513" t="str">
        <f>IF(A513="","",VLOOKUP(G513,表3_3[],2,0))</f>
        <v/>
      </c>
      <c r="I513" t="str">
        <f>IF(A513="","",VLOOKUP(G513,表3_3[],3,0))</f>
        <v/>
      </c>
      <c r="J513" t="str">
        <f>IF(A513="","",IF('ATP Fills'!I513="3M","",VLOOKUP(RIGHT('ATP Fills'!I513,2),Helper1!$O$36:$P$48,2,0)))</f>
        <v/>
      </c>
      <c r="K513" t="str">
        <f>IF(J513="","",LEFT('ATP Fills'!I513,4))</f>
        <v/>
      </c>
      <c r="L513" t="str">
        <f>IF(A513="","",IF('ATP Fills'!G513="LME",'ATP Fills'!I513,""))</f>
        <v/>
      </c>
      <c r="M513" t="str">
        <f t="shared" si="7"/>
        <v/>
      </c>
    </row>
    <row r="514" spans="1:13">
      <c r="A514" t="str">
        <f>IF('ATP Fills'!A514="","",IF('ATP Fills'!Q514="PHILLIPSG",'ATP Fills'!F514,""))</f>
        <v/>
      </c>
      <c r="B514" t="str">
        <f>IF(A514="","",'ATP Fills'!L514)</f>
        <v/>
      </c>
      <c r="C514" t="str">
        <f>IF(A514="","",'ATP Fills'!M514)</f>
        <v/>
      </c>
      <c r="D514" t="str">
        <f>IF(A514="","",'ATP Fills'!B514)</f>
        <v/>
      </c>
      <c r="E514" s="3" t="str">
        <f>IF(A514="","",IF(DATE(LEFT(D514,4),MID(D514,5,2),RIGHT(D514,2))=Helper1!$P$1,Helper1!$P$1,""))</f>
        <v/>
      </c>
      <c r="F514" s="3" t="str">
        <f>IF(A514="","",'ATP Fills'!G514)</f>
        <v/>
      </c>
      <c r="G514" t="str">
        <f>IF(A514="","",'ATP Fills'!H514)</f>
        <v/>
      </c>
      <c r="H514" t="str">
        <f>IF(A514="","",VLOOKUP(G514,表3_3[],2,0))</f>
        <v/>
      </c>
      <c r="I514" t="str">
        <f>IF(A514="","",VLOOKUP(G514,表3_3[],3,0))</f>
        <v/>
      </c>
      <c r="J514" t="str">
        <f>IF(A514="","",IF('ATP Fills'!I514="3M","",VLOOKUP(RIGHT('ATP Fills'!I514,2),Helper1!$O$36:$P$48,2,0)))</f>
        <v/>
      </c>
      <c r="K514" t="str">
        <f>IF(J514="","",LEFT('ATP Fills'!I514,4))</f>
        <v/>
      </c>
      <c r="L514" t="str">
        <f>IF(A514="","",IF('ATP Fills'!G514="LME",'ATP Fills'!I514,""))</f>
        <v/>
      </c>
      <c r="M514" t="str">
        <f t="shared" si="7"/>
        <v/>
      </c>
    </row>
    <row r="515" spans="1:13">
      <c r="A515" t="str">
        <f>IF('ATP Fills'!A515="","",IF('ATP Fills'!Q515="PHILLIPSG",'ATP Fills'!F515,""))</f>
        <v/>
      </c>
      <c r="B515" t="str">
        <f>IF(A515="","",'ATP Fills'!L515)</f>
        <v/>
      </c>
      <c r="C515" t="str">
        <f>IF(A515="","",'ATP Fills'!M515)</f>
        <v/>
      </c>
      <c r="D515" t="str">
        <f>IF(A515="","",'ATP Fills'!B515)</f>
        <v/>
      </c>
      <c r="E515" s="3" t="str">
        <f>IF(A515="","",IF(DATE(LEFT(D515,4),MID(D515,5,2),RIGHT(D515,2))=Helper1!$P$1,Helper1!$P$1,""))</f>
        <v/>
      </c>
      <c r="F515" s="3" t="str">
        <f>IF(A515="","",'ATP Fills'!G515)</f>
        <v/>
      </c>
      <c r="G515" t="str">
        <f>IF(A515="","",'ATP Fills'!H515)</f>
        <v/>
      </c>
      <c r="H515" t="str">
        <f>IF(A515="","",VLOOKUP(G515,表3_3[],2,0))</f>
        <v/>
      </c>
      <c r="I515" t="str">
        <f>IF(A515="","",VLOOKUP(G515,表3_3[],3,0))</f>
        <v/>
      </c>
      <c r="J515" t="str">
        <f>IF(A515="","",IF('ATP Fills'!I515="3M","",VLOOKUP(RIGHT('ATP Fills'!I515,2),Helper1!$O$36:$P$48,2,0)))</f>
        <v/>
      </c>
      <c r="K515" t="str">
        <f>IF(J515="","",LEFT('ATP Fills'!I515,4))</f>
        <v/>
      </c>
      <c r="L515" t="str">
        <f>IF(A515="","",IF('ATP Fills'!G515="LME",'ATP Fills'!I515,""))</f>
        <v/>
      </c>
      <c r="M515" t="str">
        <f t="shared" ref="M515:M578" si="8">IF(A515="","",IF(F515="LME",F515&amp;"-"&amp;I515&amp;"-"&amp;L515,J515&amp;"-"&amp;K515&amp;"-"&amp;I515))</f>
        <v/>
      </c>
    </row>
    <row r="516" spans="1:13">
      <c r="A516" t="str">
        <f>IF('ATP Fills'!A516="","",IF('ATP Fills'!Q516="PHILLIPSG",'ATP Fills'!F516,""))</f>
        <v/>
      </c>
      <c r="B516" t="str">
        <f>IF(A516="","",'ATP Fills'!L516)</f>
        <v/>
      </c>
      <c r="C516" t="str">
        <f>IF(A516="","",'ATP Fills'!M516)</f>
        <v/>
      </c>
      <c r="D516" t="str">
        <f>IF(A516="","",'ATP Fills'!B516)</f>
        <v/>
      </c>
      <c r="E516" s="3" t="str">
        <f>IF(A516="","",IF(DATE(LEFT(D516,4),MID(D516,5,2),RIGHT(D516,2))=Helper1!$P$1,Helper1!$P$1,""))</f>
        <v/>
      </c>
      <c r="F516" s="3" t="str">
        <f>IF(A516="","",'ATP Fills'!G516)</f>
        <v/>
      </c>
      <c r="G516" t="str">
        <f>IF(A516="","",'ATP Fills'!H516)</f>
        <v/>
      </c>
      <c r="H516" t="str">
        <f>IF(A516="","",VLOOKUP(G516,表3_3[],2,0))</f>
        <v/>
      </c>
      <c r="I516" t="str">
        <f>IF(A516="","",VLOOKUP(G516,表3_3[],3,0))</f>
        <v/>
      </c>
      <c r="J516" t="str">
        <f>IF(A516="","",IF('ATP Fills'!I516="3M","",VLOOKUP(RIGHT('ATP Fills'!I516,2),Helper1!$O$36:$P$48,2,0)))</f>
        <v/>
      </c>
      <c r="K516" t="str">
        <f>IF(J516="","",LEFT('ATP Fills'!I516,4))</f>
        <v/>
      </c>
      <c r="L516" t="str">
        <f>IF(A516="","",IF('ATP Fills'!G516="LME",'ATP Fills'!I516,""))</f>
        <v/>
      </c>
      <c r="M516" t="str">
        <f t="shared" si="8"/>
        <v/>
      </c>
    </row>
    <row r="517" spans="1:13">
      <c r="A517" t="str">
        <f>IF('ATP Fills'!A517="","",IF('ATP Fills'!Q517="PHILLIPSG",'ATP Fills'!F517,""))</f>
        <v/>
      </c>
      <c r="B517" t="str">
        <f>IF(A517="","",'ATP Fills'!L517)</f>
        <v/>
      </c>
      <c r="C517" t="str">
        <f>IF(A517="","",'ATP Fills'!M517)</f>
        <v/>
      </c>
      <c r="D517" t="str">
        <f>IF(A517="","",'ATP Fills'!B517)</f>
        <v/>
      </c>
      <c r="E517" s="3" t="str">
        <f>IF(A517="","",IF(DATE(LEFT(D517,4),MID(D517,5,2),RIGHT(D517,2))=Helper1!$P$1,Helper1!$P$1,""))</f>
        <v/>
      </c>
      <c r="F517" s="3" t="str">
        <f>IF(A517="","",'ATP Fills'!G517)</f>
        <v/>
      </c>
      <c r="G517" t="str">
        <f>IF(A517="","",'ATP Fills'!H517)</f>
        <v/>
      </c>
      <c r="H517" t="str">
        <f>IF(A517="","",VLOOKUP(G517,表3_3[],2,0))</f>
        <v/>
      </c>
      <c r="I517" t="str">
        <f>IF(A517="","",VLOOKUP(G517,表3_3[],3,0))</f>
        <v/>
      </c>
      <c r="J517" t="str">
        <f>IF(A517="","",IF('ATP Fills'!I517="3M","",VLOOKUP(RIGHT('ATP Fills'!I517,2),Helper1!$O$36:$P$48,2,0)))</f>
        <v/>
      </c>
      <c r="K517" t="str">
        <f>IF(J517="","",LEFT('ATP Fills'!I517,4))</f>
        <v/>
      </c>
      <c r="L517" t="str">
        <f>IF(A517="","",IF('ATP Fills'!G517="LME",'ATP Fills'!I517,""))</f>
        <v/>
      </c>
      <c r="M517" t="str">
        <f t="shared" si="8"/>
        <v/>
      </c>
    </row>
    <row r="518" spans="1:13">
      <c r="A518" t="str">
        <f>IF('ATP Fills'!A518="","",IF('ATP Fills'!Q518="PHILLIPSG",'ATP Fills'!F518,""))</f>
        <v/>
      </c>
      <c r="B518" t="str">
        <f>IF(A518="","",'ATP Fills'!L518)</f>
        <v/>
      </c>
      <c r="C518" t="str">
        <f>IF(A518="","",'ATP Fills'!M518)</f>
        <v/>
      </c>
      <c r="D518" t="str">
        <f>IF(A518="","",'ATP Fills'!B518)</f>
        <v/>
      </c>
      <c r="E518" s="3" t="str">
        <f>IF(A518="","",IF(DATE(LEFT(D518,4),MID(D518,5,2),RIGHT(D518,2))=Helper1!$P$1,Helper1!$P$1,""))</f>
        <v/>
      </c>
      <c r="F518" s="3" t="str">
        <f>IF(A518="","",'ATP Fills'!G518)</f>
        <v/>
      </c>
      <c r="G518" t="str">
        <f>IF(A518="","",'ATP Fills'!H518)</f>
        <v/>
      </c>
      <c r="H518" t="str">
        <f>IF(A518="","",VLOOKUP(G518,表3_3[],2,0))</f>
        <v/>
      </c>
      <c r="I518" t="str">
        <f>IF(A518="","",VLOOKUP(G518,表3_3[],3,0))</f>
        <v/>
      </c>
      <c r="J518" t="str">
        <f>IF(A518="","",IF('ATP Fills'!I518="3M","",VLOOKUP(RIGHT('ATP Fills'!I518,2),Helper1!$O$36:$P$48,2,0)))</f>
        <v/>
      </c>
      <c r="K518" t="str">
        <f>IF(J518="","",LEFT('ATP Fills'!I518,4))</f>
        <v/>
      </c>
      <c r="L518" t="str">
        <f>IF(A518="","",IF('ATP Fills'!G518="LME",'ATP Fills'!I518,""))</f>
        <v/>
      </c>
      <c r="M518" t="str">
        <f t="shared" si="8"/>
        <v/>
      </c>
    </row>
    <row r="519" spans="1:13">
      <c r="A519" t="str">
        <f>IF('ATP Fills'!A519="","",IF('ATP Fills'!Q519="PHILLIPSG",'ATP Fills'!F519,""))</f>
        <v/>
      </c>
      <c r="B519" t="str">
        <f>IF(A519="","",'ATP Fills'!L519)</f>
        <v/>
      </c>
      <c r="C519" t="str">
        <f>IF(A519="","",'ATP Fills'!M519)</f>
        <v/>
      </c>
      <c r="D519" t="str">
        <f>IF(A519="","",'ATP Fills'!B519)</f>
        <v/>
      </c>
      <c r="E519" s="3" t="str">
        <f>IF(A519="","",IF(DATE(LEFT(D519,4),MID(D519,5,2),RIGHT(D519,2))=Helper1!$P$1,Helper1!$P$1,""))</f>
        <v/>
      </c>
      <c r="F519" s="3" t="str">
        <f>IF(A519="","",'ATP Fills'!G519)</f>
        <v/>
      </c>
      <c r="G519" t="str">
        <f>IF(A519="","",'ATP Fills'!H519)</f>
        <v/>
      </c>
      <c r="H519" t="str">
        <f>IF(A519="","",VLOOKUP(G519,表3_3[],2,0))</f>
        <v/>
      </c>
      <c r="I519" t="str">
        <f>IF(A519="","",VLOOKUP(G519,表3_3[],3,0))</f>
        <v/>
      </c>
      <c r="J519" t="str">
        <f>IF(A519="","",IF('ATP Fills'!I519="3M","",VLOOKUP(RIGHT('ATP Fills'!I519,2),Helper1!$O$36:$P$48,2,0)))</f>
        <v/>
      </c>
      <c r="K519" t="str">
        <f>IF(J519="","",LEFT('ATP Fills'!I519,4))</f>
        <v/>
      </c>
      <c r="L519" t="str">
        <f>IF(A519="","",IF('ATP Fills'!G519="LME",'ATP Fills'!I519,""))</f>
        <v/>
      </c>
      <c r="M519" t="str">
        <f t="shared" si="8"/>
        <v/>
      </c>
    </row>
    <row r="520" spans="1:13">
      <c r="A520" t="str">
        <f>IF('ATP Fills'!A520="","",IF('ATP Fills'!Q520="PHILLIPSG",'ATP Fills'!F520,""))</f>
        <v/>
      </c>
      <c r="B520" t="str">
        <f>IF(A520="","",'ATP Fills'!L520)</f>
        <v/>
      </c>
      <c r="C520" t="str">
        <f>IF(A520="","",'ATP Fills'!M520)</f>
        <v/>
      </c>
      <c r="D520" t="str">
        <f>IF(A520="","",'ATP Fills'!B520)</f>
        <v/>
      </c>
      <c r="E520" s="3" t="str">
        <f>IF(A520="","",IF(DATE(LEFT(D520,4),MID(D520,5,2),RIGHT(D520,2))=Helper1!$P$1,Helper1!$P$1,""))</f>
        <v/>
      </c>
      <c r="F520" s="3" t="str">
        <f>IF(A520="","",'ATP Fills'!G520)</f>
        <v/>
      </c>
      <c r="G520" t="str">
        <f>IF(A520="","",'ATP Fills'!H520)</f>
        <v/>
      </c>
      <c r="H520" t="str">
        <f>IF(A520="","",VLOOKUP(G520,表3_3[],2,0))</f>
        <v/>
      </c>
      <c r="I520" t="str">
        <f>IF(A520="","",VLOOKUP(G520,表3_3[],3,0))</f>
        <v/>
      </c>
      <c r="J520" t="str">
        <f>IF(A520="","",IF('ATP Fills'!I520="3M","",VLOOKUP(RIGHT('ATP Fills'!I520,2),Helper1!$O$36:$P$48,2,0)))</f>
        <v/>
      </c>
      <c r="K520" t="str">
        <f>IF(J520="","",LEFT('ATP Fills'!I520,4))</f>
        <v/>
      </c>
      <c r="L520" t="str">
        <f>IF(A520="","",IF('ATP Fills'!G520="LME",'ATP Fills'!I520,""))</f>
        <v/>
      </c>
      <c r="M520" t="str">
        <f t="shared" si="8"/>
        <v/>
      </c>
    </row>
    <row r="521" spans="1:13">
      <c r="A521" t="str">
        <f>IF('ATP Fills'!A521="","",IF('ATP Fills'!Q521="PHILLIPSG",'ATP Fills'!F521,""))</f>
        <v/>
      </c>
      <c r="B521" t="str">
        <f>IF(A521="","",'ATP Fills'!L521)</f>
        <v/>
      </c>
      <c r="C521" t="str">
        <f>IF(A521="","",'ATP Fills'!M521)</f>
        <v/>
      </c>
      <c r="D521" t="str">
        <f>IF(A521="","",'ATP Fills'!B521)</f>
        <v/>
      </c>
      <c r="E521" s="3" t="str">
        <f>IF(A521="","",IF(DATE(LEFT(D521,4),MID(D521,5,2),RIGHT(D521,2))=Helper1!$P$1,Helper1!$P$1,""))</f>
        <v/>
      </c>
      <c r="F521" s="3" t="str">
        <f>IF(A521="","",'ATP Fills'!G521)</f>
        <v/>
      </c>
      <c r="G521" t="str">
        <f>IF(A521="","",'ATP Fills'!H521)</f>
        <v/>
      </c>
      <c r="H521" t="str">
        <f>IF(A521="","",VLOOKUP(G521,表3_3[],2,0))</f>
        <v/>
      </c>
      <c r="I521" t="str">
        <f>IF(A521="","",VLOOKUP(G521,表3_3[],3,0))</f>
        <v/>
      </c>
      <c r="J521" t="str">
        <f>IF(A521="","",IF('ATP Fills'!I521="3M","",VLOOKUP(RIGHT('ATP Fills'!I521,2),Helper1!$O$36:$P$48,2,0)))</f>
        <v/>
      </c>
      <c r="K521" t="str">
        <f>IF(J521="","",LEFT('ATP Fills'!I521,4))</f>
        <v/>
      </c>
      <c r="L521" t="str">
        <f>IF(A521="","",IF('ATP Fills'!G521="LME",'ATP Fills'!I521,""))</f>
        <v/>
      </c>
      <c r="M521" t="str">
        <f t="shared" si="8"/>
        <v/>
      </c>
    </row>
    <row r="522" spans="1:13">
      <c r="A522" t="str">
        <f>IF('ATP Fills'!A522="","",IF('ATP Fills'!Q522="PHILLIPSG",'ATP Fills'!F522,""))</f>
        <v/>
      </c>
      <c r="B522" t="str">
        <f>IF(A522="","",'ATP Fills'!L522)</f>
        <v/>
      </c>
      <c r="C522" t="str">
        <f>IF(A522="","",'ATP Fills'!M522)</f>
        <v/>
      </c>
      <c r="D522" t="str">
        <f>IF(A522="","",'ATP Fills'!B522)</f>
        <v/>
      </c>
      <c r="E522" s="3" t="str">
        <f>IF(A522="","",IF(DATE(LEFT(D522,4),MID(D522,5,2),RIGHT(D522,2))=Helper1!$P$1,Helper1!$P$1,""))</f>
        <v/>
      </c>
      <c r="F522" s="3" t="str">
        <f>IF(A522="","",'ATP Fills'!G522)</f>
        <v/>
      </c>
      <c r="G522" t="str">
        <f>IF(A522="","",'ATP Fills'!H522)</f>
        <v/>
      </c>
      <c r="H522" t="str">
        <f>IF(A522="","",VLOOKUP(G522,表3_3[],2,0))</f>
        <v/>
      </c>
      <c r="I522" t="str">
        <f>IF(A522="","",VLOOKUP(G522,表3_3[],3,0))</f>
        <v/>
      </c>
      <c r="J522" t="str">
        <f>IF(A522="","",IF('ATP Fills'!I522="3M","",VLOOKUP(RIGHT('ATP Fills'!I522,2),Helper1!$O$36:$P$48,2,0)))</f>
        <v/>
      </c>
      <c r="K522" t="str">
        <f>IF(J522="","",LEFT('ATP Fills'!I522,4))</f>
        <v/>
      </c>
      <c r="L522" t="str">
        <f>IF(A522="","",IF('ATP Fills'!G522="LME",'ATP Fills'!I522,""))</f>
        <v/>
      </c>
      <c r="M522" t="str">
        <f t="shared" si="8"/>
        <v/>
      </c>
    </row>
    <row r="523" spans="1:13">
      <c r="A523" t="str">
        <f>IF('ATP Fills'!A523="","",IF('ATP Fills'!Q523="PHILLIPSG",'ATP Fills'!F523,""))</f>
        <v/>
      </c>
      <c r="B523" t="str">
        <f>IF(A523="","",'ATP Fills'!L523)</f>
        <v/>
      </c>
      <c r="C523" t="str">
        <f>IF(A523="","",'ATP Fills'!M523)</f>
        <v/>
      </c>
      <c r="D523" t="str">
        <f>IF(A523="","",'ATP Fills'!B523)</f>
        <v/>
      </c>
      <c r="E523" s="3" t="str">
        <f>IF(A523="","",IF(DATE(LEFT(D523,4),MID(D523,5,2),RIGHT(D523,2))=Helper1!$P$1,Helper1!$P$1,""))</f>
        <v/>
      </c>
      <c r="F523" s="3" t="str">
        <f>IF(A523="","",'ATP Fills'!G523)</f>
        <v/>
      </c>
      <c r="G523" t="str">
        <f>IF(A523="","",'ATP Fills'!H523)</f>
        <v/>
      </c>
      <c r="H523" t="str">
        <f>IF(A523="","",VLOOKUP(G523,表3_3[],2,0))</f>
        <v/>
      </c>
      <c r="I523" t="str">
        <f>IF(A523="","",VLOOKUP(G523,表3_3[],3,0))</f>
        <v/>
      </c>
      <c r="J523" t="str">
        <f>IF(A523="","",IF('ATP Fills'!I523="3M","",VLOOKUP(RIGHT('ATP Fills'!I523,2),Helper1!$O$36:$P$48,2,0)))</f>
        <v/>
      </c>
      <c r="K523" t="str">
        <f>IF(J523="","",LEFT('ATP Fills'!I523,4))</f>
        <v/>
      </c>
      <c r="L523" t="str">
        <f>IF(A523="","",IF('ATP Fills'!G523="LME",'ATP Fills'!I523,""))</f>
        <v/>
      </c>
      <c r="M523" t="str">
        <f t="shared" si="8"/>
        <v/>
      </c>
    </row>
    <row r="524" spans="1:13">
      <c r="A524" t="str">
        <f>IF('ATP Fills'!A524="","",IF('ATP Fills'!Q524="PHILLIPSG",'ATP Fills'!F524,""))</f>
        <v/>
      </c>
      <c r="B524" t="str">
        <f>IF(A524="","",'ATP Fills'!L524)</f>
        <v/>
      </c>
      <c r="C524" t="str">
        <f>IF(A524="","",'ATP Fills'!M524)</f>
        <v/>
      </c>
      <c r="D524" t="str">
        <f>IF(A524="","",'ATP Fills'!B524)</f>
        <v/>
      </c>
      <c r="E524" s="3" t="str">
        <f>IF(A524="","",IF(DATE(LEFT(D524,4),MID(D524,5,2),RIGHT(D524,2))=Helper1!$P$1,Helper1!$P$1,""))</f>
        <v/>
      </c>
      <c r="F524" s="3" t="str">
        <f>IF(A524="","",'ATP Fills'!G524)</f>
        <v/>
      </c>
      <c r="G524" t="str">
        <f>IF(A524="","",'ATP Fills'!H524)</f>
        <v/>
      </c>
      <c r="H524" t="str">
        <f>IF(A524="","",VLOOKUP(G524,表3_3[],2,0))</f>
        <v/>
      </c>
      <c r="I524" t="str">
        <f>IF(A524="","",VLOOKUP(G524,表3_3[],3,0))</f>
        <v/>
      </c>
      <c r="J524" t="str">
        <f>IF(A524="","",IF('ATP Fills'!I524="3M","",VLOOKUP(RIGHT('ATP Fills'!I524,2),Helper1!$O$36:$P$48,2,0)))</f>
        <v/>
      </c>
      <c r="K524" t="str">
        <f>IF(J524="","",LEFT('ATP Fills'!I524,4))</f>
        <v/>
      </c>
      <c r="L524" t="str">
        <f>IF(A524="","",IF('ATP Fills'!G524="LME",'ATP Fills'!I524,""))</f>
        <v/>
      </c>
      <c r="M524" t="str">
        <f t="shared" si="8"/>
        <v/>
      </c>
    </row>
    <row r="525" spans="1:13">
      <c r="A525" t="str">
        <f>IF('ATP Fills'!A525="","",IF('ATP Fills'!Q525="PHILLIPSG",'ATP Fills'!F525,""))</f>
        <v/>
      </c>
      <c r="B525" t="str">
        <f>IF(A525="","",'ATP Fills'!L525)</f>
        <v/>
      </c>
      <c r="C525" t="str">
        <f>IF(A525="","",'ATP Fills'!M525)</f>
        <v/>
      </c>
      <c r="D525" t="str">
        <f>IF(A525="","",'ATP Fills'!B525)</f>
        <v/>
      </c>
      <c r="E525" s="3" t="str">
        <f>IF(A525="","",IF(DATE(LEFT(D525,4),MID(D525,5,2),RIGHT(D525,2))=Helper1!$P$1,Helper1!$P$1,""))</f>
        <v/>
      </c>
      <c r="F525" s="3" t="str">
        <f>IF(A525="","",'ATP Fills'!G525)</f>
        <v/>
      </c>
      <c r="G525" t="str">
        <f>IF(A525="","",'ATP Fills'!H525)</f>
        <v/>
      </c>
      <c r="H525" t="str">
        <f>IF(A525="","",VLOOKUP(G525,表3_3[],2,0))</f>
        <v/>
      </c>
      <c r="I525" t="str">
        <f>IF(A525="","",VLOOKUP(G525,表3_3[],3,0))</f>
        <v/>
      </c>
      <c r="J525" t="str">
        <f>IF(A525="","",IF('ATP Fills'!I525="3M","",VLOOKUP(RIGHT('ATP Fills'!I525,2),Helper1!$O$36:$P$48,2,0)))</f>
        <v/>
      </c>
      <c r="K525" t="str">
        <f>IF(J525="","",LEFT('ATP Fills'!I525,4))</f>
        <v/>
      </c>
      <c r="L525" t="str">
        <f>IF(A525="","",IF('ATP Fills'!G525="LME",'ATP Fills'!I525,""))</f>
        <v/>
      </c>
      <c r="M525" t="str">
        <f t="shared" si="8"/>
        <v/>
      </c>
    </row>
    <row r="526" spans="1:13">
      <c r="A526" t="str">
        <f>IF('ATP Fills'!A526="","",IF('ATP Fills'!Q526="PHILLIPSG",'ATP Fills'!F526,""))</f>
        <v/>
      </c>
      <c r="B526" t="str">
        <f>IF(A526="","",'ATP Fills'!L526)</f>
        <v/>
      </c>
      <c r="C526" t="str">
        <f>IF(A526="","",'ATP Fills'!M526)</f>
        <v/>
      </c>
      <c r="D526" t="str">
        <f>IF(A526="","",'ATP Fills'!B526)</f>
        <v/>
      </c>
      <c r="E526" s="3" t="str">
        <f>IF(A526="","",IF(DATE(LEFT(D526,4),MID(D526,5,2),RIGHT(D526,2))=Helper1!$P$1,Helper1!$P$1,""))</f>
        <v/>
      </c>
      <c r="F526" s="3" t="str">
        <f>IF(A526="","",'ATP Fills'!G526)</f>
        <v/>
      </c>
      <c r="G526" t="str">
        <f>IF(A526="","",'ATP Fills'!H526)</f>
        <v/>
      </c>
      <c r="H526" t="str">
        <f>IF(A526="","",VLOOKUP(G526,表3_3[],2,0))</f>
        <v/>
      </c>
      <c r="I526" t="str">
        <f>IF(A526="","",VLOOKUP(G526,表3_3[],3,0))</f>
        <v/>
      </c>
      <c r="J526" t="str">
        <f>IF(A526="","",IF('ATP Fills'!I526="3M","",VLOOKUP(RIGHT('ATP Fills'!I526,2),Helper1!$O$36:$P$48,2,0)))</f>
        <v/>
      </c>
      <c r="K526" t="str">
        <f>IF(J526="","",LEFT('ATP Fills'!I526,4))</f>
        <v/>
      </c>
      <c r="L526" t="str">
        <f>IF(A526="","",IF('ATP Fills'!G526="LME",'ATP Fills'!I526,""))</f>
        <v/>
      </c>
      <c r="M526" t="str">
        <f t="shared" si="8"/>
        <v/>
      </c>
    </row>
    <row r="527" spans="1:13">
      <c r="A527" t="str">
        <f>IF('ATP Fills'!A527="","",IF('ATP Fills'!Q527="PHILLIPSG",'ATP Fills'!F527,""))</f>
        <v/>
      </c>
      <c r="B527" t="str">
        <f>IF(A527="","",'ATP Fills'!L527)</f>
        <v/>
      </c>
      <c r="C527" t="str">
        <f>IF(A527="","",'ATP Fills'!M527)</f>
        <v/>
      </c>
      <c r="D527" t="str">
        <f>IF(A527="","",'ATP Fills'!B527)</f>
        <v/>
      </c>
      <c r="E527" s="3" t="str">
        <f>IF(A527="","",IF(DATE(LEFT(D527,4),MID(D527,5,2),RIGHT(D527,2))=Helper1!$P$1,Helper1!$P$1,""))</f>
        <v/>
      </c>
      <c r="F527" s="3" t="str">
        <f>IF(A527="","",'ATP Fills'!G527)</f>
        <v/>
      </c>
      <c r="G527" t="str">
        <f>IF(A527="","",'ATP Fills'!H527)</f>
        <v/>
      </c>
      <c r="H527" t="str">
        <f>IF(A527="","",VLOOKUP(G527,表3_3[],2,0))</f>
        <v/>
      </c>
      <c r="I527" t="str">
        <f>IF(A527="","",VLOOKUP(G527,表3_3[],3,0))</f>
        <v/>
      </c>
      <c r="J527" t="str">
        <f>IF(A527="","",IF('ATP Fills'!I527="3M","",VLOOKUP(RIGHT('ATP Fills'!I527,2),Helper1!$O$36:$P$48,2,0)))</f>
        <v/>
      </c>
      <c r="K527" t="str">
        <f>IF(J527="","",LEFT('ATP Fills'!I527,4))</f>
        <v/>
      </c>
      <c r="L527" t="str">
        <f>IF(A527="","",IF('ATP Fills'!G527="LME",'ATP Fills'!I527,""))</f>
        <v/>
      </c>
      <c r="M527" t="str">
        <f t="shared" si="8"/>
        <v/>
      </c>
    </row>
    <row r="528" spans="1:13">
      <c r="A528" t="str">
        <f>IF('ATP Fills'!A528="","",IF('ATP Fills'!Q528="PHILLIPSG",'ATP Fills'!F528,""))</f>
        <v/>
      </c>
      <c r="B528" t="str">
        <f>IF(A528="","",'ATP Fills'!L528)</f>
        <v/>
      </c>
      <c r="C528" t="str">
        <f>IF(A528="","",'ATP Fills'!M528)</f>
        <v/>
      </c>
      <c r="D528" t="str">
        <f>IF(A528="","",'ATP Fills'!B528)</f>
        <v/>
      </c>
      <c r="E528" s="3" t="str">
        <f>IF(A528="","",IF(DATE(LEFT(D528,4),MID(D528,5,2),RIGHT(D528,2))=Helper1!$P$1,Helper1!$P$1,""))</f>
        <v/>
      </c>
      <c r="F528" s="3" t="str">
        <f>IF(A528="","",'ATP Fills'!G528)</f>
        <v/>
      </c>
      <c r="G528" t="str">
        <f>IF(A528="","",'ATP Fills'!H528)</f>
        <v/>
      </c>
      <c r="H528" t="str">
        <f>IF(A528="","",VLOOKUP(G528,表3_3[],2,0))</f>
        <v/>
      </c>
      <c r="I528" t="str">
        <f>IF(A528="","",VLOOKUP(G528,表3_3[],3,0))</f>
        <v/>
      </c>
      <c r="J528" t="str">
        <f>IF(A528="","",IF('ATP Fills'!I528="3M","",VLOOKUP(RIGHT('ATP Fills'!I528,2),Helper1!$O$36:$P$48,2,0)))</f>
        <v/>
      </c>
      <c r="K528" t="str">
        <f>IF(J528="","",LEFT('ATP Fills'!I528,4))</f>
        <v/>
      </c>
      <c r="L528" t="str">
        <f>IF(A528="","",IF('ATP Fills'!G528="LME",'ATP Fills'!I528,""))</f>
        <v/>
      </c>
      <c r="M528" t="str">
        <f t="shared" si="8"/>
        <v/>
      </c>
    </row>
    <row r="529" spans="1:13">
      <c r="A529" t="str">
        <f>IF('ATP Fills'!A529="","",IF('ATP Fills'!Q529="PHILLIPSG",'ATP Fills'!F529,""))</f>
        <v/>
      </c>
      <c r="B529" t="str">
        <f>IF(A529="","",'ATP Fills'!L529)</f>
        <v/>
      </c>
      <c r="C529" t="str">
        <f>IF(A529="","",'ATP Fills'!M529)</f>
        <v/>
      </c>
      <c r="D529" t="str">
        <f>IF(A529="","",'ATP Fills'!B529)</f>
        <v/>
      </c>
      <c r="E529" s="3" t="str">
        <f>IF(A529="","",IF(DATE(LEFT(D529,4),MID(D529,5,2),RIGHT(D529,2))=Helper1!$P$1,Helper1!$P$1,""))</f>
        <v/>
      </c>
      <c r="F529" s="3" t="str">
        <f>IF(A529="","",'ATP Fills'!G529)</f>
        <v/>
      </c>
      <c r="G529" t="str">
        <f>IF(A529="","",'ATP Fills'!H529)</f>
        <v/>
      </c>
      <c r="H529" t="str">
        <f>IF(A529="","",VLOOKUP(G529,表3_3[],2,0))</f>
        <v/>
      </c>
      <c r="I529" t="str">
        <f>IF(A529="","",VLOOKUP(G529,表3_3[],3,0))</f>
        <v/>
      </c>
      <c r="J529" t="str">
        <f>IF(A529="","",IF('ATP Fills'!I529="3M","",VLOOKUP(RIGHT('ATP Fills'!I529,2),Helper1!$O$36:$P$48,2,0)))</f>
        <v/>
      </c>
      <c r="K529" t="str">
        <f>IF(J529="","",LEFT('ATP Fills'!I529,4))</f>
        <v/>
      </c>
      <c r="L529" t="str">
        <f>IF(A529="","",IF('ATP Fills'!G529="LME",'ATP Fills'!I529,""))</f>
        <v/>
      </c>
      <c r="M529" t="str">
        <f t="shared" si="8"/>
        <v/>
      </c>
    </row>
    <row r="530" spans="1:13">
      <c r="A530" t="str">
        <f>IF('ATP Fills'!A530="","",IF('ATP Fills'!Q530="PHILLIPSG",'ATP Fills'!F530,""))</f>
        <v/>
      </c>
      <c r="B530" t="str">
        <f>IF(A530="","",'ATP Fills'!L530)</f>
        <v/>
      </c>
      <c r="C530" t="str">
        <f>IF(A530="","",'ATP Fills'!M530)</f>
        <v/>
      </c>
      <c r="D530" t="str">
        <f>IF(A530="","",'ATP Fills'!B530)</f>
        <v/>
      </c>
      <c r="E530" s="3" t="str">
        <f>IF(A530="","",IF(DATE(LEFT(D530,4),MID(D530,5,2),RIGHT(D530,2))=Helper1!$P$1,Helper1!$P$1,""))</f>
        <v/>
      </c>
      <c r="F530" s="3" t="str">
        <f>IF(A530="","",'ATP Fills'!G530)</f>
        <v/>
      </c>
      <c r="G530" t="str">
        <f>IF(A530="","",'ATP Fills'!H530)</f>
        <v/>
      </c>
      <c r="H530" t="str">
        <f>IF(A530="","",VLOOKUP(G530,表3_3[],2,0))</f>
        <v/>
      </c>
      <c r="I530" t="str">
        <f>IF(A530="","",VLOOKUP(G530,表3_3[],3,0))</f>
        <v/>
      </c>
      <c r="J530" t="str">
        <f>IF(A530="","",IF('ATP Fills'!I530="3M","",VLOOKUP(RIGHT('ATP Fills'!I530,2),Helper1!$O$36:$P$48,2,0)))</f>
        <v/>
      </c>
      <c r="K530" t="str">
        <f>IF(J530="","",LEFT('ATP Fills'!I530,4))</f>
        <v/>
      </c>
      <c r="L530" t="str">
        <f>IF(A530="","",IF('ATP Fills'!G530="LME",'ATP Fills'!I530,""))</f>
        <v/>
      </c>
      <c r="M530" t="str">
        <f t="shared" si="8"/>
        <v/>
      </c>
    </row>
    <row r="531" spans="1:13">
      <c r="A531" t="str">
        <f>IF('ATP Fills'!A531="","",IF('ATP Fills'!Q531="PHILLIPSG",'ATP Fills'!F531,""))</f>
        <v/>
      </c>
      <c r="B531" t="str">
        <f>IF(A531="","",'ATP Fills'!L531)</f>
        <v/>
      </c>
      <c r="C531" t="str">
        <f>IF(A531="","",'ATP Fills'!M531)</f>
        <v/>
      </c>
      <c r="D531" t="str">
        <f>IF(A531="","",'ATP Fills'!B531)</f>
        <v/>
      </c>
      <c r="E531" s="3" t="str">
        <f>IF(A531="","",IF(DATE(LEFT(D531,4),MID(D531,5,2),RIGHT(D531,2))=Helper1!$P$1,Helper1!$P$1,""))</f>
        <v/>
      </c>
      <c r="F531" s="3" t="str">
        <f>IF(A531="","",'ATP Fills'!G531)</f>
        <v/>
      </c>
      <c r="G531" t="str">
        <f>IF(A531="","",'ATP Fills'!H531)</f>
        <v/>
      </c>
      <c r="H531" t="str">
        <f>IF(A531="","",VLOOKUP(G531,表3_3[],2,0))</f>
        <v/>
      </c>
      <c r="I531" t="str">
        <f>IF(A531="","",VLOOKUP(G531,表3_3[],3,0))</f>
        <v/>
      </c>
      <c r="J531" t="str">
        <f>IF(A531="","",IF('ATP Fills'!I531="3M","",VLOOKUP(RIGHT('ATP Fills'!I531,2),Helper1!$O$36:$P$48,2,0)))</f>
        <v/>
      </c>
      <c r="K531" t="str">
        <f>IF(J531="","",LEFT('ATP Fills'!I531,4))</f>
        <v/>
      </c>
      <c r="L531" t="str">
        <f>IF(A531="","",IF('ATP Fills'!G531="LME",'ATP Fills'!I531,""))</f>
        <v/>
      </c>
      <c r="M531" t="str">
        <f t="shared" si="8"/>
        <v/>
      </c>
    </row>
    <row r="532" spans="1:13">
      <c r="A532" t="str">
        <f>IF('ATP Fills'!A532="","",IF('ATP Fills'!Q532="PHILLIPSG",'ATP Fills'!F532,""))</f>
        <v/>
      </c>
      <c r="B532" t="str">
        <f>IF(A532="","",'ATP Fills'!L532)</f>
        <v/>
      </c>
      <c r="C532" t="str">
        <f>IF(A532="","",'ATP Fills'!M532)</f>
        <v/>
      </c>
      <c r="D532" t="str">
        <f>IF(A532="","",'ATP Fills'!B532)</f>
        <v/>
      </c>
      <c r="E532" s="3" t="str">
        <f>IF(A532="","",IF(DATE(LEFT(D532,4),MID(D532,5,2),RIGHT(D532,2))=Helper1!$P$1,Helper1!$P$1,""))</f>
        <v/>
      </c>
      <c r="F532" s="3" t="str">
        <f>IF(A532="","",'ATP Fills'!G532)</f>
        <v/>
      </c>
      <c r="G532" t="str">
        <f>IF(A532="","",'ATP Fills'!H532)</f>
        <v/>
      </c>
      <c r="H532" t="str">
        <f>IF(A532="","",VLOOKUP(G532,表3_3[],2,0))</f>
        <v/>
      </c>
      <c r="I532" t="str">
        <f>IF(A532="","",VLOOKUP(G532,表3_3[],3,0))</f>
        <v/>
      </c>
      <c r="J532" t="str">
        <f>IF(A532="","",IF('ATP Fills'!I532="3M","",VLOOKUP(RIGHT('ATP Fills'!I532,2),Helper1!$O$36:$P$48,2,0)))</f>
        <v/>
      </c>
      <c r="K532" t="str">
        <f>IF(J532="","",LEFT('ATP Fills'!I532,4))</f>
        <v/>
      </c>
      <c r="L532" t="str">
        <f>IF(A532="","",IF('ATP Fills'!G532="LME",'ATP Fills'!I532,""))</f>
        <v/>
      </c>
      <c r="M532" t="str">
        <f t="shared" si="8"/>
        <v/>
      </c>
    </row>
    <row r="533" spans="1:13">
      <c r="A533" t="str">
        <f>IF('ATP Fills'!A533="","",IF('ATP Fills'!Q533="PHILLIPSG",'ATP Fills'!F533,""))</f>
        <v/>
      </c>
      <c r="B533" t="str">
        <f>IF(A533="","",'ATP Fills'!L533)</f>
        <v/>
      </c>
      <c r="C533" t="str">
        <f>IF(A533="","",'ATP Fills'!M533)</f>
        <v/>
      </c>
      <c r="D533" t="str">
        <f>IF(A533="","",'ATP Fills'!B533)</f>
        <v/>
      </c>
      <c r="E533" s="3" t="str">
        <f>IF(A533="","",IF(DATE(LEFT(D533,4),MID(D533,5,2),RIGHT(D533,2))=Helper1!$P$1,Helper1!$P$1,""))</f>
        <v/>
      </c>
      <c r="F533" s="3" t="str">
        <f>IF(A533="","",'ATP Fills'!G533)</f>
        <v/>
      </c>
      <c r="G533" t="str">
        <f>IF(A533="","",'ATP Fills'!H533)</f>
        <v/>
      </c>
      <c r="H533" t="str">
        <f>IF(A533="","",VLOOKUP(G533,表3_3[],2,0))</f>
        <v/>
      </c>
      <c r="I533" t="str">
        <f>IF(A533="","",VLOOKUP(G533,表3_3[],3,0))</f>
        <v/>
      </c>
      <c r="J533" t="str">
        <f>IF(A533="","",IF('ATP Fills'!I533="3M","",VLOOKUP(RIGHT('ATP Fills'!I533,2),Helper1!$O$36:$P$48,2,0)))</f>
        <v/>
      </c>
      <c r="K533" t="str">
        <f>IF(J533="","",LEFT('ATP Fills'!I533,4))</f>
        <v/>
      </c>
      <c r="L533" t="str">
        <f>IF(A533="","",IF('ATP Fills'!G533="LME",'ATP Fills'!I533,""))</f>
        <v/>
      </c>
      <c r="M533" t="str">
        <f t="shared" si="8"/>
        <v/>
      </c>
    </row>
    <row r="534" spans="1:13">
      <c r="A534" t="str">
        <f>IF('ATP Fills'!A534="","",IF('ATP Fills'!Q534="PHILLIPSG",'ATP Fills'!F534,""))</f>
        <v/>
      </c>
      <c r="B534" t="str">
        <f>IF(A534="","",'ATP Fills'!L534)</f>
        <v/>
      </c>
      <c r="C534" t="str">
        <f>IF(A534="","",'ATP Fills'!M534)</f>
        <v/>
      </c>
      <c r="D534" t="str">
        <f>IF(A534="","",'ATP Fills'!B534)</f>
        <v/>
      </c>
      <c r="E534" s="3" t="str">
        <f>IF(A534="","",IF(DATE(LEFT(D534,4),MID(D534,5,2),RIGHT(D534,2))=Helper1!$P$1,Helper1!$P$1,""))</f>
        <v/>
      </c>
      <c r="F534" s="3" t="str">
        <f>IF(A534="","",'ATP Fills'!G534)</f>
        <v/>
      </c>
      <c r="G534" t="str">
        <f>IF(A534="","",'ATP Fills'!H534)</f>
        <v/>
      </c>
      <c r="H534" t="str">
        <f>IF(A534="","",VLOOKUP(G534,表3_3[],2,0))</f>
        <v/>
      </c>
      <c r="I534" t="str">
        <f>IF(A534="","",VLOOKUP(G534,表3_3[],3,0))</f>
        <v/>
      </c>
      <c r="J534" t="str">
        <f>IF(A534="","",IF('ATP Fills'!I534="3M","",VLOOKUP(RIGHT('ATP Fills'!I534,2),Helper1!$O$36:$P$48,2,0)))</f>
        <v/>
      </c>
      <c r="K534" t="str">
        <f>IF(J534="","",LEFT('ATP Fills'!I534,4))</f>
        <v/>
      </c>
      <c r="L534" t="str">
        <f>IF(A534="","",IF('ATP Fills'!G534="LME",'ATP Fills'!I534,""))</f>
        <v/>
      </c>
      <c r="M534" t="str">
        <f t="shared" si="8"/>
        <v/>
      </c>
    </row>
    <row r="535" spans="1:13">
      <c r="A535" t="str">
        <f>IF('ATP Fills'!A535="","",IF('ATP Fills'!Q535="PHILLIPSG",'ATP Fills'!F535,""))</f>
        <v/>
      </c>
      <c r="B535" t="str">
        <f>IF(A535="","",'ATP Fills'!L535)</f>
        <v/>
      </c>
      <c r="C535" t="str">
        <f>IF(A535="","",'ATP Fills'!M535)</f>
        <v/>
      </c>
      <c r="D535" t="str">
        <f>IF(A535="","",'ATP Fills'!B535)</f>
        <v/>
      </c>
      <c r="E535" s="3" t="str">
        <f>IF(A535="","",IF(DATE(LEFT(D535,4),MID(D535,5,2),RIGHT(D535,2))=Helper1!$P$1,Helper1!$P$1,""))</f>
        <v/>
      </c>
      <c r="F535" s="3" t="str">
        <f>IF(A535="","",'ATP Fills'!G535)</f>
        <v/>
      </c>
      <c r="G535" t="str">
        <f>IF(A535="","",'ATP Fills'!H535)</f>
        <v/>
      </c>
      <c r="H535" t="str">
        <f>IF(A535="","",VLOOKUP(G535,表3_3[],2,0))</f>
        <v/>
      </c>
      <c r="I535" t="str">
        <f>IF(A535="","",VLOOKUP(G535,表3_3[],3,0))</f>
        <v/>
      </c>
      <c r="J535" t="str">
        <f>IF(A535="","",IF('ATP Fills'!I535="3M","",VLOOKUP(RIGHT('ATP Fills'!I535,2),Helper1!$O$36:$P$48,2,0)))</f>
        <v/>
      </c>
      <c r="K535" t="str">
        <f>IF(J535="","",LEFT('ATP Fills'!I535,4))</f>
        <v/>
      </c>
      <c r="L535" t="str">
        <f>IF(A535="","",IF('ATP Fills'!G535="LME",'ATP Fills'!I535,""))</f>
        <v/>
      </c>
      <c r="M535" t="str">
        <f t="shared" si="8"/>
        <v/>
      </c>
    </row>
    <row r="536" spans="1:13">
      <c r="A536" t="str">
        <f>IF('ATP Fills'!A536="","",IF('ATP Fills'!Q536="PHILLIPSG",'ATP Fills'!F536,""))</f>
        <v/>
      </c>
      <c r="B536" t="str">
        <f>IF(A536="","",'ATP Fills'!L536)</f>
        <v/>
      </c>
      <c r="C536" t="str">
        <f>IF(A536="","",'ATP Fills'!M536)</f>
        <v/>
      </c>
      <c r="D536" t="str">
        <f>IF(A536="","",'ATP Fills'!B536)</f>
        <v/>
      </c>
      <c r="E536" s="3" t="str">
        <f>IF(A536="","",IF(DATE(LEFT(D536,4),MID(D536,5,2),RIGHT(D536,2))=Helper1!$P$1,Helper1!$P$1,""))</f>
        <v/>
      </c>
      <c r="F536" s="3" t="str">
        <f>IF(A536="","",'ATP Fills'!G536)</f>
        <v/>
      </c>
      <c r="G536" t="str">
        <f>IF(A536="","",'ATP Fills'!H536)</f>
        <v/>
      </c>
      <c r="H536" t="str">
        <f>IF(A536="","",VLOOKUP(G536,表3_3[],2,0))</f>
        <v/>
      </c>
      <c r="I536" t="str">
        <f>IF(A536="","",VLOOKUP(G536,表3_3[],3,0))</f>
        <v/>
      </c>
      <c r="J536" t="str">
        <f>IF(A536="","",IF('ATP Fills'!I536="3M","",VLOOKUP(RIGHT('ATP Fills'!I536,2),Helper1!$O$36:$P$48,2,0)))</f>
        <v/>
      </c>
      <c r="K536" t="str">
        <f>IF(J536="","",LEFT('ATP Fills'!I536,4))</f>
        <v/>
      </c>
      <c r="L536" t="str">
        <f>IF(A536="","",IF('ATP Fills'!G536="LME",'ATP Fills'!I536,""))</f>
        <v/>
      </c>
      <c r="M536" t="str">
        <f t="shared" si="8"/>
        <v/>
      </c>
    </row>
    <row r="537" spans="1:13">
      <c r="A537" t="str">
        <f>IF('ATP Fills'!A537="","",IF('ATP Fills'!Q537="PHILLIPSG",'ATP Fills'!F537,""))</f>
        <v/>
      </c>
      <c r="B537" t="str">
        <f>IF(A537="","",'ATP Fills'!L537)</f>
        <v/>
      </c>
      <c r="C537" t="str">
        <f>IF(A537="","",'ATP Fills'!M537)</f>
        <v/>
      </c>
      <c r="D537" t="str">
        <f>IF(A537="","",'ATP Fills'!B537)</f>
        <v/>
      </c>
      <c r="E537" s="3" t="str">
        <f>IF(A537="","",IF(DATE(LEFT(D537,4),MID(D537,5,2),RIGHT(D537,2))=Helper1!$P$1,Helper1!$P$1,""))</f>
        <v/>
      </c>
      <c r="F537" s="3" t="str">
        <f>IF(A537="","",'ATP Fills'!G537)</f>
        <v/>
      </c>
      <c r="G537" t="str">
        <f>IF(A537="","",'ATP Fills'!H537)</f>
        <v/>
      </c>
      <c r="H537" t="str">
        <f>IF(A537="","",VLOOKUP(G537,表3_3[],2,0))</f>
        <v/>
      </c>
      <c r="I537" t="str">
        <f>IF(A537="","",VLOOKUP(G537,表3_3[],3,0))</f>
        <v/>
      </c>
      <c r="J537" t="str">
        <f>IF(A537="","",IF('ATP Fills'!I537="3M","",VLOOKUP(RIGHT('ATP Fills'!I537,2),Helper1!$O$36:$P$48,2,0)))</f>
        <v/>
      </c>
      <c r="K537" t="str">
        <f>IF(J537="","",LEFT('ATP Fills'!I537,4))</f>
        <v/>
      </c>
      <c r="L537" t="str">
        <f>IF(A537="","",IF('ATP Fills'!G537="LME",'ATP Fills'!I537,""))</f>
        <v/>
      </c>
      <c r="M537" t="str">
        <f t="shared" si="8"/>
        <v/>
      </c>
    </row>
    <row r="538" spans="1:13">
      <c r="A538" t="str">
        <f>IF('ATP Fills'!A538="","",IF('ATP Fills'!Q538="PHILLIPSG",'ATP Fills'!F538,""))</f>
        <v/>
      </c>
      <c r="B538" t="str">
        <f>IF(A538="","",'ATP Fills'!L538)</f>
        <v/>
      </c>
      <c r="C538" t="str">
        <f>IF(A538="","",'ATP Fills'!M538)</f>
        <v/>
      </c>
      <c r="D538" t="str">
        <f>IF(A538="","",'ATP Fills'!B538)</f>
        <v/>
      </c>
      <c r="E538" s="3" t="str">
        <f>IF(A538="","",IF(DATE(LEFT(D538,4),MID(D538,5,2),RIGHT(D538,2))=Helper1!$P$1,Helper1!$P$1,""))</f>
        <v/>
      </c>
      <c r="F538" s="3" t="str">
        <f>IF(A538="","",'ATP Fills'!G538)</f>
        <v/>
      </c>
      <c r="G538" t="str">
        <f>IF(A538="","",'ATP Fills'!H538)</f>
        <v/>
      </c>
      <c r="H538" t="str">
        <f>IF(A538="","",VLOOKUP(G538,表3_3[],2,0))</f>
        <v/>
      </c>
      <c r="I538" t="str">
        <f>IF(A538="","",VLOOKUP(G538,表3_3[],3,0))</f>
        <v/>
      </c>
      <c r="J538" t="str">
        <f>IF(A538="","",IF('ATP Fills'!I538="3M","",VLOOKUP(RIGHT('ATP Fills'!I538,2),Helper1!$O$36:$P$48,2,0)))</f>
        <v/>
      </c>
      <c r="K538" t="str">
        <f>IF(J538="","",LEFT('ATP Fills'!I538,4))</f>
        <v/>
      </c>
      <c r="L538" t="str">
        <f>IF(A538="","",IF('ATP Fills'!G538="LME",'ATP Fills'!I538,""))</f>
        <v/>
      </c>
      <c r="M538" t="str">
        <f t="shared" si="8"/>
        <v/>
      </c>
    </row>
    <row r="539" spans="1:13">
      <c r="A539" t="str">
        <f>IF('ATP Fills'!A539="","",IF('ATP Fills'!Q539="PHILLIPSG",'ATP Fills'!F539,""))</f>
        <v/>
      </c>
      <c r="B539" t="str">
        <f>IF(A539="","",'ATP Fills'!L539)</f>
        <v/>
      </c>
      <c r="C539" t="str">
        <f>IF(A539="","",'ATP Fills'!M539)</f>
        <v/>
      </c>
      <c r="D539" t="str">
        <f>IF(A539="","",'ATP Fills'!B539)</f>
        <v/>
      </c>
      <c r="E539" s="3" t="str">
        <f>IF(A539="","",IF(DATE(LEFT(D539,4),MID(D539,5,2),RIGHT(D539,2))=Helper1!$P$1,Helper1!$P$1,""))</f>
        <v/>
      </c>
      <c r="F539" s="3" t="str">
        <f>IF(A539="","",'ATP Fills'!G539)</f>
        <v/>
      </c>
      <c r="G539" t="str">
        <f>IF(A539="","",'ATP Fills'!H539)</f>
        <v/>
      </c>
      <c r="H539" t="str">
        <f>IF(A539="","",VLOOKUP(G539,表3_3[],2,0))</f>
        <v/>
      </c>
      <c r="I539" t="str">
        <f>IF(A539="","",VLOOKUP(G539,表3_3[],3,0))</f>
        <v/>
      </c>
      <c r="J539" t="str">
        <f>IF(A539="","",IF('ATP Fills'!I539="3M","",VLOOKUP(RIGHT('ATP Fills'!I539,2),Helper1!$O$36:$P$48,2,0)))</f>
        <v/>
      </c>
      <c r="K539" t="str">
        <f>IF(J539="","",LEFT('ATP Fills'!I539,4))</f>
        <v/>
      </c>
      <c r="L539" t="str">
        <f>IF(A539="","",IF('ATP Fills'!G539="LME",'ATP Fills'!I539,""))</f>
        <v/>
      </c>
      <c r="M539" t="str">
        <f t="shared" si="8"/>
        <v/>
      </c>
    </row>
    <row r="540" spans="1:13">
      <c r="A540" t="str">
        <f>IF('ATP Fills'!A540="","",IF('ATP Fills'!Q540="PHILLIPSG",'ATP Fills'!F540,""))</f>
        <v/>
      </c>
      <c r="B540" t="str">
        <f>IF(A540="","",'ATP Fills'!L540)</f>
        <v/>
      </c>
      <c r="C540" t="str">
        <f>IF(A540="","",'ATP Fills'!M540)</f>
        <v/>
      </c>
      <c r="D540" t="str">
        <f>IF(A540="","",'ATP Fills'!B540)</f>
        <v/>
      </c>
      <c r="E540" s="3" t="str">
        <f>IF(A540="","",IF(DATE(LEFT(D540,4),MID(D540,5,2),RIGHT(D540,2))=Helper1!$P$1,Helper1!$P$1,""))</f>
        <v/>
      </c>
      <c r="F540" s="3" t="str">
        <f>IF(A540="","",'ATP Fills'!G540)</f>
        <v/>
      </c>
      <c r="G540" t="str">
        <f>IF(A540="","",'ATP Fills'!H540)</f>
        <v/>
      </c>
      <c r="H540" t="str">
        <f>IF(A540="","",VLOOKUP(G540,表3_3[],2,0))</f>
        <v/>
      </c>
      <c r="I540" t="str">
        <f>IF(A540="","",VLOOKUP(G540,表3_3[],3,0))</f>
        <v/>
      </c>
      <c r="J540" t="str">
        <f>IF(A540="","",IF('ATP Fills'!I540="3M","",VLOOKUP(RIGHT('ATP Fills'!I540,2),Helper1!$O$36:$P$48,2,0)))</f>
        <v/>
      </c>
      <c r="K540" t="str">
        <f>IF(J540="","",LEFT('ATP Fills'!I540,4))</f>
        <v/>
      </c>
      <c r="L540" t="str">
        <f>IF(A540="","",IF('ATP Fills'!G540="LME",'ATP Fills'!I540,""))</f>
        <v/>
      </c>
      <c r="M540" t="str">
        <f t="shared" si="8"/>
        <v/>
      </c>
    </row>
    <row r="541" spans="1:13">
      <c r="A541" t="str">
        <f>IF('ATP Fills'!A541="","",IF('ATP Fills'!Q541="PHILLIPSG",'ATP Fills'!F541,""))</f>
        <v/>
      </c>
      <c r="B541" t="str">
        <f>IF(A541="","",'ATP Fills'!L541)</f>
        <v/>
      </c>
      <c r="C541" t="str">
        <f>IF(A541="","",'ATP Fills'!M541)</f>
        <v/>
      </c>
      <c r="D541" t="str">
        <f>IF(A541="","",'ATP Fills'!B541)</f>
        <v/>
      </c>
      <c r="E541" s="3" t="str">
        <f>IF(A541="","",IF(DATE(LEFT(D541,4),MID(D541,5,2),RIGHT(D541,2))=Helper1!$P$1,Helper1!$P$1,""))</f>
        <v/>
      </c>
      <c r="F541" s="3" t="str">
        <f>IF(A541="","",'ATP Fills'!G541)</f>
        <v/>
      </c>
      <c r="G541" t="str">
        <f>IF(A541="","",'ATP Fills'!H541)</f>
        <v/>
      </c>
      <c r="H541" t="str">
        <f>IF(A541="","",VLOOKUP(G541,表3_3[],2,0))</f>
        <v/>
      </c>
      <c r="I541" t="str">
        <f>IF(A541="","",VLOOKUP(G541,表3_3[],3,0))</f>
        <v/>
      </c>
      <c r="J541" t="str">
        <f>IF(A541="","",IF('ATP Fills'!I541="3M","",VLOOKUP(RIGHT('ATP Fills'!I541,2),Helper1!$O$36:$P$48,2,0)))</f>
        <v/>
      </c>
      <c r="K541" t="str">
        <f>IF(J541="","",LEFT('ATP Fills'!I541,4))</f>
        <v/>
      </c>
      <c r="L541" t="str">
        <f>IF(A541="","",IF('ATP Fills'!G541="LME",'ATP Fills'!I541,""))</f>
        <v/>
      </c>
      <c r="M541" t="str">
        <f t="shared" si="8"/>
        <v/>
      </c>
    </row>
    <row r="542" spans="1:13">
      <c r="A542" t="str">
        <f>IF('ATP Fills'!A542="","",IF('ATP Fills'!Q542="PHILLIPSG",'ATP Fills'!F542,""))</f>
        <v/>
      </c>
      <c r="B542" t="str">
        <f>IF(A542="","",'ATP Fills'!L542)</f>
        <v/>
      </c>
      <c r="C542" t="str">
        <f>IF(A542="","",'ATP Fills'!M542)</f>
        <v/>
      </c>
      <c r="D542" t="str">
        <f>IF(A542="","",'ATP Fills'!B542)</f>
        <v/>
      </c>
      <c r="E542" s="3" t="str">
        <f>IF(A542="","",IF(DATE(LEFT(D542,4),MID(D542,5,2),RIGHT(D542,2))=Helper1!$P$1,Helper1!$P$1,""))</f>
        <v/>
      </c>
      <c r="F542" s="3" t="str">
        <f>IF(A542="","",'ATP Fills'!G542)</f>
        <v/>
      </c>
      <c r="G542" t="str">
        <f>IF(A542="","",'ATP Fills'!H542)</f>
        <v/>
      </c>
      <c r="H542" t="str">
        <f>IF(A542="","",VLOOKUP(G542,表3_3[],2,0))</f>
        <v/>
      </c>
      <c r="I542" t="str">
        <f>IF(A542="","",VLOOKUP(G542,表3_3[],3,0))</f>
        <v/>
      </c>
      <c r="J542" t="str">
        <f>IF(A542="","",IF('ATP Fills'!I542="3M","",VLOOKUP(RIGHT('ATP Fills'!I542,2),Helper1!$O$36:$P$48,2,0)))</f>
        <v/>
      </c>
      <c r="K542" t="str">
        <f>IF(J542="","",LEFT('ATP Fills'!I542,4))</f>
        <v/>
      </c>
      <c r="L542" t="str">
        <f>IF(A542="","",IF('ATP Fills'!G542="LME",'ATP Fills'!I542,""))</f>
        <v/>
      </c>
      <c r="M542" t="str">
        <f t="shared" si="8"/>
        <v/>
      </c>
    </row>
    <row r="543" spans="1:13">
      <c r="A543" t="str">
        <f>IF('ATP Fills'!A543="","",IF('ATP Fills'!Q543="PHILLIPSG",'ATP Fills'!F543,""))</f>
        <v/>
      </c>
      <c r="B543" t="str">
        <f>IF(A543="","",'ATP Fills'!L543)</f>
        <v/>
      </c>
      <c r="C543" t="str">
        <f>IF(A543="","",'ATP Fills'!M543)</f>
        <v/>
      </c>
      <c r="D543" t="str">
        <f>IF(A543="","",'ATP Fills'!B543)</f>
        <v/>
      </c>
      <c r="E543" s="3" t="str">
        <f>IF(A543="","",IF(DATE(LEFT(D543,4),MID(D543,5,2),RIGHT(D543,2))=Helper1!$P$1,Helper1!$P$1,""))</f>
        <v/>
      </c>
      <c r="F543" s="3" t="str">
        <f>IF(A543="","",'ATP Fills'!G543)</f>
        <v/>
      </c>
      <c r="G543" t="str">
        <f>IF(A543="","",'ATP Fills'!H543)</f>
        <v/>
      </c>
      <c r="H543" t="str">
        <f>IF(A543="","",VLOOKUP(G543,表3_3[],2,0))</f>
        <v/>
      </c>
      <c r="I543" t="str">
        <f>IF(A543="","",VLOOKUP(G543,表3_3[],3,0))</f>
        <v/>
      </c>
      <c r="J543" t="str">
        <f>IF(A543="","",IF('ATP Fills'!I543="3M","",VLOOKUP(RIGHT('ATP Fills'!I543,2),Helper1!$O$36:$P$48,2,0)))</f>
        <v/>
      </c>
      <c r="K543" t="str">
        <f>IF(J543="","",LEFT('ATP Fills'!I543,4))</f>
        <v/>
      </c>
      <c r="L543" t="str">
        <f>IF(A543="","",IF('ATP Fills'!G543="LME",'ATP Fills'!I543,""))</f>
        <v/>
      </c>
      <c r="M543" t="str">
        <f t="shared" si="8"/>
        <v/>
      </c>
    </row>
    <row r="544" spans="1:13">
      <c r="A544" t="str">
        <f>IF('ATP Fills'!A544="","",IF('ATP Fills'!Q544="PHILLIPSG",'ATP Fills'!F544,""))</f>
        <v/>
      </c>
      <c r="B544" t="str">
        <f>IF(A544="","",'ATP Fills'!L544)</f>
        <v/>
      </c>
      <c r="C544" t="str">
        <f>IF(A544="","",'ATP Fills'!M544)</f>
        <v/>
      </c>
      <c r="D544" t="str">
        <f>IF(A544="","",'ATP Fills'!B544)</f>
        <v/>
      </c>
      <c r="E544" s="3" t="str">
        <f>IF(A544="","",IF(DATE(LEFT(D544,4),MID(D544,5,2),RIGHT(D544,2))=Helper1!$P$1,Helper1!$P$1,""))</f>
        <v/>
      </c>
      <c r="F544" s="3" t="str">
        <f>IF(A544="","",'ATP Fills'!G544)</f>
        <v/>
      </c>
      <c r="G544" t="str">
        <f>IF(A544="","",'ATP Fills'!H544)</f>
        <v/>
      </c>
      <c r="H544" t="str">
        <f>IF(A544="","",VLOOKUP(G544,表3_3[],2,0))</f>
        <v/>
      </c>
      <c r="I544" t="str">
        <f>IF(A544="","",VLOOKUP(G544,表3_3[],3,0))</f>
        <v/>
      </c>
      <c r="J544" t="str">
        <f>IF(A544="","",IF('ATP Fills'!I544="3M","",VLOOKUP(RIGHT('ATP Fills'!I544,2),Helper1!$O$36:$P$48,2,0)))</f>
        <v/>
      </c>
      <c r="K544" t="str">
        <f>IF(J544="","",LEFT('ATP Fills'!I544,4))</f>
        <v/>
      </c>
      <c r="L544" t="str">
        <f>IF(A544="","",IF('ATP Fills'!G544="LME",'ATP Fills'!I544,""))</f>
        <v/>
      </c>
      <c r="M544" t="str">
        <f t="shared" si="8"/>
        <v/>
      </c>
    </row>
    <row r="545" spans="1:13">
      <c r="A545" t="str">
        <f>IF('ATP Fills'!A545="","",IF('ATP Fills'!Q545="PHILLIPSG",'ATP Fills'!F545,""))</f>
        <v/>
      </c>
      <c r="B545" t="str">
        <f>IF(A545="","",'ATP Fills'!L545)</f>
        <v/>
      </c>
      <c r="C545" t="str">
        <f>IF(A545="","",'ATP Fills'!M545)</f>
        <v/>
      </c>
      <c r="D545" t="str">
        <f>IF(A545="","",'ATP Fills'!B545)</f>
        <v/>
      </c>
      <c r="E545" s="3" t="str">
        <f>IF(A545="","",IF(DATE(LEFT(D545,4),MID(D545,5,2),RIGHT(D545,2))=Helper1!$P$1,Helper1!$P$1,""))</f>
        <v/>
      </c>
      <c r="F545" s="3" t="str">
        <f>IF(A545="","",'ATP Fills'!G545)</f>
        <v/>
      </c>
      <c r="G545" t="str">
        <f>IF(A545="","",'ATP Fills'!H545)</f>
        <v/>
      </c>
      <c r="H545" t="str">
        <f>IF(A545="","",VLOOKUP(G545,表3_3[],2,0))</f>
        <v/>
      </c>
      <c r="I545" t="str">
        <f>IF(A545="","",VLOOKUP(G545,表3_3[],3,0))</f>
        <v/>
      </c>
      <c r="J545" t="str">
        <f>IF(A545="","",IF('ATP Fills'!I545="3M","",VLOOKUP(RIGHT('ATP Fills'!I545,2),Helper1!$O$36:$P$48,2,0)))</f>
        <v/>
      </c>
      <c r="K545" t="str">
        <f>IF(J545="","",LEFT('ATP Fills'!I545,4))</f>
        <v/>
      </c>
      <c r="L545" t="str">
        <f>IF(A545="","",IF('ATP Fills'!G545="LME",'ATP Fills'!I545,""))</f>
        <v/>
      </c>
      <c r="M545" t="str">
        <f t="shared" si="8"/>
        <v/>
      </c>
    </row>
    <row r="546" spans="1:13">
      <c r="A546" t="str">
        <f>IF('ATP Fills'!A546="","",IF('ATP Fills'!Q546="PHILLIPSG",'ATP Fills'!F546,""))</f>
        <v/>
      </c>
      <c r="B546" t="str">
        <f>IF(A546="","",'ATP Fills'!L546)</f>
        <v/>
      </c>
      <c r="C546" t="str">
        <f>IF(A546="","",'ATP Fills'!M546)</f>
        <v/>
      </c>
      <c r="D546" t="str">
        <f>IF(A546="","",'ATP Fills'!B546)</f>
        <v/>
      </c>
      <c r="E546" s="3" t="str">
        <f>IF(A546="","",IF(DATE(LEFT(D546,4),MID(D546,5,2),RIGHT(D546,2))=Helper1!$P$1,Helper1!$P$1,""))</f>
        <v/>
      </c>
      <c r="F546" s="3" t="str">
        <f>IF(A546="","",'ATP Fills'!G546)</f>
        <v/>
      </c>
      <c r="G546" t="str">
        <f>IF(A546="","",'ATP Fills'!H546)</f>
        <v/>
      </c>
      <c r="H546" t="str">
        <f>IF(A546="","",VLOOKUP(G546,表3_3[],2,0))</f>
        <v/>
      </c>
      <c r="I546" t="str">
        <f>IF(A546="","",VLOOKUP(G546,表3_3[],3,0))</f>
        <v/>
      </c>
      <c r="J546" t="str">
        <f>IF(A546="","",IF('ATP Fills'!I546="3M","",VLOOKUP(RIGHT('ATP Fills'!I546,2),Helper1!$O$36:$P$48,2,0)))</f>
        <v/>
      </c>
      <c r="K546" t="str">
        <f>IF(J546="","",LEFT('ATP Fills'!I546,4))</f>
        <v/>
      </c>
      <c r="L546" t="str">
        <f>IF(A546="","",IF('ATP Fills'!G546="LME",'ATP Fills'!I546,""))</f>
        <v/>
      </c>
      <c r="M546" t="str">
        <f t="shared" si="8"/>
        <v/>
      </c>
    </row>
    <row r="547" spans="1:13">
      <c r="A547" t="str">
        <f>IF('ATP Fills'!A547="","",IF('ATP Fills'!Q547="PHILLIPSG",'ATP Fills'!F547,""))</f>
        <v/>
      </c>
      <c r="B547" t="str">
        <f>IF(A547="","",'ATP Fills'!L547)</f>
        <v/>
      </c>
      <c r="C547" t="str">
        <f>IF(A547="","",'ATP Fills'!M547)</f>
        <v/>
      </c>
      <c r="D547" t="str">
        <f>IF(A547="","",'ATP Fills'!B547)</f>
        <v/>
      </c>
      <c r="E547" s="3" t="str">
        <f>IF(A547="","",IF(DATE(LEFT(D547,4),MID(D547,5,2),RIGHT(D547,2))=Helper1!$P$1,Helper1!$P$1,""))</f>
        <v/>
      </c>
      <c r="F547" s="3" t="str">
        <f>IF(A547="","",'ATP Fills'!G547)</f>
        <v/>
      </c>
      <c r="G547" t="str">
        <f>IF(A547="","",'ATP Fills'!H547)</f>
        <v/>
      </c>
      <c r="H547" t="str">
        <f>IF(A547="","",VLOOKUP(G547,表3_3[],2,0))</f>
        <v/>
      </c>
      <c r="I547" t="str">
        <f>IF(A547="","",VLOOKUP(G547,表3_3[],3,0))</f>
        <v/>
      </c>
      <c r="J547" t="str">
        <f>IF(A547="","",IF('ATP Fills'!I547="3M","",VLOOKUP(RIGHT('ATP Fills'!I547,2),Helper1!$O$36:$P$48,2,0)))</f>
        <v/>
      </c>
      <c r="K547" t="str">
        <f>IF(J547="","",LEFT('ATP Fills'!I547,4))</f>
        <v/>
      </c>
      <c r="L547" t="str">
        <f>IF(A547="","",IF('ATP Fills'!G547="LME",'ATP Fills'!I547,""))</f>
        <v/>
      </c>
      <c r="M547" t="str">
        <f t="shared" si="8"/>
        <v/>
      </c>
    </row>
    <row r="548" spans="1:13">
      <c r="A548" t="str">
        <f>IF('ATP Fills'!A548="","",IF('ATP Fills'!Q548="PHILLIPSG",'ATP Fills'!F548,""))</f>
        <v/>
      </c>
      <c r="B548" t="str">
        <f>IF(A548="","",'ATP Fills'!L548)</f>
        <v/>
      </c>
      <c r="C548" t="str">
        <f>IF(A548="","",'ATP Fills'!M548)</f>
        <v/>
      </c>
      <c r="D548" t="str">
        <f>IF(A548="","",'ATP Fills'!B548)</f>
        <v/>
      </c>
      <c r="E548" s="3" t="str">
        <f>IF(A548="","",IF(DATE(LEFT(D548,4),MID(D548,5,2),RIGHT(D548,2))=Helper1!$P$1,Helper1!$P$1,""))</f>
        <v/>
      </c>
      <c r="F548" s="3" t="str">
        <f>IF(A548="","",'ATP Fills'!G548)</f>
        <v/>
      </c>
      <c r="G548" t="str">
        <f>IF(A548="","",'ATP Fills'!H548)</f>
        <v/>
      </c>
      <c r="H548" t="str">
        <f>IF(A548="","",VLOOKUP(G548,表3_3[],2,0))</f>
        <v/>
      </c>
      <c r="I548" t="str">
        <f>IF(A548="","",VLOOKUP(G548,表3_3[],3,0))</f>
        <v/>
      </c>
      <c r="J548" t="str">
        <f>IF(A548="","",IF('ATP Fills'!I548="3M","",VLOOKUP(RIGHT('ATP Fills'!I548,2),Helper1!$O$36:$P$48,2,0)))</f>
        <v/>
      </c>
      <c r="K548" t="str">
        <f>IF(J548="","",LEFT('ATP Fills'!I548,4))</f>
        <v/>
      </c>
      <c r="L548" t="str">
        <f>IF(A548="","",IF('ATP Fills'!G548="LME",'ATP Fills'!I548,""))</f>
        <v/>
      </c>
      <c r="M548" t="str">
        <f t="shared" si="8"/>
        <v/>
      </c>
    </row>
    <row r="549" spans="1:13">
      <c r="A549" t="str">
        <f>IF('ATP Fills'!A549="","",IF('ATP Fills'!Q549="PHILLIPSG",'ATP Fills'!F549,""))</f>
        <v/>
      </c>
      <c r="B549" t="str">
        <f>IF(A549="","",'ATP Fills'!L549)</f>
        <v/>
      </c>
      <c r="C549" t="str">
        <f>IF(A549="","",'ATP Fills'!M549)</f>
        <v/>
      </c>
      <c r="D549" t="str">
        <f>IF(A549="","",'ATP Fills'!B549)</f>
        <v/>
      </c>
      <c r="E549" s="3" t="str">
        <f>IF(A549="","",IF(DATE(LEFT(D549,4),MID(D549,5,2),RIGHT(D549,2))=Helper1!$P$1,Helper1!$P$1,""))</f>
        <v/>
      </c>
      <c r="F549" s="3" t="str">
        <f>IF(A549="","",'ATP Fills'!G549)</f>
        <v/>
      </c>
      <c r="G549" t="str">
        <f>IF(A549="","",'ATP Fills'!H549)</f>
        <v/>
      </c>
      <c r="H549" t="str">
        <f>IF(A549="","",VLOOKUP(G549,表3_3[],2,0))</f>
        <v/>
      </c>
      <c r="I549" t="str">
        <f>IF(A549="","",VLOOKUP(G549,表3_3[],3,0))</f>
        <v/>
      </c>
      <c r="J549" t="str">
        <f>IF(A549="","",IF('ATP Fills'!I549="3M","",VLOOKUP(RIGHT('ATP Fills'!I549,2),Helper1!$O$36:$P$48,2,0)))</f>
        <v/>
      </c>
      <c r="K549" t="str">
        <f>IF(J549="","",LEFT('ATP Fills'!I549,4))</f>
        <v/>
      </c>
      <c r="L549" t="str">
        <f>IF(A549="","",IF('ATP Fills'!G549="LME",'ATP Fills'!I549,""))</f>
        <v/>
      </c>
      <c r="M549" t="str">
        <f t="shared" si="8"/>
        <v/>
      </c>
    </row>
    <row r="550" spans="1:13">
      <c r="A550" t="str">
        <f>IF('ATP Fills'!A550="","",IF('ATP Fills'!Q550="PHILLIPSG",'ATP Fills'!F550,""))</f>
        <v/>
      </c>
      <c r="B550" t="str">
        <f>IF(A550="","",'ATP Fills'!L550)</f>
        <v/>
      </c>
      <c r="C550" t="str">
        <f>IF(A550="","",'ATP Fills'!M550)</f>
        <v/>
      </c>
      <c r="D550" t="str">
        <f>IF(A550="","",'ATP Fills'!B550)</f>
        <v/>
      </c>
      <c r="E550" s="3" t="str">
        <f>IF(A550="","",IF(DATE(LEFT(D550,4),MID(D550,5,2),RIGHT(D550,2))=Helper1!$P$1,Helper1!$P$1,""))</f>
        <v/>
      </c>
      <c r="F550" s="3" t="str">
        <f>IF(A550="","",'ATP Fills'!G550)</f>
        <v/>
      </c>
      <c r="G550" t="str">
        <f>IF(A550="","",'ATP Fills'!H550)</f>
        <v/>
      </c>
      <c r="H550" t="str">
        <f>IF(A550="","",VLOOKUP(G550,表3_3[],2,0))</f>
        <v/>
      </c>
      <c r="I550" t="str">
        <f>IF(A550="","",VLOOKUP(G550,表3_3[],3,0))</f>
        <v/>
      </c>
      <c r="J550" t="str">
        <f>IF(A550="","",IF('ATP Fills'!I550="3M","",VLOOKUP(RIGHT('ATP Fills'!I550,2),Helper1!$O$36:$P$48,2,0)))</f>
        <v/>
      </c>
      <c r="K550" t="str">
        <f>IF(J550="","",LEFT('ATP Fills'!I550,4))</f>
        <v/>
      </c>
      <c r="L550" t="str">
        <f>IF(A550="","",IF('ATP Fills'!G550="LME",'ATP Fills'!I550,""))</f>
        <v/>
      </c>
      <c r="M550" t="str">
        <f t="shared" si="8"/>
        <v/>
      </c>
    </row>
    <row r="551" spans="1:13">
      <c r="A551" t="str">
        <f>IF('ATP Fills'!A551="","",IF('ATP Fills'!Q551="PHILLIPSG",'ATP Fills'!F551,""))</f>
        <v/>
      </c>
      <c r="B551" t="str">
        <f>IF(A551="","",'ATP Fills'!L551)</f>
        <v/>
      </c>
      <c r="C551" t="str">
        <f>IF(A551="","",'ATP Fills'!M551)</f>
        <v/>
      </c>
      <c r="D551" t="str">
        <f>IF(A551="","",'ATP Fills'!B551)</f>
        <v/>
      </c>
      <c r="E551" s="3" t="str">
        <f>IF(A551="","",IF(DATE(LEFT(D551,4),MID(D551,5,2),RIGHT(D551,2))=Helper1!$P$1,Helper1!$P$1,""))</f>
        <v/>
      </c>
      <c r="F551" s="3" t="str">
        <f>IF(A551="","",'ATP Fills'!G551)</f>
        <v/>
      </c>
      <c r="G551" t="str">
        <f>IF(A551="","",'ATP Fills'!H551)</f>
        <v/>
      </c>
      <c r="H551" t="str">
        <f>IF(A551="","",VLOOKUP(G551,表3_3[],2,0))</f>
        <v/>
      </c>
      <c r="I551" t="str">
        <f>IF(A551="","",VLOOKUP(G551,表3_3[],3,0))</f>
        <v/>
      </c>
      <c r="J551" t="str">
        <f>IF(A551="","",IF('ATP Fills'!I551="3M","",VLOOKUP(RIGHT('ATP Fills'!I551,2),Helper1!$O$36:$P$48,2,0)))</f>
        <v/>
      </c>
      <c r="K551" t="str">
        <f>IF(J551="","",LEFT('ATP Fills'!I551,4))</f>
        <v/>
      </c>
      <c r="L551" t="str">
        <f>IF(A551="","",IF('ATP Fills'!G551="LME",'ATP Fills'!I551,""))</f>
        <v/>
      </c>
      <c r="M551" t="str">
        <f t="shared" si="8"/>
        <v/>
      </c>
    </row>
    <row r="552" spans="1:13">
      <c r="A552" t="str">
        <f>IF('ATP Fills'!A552="","",IF('ATP Fills'!Q552="PHILLIPSG",'ATP Fills'!F552,""))</f>
        <v/>
      </c>
      <c r="B552" t="str">
        <f>IF(A552="","",'ATP Fills'!L552)</f>
        <v/>
      </c>
      <c r="C552" t="str">
        <f>IF(A552="","",'ATP Fills'!M552)</f>
        <v/>
      </c>
      <c r="D552" t="str">
        <f>IF(A552="","",'ATP Fills'!B552)</f>
        <v/>
      </c>
      <c r="E552" s="3" t="str">
        <f>IF(A552="","",IF(DATE(LEFT(D552,4),MID(D552,5,2),RIGHT(D552,2))=Helper1!$P$1,Helper1!$P$1,""))</f>
        <v/>
      </c>
      <c r="F552" s="3" t="str">
        <f>IF(A552="","",'ATP Fills'!G552)</f>
        <v/>
      </c>
      <c r="G552" t="str">
        <f>IF(A552="","",'ATP Fills'!H552)</f>
        <v/>
      </c>
      <c r="H552" t="str">
        <f>IF(A552="","",VLOOKUP(G552,表3_3[],2,0))</f>
        <v/>
      </c>
      <c r="I552" t="str">
        <f>IF(A552="","",VLOOKUP(G552,表3_3[],3,0))</f>
        <v/>
      </c>
      <c r="J552" t="str">
        <f>IF(A552="","",IF('ATP Fills'!I552="3M","",VLOOKUP(RIGHT('ATP Fills'!I552,2),Helper1!$O$36:$P$48,2,0)))</f>
        <v/>
      </c>
      <c r="K552" t="str">
        <f>IF(J552="","",LEFT('ATP Fills'!I552,4))</f>
        <v/>
      </c>
      <c r="L552" t="str">
        <f>IF(A552="","",IF('ATP Fills'!G552="LME",'ATP Fills'!I552,""))</f>
        <v/>
      </c>
      <c r="M552" t="str">
        <f t="shared" si="8"/>
        <v/>
      </c>
    </row>
    <row r="553" spans="1:13">
      <c r="A553" t="str">
        <f>IF('ATP Fills'!A553="","",IF('ATP Fills'!Q553="PHILLIPSG",'ATP Fills'!F553,""))</f>
        <v/>
      </c>
      <c r="B553" t="str">
        <f>IF(A553="","",'ATP Fills'!L553)</f>
        <v/>
      </c>
      <c r="C553" t="str">
        <f>IF(A553="","",'ATP Fills'!M553)</f>
        <v/>
      </c>
      <c r="D553" t="str">
        <f>IF(A553="","",'ATP Fills'!B553)</f>
        <v/>
      </c>
      <c r="E553" s="3" t="str">
        <f>IF(A553="","",IF(DATE(LEFT(D553,4),MID(D553,5,2),RIGHT(D553,2))=Helper1!$P$1,Helper1!$P$1,""))</f>
        <v/>
      </c>
      <c r="F553" s="3" t="str">
        <f>IF(A553="","",'ATP Fills'!G553)</f>
        <v/>
      </c>
      <c r="G553" t="str">
        <f>IF(A553="","",'ATP Fills'!H553)</f>
        <v/>
      </c>
      <c r="H553" t="str">
        <f>IF(A553="","",VLOOKUP(G553,表3_3[],2,0))</f>
        <v/>
      </c>
      <c r="I553" t="str">
        <f>IF(A553="","",VLOOKUP(G553,表3_3[],3,0))</f>
        <v/>
      </c>
      <c r="J553" t="str">
        <f>IF(A553="","",IF('ATP Fills'!I553="3M","",VLOOKUP(RIGHT('ATP Fills'!I553,2),Helper1!$O$36:$P$48,2,0)))</f>
        <v/>
      </c>
      <c r="K553" t="str">
        <f>IF(J553="","",LEFT('ATP Fills'!I553,4))</f>
        <v/>
      </c>
      <c r="L553" t="str">
        <f>IF(A553="","",IF('ATP Fills'!G553="LME",'ATP Fills'!I553,""))</f>
        <v/>
      </c>
      <c r="M553" t="str">
        <f t="shared" si="8"/>
        <v/>
      </c>
    </row>
    <row r="554" spans="1:13">
      <c r="A554" t="str">
        <f>IF('ATP Fills'!A554="","",IF('ATP Fills'!Q554="PHILLIPSG",'ATP Fills'!F554,""))</f>
        <v/>
      </c>
      <c r="B554" t="str">
        <f>IF(A554="","",'ATP Fills'!L554)</f>
        <v/>
      </c>
      <c r="C554" t="str">
        <f>IF(A554="","",'ATP Fills'!M554)</f>
        <v/>
      </c>
      <c r="D554" t="str">
        <f>IF(A554="","",'ATP Fills'!B554)</f>
        <v/>
      </c>
      <c r="E554" s="3" t="str">
        <f>IF(A554="","",IF(DATE(LEFT(D554,4),MID(D554,5,2),RIGHT(D554,2))=Helper1!$P$1,Helper1!$P$1,""))</f>
        <v/>
      </c>
      <c r="F554" s="3" t="str">
        <f>IF(A554="","",'ATP Fills'!G554)</f>
        <v/>
      </c>
      <c r="G554" t="str">
        <f>IF(A554="","",'ATP Fills'!H554)</f>
        <v/>
      </c>
      <c r="H554" t="str">
        <f>IF(A554="","",VLOOKUP(G554,表3_3[],2,0))</f>
        <v/>
      </c>
      <c r="I554" t="str">
        <f>IF(A554="","",VLOOKUP(G554,表3_3[],3,0))</f>
        <v/>
      </c>
      <c r="J554" t="str">
        <f>IF(A554="","",IF('ATP Fills'!I554="3M","",VLOOKUP(RIGHT('ATP Fills'!I554,2),Helper1!$O$36:$P$48,2,0)))</f>
        <v/>
      </c>
      <c r="K554" t="str">
        <f>IF(J554="","",LEFT('ATP Fills'!I554,4))</f>
        <v/>
      </c>
      <c r="L554" t="str">
        <f>IF(A554="","",IF('ATP Fills'!G554="LME",'ATP Fills'!I554,""))</f>
        <v/>
      </c>
      <c r="M554" t="str">
        <f t="shared" si="8"/>
        <v/>
      </c>
    </row>
    <row r="555" spans="1:13">
      <c r="A555" t="str">
        <f>IF('ATP Fills'!A555="","",IF('ATP Fills'!Q555="PHILLIPSG",'ATP Fills'!F555,""))</f>
        <v/>
      </c>
      <c r="B555" t="str">
        <f>IF(A555="","",'ATP Fills'!L555)</f>
        <v/>
      </c>
      <c r="C555" t="str">
        <f>IF(A555="","",'ATP Fills'!M555)</f>
        <v/>
      </c>
      <c r="D555" t="str">
        <f>IF(A555="","",'ATP Fills'!B555)</f>
        <v/>
      </c>
      <c r="E555" s="3" t="str">
        <f>IF(A555="","",IF(DATE(LEFT(D555,4),MID(D555,5,2),RIGHT(D555,2))=Helper1!$P$1,Helper1!$P$1,""))</f>
        <v/>
      </c>
      <c r="F555" s="3" t="str">
        <f>IF(A555="","",'ATP Fills'!G555)</f>
        <v/>
      </c>
      <c r="G555" t="str">
        <f>IF(A555="","",'ATP Fills'!H555)</f>
        <v/>
      </c>
      <c r="H555" t="str">
        <f>IF(A555="","",VLOOKUP(G555,表3_3[],2,0))</f>
        <v/>
      </c>
      <c r="I555" t="str">
        <f>IF(A555="","",VLOOKUP(G555,表3_3[],3,0))</f>
        <v/>
      </c>
      <c r="J555" t="str">
        <f>IF(A555="","",IF('ATP Fills'!I555="3M","",VLOOKUP(RIGHT('ATP Fills'!I555,2),Helper1!$O$36:$P$48,2,0)))</f>
        <v/>
      </c>
      <c r="K555" t="str">
        <f>IF(J555="","",LEFT('ATP Fills'!I555,4))</f>
        <v/>
      </c>
      <c r="L555" t="str">
        <f>IF(A555="","",IF('ATP Fills'!G555="LME",'ATP Fills'!I555,""))</f>
        <v/>
      </c>
      <c r="M555" t="str">
        <f t="shared" si="8"/>
        <v/>
      </c>
    </row>
    <row r="556" spans="1:13">
      <c r="A556" t="str">
        <f>IF('ATP Fills'!A556="","",IF('ATP Fills'!Q556="PHILLIPSG",'ATP Fills'!F556,""))</f>
        <v/>
      </c>
      <c r="B556" t="str">
        <f>IF(A556="","",'ATP Fills'!L556)</f>
        <v/>
      </c>
      <c r="C556" t="str">
        <f>IF(A556="","",'ATP Fills'!M556)</f>
        <v/>
      </c>
      <c r="D556" t="str">
        <f>IF(A556="","",'ATP Fills'!B556)</f>
        <v/>
      </c>
      <c r="E556" s="3" t="str">
        <f>IF(A556="","",IF(DATE(LEFT(D556,4),MID(D556,5,2),RIGHT(D556,2))=Helper1!$P$1,Helper1!$P$1,""))</f>
        <v/>
      </c>
      <c r="F556" s="3" t="str">
        <f>IF(A556="","",'ATP Fills'!G556)</f>
        <v/>
      </c>
      <c r="G556" t="str">
        <f>IF(A556="","",'ATP Fills'!H556)</f>
        <v/>
      </c>
      <c r="H556" t="str">
        <f>IF(A556="","",VLOOKUP(G556,表3_3[],2,0))</f>
        <v/>
      </c>
      <c r="I556" t="str">
        <f>IF(A556="","",VLOOKUP(G556,表3_3[],3,0))</f>
        <v/>
      </c>
      <c r="J556" t="str">
        <f>IF(A556="","",IF('ATP Fills'!I556="3M","",VLOOKUP(RIGHT('ATP Fills'!I556,2),Helper1!$O$36:$P$48,2,0)))</f>
        <v/>
      </c>
      <c r="K556" t="str">
        <f>IF(J556="","",LEFT('ATP Fills'!I556,4))</f>
        <v/>
      </c>
      <c r="L556" t="str">
        <f>IF(A556="","",IF('ATP Fills'!G556="LME",'ATP Fills'!I556,""))</f>
        <v/>
      </c>
      <c r="M556" t="str">
        <f t="shared" si="8"/>
        <v/>
      </c>
    </row>
    <row r="557" spans="1:13">
      <c r="A557" t="str">
        <f>IF('ATP Fills'!A557="","",IF('ATP Fills'!Q557="PHILLIPSG",'ATP Fills'!F557,""))</f>
        <v/>
      </c>
      <c r="B557" t="str">
        <f>IF(A557="","",'ATP Fills'!L557)</f>
        <v/>
      </c>
      <c r="C557" t="str">
        <f>IF(A557="","",'ATP Fills'!M557)</f>
        <v/>
      </c>
      <c r="D557" t="str">
        <f>IF(A557="","",'ATP Fills'!B557)</f>
        <v/>
      </c>
      <c r="E557" s="3" t="str">
        <f>IF(A557="","",IF(DATE(LEFT(D557,4),MID(D557,5,2),RIGHT(D557,2))=Helper1!$P$1,Helper1!$P$1,""))</f>
        <v/>
      </c>
      <c r="F557" s="3" t="str">
        <f>IF(A557="","",'ATP Fills'!G557)</f>
        <v/>
      </c>
      <c r="G557" t="str">
        <f>IF(A557="","",'ATP Fills'!H557)</f>
        <v/>
      </c>
      <c r="H557" t="str">
        <f>IF(A557="","",VLOOKUP(G557,表3_3[],2,0))</f>
        <v/>
      </c>
      <c r="I557" t="str">
        <f>IF(A557="","",VLOOKUP(G557,表3_3[],3,0))</f>
        <v/>
      </c>
      <c r="J557" t="str">
        <f>IF(A557="","",IF('ATP Fills'!I557="3M","",VLOOKUP(RIGHT('ATP Fills'!I557,2),Helper1!$O$36:$P$48,2,0)))</f>
        <v/>
      </c>
      <c r="K557" t="str">
        <f>IF(J557="","",LEFT('ATP Fills'!I557,4))</f>
        <v/>
      </c>
      <c r="L557" t="str">
        <f>IF(A557="","",IF('ATP Fills'!G557="LME",'ATP Fills'!I557,""))</f>
        <v/>
      </c>
      <c r="M557" t="str">
        <f t="shared" si="8"/>
        <v/>
      </c>
    </row>
    <row r="558" spans="1:13">
      <c r="A558" t="str">
        <f>IF('ATP Fills'!A558="","",IF('ATP Fills'!Q558="PHILLIPSG",'ATP Fills'!F558,""))</f>
        <v/>
      </c>
      <c r="B558" t="str">
        <f>IF(A558="","",'ATP Fills'!L558)</f>
        <v/>
      </c>
      <c r="C558" t="str">
        <f>IF(A558="","",'ATP Fills'!M558)</f>
        <v/>
      </c>
      <c r="D558" t="str">
        <f>IF(A558="","",'ATP Fills'!B558)</f>
        <v/>
      </c>
      <c r="E558" s="3" t="str">
        <f>IF(A558="","",IF(DATE(LEFT(D558,4),MID(D558,5,2),RIGHT(D558,2))=Helper1!$P$1,Helper1!$P$1,""))</f>
        <v/>
      </c>
      <c r="F558" s="3" t="str">
        <f>IF(A558="","",'ATP Fills'!G558)</f>
        <v/>
      </c>
      <c r="G558" t="str">
        <f>IF(A558="","",'ATP Fills'!H558)</f>
        <v/>
      </c>
      <c r="H558" t="str">
        <f>IF(A558="","",VLOOKUP(G558,表3_3[],2,0))</f>
        <v/>
      </c>
      <c r="I558" t="str">
        <f>IF(A558="","",VLOOKUP(G558,表3_3[],3,0))</f>
        <v/>
      </c>
      <c r="J558" t="str">
        <f>IF(A558="","",IF('ATP Fills'!I558="3M","",VLOOKUP(RIGHT('ATP Fills'!I558,2),Helper1!$O$36:$P$48,2,0)))</f>
        <v/>
      </c>
      <c r="K558" t="str">
        <f>IF(J558="","",LEFT('ATP Fills'!I558,4))</f>
        <v/>
      </c>
      <c r="L558" t="str">
        <f>IF(A558="","",IF('ATP Fills'!G558="LME",'ATP Fills'!I558,""))</f>
        <v/>
      </c>
      <c r="M558" t="str">
        <f t="shared" si="8"/>
        <v/>
      </c>
    </row>
    <row r="559" spans="1:13">
      <c r="A559" t="str">
        <f>IF('ATP Fills'!A559="","",IF('ATP Fills'!Q559="PHILLIPSG",'ATP Fills'!F559,""))</f>
        <v/>
      </c>
      <c r="B559" t="str">
        <f>IF(A559="","",'ATP Fills'!L559)</f>
        <v/>
      </c>
      <c r="C559" t="str">
        <f>IF(A559="","",'ATP Fills'!M559)</f>
        <v/>
      </c>
      <c r="D559" t="str">
        <f>IF(A559="","",'ATP Fills'!B559)</f>
        <v/>
      </c>
      <c r="E559" s="3" t="str">
        <f>IF(A559="","",IF(DATE(LEFT(D559,4),MID(D559,5,2),RIGHT(D559,2))=Helper1!$P$1,Helper1!$P$1,""))</f>
        <v/>
      </c>
      <c r="F559" s="3" t="str">
        <f>IF(A559="","",'ATP Fills'!G559)</f>
        <v/>
      </c>
      <c r="G559" t="str">
        <f>IF(A559="","",'ATP Fills'!H559)</f>
        <v/>
      </c>
      <c r="H559" t="str">
        <f>IF(A559="","",VLOOKUP(G559,表3_3[],2,0))</f>
        <v/>
      </c>
      <c r="I559" t="str">
        <f>IF(A559="","",VLOOKUP(G559,表3_3[],3,0))</f>
        <v/>
      </c>
      <c r="J559" t="str">
        <f>IF(A559="","",IF('ATP Fills'!I559="3M","",VLOOKUP(RIGHT('ATP Fills'!I559,2),Helper1!$O$36:$P$48,2,0)))</f>
        <v/>
      </c>
      <c r="K559" t="str">
        <f>IF(J559="","",LEFT('ATP Fills'!I559,4))</f>
        <v/>
      </c>
      <c r="L559" t="str">
        <f>IF(A559="","",IF('ATP Fills'!G559="LME",'ATP Fills'!I559,""))</f>
        <v/>
      </c>
      <c r="M559" t="str">
        <f t="shared" si="8"/>
        <v/>
      </c>
    </row>
    <row r="560" spans="1:13">
      <c r="A560" t="str">
        <f>IF('ATP Fills'!A560="","",IF('ATP Fills'!Q560="PHILLIPSG",'ATP Fills'!F560,""))</f>
        <v/>
      </c>
      <c r="B560" t="str">
        <f>IF(A560="","",'ATP Fills'!L560)</f>
        <v/>
      </c>
      <c r="C560" t="str">
        <f>IF(A560="","",'ATP Fills'!M560)</f>
        <v/>
      </c>
      <c r="D560" t="str">
        <f>IF(A560="","",'ATP Fills'!B560)</f>
        <v/>
      </c>
      <c r="E560" s="3" t="str">
        <f>IF(A560="","",IF(DATE(LEFT(D560,4),MID(D560,5,2),RIGHT(D560,2))=Helper1!$P$1,Helper1!$P$1,""))</f>
        <v/>
      </c>
      <c r="F560" s="3" t="str">
        <f>IF(A560="","",'ATP Fills'!G560)</f>
        <v/>
      </c>
      <c r="G560" t="str">
        <f>IF(A560="","",'ATP Fills'!H560)</f>
        <v/>
      </c>
      <c r="H560" t="str">
        <f>IF(A560="","",VLOOKUP(G560,表3_3[],2,0))</f>
        <v/>
      </c>
      <c r="I560" t="str">
        <f>IF(A560="","",VLOOKUP(G560,表3_3[],3,0))</f>
        <v/>
      </c>
      <c r="J560" t="str">
        <f>IF(A560="","",IF('ATP Fills'!I560="3M","",VLOOKUP(RIGHT('ATP Fills'!I560,2),Helper1!$O$36:$P$48,2,0)))</f>
        <v/>
      </c>
      <c r="K560" t="str">
        <f>IF(J560="","",LEFT('ATP Fills'!I560,4))</f>
        <v/>
      </c>
      <c r="L560" t="str">
        <f>IF(A560="","",IF('ATP Fills'!G560="LME",'ATP Fills'!I560,""))</f>
        <v/>
      </c>
      <c r="M560" t="str">
        <f t="shared" si="8"/>
        <v/>
      </c>
    </row>
    <row r="561" spans="1:13">
      <c r="A561" t="str">
        <f>IF('ATP Fills'!A561="","",IF('ATP Fills'!Q561="PHILLIPSG",'ATP Fills'!F561,""))</f>
        <v/>
      </c>
      <c r="B561" t="str">
        <f>IF(A561="","",'ATP Fills'!L561)</f>
        <v/>
      </c>
      <c r="C561" t="str">
        <f>IF(A561="","",'ATP Fills'!M561)</f>
        <v/>
      </c>
      <c r="D561" t="str">
        <f>IF(A561="","",'ATP Fills'!B561)</f>
        <v/>
      </c>
      <c r="E561" s="3" t="str">
        <f>IF(A561="","",IF(DATE(LEFT(D561,4),MID(D561,5,2),RIGHT(D561,2))=Helper1!$P$1,Helper1!$P$1,""))</f>
        <v/>
      </c>
      <c r="F561" s="3" t="str">
        <f>IF(A561="","",'ATP Fills'!G561)</f>
        <v/>
      </c>
      <c r="G561" t="str">
        <f>IF(A561="","",'ATP Fills'!H561)</f>
        <v/>
      </c>
      <c r="H561" t="str">
        <f>IF(A561="","",VLOOKUP(G561,表3_3[],2,0))</f>
        <v/>
      </c>
      <c r="I561" t="str">
        <f>IF(A561="","",VLOOKUP(G561,表3_3[],3,0))</f>
        <v/>
      </c>
      <c r="J561" t="str">
        <f>IF(A561="","",IF('ATP Fills'!I561="3M","",VLOOKUP(RIGHT('ATP Fills'!I561,2),Helper1!$O$36:$P$48,2,0)))</f>
        <v/>
      </c>
      <c r="K561" t="str">
        <f>IF(J561="","",LEFT('ATP Fills'!I561,4))</f>
        <v/>
      </c>
      <c r="L561" t="str">
        <f>IF(A561="","",IF('ATP Fills'!G561="LME",'ATP Fills'!I561,""))</f>
        <v/>
      </c>
      <c r="M561" t="str">
        <f t="shared" si="8"/>
        <v/>
      </c>
    </row>
    <row r="562" spans="1:13">
      <c r="A562" t="str">
        <f>IF('ATP Fills'!A562="","",IF('ATP Fills'!Q562="PHILLIPSG",'ATP Fills'!F562,""))</f>
        <v/>
      </c>
      <c r="B562" t="str">
        <f>IF(A562="","",'ATP Fills'!L562)</f>
        <v/>
      </c>
      <c r="C562" t="str">
        <f>IF(A562="","",'ATP Fills'!M562)</f>
        <v/>
      </c>
      <c r="D562" t="str">
        <f>IF(A562="","",'ATP Fills'!B562)</f>
        <v/>
      </c>
      <c r="E562" s="3" t="str">
        <f>IF(A562="","",IF(DATE(LEFT(D562,4),MID(D562,5,2),RIGHT(D562,2))=Helper1!$P$1,Helper1!$P$1,""))</f>
        <v/>
      </c>
      <c r="F562" s="3" t="str">
        <f>IF(A562="","",'ATP Fills'!G562)</f>
        <v/>
      </c>
      <c r="G562" t="str">
        <f>IF(A562="","",'ATP Fills'!H562)</f>
        <v/>
      </c>
      <c r="H562" t="str">
        <f>IF(A562="","",VLOOKUP(G562,表3_3[],2,0))</f>
        <v/>
      </c>
      <c r="I562" t="str">
        <f>IF(A562="","",VLOOKUP(G562,表3_3[],3,0))</f>
        <v/>
      </c>
      <c r="J562" t="str">
        <f>IF(A562="","",IF('ATP Fills'!I562="3M","",VLOOKUP(RIGHT('ATP Fills'!I562,2),Helper1!$O$36:$P$48,2,0)))</f>
        <v/>
      </c>
      <c r="K562" t="str">
        <f>IF(J562="","",LEFT('ATP Fills'!I562,4))</f>
        <v/>
      </c>
      <c r="L562" t="str">
        <f>IF(A562="","",IF('ATP Fills'!G562="LME",'ATP Fills'!I562,""))</f>
        <v/>
      </c>
      <c r="M562" t="str">
        <f t="shared" si="8"/>
        <v/>
      </c>
    </row>
    <row r="563" spans="1:13">
      <c r="A563" t="str">
        <f>IF('ATP Fills'!A563="","",IF('ATP Fills'!Q563="PHILLIPSG",'ATP Fills'!F563,""))</f>
        <v/>
      </c>
      <c r="B563" t="str">
        <f>IF(A563="","",'ATP Fills'!L563)</f>
        <v/>
      </c>
      <c r="C563" t="str">
        <f>IF(A563="","",'ATP Fills'!M563)</f>
        <v/>
      </c>
      <c r="D563" t="str">
        <f>IF(A563="","",'ATP Fills'!B563)</f>
        <v/>
      </c>
      <c r="E563" s="3" t="str">
        <f>IF(A563="","",IF(DATE(LEFT(D563,4),MID(D563,5,2),RIGHT(D563,2))=Helper1!$P$1,Helper1!$P$1,""))</f>
        <v/>
      </c>
      <c r="F563" s="3" t="str">
        <f>IF(A563="","",'ATP Fills'!G563)</f>
        <v/>
      </c>
      <c r="G563" t="str">
        <f>IF(A563="","",'ATP Fills'!H563)</f>
        <v/>
      </c>
      <c r="H563" t="str">
        <f>IF(A563="","",VLOOKUP(G563,表3_3[],2,0))</f>
        <v/>
      </c>
      <c r="I563" t="str">
        <f>IF(A563="","",VLOOKUP(G563,表3_3[],3,0))</f>
        <v/>
      </c>
      <c r="J563" t="str">
        <f>IF(A563="","",IF('ATP Fills'!I563="3M","",VLOOKUP(RIGHT('ATP Fills'!I563,2),Helper1!$O$36:$P$48,2,0)))</f>
        <v/>
      </c>
      <c r="K563" t="str">
        <f>IF(J563="","",LEFT('ATP Fills'!I563,4))</f>
        <v/>
      </c>
      <c r="L563" t="str">
        <f>IF(A563="","",IF('ATP Fills'!G563="LME",'ATP Fills'!I563,""))</f>
        <v/>
      </c>
      <c r="M563" t="str">
        <f t="shared" si="8"/>
        <v/>
      </c>
    </row>
    <row r="564" spans="1:13">
      <c r="A564" t="str">
        <f>IF('ATP Fills'!A564="","",IF('ATP Fills'!Q564="PHILLIPSG",'ATP Fills'!F564,""))</f>
        <v/>
      </c>
      <c r="B564" t="str">
        <f>IF(A564="","",'ATP Fills'!L564)</f>
        <v/>
      </c>
      <c r="C564" t="str">
        <f>IF(A564="","",'ATP Fills'!M564)</f>
        <v/>
      </c>
      <c r="D564" t="str">
        <f>IF(A564="","",'ATP Fills'!B564)</f>
        <v/>
      </c>
      <c r="E564" s="3" t="str">
        <f>IF(A564="","",IF(DATE(LEFT(D564,4),MID(D564,5,2),RIGHT(D564,2))=Helper1!$P$1,Helper1!$P$1,""))</f>
        <v/>
      </c>
      <c r="F564" s="3" t="str">
        <f>IF(A564="","",'ATP Fills'!G564)</f>
        <v/>
      </c>
      <c r="G564" t="str">
        <f>IF(A564="","",'ATP Fills'!H564)</f>
        <v/>
      </c>
      <c r="H564" t="str">
        <f>IF(A564="","",VLOOKUP(G564,表3_3[],2,0))</f>
        <v/>
      </c>
      <c r="I564" t="str">
        <f>IF(A564="","",VLOOKUP(G564,表3_3[],3,0))</f>
        <v/>
      </c>
      <c r="J564" t="str">
        <f>IF(A564="","",IF('ATP Fills'!I564="3M","",VLOOKUP(RIGHT('ATP Fills'!I564,2),Helper1!$O$36:$P$48,2,0)))</f>
        <v/>
      </c>
      <c r="K564" t="str">
        <f>IF(J564="","",LEFT('ATP Fills'!I564,4))</f>
        <v/>
      </c>
      <c r="L564" t="str">
        <f>IF(A564="","",IF('ATP Fills'!G564="LME",'ATP Fills'!I564,""))</f>
        <v/>
      </c>
      <c r="M564" t="str">
        <f t="shared" si="8"/>
        <v/>
      </c>
    </row>
    <row r="565" spans="1:13">
      <c r="A565" t="str">
        <f>IF('ATP Fills'!A565="","",IF('ATP Fills'!Q565="PHILLIPSG",'ATP Fills'!F565,""))</f>
        <v/>
      </c>
      <c r="B565" t="str">
        <f>IF(A565="","",'ATP Fills'!L565)</f>
        <v/>
      </c>
      <c r="C565" t="str">
        <f>IF(A565="","",'ATP Fills'!M565)</f>
        <v/>
      </c>
      <c r="D565" t="str">
        <f>IF(A565="","",'ATP Fills'!B565)</f>
        <v/>
      </c>
      <c r="E565" s="3" t="str">
        <f>IF(A565="","",IF(DATE(LEFT(D565,4),MID(D565,5,2),RIGHT(D565,2))=Helper1!$P$1,Helper1!$P$1,""))</f>
        <v/>
      </c>
      <c r="F565" s="3" t="str">
        <f>IF(A565="","",'ATP Fills'!G565)</f>
        <v/>
      </c>
      <c r="G565" t="str">
        <f>IF(A565="","",'ATP Fills'!H565)</f>
        <v/>
      </c>
      <c r="H565" t="str">
        <f>IF(A565="","",VLOOKUP(G565,表3_3[],2,0))</f>
        <v/>
      </c>
      <c r="I565" t="str">
        <f>IF(A565="","",VLOOKUP(G565,表3_3[],3,0))</f>
        <v/>
      </c>
      <c r="J565" t="str">
        <f>IF(A565="","",IF('ATP Fills'!I565="3M","",VLOOKUP(RIGHT('ATP Fills'!I565,2),Helper1!$O$36:$P$48,2,0)))</f>
        <v/>
      </c>
      <c r="K565" t="str">
        <f>IF(J565="","",LEFT('ATP Fills'!I565,4))</f>
        <v/>
      </c>
      <c r="L565" t="str">
        <f>IF(A565="","",IF('ATP Fills'!G565="LME",'ATP Fills'!I565,""))</f>
        <v/>
      </c>
      <c r="M565" t="str">
        <f t="shared" si="8"/>
        <v/>
      </c>
    </row>
    <row r="566" spans="1:13">
      <c r="A566" t="str">
        <f>IF('ATP Fills'!A566="","",IF('ATP Fills'!Q566="PHILLIPSG",'ATP Fills'!F566,""))</f>
        <v/>
      </c>
      <c r="B566" t="str">
        <f>IF(A566="","",'ATP Fills'!L566)</f>
        <v/>
      </c>
      <c r="C566" t="str">
        <f>IF(A566="","",'ATP Fills'!M566)</f>
        <v/>
      </c>
      <c r="D566" t="str">
        <f>IF(A566="","",'ATP Fills'!B566)</f>
        <v/>
      </c>
      <c r="E566" s="3" t="str">
        <f>IF(A566="","",IF(DATE(LEFT(D566,4),MID(D566,5,2),RIGHT(D566,2))=Helper1!$P$1,Helper1!$P$1,""))</f>
        <v/>
      </c>
      <c r="F566" s="3" t="str">
        <f>IF(A566="","",'ATP Fills'!G566)</f>
        <v/>
      </c>
      <c r="G566" t="str">
        <f>IF(A566="","",'ATP Fills'!H566)</f>
        <v/>
      </c>
      <c r="H566" t="str">
        <f>IF(A566="","",VLOOKUP(G566,表3_3[],2,0))</f>
        <v/>
      </c>
      <c r="I566" t="str">
        <f>IF(A566="","",VLOOKUP(G566,表3_3[],3,0))</f>
        <v/>
      </c>
      <c r="J566" t="str">
        <f>IF(A566="","",IF('ATP Fills'!I566="3M","",VLOOKUP(RIGHT('ATP Fills'!I566,2),Helper1!$O$36:$P$48,2,0)))</f>
        <v/>
      </c>
      <c r="K566" t="str">
        <f>IF(J566="","",LEFT('ATP Fills'!I566,4))</f>
        <v/>
      </c>
      <c r="L566" t="str">
        <f>IF(A566="","",IF('ATP Fills'!G566="LME",'ATP Fills'!I566,""))</f>
        <v/>
      </c>
      <c r="M566" t="str">
        <f t="shared" si="8"/>
        <v/>
      </c>
    </row>
    <row r="567" spans="1:13">
      <c r="A567" t="str">
        <f>IF('ATP Fills'!A567="","",IF('ATP Fills'!Q567="PHILLIPSG",'ATP Fills'!F567,""))</f>
        <v/>
      </c>
      <c r="B567" t="str">
        <f>IF(A567="","",'ATP Fills'!L567)</f>
        <v/>
      </c>
      <c r="C567" t="str">
        <f>IF(A567="","",'ATP Fills'!M567)</f>
        <v/>
      </c>
      <c r="D567" t="str">
        <f>IF(A567="","",'ATP Fills'!B567)</f>
        <v/>
      </c>
      <c r="E567" s="3" t="str">
        <f>IF(A567="","",IF(DATE(LEFT(D567,4),MID(D567,5,2),RIGHT(D567,2))=Helper1!$P$1,Helper1!$P$1,""))</f>
        <v/>
      </c>
      <c r="F567" s="3" t="str">
        <f>IF(A567="","",'ATP Fills'!G567)</f>
        <v/>
      </c>
      <c r="G567" t="str">
        <f>IF(A567="","",'ATP Fills'!H567)</f>
        <v/>
      </c>
      <c r="H567" t="str">
        <f>IF(A567="","",VLOOKUP(G567,表3_3[],2,0))</f>
        <v/>
      </c>
      <c r="I567" t="str">
        <f>IF(A567="","",VLOOKUP(G567,表3_3[],3,0))</f>
        <v/>
      </c>
      <c r="J567" t="str">
        <f>IF(A567="","",IF('ATP Fills'!I567="3M","",VLOOKUP(RIGHT('ATP Fills'!I567,2),Helper1!$O$36:$P$48,2,0)))</f>
        <v/>
      </c>
      <c r="K567" t="str">
        <f>IF(J567="","",LEFT('ATP Fills'!I567,4))</f>
        <v/>
      </c>
      <c r="L567" t="str">
        <f>IF(A567="","",IF('ATP Fills'!G567="LME",'ATP Fills'!I567,""))</f>
        <v/>
      </c>
      <c r="M567" t="str">
        <f t="shared" si="8"/>
        <v/>
      </c>
    </row>
    <row r="568" spans="1:13">
      <c r="A568" t="str">
        <f>IF('ATP Fills'!A568="","",IF('ATP Fills'!Q568="PHILLIPSG",'ATP Fills'!F568,""))</f>
        <v/>
      </c>
      <c r="B568" t="str">
        <f>IF(A568="","",'ATP Fills'!L568)</f>
        <v/>
      </c>
      <c r="C568" t="str">
        <f>IF(A568="","",'ATP Fills'!M568)</f>
        <v/>
      </c>
      <c r="D568" t="str">
        <f>IF(A568="","",'ATP Fills'!B568)</f>
        <v/>
      </c>
      <c r="E568" s="3" t="str">
        <f>IF(A568="","",IF(DATE(LEFT(D568,4),MID(D568,5,2),RIGHT(D568,2))=Helper1!$P$1,Helper1!$P$1,""))</f>
        <v/>
      </c>
      <c r="F568" s="3" t="str">
        <f>IF(A568="","",'ATP Fills'!G568)</f>
        <v/>
      </c>
      <c r="G568" t="str">
        <f>IF(A568="","",'ATP Fills'!H568)</f>
        <v/>
      </c>
      <c r="H568" t="str">
        <f>IF(A568="","",VLOOKUP(G568,表3_3[],2,0))</f>
        <v/>
      </c>
      <c r="I568" t="str">
        <f>IF(A568="","",VLOOKUP(G568,表3_3[],3,0))</f>
        <v/>
      </c>
      <c r="J568" t="str">
        <f>IF(A568="","",IF('ATP Fills'!I568="3M","",VLOOKUP(RIGHT('ATP Fills'!I568,2),Helper1!$O$36:$P$48,2,0)))</f>
        <v/>
      </c>
      <c r="K568" t="str">
        <f>IF(J568="","",LEFT('ATP Fills'!I568,4))</f>
        <v/>
      </c>
      <c r="L568" t="str">
        <f>IF(A568="","",IF('ATP Fills'!G568="LME",'ATP Fills'!I568,""))</f>
        <v/>
      </c>
      <c r="M568" t="str">
        <f t="shared" si="8"/>
        <v/>
      </c>
    </row>
    <row r="569" spans="1:13">
      <c r="A569" t="str">
        <f>IF('ATP Fills'!A569="","",IF('ATP Fills'!Q569="PHILLIPSG",'ATP Fills'!F569,""))</f>
        <v/>
      </c>
      <c r="B569" t="str">
        <f>IF(A569="","",'ATP Fills'!L569)</f>
        <v/>
      </c>
      <c r="C569" t="str">
        <f>IF(A569="","",'ATP Fills'!M569)</f>
        <v/>
      </c>
      <c r="D569" t="str">
        <f>IF(A569="","",'ATP Fills'!B569)</f>
        <v/>
      </c>
      <c r="E569" s="3" t="str">
        <f>IF(A569="","",IF(DATE(LEFT(D569,4),MID(D569,5,2),RIGHT(D569,2))=Helper1!$P$1,Helper1!$P$1,""))</f>
        <v/>
      </c>
      <c r="F569" s="3" t="str">
        <f>IF(A569="","",'ATP Fills'!G569)</f>
        <v/>
      </c>
      <c r="G569" t="str">
        <f>IF(A569="","",'ATP Fills'!H569)</f>
        <v/>
      </c>
      <c r="H569" t="str">
        <f>IF(A569="","",VLOOKUP(G569,表3_3[],2,0))</f>
        <v/>
      </c>
      <c r="I569" t="str">
        <f>IF(A569="","",VLOOKUP(G569,表3_3[],3,0))</f>
        <v/>
      </c>
      <c r="J569" t="str">
        <f>IF(A569="","",IF('ATP Fills'!I569="3M","",VLOOKUP(RIGHT('ATP Fills'!I569,2),Helper1!$O$36:$P$48,2,0)))</f>
        <v/>
      </c>
      <c r="K569" t="str">
        <f>IF(J569="","",LEFT('ATP Fills'!I569,4))</f>
        <v/>
      </c>
      <c r="L569" t="str">
        <f>IF(A569="","",IF('ATP Fills'!G569="LME",'ATP Fills'!I569,""))</f>
        <v/>
      </c>
      <c r="M569" t="str">
        <f t="shared" si="8"/>
        <v/>
      </c>
    </row>
    <row r="570" spans="1:13">
      <c r="A570" t="str">
        <f>IF('ATP Fills'!A570="","",IF('ATP Fills'!Q570="PHILLIPSG",'ATP Fills'!F570,""))</f>
        <v/>
      </c>
      <c r="B570" t="str">
        <f>IF(A570="","",'ATP Fills'!L570)</f>
        <v/>
      </c>
      <c r="C570" t="str">
        <f>IF(A570="","",'ATP Fills'!M570)</f>
        <v/>
      </c>
      <c r="D570" t="str">
        <f>IF(A570="","",'ATP Fills'!B570)</f>
        <v/>
      </c>
      <c r="E570" s="3" t="str">
        <f>IF(A570="","",IF(DATE(LEFT(D570,4),MID(D570,5,2),RIGHT(D570,2))=Helper1!$P$1,Helper1!$P$1,""))</f>
        <v/>
      </c>
      <c r="F570" s="3" t="str">
        <f>IF(A570="","",'ATP Fills'!G570)</f>
        <v/>
      </c>
      <c r="G570" t="str">
        <f>IF(A570="","",'ATP Fills'!H570)</f>
        <v/>
      </c>
      <c r="H570" t="str">
        <f>IF(A570="","",VLOOKUP(G570,表3_3[],2,0))</f>
        <v/>
      </c>
      <c r="I570" t="str">
        <f>IF(A570="","",VLOOKUP(G570,表3_3[],3,0))</f>
        <v/>
      </c>
      <c r="J570" t="str">
        <f>IF(A570="","",IF('ATP Fills'!I570="3M","",VLOOKUP(RIGHT('ATP Fills'!I570,2),Helper1!$O$36:$P$48,2,0)))</f>
        <v/>
      </c>
      <c r="K570" t="str">
        <f>IF(J570="","",LEFT('ATP Fills'!I570,4))</f>
        <v/>
      </c>
      <c r="L570" t="str">
        <f>IF(A570="","",IF('ATP Fills'!G570="LME",'ATP Fills'!I570,""))</f>
        <v/>
      </c>
      <c r="M570" t="str">
        <f t="shared" si="8"/>
        <v/>
      </c>
    </row>
    <row r="571" spans="1:13">
      <c r="A571" t="str">
        <f>IF('ATP Fills'!A571="","",IF('ATP Fills'!Q571="PHILLIPSG",'ATP Fills'!F571,""))</f>
        <v/>
      </c>
      <c r="B571" t="str">
        <f>IF(A571="","",'ATP Fills'!L571)</f>
        <v/>
      </c>
      <c r="C571" t="str">
        <f>IF(A571="","",'ATP Fills'!M571)</f>
        <v/>
      </c>
      <c r="D571" t="str">
        <f>IF(A571="","",'ATP Fills'!B571)</f>
        <v/>
      </c>
      <c r="E571" s="3" t="str">
        <f>IF(A571="","",IF(DATE(LEFT(D571,4),MID(D571,5,2),RIGHT(D571,2))=Helper1!$P$1,Helper1!$P$1,""))</f>
        <v/>
      </c>
      <c r="F571" s="3" t="str">
        <f>IF(A571="","",'ATP Fills'!G571)</f>
        <v/>
      </c>
      <c r="G571" t="str">
        <f>IF(A571="","",'ATP Fills'!H571)</f>
        <v/>
      </c>
      <c r="H571" t="str">
        <f>IF(A571="","",VLOOKUP(G571,表3_3[],2,0))</f>
        <v/>
      </c>
      <c r="I571" t="str">
        <f>IF(A571="","",VLOOKUP(G571,表3_3[],3,0))</f>
        <v/>
      </c>
      <c r="J571" t="str">
        <f>IF(A571="","",IF('ATP Fills'!I571="3M","",VLOOKUP(RIGHT('ATP Fills'!I571,2),Helper1!$O$36:$P$48,2,0)))</f>
        <v/>
      </c>
      <c r="K571" t="str">
        <f>IF(J571="","",LEFT('ATP Fills'!I571,4))</f>
        <v/>
      </c>
      <c r="L571" t="str">
        <f>IF(A571="","",IF('ATP Fills'!G571="LME",'ATP Fills'!I571,""))</f>
        <v/>
      </c>
      <c r="M571" t="str">
        <f t="shared" si="8"/>
        <v/>
      </c>
    </row>
    <row r="572" spans="1:13">
      <c r="A572" t="str">
        <f>IF('ATP Fills'!A572="","",IF('ATP Fills'!Q572="PHILLIPSG",'ATP Fills'!F572,""))</f>
        <v/>
      </c>
      <c r="B572" t="str">
        <f>IF(A572="","",'ATP Fills'!L572)</f>
        <v/>
      </c>
      <c r="C572" t="str">
        <f>IF(A572="","",'ATP Fills'!M572)</f>
        <v/>
      </c>
      <c r="D572" t="str">
        <f>IF(A572="","",'ATP Fills'!B572)</f>
        <v/>
      </c>
      <c r="E572" s="3" t="str">
        <f>IF(A572="","",IF(DATE(LEFT(D572,4),MID(D572,5,2),RIGHT(D572,2))=Helper1!$P$1,Helper1!$P$1,""))</f>
        <v/>
      </c>
      <c r="F572" s="3" t="str">
        <f>IF(A572="","",'ATP Fills'!G572)</f>
        <v/>
      </c>
      <c r="G572" t="str">
        <f>IF(A572="","",'ATP Fills'!H572)</f>
        <v/>
      </c>
      <c r="H572" t="str">
        <f>IF(A572="","",VLOOKUP(G572,表3_3[],2,0))</f>
        <v/>
      </c>
      <c r="I572" t="str">
        <f>IF(A572="","",VLOOKUP(G572,表3_3[],3,0))</f>
        <v/>
      </c>
      <c r="J572" t="str">
        <f>IF(A572="","",IF('ATP Fills'!I572="3M","",VLOOKUP(RIGHT('ATP Fills'!I572,2),Helper1!$O$36:$P$48,2,0)))</f>
        <v/>
      </c>
      <c r="K572" t="str">
        <f>IF(J572="","",LEFT('ATP Fills'!I572,4))</f>
        <v/>
      </c>
      <c r="L572" t="str">
        <f>IF(A572="","",IF('ATP Fills'!G572="LME",'ATP Fills'!I572,""))</f>
        <v/>
      </c>
      <c r="M572" t="str">
        <f t="shared" si="8"/>
        <v/>
      </c>
    </row>
    <row r="573" spans="1:13">
      <c r="A573" t="str">
        <f>IF('ATP Fills'!A573="","",IF('ATP Fills'!Q573="PHILLIPSG",'ATP Fills'!F573,""))</f>
        <v/>
      </c>
      <c r="B573" t="str">
        <f>IF(A573="","",'ATP Fills'!L573)</f>
        <v/>
      </c>
      <c r="C573" t="str">
        <f>IF(A573="","",'ATP Fills'!M573)</f>
        <v/>
      </c>
      <c r="D573" t="str">
        <f>IF(A573="","",'ATP Fills'!B573)</f>
        <v/>
      </c>
      <c r="E573" s="3" t="str">
        <f>IF(A573="","",IF(DATE(LEFT(D573,4),MID(D573,5,2),RIGHT(D573,2))=Helper1!$P$1,Helper1!$P$1,""))</f>
        <v/>
      </c>
      <c r="F573" s="3" t="str">
        <f>IF(A573="","",'ATP Fills'!G573)</f>
        <v/>
      </c>
      <c r="G573" t="str">
        <f>IF(A573="","",'ATP Fills'!H573)</f>
        <v/>
      </c>
      <c r="H573" t="str">
        <f>IF(A573="","",VLOOKUP(G573,表3_3[],2,0))</f>
        <v/>
      </c>
      <c r="I573" t="str">
        <f>IF(A573="","",VLOOKUP(G573,表3_3[],3,0))</f>
        <v/>
      </c>
      <c r="J573" t="str">
        <f>IF(A573="","",IF('ATP Fills'!I573="3M","",VLOOKUP(RIGHT('ATP Fills'!I573,2),Helper1!$O$36:$P$48,2,0)))</f>
        <v/>
      </c>
      <c r="K573" t="str">
        <f>IF(J573="","",LEFT('ATP Fills'!I573,4))</f>
        <v/>
      </c>
      <c r="L573" t="str">
        <f>IF(A573="","",IF('ATP Fills'!G573="LME",'ATP Fills'!I573,""))</f>
        <v/>
      </c>
      <c r="M573" t="str">
        <f t="shared" si="8"/>
        <v/>
      </c>
    </row>
    <row r="574" spans="1:13">
      <c r="A574" t="str">
        <f>IF('ATP Fills'!A574="","",IF('ATP Fills'!Q574="PHILLIPSG",'ATP Fills'!F574,""))</f>
        <v/>
      </c>
      <c r="B574" t="str">
        <f>IF(A574="","",'ATP Fills'!L574)</f>
        <v/>
      </c>
      <c r="C574" t="str">
        <f>IF(A574="","",'ATP Fills'!M574)</f>
        <v/>
      </c>
      <c r="D574" t="str">
        <f>IF(A574="","",'ATP Fills'!B574)</f>
        <v/>
      </c>
      <c r="E574" s="3" t="str">
        <f>IF(A574="","",IF(DATE(LEFT(D574,4),MID(D574,5,2),RIGHT(D574,2))=Helper1!$P$1,Helper1!$P$1,""))</f>
        <v/>
      </c>
      <c r="F574" s="3" t="str">
        <f>IF(A574="","",'ATP Fills'!G574)</f>
        <v/>
      </c>
      <c r="G574" t="str">
        <f>IF(A574="","",'ATP Fills'!H574)</f>
        <v/>
      </c>
      <c r="H574" t="str">
        <f>IF(A574="","",VLOOKUP(G574,表3_3[],2,0))</f>
        <v/>
      </c>
      <c r="I574" t="str">
        <f>IF(A574="","",VLOOKUP(G574,表3_3[],3,0))</f>
        <v/>
      </c>
      <c r="J574" t="str">
        <f>IF(A574="","",IF('ATP Fills'!I574="3M","",VLOOKUP(RIGHT('ATP Fills'!I574,2),Helper1!$O$36:$P$48,2,0)))</f>
        <v/>
      </c>
      <c r="K574" t="str">
        <f>IF(J574="","",LEFT('ATP Fills'!I574,4))</f>
        <v/>
      </c>
      <c r="L574" t="str">
        <f>IF(A574="","",IF('ATP Fills'!G574="LME",'ATP Fills'!I574,""))</f>
        <v/>
      </c>
      <c r="M574" t="str">
        <f t="shared" si="8"/>
        <v/>
      </c>
    </row>
    <row r="575" spans="1:13">
      <c r="A575" t="str">
        <f>IF('ATP Fills'!A575="","",IF('ATP Fills'!Q575="PHILLIPSG",'ATP Fills'!F575,""))</f>
        <v/>
      </c>
      <c r="B575" t="str">
        <f>IF(A575="","",'ATP Fills'!L575)</f>
        <v/>
      </c>
      <c r="C575" t="str">
        <f>IF(A575="","",'ATP Fills'!M575)</f>
        <v/>
      </c>
      <c r="D575" t="str">
        <f>IF(A575="","",'ATP Fills'!B575)</f>
        <v/>
      </c>
      <c r="E575" s="3" t="str">
        <f>IF(A575="","",IF(DATE(LEFT(D575,4),MID(D575,5,2),RIGHT(D575,2))=Helper1!$P$1,Helper1!$P$1,""))</f>
        <v/>
      </c>
      <c r="F575" s="3" t="str">
        <f>IF(A575="","",'ATP Fills'!G575)</f>
        <v/>
      </c>
      <c r="G575" t="str">
        <f>IF(A575="","",'ATP Fills'!H575)</f>
        <v/>
      </c>
      <c r="H575" t="str">
        <f>IF(A575="","",VLOOKUP(G575,表3_3[],2,0))</f>
        <v/>
      </c>
      <c r="I575" t="str">
        <f>IF(A575="","",VLOOKUP(G575,表3_3[],3,0))</f>
        <v/>
      </c>
      <c r="J575" t="str">
        <f>IF(A575="","",IF('ATP Fills'!I575="3M","",VLOOKUP(RIGHT('ATP Fills'!I575,2),Helper1!$O$36:$P$48,2,0)))</f>
        <v/>
      </c>
      <c r="K575" t="str">
        <f>IF(J575="","",LEFT('ATP Fills'!I575,4))</f>
        <v/>
      </c>
      <c r="L575" t="str">
        <f>IF(A575="","",IF('ATP Fills'!G575="LME",'ATP Fills'!I575,""))</f>
        <v/>
      </c>
      <c r="M575" t="str">
        <f t="shared" si="8"/>
        <v/>
      </c>
    </row>
    <row r="576" spans="1:13">
      <c r="A576" t="str">
        <f>IF('ATP Fills'!A576="","",IF('ATP Fills'!Q576="PHILLIPSG",'ATP Fills'!F576,""))</f>
        <v/>
      </c>
      <c r="B576" t="str">
        <f>IF(A576="","",'ATP Fills'!L576)</f>
        <v/>
      </c>
      <c r="C576" t="str">
        <f>IF(A576="","",'ATP Fills'!M576)</f>
        <v/>
      </c>
      <c r="D576" t="str">
        <f>IF(A576="","",'ATP Fills'!B576)</f>
        <v/>
      </c>
      <c r="E576" s="3" t="str">
        <f>IF(A576="","",IF(DATE(LEFT(D576,4),MID(D576,5,2),RIGHT(D576,2))=Helper1!$P$1,Helper1!$P$1,""))</f>
        <v/>
      </c>
      <c r="F576" s="3" t="str">
        <f>IF(A576="","",'ATP Fills'!G576)</f>
        <v/>
      </c>
      <c r="G576" t="str">
        <f>IF(A576="","",'ATP Fills'!H576)</f>
        <v/>
      </c>
      <c r="H576" t="str">
        <f>IF(A576="","",VLOOKUP(G576,表3_3[],2,0))</f>
        <v/>
      </c>
      <c r="I576" t="str">
        <f>IF(A576="","",VLOOKUP(G576,表3_3[],3,0))</f>
        <v/>
      </c>
      <c r="J576" t="str">
        <f>IF(A576="","",IF('ATP Fills'!I576="3M","",VLOOKUP(RIGHT('ATP Fills'!I576,2),Helper1!$O$36:$P$48,2,0)))</f>
        <v/>
      </c>
      <c r="K576" t="str">
        <f>IF(J576="","",LEFT('ATP Fills'!I576,4))</f>
        <v/>
      </c>
      <c r="L576" t="str">
        <f>IF(A576="","",IF('ATP Fills'!G576="LME",'ATP Fills'!I576,""))</f>
        <v/>
      </c>
      <c r="M576" t="str">
        <f t="shared" si="8"/>
        <v/>
      </c>
    </row>
    <row r="577" spans="1:13">
      <c r="A577" t="str">
        <f>IF('ATP Fills'!A577="","",IF('ATP Fills'!Q577="PHILLIPSG",'ATP Fills'!F577,""))</f>
        <v/>
      </c>
      <c r="B577" t="str">
        <f>IF(A577="","",'ATP Fills'!L577)</f>
        <v/>
      </c>
      <c r="C577" t="str">
        <f>IF(A577="","",'ATP Fills'!M577)</f>
        <v/>
      </c>
      <c r="D577" t="str">
        <f>IF(A577="","",'ATP Fills'!B577)</f>
        <v/>
      </c>
      <c r="E577" s="3" t="str">
        <f>IF(A577="","",IF(DATE(LEFT(D577,4),MID(D577,5,2),RIGHT(D577,2))=Helper1!$P$1,Helper1!$P$1,""))</f>
        <v/>
      </c>
      <c r="F577" s="3" t="str">
        <f>IF(A577="","",'ATP Fills'!G577)</f>
        <v/>
      </c>
      <c r="G577" t="str">
        <f>IF(A577="","",'ATP Fills'!H577)</f>
        <v/>
      </c>
      <c r="H577" t="str">
        <f>IF(A577="","",VLOOKUP(G577,表3_3[],2,0))</f>
        <v/>
      </c>
      <c r="I577" t="str">
        <f>IF(A577="","",VLOOKUP(G577,表3_3[],3,0))</f>
        <v/>
      </c>
      <c r="J577" t="str">
        <f>IF(A577="","",IF('ATP Fills'!I577="3M","",VLOOKUP(RIGHT('ATP Fills'!I577,2),Helper1!$O$36:$P$48,2,0)))</f>
        <v/>
      </c>
      <c r="K577" t="str">
        <f>IF(J577="","",LEFT('ATP Fills'!I577,4))</f>
        <v/>
      </c>
      <c r="L577" t="str">
        <f>IF(A577="","",IF('ATP Fills'!G577="LME",'ATP Fills'!I577,""))</f>
        <v/>
      </c>
      <c r="M577" t="str">
        <f t="shared" si="8"/>
        <v/>
      </c>
    </row>
    <row r="578" spans="1:13">
      <c r="A578" t="str">
        <f>IF('ATP Fills'!A578="","",IF('ATP Fills'!Q578="PHILLIPSG",'ATP Fills'!F578,""))</f>
        <v/>
      </c>
      <c r="B578" t="str">
        <f>IF(A578="","",'ATP Fills'!L578)</f>
        <v/>
      </c>
      <c r="C578" t="str">
        <f>IF(A578="","",'ATP Fills'!M578)</f>
        <v/>
      </c>
      <c r="D578" t="str">
        <f>IF(A578="","",'ATP Fills'!B578)</f>
        <v/>
      </c>
      <c r="E578" s="3" t="str">
        <f>IF(A578="","",IF(DATE(LEFT(D578,4),MID(D578,5,2),RIGHT(D578,2))=Helper1!$P$1,Helper1!$P$1,""))</f>
        <v/>
      </c>
      <c r="F578" s="3" t="str">
        <f>IF(A578="","",'ATP Fills'!G578)</f>
        <v/>
      </c>
      <c r="G578" t="str">
        <f>IF(A578="","",'ATP Fills'!H578)</f>
        <v/>
      </c>
      <c r="H578" t="str">
        <f>IF(A578="","",VLOOKUP(G578,表3_3[],2,0))</f>
        <v/>
      </c>
      <c r="I578" t="str">
        <f>IF(A578="","",VLOOKUP(G578,表3_3[],3,0))</f>
        <v/>
      </c>
      <c r="J578" t="str">
        <f>IF(A578="","",IF('ATP Fills'!I578="3M","",VLOOKUP(RIGHT('ATP Fills'!I578,2),Helper1!$O$36:$P$48,2,0)))</f>
        <v/>
      </c>
      <c r="K578" t="str">
        <f>IF(J578="","",LEFT('ATP Fills'!I578,4))</f>
        <v/>
      </c>
      <c r="L578" t="str">
        <f>IF(A578="","",IF('ATP Fills'!G578="LME",'ATP Fills'!I578,""))</f>
        <v/>
      </c>
      <c r="M578" t="str">
        <f t="shared" si="8"/>
        <v/>
      </c>
    </row>
    <row r="579" spans="1:13">
      <c r="A579" t="str">
        <f>IF('ATP Fills'!A579="","",IF('ATP Fills'!Q579="PHILLIPSG",'ATP Fills'!F579,""))</f>
        <v/>
      </c>
      <c r="B579" t="str">
        <f>IF(A579="","",'ATP Fills'!L579)</f>
        <v/>
      </c>
      <c r="C579" t="str">
        <f>IF(A579="","",'ATP Fills'!M579)</f>
        <v/>
      </c>
      <c r="D579" t="str">
        <f>IF(A579="","",'ATP Fills'!B579)</f>
        <v/>
      </c>
      <c r="E579" s="3" t="str">
        <f>IF(A579="","",IF(DATE(LEFT(D579,4),MID(D579,5,2),RIGHT(D579,2))=Helper1!$P$1,Helper1!$P$1,""))</f>
        <v/>
      </c>
      <c r="F579" s="3" t="str">
        <f>IF(A579="","",'ATP Fills'!G579)</f>
        <v/>
      </c>
      <c r="G579" t="str">
        <f>IF(A579="","",'ATP Fills'!H579)</f>
        <v/>
      </c>
      <c r="H579" t="str">
        <f>IF(A579="","",VLOOKUP(G579,表3_3[],2,0))</f>
        <v/>
      </c>
      <c r="I579" t="str">
        <f>IF(A579="","",VLOOKUP(G579,表3_3[],3,0))</f>
        <v/>
      </c>
      <c r="J579" t="str">
        <f>IF(A579="","",IF('ATP Fills'!I579="3M","",VLOOKUP(RIGHT('ATP Fills'!I579,2),Helper1!$O$36:$P$48,2,0)))</f>
        <v/>
      </c>
      <c r="K579" t="str">
        <f>IF(J579="","",LEFT('ATP Fills'!I579,4))</f>
        <v/>
      </c>
      <c r="L579" t="str">
        <f>IF(A579="","",IF('ATP Fills'!G579="LME",'ATP Fills'!I579,""))</f>
        <v/>
      </c>
      <c r="M579" t="str">
        <f t="shared" ref="M579:M642" si="9">IF(A579="","",IF(F579="LME",F579&amp;"-"&amp;I579&amp;"-"&amp;L579,J579&amp;"-"&amp;K579&amp;"-"&amp;I579))</f>
        <v/>
      </c>
    </row>
    <row r="580" spans="1:13">
      <c r="A580" t="str">
        <f>IF('ATP Fills'!A580="","",IF('ATP Fills'!Q580="PHILLIPSG",'ATP Fills'!F580,""))</f>
        <v/>
      </c>
      <c r="B580" t="str">
        <f>IF(A580="","",'ATP Fills'!L580)</f>
        <v/>
      </c>
      <c r="C580" t="str">
        <f>IF(A580="","",'ATP Fills'!M580)</f>
        <v/>
      </c>
      <c r="D580" t="str">
        <f>IF(A580="","",'ATP Fills'!B580)</f>
        <v/>
      </c>
      <c r="E580" s="3" t="str">
        <f>IF(A580="","",IF(DATE(LEFT(D580,4),MID(D580,5,2),RIGHT(D580,2))=Helper1!$P$1,Helper1!$P$1,""))</f>
        <v/>
      </c>
      <c r="F580" s="3" t="str">
        <f>IF(A580="","",'ATP Fills'!G580)</f>
        <v/>
      </c>
      <c r="G580" t="str">
        <f>IF(A580="","",'ATP Fills'!H580)</f>
        <v/>
      </c>
      <c r="H580" t="str">
        <f>IF(A580="","",VLOOKUP(G580,表3_3[],2,0))</f>
        <v/>
      </c>
      <c r="I580" t="str">
        <f>IF(A580="","",VLOOKUP(G580,表3_3[],3,0))</f>
        <v/>
      </c>
      <c r="J580" t="str">
        <f>IF(A580="","",IF('ATP Fills'!I580="3M","",VLOOKUP(RIGHT('ATP Fills'!I580,2),Helper1!$O$36:$P$48,2,0)))</f>
        <v/>
      </c>
      <c r="K580" t="str">
        <f>IF(J580="","",LEFT('ATP Fills'!I580,4))</f>
        <v/>
      </c>
      <c r="L580" t="str">
        <f>IF(A580="","",IF('ATP Fills'!G580="LME",'ATP Fills'!I580,""))</f>
        <v/>
      </c>
      <c r="M580" t="str">
        <f t="shared" si="9"/>
        <v/>
      </c>
    </row>
    <row r="581" spans="1:13">
      <c r="A581" t="str">
        <f>IF('ATP Fills'!A581="","",IF('ATP Fills'!Q581="PHILLIPSG",'ATP Fills'!F581,""))</f>
        <v/>
      </c>
      <c r="B581" t="str">
        <f>IF(A581="","",'ATP Fills'!L581)</f>
        <v/>
      </c>
      <c r="C581" t="str">
        <f>IF(A581="","",'ATP Fills'!M581)</f>
        <v/>
      </c>
      <c r="D581" t="str">
        <f>IF(A581="","",'ATP Fills'!B581)</f>
        <v/>
      </c>
      <c r="E581" s="3" t="str">
        <f>IF(A581="","",IF(DATE(LEFT(D581,4),MID(D581,5,2),RIGHT(D581,2))=Helper1!$P$1,Helper1!$P$1,""))</f>
        <v/>
      </c>
      <c r="F581" s="3" t="str">
        <f>IF(A581="","",'ATP Fills'!G581)</f>
        <v/>
      </c>
      <c r="G581" t="str">
        <f>IF(A581="","",'ATP Fills'!H581)</f>
        <v/>
      </c>
      <c r="H581" t="str">
        <f>IF(A581="","",VLOOKUP(G581,表3_3[],2,0))</f>
        <v/>
      </c>
      <c r="I581" t="str">
        <f>IF(A581="","",VLOOKUP(G581,表3_3[],3,0))</f>
        <v/>
      </c>
      <c r="J581" t="str">
        <f>IF(A581="","",IF('ATP Fills'!I581="3M","",VLOOKUP(RIGHT('ATP Fills'!I581,2),Helper1!$O$36:$P$48,2,0)))</f>
        <v/>
      </c>
      <c r="K581" t="str">
        <f>IF(J581="","",LEFT('ATP Fills'!I581,4))</f>
        <v/>
      </c>
      <c r="L581" t="str">
        <f>IF(A581="","",IF('ATP Fills'!G581="LME",'ATP Fills'!I581,""))</f>
        <v/>
      </c>
      <c r="M581" t="str">
        <f t="shared" si="9"/>
        <v/>
      </c>
    </row>
    <row r="582" spans="1:13">
      <c r="A582" t="str">
        <f>IF('ATP Fills'!A582="","",IF('ATP Fills'!Q582="PHILLIPSG",'ATP Fills'!F582,""))</f>
        <v/>
      </c>
      <c r="B582" t="str">
        <f>IF(A582="","",'ATP Fills'!L582)</f>
        <v/>
      </c>
      <c r="C582" t="str">
        <f>IF(A582="","",'ATP Fills'!M582)</f>
        <v/>
      </c>
      <c r="D582" t="str">
        <f>IF(A582="","",'ATP Fills'!B582)</f>
        <v/>
      </c>
      <c r="E582" s="3" t="str">
        <f>IF(A582="","",IF(DATE(LEFT(D582,4),MID(D582,5,2),RIGHT(D582,2))=Helper1!$P$1,Helper1!$P$1,""))</f>
        <v/>
      </c>
      <c r="F582" s="3" t="str">
        <f>IF(A582="","",'ATP Fills'!G582)</f>
        <v/>
      </c>
      <c r="G582" t="str">
        <f>IF(A582="","",'ATP Fills'!H582)</f>
        <v/>
      </c>
      <c r="H582" t="str">
        <f>IF(A582="","",VLOOKUP(G582,表3_3[],2,0))</f>
        <v/>
      </c>
      <c r="I582" t="str">
        <f>IF(A582="","",VLOOKUP(G582,表3_3[],3,0))</f>
        <v/>
      </c>
      <c r="J582" t="str">
        <f>IF(A582="","",IF('ATP Fills'!I582="3M","",VLOOKUP(RIGHT('ATP Fills'!I582,2),Helper1!$O$36:$P$48,2,0)))</f>
        <v/>
      </c>
      <c r="K582" t="str">
        <f>IF(J582="","",LEFT('ATP Fills'!I582,4))</f>
        <v/>
      </c>
      <c r="L582" t="str">
        <f>IF(A582="","",IF('ATP Fills'!G582="LME",'ATP Fills'!I582,""))</f>
        <v/>
      </c>
      <c r="M582" t="str">
        <f t="shared" si="9"/>
        <v/>
      </c>
    </row>
    <row r="583" spans="1:13">
      <c r="A583" t="str">
        <f>IF('ATP Fills'!A583="","",IF('ATP Fills'!Q583="PHILLIPSG",'ATP Fills'!F583,""))</f>
        <v/>
      </c>
      <c r="B583" t="str">
        <f>IF(A583="","",'ATP Fills'!L583)</f>
        <v/>
      </c>
      <c r="C583" t="str">
        <f>IF(A583="","",'ATP Fills'!M583)</f>
        <v/>
      </c>
      <c r="D583" t="str">
        <f>IF(A583="","",'ATP Fills'!B583)</f>
        <v/>
      </c>
      <c r="E583" s="3" t="str">
        <f>IF(A583="","",IF(DATE(LEFT(D583,4),MID(D583,5,2),RIGHT(D583,2))=Helper1!$P$1,Helper1!$P$1,""))</f>
        <v/>
      </c>
      <c r="F583" s="3" t="str">
        <f>IF(A583="","",'ATP Fills'!G583)</f>
        <v/>
      </c>
      <c r="G583" t="str">
        <f>IF(A583="","",'ATP Fills'!H583)</f>
        <v/>
      </c>
      <c r="H583" t="str">
        <f>IF(A583="","",VLOOKUP(G583,表3_3[],2,0))</f>
        <v/>
      </c>
      <c r="I583" t="str">
        <f>IF(A583="","",VLOOKUP(G583,表3_3[],3,0))</f>
        <v/>
      </c>
      <c r="J583" t="str">
        <f>IF(A583="","",IF('ATP Fills'!I583="3M","",VLOOKUP(RIGHT('ATP Fills'!I583,2),Helper1!$O$36:$P$48,2,0)))</f>
        <v/>
      </c>
      <c r="K583" t="str">
        <f>IF(J583="","",LEFT('ATP Fills'!I583,4))</f>
        <v/>
      </c>
      <c r="L583" t="str">
        <f>IF(A583="","",IF('ATP Fills'!G583="LME",'ATP Fills'!I583,""))</f>
        <v/>
      </c>
      <c r="M583" t="str">
        <f t="shared" si="9"/>
        <v/>
      </c>
    </row>
    <row r="584" spans="1:13">
      <c r="A584" t="str">
        <f>IF('ATP Fills'!A584="","",IF('ATP Fills'!Q584="PHILLIPSG",'ATP Fills'!F584,""))</f>
        <v/>
      </c>
      <c r="B584" t="str">
        <f>IF(A584="","",'ATP Fills'!L584)</f>
        <v/>
      </c>
      <c r="C584" t="str">
        <f>IF(A584="","",'ATP Fills'!M584)</f>
        <v/>
      </c>
      <c r="D584" t="str">
        <f>IF(A584="","",'ATP Fills'!B584)</f>
        <v/>
      </c>
      <c r="E584" s="3" t="str">
        <f>IF(A584="","",IF(DATE(LEFT(D584,4),MID(D584,5,2),RIGHT(D584,2))=Helper1!$P$1,Helper1!$P$1,""))</f>
        <v/>
      </c>
      <c r="F584" s="3" t="str">
        <f>IF(A584="","",'ATP Fills'!G584)</f>
        <v/>
      </c>
      <c r="G584" t="str">
        <f>IF(A584="","",'ATP Fills'!H584)</f>
        <v/>
      </c>
      <c r="H584" t="str">
        <f>IF(A584="","",VLOOKUP(G584,表3_3[],2,0))</f>
        <v/>
      </c>
      <c r="I584" t="str">
        <f>IF(A584="","",VLOOKUP(G584,表3_3[],3,0))</f>
        <v/>
      </c>
      <c r="J584" t="str">
        <f>IF(A584="","",IF('ATP Fills'!I584="3M","",VLOOKUP(RIGHT('ATP Fills'!I584,2),Helper1!$O$36:$P$48,2,0)))</f>
        <v/>
      </c>
      <c r="K584" t="str">
        <f>IF(J584="","",LEFT('ATP Fills'!I584,4))</f>
        <v/>
      </c>
      <c r="L584" t="str">
        <f>IF(A584="","",IF('ATP Fills'!G584="LME",'ATP Fills'!I584,""))</f>
        <v/>
      </c>
      <c r="M584" t="str">
        <f t="shared" si="9"/>
        <v/>
      </c>
    </row>
    <row r="585" spans="1:13">
      <c r="A585" t="str">
        <f>IF('ATP Fills'!A585="","",IF('ATP Fills'!Q585="PHILLIPSG",'ATP Fills'!F585,""))</f>
        <v/>
      </c>
      <c r="B585" t="str">
        <f>IF(A585="","",'ATP Fills'!L585)</f>
        <v/>
      </c>
      <c r="C585" t="str">
        <f>IF(A585="","",'ATP Fills'!M585)</f>
        <v/>
      </c>
      <c r="D585" t="str">
        <f>IF(A585="","",'ATP Fills'!B585)</f>
        <v/>
      </c>
      <c r="E585" s="3" t="str">
        <f>IF(A585="","",IF(DATE(LEFT(D585,4),MID(D585,5,2),RIGHT(D585,2))=Helper1!$P$1,Helper1!$P$1,""))</f>
        <v/>
      </c>
      <c r="F585" s="3" t="str">
        <f>IF(A585="","",'ATP Fills'!G585)</f>
        <v/>
      </c>
      <c r="G585" t="str">
        <f>IF(A585="","",'ATP Fills'!H585)</f>
        <v/>
      </c>
      <c r="H585" t="str">
        <f>IF(A585="","",VLOOKUP(G585,表3_3[],2,0))</f>
        <v/>
      </c>
      <c r="I585" t="str">
        <f>IF(A585="","",VLOOKUP(G585,表3_3[],3,0))</f>
        <v/>
      </c>
      <c r="J585" t="str">
        <f>IF(A585="","",IF('ATP Fills'!I585="3M","",VLOOKUP(RIGHT('ATP Fills'!I585,2),Helper1!$O$36:$P$48,2,0)))</f>
        <v/>
      </c>
      <c r="K585" t="str">
        <f>IF(J585="","",LEFT('ATP Fills'!I585,4))</f>
        <v/>
      </c>
      <c r="L585" t="str">
        <f>IF(A585="","",IF('ATP Fills'!G585="LME",'ATP Fills'!I585,""))</f>
        <v/>
      </c>
      <c r="M585" t="str">
        <f t="shared" si="9"/>
        <v/>
      </c>
    </row>
    <row r="586" spans="1:13">
      <c r="A586" t="str">
        <f>IF('ATP Fills'!A586="","",IF('ATP Fills'!Q586="PHILLIPSG",'ATP Fills'!F586,""))</f>
        <v/>
      </c>
      <c r="B586" t="str">
        <f>IF(A586="","",'ATP Fills'!L586)</f>
        <v/>
      </c>
      <c r="C586" t="str">
        <f>IF(A586="","",'ATP Fills'!M586)</f>
        <v/>
      </c>
      <c r="D586" t="str">
        <f>IF(A586="","",'ATP Fills'!B586)</f>
        <v/>
      </c>
      <c r="E586" s="3" t="str">
        <f>IF(A586="","",IF(DATE(LEFT(D586,4),MID(D586,5,2),RIGHT(D586,2))=Helper1!$P$1,Helper1!$P$1,""))</f>
        <v/>
      </c>
      <c r="F586" s="3" t="str">
        <f>IF(A586="","",'ATP Fills'!G586)</f>
        <v/>
      </c>
      <c r="G586" t="str">
        <f>IF(A586="","",'ATP Fills'!H586)</f>
        <v/>
      </c>
      <c r="H586" t="str">
        <f>IF(A586="","",VLOOKUP(G586,表3_3[],2,0))</f>
        <v/>
      </c>
      <c r="I586" t="str">
        <f>IF(A586="","",VLOOKUP(G586,表3_3[],3,0))</f>
        <v/>
      </c>
      <c r="J586" t="str">
        <f>IF(A586="","",IF('ATP Fills'!I586="3M","",VLOOKUP(RIGHT('ATP Fills'!I586,2),Helper1!$O$36:$P$48,2,0)))</f>
        <v/>
      </c>
      <c r="K586" t="str">
        <f>IF(J586="","",LEFT('ATP Fills'!I586,4))</f>
        <v/>
      </c>
      <c r="L586" t="str">
        <f>IF(A586="","",IF('ATP Fills'!G586="LME",'ATP Fills'!I586,""))</f>
        <v/>
      </c>
      <c r="M586" t="str">
        <f t="shared" si="9"/>
        <v/>
      </c>
    </row>
    <row r="587" spans="1:13">
      <c r="A587" t="str">
        <f>IF('ATP Fills'!A587="","",IF('ATP Fills'!Q587="PHILLIPSG",'ATP Fills'!F587,""))</f>
        <v/>
      </c>
      <c r="B587" t="str">
        <f>IF(A587="","",'ATP Fills'!L587)</f>
        <v/>
      </c>
      <c r="C587" t="str">
        <f>IF(A587="","",'ATP Fills'!M587)</f>
        <v/>
      </c>
      <c r="D587" t="str">
        <f>IF(A587="","",'ATP Fills'!B587)</f>
        <v/>
      </c>
      <c r="E587" s="3" t="str">
        <f>IF(A587="","",IF(DATE(LEFT(D587,4),MID(D587,5,2),RIGHT(D587,2))=Helper1!$P$1,Helper1!$P$1,""))</f>
        <v/>
      </c>
      <c r="F587" s="3" t="str">
        <f>IF(A587="","",'ATP Fills'!G587)</f>
        <v/>
      </c>
      <c r="G587" t="str">
        <f>IF(A587="","",'ATP Fills'!H587)</f>
        <v/>
      </c>
      <c r="H587" t="str">
        <f>IF(A587="","",VLOOKUP(G587,表3_3[],2,0))</f>
        <v/>
      </c>
      <c r="I587" t="str">
        <f>IF(A587="","",VLOOKUP(G587,表3_3[],3,0))</f>
        <v/>
      </c>
      <c r="J587" t="str">
        <f>IF(A587="","",IF('ATP Fills'!I587="3M","",VLOOKUP(RIGHT('ATP Fills'!I587,2),Helper1!$O$36:$P$48,2,0)))</f>
        <v/>
      </c>
      <c r="K587" t="str">
        <f>IF(J587="","",LEFT('ATP Fills'!I587,4))</f>
        <v/>
      </c>
      <c r="L587" t="str">
        <f>IF(A587="","",IF('ATP Fills'!G587="LME",'ATP Fills'!I587,""))</f>
        <v/>
      </c>
      <c r="M587" t="str">
        <f t="shared" si="9"/>
        <v/>
      </c>
    </row>
    <row r="588" spans="1:13">
      <c r="A588" t="str">
        <f>IF('ATP Fills'!A588="","",IF('ATP Fills'!Q588="PHILLIPSG",'ATP Fills'!F588,""))</f>
        <v/>
      </c>
      <c r="B588" t="str">
        <f>IF(A588="","",'ATP Fills'!L588)</f>
        <v/>
      </c>
      <c r="C588" t="str">
        <f>IF(A588="","",'ATP Fills'!M588)</f>
        <v/>
      </c>
      <c r="D588" t="str">
        <f>IF(A588="","",'ATP Fills'!B588)</f>
        <v/>
      </c>
      <c r="E588" s="3" t="str">
        <f>IF(A588="","",IF(DATE(LEFT(D588,4),MID(D588,5,2),RIGHT(D588,2))=Helper1!$P$1,Helper1!$P$1,""))</f>
        <v/>
      </c>
      <c r="F588" s="3" t="str">
        <f>IF(A588="","",'ATP Fills'!G588)</f>
        <v/>
      </c>
      <c r="G588" t="str">
        <f>IF(A588="","",'ATP Fills'!H588)</f>
        <v/>
      </c>
      <c r="H588" t="str">
        <f>IF(A588="","",VLOOKUP(G588,表3_3[],2,0))</f>
        <v/>
      </c>
      <c r="I588" t="str">
        <f>IF(A588="","",VLOOKUP(G588,表3_3[],3,0))</f>
        <v/>
      </c>
      <c r="J588" t="str">
        <f>IF(A588="","",IF('ATP Fills'!I588="3M","",VLOOKUP(RIGHT('ATP Fills'!I588,2),Helper1!$O$36:$P$48,2,0)))</f>
        <v/>
      </c>
      <c r="K588" t="str">
        <f>IF(J588="","",LEFT('ATP Fills'!I588,4))</f>
        <v/>
      </c>
      <c r="L588" t="str">
        <f>IF(A588="","",IF('ATP Fills'!G588="LME",'ATP Fills'!I588,""))</f>
        <v/>
      </c>
      <c r="M588" t="str">
        <f t="shared" si="9"/>
        <v/>
      </c>
    </row>
    <row r="589" spans="1:13">
      <c r="A589" t="str">
        <f>IF('ATP Fills'!A589="","",IF('ATP Fills'!Q589="PHILLIPSG",'ATP Fills'!F589,""))</f>
        <v/>
      </c>
      <c r="B589" t="str">
        <f>IF(A589="","",'ATP Fills'!L589)</f>
        <v/>
      </c>
      <c r="C589" t="str">
        <f>IF(A589="","",'ATP Fills'!M589)</f>
        <v/>
      </c>
      <c r="D589" t="str">
        <f>IF(A589="","",'ATP Fills'!B589)</f>
        <v/>
      </c>
      <c r="E589" s="3" t="str">
        <f>IF(A589="","",IF(DATE(LEFT(D589,4),MID(D589,5,2),RIGHT(D589,2))=Helper1!$P$1,Helper1!$P$1,""))</f>
        <v/>
      </c>
      <c r="F589" s="3" t="str">
        <f>IF(A589="","",'ATP Fills'!G589)</f>
        <v/>
      </c>
      <c r="G589" t="str">
        <f>IF(A589="","",'ATP Fills'!H589)</f>
        <v/>
      </c>
      <c r="H589" t="str">
        <f>IF(A589="","",VLOOKUP(G589,表3_3[],2,0))</f>
        <v/>
      </c>
      <c r="I589" t="str">
        <f>IF(A589="","",VLOOKUP(G589,表3_3[],3,0))</f>
        <v/>
      </c>
      <c r="J589" t="str">
        <f>IF(A589="","",IF('ATP Fills'!I589="3M","",VLOOKUP(RIGHT('ATP Fills'!I589,2),Helper1!$O$36:$P$48,2,0)))</f>
        <v/>
      </c>
      <c r="K589" t="str">
        <f>IF(J589="","",LEFT('ATP Fills'!I589,4))</f>
        <v/>
      </c>
      <c r="L589" t="str">
        <f>IF(A589="","",IF('ATP Fills'!G589="LME",'ATP Fills'!I589,""))</f>
        <v/>
      </c>
      <c r="M589" t="str">
        <f t="shared" si="9"/>
        <v/>
      </c>
    </row>
    <row r="590" spans="1:13">
      <c r="A590" t="str">
        <f>IF('ATP Fills'!A590="","",IF('ATP Fills'!Q590="PHILLIPSG",'ATP Fills'!F590,""))</f>
        <v/>
      </c>
      <c r="B590" t="str">
        <f>IF(A590="","",'ATP Fills'!L590)</f>
        <v/>
      </c>
      <c r="C590" t="str">
        <f>IF(A590="","",'ATP Fills'!M590)</f>
        <v/>
      </c>
      <c r="D590" t="str">
        <f>IF(A590="","",'ATP Fills'!B590)</f>
        <v/>
      </c>
      <c r="E590" s="3" t="str">
        <f>IF(A590="","",IF(DATE(LEFT(D590,4),MID(D590,5,2),RIGHT(D590,2))=Helper1!$P$1,Helper1!$P$1,""))</f>
        <v/>
      </c>
      <c r="F590" s="3" t="str">
        <f>IF(A590="","",'ATP Fills'!G590)</f>
        <v/>
      </c>
      <c r="G590" t="str">
        <f>IF(A590="","",'ATP Fills'!H590)</f>
        <v/>
      </c>
      <c r="H590" t="str">
        <f>IF(A590="","",VLOOKUP(G590,表3_3[],2,0))</f>
        <v/>
      </c>
      <c r="I590" t="str">
        <f>IF(A590="","",VLOOKUP(G590,表3_3[],3,0))</f>
        <v/>
      </c>
      <c r="J590" t="str">
        <f>IF(A590="","",IF('ATP Fills'!I590="3M","",VLOOKUP(RIGHT('ATP Fills'!I590,2),Helper1!$O$36:$P$48,2,0)))</f>
        <v/>
      </c>
      <c r="K590" t="str">
        <f>IF(J590="","",LEFT('ATP Fills'!I590,4))</f>
        <v/>
      </c>
      <c r="L590" t="str">
        <f>IF(A590="","",IF('ATP Fills'!G590="LME",'ATP Fills'!I590,""))</f>
        <v/>
      </c>
      <c r="M590" t="str">
        <f t="shared" si="9"/>
        <v/>
      </c>
    </row>
    <row r="591" spans="1:13">
      <c r="A591" t="str">
        <f>IF('ATP Fills'!A591="","",IF('ATP Fills'!Q591="PHILLIPSG",'ATP Fills'!F591,""))</f>
        <v/>
      </c>
      <c r="B591" t="str">
        <f>IF(A591="","",'ATP Fills'!L591)</f>
        <v/>
      </c>
      <c r="C591" t="str">
        <f>IF(A591="","",'ATP Fills'!M591)</f>
        <v/>
      </c>
      <c r="D591" t="str">
        <f>IF(A591="","",'ATP Fills'!B591)</f>
        <v/>
      </c>
      <c r="E591" s="3" t="str">
        <f>IF(A591="","",IF(DATE(LEFT(D591,4),MID(D591,5,2),RIGHT(D591,2))=Helper1!$P$1,Helper1!$P$1,""))</f>
        <v/>
      </c>
      <c r="F591" s="3" t="str">
        <f>IF(A591="","",'ATP Fills'!G591)</f>
        <v/>
      </c>
      <c r="G591" t="str">
        <f>IF(A591="","",'ATP Fills'!H591)</f>
        <v/>
      </c>
      <c r="H591" t="str">
        <f>IF(A591="","",VLOOKUP(G591,表3_3[],2,0))</f>
        <v/>
      </c>
      <c r="I591" t="str">
        <f>IF(A591="","",VLOOKUP(G591,表3_3[],3,0))</f>
        <v/>
      </c>
      <c r="J591" t="str">
        <f>IF(A591="","",IF('ATP Fills'!I591="3M","",VLOOKUP(RIGHT('ATP Fills'!I591,2),Helper1!$O$36:$P$48,2,0)))</f>
        <v/>
      </c>
      <c r="K591" t="str">
        <f>IF(J591="","",LEFT('ATP Fills'!I591,4))</f>
        <v/>
      </c>
      <c r="L591" t="str">
        <f>IF(A591="","",IF('ATP Fills'!G591="LME",'ATP Fills'!I591,""))</f>
        <v/>
      </c>
      <c r="M591" t="str">
        <f t="shared" si="9"/>
        <v/>
      </c>
    </row>
    <row r="592" spans="1:13">
      <c r="A592" t="str">
        <f>IF('ATP Fills'!A592="","",IF('ATP Fills'!Q592="PHILLIPSG",'ATP Fills'!F592,""))</f>
        <v/>
      </c>
      <c r="B592" t="str">
        <f>IF(A592="","",'ATP Fills'!L592)</f>
        <v/>
      </c>
      <c r="C592" t="str">
        <f>IF(A592="","",'ATP Fills'!M592)</f>
        <v/>
      </c>
      <c r="D592" t="str">
        <f>IF(A592="","",'ATP Fills'!B592)</f>
        <v/>
      </c>
      <c r="E592" s="3" t="str">
        <f>IF(A592="","",IF(DATE(LEFT(D592,4),MID(D592,5,2),RIGHT(D592,2))=Helper1!$P$1,Helper1!$P$1,""))</f>
        <v/>
      </c>
      <c r="F592" s="3" t="str">
        <f>IF(A592="","",'ATP Fills'!G592)</f>
        <v/>
      </c>
      <c r="G592" t="str">
        <f>IF(A592="","",'ATP Fills'!H592)</f>
        <v/>
      </c>
      <c r="H592" t="str">
        <f>IF(A592="","",VLOOKUP(G592,表3_3[],2,0))</f>
        <v/>
      </c>
      <c r="I592" t="str">
        <f>IF(A592="","",VLOOKUP(G592,表3_3[],3,0))</f>
        <v/>
      </c>
      <c r="J592" t="str">
        <f>IF(A592="","",IF('ATP Fills'!I592="3M","",VLOOKUP(RIGHT('ATP Fills'!I592,2),Helper1!$O$36:$P$48,2,0)))</f>
        <v/>
      </c>
      <c r="K592" t="str">
        <f>IF(J592="","",LEFT('ATP Fills'!I592,4))</f>
        <v/>
      </c>
      <c r="L592" t="str">
        <f>IF(A592="","",IF('ATP Fills'!G592="LME",'ATP Fills'!I592,""))</f>
        <v/>
      </c>
      <c r="M592" t="str">
        <f t="shared" si="9"/>
        <v/>
      </c>
    </row>
    <row r="593" spans="1:13">
      <c r="A593" t="str">
        <f>IF('ATP Fills'!A593="","",IF('ATP Fills'!Q593="PHILLIPSG",'ATP Fills'!F593,""))</f>
        <v/>
      </c>
      <c r="B593" t="str">
        <f>IF(A593="","",'ATP Fills'!L593)</f>
        <v/>
      </c>
      <c r="C593" t="str">
        <f>IF(A593="","",'ATP Fills'!M593)</f>
        <v/>
      </c>
      <c r="D593" t="str">
        <f>IF(A593="","",'ATP Fills'!B593)</f>
        <v/>
      </c>
      <c r="E593" s="3" t="str">
        <f>IF(A593="","",IF(DATE(LEFT(D593,4),MID(D593,5,2),RIGHT(D593,2))=Helper1!$P$1,Helper1!$P$1,""))</f>
        <v/>
      </c>
      <c r="F593" s="3" t="str">
        <f>IF(A593="","",'ATP Fills'!G593)</f>
        <v/>
      </c>
      <c r="G593" t="str">
        <f>IF(A593="","",'ATP Fills'!H593)</f>
        <v/>
      </c>
      <c r="H593" t="str">
        <f>IF(A593="","",VLOOKUP(G593,表3_3[],2,0))</f>
        <v/>
      </c>
      <c r="I593" t="str">
        <f>IF(A593="","",VLOOKUP(G593,表3_3[],3,0))</f>
        <v/>
      </c>
      <c r="J593" t="str">
        <f>IF(A593="","",IF('ATP Fills'!I593="3M","",VLOOKUP(RIGHT('ATP Fills'!I593,2),Helper1!$O$36:$P$48,2,0)))</f>
        <v/>
      </c>
      <c r="K593" t="str">
        <f>IF(J593="","",LEFT('ATP Fills'!I593,4))</f>
        <v/>
      </c>
      <c r="L593" t="str">
        <f>IF(A593="","",IF('ATP Fills'!G593="LME",'ATP Fills'!I593,""))</f>
        <v/>
      </c>
      <c r="M593" t="str">
        <f t="shared" si="9"/>
        <v/>
      </c>
    </row>
    <row r="594" spans="1:13">
      <c r="A594" t="str">
        <f>IF('ATP Fills'!A594="","",IF('ATP Fills'!Q594="PHILLIPSG",'ATP Fills'!F594,""))</f>
        <v/>
      </c>
      <c r="B594" t="str">
        <f>IF(A594="","",'ATP Fills'!L594)</f>
        <v/>
      </c>
      <c r="C594" t="str">
        <f>IF(A594="","",'ATP Fills'!M594)</f>
        <v/>
      </c>
      <c r="D594" t="str">
        <f>IF(A594="","",'ATP Fills'!B594)</f>
        <v/>
      </c>
      <c r="E594" s="3" t="str">
        <f>IF(A594="","",IF(DATE(LEFT(D594,4),MID(D594,5,2),RIGHT(D594,2))=Helper1!$P$1,Helper1!$P$1,""))</f>
        <v/>
      </c>
      <c r="F594" s="3" t="str">
        <f>IF(A594="","",'ATP Fills'!G594)</f>
        <v/>
      </c>
      <c r="G594" t="str">
        <f>IF(A594="","",'ATP Fills'!H594)</f>
        <v/>
      </c>
      <c r="H594" t="str">
        <f>IF(A594="","",VLOOKUP(G594,表3_3[],2,0))</f>
        <v/>
      </c>
      <c r="I594" t="str">
        <f>IF(A594="","",VLOOKUP(G594,表3_3[],3,0))</f>
        <v/>
      </c>
      <c r="J594" t="str">
        <f>IF(A594="","",IF('ATP Fills'!I594="3M","",VLOOKUP(RIGHT('ATP Fills'!I594,2),Helper1!$O$36:$P$48,2,0)))</f>
        <v/>
      </c>
      <c r="K594" t="str">
        <f>IF(J594="","",LEFT('ATP Fills'!I594,4))</f>
        <v/>
      </c>
      <c r="L594" t="str">
        <f>IF(A594="","",IF('ATP Fills'!G594="LME",'ATP Fills'!I594,""))</f>
        <v/>
      </c>
      <c r="M594" t="str">
        <f t="shared" si="9"/>
        <v/>
      </c>
    </row>
    <row r="595" spans="1:13">
      <c r="A595" t="str">
        <f>IF('ATP Fills'!A595="","",IF('ATP Fills'!Q595="PHILLIPSG",'ATP Fills'!F595,""))</f>
        <v/>
      </c>
      <c r="B595" t="str">
        <f>IF(A595="","",'ATP Fills'!L595)</f>
        <v/>
      </c>
      <c r="C595" t="str">
        <f>IF(A595="","",'ATP Fills'!M595)</f>
        <v/>
      </c>
      <c r="D595" t="str">
        <f>IF(A595="","",'ATP Fills'!B595)</f>
        <v/>
      </c>
      <c r="E595" s="3" t="str">
        <f>IF(A595="","",IF(DATE(LEFT(D595,4),MID(D595,5,2),RIGHT(D595,2))=Helper1!$P$1,Helper1!$P$1,""))</f>
        <v/>
      </c>
      <c r="F595" s="3" t="str">
        <f>IF(A595="","",'ATP Fills'!G595)</f>
        <v/>
      </c>
      <c r="G595" t="str">
        <f>IF(A595="","",'ATP Fills'!H595)</f>
        <v/>
      </c>
      <c r="H595" t="str">
        <f>IF(A595="","",VLOOKUP(G595,表3_3[],2,0))</f>
        <v/>
      </c>
      <c r="I595" t="str">
        <f>IF(A595="","",VLOOKUP(G595,表3_3[],3,0))</f>
        <v/>
      </c>
      <c r="J595" t="str">
        <f>IF(A595="","",IF('ATP Fills'!I595="3M","",VLOOKUP(RIGHT('ATP Fills'!I595,2),Helper1!$O$36:$P$48,2,0)))</f>
        <v/>
      </c>
      <c r="K595" t="str">
        <f>IF(J595="","",LEFT('ATP Fills'!I595,4))</f>
        <v/>
      </c>
      <c r="L595" t="str">
        <f>IF(A595="","",IF('ATP Fills'!G595="LME",'ATP Fills'!I595,""))</f>
        <v/>
      </c>
      <c r="M595" t="str">
        <f t="shared" si="9"/>
        <v/>
      </c>
    </row>
    <row r="596" spans="1:13">
      <c r="A596" t="str">
        <f>IF('ATP Fills'!A596="","",IF('ATP Fills'!Q596="PHILLIPSG",'ATP Fills'!F596,""))</f>
        <v/>
      </c>
      <c r="B596" t="str">
        <f>IF(A596="","",'ATP Fills'!L596)</f>
        <v/>
      </c>
      <c r="C596" t="str">
        <f>IF(A596="","",'ATP Fills'!M596)</f>
        <v/>
      </c>
      <c r="D596" t="str">
        <f>IF(A596="","",'ATP Fills'!B596)</f>
        <v/>
      </c>
      <c r="E596" s="3" t="str">
        <f>IF(A596="","",IF(DATE(LEFT(D596,4),MID(D596,5,2),RIGHT(D596,2))=Helper1!$P$1,Helper1!$P$1,""))</f>
        <v/>
      </c>
      <c r="F596" s="3" t="str">
        <f>IF(A596="","",'ATP Fills'!G596)</f>
        <v/>
      </c>
      <c r="G596" t="str">
        <f>IF(A596="","",'ATP Fills'!H596)</f>
        <v/>
      </c>
      <c r="H596" t="str">
        <f>IF(A596="","",VLOOKUP(G596,表3_3[],2,0))</f>
        <v/>
      </c>
      <c r="I596" t="str">
        <f>IF(A596="","",VLOOKUP(G596,表3_3[],3,0))</f>
        <v/>
      </c>
      <c r="J596" t="str">
        <f>IF(A596="","",IF('ATP Fills'!I596="3M","",VLOOKUP(RIGHT('ATP Fills'!I596,2),Helper1!$O$36:$P$48,2,0)))</f>
        <v/>
      </c>
      <c r="K596" t="str">
        <f>IF(J596="","",LEFT('ATP Fills'!I596,4))</f>
        <v/>
      </c>
      <c r="L596" t="str">
        <f>IF(A596="","",IF('ATP Fills'!G596="LME",'ATP Fills'!I596,""))</f>
        <v/>
      </c>
      <c r="M596" t="str">
        <f t="shared" si="9"/>
        <v/>
      </c>
    </row>
    <row r="597" spans="1:13">
      <c r="A597" t="str">
        <f>IF('ATP Fills'!A597="","",IF('ATP Fills'!Q597="PHILLIPSG",'ATP Fills'!F597,""))</f>
        <v/>
      </c>
      <c r="B597" t="str">
        <f>IF(A597="","",'ATP Fills'!L597)</f>
        <v/>
      </c>
      <c r="C597" t="str">
        <f>IF(A597="","",'ATP Fills'!M597)</f>
        <v/>
      </c>
      <c r="D597" t="str">
        <f>IF(A597="","",'ATP Fills'!B597)</f>
        <v/>
      </c>
      <c r="E597" s="3" t="str">
        <f>IF(A597="","",IF(DATE(LEFT(D597,4),MID(D597,5,2),RIGHT(D597,2))=Helper1!$P$1,Helper1!$P$1,""))</f>
        <v/>
      </c>
      <c r="F597" s="3" t="str">
        <f>IF(A597="","",'ATP Fills'!G597)</f>
        <v/>
      </c>
      <c r="G597" t="str">
        <f>IF(A597="","",'ATP Fills'!H597)</f>
        <v/>
      </c>
      <c r="H597" t="str">
        <f>IF(A597="","",VLOOKUP(G597,表3_3[],2,0))</f>
        <v/>
      </c>
      <c r="I597" t="str">
        <f>IF(A597="","",VLOOKUP(G597,表3_3[],3,0))</f>
        <v/>
      </c>
      <c r="J597" t="str">
        <f>IF(A597="","",IF('ATP Fills'!I597="3M","",VLOOKUP(RIGHT('ATP Fills'!I597,2),Helper1!$O$36:$P$48,2,0)))</f>
        <v/>
      </c>
      <c r="K597" t="str">
        <f>IF(J597="","",LEFT('ATP Fills'!I597,4))</f>
        <v/>
      </c>
      <c r="L597" t="str">
        <f>IF(A597="","",IF('ATP Fills'!G597="LME",'ATP Fills'!I597,""))</f>
        <v/>
      </c>
      <c r="M597" t="str">
        <f t="shared" si="9"/>
        <v/>
      </c>
    </row>
    <row r="598" spans="1:13">
      <c r="A598" t="str">
        <f>IF('ATP Fills'!A598="","",IF('ATP Fills'!Q598="PHILLIPSG",'ATP Fills'!F598,""))</f>
        <v/>
      </c>
      <c r="B598" t="str">
        <f>IF(A598="","",'ATP Fills'!L598)</f>
        <v/>
      </c>
      <c r="C598" t="str">
        <f>IF(A598="","",'ATP Fills'!M598)</f>
        <v/>
      </c>
      <c r="D598" t="str">
        <f>IF(A598="","",'ATP Fills'!B598)</f>
        <v/>
      </c>
      <c r="E598" s="3" t="str">
        <f>IF(A598="","",IF(DATE(LEFT(D598,4),MID(D598,5,2),RIGHT(D598,2))=Helper1!$P$1,Helper1!$P$1,""))</f>
        <v/>
      </c>
      <c r="F598" s="3" t="str">
        <f>IF(A598="","",'ATP Fills'!G598)</f>
        <v/>
      </c>
      <c r="G598" t="str">
        <f>IF(A598="","",'ATP Fills'!H598)</f>
        <v/>
      </c>
      <c r="H598" t="str">
        <f>IF(A598="","",VLOOKUP(G598,表3_3[],2,0))</f>
        <v/>
      </c>
      <c r="I598" t="str">
        <f>IF(A598="","",VLOOKUP(G598,表3_3[],3,0))</f>
        <v/>
      </c>
      <c r="J598" t="str">
        <f>IF(A598="","",IF('ATP Fills'!I598="3M","",VLOOKUP(RIGHT('ATP Fills'!I598,2),Helper1!$O$36:$P$48,2,0)))</f>
        <v/>
      </c>
      <c r="K598" t="str">
        <f>IF(J598="","",LEFT('ATP Fills'!I598,4))</f>
        <v/>
      </c>
      <c r="L598" t="str">
        <f>IF(A598="","",IF('ATP Fills'!G598="LME",'ATP Fills'!I598,""))</f>
        <v/>
      </c>
      <c r="M598" t="str">
        <f t="shared" si="9"/>
        <v/>
      </c>
    </row>
    <row r="599" spans="1:13">
      <c r="A599" t="str">
        <f>IF('ATP Fills'!A599="","",IF('ATP Fills'!Q599="PHILLIPSG",'ATP Fills'!F599,""))</f>
        <v/>
      </c>
      <c r="B599" t="str">
        <f>IF(A599="","",'ATP Fills'!L599)</f>
        <v/>
      </c>
      <c r="C599" t="str">
        <f>IF(A599="","",'ATP Fills'!M599)</f>
        <v/>
      </c>
      <c r="D599" t="str">
        <f>IF(A599="","",'ATP Fills'!B599)</f>
        <v/>
      </c>
      <c r="E599" s="3" t="str">
        <f>IF(A599="","",IF(DATE(LEFT(D599,4),MID(D599,5,2),RIGHT(D599,2))=Helper1!$P$1,Helper1!$P$1,""))</f>
        <v/>
      </c>
      <c r="F599" s="3" t="str">
        <f>IF(A599="","",'ATP Fills'!G599)</f>
        <v/>
      </c>
      <c r="G599" t="str">
        <f>IF(A599="","",'ATP Fills'!H599)</f>
        <v/>
      </c>
      <c r="H599" t="str">
        <f>IF(A599="","",VLOOKUP(G599,表3_3[],2,0))</f>
        <v/>
      </c>
      <c r="I599" t="str">
        <f>IF(A599="","",VLOOKUP(G599,表3_3[],3,0))</f>
        <v/>
      </c>
      <c r="J599" t="str">
        <f>IF(A599="","",IF('ATP Fills'!I599="3M","",VLOOKUP(RIGHT('ATP Fills'!I599,2),Helper1!$O$36:$P$48,2,0)))</f>
        <v/>
      </c>
      <c r="K599" t="str">
        <f>IF(J599="","",LEFT('ATP Fills'!I599,4))</f>
        <v/>
      </c>
      <c r="L599" t="str">
        <f>IF(A599="","",IF('ATP Fills'!G599="LME",'ATP Fills'!I599,""))</f>
        <v/>
      </c>
      <c r="M599" t="str">
        <f t="shared" si="9"/>
        <v/>
      </c>
    </row>
    <row r="600" spans="1:13">
      <c r="A600" t="str">
        <f>IF('ATP Fills'!A600="","",IF('ATP Fills'!Q600="PHILLIPSG",'ATP Fills'!F600,""))</f>
        <v/>
      </c>
      <c r="B600" t="str">
        <f>IF(A600="","",'ATP Fills'!L600)</f>
        <v/>
      </c>
      <c r="C600" t="str">
        <f>IF(A600="","",'ATP Fills'!M600)</f>
        <v/>
      </c>
      <c r="D600" t="str">
        <f>IF(A600="","",'ATP Fills'!B600)</f>
        <v/>
      </c>
      <c r="E600" s="3" t="str">
        <f>IF(A600="","",IF(DATE(LEFT(D600,4),MID(D600,5,2),RIGHT(D600,2))=Helper1!$P$1,Helper1!$P$1,""))</f>
        <v/>
      </c>
      <c r="F600" s="3" t="str">
        <f>IF(A600="","",'ATP Fills'!G600)</f>
        <v/>
      </c>
      <c r="G600" t="str">
        <f>IF(A600="","",'ATP Fills'!H600)</f>
        <v/>
      </c>
      <c r="H600" t="str">
        <f>IF(A600="","",VLOOKUP(G600,表3_3[],2,0))</f>
        <v/>
      </c>
      <c r="I600" t="str">
        <f>IF(A600="","",VLOOKUP(G600,表3_3[],3,0))</f>
        <v/>
      </c>
      <c r="J600" t="str">
        <f>IF(A600="","",IF('ATP Fills'!I600="3M","",VLOOKUP(RIGHT('ATP Fills'!I600,2),Helper1!$O$36:$P$48,2,0)))</f>
        <v/>
      </c>
      <c r="K600" t="str">
        <f>IF(J600="","",LEFT('ATP Fills'!I600,4))</f>
        <v/>
      </c>
      <c r="L600" t="str">
        <f>IF(A600="","",IF('ATP Fills'!G600="LME",'ATP Fills'!I600,""))</f>
        <v/>
      </c>
      <c r="M600" t="str">
        <f t="shared" si="9"/>
        <v/>
      </c>
    </row>
    <row r="601" spans="1:13">
      <c r="A601" t="str">
        <f>IF('ATP Fills'!A601="","",IF('ATP Fills'!Q601="PHILLIPSG",'ATP Fills'!F601,""))</f>
        <v/>
      </c>
      <c r="B601" t="str">
        <f>IF(A601="","",'ATP Fills'!L601)</f>
        <v/>
      </c>
      <c r="C601" t="str">
        <f>IF(A601="","",'ATP Fills'!M601)</f>
        <v/>
      </c>
      <c r="D601" t="str">
        <f>IF(A601="","",'ATP Fills'!B601)</f>
        <v/>
      </c>
      <c r="E601" s="3" t="str">
        <f>IF(A601="","",IF(DATE(LEFT(D601,4),MID(D601,5,2),RIGHT(D601,2))=Helper1!$P$1,Helper1!$P$1,""))</f>
        <v/>
      </c>
      <c r="F601" s="3" t="str">
        <f>IF(A601="","",'ATP Fills'!G601)</f>
        <v/>
      </c>
      <c r="G601" t="str">
        <f>IF(A601="","",'ATP Fills'!H601)</f>
        <v/>
      </c>
      <c r="H601" t="str">
        <f>IF(A601="","",VLOOKUP(G601,表3_3[],2,0))</f>
        <v/>
      </c>
      <c r="I601" t="str">
        <f>IF(A601="","",VLOOKUP(G601,表3_3[],3,0))</f>
        <v/>
      </c>
      <c r="J601" t="str">
        <f>IF(A601="","",IF('ATP Fills'!I601="3M","",VLOOKUP(RIGHT('ATP Fills'!I601,2),Helper1!$O$36:$P$48,2,0)))</f>
        <v/>
      </c>
      <c r="K601" t="str">
        <f>IF(J601="","",LEFT('ATP Fills'!I601,4))</f>
        <v/>
      </c>
      <c r="L601" t="str">
        <f>IF(A601="","",IF('ATP Fills'!G601="LME",'ATP Fills'!I601,""))</f>
        <v/>
      </c>
      <c r="M601" t="str">
        <f t="shared" si="9"/>
        <v/>
      </c>
    </row>
    <row r="602" spans="1:13">
      <c r="A602" t="str">
        <f>IF('ATP Fills'!A602="","",IF('ATP Fills'!Q602="PHILLIPSG",'ATP Fills'!F602,""))</f>
        <v/>
      </c>
      <c r="B602" t="str">
        <f>IF(A602="","",'ATP Fills'!L602)</f>
        <v/>
      </c>
      <c r="C602" t="str">
        <f>IF(A602="","",'ATP Fills'!M602)</f>
        <v/>
      </c>
      <c r="D602" t="str">
        <f>IF(A602="","",'ATP Fills'!B602)</f>
        <v/>
      </c>
      <c r="E602" s="3" t="str">
        <f>IF(A602="","",IF(DATE(LEFT(D602,4),MID(D602,5,2),RIGHT(D602,2))=Helper1!$P$1,Helper1!$P$1,""))</f>
        <v/>
      </c>
      <c r="F602" s="3" t="str">
        <f>IF(A602="","",'ATP Fills'!G602)</f>
        <v/>
      </c>
      <c r="G602" t="str">
        <f>IF(A602="","",'ATP Fills'!H602)</f>
        <v/>
      </c>
      <c r="H602" t="str">
        <f>IF(A602="","",VLOOKUP(G602,表3_3[],2,0))</f>
        <v/>
      </c>
      <c r="I602" t="str">
        <f>IF(A602="","",VLOOKUP(G602,表3_3[],3,0))</f>
        <v/>
      </c>
      <c r="J602" t="str">
        <f>IF(A602="","",IF('ATP Fills'!I602="3M","",VLOOKUP(RIGHT('ATP Fills'!I602,2),Helper1!$O$36:$P$48,2,0)))</f>
        <v/>
      </c>
      <c r="K602" t="str">
        <f>IF(J602="","",LEFT('ATP Fills'!I602,4))</f>
        <v/>
      </c>
      <c r="L602" t="str">
        <f>IF(A602="","",IF('ATP Fills'!G602="LME",'ATP Fills'!I602,""))</f>
        <v/>
      </c>
      <c r="M602" t="str">
        <f t="shared" si="9"/>
        <v/>
      </c>
    </row>
    <row r="603" spans="1:13">
      <c r="A603" t="str">
        <f>IF('ATP Fills'!A603="","",IF('ATP Fills'!Q603="PHILLIPSG",'ATP Fills'!F603,""))</f>
        <v/>
      </c>
      <c r="B603" t="str">
        <f>IF(A603="","",'ATP Fills'!L603)</f>
        <v/>
      </c>
      <c r="C603" t="str">
        <f>IF(A603="","",'ATP Fills'!M603)</f>
        <v/>
      </c>
      <c r="D603" t="str">
        <f>IF(A603="","",'ATP Fills'!B603)</f>
        <v/>
      </c>
      <c r="E603" s="3" t="str">
        <f>IF(A603="","",IF(DATE(LEFT(D603,4),MID(D603,5,2),RIGHT(D603,2))=Helper1!$P$1,Helper1!$P$1,""))</f>
        <v/>
      </c>
      <c r="F603" s="3" t="str">
        <f>IF(A603="","",'ATP Fills'!G603)</f>
        <v/>
      </c>
      <c r="G603" t="str">
        <f>IF(A603="","",'ATP Fills'!H603)</f>
        <v/>
      </c>
      <c r="H603" t="str">
        <f>IF(A603="","",VLOOKUP(G603,表3_3[],2,0))</f>
        <v/>
      </c>
      <c r="I603" t="str">
        <f>IF(A603="","",VLOOKUP(G603,表3_3[],3,0))</f>
        <v/>
      </c>
      <c r="J603" t="str">
        <f>IF(A603="","",IF('ATP Fills'!I603="3M","",VLOOKUP(RIGHT('ATP Fills'!I603,2),Helper1!$O$36:$P$48,2,0)))</f>
        <v/>
      </c>
      <c r="K603" t="str">
        <f>IF(J603="","",LEFT('ATP Fills'!I603,4))</f>
        <v/>
      </c>
      <c r="L603" t="str">
        <f>IF(A603="","",IF('ATP Fills'!G603="LME",'ATP Fills'!I603,""))</f>
        <v/>
      </c>
      <c r="M603" t="str">
        <f t="shared" si="9"/>
        <v/>
      </c>
    </row>
    <row r="604" spans="1:13">
      <c r="A604" t="str">
        <f>IF('ATP Fills'!A604="","",IF('ATP Fills'!Q604="PHILLIPSG",'ATP Fills'!F604,""))</f>
        <v/>
      </c>
      <c r="B604" t="str">
        <f>IF(A604="","",'ATP Fills'!L604)</f>
        <v/>
      </c>
      <c r="C604" t="str">
        <f>IF(A604="","",'ATP Fills'!M604)</f>
        <v/>
      </c>
      <c r="D604" t="str">
        <f>IF(A604="","",'ATP Fills'!B604)</f>
        <v/>
      </c>
      <c r="E604" s="3" t="str">
        <f>IF(A604="","",IF(DATE(LEFT(D604,4),MID(D604,5,2),RIGHT(D604,2))=Helper1!$P$1,Helper1!$P$1,""))</f>
        <v/>
      </c>
      <c r="F604" s="3" t="str">
        <f>IF(A604="","",'ATP Fills'!G604)</f>
        <v/>
      </c>
      <c r="G604" t="str">
        <f>IF(A604="","",'ATP Fills'!H604)</f>
        <v/>
      </c>
      <c r="H604" t="str">
        <f>IF(A604="","",VLOOKUP(G604,表3_3[],2,0))</f>
        <v/>
      </c>
      <c r="I604" t="str">
        <f>IF(A604="","",VLOOKUP(G604,表3_3[],3,0))</f>
        <v/>
      </c>
      <c r="J604" t="str">
        <f>IF(A604="","",IF('ATP Fills'!I604="3M","",VLOOKUP(RIGHT('ATP Fills'!I604,2),Helper1!$O$36:$P$48,2,0)))</f>
        <v/>
      </c>
      <c r="K604" t="str">
        <f>IF(J604="","",LEFT('ATP Fills'!I604,4))</f>
        <v/>
      </c>
      <c r="L604" t="str">
        <f>IF(A604="","",IF('ATP Fills'!G604="LME",'ATP Fills'!I604,""))</f>
        <v/>
      </c>
      <c r="M604" t="str">
        <f t="shared" si="9"/>
        <v/>
      </c>
    </row>
    <row r="605" spans="1:13">
      <c r="A605" t="str">
        <f>IF('ATP Fills'!A605="","",IF('ATP Fills'!Q605="PHILLIPSG",'ATP Fills'!F605,""))</f>
        <v/>
      </c>
      <c r="B605" t="str">
        <f>IF(A605="","",'ATP Fills'!L605)</f>
        <v/>
      </c>
      <c r="C605" t="str">
        <f>IF(A605="","",'ATP Fills'!M605)</f>
        <v/>
      </c>
      <c r="D605" t="str">
        <f>IF(A605="","",'ATP Fills'!B605)</f>
        <v/>
      </c>
      <c r="E605" s="3" t="str">
        <f>IF(A605="","",IF(DATE(LEFT(D605,4),MID(D605,5,2),RIGHT(D605,2))=Helper1!$P$1,Helper1!$P$1,""))</f>
        <v/>
      </c>
      <c r="F605" s="3" t="str">
        <f>IF(A605="","",'ATP Fills'!G605)</f>
        <v/>
      </c>
      <c r="G605" t="str">
        <f>IF(A605="","",'ATP Fills'!H605)</f>
        <v/>
      </c>
      <c r="H605" t="str">
        <f>IF(A605="","",VLOOKUP(G605,表3_3[],2,0))</f>
        <v/>
      </c>
      <c r="I605" t="str">
        <f>IF(A605="","",VLOOKUP(G605,表3_3[],3,0))</f>
        <v/>
      </c>
      <c r="J605" t="str">
        <f>IF(A605="","",IF('ATP Fills'!I605="3M","",VLOOKUP(RIGHT('ATP Fills'!I605,2),Helper1!$O$36:$P$48,2,0)))</f>
        <v/>
      </c>
      <c r="K605" t="str">
        <f>IF(J605="","",LEFT('ATP Fills'!I605,4))</f>
        <v/>
      </c>
      <c r="L605" t="str">
        <f>IF(A605="","",IF('ATP Fills'!G605="LME",'ATP Fills'!I605,""))</f>
        <v/>
      </c>
      <c r="M605" t="str">
        <f t="shared" si="9"/>
        <v/>
      </c>
    </row>
    <row r="606" spans="1:13">
      <c r="A606" t="str">
        <f>IF('ATP Fills'!A606="","",IF('ATP Fills'!Q606="PHILLIPSG",'ATP Fills'!F606,""))</f>
        <v/>
      </c>
      <c r="B606" t="str">
        <f>IF(A606="","",'ATP Fills'!L606)</f>
        <v/>
      </c>
      <c r="C606" t="str">
        <f>IF(A606="","",'ATP Fills'!M606)</f>
        <v/>
      </c>
      <c r="D606" t="str">
        <f>IF(A606="","",'ATP Fills'!B606)</f>
        <v/>
      </c>
      <c r="E606" s="3" t="str">
        <f>IF(A606="","",IF(DATE(LEFT(D606,4),MID(D606,5,2),RIGHT(D606,2))=Helper1!$P$1,Helper1!$P$1,""))</f>
        <v/>
      </c>
      <c r="F606" s="3" t="str">
        <f>IF(A606="","",'ATP Fills'!G606)</f>
        <v/>
      </c>
      <c r="G606" t="str">
        <f>IF(A606="","",'ATP Fills'!H606)</f>
        <v/>
      </c>
      <c r="H606" t="str">
        <f>IF(A606="","",VLOOKUP(G606,表3_3[],2,0))</f>
        <v/>
      </c>
      <c r="I606" t="str">
        <f>IF(A606="","",VLOOKUP(G606,表3_3[],3,0))</f>
        <v/>
      </c>
      <c r="J606" t="str">
        <f>IF(A606="","",IF('ATP Fills'!I606="3M","",VLOOKUP(RIGHT('ATP Fills'!I606,2),Helper1!$O$36:$P$48,2,0)))</f>
        <v/>
      </c>
      <c r="K606" t="str">
        <f>IF(J606="","",LEFT('ATP Fills'!I606,4))</f>
        <v/>
      </c>
      <c r="L606" t="str">
        <f>IF(A606="","",IF('ATP Fills'!G606="LME",'ATP Fills'!I606,""))</f>
        <v/>
      </c>
      <c r="M606" t="str">
        <f t="shared" si="9"/>
        <v/>
      </c>
    </row>
    <row r="607" spans="1:13">
      <c r="A607" t="str">
        <f>IF('ATP Fills'!A607="","",IF('ATP Fills'!Q607="PHILLIPSG",'ATP Fills'!F607,""))</f>
        <v/>
      </c>
      <c r="B607" t="str">
        <f>IF(A607="","",'ATP Fills'!L607)</f>
        <v/>
      </c>
      <c r="C607" t="str">
        <f>IF(A607="","",'ATP Fills'!M607)</f>
        <v/>
      </c>
      <c r="D607" t="str">
        <f>IF(A607="","",'ATP Fills'!B607)</f>
        <v/>
      </c>
      <c r="E607" s="3" t="str">
        <f>IF(A607="","",IF(DATE(LEFT(D607,4),MID(D607,5,2),RIGHT(D607,2))=Helper1!$P$1,Helper1!$P$1,""))</f>
        <v/>
      </c>
      <c r="F607" s="3" t="str">
        <f>IF(A607="","",'ATP Fills'!G607)</f>
        <v/>
      </c>
      <c r="G607" t="str">
        <f>IF(A607="","",'ATP Fills'!H607)</f>
        <v/>
      </c>
      <c r="H607" t="str">
        <f>IF(A607="","",VLOOKUP(G607,表3_3[],2,0))</f>
        <v/>
      </c>
      <c r="I607" t="str">
        <f>IF(A607="","",VLOOKUP(G607,表3_3[],3,0))</f>
        <v/>
      </c>
      <c r="J607" t="str">
        <f>IF(A607="","",IF('ATP Fills'!I607="3M","",VLOOKUP(RIGHT('ATP Fills'!I607,2),Helper1!$O$36:$P$48,2,0)))</f>
        <v/>
      </c>
      <c r="K607" t="str">
        <f>IF(J607="","",LEFT('ATP Fills'!I607,4))</f>
        <v/>
      </c>
      <c r="L607" t="str">
        <f>IF(A607="","",IF('ATP Fills'!G607="LME",'ATP Fills'!I607,""))</f>
        <v/>
      </c>
      <c r="M607" t="str">
        <f t="shared" si="9"/>
        <v/>
      </c>
    </row>
    <row r="608" spans="1:13">
      <c r="A608" t="str">
        <f>IF('ATP Fills'!A608="","",IF('ATP Fills'!Q608="PHILLIPSG",'ATP Fills'!F608,""))</f>
        <v/>
      </c>
      <c r="B608" t="str">
        <f>IF(A608="","",'ATP Fills'!L608)</f>
        <v/>
      </c>
      <c r="C608" t="str">
        <f>IF(A608="","",'ATP Fills'!M608)</f>
        <v/>
      </c>
      <c r="D608" t="str">
        <f>IF(A608="","",'ATP Fills'!B608)</f>
        <v/>
      </c>
      <c r="E608" s="3" t="str">
        <f>IF(A608="","",IF(DATE(LEFT(D608,4),MID(D608,5,2),RIGHT(D608,2))=Helper1!$P$1,Helper1!$P$1,""))</f>
        <v/>
      </c>
      <c r="F608" s="3" t="str">
        <f>IF(A608="","",'ATP Fills'!G608)</f>
        <v/>
      </c>
      <c r="G608" t="str">
        <f>IF(A608="","",'ATP Fills'!H608)</f>
        <v/>
      </c>
      <c r="H608" t="str">
        <f>IF(A608="","",VLOOKUP(G608,表3_3[],2,0))</f>
        <v/>
      </c>
      <c r="I608" t="str">
        <f>IF(A608="","",VLOOKUP(G608,表3_3[],3,0))</f>
        <v/>
      </c>
      <c r="J608" t="str">
        <f>IF(A608="","",IF('ATP Fills'!I608="3M","",VLOOKUP(RIGHT('ATP Fills'!I608,2),Helper1!$O$36:$P$48,2,0)))</f>
        <v/>
      </c>
      <c r="K608" t="str">
        <f>IF(J608="","",LEFT('ATP Fills'!I608,4))</f>
        <v/>
      </c>
      <c r="L608" t="str">
        <f>IF(A608="","",IF('ATP Fills'!G608="LME",'ATP Fills'!I608,""))</f>
        <v/>
      </c>
      <c r="M608" t="str">
        <f t="shared" si="9"/>
        <v/>
      </c>
    </row>
    <row r="609" spans="1:13">
      <c r="A609" t="str">
        <f>IF('ATP Fills'!A609="","",IF('ATP Fills'!Q609="PHILLIPSG",'ATP Fills'!F609,""))</f>
        <v/>
      </c>
      <c r="B609" t="str">
        <f>IF(A609="","",'ATP Fills'!L609)</f>
        <v/>
      </c>
      <c r="C609" t="str">
        <f>IF(A609="","",'ATP Fills'!M609)</f>
        <v/>
      </c>
      <c r="D609" t="str">
        <f>IF(A609="","",'ATP Fills'!B609)</f>
        <v/>
      </c>
      <c r="E609" s="3" t="str">
        <f>IF(A609="","",IF(DATE(LEFT(D609,4),MID(D609,5,2),RIGHT(D609,2))=Helper1!$P$1,Helper1!$P$1,""))</f>
        <v/>
      </c>
      <c r="F609" s="3" t="str">
        <f>IF(A609="","",'ATP Fills'!G609)</f>
        <v/>
      </c>
      <c r="G609" t="str">
        <f>IF(A609="","",'ATP Fills'!H609)</f>
        <v/>
      </c>
      <c r="H609" t="str">
        <f>IF(A609="","",VLOOKUP(G609,表3_3[],2,0))</f>
        <v/>
      </c>
      <c r="I609" t="str">
        <f>IF(A609="","",VLOOKUP(G609,表3_3[],3,0))</f>
        <v/>
      </c>
      <c r="J609" t="str">
        <f>IF(A609="","",IF('ATP Fills'!I609="3M","",VLOOKUP(RIGHT('ATP Fills'!I609,2),Helper1!$O$36:$P$48,2,0)))</f>
        <v/>
      </c>
      <c r="K609" t="str">
        <f>IF(J609="","",LEFT('ATP Fills'!I609,4))</f>
        <v/>
      </c>
      <c r="L609" t="str">
        <f>IF(A609="","",IF('ATP Fills'!G609="LME",'ATP Fills'!I609,""))</f>
        <v/>
      </c>
      <c r="M609" t="str">
        <f t="shared" si="9"/>
        <v/>
      </c>
    </row>
    <row r="610" spans="1:13">
      <c r="A610" t="str">
        <f>IF('ATP Fills'!A610="","",IF('ATP Fills'!Q610="PHILLIPSG",'ATP Fills'!F610,""))</f>
        <v/>
      </c>
      <c r="B610" t="str">
        <f>IF(A610="","",'ATP Fills'!L610)</f>
        <v/>
      </c>
      <c r="C610" t="str">
        <f>IF(A610="","",'ATP Fills'!M610)</f>
        <v/>
      </c>
      <c r="D610" t="str">
        <f>IF(A610="","",'ATP Fills'!B610)</f>
        <v/>
      </c>
      <c r="E610" s="3" t="str">
        <f>IF(A610="","",IF(DATE(LEFT(D610,4),MID(D610,5,2),RIGHT(D610,2))=Helper1!$P$1,Helper1!$P$1,""))</f>
        <v/>
      </c>
      <c r="F610" s="3" t="str">
        <f>IF(A610="","",'ATP Fills'!G610)</f>
        <v/>
      </c>
      <c r="G610" t="str">
        <f>IF(A610="","",'ATP Fills'!H610)</f>
        <v/>
      </c>
      <c r="H610" t="str">
        <f>IF(A610="","",VLOOKUP(G610,表3_3[],2,0))</f>
        <v/>
      </c>
      <c r="I610" t="str">
        <f>IF(A610="","",VLOOKUP(G610,表3_3[],3,0))</f>
        <v/>
      </c>
      <c r="J610" t="str">
        <f>IF(A610="","",IF('ATP Fills'!I610="3M","",VLOOKUP(RIGHT('ATP Fills'!I610,2),Helper1!$O$36:$P$48,2,0)))</f>
        <v/>
      </c>
      <c r="K610" t="str">
        <f>IF(J610="","",LEFT('ATP Fills'!I610,4))</f>
        <v/>
      </c>
      <c r="L610" t="str">
        <f>IF(A610="","",IF('ATP Fills'!G610="LME",'ATP Fills'!I610,""))</f>
        <v/>
      </c>
      <c r="M610" t="str">
        <f t="shared" si="9"/>
        <v/>
      </c>
    </row>
    <row r="611" spans="1:13">
      <c r="A611" t="str">
        <f>IF('ATP Fills'!A611="","",IF('ATP Fills'!Q611="PHILLIPSG",'ATP Fills'!F611,""))</f>
        <v/>
      </c>
      <c r="B611" t="str">
        <f>IF(A611="","",'ATP Fills'!L611)</f>
        <v/>
      </c>
      <c r="C611" t="str">
        <f>IF(A611="","",'ATP Fills'!M611)</f>
        <v/>
      </c>
      <c r="D611" t="str">
        <f>IF(A611="","",'ATP Fills'!B611)</f>
        <v/>
      </c>
      <c r="E611" s="3" t="str">
        <f>IF(A611="","",IF(DATE(LEFT(D611,4),MID(D611,5,2),RIGHT(D611,2))=Helper1!$P$1,Helper1!$P$1,""))</f>
        <v/>
      </c>
      <c r="F611" s="3" t="str">
        <f>IF(A611="","",'ATP Fills'!G611)</f>
        <v/>
      </c>
      <c r="G611" t="str">
        <f>IF(A611="","",'ATP Fills'!H611)</f>
        <v/>
      </c>
      <c r="H611" t="str">
        <f>IF(A611="","",VLOOKUP(G611,表3_3[],2,0))</f>
        <v/>
      </c>
      <c r="I611" t="str">
        <f>IF(A611="","",VLOOKUP(G611,表3_3[],3,0))</f>
        <v/>
      </c>
      <c r="J611" t="str">
        <f>IF(A611="","",IF('ATP Fills'!I611="3M","",VLOOKUP(RIGHT('ATP Fills'!I611,2),Helper1!$O$36:$P$48,2,0)))</f>
        <v/>
      </c>
      <c r="K611" t="str">
        <f>IF(J611="","",LEFT('ATP Fills'!I611,4))</f>
        <v/>
      </c>
      <c r="L611" t="str">
        <f>IF(A611="","",IF('ATP Fills'!G611="LME",'ATP Fills'!I611,""))</f>
        <v/>
      </c>
      <c r="M611" t="str">
        <f t="shared" si="9"/>
        <v/>
      </c>
    </row>
    <row r="612" spans="1:13">
      <c r="A612" t="str">
        <f>IF('ATP Fills'!A612="","",IF('ATP Fills'!Q612="PHILLIPSG",'ATP Fills'!F612,""))</f>
        <v/>
      </c>
      <c r="B612" t="str">
        <f>IF(A612="","",'ATP Fills'!L612)</f>
        <v/>
      </c>
      <c r="C612" t="str">
        <f>IF(A612="","",'ATP Fills'!M612)</f>
        <v/>
      </c>
      <c r="D612" t="str">
        <f>IF(A612="","",'ATP Fills'!B612)</f>
        <v/>
      </c>
      <c r="E612" s="3" t="str">
        <f>IF(A612="","",IF(DATE(LEFT(D612,4),MID(D612,5,2),RIGHT(D612,2))=Helper1!$P$1,Helper1!$P$1,""))</f>
        <v/>
      </c>
      <c r="F612" s="3" t="str">
        <f>IF(A612="","",'ATP Fills'!G612)</f>
        <v/>
      </c>
      <c r="G612" t="str">
        <f>IF(A612="","",'ATP Fills'!H612)</f>
        <v/>
      </c>
      <c r="H612" t="str">
        <f>IF(A612="","",VLOOKUP(G612,表3_3[],2,0))</f>
        <v/>
      </c>
      <c r="I612" t="str">
        <f>IF(A612="","",VLOOKUP(G612,表3_3[],3,0))</f>
        <v/>
      </c>
      <c r="J612" t="str">
        <f>IF(A612="","",IF('ATP Fills'!I612="3M","",VLOOKUP(RIGHT('ATP Fills'!I612,2),Helper1!$O$36:$P$48,2,0)))</f>
        <v/>
      </c>
      <c r="K612" t="str">
        <f>IF(J612="","",LEFT('ATP Fills'!I612,4))</f>
        <v/>
      </c>
      <c r="L612" t="str">
        <f>IF(A612="","",IF('ATP Fills'!G612="LME",'ATP Fills'!I612,""))</f>
        <v/>
      </c>
      <c r="M612" t="str">
        <f t="shared" si="9"/>
        <v/>
      </c>
    </row>
    <row r="613" spans="1:13">
      <c r="A613" t="str">
        <f>IF('ATP Fills'!A613="","",IF('ATP Fills'!Q613="PHILLIPSG",'ATP Fills'!F613,""))</f>
        <v/>
      </c>
      <c r="B613" t="str">
        <f>IF(A613="","",'ATP Fills'!L613)</f>
        <v/>
      </c>
      <c r="C613" t="str">
        <f>IF(A613="","",'ATP Fills'!M613)</f>
        <v/>
      </c>
      <c r="D613" t="str">
        <f>IF(A613="","",'ATP Fills'!B613)</f>
        <v/>
      </c>
      <c r="E613" s="3" t="str">
        <f>IF(A613="","",IF(DATE(LEFT(D613,4),MID(D613,5,2),RIGHT(D613,2))=Helper1!$P$1,Helper1!$P$1,""))</f>
        <v/>
      </c>
      <c r="F613" s="3" t="str">
        <f>IF(A613="","",'ATP Fills'!G613)</f>
        <v/>
      </c>
      <c r="G613" t="str">
        <f>IF(A613="","",'ATP Fills'!H613)</f>
        <v/>
      </c>
      <c r="H613" t="str">
        <f>IF(A613="","",VLOOKUP(G613,表3_3[],2,0))</f>
        <v/>
      </c>
      <c r="I613" t="str">
        <f>IF(A613="","",VLOOKUP(G613,表3_3[],3,0))</f>
        <v/>
      </c>
      <c r="J613" t="str">
        <f>IF(A613="","",IF('ATP Fills'!I613="3M","",VLOOKUP(RIGHT('ATP Fills'!I613,2),Helper1!$O$36:$P$48,2,0)))</f>
        <v/>
      </c>
      <c r="K613" t="str">
        <f>IF(J613="","",LEFT('ATP Fills'!I613,4))</f>
        <v/>
      </c>
      <c r="L613" t="str">
        <f>IF(A613="","",IF('ATP Fills'!G613="LME",'ATP Fills'!I613,""))</f>
        <v/>
      </c>
      <c r="M613" t="str">
        <f t="shared" si="9"/>
        <v/>
      </c>
    </row>
    <row r="614" spans="1:13">
      <c r="A614" t="str">
        <f>IF('ATP Fills'!A614="","",IF('ATP Fills'!Q614="PHILLIPSG",'ATP Fills'!F614,""))</f>
        <v/>
      </c>
      <c r="B614" t="str">
        <f>IF(A614="","",'ATP Fills'!L614)</f>
        <v/>
      </c>
      <c r="C614" t="str">
        <f>IF(A614="","",'ATP Fills'!M614)</f>
        <v/>
      </c>
      <c r="D614" t="str">
        <f>IF(A614="","",'ATP Fills'!B614)</f>
        <v/>
      </c>
      <c r="E614" s="3" t="str">
        <f>IF(A614="","",IF(DATE(LEFT(D614,4),MID(D614,5,2),RIGHT(D614,2))=Helper1!$P$1,Helper1!$P$1,""))</f>
        <v/>
      </c>
      <c r="F614" s="3" t="str">
        <f>IF(A614="","",'ATP Fills'!G614)</f>
        <v/>
      </c>
      <c r="G614" t="str">
        <f>IF(A614="","",'ATP Fills'!H614)</f>
        <v/>
      </c>
      <c r="H614" t="str">
        <f>IF(A614="","",VLOOKUP(G614,表3_3[],2,0))</f>
        <v/>
      </c>
      <c r="I614" t="str">
        <f>IF(A614="","",VLOOKUP(G614,表3_3[],3,0))</f>
        <v/>
      </c>
      <c r="J614" t="str">
        <f>IF(A614="","",IF('ATP Fills'!I614="3M","",VLOOKUP(RIGHT('ATP Fills'!I614,2),Helper1!$O$36:$P$48,2,0)))</f>
        <v/>
      </c>
      <c r="K614" t="str">
        <f>IF(J614="","",LEFT('ATP Fills'!I614,4))</f>
        <v/>
      </c>
      <c r="L614" t="str">
        <f>IF(A614="","",IF('ATP Fills'!G614="LME",'ATP Fills'!I614,""))</f>
        <v/>
      </c>
      <c r="M614" t="str">
        <f t="shared" si="9"/>
        <v/>
      </c>
    </row>
    <row r="615" spans="1:13">
      <c r="A615" t="str">
        <f>IF('ATP Fills'!A615="","",IF('ATP Fills'!Q615="PHILLIPSG",'ATP Fills'!F615,""))</f>
        <v/>
      </c>
      <c r="B615" t="str">
        <f>IF(A615="","",'ATP Fills'!L615)</f>
        <v/>
      </c>
      <c r="C615" t="str">
        <f>IF(A615="","",'ATP Fills'!M615)</f>
        <v/>
      </c>
      <c r="D615" t="str">
        <f>IF(A615="","",'ATP Fills'!B615)</f>
        <v/>
      </c>
      <c r="E615" s="3" t="str">
        <f>IF(A615="","",IF(DATE(LEFT(D615,4),MID(D615,5,2),RIGHT(D615,2))=Helper1!$P$1,Helper1!$P$1,""))</f>
        <v/>
      </c>
      <c r="F615" s="3" t="str">
        <f>IF(A615="","",'ATP Fills'!G615)</f>
        <v/>
      </c>
      <c r="G615" t="str">
        <f>IF(A615="","",'ATP Fills'!H615)</f>
        <v/>
      </c>
      <c r="H615" t="str">
        <f>IF(A615="","",VLOOKUP(G615,表3_3[],2,0))</f>
        <v/>
      </c>
      <c r="I615" t="str">
        <f>IF(A615="","",VLOOKUP(G615,表3_3[],3,0))</f>
        <v/>
      </c>
      <c r="J615" t="str">
        <f>IF(A615="","",IF('ATP Fills'!I615="3M","",VLOOKUP(RIGHT('ATP Fills'!I615,2),Helper1!$O$36:$P$48,2,0)))</f>
        <v/>
      </c>
      <c r="K615" t="str">
        <f>IF(J615="","",LEFT('ATP Fills'!I615,4))</f>
        <v/>
      </c>
      <c r="L615" t="str">
        <f>IF(A615="","",IF('ATP Fills'!G615="LME",'ATP Fills'!I615,""))</f>
        <v/>
      </c>
      <c r="M615" t="str">
        <f t="shared" si="9"/>
        <v/>
      </c>
    </row>
    <row r="616" spans="1:13">
      <c r="A616" t="str">
        <f>IF('ATP Fills'!A616="","",IF('ATP Fills'!Q616="PHILLIPSG",'ATP Fills'!F616,""))</f>
        <v/>
      </c>
      <c r="B616" t="str">
        <f>IF(A616="","",'ATP Fills'!L616)</f>
        <v/>
      </c>
      <c r="C616" t="str">
        <f>IF(A616="","",'ATP Fills'!M616)</f>
        <v/>
      </c>
      <c r="D616" t="str">
        <f>IF(A616="","",'ATP Fills'!B616)</f>
        <v/>
      </c>
      <c r="E616" s="3" t="str">
        <f>IF(A616="","",IF(DATE(LEFT(D616,4),MID(D616,5,2),RIGHT(D616,2))=Helper1!$P$1,Helper1!$P$1,""))</f>
        <v/>
      </c>
      <c r="F616" s="3" t="str">
        <f>IF(A616="","",'ATP Fills'!G616)</f>
        <v/>
      </c>
      <c r="G616" t="str">
        <f>IF(A616="","",'ATP Fills'!H616)</f>
        <v/>
      </c>
      <c r="H616" t="str">
        <f>IF(A616="","",VLOOKUP(G616,表3_3[],2,0))</f>
        <v/>
      </c>
      <c r="I616" t="str">
        <f>IF(A616="","",VLOOKUP(G616,表3_3[],3,0))</f>
        <v/>
      </c>
      <c r="J616" t="str">
        <f>IF(A616="","",IF('ATP Fills'!I616="3M","",VLOOKUP(RIGHT('ATP Fills'!I616,2),Helper1!$O$36:$P$48,2,0)))</f>
        <v/>
      </c>
      <c r="K616" t="str">
        <f>IF(J616="","",LEFT('ATP Fills'!I616,4))</f>
        <v/>
      </c>
      <c r="L616" t="str">
        <f>IF(A616="","",IF('ATP Fills'!G616="LME",'ATP Fills'!I616,""))</f>
        <v/>
      </c>
      <c r="M616" t="str">
        <f t="shared" si="9"/>
        <v/>
      </c>
    </row>
    <row r="617" spans="1:13">
      <c r="A617" t="str">
        <f>IF('ATP Fills'!A617="","",IF('ATP Fills'!Q617="PHILLIPSG",'ATP Fills'!F617,""))</f>
        <v/>
      </c>
      <c r="B617" t="str">
        <f>IF(A617="","",'ATP Fills'!L617)</f>
        <v/>
      </c>
      <c r="C617" t="str">
        <f>IF(A617="","",'ATP Fills'!M617)</f>
        <v/>
      </c>
      <c r="D617" t="str">
        <f>IF(A617="","",'ATP Fills'!B617)</f>
        <v/>
      </c>
      <c r="E617" s="3" t="str">
        <f>IF(A617="","",IF(DATE(LEFT(D617,4),MID(D617,5,2),RIGHT(D617,2))=Helper1!$P$1,Helper1!$P$1,""))</f>
        <v/>
      </c>
      <c r="F617" s="3" t="str">
        <f>IF(A617="","",'ATP Fills'!G617)</f>
        <v/>
      </c>
      <c r="G617" t="str">
        <f>IF(A617="","",'ATP Fills'!H617)</f>
        <v/>
      </c>
      <c r="H617" t="str">
        <f>IF(A617="","",VLOOKUP(G617,表3_3[],2,0))</f>
        <v/>
      </c>
      <c r="I617" t="str">
        <f>IF(A617="","",VLOOKUP(G617,表3_3[],3,0))</f>
        <v/>
      </c>
      <c r="J617" t="str">
        <f>IF(A617="","",IF('ATP Fills'!I617="3M","",VLOOKUP(RIGHT('ATP Fills'!I617,2),Helper1!$O$36:$P$48,2,0)))</f>
        <v/>
      </c>
      <c r="K617" t="str">
        <f>IF(J617="","",LEFT('ATP Fills'!I617,4))</f>
        <v/>
      </c>
      <c r="L617" t="str">
        <f>IF(A617="","",IF('ATP Fills'!G617="LME",'ATP Fills'!I617,""))</f>
        <v/>
      </c>
      <c r="M617" t="str">
        <f t="shared" si="9"/>
        <v/>
      </c>
    </row>
    <row r="618" spans="1:13">
      <c r="A618" t="str">
        <f>IF('ATP Fills'!A618="","",IF('ATP Fills'!Q618="PHILLIPSG",'ATP Fills'!F618,""))</f>
        <v/>
      </c>
      <c r="B618" t="str">
        <f>IF(A618="","",'ATP Fills'!L618)</f>
        <v/>
      </c>
      <c r="C618" t="str">
        <f>IF(A618="","",'ATP Fills'!M618)</f>
        <v/>
      </c>
      <c r="D618" t="str">
        <f>IF(A618="","",'ATP Fills'!B618)</f>
        <v/>
      </c>
      <c r="E618" s="3" t="str">
        <f>IF(A618="","",IF(DATE(LEFT(D618,4),MID(D618,5,2),RIGHT(D618,2))=Helper1!$P$1,Helper1!$P$1,""))</f>
        <v/>
      </c>
      <c r="F618" s="3" t="str">
        <f>IF(A618="","",'ATP Fills'!G618)</f>
        <v/>
      </c>
      <c r="G618" t="str">
        <f>IF(A618="","",'ATP Fills'!H618)</f>
        <v/>
      </c>
      <c r="H618" t="str">
        <f>IF(A618="","",VLOOKUP(G618,表3_3[],2,0))</f>
        <v/>
      </c>
      <c r="I618" t="str">
        <f>IF(A618="","",VLOOKUP(G618,表3_3[],3,0))</f>
        <v/>
      </c>
      <c r="J618" t="str">
        <f>IF(A618="","",IF('ATP Fills'!I618="3M","",VLOOKUP(RIGHT('ATP Fills'!I618,2),Helper1!$O$36:$P$48,2,0)))</f>
        <v/>
      </c>
      <c r="K618" t="str">
        <f>IF(J618="","",LEFT('ATP Fills'!I618,4))</f>
        <v/>
      </c>
      <c r="L618" t="str">
        <f>IF(A618="","",IF('ATP Fills'!G618="LME",'ATP Fills'!I618,""))</f>
        <v/>
      </c>
      <c r="M618" t="str">
        <f t="shared" si="9"/>
        <v/>
      </c>
    </row>
    <row r="619" spans="1:13">
      <c r="A619" t="str">
        <f>IF('ATP Fills'!A619="","",IF('ATP Fills'!Q619="PHILLIPSG",'ATP Fills'!F619,""))</f>
        <v/>
      </c>
      <c r="B619" t="str">
        <f>IF(A619="","",'ATP Fills'!L619)</f>
        <v/>
      </c>
      <c r="C619" t="str">
        <f>IF(A619="","",'ATP Fills'!M619)</f>
        <v/>
      </c>
      <c r="D619" t="str">
        <f>IF(A619="","",'ATP Fills'!B619)</f>
        <v/>
      </c>
      <c r="E619" s="3" t="str">
        <f>IF(A619="","",IF(DATE(LEFT(D619,4),MID(D619,5,2),RIGHT(D619,2))=Helper1!$P$1,Helper1!$P$1,""))</f>
        <v/>
      </c>
      <c r="F619" s="3" t="str">
        <f>IF(A619="","",'ATP Fills'!G619)</f>
        <v/>
      </c>
      <c r="G619" t="str">
        <f>IF(A619="","",'ATP Fills'!H619)</f>
        <v/>
      </c>
      <c r="H619" t="str">
        <f>IF(A619="","",VLOOKUP(G619,表3_3[],2,0))</f>
        <v/>
      </c>
      <c r="I619" t="str">
        <f>IF(A619="","",VLOOKUP(G619,表3_3[],3,0))</f>
        <v/>
      </c>
      <c r="J619" t="str">
        <f>IF(A619="","",IF('ATP Fills'!I619="3M","",VLOOKUP(RIGHT('ATP Fills'!I619,2),Helper1!$O$36:$P$48,2,0)))</f>
        <v/>
      </c>
      <c r="K619" t="str">
        <f>IF(J619="","",LEFT('ATP Fills'!I619,4))</f>
        <v/>
      </c>
      <c r="L619" t="str">
        <f>IF(A619="","",IF('ATP Fills'!G619="LME",'ATP Fills'!I619,""))</f>
        <v/>
      </c>
      <c r="M619" t="str">
        <f t="shared" si="9"/>
        <v/>
      </c>
    </row>
    <row r="620" spans="1:13">
      <c r="A620" t="str">
        <f>IF('ATP Fills'!A620="","",IF('ATP Fills'!Q620="PHILLIPSG",'ATP Fills'!F620,""))</f>
        <v/>
      </c>
      <c r="B620" t="str">
        <f>IF(A620="","",'ATP Fills'!L620)</f>
        <v/>
      </c>
      <c r="C620" t="str">
        <f>IF(A620="","",'ATP Fills'!M620)</f>
        <v/>
      </c>
      <c r="D620" t="str">
        <f>IF(A620="","",'ATP Fills'!B620)</f>
        <v/>
      </c>
      <c r="E620" s="3" t="str">
        <f>IF(A620="","",IF(DATE(LEFT(D620,4),MID(D620,5,2),RIGHT(D620,2))=Helper1!$P$1,Helper1!$P$1,""))</f>
        <v/>
      </c>
      <c r="F620" s="3" t="str">
        <f>IF(A620="","",'ATP Fills'!G620)</f>
        <v/>
      </c>
      <c r="G620" t="str">
        <f>IF(A620="","",'ATP Fills'!H620)</f>
        <v/>
      </c>
      <c r="H620" t="str">
        <f>IF(A620="","",VLOOKUP(G620,表3_3[],2,0))</f>
        <v/>
      </c>
      <c r="I620" t="str">
        <f>IF(A620="","",VLOOKUP(G620,表3_3[],3,0))</f>
        <v/>
      </c>
      <c r="J620" t="str">
        <f>IF(A620="","",IF('ATP Fills'!I620="3M","",VLOOKUP(RIGHT('ATP Fills'!I620,2),Helper1!$O$36:$P$48,2,0)))</f>
        <v/>
      </c>
      <c r="K620" t="str">
        <f>IF(J620="","",LEFT('ATP Fills'!I620,4))</f>
        <v/>
      </c>
      <c r="L620" t="str">
        <f>IF(A620="","",IF('ATP Fills'!G620="LME",'ATP Fills'!I620,""))</f>
        <v/>
      </c>
      <c r="M620" t="str">
        <f t="shared" si="9"/>
        <v/>
      </c>
    </row>
    <row r="621" spans="1:13">
      <c r="A621" t="str">
        <f>IF('ATP Fills'!A621="","",IF('ATP Fills'!Q621="PHILLIPSG",'ATP Fills'!F621,""))</f>
        <v/>
      </c>
      <c r="B621" t="str">
        <f>IF(A621="","",'ATP Fills'!L621)</f>
        <v/>
      </c>
      <c r="C621" t="str">
        <f>IF(A621="","",'ATP Fills'!M621)</f>
        <v/>
      </c>
      <c r="D621" t="str">
        <f>IF(A621="","",'ATP Fills'!B621)</f>
        <v/>
      </c>
      <c r="E621" s="3" t="str">
        <f>IF(A621="","",IF(DATE(LEFT(D621,4),MID(D621,5,2),RIGHT(D621,2))=Helper1!$P$1,Helper1!$P$1,""))</f>
        <v/>
      </c>
      <c r="F621" s="3" t="str">
        <f>IF(A621="","",'ATP Fills'!G621)</f>
        <v/>
      </c>
      <c r="G621" t="str">
        <f>IF(A621="","",'ATP Fills'!H621)</f>
        <v/>
      </c>
      <c r="H621" t="str">
        <f>IF(A621="","",VLOOKUP(G621,表3_3[],2,0))</f>
        <v/>
      </c>
      <c r="I621" t="str">
        <f>IF(A621="","",VLOOKUP(G621,表3_3[],3,0))</f>
        <v/>
      </c>
      <c r="J621" t="str">
        <f>IF(A621="","",IF('ATP Fills'!I621="3M","",VLOOKUP(RIGHT('ATP Fills'!I621,2),Helper1!$O$36:$P$48,2,0)))</f>
        <v/>
      </c>
      <c r="K621" t="str">
        <f>IF(J621="","",LEFT('ATP Fills'!I621,4))</f>
        <v/>
      </c>
      <c r="L621" t="str">
        <f>IF(A621="","",IF('ATP Fills'!G621="LME",'ATP Fills'!I621,""))</f>
        <v/>
      </c>
      <c r="M621" t="str">
        <f t="shared" si="9"/>
        <v/>
      </c>
    </row>
    <row r="622" spans="1:13">
      <c r="A622" t="str">
        <f>IF('ATP Fills'!A622="","",IF('ATP Fills'!Q622="PHILLIPSG",'ATP Fills'!F622,""))</f>
        <v/>
      </c>
      <c r="B622" t="str">
        <f>IF(A622="","",'ATP Fills'!L622)</f>
        <v/>
      </c>
      <c r="C622" t="str">
        <f>IF(A622="","",'ATP Fills'!M622)</f>
        <v/>
      </c>
      <c r="D622" t="str">
        <f>IF(A622="","",'ATP Fills'!B622)</f>
        <v/>
      </c>
      <c r="E622" s="3" t="str">
        <f>IF(A622="","",IF(DATE(LEFT(D622,4),MID(D622,5,2),RIGHT(D622,2))=Helper1!$P$1,Helper1!$P$1,""))</f>
        <v/>
      </c>
      <c r="F622" s="3" t="str">
        <f>IF(A622="","",'ATP Fills'!G622)</f>
        <v/>
      </c>
      <c r="G622" t="str">
        <f>IF(A622="","",'ATP Fills'!H622)</f>
        <v/>
      </c>
      <c r="H622" t="str">
        <f>IF(A622="","",VLOOKUP(G622,表3_3[],2,0))</f>
        <v/>
      </c>
      <c r="I622" t="str">
        <f>IF(A622="","",VLOOKUP(G622,表3_3[],3,0))</f>
        <v/>
      </c>
      <c r="J622" t="str">
        <f>IF(A622="","",IF('ATP Fills'!I622="3M","",VLOOKUP(RIGHT('ATP Fills'!I622,2),Helper1!$O$36:$P$48,2,0)))</f>
        <v/>
      </c>
      <c r="K622" t="str">
        <f>IF(J622="","",LEFT('ATP Fills'!I622,4))</f>
        <v/>
      </c>
      <c r="L622" t="str">
        <f>IF(A622="","",IF('ATP Fills'!G622="LME",'ATP Fills'!I622,""))</f>
        <v/>
      </c>
      <c r="M622" t="str">
        <f t="shared" si="9"/>
        <v/>
      </c>
    </row>
    <row r="623" spans="1:13">
      <c r="A623" t="str">
        <f>IF('ATP Fills'!A623="","",IF('ATP Fills'!Q623="PHILLIPSG",'ATP Fills'!F623,""))</f>
        <v/>
      </c>
      <c r="B623" t="str">
        <f>IF(A623="","",'ATP Fills'!L623)</f>
        <v/>
      </c>
      <c r="C623" t="str">
        <f>IF(A623="","",'ATP Fills'!M623)</f>
        <v/>
      </c>
      <c r="D623" t="str">
        <f>IF(A623="","",'ATP Fills'!B623)</f>
        <v/>
      </c>
      <c r="E623" s="3" t="str">
        <f>IF(A623="","",IF(DATE(LEFT(D623,4),MID(D623,5,2),RIGHT(D623,2))=Helper1!$P$1,Helper1!$P$1,""))</f>
        <v/>
      </c>
      <c r="F623" s="3" t="str">
        <f>IF(A623="","",'ATP Fills'!G623)</f>
        <v/>
      </c>
      <c r="G623" t="str">
        <f>IF(A623="","",'ATP Fills'!H623)</f>
        <v/>
      </c>
      <c r="H623" t="str">
        <f>IF(A623="","",VLOOKUP(G623,表3_3[],2,0))</f>
        <v/>
      </c>
      <c r="I623" t="str">
        <f>IF(A623="","",VLOOKUP(G623,表3_3[],3,0))</f>
        <v/>
      </c>
      <c r="J623" t="str">
        <f>IF(A623="","",IF('ATP Fills'!I623="3M","",VLOOKUP(RIGHT('ATP Fills'!I623,2),Helper1!$O$36:$P$48,2,0)))</f>
        <v/>
      </c>
      <c r="K623" t="str">
        <f>IF(J623="","",LEFT('ATP Fills'!I623,4))</f>
        <v/>
      </c>
      <c r="L623" t="str">
        <f>IF(A623="","",IF('ATP Fills'!G623="LME",'ATP Fills'!I623,""))</f>
        <v/>
      </c>
      <c r="M623" t="str">
        <f t="shared" si="9"/>
        <v/>
      </c>
    </row>
    <row r="624" spans="1:13">
      <c r="A624" t="str">
        <f>IF('ATP Fills'!A624="","",IF('ATP Fills'!Q624="PHILLIPSG",'ATP Fills'!F624,""))</f>
        <v/>
      </c>
      <c r="B624" t="str">
        <f>IF(A624="","",'ATP Fills'!L624)</f>
        <v/>
      </c>
      <c r="C624" t="str">
        <f>IF(A624="","",'ATP Fills'!M624)</f>
        <v/>
      </c>
      <c r="D624" t="str">
        <f>IF(A624="","",'ATP Fills'!B624)</f>
        <v/>
      </c>
      <c r="E624" s="3" t="str">
        <f>IF(A624="","",IF(DATE(LEFT(D624,4),MID(D624,5,2),RIGHT(D624,2))=Helper1!$P$1,Helper1!$P$1,""))</f>
        <v/>
      </c>
      <c r="F624" s="3" t="str">
        <f>IF(A624="","",'ATP Fills'!G624)</f>
        <v/>
      </c>
      <c r="G624" t="str">
        <f>IF(A624="","",'ATP Fills'!H624)</f>
        <v/>
      </c>
      <c r="H624" t="str">
        <f>IF(A624="","",VLOOKUP(G624,表3_3[],2,0))</f>
        <v/>
      </c>
      <c r="I624" t="str">
        <f>IF(A624="","",VLOOKUP(G624,表3_3[],3,0))</f>
        <v/>
      </c>
      <c r="J624" t="str">
        <f>IF(A624="","",IF('ATP Fills'!I624="3M","",VLOOKUP(RIGHT('ATP Fills'!I624,2),Helper1!$O$36:$P$48,2,0)))</f>
        <v/>
      </c>
      <c r="K624" t="str">
        <f>IF(J624="","",LEFT('ATP Fills'!I624,4))</f>
        <v/>
      </c>
      <c r="L624" t="str">
        <f>IF(A624="","",IF('ATP Fills'!G624="LME",'ATP Fills'!I624,""))</f>
        <v/>
      </c>
      <c r="M624" t="str">
        <f t="shared" si="9"/>
        <v/>
      </c>
    </row>
    <row r="625" spans="1:13">
      <c r="A625" t="str">
        <f>IF('ATP Fills'!A625="","",IF('ATP Fills'!Q625="PHILLIPSG",'ATP Fills'!F625,""))</f>
        <v/>
      </c>
      <c r="B625" t="str">
        <f>IF(A625="","",'ATP Fills'!L625)</f>
        <v/>
      </c>
      <c r="C625" t="str">
        <f>IF(A625="","",'ATP Fills'!M625)</f>
        <v/>
      </c>
      <c r="D625" t="str">
        <f>IF(A625="","",'ATP Fills'!B625)</f>
        <v/>
      </c>
      <c r="E625" s="3" t="str">
        <f>IF(A625="","",IF(DATE(LEFT(D625,4),MID(D625,5,2),RIGHT(D625,2))=Helper1!$P$1,Helper1!$P$1,""))</f>
        <v/>
      </c>
      <c r="F625" s="3" t="str">
        <f>IF(A625="","",'ATP Fills'!G625)</f>
        <v/>
      </c>
      <c r="G625" t="str">
        <f>IF(A625="","",'ATP Fills'!H625)</f>
        <v/>
      </c>
      <c r="H625" t="str">
        <f>IF(A625="","",VLOOKUP(G625,表3_3[],2,0))</f>
        <v/>
      </c>
      <c r="I625" t="str">
        <f>IF(A625="","",VLOOKUP(G625,表3_3[],3,0))</f>
        <v/>
      </c>
      <c r="J625" t="str">
        <f>IF(A625="","",IF('ATP Fills'!I625="3M","",VLOOKUP(RIGHT('ATP Fills'!I625,2),Helper1!$O$36:$P$48,2,0)))</f>
        <v/>
      </c>
      <c r="K625" t="str">
        <f>IF(J625="","",LEFT('ATP Fills'!I625,4))</f>
        <v/>
      </c>
      <c r="L625" t="str">
        <f>IF(A625="","",IF('ATP Fills'!G625="LME",'ATP Fills'!I625,""))</f>
        <v/>
      </c>
      <c r="M625" t="str">
        <f t="shared" si="9"/>
        <v/>
      </c>
    </row>
    <row r="626" spans="1:13">
      <c r="A626" t="str">
        <f>IF('ATP Fills'!A626="","",IF('ATP Fills'!Q626="PHILLIPSG",'ATP Fills'!F626,""))</f>
        <v/>
      </c>
      <c r="B626" t="str">
        <f>IF(A626="","",'ATP Fills'!L626)</f>
        <v/>
      </c>
      <c r="C626" t="str">
        <f>IF(A626="","",'ATP Fills'!M626)</f>
        <v/>
      </c>
      <c r="D626" t="str">
        <f>IF(A626="","",'ATP Fills'!B626)</f>
        <v/>
      </c>
      <c r="E626" s="3" t="str">
        <f>IF(A626="","",IF(DATE(LEFT(D626,4),MID(D626,5,2),RIGHT(D626,2))=Helper1!$P$1,Helper1!$P$1,""))</f>
        <v/>
      </c>
      <c r="F626" s="3" t="str">
        <f>IF(A626="","",'ATP Fills'!G626)</f>
        <v/>
      </c>
      <c r="G626" t="str">
        <f>IF(A626="","",'ATP Fills'!H626)</f>
        <v/>
      </c>
      <c r="H626" t="str">
        <f>IF(A626="","",VLOOKUP(G626,表3_3[],2,0))</f>
        <v/>
      </c>
      <c r="I626" t="str">
        <f>IF(A626="","",VLOOKUP(G626,表3_3[],3,0))</f>
        <v/>
      </c>
      <c r="J626" t="str">
        <f>IF(A626="","",IF('ATP Fills'!I626="3M","",VLOOKUP(RIGHT('ATP Fills'!I626,2),Helper1!$O$36:$P$48,2,0)))</f>
        <v/>
      </c>
      <c r="K626" t="str">
        <f>IF(J626="","",LEFT('ATP Fills'!I626,4))</f>
        <v/>
      </c>
      <c r="L626" t="str">
        <f>IF(A626="","",IF('ATP Fills'!G626="LME",'ATP Fills'!I626,""))</f>
        <v/>
      </c>
      <c r="M626" t="str">
        <f t="shared" si="9"/>
        <v/>
      </c>
    </row>
    <row r="627" spans="1:13">
      <c r="A627" t="str">
        <f>IF('ATP Fills'!A627="","",IF('ATP Fills'!Q627="PHILLIPSG",'ATP Fills'!F627,""))</f>
        <v/>
      </c>
      <c r="B627" t="str">
        <f>IF(A627="","",'ATP Fills'!L627)</f>
        <v/>
      </c>
      <c r="C627" t="str">
        <f>IF(A627="","",'ATP Fills'!M627)</f>
        <v/>
      </c>
      <c r="D627" t="str">
        <f>IF(A627="","",'ATP Fills'!B627)</f>
        <v/>
      </c>
      <c r="E627" s="3" t="str">
        <f>IF(A627="","",IF(DATE(LEFT(D627,4),MID(D627,5,2),RIGHT(D627,2))=Helper1!$P$1,Helper1!$P$1,""))</f>
        <v/>
      </c>
      <c r="F627" s="3" t="str">
        <f>IF(A627="","",'ATP Fills'!G627)</f>
        <v/>
      </c>
      <c r="G627" t="str">
        <f>IF(A627="","",'ATP Fills'!H627)</f>
        <v/>
      </c>
      <c r="H627" t="str">
        <f>IF(A627="","",VLOOKUP(G627,表3_3[],2,0))</f>
        <v/>
      </c>
      <c r="I627" t="str">
        <f>IF(A627="","",VLOOKUP(G627,表3_3[],3,0))</f>
        <v/>
      </c>
      <c r="J627" t="str">
        <f>IF(A627="","",IF('ATP Fills'!I627="3M","",VLOOKUP(RIGHT('ATP Fills'!I627,2),Helper1!$O$36:$P$48,2,0)))</f>
        <v/>
      </c>
      <c r="K627" t="str">
        <f>IF(J627="","",LEFT('ATP Fills'!I627,4))</f>
        <v/>
      </c>
      <c r="L627" t="str">
        <f>IF(A627="","",IF('ATP Fills'!G627="LME",'ATP Fills'!I627,""))</f>
        <v/>
      </c>
      <c r="M627" t="str">
        <f t="shared" si="9"/>
        <v/>
      </c>
    </row>
    <row r="628" spans="1:13">
      <c r="A628" t="str">
        <f>IF('ATP Fills'!A628="","",IF('ATP Fills'!Q628="PHILLIPSG",'ATP Fills'!F628,""))</f>
        <v/>
      </c>
      <c r="B628" t="str">
        <f>IF(A628="","",'ATP Fills'!L628)</f>
        <v/>
      </c>
      <c r="C628" t="str">
        <f>IF(A628="","",'ATP Fills'!M628)</f>
        <v/>
      </c>
      <c r="D628" t="str">
        <f>IF(A628="","",'ATP Fills'!B628)</f>
        <v/>
      </c>
      <c r="E628" s="3" t="str">
        <f>IF(A628="","",IF(DATE(LEFT(D628,4),MID(D628,5,2),RIGHT(D628,2))=Helper1!$P$1,Helper1!$P$1,""))</f>
        <v/>
      </c>
      <c r="F628" s="3" t="str">
        <f>IF(A628="","",'ATP Fills'!G628)</f>
        <v/>
      </c>
      <c r="G628" t="str">
        <f>IF(A628="","",'ATP Fills'!H628)</f>
        <v/>
      </c>
      <c r="H628" t="str">
        <f>IF(A628="","",VLOOKUP(G628,表3_3[],2,0))</f>
        <v/>
      </c>
      <c r="I628" t="str">
        <f>IF(A628="","",VLOOKUP(G628,表3_3[],3,0))</f>
        <v/>
      </c>
      <c r="J628" t="str">
        <f>IF(A628="","",IF('ATP Fills'!I628="3M","",VLOOKUP(RIGHT('ATP Fills'!I628,2),Helper1!$O$36:$P$48,2,0)))</f>
        <v/>
      </c>
      <c r="K628" t="str">
        <f>IF(J628="","",LEFT('ATP Fills'!I628,4))</f>
        <v/>
      </c>
      <c r="L628" t="str">
        <f>IF(A628="","",IF('ATP Fills'!G628="LME",'ATP Fills'!I628,""))</f>
        <v/>
      </c>
      <c r="M628" t="str">
        <f t="shared" si="9"/>
        <v/>
      </c>
    </row>
    <row r="629" spans="1:13">
      <c r="A629" t="str">
        <f>IF('ATP Fills'!A629="","",IF('ATP Fills'!Q629="PHILLIPSG",'ATP Fills'!F629,""))</f>
        <v/>
      </c>
      <c r="B629" t="str">
        <f>IF(A629="","",'ATP Fills'!L629)</f>
        <v/>
      </c>
      <c r="C629" t="str">
        <f>IF(A629="","",'ATP Fills'!M629)</f>
        <v/>
      </c>
      <c r="D629" t="str">
        <f>IF(A629="","",'ATP Fills'!B629)</f>
        <v/>
      </c>
      <c r="E629" s="3" t="str">
        <f>IF(A629="","",IF(DATE(LEFT(D629,4),MID(D629,5,2),RIGHT(D629,2))=Helper1!$P$1,Helper1!$P$1,""))</f>
        <v/>
      </c>
      <c r="F629" s="3" t="str">
        <f>IF(A629="","",'ATP Fills'!G629)</f>
        <v/>
      </c>
      <c r="G629" t="str">
        <f>IF(A629="","",'ATP Fills'!H629)</f>
        <v/>
      </c>
      <c r="H629" t="str">
        <f>IF(A629="","",VLOOKUP(G629,表3_3[],2,0))</f>
        <v/>
      </c>
      <c r="I629" t="str">
        <f>IF(A629="","",VLOOKUP(G629,表3_3[],3,0))</f>
        <v/>
      </c>
      <c r="J629" t="str">
        <f>IF(A629="","",IF('ATP Fills'!I629="3M","",VLOOKUP(RIGHT('ATP Fills'!I629,2),Helper1!$O$36:$P$48,2,0)))</f>
        <v/>
      </c>
      <c r="K629" t="str">
        <f>IF(J629="","",LEFT('ATP Fills'!I629,4))</f>
        <v/>
      </c>
      <c r="L629" t="str">
        <f>IF(A629="","",IF('ATP Fills'!G629="LME",'ATP Fills'!I629,""))</f>
        <v/>
      </c>
      <c r="M629" t="str">
        <f t="shared" si="9"/>
        <v/>
      </c>
    </row>
    <row r="630" spans="1:13">
      <c r="A630" t="str">
        <f>IF('ATP Fills'!A630="","",IF('ATP Fills'!Q630="PHILLIPSG",'ATP Fills'!F630,""))</f>
        <v/>
      </c>
      <c r="B630" t="str">
        <f>IF(A630="","",'ATP Fills'!L630)</f>
        <v/>
      </c>
      <c r="C630" t="str">
        <f>IF(A630="","",'ATP Fills'!M630)</f>
        <v/>
      </c>
      <c r="D630" t="str">
        <f>IF(A630="","",'ATP Fills'!B630)</f>
        <v/>
      </c>
      <c r="E630" s="3" t="str">
        <f>IF(A630="","",IF(DATE(LEFT(D630,4),MID(D630,5,2),RIGHT(D630,2))=Helper1!$P$1,Helper1!$P$1,""))</f>
        <v/>
      </c>
      <c r="F630" s="3" t="str">
        <f>IF(A630="","",'ATP Fills'!G630)</f>
        <v/>
      </c>
      <c r="G630" t="str">
        <f>IF(A630="","",'ATP Fills'!H630)</f>
        <v/>
      </c>
      <c r="H630" t="str">
        <f>IF(A630="","",VLOOKUP(G630,表3_3[],2,0))</f>
        <v/>
      </c>
      <c r="I630" t="str">
        <f>IF(A630="","",VLOOKUP(G630,表3_3[],3,0))</f>
        <v/>
      </c>
      <c r="J630" t="str">
        <f>IF(A630="","",IF('ATP Fills'!I630="3M","",VLOOKUP(RIGHT('ATP Fills'!I630,2),Helper1!$O$36:$P$48,2,0)))</f>
        <v/>
      </c>
      <c r="K630" t="str">
        <f>IF(J630="","",LEFT('ATP Fills'!I630,4))</f>
        <v/>
      </c>
      <c r="L630" t="str">
        <f>IF(A630="","",IF('ATP Fills'!G630="LME",'ATP Fills'!I630,""))</f>
        <v/>
      </c>
      <c r="M630" t="str">
        <f t="shared" si="9"/>
        <v/>
      </c>
    </row>
    <row r="631" spans="1:13">
      <c r="A631" t="str">
        <f>IF('ATP Fills'!A631="","",IF('ATP Fills'!Q631="PHILLIPSG",'ATP Fills'!F631,""))</f>
        <v/>
      </c>
      <c r="B631" t="str">
        <f>IF(A631="","",'ATP Fills'!L631)</f>
        <v/>
      </c>
      <c r="C631" t="str">
        <f>IF(A631="","",'ATP Fills'!M631)</f>
        <v/>
      </c>
      <c r="D631" t="str">
        <f>IF(A631="","",'ATP Fills'!B631)</f>
        <v/>
      </c>
      <c r="E631" s="3" t="str">
        <f>IF(A631="","",IF(DATE(LEFT(D631,4),MID(D631,5,2),RIGHT(D631,2))=Helper1!$P$1,Helper1!$P$1,""))</f>
        <v/>
      </c>
      <c r="F631" s="3" t="str">
        <f>IF(A631="","",'ATP Fills'!G631)</f>
        <v/>
      </c>
      <c r="G631" t="str">
        <f>IF(A631="","",'ATP Fills'!H631)</f>
        <v/>
      </c>
      <c r="H631" t="str">
        <f>IF(A631="","",VLOOKUP(G631,表3_3[],2,0))</f>
        <v/>
      </c>
      <c r="I631" t="str">
        <f>IF(A631="","",VLOOKUP(G631,表3_3[],3,0))</f>
        <v/>
      </c>
      <c r="J631" t="str">
        <f>IF(A631="","",IF('ATP Fills'!I631="3M","",VLOOKUP(RIGHT('ATP Fills'!I631,2),Helper1!$O$36:$P$48,2,0)))</f>
        <v/>
      </c>
      <c r="K631" t="str">
        <f>IF(J631="","",LEFT('ATP Fills'!I631,4))</f>
        <v/>
      </c>
      <c r="L631" t="str">
        <f>IF(A631="","",IF('ATP Fills'!G631="LME",'ATP Fills'!I631,""))</f>
        <v/>
      </c>
      <c r="M631" t="str">
        <f t="shared" si="9"/>
        <v/>
      </c>
    </row>
    <row r="632" spans="1:13">
      <c r="A632" t="str">
        <f>IF('ATP Fills'!A632="","",IF('ATP Fills'!Q632="PHILLIPSG",'ATP Fills'!F632,""))</f>
        <v/>
      </c>
      <c r="B632" t="str">
        <f>IF(A632="","",'ATP Fills'!L632)</f>
        <v/>
      </c>
      <c r="C632" t="str">
        <f>IF(A632="","",'ATP Fills'!M632)</f>
        <v/>
      </c>
      <c r="D632" t="str">
        <f>IF(A632="","",'ATP Fills'!B632)</f>
        <v/>
      </c>
      <c r="E632" s="3" t="str">
        <f>IF(A632="","",IF(DATE(LEFT(D632,4),MID(D632,5,2),RIGHT(D632,2))=Helper1!$P$1,Helper1!$P$1,""))</f>
        <v/>
      </c>
      <c r="F632" s="3" t="str">
        <f>IF(A632="","",'ATP Fills'!G632)</f>
        <v/>
      </c>
      <c r="G632" t="str">
        <f>IF(A632="","",'ATP Fills'!H632)</f>
        <v/>
      </c>
      <c r="H632" t="str">
        <f>IF(A632="","",VLOOKUP(G632,表3_3[],2,0))</f>
        <v/>
      </c>
      <c r="I632" t="str">
        <f>IF(A632="","",VLOOKUP(G632,表3_3[],3,0))</f>
        <v/>
      </c>
      <c r="J632" t="str">
        <f>IF(A632="","",IF('ATP Fills'!I632="3M","",VLOOKUP(RIGHT('ATP Fills'!I632,2),Helper1!$O$36:$P$48,2,0)))</f>
        <v/>
      </c>
      <c r="K632" t="str">
        <f>IF(J632="","",LEFT('ATP Fills'!I632,4))</f>
        <v/>
      </c>
      <c r="L632" t="str">
        <f>IF(A632="","",IF('ATP Fills'!G632="LME",'ATP Fills'!I632,""))</f>
        <v/>
      </c>
      <c r="M632" t="str">
        <f t="shared" si="9"/>
        <v/>
      </c>
    </row>
    <row r="633" spans="1:13">
      <c r="A633" t="str">
        <f>IF('ATP Fills'!A633="","",IF('ATP Fills'!Q633="PHILLIPSG",'ATP Fills'!F633,""))</f>
        <v/>
      </c>
      <c r="B633" t="str">
        <f>IF(A633="","",'ATP Fills'!L633)</f>
        <v/>
      </c>
      <c r="C633" t="str">
        <f>IF(A633="","",'ATP Fills'!M633)</f>
        <v/>
      </c>
      <c r="D633" t="str">
        <f>IF(A633="","",'ATP Fills'!B633)</f>
        <v/>
      </c>
      <c r="E633" s="3" t="str">
        <f>IF(A633="","",IF(DATE(LEFT(D633,4),MID(D633,5,2),RIGHT(D633,2))=Helper1!$P$1,Helper1!$P$1,""))</f>
        <v/>
      </c>
      <c r="F633" s="3" t="str">
        <f>IF(A633="","",'ATP Fills'!G633)</f>
        <v/>
      </c>
      <c r="G633" t="str">
        <f>IF(A633="","",'ATP Fills'!H633)</f>
        <v/>
      </c>
      <c r="H633" t="str">
        <f>IF(A633="","",VLOOKUP(G633,表3_3[],2,0))</f>
        <v/>
      </c>
      <c r="I633" t="str">
        <f>IF(A633="","",VLOOKUP(G633,表3_3[],3,0))</f>
        <v/>
      </c>
      <c r="J633" t="str">
        <f>IF(A633="","",IF('ATP Fills'!I633="3M","",VLOOKUP(RIGHT('ATP Fills'!I633,2),Helper1!$O$36:$P$48,2,0)))</f>
        <v/>
      </c>
      <c r="K633" t="str">
        <f>IF(J633="","",LEFT('ATP Fills'!I633,4))</f>
        <v/>
      </c>
      <c r="L633" t="str">
        <f>IF(A633="","",IF('ATP Fills'!G633="LME",'ATP Fills'!I633,""))</f>
        <v/>
      </c>
      <c r="M633" t="str">
        <f t="shared" si="9"/>
        <v/>
      </c>
    </row>
    <row r="634" spans="1:13">
      <c r="A634" t="str">
        <f>IF('ATP Fills'!A634="","",IF('ATP Fills'!Q634="PHILLIPSG",'ATP Fills'!F634,""))</f>
        <v/>
      </c>
      <c r="B634" t="str">
        <f>IF(A634="","",'ATP Fills'!L634)</f>
        <v/>
      </c>
      <c r="C634" t="str">
        <f>IF(A634="","",'ATP Fills'!M634)</f>
        <v/>
      </c>
      <c r="D634" t="str">
        <f>IF(A634="","",'ATP Fills'!B634)</f>
        <v/>
      </c>
      <c r="E634" s="3" t="str">
        <f>IF(A634="","",IF(DATE(LEFT(D634,4),MID(D634,5,2),RIGHT(D634,2))=Helper1!$P$1,Helper1!$P$1,""))</f>
        <v/>
      </c>
      <c r="F634" s="3" t="str">
        <f>IF(A634="","",'ATP Fills'!G634)</f>
        <v/>
      </c>
      <c r="G634" t="str">
        <f>IF(A634="","",'ATP Fills'!H634)</f>
        <v/>
      </c>
      <c r="H634" t="str">
        <f>IF(A634="","",VLOOKUP(G634,表3_3[],2,0))</f>
        <v/>
      </c>
      <c r="I634" t="str">
        <f>IF(A634="","",VLOOKUP(G634,表3_3[],3,0))</f>
        <v/>
      </c>
      <c r="J634" t="str">
        <f>IF(A634="","",IF('ATP Fills'!I634="3M","",VLOOKUP(RIGHT('ATP Fills'!I634,2),Helper1!$O$36:$P$48,2,0)))</f>
        <v/>
      </c>
      <c r="K634" t="str">
        <f>IF(J634="","",LEFT('ATP Fills'!I634,4))</f>
        <v/>
      </c>
      <c r="L634" t="str">
        <f>IF(A634="","",IF('ATP Fills'!G634="LME",'ATP Fills'!I634,""))</f>
        <v/>
      </c>
      <c r="M634" t="str">
        <f t="shared" si="9"/>
        <v/>
      </c>
    </row>
    <row r="635" spans="1:13">
      <c r="A635" t="str">
        <f>IF('ATP Fills'!A635="","",IF('ATP Fills'!Q635="PHILLIPSG",'ATP Fills'!F635,""))</f>
        <v/>
      </c>
      <c r="B635" t="str">
        <f>IF(A635="","",'ATP Fills'!L635)</f>
        <v/>
      </c>
      <c r="C635" t="str">
        <f>IF(A635="","",'ATP Fills'!M635)</f>
        <v/>
      </c>
      <c r="D635" t="str">
        <f>IF(A635="","",'ATP Fills'!B635)</f>
        <v/>
      </c>
      <c r="E635" s="3" t="str">
        <f>IF(A635="","",IF(DATE(LEFT(D635,4),MID(D635,5,2),RIGHT(D635,2))=Helper1!$P$1,Helper1!$P$1,""))</f>
        <v/>
      </c>
      <c r="F635" s="3" t="str">
        <f>IF(A635="","",'ATP Fills'!G635)</f>
        <v/>
      </c>
      <c r="G635" t="str">
        <f>IF(A635="","",'ATP Fills'!H635)</f>
        <v/>
      </c>
      <c r="H635" t="str">
        <f>IF(A635="","",VLOOKUP(G635,表3_3[],2,0))</f>
        <v/>
      </c>
      <c r="I635" t="str">
        <f>IF(A635="","",VLOOKUP(G635,表3_3[],3,0))</f>
        <v/>
      </c>
      <c r="J635" t="str">
        <f>IF(A635="","",IF('ATP Fills'!I635="3M","",VLOOKUP(RIGHT('ATP Fills'!I635,2),Helper1!$O$36:$P$48,2,0)))</f>
        <v/>
      </c>
      <c r="K635" t="str">
        <f>IF(J635="","",LEFT('ATP Fills'!I635,4))</f>
        <v/>
      </c>
      <c r="L635" t="str">
        <f>IF(A635="","",IF('ATP Fills'!G635="LME",'ATP Fills'!I635,""))</f>
        <v/>
      </c>
      <c r="M635" t="str">
        <f t="shared" si="9"/>
        <v/>
      </c>
    </row>
    <row r="636" spans="1:13">
      <c r="A636" t="str">
        <f>IF('ATP Fills'!A636="","",IF('ATP Fills'!Q636="PHILLIPSG",'ATP Fills'!F636,""))</f>
        <v/>
      </c>
      <c r="B636" t="str">
        <f>IF(A636="","",'ATP Fills'!L636)</f>
        <v/>
      </c>
      <c r="C636" t="str">
        <f>IF(A636="","",'ATP Fills'!M636)</f>
        <v/>
      </c>
      <c r="D636" t="str">
        <f>IF(A636="","",'ATP Fills'!B636)</f>
        <v/>
      </c>
      <c r="E636" s="3" t="str">
        <f>IF(A636="","",IF(DATE(LEFT(D636,4),MID(D636,5,2),RIGHT(D636,2))=Helper1!$P$1,Helper1!$P$1,""))</f>
        <v/>
      </c>
      <c r="F636" s="3" t="str">
        <f>IF(A636="","",'ATP Fills'!G636)</f>
        <v/>
      </c>
      <c r="G636" t="str">
        <f>IF(A636="","",'ATP Fills'!H636)</f>
        <v/>
      </c>
      <c r="H636" t="str">
        <f>IF(A636="","",VLOOKUP(G636,表3_3[],2,0))</f>
        <v/>
      </c>
      <c r="I636" t="str">
        <f>IF(A636="","",VLOOKUP(G636,表3_3[],3,0))</f>
        <v/>
      </c>
      <c r="J636" t="str">
        <f>IF(A636="","",IF('ATP Fills'!I636="3M","",VLOOKUP(RIGHT('ATP Fills'!I636,2),Helper1!$O$36:$P$48,2,0)))</f>
        <v/>
      </c>
      <c r="K636" t="str">
        <f>IF(J636="","",LEFT('ATP Fills'!I636,4))</f>
        <v/>
      </c>
      <c r="L636" t="str">
        <f>IF(A636="","",IF('ATP Fills'!G636="LME",'ATP Fills'!I636,""))</f>
        <v/>
      </c>
      <c r="M636" t="str">
        <f t="shared" si="9"/>
        <v/>
      </c>
    </row>
    <row r="637" spans="1:13">
      <c r="A637" t="str">
        <f>IF('ATP Fills'!A637="","",IF('ATP Fills'!Q637="PHILLIPSG",'ATP Fills'!F637,""))</f>
        <v/>
      </c>
      <c r="B637" t="str">
        <f>IF(A637="","",'ATP Fills'!L637)</f>
        <v/>
      </c>
      <c r="C637" t="str">
        <f>IF(A637="","",'ATP Fills'!M637)</f>
        <v/>
      </c>
      <c r="D637" t="str">
        <f>IF(A637="","",'ATP Fills'!B637)</f>
        <v/>
      </c>
      <c r="E637" s="3" t="str">
        <f>IF(A637="","",IF(DATE(LEFT(D637,4),MID(D637,5,2),RIGHT(D637,2))=Helper1!$P$1,Helper1!$P$1,""))</f>
        <v/>
      </c>
      <c r="F637" s="3" t="str">
        <f>IF(A637="","",'ATP Fills'!G637)</f>
        <v/>
      </c>
      <c r="G637" t="str">
        <f>IF(A637="","",'ATP Fills'!H637)</f>
        <v/>
      </c>
      <c r="H637" t="str">
        <f>IF(A637="","",VLOOKUP(G637,表3_3[],2,0))</f>
        <v/>
      </c>
      <c r="I637" t="str">
        <f>IF(A637="","",VLOOKUP(G637,表3_3[],3,0))</f>
        <v/>
      </c>
      <c r="J637" t="str">
        <f>IF(A637="","",IF('ATP Fills'!I637="3M","",VLOOKUP(RIGHT('ATP Fills'!I637,2),Helper1!$O$36:$P$48,2,0)))</f>
        <v/>
      </c>
      <c r="K637" t="str">
        <f>IF(J637="","",LEFT('ATP Fills'!I637,4))</f>
        <v/>
      </c>
      <c r="L637" t="str">
        <f>IF(A637="","",IF('ATP Fills'!G637="LME",'ATP Fills'!I637,""))</f>
        <v/>
      </c>
      <c r="M637" t="str">
        <f t="shared" si="9"/>
        <v/>
      </c>
    </row>
    <row r="638" spans="1:13">
      <c r="A638" t="str">
        <f>IF('ATP Fills'!A638="","",IF('ATP Fills'!Q638="PHILLIPSG",'ATP Fills'!F638,""))</f>
        <v/>
      </c>
      <c r="B638" t="str">
        <f>IF(A638="","",'ATP Fills'!L638)</f>
        <v/>
      </c>
      <c r="C638" t="str">
        <f>IF(A638="","",'ATP Fills'!M638)</f>
        <v/>
      </c>
      <c r="D638" t="str">
        <f>IF(A638="","",'ATP Fills'!B638)</f>
        <v/>
      </c>
      <c r="E638" s="3" t="str">
        <f>IF(A638="","",IF(DATE(LEFT(D638,4),MID(D638,5,2),RIGHT(D638,2))=Helper1!$P$1,Helper1!$P$1,""))</f>
        <v/>
      </c>
      <c r="F638" s="3" t="str">
        <f>IF(A638="","",'ATP Fills'!G638)</f>
        <v/>
      </c>
      <c r="G638" t="str">
        <f>IF(A638="","",'ATP Fills'!H638)</f>
        <v/>
      </c>
      <c r="H638" t="str">
        <f>IF(A638="","",VLOOKUP(G638,表3_3[],2,0))</f>
        <v/>
      </c>
      <c r="I638" t="str">
        <f>IF(A638="","",VLOOKUP(G638,表3_3[],3,0))</f>
        <v/>
      </c>
      <c r="J638" t="str">
        <f>IF(A638="","",IF('ATP Fills'!I638="3M","",VLOOKUP(RIGHT('ATP Fills'!I638,2),Helper1!$O$36:$P$48,2,0)))</f>
        <v/>
      </c>
      <c r="K638" t="str">
        <f>IF(J638="","",LEFT('ATP Fills'!I638,4))</f>
        <v/>
      </c>
      <c r="L638" t="str">
        <f>IF(A638="","",IF('ATP Fills'!G638="LME",'ATP Fills'!I638,""))</f>
        <v/>
      </c>
      <c r="M638" t="str">
        <f t="shared" si="9"/>
        <v/>
      </c>
    </row>
    <row r="639" spans="1:13">
      <c r="A639" t="str">
        <f>IF('ATP Fills'!A639="","",IF('ATP Fills'!Q639="PHILLIPSG",'ATP Fills'!F639,""))</f>
        <v/>
      </c>
      <c r="B639" t="str">
        <f>IF(A639="","",'ATP Fills'!L639)</f>
        <v/>
      </c>
      <c r="C639" t="str">
        <f>IF(A639="","",'ATP Fills'!M639)</f>
        <v/>
      </c>
      <c r="D639" t="str">
        <f>IF(A639="","",'ATP Fills'!B639)</f>
        <v/>
      </c>
      <c r="E639" s="3" t="str">
        <f>IF(A639="","",IF(DATE(LEFT(D639,4),MID(D639,5,2),RIGHT(D639,2))=Helper1!$P$1,Helper1!$P$1,""))</f>
        <v/>
      </c>
      <c r="F639" s="3" t="str">
        <f>IF(A639="","",'ATP Fills'!G639)</f>
        <v/>
      </c>
      <c r="G639" t="str">
        <f>IF(A639="","",'ATP Fills'!H639)</f>
        <v/>
      </c>
      <c r="H639" t="str">
        <f>IF(A639="","",VLOOKUP(G639,表3_3[],2,0))</f>
        <v/>
      </c>
      <c r="I639" t="str">
        <f>IF(A639="","",VLOOKUP(G639,表3_3[],3,0))</f>
        <v/>
      </c>
      <c r="J639" t="str">
        <f>IF(A639="","",IF('ATP Fills'!I639="3M","",VLOOKUP(RIGHT('ATP Fills'!I639,2),Helper1!$O$36:$P$48,2,0)))</f>
        <v/>
      </c>
      <c r="K639" t="str">
        <f>IF(J639="","",LEFT('ATP Fills'!I639,4))</f>
        <v/>
      </c>
      <c r="L639" t="str">
        <f>IF(A639="","",IF('ATP Fills'!G639="LME",'ATP Fills'!I639,""))</f>
        <v/>
      </c>
      <c r="M639" t="str">
        <f t="shared" si="9"/>
        <v/>
      </c>
    </row>
    <row r="640" spans="1:13">
      <c r="A640" t="str">
        <f>IF('ATP Fills'!A640="","",IF('ATP Fills'!Q640="PHILLIPSG",'ATP Fills'!F640,""))</f>
        <v/>
      </c>
      <c r="B640" t="str">
        <f>IF(A640="","",'ATP Fills'!L640)</f>
        <v/>
      </c>
      <c r="C640" t="str">
        <f>IF(A640="","",'ATP Fills'!M640)</f>
        <v/>
      </c>
      <c r="D640" t="str">
        <f>IF(A640="","",'ATP Fills'!B640)</f>
        <v/>
      </c>
      <c r="E640" s="3" t="str">
        <f>IF(A640="","",IF(DATE(LEFT(D640,4),MID(D640,5,2),RIGHT(D640,2))=Helper1!$P$1,Helper1!$P$1,""))</f>
        <v/>
      </c>
      <c r="F640" s="3" t="str">
        <f>IF(A640="","",'ATP Fills'!G640)</f>
        <v/>
      </c>
      <c r="G640" t="str">
        <f>IF(A640="","",'ATP Fills'!H640)</f>
        <v/>
      </c>
      <c r="H640" t="str">
        <f>IF(A640="","",VLOOKUP(G640,表3_3[],2,0))</f>
        <v/>
      </c>
      <c r="I640" t="str">
        <f>IF(A640="","",VLOOKUP(G640,表3_3[],3,0))</f>
        <v/>
      </c>
      <c r="J640" t="str">
        <f>IF(A640="","",IF('ATP Fills'!I640="3M","",VLOOKUP(RIGHT('ATP Fills'!I640,2),Helper1!$O$36:$P$48,2,0)))</f>
        <v/>
      </c>
      <c r="K640" t="str">
        <f>IF(J640="","",LEFT('ATP Fills'!I640,4))</f>
        <v/>
      </c>
      <c r="L640" t="str">
        <f>IF(A640="","",IF('ATP Fills'!G640="LME",'ATP Fills'!I640,""))</f>
        <v/>
      </c>
      <c r="M640" t="str">
        <f t="shared" si="9"/>
        <v/>
      </c>
    </row>
    <row r="641" spans="1:13">
      <c r="A641" t="str">
        <f>IF('ATP Fills'!A641="","",IF('ATP Fills'!Q641="PHILLIPSG",'ATP Fills'!F641,""))</f>
        <v/>
      </c>
      <c r="B641" t="str">
        <f>IF(A641="","",'ATP Fills'!L641)</f>
        <v/>
      </c>
      <c r="C641" t="str">
        <f>IF(A641="","",'ATP Fills'!M641)</f>
        <v/>
      </c>
      <c r="D641" t="str">
        <f>IF(A641="","",'ATP Fills'!B641)</f>
        <v/>
      </c>
      <c r="E641" s="3" t="str">
        <f>IF(A641="","",IF(DATE(LEFT(D641,4),MID(D641,5,2),RIGHT(D641,2))=Helper1!$P$1,Helper1!$P$1,""))</f>
        <v/>
      </c>
      <c r="F641" s="3" t="str">
        <f>IF(A641="","",'ATP Fills'!G641)</f>
        <v/>
      </c>
      <c r="G641" t="str">
        <f>IF(A641="","",'ATP Fills'!H641)</f>
        <v/>
      </c>
      <c r="H641" t="str">
        <f>IF(A641="","",VLOOKUP(G641,表3_3[],2,0))</f>
        <v/>
      </c>
      <c r="I641" t="str">
        <f>IF(A641="","",VLOOKUP(G641,表3_3[],3,0))</f>
        <v/>
      </c>
      <c r="J641" t="str">
        <f>IF(A641="","",IF('ATP Fills'!I641="3M","",VLOOKUP(RIGHT('ATP Fills'!I641,2),Helper1!$O$36:$P$48,2,0)))</f>
        <v/>
      </c>
      <c r="K641" t="str">
        <f>IF(J641="","",LEFT('ATP Fills'!I641,4))</f>
        <v/>
      </c>
      <c r="L641" t="str">
        <f>IF(A641="","",IF('ATP Fills'!G641="LME",'ATP Fills'!I641,""))</f>
        <v/>
      </c>
      <c r="M641" t="str">
        <f t="shared" si="9"/>
        <v/>
      </c>
    </row>
    <row r="642" spans="1:13">
      <c r="A642" t="str">
        <f>IF('ATP Fills'!A642="","",IF('ATP Fills'!Q642="PHILLIPSG",'ATP Fills'!F642,""))</f>
        <v/>
      </c>
      <c r="B642" t="str">
        <f>IF(A642="","",'ATP Fills'!L642)</f>
        <v/>
      </c>
      <c r="C642" t="str">
        <f>IF(A642="","",'ATP Fills'!M642)</f>
        <v/>
      </c>
      <c r="D642" t="str">
        <f>IF(A642="","",'ATP Fills'!B642)</f>
        <v/>
      </c>
      <c r="E642" s="3" t="str">
        <f>IF(A642="","",IF(DATE(LEFT(D642,4),MID(D642,5,2),RIGHT(D642,2))=Helper1!$P$1,Helper1!$P$1,""))</f>
        <v/>
      </c>
      <c r="F642" s="3" t="str">
        <f>IF(A642="","",'ATP Fills'!G642)</f>
        <v/>
      </c>
      <c r="G642" t="str">
        <f>IF(A642="","",'ATP Fills'!H642)</f>
        <v/>
      </c>
      <c r="H642" t="str">
        <f>IF(A642="","",VLOOKUP(G642,表3_3[],2,0))</f>
        <v/>
      </c>
      <c r="I642" t="str">
        <f>IF(A642="","",VLOOKUP(G642,表3_3[],3,0))</f>
        <v/>
      </c>
      <c r="J642" t="str">
        <f>IF(A642="","",IF('ATP Fills'!I642="3M","",VLOOKUP(RIGHT('ATP Fills'!I642,2),Helper1!$O$36:$P$48,2,0)))</f>
        <v/>
      </c>
      <c r="K642" t="str">
        <f>IF(J642="","",LEFT('ATP Fills'!I642,4))</f>
        <v/>
      </c>
      <c r="L642" t="str">
        <f>IF(A642="","",IF('ATP Fills'!G642="LME",'ATP Fills'!I642,""))</f>
        <v/>
      </c>
      <c r="M642" t="str">
        <f t="shared" si="9"/>
        <v/>
      </c>
    </row>
    <row r="643" spans="1:13">
      <c r="A643" t="str">
        <f>IF('ATP Fills'!A643="","",IF('ATP Fills'!Q643="PHILLIPSG",'ATP Fills'!F643,""))</f>
        <v/>
      </c>
      <c r="B643" t="str">
        <f>IF(A643="","",'ATP Fills'!L643)</f>
        <v/>
      </c>
      <c r="C643" t="str">
        <f>IF(A643="","",'ATP Fills'!M643)</f>
        <v/>
      </c>
      <c r="D643" t="str">
        <f>IF(A643="","",'ATP Fills'!B643)</f>
        <v/>
      </c>
      <c r="E643" s="3" t="str">
        <f>IF(A643="","",IF(DATE(LEFT(D643,4),MID(D643,5,2),RIGHT(D643,2))=Helper1!$P$1,Helper1!$P$1,""))</f>
        <v/>
      </c>
      <c r="F643" s="3" t="str">
        <f>IF(A643="","",'ATP Fills'!G643)</f>
        <v/>
      </c>
      <c r="G643" t="str">
        <f>IF(A643="","",'ATP Fills'!H643)</f>
        <v/>
      </c>
      <c r="H643" t="str">
        <f>IF(A643="","",VLOOKUP(G643,表3_3[],2,0))</f>
        <v/>
      </c>
      <c r="I643" t="str">
        <f>IF(A643="","",VLOOKUP(G643,表3_3[],3,0))</f>
        <v/>
      </c>
      <c r="J643" t="str">
        <f>IF(A643="","",IF('ATP Fills'!I643="3M","",VLOOKUP(RIGHT('ATP Fills'!I643,2),Helper1!$O$36:$P$48,2,0)))</f>
        <v/>
      </c>
      <c r="K643" t="str">
        <f>IF(J643="","",LEFT('ATP Fills'!I643,4))</f>
        <v/>
      </c>
      <c r="L643" t="str">
        <f>IF(A643="","",IF('ATP Fills'!G643="LME",'ATP Fills'!I643,""))</f>
        <v/>
      </c>
      <c r="M643" t="str">
        <f t="shared" ref="M643:M706" si="10">IF(A643="","",IF(F643="LME",F643&amp;"-"&amp;I643&amp;"-"&amp;L643,J643&amp;"-"&amp;K643&amp;"-"&amp;I643))</f>
        <v/>
      </c>
    </row>
    <row r="644" spans="1:13">
      <c r="A644" t="str">
        <f>IF('ATP Fills'!A644="","",IF('ATP Fills'!Q644="PHILLIPSG",'ATP Fills'!F644,""))</f>
        <v/>
      </c>
      <c r="B644" t="str">
        <f>IF(A644="","",'ATP Fills'!L644)</f>
        <v/>
      </c>
      <c r="C644" t="str">
        <f>IF(A644="","",'ATP Fills'!M644)</f>
        <v/>
      </c>
      <c r="D644" t="str">
        <f>IF(A644="","",'ATP Fills'!B644)</f>
        <v/>
      </c>
      <c r="E644" s="3" t="str">
        <f>IF(A644="","",IF(DATE(LEFT(D644,4),MID(D644,5,2),RIGHT(D644,2))=Helper1!$P$1,Helper1!$P$1,""))</f>
        <v/>
      </c>
      <c r="F644" s="3" t="str">
        <f>IF(A644="","",'ATP Fills'!G644)</f>
        <v/>
      </c>
      <c r="G644" t="str">
        <f>IF(A644="","",'ATP Fills'!H644)</f>
        <v/>
      </c>
      <c r="H644" t="str">
        <f>IF(A644="","",VLOOKUP(G644,表3_3[],2,0))</f>
        <v/>
      </c>
      <c r="I644" t="str">
        <f>IF(A644="","",VLOOKUP(G644,表3_3[],3,0))</f>
        <v/>
      </c>
      <c r="J644" t="str">
        <f>IF(A644="","",IF('ATP Fills'!I644="3M","",VLOOKUP(RIGHT('ATP Fills'!I644,2),Helper1!$O$36:$P$48,2,0)))</f>
        <v/>
      </c>
      <c r="K644" t="str">
        <f>IF(J644="","",LEFT('ATP Fills'!I644,4))</f>
        <v/>
      </c>
      <c r="L644" t="str">
        <f>IF(A644="","",IF('ATP Fills'!G644="LME",'ATP Fills'!I644,""))</f>
        <v/>
      </c>
      <c r="M644" t="str">
        <f t="shared" si="10"/>
        <v/>
      </c>
    </row>
    <row r="645" spans="1:13">
      <c r="A645" t="str">
        <f>IF('ATP Fills'!A645="","",IF('ATP Fills'!Q645="PHILLIPSG",'ATP Fills'!F645,""))</f>
        <v/>
      </c>
      <c r="B645" t="str">
        <f>IF(A645="","",'ATP Fills'!L645)</f>
        <v/>
      </c>
      <c r="C645" t="str">
        <f>IF(A645="","",'ATP Fills'!M645)</f>
        <v/>
      </c>
      <c r="D645" t="str">
        <f>IF(A645="","",'ATP Fills'!B645)</f>
        <v/>
      </c>
      <c r="E645" s="3" t="str">
        <f>IF(A645="","",IF(DATE(LEFT(D645,4),MID(D645,5,2),RIGHT(D645,2))=Helper1!$P$1,Helper1!$P$1,""))</f>
        <v/>
      </c>
      <c r="F645" s="3" t="str">
        <f>IF(A645="","",'ATP Fills'!G645)</f>
        <v/>
      </c>
      <c r="G645" t="str">
        <f>IF(A645="","",'ATP Fills'!H645)</f>
        <v/>
      </c>
      <c r="H645" t="str">
        <f>IF(A645="","",VLOOKUP(G645,表3_3[],2,0))</f>
        <v/>
      </c>
      <c r="I645" t="str">
        <f>IF(A645="","",VLOOKUP(G645,表3_3[],3,0))</f>
        <v/>
      </c>
      <c r="J645" t="str">
        <f>IF(A645="","",IF('ATP Fills'!I645="3M","",VLOOKUP(RIGHT('ATP Fills'!I645,2),Helper1!$O$36:$P$48,2,0)))</f>
        <v/>
      </c>
      <c r="K645" t="str">
        <f>IF(J645="","",LEFT('ATP Fills'!I645,4))</f>
        <v/>
      </c>
      <c r="L645" t="str">
        <f>IF(A645="","",IF('ATP Fills'!G645="LME",'ATP Fills'!I645,""))</f>
        <v/>
      </c>
      <c r="M645" t="str">
        <f t="shared" si="10"/>
        <v/>
      </c>
    </row>
    <row r="646" spans="1:13">
      <c r="A646" t="str">
        <f>IF('ATP Fills'!A646="","",IF('ATP Fills'!Q646="PHILLIPSG",'ATP Fills'!F646,""))</f>
        <v/>
      </c>
      <c r="B646" t="str">
        <f>IF(A646="","",'ATP Fills'!L646)</f>
        <v/>
      </c>
      <c r="C646" t="str">
        <f>IF(A646="","",'ATP Fills'!M646)</f>
        <v/>
      </c>
      <c r="D646" t="str">
        <f>IF(A646="","",'ATP Fills'!B646)</f>
        <v/>
      </c>
      <c r="E646" s="3" t="str">
        <f>IF(A646="","",IF(DATE(LEFT(D646,4),MID(D646,5,2),RIGHT(D646,2))=Helper1!$P$1,Helper1!$P$1,""))</f>
        <v/>
      </c>
      <c r="F646" s="3" t="str">
        <f>IF(A646="","",'ATP Fills'!G646)</f>
        <v/>
      </c>
      <c r="G646" t="str">
        <f>IF(A646="","",'ATP Fills'!H646)</f>
        <v/>
      </c>
      <c r="H646" t="str">
        <f>IF(A646="","",VLOOKUP(G646,表3_3[],2,0))</f>
        <v/>
      </c>
      <c r="I646" t="str">
        <f>IF(A646="","",VLOOKUP(G646,表3_3[],3,0))</f>
        <v/>
      </c>
      <c r="J646" t="str">
        <f>IF(A646="","",IF('ATP Fills'!I646="3M","",VLOOKUP(RIGHT('ATP Fills'!I646,2),Helper1!$O$36:$P$48,2,0)))</f>
        <v/>
      </c>
      <c r="K646" t="str">
        <f>IF(J646="","",LEFT('ATP Fills'!I646,4))</f>
        <v/>
      </c>
      <c r="L646" t="str">
        <f>IF(A646="","",IF('ATP Fills'!G646="LME",'ATP Fills'!I646,""))</f>
        <v/>
      </c>
      <c r="M646" t="str">
        <f t="shared" si="10"/>
        <v/>
      </c>
    </row>
    <row r="647" spans="1:13">
      <c r="A647" t="str">
        <f>IF('ATP Fills'!A647="","",IF('ATP Fills'!Q647="PHILLIPSG",'ATP Fills'!F647,""))</f>
        <v/>
      </c>
      <c r="B647" t="str">
        <f>IF(A647="","",'ATP Fills'!L647)</f>
        <v/>
      </c>
      <c r="C647" t="str">
        <f>IF(A647="","",'ATP Fills'!M647)</f>
        <v/>
      </c>
      <c r="D647" t="str">
        <f>IF(A647="","",'ATP Fills'!B647)</f>
        <v/>
      </c>
      <c r="E647" s="3" t="str">
        <f>IF(A647="","",IF(DATE(LEFT(D647,4),MID(D647,5,2),RIGHT(D647,2))=Helper1!$P$1,Helper1!$P$1,""))</f>
        <v/>
      </c>
      <c r="F647" s="3" t="str">
        <f>IF(A647="","",'ATP Fills'!G647)</f>
        <v/>
      </c>
      <c r="G647" t="str">
        <f>IF(A647="","",'ATP Fills'!H647)</f>
        <v/>
      </c>
      <c r="H647" t="str">
        <f>IF(A647="","",VLOOKUP(G647,表3_3[],2,0))</f>
        <v/>
      </c>
      <c r="I647" t="str">
        <f>IF(A647="","",VLOOKUP(G647,表3_3[],3,0))</f>
        <v/>
      </c>
      <c r="J647" t="str">
        <f>IF(A647="","",IF('ATP Fills'!I647="3M","",VLOOKUP(RIGHT('ATP Fills'!I647,2),Helper1!$O$36:$P$48,2,0)))</f>
        <v/>
      </c>
      <c r="K647" t="str">
        <f>IF(J647="","",LEFT('ATP Fills'!I647,4))</f>
        <v/>
      </c>
      <c r="L647" t="str">
        <f>IF(A647="","",IF('ATP Fills'!G647="LME",'ATP Fills'!I647,""))</f>
        <v/>
      </c>
      <c r="M647" t="str">
        <f t="shared" si="10"/>
        <v/>
      </c>
    </row>
    <row r="648" spans="1:13">
      <c r="A648" t="str">
        <f>IF('ATP Fills'!A648="","",IF('ATP Fills'!Q648="PHILLIPSG",'ATP Fills'!F648,""))</f>
        <v/>
      </c>
      <c r="B648" t="str">
        <f>IF(A648="","",'ATP Fills'!L648)</f>
        <v/>
      </c>
      <c r="C648" t="str">
        <f>IF(A648="","",'ATP Fills'!M648)</f>
        <v/>
      </c>
      <c r="D648" t="str">
        <f>IF(A648="","",'ATP Fills'!B648)</f>
        <v/>
      </c>
      <c r="E648" s="3" t="str">
        <f>IF(A648="","",IF(DATE(LEFT(D648,4),MID(D648,5,2),RIGHT(D648,2))=Helper1!$P$1,Helper1!$P$1,""))</f>
        <v/>
      </c>
      <c r="F648" s="3" t="str">
        <f>IF(A648="","",'ATP Fills'!G648)</f>
        <v/>
      </c>
      <c r="G648" t="str">
        <f>IF(A648="","",'ATP Fills'!H648)</f>
        <v/>
      </c>
      <c r="H648" t="str">
        <f>IF(A648="","",VLOOKUP(G648,表3_3[],2,0))</f>
        <v/>
      </c>
      <c r="I648" t="str">
        <f>IF(A648="","",VLOOKUP(G648,表3_3[],3,0))</f>
        <v/>
      </c>
      <c r="J648" t="str">
        <f>IF(A648="","",IF('ATP Fills'!I648="3M","",VLOOKUP(RIGHT('ATP Fills'!I648,2),Helper1!$O$36:$P$48,2,0)))</f>
        <v/>
      </c>
      <c r="K648" t="str">
        <f>IF(J648="","",LEFT('ATP Fills'!I648,4))</f>
        <v/>
      </c>
      <c r="L648" t="str">
        <f>IF(A648="","",IF('ATP Fills'!G648="LME",'ATP Fills'!I648,""))</f>
        <v/>
      </c>
      <c r="M648" t="str">
        <f t="shared" si="10"/>
        <v/>
      </c>
    </row>
    <row r="649" spans="1:13">
      <c r="A649" t="str">
        <f>IF('ATP Fills'!A649="","",IF('ATP Fills'!Q649="PHILLIPSG",'ATP Fills'!F649,""))</f>
        <v/>
      </c>
      <c r="B649" t="str">
        <f>IF(A649="","",'ATP Fills'!L649)</f>
        <v/>
      </c>
      <c r="C649" t="str">
        <f>IF(A649="","",'ATP Fills'!M649)</f>
        <v/>
      </c>
      <c r="D649" t="str">
        <f>IF(A649="","",'ATP Fills'!B649)</f>
        <v/>
      </c>
      <c r="E649" s="3" t="str">
        <f>IF(A649="","",IF(DATE(LEFT(D649,4),MID(D649,5,2),RIGHT(D649,2))=Helper1!$P$1,Helper1!$P$1,""))</f>
        <v/>
      </c>
      <c r="F649" s="3" t="str">
        <f>IF(A649="","",'ATP Fills'!G649)</f>
        <v/>
      </c>
      <c r="G649" t="str">
        <f>IF(A649="","",'ATP Fills'!H649)</f>
        <v/>
      </c>
      <c r="H649" t="str">
        <f>IF(A649="","",VLOOKUP(G649,表3_3[],2,0))</f>
        <v/>
      </c>
      <c r="I649" t="str">
        <f>IF(A649="","",VLOOKUP(G649,表3_3[],3,0))</f>
        <v/>
      </c>
      <c r="J649" t="str">
        <f>IF(A649="","",IF('ATP Fills'!I649="3M","",VLOOKUP(RIGHT('ATP Fills'!I649,2),Helper1!$O$36:$P$48,2,0)))</f>
        <v/>
      </c>
      <c r="K649" t="str">
        <f>IF(J649="","",LEFT('ATP Fills'!I649,4))</f>
        <v/>
      </c>
      <c r="L649" t="str">
        <f>IF(A649="","",IF('ATP Fills'!G649="LME",'ATP Fills'!I649,""))</f>
        <v/>
      </c>
      <c r="M649" t="str">
        <f t="shared" si="10"/>
        <v/>
      </c>
    </row>
    <row r="650" spans="1:13">
      <c r="A650" t="str">
        <f>IF('ATP Fills'!A650="","",IF('ATP Fills'!Q650="PHILLIPSG",'ATP Fills'!F650,""))</f>
        <v/>
      </c>
      <c r="B650" t="str">
        <f>IF(A650="","",'ATP Fills'!L650)</f>
        <v/>
      </c>
      <c r="C650" t="str">
        <f>IF(A650="","",'ATP Fills'!M650)</f>
        <v/>
      </c>
      <c r="D650" t="str">
        <f>IF(A650="","",'ATP Fills'!B650)</f>
        <v/>
      </c>
      <c r="E650" s="3" t="str">
        <f>IF(A650="","",IF(DATE(LEFT(D650,4),MID(D650,5,2),RIGHT(D650,2))=Helper1!$P$1,Helper1!$P$1,""))</f>
        <v/>
      </c>
      <c r="F650" s="3" t="str">
        <f>IF(A650="","",'ATP Fills'!G650)</f>
        <v/>
      </c>
      <c r="G650" t="str">
        <f>IF(A650="","",'ATP Fills'!H650)</f>
        <v/>
      </c>
      <c r="H650" t="str">
        <f>IF(A650="","",VLOOKUP(G650,表3_3[],2,0))</f>
        <v/>
      </c>
      <c r="I650" t="str">
        <f>IF(A650="","",VLOOKUP(G650,表3_3[],3,0))</f>
        <v/>
      </c>
      <c r="J650" t="str">
        <f>IF(A650="","",IF('ATP Fills'!I650="3M","",VLOOKUP(RIGHT('ATP Fills'!I650,2),Helper1!$O$36:$P$48,2,0)))</f>
        <v/>
      </c>
      <c r="K650" t="str">
        <f>IF(J650="","",LEFT('ATP Fills'!I650,4))</f>
        <v/>
      </c>
      <c r="L650" t="str">
        <f>IF(A650="","",IF('ATP Fills'!G650="LME",'ATP Fills'!I650,""))</f>
        <v/>
      </c>
      <c r="M650" t="str">
        <f t="shared" si="10"/>
        <v/>
      </c>
    </row>
    <row r="651" spans="1:13">
      <c r="A651" t="str">
        <f>IF('ATP Fills'!A651="","",IF('ATP Fills'!Q651="PHILLIPSG",'ATP Fills'!F651,""))</f>
        <v/>
      </c>
      <c r="B651" t="str">
        <f>IF(A651="","",'ATP Fills'!L651)</f>
        <v/>
      </c>
      <c r="C651" t="str">
        <f>IF(A651="","",'ATP Fills'!M651)</f>
        <v/>
      </c>
      <c r="D651" t="str">
        <f>IF(A651="","",'ATP Fills'!B651)</f>
        <v/>
      </c>
      <c r="E651" s="3" t="str">
        <f>IF(A651="","",IF(DATE(LEFT(D651,4),MID(D651,5,2),RIGHT(D651,2))=Helper1!$P$1,Helper1!$P$1,""))</f>
        <v/>
      </c>
      <c r="F651" s="3" t="str">
        <f>IF(A651="","",'ATP Fills'!G651)</f>
        <v/>
      </c>
      <c r="G651" t="str">
        <f>IF(A651="","",'ATP Fills'!H651)</f>
        <v/>
      </c>
      <c r="H651" t="str">
        <f>IF(A651="","",VLOOKUP(G651,表3_3[],2,0))</f>
        <v/>
      </c>
      <c r="I651" t="str">
        <f>IF(A651="","",VLOOKUP(G651,表3_3[],3,0))</f>
        <v/>
      </c>
      <c r="J651" t="str">
        <f>IF(A651="","",IF('ATP Fills'!I651="3M","",VLOOKUP(RIGHT('ATP Fills'!I651,2),Helper1!$O$36:$P$48,2,0)))</f>
        <v/>
      </c>
      <c r="K651" t="str">
        <f>IF(J651="","",LEFT('ATP Fills'!I651,4))</f>
        <v/>
      </c>
      <c r="L651" t="str">
        <f>IF(A651="","",IF('ATP Fills'!G651="LME",'ATP Fills'!I651,""))</f>
        <v/>
      </c>
      <c r="M651" t="str">
        <f t="shared" si="10"/>
        <v/>
      </c>
    </row>
    <row r="652" spans="1:13">
      <c r="A652" t="str">
        <f>IF('ATP Fills'!A652="","",IF('ATP Fills'!Q652="PHILLIPSG",'ATP Fills'!F652,""))</f>
        <v/>
      </c>
      <c r="B652" t="str">
        <f>IF(A652="","",'ATP Fills'!L652)</f>
        <v/>
      </c>
      <c r="C652" t="str">
        <f>IF(A652="","",'ATP Fills'!M652)</f>
        <v/>
      </c>
      <c r="D652" t="str">
        <f>IF(A652="","",'ATP Fills'!B652)</f>
        <v/>
      </c>
      <c r="E652" s="3" t="str">
        <f>IF(A652="","",IF(DATE(LEFT(D652,4),MID(D652,5,2),RIGHT(D652,2))=Helper1!$P$1,Helper1!$P$1,""))</f>
        <v/>
      </c>
      <c r="F652" s="3" t="str">
        <f>IF(A652="","",'ATP Fills'!G652)</f>
        <v/>
      </c>
      <c r="G652" t="str">
        <f>IF(A652="","",'ATP Fills'!H652)</f>
        <v/>
      </c>
      <c r="H652" t="str">
        <f>IF(A652="","",VLOOKUP(G652,表3_3[],2,0))</f>
        <v/>
      </c>
      <c r="I652" t="str">
        <f>IF(A652="","",VLOOKUP(G652,表3_3[],3,0))</f>
        <v/>
      </c>
      <c r="J652" t="str">
        <f>IF(A652="","",IF('ATP Fills'!I652="3M","",VLOOKUP(RIGHT('ATP Fills'!I652,2),Helper1!$O$36:$P$48,2,0)))</f>
        <v/>
      </c>
      <c r="K652" t="str">
        <f>IF(J652="","",LEFT('ATP Fills'!I652,4))</f>
        <v/>
      </c>
      <c r="L652" t="str">
        <f>IF(A652="","",IF('ATP Fills'!G652="LME",'ATP Fills'!I652,""))</f>
        <v/>
      </c>
      <c r="M652" t="str">
        <f t="shared" si="10"/>
        <v/>
      </c>
    </row>
    <row r="653" spans="1:13">
      <c r="A653" t="str">
        <f>IF('ATP Fills'!A653="","",IF('ATP Fills'!Q653="PHILLIPSG",'ATP Fills'!F653,""))</f>
        <v/>
      </c>
      <c r="B653" t="str">
        <f>IF(A653="","",'ATP Fills'!L653)</f>
        <v/>
      </c>
      <c r="C653" t="str">
        <f>IF(A653="","",'ATP Fills'!M653)</f>
        <v/>
      </c>
      <c r="D653" t="str">
        <f>IF(A653="","",'ATP Fills'!B653)</f>
        <v/>
      </c>
      <c r="E653" s="3" t="str">
        <f>IF(A653="","",IF(DATE(LEFT(D653,4),MID(D653,5,2),RIGHT(D653,2))=Helper1!$P$1,Helper1!$P$1,""))</f>
        <v/>
      </c>
      <c r="F653" s="3" t="str">
        <f>IF(A653="","",'ATP Fills'!G653)</f>
        <v/>
      </c>
      <c r="G653" t="str">
        <f>IF(A653="","",'ATP Fills'!H653)</f>
        <v/>
      </c>
      <c r="H653" t="str">
        <f>IF(A653="","",VLOOKUP(G653,表3_3[],2,0))</f>
        <v/>
      </c>
      <c r="I653" t="str">
        <f>IF(A653="","",VLOOKUP(G653,表3_3[],3,0))</f>
        <v/>
      </c>
      <c r="J653" t="str">
        <f>IF(A653="","",IF('ATP Fills'!I653="3M","",VLOOKUP(RIGHT('ATP Fills'!I653,2),Helper1!$O$36:$P$48,2,0)))</f>
        <v/>
      </c>
      <c r="K653" t="str">
        <f>IF(J653="","",LEFT('ATP Fills'!I653,4))</f>
        <v/>
      </c>
      <c r="L653" t="str">
        <f>IF(A653="","",IF('ATP Fills'!G653="LME",'ATP Fills'!I653,""))</f>
        <v/>
      </c>
      <c r="M653" t="str">
        <f t="shared" si="10"/>
        <v/>
      </c>
    </row>
    <row r="654" spans="1:13">
      <c r="A654" t="str">
        <f>IF('ATP Fills'!A654="","",IF('ATP Fills'!Q654="PHILLIPSG",'ATP Fills'!F654,""))</f>
        <v/>
      </c>
      <c r="B654" t="str">
        <f>IF(A654="","",'ATP Fills'!L654)</f>
        <v/>
      </c>
      <c r="C654" t="str">
        <f>IF(A654="","",'ATP Fills'!M654)</f>
        <v/>
      </c>
      <c r="D654" t="str">
        <f>IF(A654="","",'ATP Fills'!B654)</f>
        <v/>
      </c>
      <c r="E654" s="3" t="str">
        <f>IF(A654="","",IF(DATE(LEFT(D654,4),MID(D654,5,2),RIGHT(D654,2))=Helper1!$P$1,Helper1!$P$1,""))</f>
        <v/>
      </c>
      <c r="F654" s="3" t="str">
        <f>IF(A654="","",'ATP Fills'!G654)</f>
        <v/>
      </c>
      <c r="G654" t="str">
        <f>IF(A654="","",'ATP Fills'!H654)</f>
        <v/>
      </c>
      <c r="H654" t="str">
        <f>IF(A654="","",VLOOKUP(G654,表3_3[],2,0))</f>
        <v/>
      </c>
      <c r="I654" t="str">
        <f>IF(A654="","",VLOOKUP(G654,表3_3[],3,0))</f>
        <v/>
      </c>
      <c r="J654" t="str">
        <f>IF(A654="","",IF('ATP Fills'!I654="3M","",VLOOKUP(RIGHT('ATP Fills'!I654,2),Helper1!$O$36:$P$48,2,0)))</f>
        <v/>
      </c>
      <c r="K654" t="str">
        <f>IF(J654="","",LEFT('ATP Fills'!I654,4))</f>
        <v/>
      </c>
      <c r="L654" t="str">
        <f>IF(A654="","",IF('ATP Fills'!G654="LME",'ATP Fills'!I654,""))</f>
        <v/>
      </c>
      <c r="M654" t="str">
        <f t="shared" si="10"/>
        <v/>
      </c>
    </row>
    <row r="655" spans="1:13">
      <c r="A655" t="str">
        <f>IF('ATP Fills'!A655="","",IF('ATP Fills'!Q655="PHILLIPSG",'ATP Fills'!F655,""))</f>
        <v/>
      </c>
      <c r="B655" t="str">
        <f>IF(A655="","",'ATP Fills'!L655)</f>
        <v/>
      </c>
      <c r="C655" t="str">
        <f>IF(A655="","",'ATP Fills'!M655)</f>
        <v/>
      </c>
      <c r="D655" t="str">
        <f>IF(A655="","",'ATP Fills'!B655)</f>
        <v/>
      </c>
      <c r="E655" s="3" t="str">
        <f>IF(A655="","",IF(DATE(LEFT(D655,4),MID(D655,5,2),RIGHT(D655,2))=Helper1!$P$1,Helper1!$P$1,""))</f>
        <v/>
      </c>
      <c r="F655" s="3" t="str">
        <f>IF(A655="","",'ATP Fills'!G655)</f>
        <v/>
      </c>
      <c r="G655" t="str">
        <f>IF(A655="","",'ATP Fills'!H655)</f>
        <v/>
      </c>
      <c r="H655" t="str">
        <f>IF(A655="","",VLOOKUP(G655,表3_3[],2,0))</f>
        <v/>
      </c>
      <c r="I655" t="str">
        <f>IF(A655="","",VLOOKUP(G655,表3_3[],3,0))</f>
        <v/>
      </c>
      <c r="J655" t="str">
        <f>IF(A655="","",IF('ATP Fills'!I655="3M","",VLOOKUP(RIGHT('ATP Fills'!I655,2),Helper1!$O$36:$P$48,2,0)))</f>
        <v/>
      </c>
      <c r="K655" t="str">
        <f>IF(J655="","",LEFT('ATP Fills'!I655,4))</f>
        <v/>
      </c>
      <c r="L655" t="str">
        <f>IF(A655="","",IF('ATP Fills'!G655="LME",'ATP Fills'!I655,""))</f>
        <v/>
      </c>
      <c r="M655" t="str">
        <f t="shared" si="10"/>
        <v/>
      </c>
    </row>
    <row r="656" spans="1:13">
      <c r="A656" t="str">
        <f>IF('ATP Fills'!A656="","",IF('ATP Fills'!Q656="PHILLIPSG",'ATP Fills'!F656,""))</f>
        <v/>
      </c>
      <c r="B656" t="str">
        <f>IF(A656="","",'ATP Fills'!L656)</f>
        <v/>
      </c>
      <c r="C656" t="str">
        <f>IF(A656="","",'ATP Fills'!M656)</f>
        <v/>
      </c>
      <c r="D656" t="str">
        <f>IF(A656="","",'ATP Fills'!B656)</f>
        <v/>
      </c>
      <c r="E656" s="3" t="str">
        <f>IF(A656="","",IF(DATE(LEFT(D656,4),MID(D656,5,2),RIGHT(D656,2))=Helper1!$P$1,Helper1!$P$1,""))</f>
        <v/>
      </c>
      <c r="F656" s="3" t="str">
        <f>IF(A656="","",'ATP Fills'!G656)</f>
        <v/>
      </c>
      <c r="G656" t="str">
        <f>IF(A656="","",'ATP Fills'!H656)</f>
        <v/>
      </c>
      <c r="H656" t="str">
        <f>IF(A656="","",VLOOKUP(G656,表3_3[],2,0))</f>
        <v/>
      </c>
      <c r="I656" t="str">
        <f>IF(A656="","",VLOOKUP(G656,表3_3[],3,0))</f>
        <v/>
      </c>
      <c r="J656" t="str">
        <f>IF(A656="","",IF('ATP Fills'!I656="3M","",VLOOKUP(RIGHT('ATP Fills'!I656,2),Helper1!$O$36:$P$48,2,0)))</f>
        <v/>
      </c>
      <c r="K656" t="str">
        <f>IF(J656="","",LEFT('ATP Fills'!I656,4))</f>
        <v/>
      </c>
      <c r="L656" t="str">
        <f>IF(A656="","",IF('ATP Fills'!G656="LME",'ATP Fills'!I656,""))</f>
        <v/>
      </c>
      <c r="M656" t="str">
        <f t="shared" si="10"/>
        <v/>
      </c>
    </row>
    <row r="657" spans="1:13">
      <c r="A657" t="str">
        <f>IF('ATP Fills'!A657="","",IF('ATP Fills'!Q657="PHILLIPSG",'ATP Fills'!F657,""))</f>
        <v/>
      </c>
      <c r="B657" t="str">
        <f>IF(A657="","",'ATP Fills'!L657)</f>
        <v/>
      </c>
      <c r="C657" t="str">
        <f>IF(A657="","",'ATP Fills'!M657)</f>
        <v/>
      </c>
      <c r="D657" t="str">
        <f>IF(A657="","",'ATP Fills'!B657)</f>
        <v/>
      </c>
      <c r="E657" s="3" t="str">
        <f>IF(A657="","",IF(DATE(LEFT(D657,4),MID(D657,5,2),RIGHT(D657,2))=Helper1!$P$1,Helper1!$P$1,""))</f>
        <v/>
      </c>
      <c r="F657" s="3" t="str">
        <f>IF(A657="","",'ATP Fills'!G657)</f>
        <v/>
      </c>
      <c r="G657" t="str">
        <f>IF(A657="","",'ATP Fills'!H657)</f>
        <v/>
      </c>
      <c r="H657" t="str">
        <f>IF(A657="","",VLOOKUP(G657,表3_3[],2,0))</f>
        <v/>
      </c>
      <c r="I657" t="str">
        <f>IF(A657="","",VLOOKUP(G657,表3_3[],3,0))</f>
        <v/>
      </c>
      <c r="J657" t="str">
        <f>IF(A657="","",IF('ATP Fills'!I657="3M","",VLOOKUP(RIGHT('ATP Fills'!I657,2),Helper1!$O$36:$P$48,2,0)))</f>
        <v/>
      </c>
      <c r="K657" t="str">
        <f>IF(J657="","",LEFT('ATP Fills'!I657,4))</f>
        <v/>
      </c>
      <c r="L657" t="str">
        <f>IF(A657="","",IF('ATP Fills'!G657="LME",'ATP Fills'!I657,""))</f>
        <v/>
      </c>
      <c r="M657" t="str">
        <f t="shared" si="10"/>
        <v/>
      </c>
    </row>
    <row r="658" spans="1:13">
      <c r="A658" t="str">
        <f>IF('ATP Fills'!A658="","",IF('ATP Fills'!Q658="PHILLIPSG",'ATP Fills'!F658,""))</f>
        <v/>
      </c>
      <c r="B658" t="str">
        <f>IF(A658="","",'ATP Fills'!L658)</f>
        <v/>
      </c>
      <c r="C658" t="str">
        <f>IF(A658="","",'ATP Fills'!M658)</f>
        <v/>
      </c>
      <c r="D658" t="str">
        <f>IF(A658="","",'ATP Fills'!B658)</f>
        <v/>
      </c>
      <c r="E658" s="3" t="str">
        <f>IF(A658="","",IF(DATE(LEFT(D658,4),MID(D658,5,2),RIGHT(D658,2))=Helper1!$P$1,Helper1!$P$1,""))</f>
        <v/>
      </c>
      <c r="F658" s="3" t="str">
        <f>IF(A658="","",'ATP Fills'!G658)</f>
        <v/>
      </c>
      <c r="G658" t="str">
        <f>IF(A658="","",'ATP Fills'!H658)</f>
        <v/>
      </c>
      <c r="H658" t="str">
        <f>IF(A658="","",VLOOKUP(G658,表3_3[],2,0))</f>
        <v/>
      </c>
      <c r="I658" t="str">
        <f>IF(A658="","",VLOOKUP(G658,表3_3[],3,0))</f>
        <v/>
      </c>
      <c r="J658" t="str">
        <f>IF(A658="","",IF('ATP Fills'!I658="3M","",VLOOKUP(RIGHT('ATP Fills'!I658,2),Helper1!$O$36:$P$48,2,0)))</f>
        <v/>
      </c>
      <c r="K658" t="str">
        <f>IF(J658="","",LEFT('ATP Fills'!I658,4))</f>
        <v/>
      </c>
      <c r="L658" t="str">
        <f>IF(A658="","",IF('ATP Fills'!G658="LME",'ATP Fills'!I658,""))</f>
        <v/>
      </c>
      <c r="M658" t="str">
        <f t="shared" si="10"/>
        <v/>
      </c>
    </row>
    <row r="659" spans="1:13">
      <c r="A659" t="str">
        <f>IF('ATP Fills'!A659="","",IF('ATP Fills'!Q659="PHILLIPSG",'ATP Fills'!F659,""))</f>
        <v/>
      </c>
      <c r="B659" t="str">
        <f>IF(A659="","",'ATP Fills'!L659)</f>
        <v/>
      </c>
      <c r="C659" t="str">
        <f>IF(A659="","",'ATP Fills'!M659)</f>
        <v/>
      </c>
      <c r="D659" t="str">
        <f>IF(A659="","",'ATP Fills'!B659)</f>
        <v/>
      </c>
      <c r="E659" s="3" t="str">
        <f>IF(A659="","",IF(DATE(LEFT(D659,4),MID(D659,5,2),RIGHT(D659,2))=Helper1!$P$1,Helper1!$P$1,""))</f>
        <v/>
      </c>
      <c r="F659" s="3" t="str">
        <f>IF(A659="","",'ATP Fills'!G659)</f>
        <v/>
      </c>
      <c r="G659" t="str">
        <f>IF(A659="","",'ATP Fills'!H659)</f>
        <v/>
      </c>
      <c r="H659" t="str">
        <f>IF(A659="","",VLOOKUP(G659,表3_3[],2,0))</f>
        <v/>
      </c>
      <c r="I659" t="str">
        <f>IF(A659="","",VLOOKUP(G659,表3_3[],3,0))</f>
        <v/>
      </c>
      <c r="J659" t="str">
        <f>IF(A659="","",IF('ATP Fills'!I659="3M","",VLOOKUP(RIGHT('ATP Fills'!I659,2),Helper1!$O$36:$P$48,2,0)))</f>
        <v/>
      </c>
      <c r="K659" t="str">
        <f>IF(J659="","",LEFT('ATP Fills'!I659,4))</f>
        <v/>
      </c>
      <c r="L659" t="str">
        <f>IF(A659="","",IF('ATP Fills'!G659="LME",'ATP Fills'!I659,""))</f>
        <v/>
      </c>
      <c r="M659" t="str">
        <f t="shared" si="10"/>
        <v/>
      </c>
    </row>
    <row r="660" spans="1:13">
      <c r="A660" t="str">
        <f>IF('ATP Fills'!A660="","",IF('ATP Fills'!Q660="PHILLIPSG",'ATP Fills'!F660,""))</f>
        <v/>
      </c>
      <c r="B660" t="str">
        <f>IF(A660="","",'ATP Fills'!L660)</f>
        <v/>
      </c>
      <c r="C660" t="str">
        <f>IF(A660="","",'ATP Fills'!M660)</f>
        <v/>
      </c>
      <c r="D660" t="str">
        <f>IF(A660="","",'ATP Fills'!B660)</f>
        <v/>
      </c>
      <c r="E660" s="3" t="str">
        <f>IF(A660="","",IF(DATE(LEFT(D660,4),MID(D660,5,2),RIGHT(D660,2))=Helper1!$P$1,Helper1!$P$1,""))</f>
        <v/>
      </c>
      <c r="F660" s="3" t="str">
        <f>IF(A660="","",'ATP Fills'!G660)</f>
        <v/>
      </c>
      <c r="G660" t="str">
        <f>IF(A660="","",'ATP Fills'!H660)</f>
        <v/>
      </c>
      <c r="H660" t="str">
        <f>IF(A660="","",VLOOKUP(G660,表3_3[],2,0))</f>
        <v/>
      </c>
      <c r="I660" t="str">
        <f>IF(A660="","",VLOOKUP(G660,表3_3[],3,0))</f>
        <v/>
      </c>
      <c r="J660" t="str">
        <f>IF(A660="","",IF('ATP Fills'!I660="3M","",VLOOKUP(RIGHT('ATP Fills'!I660,2),Helper1!$O$36:$P$48,2,0)))</f>
        <v/>
      </c>
      <c r="K660" t="str">
        <f>IF(J660="","",LEFT('ATP Fills'!I660,4))</f>
        <v/>
      </c>
      <c r="L660" t="str">
        <f>IF(A660="","",IF('ATP Fills'!G660="LME",'ATP Fills'!I660,""))</f>
        <v/>
      </c>
      <c r="M660" t="str">
        <f t="shared" si="10"/>
        <v/>
      </c>
    </row>
    <row r="661" spans="1:13">
      <c r="A661" t="str">
        <f>IF('ATP Fills'!A661="","",IF('ATP Fills'!Q661="PHILLIPSG",'ATP Fills'!F661,""))</f>
        <v/>
      </c>
      <c r="B661" t="str">
        <f>IF(A661="","",'ATP Fills'!L661)</f>
        <v/>
      </c>
      <c r="C661" t="str">
        <f>IF(A661="","",'ATP Fills'!M661)</f>
        <v/>
      </c>
      <c r="D661" t="str">
        <f>IF(A661="","",'ATP Fills'!B661)</f>
        <v/>
      </c>
      <c r="E661" s="3" t="str">
        <f>IF(A661="","",IF(DATE(LEFT(D661,4),MID(D661,5,2),RIGHT(D661,2))=Helper1!$P$1,Helper1!$P$1,""))</f>
        <v/>
      </c>
      <c r="F661" s="3" t="str">
        <f>IF(A661="","",'ATP Fills'!G661)</f>
        <v/>
      </c>
      <c r="G661" t="str">
        <f>IF(A661="","",'ATP Fills'!H661)</f>
        <v/>
      </c>
      <c r="H661" t="str">
        <f>IF(A661="","",VLOOKUP(G661,表3_3[],2,0))</f>
        <v/>
      </c>
      <c r="I661" t="str">
        <f>IF(A661="","",VLOOKUP(G661,表3_3[],3,0))</f>
        <v/>
      </c>
      <c r="J661" t="str">
        <f>IF(A661="","",IF('ATP Fills'!I661="3M","",VLOOKUP(RIGHT('ATP Fills'!I661,2),Helper1!$O$36:$P$48,2,0)))</f>
        <v/>
      </c>
      <c r="K661" t="str">
        <f>IF(J661="","",LEFT('ATP Fills'!I661,4))</f>
        <v/>
      </c>
      <c r="L661" t="str">
        <f>IF(A661="","",IF('ATP Fills'!G661="LME",'ATP Fills'!I661,""))</f>
        <v/>
      </c>
      <c r="M661" t="str">
        <f t="shared" si="10"/>
        <v/>
      </c>
    </row>
    <row r="662" spans="1:13">
      <c r="A662" t="str">
        <f>IF('ATP Fills'!A662="","",IF('ATP Fills'!Q662="PHILLIPSG",'ATP Fills'!F662,""))</f>
        <v/>
      </c>
      <c r="B662" t="str">
        <f>IF(A662="","",'ATP Fills'!L662)</f>
        <v/>
      </c>
      <c r="C662" t="str">
        <f>IF(A662="","",'ATP Fills'!M662)</f>
        <v/>
      </c>
      <c r="D662" t="str">
        <f>IF(A662="","",'ATP Fills'!B662)</f>
        <v/>
      </c>
      <c r="E662" s="3" t="str">
        <f>IF(A662="","",IF(DATE(LEFT(D662,4),MID(D662,5,2),RIGHT(D662,2))=Helper1!$P$1,Helper1!$P$1,""))</f>
        <v/>
      </c>
      <c r="F662" s="3" t="str">
        <f>IF(A662="","",'ATP Fills'!G662)</f>
        <v/>
      </c>
      <c r="G662" t="str">
        <f>IF(A662="","",'ATP Fills'!H662)</f>
        <v/>
      </c>
      <c r="H662" t="str">
        <f>IF(A662="","",VLOOKUP(G662,表3_3[],2,0))</f>
        <v/>
      </c>
      <c r="I662" t="str">
        <f>IF(A662="","",VLOOKUP(G662,表3_3[],3,0))</f>
        <v/>
      </c>
      <c r="J662" t="str">
        <f>IF(A662="","",IF('ATP Fills'!I662="3M","",VLOOKUP(RIGHT('ATP Fills'!I662,2),Helper1!$O$36:$P$48,2,0)))</f>
        <v/>
      </c>
      <c r="K662" t="str">
        <f>IF(J662="","",LEFT('ATP Fills'!I662,4))</f>
        <v/>
      </c>
      <c r="L662" t="str">
        <f>IF(A662="","",IF('ATP Fills'!G662="LME",'ATP Fills'!I662,""))</f>
        <v/>
      </c>
      <c r="M662" t="str">
        <f t="shared" si="10"/>
        <v/>
      </c>
    </row>
    <row r="663" spans="1:13">
      <c r="A663" t="str">
        <f>IF('ATP Fills'!A663="","",IF('ATP Fills'!Q663="PHILLIPSG",'ATP Fills'!F663,""))</f>
        <v/>
      </c>
      <c r="B663" t="str">
        <f>IF(A663="","",'ATP Fills'!L663)</f>
        <v/>
      </c>
      <c r="C663" t="str">
        <f>IF(A663="","",'ATP Fills'!M663)</f>
        <v/>
      </c>
      <c r="D663" t="str">
        <f>IF(A663="","",'ATP Fills'!B663)</f>
        <v/>
      </c>
      <c r="E663" s="3" t="str">
        <f>IF(A663="","",IF(DATE(LEFT(D663,4),MID(D663,5,2),RIGHT(D663,2))=Helper1!$P$1,Helper1!$P$1,""))</f>
        <v/>
      </c>
      <c r="F663" s="3" t="str">
        <f>IF(A663="","",'ATP Fills'!G663)</f>
        <v/>
      </c>
      <c r="G663" t="str">
        <f>IF(A663="","",'ATP Fills'!H663)</f>
        <v/>
      </c>
      <c r="H663" t="str">
        <f>IF(A663="","",VLOOKUP(G663,表3_3[],2,0))</f>
        <v/>
      </c>
      <c r="I663" t="str">
        <f>IF(A663="","",VLOOKUP(G663,表3_3[],3,0))</f>
        <v/>
      </c>
      <c r="J663" t="str">
        <f>IF(A663="","",IF('ATP Fills'!I663="3M","",VLOOKUP(RIGHT('ATP Fills'!I663,2),Helper1!$O$36:$P$48,2,0)))</f>
        <v/>
      </c>
      <c r="K663" t="str">
        <f>IF(J663="","",LEFT('ATP Fills'!I663,4))</f>
        <v/>
      </c>
      <c r="L663" t="str">
        <f>IF(A663="","",IF('ATP Fills'!G663="LME",'ATP Fills'!I663,""))</f>
        <v/>
      </c>
      <c r="M663" t="str">
        <f t="shared" si="10"/>
        <v/>
      </c>
    </row>
    <row r="664" spans="1:13">
      <c r="A664" t="str">
        <f>IF('ATP Fills'!A664="","",IF('ATP Fills'!Q664="PHILLIPSG",'ATP Fills'!F664,""))</f>
        <v/>
      </c>
      <c r="B664" t="str">
        <f>IF(A664="","",'ATP Fills'!L664)</f>
        <v/>
      </c>
      <c r="C664" t="str">
        <f>IF(A664="","",'ATP Fills'!M664)</f>
        <v/>
      </c>
      <c r="D664" t="str">
        <f>IF(A664="","",'ATP Fills'!B664)</f>
        <v/>
      </c>
      <c r="E664" s="3" t="str">
        <f>IF(A664="","",IF(DATE(LEFT(D664,4),MID(D664,5,2),RIGHT(D664,2))=Helper1!$P$1,Helper1!$P$1,""))</f>
        <v/>
      </c>
      <c r="F664" s="3" t="str">
        <f>IF(A664="","",'ATP Fills'!G664)</f>
        <v/>
      </c>
      <c r="G664" t="str">
        <f>IF(A664="","",'ATP Fills'!H664)</f>
        <v/>
      </c>
      <c r="H664" t="str">
        <f>IF(A664="","",VLOOKUP(G664,表3_3[],2,0))</f>
        <v/>
      </c>
      <c r="I664" t="str">
        <f>IF(A664="","",VLOOKUP(G664,表3_3[],3,0))</f>
        <v/>
      </c>
      <c r="J664" t="str">
        <f>IF(A664="","",IF('ATP Fills'!I664="3M","",VLOOKUP(RIGHT('ATP Fills'!I664,2),Helper1!$O$36:$P$48,2,0)))</f>
        <v/>
      </c>
      <c r="K664" t="str">
        <f>IF(J664="","",LEFT('ATP Fills'!I664,4))</f>
        <v/>
      </c>
      <c r="L664" t="str">
        <f>IF(A664="","",IF('ATP Fills'!G664="LME",'ATP Fills'!I664,""))</f>
        <v/>
      </c>
      <c r="M664" t="str">
        <f t="shared" si="10"/>
        <v/>
      </c>
    </row>
    <row r="665" spans="1:13">
      <c r="A665" t="str">
        <f>IF('ATP Fills'!A665="","",IF('ATP Fills'!Q665="PHILLIPSG",'ATP Fills'!F665,""))</f>
        <v/>
      </c>
      <c r="B665" t="str">
        <f>IF(A665="","",'ATP Fills'!L665)</f>
        <v/>
      </c>
      <c r="C665" t="str">
        <f>IF(A665="","",'ATP Fills'!M665)</f>
        <v/>
      </c>
      <c r="D665" t="str">
        <f>IF(A665="","",'ATP Fills'!B665)</f>
        <v/>
      </c>
      <c r="E665" s="3" t="str">
        <f>IF(A665="","",IF(DATE(LEFT(D665,4),MID(D665,5,2),RIGHT(D665,2))=Helper1!$P$1,Helper1!$P$1,""))</f>
        <v/>
      </c>
      <c r="F665" s="3" t="str">
        <f>IF(A665="","",'ATP Fills'!G665)</f>
        <v/>
      </c>
      <c r="G665" t="str">
        <f>IF(A665="","",'ATP Fills'!H665)</f>
        <v/>
      </c>
      <c r="H665" t="str">
        <f>IF(A665="","",VLOOKUP(G665,表3_3[],2,0))</f>
        <v/>
      </c>
      <c r="I665" t="str">
        <f>IF(A665="","",VLOOKUP(G665,表3_3[],3,0))</f>
        <v/>
      </c>
      <c r="J665" t="str">
        <f>IF(A665="","",IF('ATP Fills'!I665="3M","",VLOOKUP(RIGHT('ATP Fills'!I665,2),Helper1!$O$36:$P$48,2,0)))</f>
        <v/>
      </c>
      <c r="K665" t="str">
        <f>IF(J665="","",LEFT('ATP Fills'!I665,4))</f>
        <v/>
      </c>
      <c r="L665" t="str">
        <f>IF(A665="","",IF('ATP Fills'!G665="LME",'ATP Fills'!I665,""))</f>
        <v/>
      </c>
      <c r="M665" t="str">
        <f t="shared" si="10"/>
        <v/>
      </c>
    </row>
    <row r="666" spans="1:13">
      <c r="A666" t="str">
        <f>IF('ATP Fills'!A666="","",IF('ATP Fills'!Q666="PHILLIPSG",'ATP Fills'!F666,""))</f>
        <v/>
      </c>
      <c r="B666" t="str">
        <f>IF(A666="","",'ATP Fills'!L666)</f>
        <v/>
      </c>
      <c r="C666" t="str">
        <f>IF(A666="","",'ATP Fills'!M666)</f>
        <v/>
      </c>
      <c r="D666" t="str">
        <f>IF(A666="","",'ATP Fills'!B666)</f>
        <v/>
      </c>
      <c r="E666" s="3" t="str">
        <f>IF(A666="","",IF(DATE(LEFT(D666,4),MID(D666,5,2),RIGHT(D666,2))=Helper1!$P$1,Helper1!$P$1,""))</f>
        <v/>
      </c>
      <c r="F666" s="3" t="str">
        <f>IF(A666="","",'ATP Fills'!G666)</f>
        <v/>
      </c>
      <c r="G666" t="str">
        <f>IF(A666="","",'ATP Fills'!H666)</f>
        <v/>
      </c>
      <c r="H666" t="str">
        <f>IF(A666="","",VLOOKUP(G666,表3_3[],2,0))</f>
        <v/>
      </c>
      <c r="I666" t="str">
        <f>IF(A666="","",VLOOKUP(G666,表3_3[],3,0))</f>
        <v/>
      </c>
      <c r="J666" t="str">
        <f>IF(A666="","",IF('ATP Fills'!I666="3M","",VLOOKUP(RIGHT('ATP Fills'!I666,2),Helper1!$O$36:$P$48,2,0)))</f>
        <v/>
      </c>
      <c r="K666" t="str">
        <f>IF(J666="","",LEFT('ATP Fills'!I666,4))</f>
        <v/>
      </c>
      <c r="L666" t="str">
        <f>IF(A666="","",IF('ATP Fills'!G666="LME",'ATP Fills'!I666,""))</f>
        <v/>
      </c>
      <c r="M666" t="str">
        <f t="shared" si="10"/>
        <v/>
      </c>
    </row>
    <row r="667" spans="1:13">
      <c r="A667" t="str">
        <f>IF('ATP Fills'!A667="","",IF('ATP Fills'!Q667="PHILLIPSG",'ATP Fills'!F667,""))</f>
        <v/>
      </c>
      <c r="B667" t="str">
        <f>IF(A667="","",'ATP Fills'!L667)</f>
        <v/>
      </c>
      <c r="C667" t="str">
        <f>IF(A667="","",'ATP Fills'!M667)</f>
        <v/>
      </c>
      <c r="D667" t="str">
        <f>IF(A667="","",'ATP Fills'!B667)</f>
        <v/>
      </c>
      <c r="E667" s="3" t="str">
        <f>IF(A667="","",IF(DATE(LEFT(D667,4),MID(D667,5,2),RIGHT(D667,2))=Helper1!$P$1,Helper1!$P$1,""))</f>
        <v/>
      </c>
      <c r="F667" s="3" t="str">
        <f>IF(A667="","",'ATP Fills'!G667)</f>
        <v/>
      </c>
      <c r="G667" t="str">
        <f>IF(A667="","",'ATP Fills'!H667)</f>
        <v/>
      </c>
      <c r="H667" t="str">
        <f>IF(A667="","",VLOOKUP(G667,表3_3[],2,0))</f>
        <v/>
      </c>
      <c r="I667" t="str">
        <f>IF(A667="","",VLOOKUP(G667,表3_3[],3,0))</f>
        <v/>
      </c>
      <c r="J667" t="str">
        <f>IF(A667="","",IF('ATP Fills'!I667="3M","",VLOOKUP(RIGHT('ATP Fills'!I667,2),Helper1!$O$36:$P$48,2,0)))</f>
        <v/>
      </c>
      <c r="K667" t="str">
        <f>IF(J667="","",LEFT('ATP Fills'!I667,4))</f>
        <v/>
      </c>
      <c r="L667" t="str">
        <f>IF(A667="","",IF('ATP Fills'!G667="LME",'ATP Fills'!I667,""))</f>
        <v/>
      </c>
      <c r="M667" t="str">
        <f t="shared" si="10"/>
        <v/>
      </c>
    </row>
    <row r="668" spans="1:13">
      <c r="A668" t="str">
        <f>IF('ATP Fills'!A668="","",IF('ATP Fills'!Q668="PHILLIPSG",'ATP Fills'!F668,""))</f>
        <v/>
      </c>
      <c r="B668" t="str">
        <f>IF(A668="","",'ATP Fills'!L668)</f>
        <v/>
      </c>
      <c r="C668" t="str">
        <f>IF(A668="","",'ATP Fills'!M668)</f>
        <v/>
      </c>
      <c r="D668" t="str">
        <f>IF(A668="","",'ATP Fills'!B668)</f>
        <v/>
      </c>
      <c r="E668" s="3" t="str">
        <f>IF(A668="","",IF(DATE(LEFT(D668,4),MID(D668,5,2),RIGHT(D668,2))=Helper1!$P$1,Helper1!$P$1,""))</f>
        <v/>
      </c>
      <c r="F668" s="3" t="str">
        <f>IF(A668="","",'ATP Fills'!G668)</f>
        <v/>
      </c>
      <c r="G668" t="str">
        <f>IF(A668="","",'ATP Fills'!H668)</f>
        <v/>
      </c>
      <c r="H668" t="str">
        <f>IF(A668="","",VLOOKUP(G668,表3_3[],2,0))</f>
        <v/>
      </c>
      <c r="I668" t="str">
        <f>IF(A668="","",VLOOKUP(G668,表3_3[],3,0))</f>
        <v/>
      </c>
      <c r="J668" t="str">
        <f>IF(A668="","",IF('ATP Fills'!I668="3M","",VLOOKUP(RIGHT('ATP Fills'!I668,2),Helper1!$O$36:$P$48,2,0)))</f>
        <v/>
      </c>
      <c r="K668" t="str">
        <f>IF(J668="","",LEFT('ATP Fills'!I668,4))</f>
        <v/>
      </c>
      <c r="L668" t="str">
        <f>IF(A668="","",IF('ATP Fills'!G668="LME",'ATP Fills'!I668,""))</f>
        <v/>
      </c>
      <c r="M668" t="str">
        <f t="shared" si="10"/>
        <v/>
      </c>
    </row>
    <row r="669" spans="1:13">
      <c r="A669" t="str">
        <f>IF('ATP Fills'!A669="","",IF('ATP Fills'!Q669="PHILLIPSG",'ATP Fills'!F669,""))</f>
        <v/>
      </c>
      <c r="B669" t="str">
        <f>IF(A669="","",'ATP Fills'!L669)</f>
        <v/>
      </c>
      <c r="C669" t="str">
        <f>IF(A669="","",'ATP Fills'!M669)</f>
        <v/>
      </c>
      <c r="D669" t="str">
        <f>IF(A669="","",'ATP Fills'!B669)</f>
        <v/>
      </c>
      <c r="E669" s="3" t="str">
        <f>IF(A669="","",IF(DATE(LEFT(D669,4),MID(D669,5,2),RIGHT(D669,2))=Helper1!$P$1,Helper1!$P$1,""))</f>
        <v/>
      </c>
      <c r="F669" s="3" t="str">
        <f>IF(A669="","",'ATP Fills'!G669)</f>
        <v/>
      </c>
      <c r="G669" t="str">
        <f>IF(A669="","",'ATP Fills'!H669)</f>
        <v/>
      </c>
      <c r="H669" t="str">
        <f>IF(A669="","",VLOOKUP(G669,表3_3[],2,0))</f>
        <v/>
      </c>
      <c r="I669" t="str">
        <f>IF(A669="","",VLOOKUP(G669,表3_3[],3,0))</f>
        <v/>
      </c>
      <c r="J669" t="str">
        <f>IF(A669="","",IF('ATP Fills'!I669="3M","",VLOOKUP(RIGHT('ATP Fills'!I669,2),Helper1!$O$36:$P$48,2,0)))</f>
        <v/>
      </c>
      <c r="K669" t="str">
        <f>IF(J669="","",LEFT('ATP Fills'!I669,4))</f>
        <v/>
      </c>
      <c r="L669" t="str">
        <f>IF(A669="","",IF('ATP Fills'!G669="LME",'ATP Fills'!I669,""))</f>
        <v/>
      </c>
      <c r="M669" t="str">
        <f t="shared" si="10"/>
        <v/>
      </c>
    </row>
    <row r="670" spans="1:13">
      <c r="A670" t="str">
        <f>IF('ATP Fills'!A670="","",IF('ATP Fills'!Q670="PHILLIPSG",'ATP Fills'!F670,""))</f>
        <v/>
      </c>
      <c r="B670" t="str">
        <f>IF(A670="","",'ATP Fills'!L670)</f>
        <v/>
      </c>
      <c r="C670" t="str">
        <f>IF(A670="","",'ATP Fills'!M670)</f>
        <v/>
      </c>
      <c r="D670" t="str">
        <f>IF(A670="","",'ATP Fills'!B670)</f>
        <v/>
      </c>
      <c r="E670" s="3" t="str">
        <f>IF(A670="","",IF(DATE(LEFT(D670,4),MID(D670,5,2),RIGHT(D670,2))=Helper1!$P$1,Helper1!$P$1,""))</f>
        <v/>
      </c>
      <c r="F670" s="3" t="str">
        <f>IF(A670="","",'ATP Fills'!G670)</f>
        <v/>
      </c>
      <c r="G670" t="str">
        <f>IF(A670="","",'ATP Fills'!H670)</f>
        <v/>
      </c>
      <c r="H670" t="str">
        <f>IF(A670="","",VLOOKUP(G670,表3_3[],2,0))</f>
        <v/>
      </c>
      <c r="I670" t="str">
        <f>IF(A670="","",VLOOKUP(G670,表3_3[],3,0))</f>
        <v/>
      </c>
      <c r="J670" t="str">
        <f>IF(A670="","",IF('ATP Fills'!I670="3M","",VLOOKUP(RIGHT('ATP Fills'!I670,2),Helper1!$O$36:$P$48,2,0)))</f>
        <v/>
      </c>
      <c r="K670" t="str">
        <f>IF(J670="","",LEFT('ATP Fills'!I670,4))</f>
        <v/>
      </c>
      <c r="L670" t="str">
        <f>IF(A670="","",IF('ATP Fills'!G670="LME",'ATP Fills'!I670,""))</f>
        <v/>
      </c>
      <c r="M670" t="str">
        <f t="shared" si="10"/>
        <v/>
      </c>
    </row>
    <row r="671" spans="1:13">
      <c r="A671" t="str">
        <f>IF('ATP Fills'!A671="","",IF('ATP Fills'!Q671="PHILLIPSG",'ATP Fills'!F671,""))</f>
        <v/>
      </c>
      <c r="B671" t="str">
        <f>IF(A671="","",'ATP Fills'!L671)</f>
        <v/>
      </c>
      <c r="C671" t="str">
        <f>IF(A671="","",'ATP Fills'!M671)</f>
        <v/>
      </c>
      <c r="D671" t="str">
        <f>IF(A671="","",'ATP Fills'!B671)</f>
        <v/>
      </c>
      <c r="E671" s="3" t="str">
        <f>IF(A671="","",IF(DATE(LEFT(D671,4),MID(D671,5,2),RIGHT(D671,2))=Helper1!$P$1,Helper1!$P$1,""))</f>
        <v/>
      </c>
      <c r="F671" s="3" t="str">
        <f>IF(A671="","",'ATP Fills'!G671)</f>
        <v/>
      </c>
      <c r="G671" t="str">
        <f>IF(A671="","",'ATP Fills'!H671)</f>
        <v/>
      </c>
      <c r="H671" t="str">
        <f>IF(A671="","",VLOOKUP(G671,表3_3[],2,0))</f>
        <v/>
      </c>
      <c r="I671" t="str">
        <f>IF(A671="","",VLOOKUP(G671,表3_3[],3,0))</f>
        <v/>
      </c>
      <c r="J671" t="str">
        <f>IF(A671="","",IF('ATP Fills'!I671="3M","",VLOOKUP(RIGHT('ATP Fills'!I671,2),Helper1!$O$36:$P$48,2,0)))</f>
        <v/>
      </c>
      <c r="K671" t="str">
        <f>IF(J671="","",LEFT('ATP Fills'!I671,4))</f>
        <v/>
      </c>
      <c r="L671" t="str">
        <f>IF(A671="","",IF('ATP Fills'!G671="LME",'ATP Fills'!I671,""))</f>
        <v/>
      </c>
      <c r="M671" t="str">
        <f t="shared" si="10"/>
        <v/>
      </c>
    </row>
    <row r="672" spans="1:13">
      <c r="A672" t="str">
        <f>IF('ATP Fills'!A672="","",IF('ATP Fills'!Q672="PHILLIPSG",'ATP Fills'!F672,""))</f>
        <v/>
      </c>
      <c r="B672" t="str">
        <f>IF(A672="","",'ATP Fills'!L672)</f>
        <v/>
      </c>
      <c r="C672" t="str">
        <f>IF(A672="","",'ATP Fills'!M672)</f>
        <v/>
      </c>
      <c r="D672" t="str">
        <f>IF(A672="","",'ATP Fills'!B672)</f>
        <v/>
      </c>
      <c r="E672" s="3" t="str">
        <f>IF(A672="","",IF(DATE(LEFT(D672,4),MID(D672,5,2),RIGHT(D672,2))=Helper1!$P$1,Helper1!$P$1,""))</f>
        <v/>
      </c>
      <c r="F672" s="3" t="str">
        <f>IF(A672="","",'ATP Fills'!G672)</f>
        <v/>
      </c>
      <c r="G672" t="str">
        <f>IF(A672="","",'ATP Fills'!H672)</f>
        <v/>
      </c>
      <c r="H672" t="str">
        <f>IF(A672="","",VLOOKUP(G672,表3_3[],2,0))</f>
        <v/>
      </c>
      <c r="I672" t="str">
        <f>IF(A672="","",VLOOKUP(G672,表3_3[],3,0))</f>
        <v/>
      </c>
      <c r="J672" t="str">
        <f>IF(A672="","",IF('ATP Fills'!I672="3M","",VLOOKUP(RIGHT('ATP Fills'!I672,2),Helper1!$O$36:$P$48,2,0)))</f>
        <v/>
      </c>
      <c r="K672" t="str">
        <f>IF(J672="","",LEFT('ATP Fills'!I672,4))</f>
        <v/>
      </c>
      <c r="L672" t="str">
        <f>IF(A672="","",IF('ATP Fills'!G672="LME",'ATP Fills'!I672,""))</f>
        <v/>
      </c>
      <c r="M672" t="str">
        <f t="shared" si="10"/>
        <v/>
      </c>
    </row>
    <row r="673" spans="1:13">
      <c r="A673" t="str">
        <f>IF('ATP Fills'!A673="","",IF('ATP Fills'!Q673="PHILLIPSG",'ATP Fills'!F673,""))</f>
        <v/>
      </c>
      <c r="B673" t="str">
        <f>IF(A673="","",'ATP Fills'!L673)</f>
        <v/>
      </c>
      <c r="C673" t="str">
        <f>IF(A673="","",'ATP Fills'!M673)</f>
        <v/>
      </c>
      <c r="D673" t="str">
        <f>IF(A673="","",'ATP Fills'!B673)</f>
        <v/>
      </c>
      <c r="E673" s="3" t="str">
        <f>IF(A673="","",IF(DATE(LEFT(D673,4),MID(D673,5,2),RIGHT(D673,2))=Helper1!$P$1,Helper1!$P$1,""))</f>
        <v/>
      </c>
      <c r="F673" s="3" t="str">
        <f>IF(A673="","",'ATP Fills'!G673)</f>
        <v/>
      </c>
      <c r="G673" t="str">
        <f>IF(A673="","",'ATP Fills'!H673)</f>
        <v/>
      </c>
      <c r="H673" t="str">
        <f>IF(A673="","",VLOOKUP(G673,表3_3[],2,0))</f>
        <v/>
      </c>
      <c r="I673" t="str">
        <f>IF(A673="","",VLOOKUP(G673,表3_3[],3,0))</f>
        <v/>
      </c>
      <c r="J673" t="str">
        <f>IF(A673="","",IF('ATP Fills'!I673="3M","",VLOOKUP(RIGHT('ATP Fills'!I673,2),Helper1!$O$36:$P$48,2,0)))</f>
        <v/>
      </c>
      <c r="K673" t="str">
        <f>IF(J673="","",LEFT('ATP Fills'!I673,4))</f>
        <v/>
      </c>
      <c r="L673" t="str">
        <f>IF(A673="","",IF('ATP Fills'!G673="LME",'ATP Fills'!I673,""))</f>
        <v/>
      </c>
      <c r="M673" t="str">
        <f t="shared" si="10"/>
        <v/>
      </c>
    </row>
    <row r="674" spans="1:13">
      <c r="A674" t="str">
        <f>IF('ATP Fills'!A674="","",IF('ATP Fills'!Q674="PHILLIPSG",'ATP Fills'!F674,""))</f>
        <v/>
      </c>
      <c r="B674" t="str">
        <f>IF(A674="","",'ATP Fills'!L674)</f>
        <v/>
      </c>
      <c r="C674" t="str">
        <f>IF(A674="","",'ATP Fills'!M674)</f>
        <v/>
      </c>
      <c r="D674" t="str">
        <f>IF(A674="","",'ATP Fills'!B674)</f>
        <v/>
      </c>
      <c r="E674" s="3" t="str">
        <f>IF(A674="","",IF(DATE(LEFT(D674,4),MID(D674,5,2),RIGHT(D674,2))=Helper1!$P$1,Helper1!$P$1,""))</f>
        <v/>
      </c>
      <c r="F674" s="3" t="str">
        <f>IF(A674="","",'ATP Fills'!G674)</f>
        <v/>
      </c>
      <c r="G674" t="str">
        <f>IF(A674="","",'ATP Fills'!H674)</f>
        <v/>
      </c>
      <c r="H674" t="str">
        <f>IF(A674="","",VLOOKUP(G674,表3_3[],2,0))</f>
        <v/>
      </c>
      <c r="I674" t="str">
        <f>IF(A674="","",VLOOKUP(G674,表3_3[],3,0))</f>
        <v/>
      </c>
      <c r="J674" t="str">
        <f>IF(A674="","",IF('ATP Fills'!I674="3M","",VLOOKUP(RIGHT('ATP Fills'!I674,2),Helper1!$O$36:$P$48,2,0)))</f>
        <v/>
      </c>
      <c r="K674" t="str">
        <f>IF(J674="","",LEFT('ATP Fills'!I674,4))</f>
        <v/>
      </c>
      <c r="L674" t="str">
        <f>IF(A674="","",IF('ATP Fills'!G674="LME",'ATP Fills'!I674,""))</f>
        <v/>
      </c>
      <c r="M674" t="str">
        <f t="shared" si="10"/>
        <v/>
      </c>
    </row>
    <row r="675" spans="1:13">
      <c r="A675" t="str">
        <f>IF('ATP Fills'!A675="","",IF('ATP Fills'!Q675="PHILLIPSG",'ATP Fills'!F675,""))</f>
        <v/>
      </c>
      <c r="B675" t="str">
        <f>IF(A675="","",'ATP Fills'!L675)</f>
        <v/>
      </c>
      <c r="C675" t="str">
        <f>IF(A675="","",'ATP Fills'!M675)</f>
        <v/>
      </c>
      <c r="D675" t="str">
        <f>IF(A675="","",'ATP Fills'!B675)</f>
        <v/>
      </c>
      <c r="E675" s="3" t="str">
        <f>IF(A675="","",IF(DATE(LEFT(D675,4),MID(D675,5,2),RIGHT(D675,2))=Helper1!$P$1,Helper1!$P$1,""))</f>
        <v/>
      </c>
      <c r="F675" s="3" t="str">
        <f>IF(A675="","",'ATP Fills'!G675)</f>
        <v/>
      </c>
      <c r="G675" t="str">
        <f>IF(A675="","",'ATP Fills'!H675)</f>
        <v/>
      </c>
      <c r="H675" t="str">
        <f>IF(A675="","",VLOOKUP(G675,表3_3[],2,0))</f>
        <v/>
      </c>
      <c r="I675" t="str">
        <f>IF(A675="","",VLOOKUP(G675,表3_3[],3,0))</f>
        <v/>
      </c>
      <c r="J675" t="str">
        <f>IF(A675="","",IF('ATP Fills'!I675="3M","",VLOOKUP(RIGHT('ATP Fills'!I675,2),Helper1!$O$36:$P$48,2,0)))</f>
        <v/>
      </c>
      <c r="K675" t="str">
        <f>IF(J675="","",LEFT('ATP Fills'!I675,4))</f>
        <v/>
      </c>
      <c r="L675" t="str">
        <f>IF(A675="","",IF('ATP Fills'!G675="LME",'ATP Fills'!I675,""))</f>
        <v/>
      </c>
      <c r="M675" t="str">
        <f t="shared" si="10"/>
        <v/>
      </c>
    </row>
    <row r="676" spans="1:13">
      <c r="A676" t="str">
        <f>IF('ATP Fills'!A676="","",IF('ATP Fills'!Q676="PHILLIPSG",'ATP Fills'!F676,""))</f>
        <v/>
      </c>
      <c r="B676" t="str">
        <f>IF(A676="","",'ATP Fills'!L676)</f>
        <v/>
      </c>
      <c r="C676" t="str">
        <f>IF(A676="","",'ATP Fills'!M676)</f>
        <v/>
      </c>
      <c r="D676" t="str">
        <f>IF(A676="","",'ATP Fills'!B676)</f>
        <v/>
      </c>
      <c r="E676" s="3" t="str">
        <f>IF(A676="","",IF(DATE(LEFT(D676,4),MID(D676,5,2),RIGHT(D676,2))=Helper1!$P$1,Helper1!$P$1,""))</f>
        <v/>
      </c>
      <c r="F676" s="3" t="str">
        <f>IF(A676="","",'ATP Fills'!G676)</f>
        <v/>
      </c>
      <c r="G676" t="str">
        <f>IF(A676="","",'ATP Fills'!H676)</f>
        <v/>
      </c>
      <c r="H676" t="str">
        <f>IF(A676="","",VLOOKUP(G676,表3_3[],2,0))</f>
        <v/>
      </c>
      <c r="I676" t="str">
        <f>IF(A676="","",VLOOKUP(G676,表3_3[],3,0))</f>
        <v/>
      </c>
      <c r="J676" t="str">
        <f>IF(A676="","",IF('ATP Fills'!I676="3M","",VLOOKUP(RIGHT('ATP Fills'!I676,2),Helper1!$O$36:$P$48,2,0)))</f>
        <v/>
      </c>
      <c r="K676" t="str">
        <f>IF(J676="","",LEFT('ATP Fills'!I676,4))</f>
        <v/>
      </c>
      <c r="L676" t="str">
        <f>IF(A676="","",IF('ATP Fills'!G676="LME",'ATP Fills'!I676,""))</f>
        <v/>
      </c>
      <c r="M676" t="str">
        <f t="shared" si="10"/>
        <v/>
      </c>
    </row>
    <row r="677" spans="1:13">
      <c r="A677" t="str">
        <f>IF('ATP Fills'!A677="","",IF('ATP Fills'!Q677="PHILLIPSG",'ATP Fills'!F677,""))</f>
        <v/>
      </c>
      <c r="B677" t="str">
        <f>IF(A677="","",'ATP Fills'!L677)</f>
        <v/>
      </c>
      <c r="C677" t="str">
        <f>IF(A677="","",'ATP Fills'!M677)</f>
        <v/>
      </c>
      <c r="D677" t="str">
        <f>IF(A677="","",'ATP Fills'!B677)</f>
        <v/>
      </c>
      <c r="E677" s="3" t="str">
        <f>IF(A677="","",IF(DATE(LEFT(D677,4),MID(D677,5,2),RIGHT(D677,2))=Helper1!$P$1,Helper1!$P$1,""))</f>
        <v/>
      </c>
      <c r="F677" s="3" t="str">
        <f>IF(A677="","",'ATP Fills'!G677)</f>
        <v/>
      </c>
      <c r="G677" t="str">
        <f>IF(A677="","",'ATP Fills'!H677)</f>
        <v/>
      </c>
      <c r="H677" t="str">
        <f>IF(A677="","",VLOOKUP(G677,表3_3[],2,0))</f>
        <v/>
      </c>
      <c r="I677" t="str">
        <f>IF(A677="","",VLOOKUP(G677,表3_3[],3,0))</f>
        <v/>
      </c>
      <c r="J677" t="str">
        <f>IF(A677="","",IF('ATP Fills'!I677="3M","",VLOOKUP(RIGHT('ATP Fills'!I677,2),Helper1!$O$36:$P$48,2,0)))</f>
        <v/>
      </c>
      <c r="K677" t="str">
        <f>IF(J677="","",LEFT('ATP Fills'!I677,4))</f>
        <v/>
      </c>
      <c r="L677" t="str">
        <f>IF(A677="","",IF('ATP Fills'!G677="LME",'ATP Fills'!I677,""))</f>
        <v/>
      </c>
      <c r="M677" t="str">
        <f t="shared" si="10"/>
        <v/>
      </c>
    </row>
    <row r="678" spans="1:13">
      <c r="A678" t="str">
        <f>IF('ATP Fills'!A678="","",IF('ATP Fills'!Q678="PHILLIPSG",'ATP Fills'!F678,""))</f>
        <v/>
      </c>
      <c r="B678" t="str">
        <f>IF(A678="","",'ATP Fills'!L678)</f>
        <v/>
      </c>
      <c r="C678" t="str">
        <f>IF(A678="","",'ATP Fills'!M678)</f>
        <v/>
      </c>
      <c r="D678" t="str">
        <f>IF(A678="","",'ATP Fills'!B678)</f>
        <v/>
      </c>
      <c r="E678" s="3" t="str">
        <f>IF(A678="","",IF(DATE(LEFT(D678,4),MID(D678,5,2),RIGHT(D678,2))=Helper1!$P$1,Helper1!$P$1,""))</f>
        <v/>
      </c>
      <c r="F678" s="3" t="str">
        <f>IF(A678="","",'ATP Fills'!G678)</f>
        <v/>
      </c>
      <c r="G678" t="str">
        <f>IF(A678="","",'ATP Fills'!H678)</f>
        <v/>
      </c>
      <c r="H678" t="str">
        <f>IF(A678="","",VLOOKUP(G678,表3_3[],2,0))</f>
        <v/>
      </c>
      <c r="I678" t="str">
        <f>IF(A678="","",VLOOKUP(G678,表3_3[],3,0))</f>
        <v/>
      </c>
      <c r="J678" t="str">
        <f>IF(A678="","",IF('ATP Fills'!I678="3M","",VLOOKUP(RIGHT('ATP Fills'!I678,2),Helper1!$O$36:$P$48,2,0)))</f>
        <v/>
      </c>
      <c r="K678" t="str">
        <f>IF(J678="","",LEFT('ATP Fills'!I678,4))</f>
        <v/>
      </c>
      <c r="L678" t="str">
        <f>IF(A678="","",IF('ATP Fills'!G678="LME",'ATP Fills'!I678,""))</f>
        <v/>
      </c>
      <c r="M678" t="str">
        <f t="shared" si="10"/>
        <v/>
      </c>
    </row>
    <row r="679" spans="1:13">
      <c r="A679" t="str">
        <f>IF('ATP Fills'!A679="","",IF('ATP Fills'!Q679="PHILLIPSG",'ATP Fills'!F679,""))</f>
        <v/>
      </c>
      <c r="B679" t="str">
        <f>IF(A679="","",'ATP Fills'!L679)</f>
        <v/>
      </c>
      <c r="C679" t="str">
        <f>IF(A679="","",'ATP Fills'!M679)</f>
        <v/>
      </c>
      <c r="D679" t="str">
        <f>IF(A679="","",'ATP Fills'!B679)</f>
        <v/>
      </c>
      <c r="E679" s="3" t="str">
        <f>IF(A679="","",IF(DATE(LEFT(D679,4),MID(D679,5,2),RIGHT(D679,2))=Helper1!$P$1,Helper1!$P$1,""))</f>
        <v/>
      </c>
      <c r="F679" s="3" t="str">
        <f>IF(A679="","",'ATP Fills'!G679)</f>
        <v/>
      </c>
      <c r="G679" t="str">
        <f>IF(A679="","",'ATP Fills'!H679)</f>
        <v/>
      </c>
      <c r="H679" t="str">
        <f>IF(A679="","",VLOOKUP(G679,表3_3[],2,0))</f>
        <v/>
      </c>
      <c r="I679" t="str">
        <f>IF(A679="","",VLOOKUP(G679,表3_3[],3,0))</f>
        <v/>
      </c>
      <c r="J679" t="str">
        <f>IF(A679="","",IF('ATP Fills'!I679="3M","",VLOOKUP(RIGHT('ATP Fills'!I679,2),Helper1!$O$36:$P$48,2,0)))</f>
        <v/>
      </c>
      <c r="K679" t="str">
        <f>IF(J679="","",LEFT('ATP Fills'!I679,4))</f>
        <v/>
      </c>
      <c r="L679" t="str">
        <f>IF(A679="","",IF('ATP Fills'!G679="LME",'ATP Fills'!I679,""))</f>
        <v/>
      </c>
      <c r="M679" t="str">
        <f t="shared" si="10"/>
        <v/>
      </c>
    </row>
    <row r="680" spans="1:13">
      <c r="A680" t="str">
        <f>IF('ATP Fills'!A680="","",IF('ATP Fills'!Q680="PHILLIPSG",'ATP Fills'!F680,""))</f>
        <v/>
      </c>
      <c r="B680" t="str">
        <f>IF(A680="","",'ATP Fills'!L680)</f>
        <v/>
      </c>
      <c r="C680" t="str">
        <f>IF(A680="","",'ATP Fills'!M680)</f>
        <v/>
      </c>
      <c r="D680" t="str">
        <f>IF(A680="","",'ATP Fills'!B680)</f>
        <v/>
      </c>
      <c r="E680" s="3" t="str">
        <f>IF(A680="","",IF(DATE(LEFT(D680,4),MID(D680,5,2),RIGHT(D680,2))=Helper1!$P$1,Helper1!$P$1,""))</f>
        <v/>
      </c>
      <c r="F680" s="3" t="str">
        <f>IF(A680="","",'ATP Fills'!G680)</f>
        <v/>
      </c>
      <c r="G680" t="str">
        <f>IF(A680="","",'ATP Fills'!H680)</f>
        <v/>
      </c>
      <c r="H680" t="str">
        <f>IF(A680="","",VLOOKUP(G680,表3_3[],2,0))</f>
        <v/>
      </c>
      <c r="I680" t="str">
        <f>IF(A680="","",VLOOKUP(G680,表3_3[],3,0))</f>
        <v/>
      </c>
      <c r="J680" t="str">
        <f>IF(A680="","",IF('ATP Fills'!I680="3M","",VLOOKUP(RIGHT('ATP Fills'!I680,2),Helper1!$O$36:$P$48,2,0)))</f>
        <v/>
      </c>
      <c r="K680" t="str">
        <f>IF(J680="","",LEFT('ATP Fills'!I680,4))</f>
        <v/>
      </c>
      <c r="L680" t="str">
        <f>IF(A680="","",IF('ATP Fills'!G680="LME",'ATP Fills'!I680,""))</f>
        <v/>
      </c>
      <c r="M680" t="str">
        <f t="shared" si="10"/>
        <v/>
      </c>
    </row>
    <row r="681" spans="1:13">
      <c r="A681" t="str">
        <f>IF('ATP Fills'!A681="","",IF('ATP Fills'!Q681="PHILLIPSG",'ATP Fills'!F681,""))</f>
        <v/>
      </c>
      <c r="B681" t="str">
        <f>IF(A681="","",'ATP Fills'!L681)</f>
        <v/>
      </c>
      <c r="C681" t="str">
        <f>IF(A681="","",'ATP Fills'!M681)</f>
        <v/>
      </c>
      <c r="D681" t="str">
        <f>IF(A681="","",'ATP Fills'!B681)</f>
        <v/>
      </c>
      <c r="E681" s="3" t="str">
        <f>IF(A681="","",IF(DATE(LEFT(D681,4),MID(D681,5,2),RIGHT(D681,2))=Helper1!$P$1,Helper1!$P$1,""))</f>
        <v/>
      </c>
      <c r="F681" s="3" t="str">
        <f>IF(A681="","",'ATP Fills'!G681)</f>
        <v/>
      </c>
      <c r="G681" t="str">
        <f>IF(A681="","",'ATP Fills'!H681)</f>
        <v/>
      </c>
      <c r="H681" t="str">
        <f>IF(A681="","",VLOOKUP(G681,表3_3[],2,0))</f>
        <v/>
      </c>
      <c r="I681" t="str">
        <f>IF(A681="","",VLOOKUP(G681,表3_3[],3,0))</f>
        <v/>
      </c>
      <c r="J681" t="str">
        <f>IF(A681="","",IF('ATP Fills'!I681="3M","",VLOOKUP(RIGHT('ATP Fills'!I681,2),Helper1!$O$36:$P$48,2,0)))</f>
        <v/>
      </c>
      <c r="K681" t="str">
        <f>IF(J681="","",LEFT('ATP Fills'!I681,4))</f>
        <v/>
      </c>
      <c r="L681" t="str">
        <f>IF(A681="","",IF('ATP Fills'!G681="LME",'ATP Fills'!I681,""))</f>
        <v/>
      </c>
      <c r="M681" t="str">
        <f t="shared" si="10"/>
        <v/>
      </c>
    </row>
    <row r="682" spans="1:13">
      <c r="A682" t="str">
        <f>IF('ATP Fills'!A682="","",IF('ATP Fills'!Q682="PHILLIPSG",'ATP Fills'!F682,""))</f>
        <v/>
      </c>
      <c r="B682" t="str">
        <f>IF(A682="","",'ATP Fills'!L682)</f>
        <v/>
      </c>
      <c r="C682" t="str">
        <f>IF(A682="","",'ATP Fills'!M682)</f>
        <v/>
      </c>
      <c r="D682" t="str">
        <f>IF(A682="","",'ATP Fills'!B682)</f>
        <v/>
      </c>
      <c r="E682" s="3" t="str">
        <f>IF(A682="","",IF(DATE(LEFT(D682,4),MID(D682,5,2),RIGHT(D682,2))=Helper1!$P$1,Helper1!$P$1,""))</f>
        <v/>
      </c>
      <c r="F682" s="3" t="str">
        <f>IF(A682="","",'ATP Fills'!G682)</f>
        <v/>
      </c>
      <c r="G682" t="str">
        <f>IF(A682="","",'ATP Fills'!H682)</f>
        <v/>
      </c>
      <c r="H682" t="str">
        <f>IF(A682="","",VLOOKUP(G682,表3_3[],2,0))</f>
        <v/>
      </c>
      <c r="I682" t="str">
        <f>IF(A682="","",VLOOKUP(G682,表3_3[],3,0))</f>
        <v/>
      </c>
      <c r="J682" t="str">
        <f>IF(A682="","",IF('ATP Fills'!I682="3M","",VLOOKUP(RIGHT('ATP Fills'!I682,2),Helper1!$O$36:$P$48,2,0)))</f>
        <v/>
      </c>
      <c r="K682" t="str">
        <f>IF(J682="","",LEFT('ATP Fills'!I682,4))</f>
        <v/>
      </c>
      <c r="L682" t="str">
        <f>IF(A682="","",IF('ATP Fills'!G682="LME",'ATP Fills'!I682,""))</f>
        <v/>
      </c>
      <c r="M682" t="str">
        <f t="shared" si="10"/>
        <v/>
      </c>
    </row>
    <row r="683" spans="1:13">
      <c r="A683" t="str">
        <f>IF('ATP Fills'!A683="","",IF('ATP Fills'!Q683="PHILLIPSG",'ATP Fills'!F683,""))</f>
        <v/>
      </c>
      <c r="B683" t="str">
        <f>IF(A683="","",'ATP Fills'!L683)</f>
        <v/>
      </c>
      <c r="C683" t="str">
        <f>IF(A683="","",'ATP Fills'!M683)</f>
        <v/>
      </c>
      <c r="D683" t="str">
        <f>IF(A683="","",'ATP Fills'!B683)</f>
        <v/>
      </c>
      <c r="E683" s="3" t="str">
        <f>IF(A683="","",IF(DATE(LEFT(D683,4),MID(D683,5,2),RIGHT(D683,2))=Helper1!$P$1,Helper1!$P$1,""))</f>
        <v/>
      </c>
      <c r="F683" s="3" t="str">
        <f>IF(A683="","",'ATP Fills'!G683)</f>
        <v/>
      </c>
      <c r="G683" t="str">
        <f>IF(A683="","",'ATP Fills'!H683)</f>
        <v/>
      </c>
      <c r="H683" t="str">
        <f>IF(A683="","",VLOOKUP(G683,表3_3[],2,0))</f>
        <v/>
      </c>
      <c r="I683" t="str">
        <f>IF(A683="","",VLOOKUP(G683,表3_3[],3,0))</f>
        <v/>
      </c>
      <c r="J683" t="str">
        <f>IF(A683="","",IF('ATP Fills'!I683="3M","",VLOOKUP(RIGHT('ATP Fills'!I683,2),Helper1!$O$36:$P$48,2,0)))</f>
        <v/>
      </c>
      <c r="K683" t="str">
        <f>IF(J683="","",LEFT('ATP Fills'!I683,4))</f>
        <v/>
      </c>
      <c r="L683" t="str">
        <f>IF(A683="","",IF('ATP Fills'!G683="LME",'ATP Fills'!I683,""))</f>
        <v/>
      </c>
      <c r="M683" t="str">
        <f t="shared" si="10"/>
        <v/>
      </c>
    </row>
    <row r="684" spans="1:13">
      <c r="A684" t="str">
        <f>IF('ATP Fills'!A684="","",IF('ATP Fills'!Q684="PHILLIPSG",'ATP Fills'!F684,""))</f>
        <v/>
      </c>
      <c r="B684" t="str">
        <f>IF(A684="","",'ATP Fills'!L684)</f>
        <v/>
      </c>
      <c r="C684" t="str">
        <f>IF(A684="","",'ATP Fills'!M684)</f>
        <v/>
      </c>
      <c r="D684" t="str">
        <f>IF(A684="","",'ATP Fills'!B684)</f>
        <v/>
      </c>
      <c r="E684" s="3" t="str">
        <f>IF(A684="","",IF(DATE(LEFT(D684,4),MID(D684,5,2),RIGHT(D684,2))=Helper1!$P$1,Helper1!$P$1,""))</f>
        <v/>
      </c>
      <c r="F684" s="3" t="str">
        <f>IF(A684="","",'ATP Fills'!G684)</f>
        <v/>
      </c>
      <c r="G684" t="str">
        <f>IF(A684="","",'ATP Fills'!H684)</f>
        <v/>
      </c>
      <c r="H684" t="str">
        <f>IF(A684="","",VLOOKUP(G684,表3_3[],2,0))</f>
        <v/>
      </c>
      <c r="I684" t="str">
        <f>IF(A684="","",VLOOKUP(G684,表3_3[],3,0))</f>
        <v/>
      </c>
      <c r="J684" t="str">
        <f>IF(A684="","",IF('ATP Fills'!I684="3M","",VLOOKUP(RIGHT('ATP Fills'!I684,2),Helper1!$O$36:$P$48,2,0)))</f>
        <v/>
      </c>
      <c r="K684" t="str">
        <f>IF(J684="","",LEFT('ATP Fills'!I684,4))</f>
        <v/>
      </c>
      <c r="L684" t="str">
        <f>IF(A684="","",IF('ATP Fills'!G684="LME",'ATP Fills'!I684,""))</f>
        <v/>
      </c>
      <c r="M684" t="str">
        <f t="shared" si="10"/>
        <v/>
      </c>
    </row>
    <row r="685" spans="1:13">
      <c r="A685" t="str">
        <f>IF('ATP Fills'!A685="","",IF('ATP Fills'!Q685="PHILLIPSG",'ATP Fills'!F685,""))</f>
        <v/>
      </c>
      <c r="B685" t="str">
        <f>IF(A685="","",'ATP Fills'!L685)</f>
        <v/>
      </c>
      <c r="C685" t="str">
        <f>IF(A685="","",'ATP Fills'!M685)</f>
        <v/>
      </c>
      <c r="D685" t="str">
        <f>IF(A685="","",'ATP Fills'!B685)</f>
        <v/>
      </c>
      <c r="E685" s="3" t="str">
        <f>IF(A685="","",IF(DATE(LEFT(D685,4),MID(D685,5,2),RIGHT(D685,2))=Helper1!$P$1,Helper1!$P$1,""))</f>
        <v/>
      </c>
      <c r="F685" s="3" t="str">
        <f>IF(A685="","",'ATP Fills'!G685)</f>
        <v/>
      </c>
      <c r="G685" t="str">
        <f>IF(A685="","",'ATP Fills'!H685)</f>
        <v/>
      </c>
      <c r="H685" t="str">
        <f>IF(A685="","",VLOOKUP(G685,表3_3[],2,0))</f>
        <v/>
      </c>
      <c r="I685" t="str">
        <f>IF(A685="","",VLOOKUP(G685,表3_3[],3,0))</f>
        <v/>
      </c>
      <c r="J685" t="str">
        <f>IF(A685="","",IF('ATP Fills'!I685="3M","",VLOOKUP(RIGHT('ATP Fills'!I685,2),Helper1!$O$36:$P$48,2,0)))</f>
        <v/>
      </c>
      <c r="K685" t="str">
        <f>IF(J685="","",LEFT('ATP Fills'!I685,4))</f>
        <v/>
      </c>
      <c r="L685" t="str">
        <f>IF(A685="","",IF('ATP Fills'!G685="LME",'ATP Fills'!I685,""))</f>
        <v/>
      </c>
      <c r="M685" t="str">
        <f t="shared" si="10"/>
        <v/>
      </c>
    </row>
    <row r="686" spans="1:13">
      <c r="A686" t="str">
        <f>IF('ATP Fills'!A686="","",IF('ATP Fills'!Q686="PHILLIPSG",'ATP Fills'!F686,""))</f>
        <v/>
      </c>
      <c r="B686" t="str">
        <f>IF(A686="","",'ATP Fills'!L686)</f>
        <v/>
      </c>
      <c r="C686" t="str">
        <f>IF(A686="","",'ATP Fills'!M686)</f>
        <v/>
      </c>
      <c r="D686" t="str">
        <f>IF(A686="","",'ATP Fills'!B686)</f>
        <v/>
      </c>
      <c r="E686" s="3" t="str">
        <f>IF(A686="","",IF(DATE(LEFT(D686,4),MID(D686,5,2),RIGHT(D686,2))=Helper1!$P$1,Helper1!$P$1,""))</f>
        <v/>
      </c>
      <c r="F686" s="3" t="str">
        <f>IF(A686="","",'ATP Fills'!G686)</f>
        <v/>
      </c>
      <c r="G686" t="str">
        <f>IF(A686="","",'ATP Fills'!H686)</f>
        <v/>
      </c>
      <c r="H686" t="str">
        <f>IF(A686="","",VLOOKUP(G686,表3_3[],2,0))</f>
        <v/>
      </c>
      <c r="I686" t="str">
        <f>IF(A686="","",VLOOKUP(G686,表3_3[],3,0))</f>
        <v/>
      </c>
      <c r="J686" t="str">
        <f>IF(A686="","",IF('ATP Fills'!I686="3M","",VLOOKUP(RIGHT('ATP Fills'!I686,2),Helper1!$O$36:$P$48,2,0)))</f>
        <v/>
      </c>
      <c r="K686" t="str">
        <f>IF(J686="","",LEFT('ATP Fills'!I686,4))</f>
        <v/>
      </c>
      <c r="L686" t="str">
        <f>IF(A686="","",IF('ATP Fills'!G686="LME",'ATP Fills'!I686,""))</f>
        <v/>
      </c>
      <c r="M686" t="str">
        <f t="shared" si="10"/>
        <v/>
      </c>
    </row>
    <row r="687" spans="1:13">
      <c r="A687" t="str">
        <f>IF('ATP Fills'!A687="","",IF('ATP Fills'!Q687="PHILLIPSG",'ATP Fills'!F687,""))</f>
        <v/>
      </c>
      <c r="B687" t="str">
        <f>IF(A687="","",'ATP Fills'!L687)</f>
        <v/>
      </c>
      <c r="C687" t="str">
        <f>IF(A687="","",'ATP Fills'!M687)</f>
        <v/>
      </c>
      <c r="D687" t="str">
        <f>IF(A687="","",'ATP Fills'!B687)</f>
        <v/>
      </c>
      <c r="E687" s="3" t="str">
        <f>IF(A687="","",IF(DATE(LEFT(D687,4),MID(D687,5,2),RIGHT(D687,2))=Helper1!$P$1,Helper1!$P$1,""))</f>
        <v/>
      </c>
      <c r="F687" s="3" t="str">
        <f>IF(A687="","",'ATP Fills'!G687)</f>
        <v/>
      </c>
      <c r="G687" t="str">
        <f>IF(A687="","",'ATP Fills'!H687)</f>
        <v/>
      </c>
      <c r="H687" t="str">
        <f>IF(A687="","",VLOOKUP(G687,表3_3[],2,0))</f>
        <v/>
      </c>
      <c r="I687" t="str">
        <f>IF(A687="","",VLOOKUP(G687,表3_3[],3,0))</f>
        <v/>
      </c>
      <c r="J687" t="str">
        <f>IF(A687="","",IF('ATP Fills'!I687="3M","",VLOOKUP(RIGHT('ATP Fills'!I687,2),Helper1!$O$36:$P$48,2,0)))</f>
        <v/>
      </c>
      <c r="K687" t="str">
        <f>IF(J687="","",LEFT('ATP Fills'!I687,4))</f>
        <v/>
      </c>
      <c r="L687" t="str">
        <f>IF(A687="","",IF('ATP Fills'!G687="LME",'ATP Fills'!I687,""))</f>
        <v/>
      </c>
      <c r="M687" t="str">
        <f t="shared" si="10"/>
        <v/>
      </c>
    </row>
    <row r="688" spans="1:13">
      <c r="A688" t="str">
        <f>IF('ATP Fills'!A688="","",IF('ATP Fills'!Q688="PHILLIPSG",'ATP Fills'!F688,""))</f>
        <v/>
      </c>
      <c r="B688" t="str">
        <f>IF(A688="","",'ATP Fills'!L688)</f>
        <v/>
      </c>
      <c r="C688" t="str">
        <f>IF(A688="","",'ATP Fills'!M688)</f>
        <v/>
      </c>
      <c r="D688" t="str">
        <f>IF(A688="","",'ATP Fills'!B688)</f>
        <v/>
      </c>
      <c r="E688" s="3" t="str">
        <f>IF(A688="","",IF(DATE(LEFT(D688,4),MID(D688,5,2),RIGHT(D688,2))=Helper1!$P$1,Helper1!$P$1,""))</f>
        <v/>
      </c>
      <c r="F688" s="3" t="str">
        <f>IF(A688="","",'ATP Fills'!G688)</f>
        <v/>
      </c>
      <c r="G688" t="str">
        <f>IF(A688="","",'ATP Fills'!H688)</f>
        <v/>
      </c>
      <c r="H688" t="str">
        <f>IF(A688="","",VLOOKUP(G688,表3_3[],2,0))</f>
        <v/>
      </c>
      <c r="I688" t="str">
        <f>IF(A688="","",VLOOKUP(G688,表3_3[],3,0))</f>
        <v/>
      </c>
      <c r="J688" t="str">
        <f>IF(A688="","",IF('ATP Fills'!I688="3M","",VLOOKUP(RIGHT('ATP Fills'!I688,2),Helper1!$O$36:$P$48,2,0)))</f>
        <v/>
      </c>
      <c r="K688" t="str">
        <f>IF(J688="","",LEFT('ATP Fills'!I688,4))</f>
        <v/>
      </c>
      <c r="L688" t="str">
        <f>IF(A688="","",IF('ATP Fills'!G688="LME",'ATP Fills'!I688,""))</f>
        <v/>
      </c>
      <c r="M688" t="str">
        <f t="shared" si="10"/>
        <v/>
      </c>
    </row>
    <row r="689" spans="1:13">
      <c r="A689" t="str">
        <f>IF('ATP Fills'!A689="","",IF('ATP Fills'!Q689="PHILLIPSG",'ATP Fills'!F689,""))</f>
        <v/>
      </c>
      <c r="B689" t="str">
        <f>IF(A689="","",'ATP Fills'!L689)</f>
        <v/>
      </c>
      <c r="C689" t="str">
        <f>IF(A689="","",'ATP Fills'!M689)</f>
        <v/>
      </c>
      <c r="D689" t="str">
        <f>IF(A689="","",'ATP Fills'!B689)</f>
        <v/>
      </c>
      <c r="E689" s="3" t="str">
        <f>IF(A689="","",IF(DATE(LEFT(D689,4),MID(D689,5,2),RIGHT(D689,2))=Helper1!$P$1,Helper1!$P$1,""))</f>
        <v/>
      </c>
      <c r="F689" s="3" t="str">
        <f>IF(A689="","",'ATP Fills'!G689)</f>
        <v/>
      </c>
      <c r="G689" t="str">
        <f>IF(A689="","",'ATP Fills'!H689)</f>
        <v/>
      </c>
      <c r="H689" t="str">
        <f>IF(A689="","",VLOOKUP(G689,表3_3[],2,0))</f>
        <v/>
      </c>
      <c r="I689" t="str">
        <f>IF(A689="","",VLOOKUP(G689,表3_3[],3,0))</f>
        <v/>
      </c>
      <c r="J689" t="str">
        <f>IF(A689="","",IF('ATP Fills'!I689="3M","",VLOOKUP(RIGHT('ATP Fills'!I689,2),Helper1!$O$36:$P$48,2,0)))</f>
        <v/>
      </c>
      <c r="K689" t="str">
        <f>IF(J689="","",LEFT('ATP Fills'!I689,4))</f>
        <v/>
      </c>
      <c r="L689" t="str">
        <f>IF(A689="","",IF('ATP Fills'!G689="LME",'ATP Fills'!I689,""))</f>
        <v/>
      </c>
      <c r="M689" t="str">
        <f t="shared" si="10"/>
        <v/>
      </c>
    </row>
    <row r="690" spans="1:13">
      <c r="A690" t="str">
        <f>IF('ATP Fills'!A690="","",IF('ATP Fills'!Q690="PHILLIPSG",'ATP Fills'!F690,""))</f>
        <v/>
      </c>
      <c r="B690" t="str">
        <f>IF(A690="","",'ATP Fills'!L690)</f>
        <v/>
      </c>
      <c r="C690" t="str">
        <f>IF(A690="","",'ATP Fills'!M690)</f>
        <v/>
      </c>
      <c r="D690" t="str">
        <f>IF(A690="","",'ATP Fills'!B690)</f>
        <v/>
      </c>
      <c r="E690" s="3" t="str">
        <f>IF(A690="","",IF(DATE(LEFT(D690,4),MID(D690,5,2),RIGHT(D690,2))=Helper1!$P$1,Helper1!$P$1,""))</f>
        <v/>
      </c>
      <c r="F690" s="3" t="str">
        <f>IF(A690="","",'ATP Fills'!G690)</f>
        <v/>
      </c>
      <c r="G690" t="str">
        <f>IF(A690="","",'ATP Fills'!H690)</f>
        <v/>
      </c>
      <c r="H690" t="str">
        <f>IF(A690="","",VLOOKUP(G690,表3_3[],2,0))</f>
        <v/>
      </c>
      <c r="I690" t="str">
        <f>IF(A690="","",VLOOKUP(G690,表3_3[],3,0))</f>
        <v/>
      </c>
      <c r="J690" t="str">
        <f>IF(A690="","",IF('ATP Fills'!I690="3M","",VLOOKUP(RIGHT('ATP Fills'!I690,2),Helper1!$O$36:$P$48,2,0)))</f>
        <v/>
      </c>
      <c r="K690" t="str">
        <f>IF(J690="","",LEFT('ATP Fills'!I690,4))</f>
        <v/>
      </c>
      <c r="L690" t="str">
        <f>IF(A690="","",IF('ATP Fills'!G690="LME",'ATP Fills'!I690,""))</f>
        <v/>
      </c>
      <c r="M690" t="str">
        <f t="shared" si="10"/>
        <v/>
      </c>
    </row>
    <row r="691" spans="1:13">
      <c r="A691" t="str">
        <f>IF('ATP Fills'!A691="","",IF('ATP Fills'!Q691="PHILLIPSG",'ATP Fills'!F691,""))</f>
        <v/>
      </c>
      <c r="B691" t="str">
        <f>IF(A691="","",'ATP Fills'!L691)</f>
        <v/>
      </c>
      <c r="C691" t="str">
        <f>IF(A691="","",'ATP Fills'!M691)</f>
        <v/>
      </c>
      <c r="D691" t="str">
        <f>IF(A691="","",'ATP Fills'!B691)</f>
        <v/>
      </c>
      <c r="E691" s="3" t="str">
        <f>IF(A691="","",IF(DATE(LEFT(D691,4),MID(D691,5,2),RIGHT(D691,2))=Helper1!$P$1,Helper1!$P$1,""))</f>
        <v/>
      </c>
      <c r="F691" s="3" t="str">
        <f>IF(A691="","",'ATP Fills'!G691)</f>
        <v/>
      </c>
      <c r="G691" t="str">
        <f>IF(A691="","",'ATP Fills'!H691)</f>
        <v/>
      </c>
      <c r="H691" t="str">
        <f>IF(A691="","",VLOOKUP(G691,表3_3[],2,0))</f>
        <v/>
      </c>
      <c r="I691" t="str">
        <f>IF(A691="","",VLOOKUP(G691,表3_3[],3,0))</f>
        <v/>
      </c>
      <c r="J691" t="str">
        <f>IF(A691="","",IF('ATP Fills'!I691="3M","",VLOOKUP(RIGHT('ATP Fills'!I691,2),Helper1!$O$36:$P$48,2,0)))</f>
        <v/>
      </c>
      <c r="K691" t="str">
        <f>IF(J691="","",LEFT('ATP Fills'!I691,4))</f>
        <v/>
      </c>
      <c r="L691" t="str">
        <f>IF(A691="","",IF('ATP Fills'!G691="LME",'ATP Fills'!I691,""))</f>
        <v/>
      </c>
      <c r="M691" t="str">
        <f t="shared" si="10"/>
        <v/>
      </c>
    </row>
    <row r="692" spans="1:13">
      <c r="A692" t="str">
        <f>IF('ATP Fills'!A692="","",IF('ATP Fills'!Q692="PHILLIPSG",'ATP Fills'!F692,""))</f>
        <v/>
      </c>
      <c r="B692" t="str">
        <f>IF(A692="","",'ATP Fills'!L692)</f>
        <v/>
      </c>
      <c r="C692" t="str">
        <f>IF(A692="","",'ATP Fills'!M692)</f>
        <v/>
      </c>
      <c r="D692" t="str">
        <f>IF(A692="","",'ATP Fills'!B692)</f>
        <v/>
      </c>
      <c r="E692" s="3" t="str">
        <f>IF(A692="","",IF(DATE(LEFT(D692,4),MID(D692,5,2),RIGHT(D692,2))=Helper1!$P$1,Helper1!$P$1,""))</f>
        <v/>
      </c>
      <c r="F692" s="3" t="str">
        <f>IF(A692="","",'ATP Fills'!G692)</f>
        <v/>
      </c>
      <c r="G692" t="str">
        <f>IF(A692="","",'ATP Fills'!H692)</f>
        <v/>
      </c>
      <c r="H692" t="str">
        <f>IF(A692="","",VLOOKUP(G692,表3_3[],2,0))</f>
        <v/>
      </c>
      <c r="I692" t="str">
        <f>IF(A692="","",VLOOKUP(G692,表3_3[],3,0))</f>
        <v/>
      </c>
      <c r="J692" t="str">
        <f>IF(A692="","",IF('ATP Fills'!I692="3M","",VLOOKUP(RIGHT('ATP Fills'!I692,2),Helper1!$O$36:$P$48,2,0)))</f>
        <v/>
      </c>
      <c r="K692" t="str">
        <f>IF(J692="","",LEFT('ATP Fills'!I692,4))</f>
        <v/>
      </c>
      <c r="L692" t="str">
        <f>IF(A692="","",IF('ATP Fills'!G692="LME",'ATP Fills'!I692,""))</f>
        <v/>
      </c>
      <c r="M692" t="str">
        <f t="shared" si="10"/>
        <v/>
      </c>
    </row>
    <row r="693" spans="1:13">
      <c r="A693" t="str">
        <f>IF('ATP Fills'!A693="","",IF('ATP Fills'!Q693="PHILLIPSG",'ATP Fills'!F693,""))</f>
        <v/>
      </c>
      <c r="B693" t="str">
        <f>IF(A693="","",'ATP Fills'!L693)</f>
        <v/>
      </c>
      <c r="C693" t="str">
        <f>IF(A693="","",'ATP Fills'!M693)</f>
        <v/>
      </c>
      <c r="D693" t="str">
        <f>IF(A693="","",'ATP Fills'!B693)</f>
        <v/>
      </c>
      <c r="E693" s="3" t="str">
        <f>IF(A693="","",IF(DATE(LEFT(D693,4),MID(D693,5,2),RIGHT(D693,2))=Helper1!$P$1,Helper1!$P$1,""))</f>
        <v/>
      </c>
      <c r="F693" s="3" t="str">
        <f>IF(A693="","",'ATP Fills'!G693)</f>
        <v/>
      </c>
      <c r="G693" t="str">
        <f>IF(A693="","",'ATP Fills'!H693)</f>
        <v/>
      </c>
      <c r="H693" t="str">
        <f>IF(A693="","",VLOOKUP(G693,表3_3[],2,0))</f>
        <v/>
      </c>
      <c r="I693" t="str">
        <f>IF(A693="","",VLOOKUP(G693,表3_3[],3,0))</f>
        <v/>
      </c>
      <c r="J693" t="str">
        <f>IF(A693="","",IF('ATP Fills'!I693="3M","",VLOOKUP(RIGHT('ATP Fills'!I693,2),Helper1!$O$36:$P$48,2,0)))</f>
        <v/>
      </c>
      <c r="K693" t="str">
        <f>IF(J693="","",LEFT('ATP Fills'!I693,4))</f>
        <v/>
      </c>
      <c r="L693" t="str">
        <f>IF(A693="","",IF('ATP Fills'!G693="LME",'ATP Fills'!I693,""))</f>
        <v/>
      </c>
      <c r="M693" t="str">
        <f t="shared" si="10"/>
        <v/>
      </c>
    </row>
    <row r="694" spans="1:13">
      <c r="A694" t="str">
        <f>IF('ATP Fills'!A694="","",IF('ATP Fills'!Q694="PHILLIPSG",'ATP Fills'!F694,""))</f>
        <v/>
      </c>
      <c r="B694" t="str">
        <f>IF(A694="","",'ATP Fills'!L694)</f>
        <v/>
      </c>
      <c r="C694" t="str">
        <f>IF(A694="","",'ATP Fills'!M694)</f>
        <v/>
      </c>
      <c r="D694" t="str">
        <f>IF(A694="","",'ATP Fills'!B694)</f>
        <v/>
      </c>
      <c r="E694" s="3" t="str">
        <f>IF(A694="","",IF(DATE(LEFT(D694,4),MID(D694,5,2),RIGHT(D694,2))=Helper1!$P$1,Helper1!$P$1,""))</f>
        <v/>
      </c>
      <c r="F694" s="3" t="str">
        <f>IF(A694="","",'ATP Fills'!G694)</f>
        <v/>
      </c>
      <c r="G694" t="str">
        <f>IF(A694="","",'ATP Fills'!H694)</f>
        <v/>
      </c>
      <c r="H694" t="str">
        <f>IF(A694="","",VLOOKUP(G694,表3_3[],2,0))</f>
        <v/>
      </c>
      <c r="I694" t="str">
        <f>IF(A694="","",VLOOKUP(G694,表3_3[],3,0))</f>
        <v/>
      </c>
      <c r="J694" t="str">
        <f>IF(A694="","",IF('ATP Fills'!I694="3M","",VLOOKUP(RIGHT('ATP Fills'!I694,2),Helper1!$O$36:$P$48,2,0)))</f>
        <v/>
      </c>
      <c r="K694" t="str">
        <f>IF(J694="","",LEFT('ATP Fills'!I694,4))</f>
        <v/>
      </c>
      <c r="L694" t="str">
        <f>IF(A694="","",IF('ATP Fills'!G694="LME",'ATP Fills'!I694,""))</f>
        <v/>
      </c>
      <c r="M694" t="str">
        <f t="shared" si="10"/>
        <v/>
      </c>
    </row>
    <row r="695" spans="1:13">
      <c r="A695" t="str">
        <f>IF('ATP Fills'!A695="","",IF('ATP Fills'!Q695="PHILLIPSG",'ATP Fills'!F695,""))</f>
        <v/>
      </c>
      <c r="B695" t="str">
        <f>IF(A695="","",'ATP Fills'!L695)</f>
        <v/>
      </c>
      <c r="C695" t="str">
        <f>IF(A695="","",'ATP Fills'!M695)</f>
        <v/>
      </c>
      <c r="D695" t="str">
        <f>IF(A695="","",'ATP Fills'!B695)</f>
        <v/>
      </c>
      <c r="E695" s="3" t="str">
        <f>IF(A695="","",IF(DATE(LEFT(D695,4),MID(D695,5,2),RIGHT(D695,2))=Helper1!$P$1,Helper1!$P$1,""))</f>
        <v/>
      </c>
      <c r="F695" s="3" t="str">
        <f>IF(A695="","",'ATP Fills'!G695)</f>
        <v/>
      </c>
      <c r="G695" t="str">
        <f>IF(A695="","",'ATP Fills'!H695)</f>
        <v/>
      </c>
      <c r="H695" t="str">
        <f>IF(A695="","",VLOOKUP(G695,表3_3[],2,0))</f>
        <v/>
      </c>
      <c r="I695" t="str">
        <f>IF(A695="","",VLOOKUP(G695,表3_3[],3,0))</f>
        <v/>
      </c>
      <c r="J695" t="str">
        <f>IF(A695="","",IF('ATP Fills'!I695="3M","",VLOOKUP(RIGHT('ATP Fills'!I695,2),Helper1!$O$36:$P$48,2,0)))</f>
        <v/>
      </c>
      <c r="K695" t="str">
        <f>IF(J695="","",LEFT('ATP Fills'!I695,4))</f>
        <v/>
      </c>
      <c r="L695" t="str">
        <f>IF(A695="","",IF('ATP Fills'!G695="LME",'ATP Fills'!I695,""))</f>
        <v/>
      </c>
      <c r="M695" t="str">
        <f t="shared" si="10"/>
        <v/>
      </c>
    </row>
    <row r="696" spans="1:13">
      <c r="A696" t="str">
        <f>IF('ATP Fills'!A696="","",IF('ATP Fills'!Q696="PHILLIPSG",'ATP Fills'!F696,""))</f>
        <v/>
      </c>
      <c r="B696" t="str">
        <f>IF(A696="","",'ATP Fills'!L696)</f>
        <v/>
      </c>
      <c r="C696" t="str">
        <f>IF(A696="","",'ATP Fills'!M696)</f>
        <v/>
      </c>
      <c r="D696" t="str">
        <f>IF(A696="","",'ATP Fills'!B696)</f>
        <v/>
      </c>
      <c r="E696" s="3" t="str">
        <f>IF(A696="","",IF(DATE(LEFT(D696,4),MID(D696,5,2),RIGHT(D696,2))=Helper1!$P$1,Helper1!$P$1,""))</f>
        <v/>
      </c>
      <c r="F696" s="3" t="str">
        <f>IF(A696="","",'ATP Fills'!G696)</f>
        <v/>
      </c>
      <c r="G696" t="str">
        <f>IF(A696="","",'ATP Fills'!H696)</f>
        <v/>
      </c>
      <c r="H696" t="str">
        <f>IF(A696="","",VLOOKUP(G696,表3_3[],2,0))</f>
        <v/>
      </c>
      <c r="I696" t="str">
        <f>IF(A696="","",VLOOKUP(G696,表3_3[],3,0))</f>
        <v/>
      </c>
      <c r="J696" t="str">
        <f>IF(A696="","",IF('ATP Fills'!I696="3M","",VLOOKUP(RIGHT('ATP Fills'!I696,2),Helper1!$O$36:$P$48,2,0)))</f>
        <v/>
      </c>
      <c r="K696" t="str">
        <f>IF(J696="","",LEFT('ATP Fills'!I696,4))</f>
        <v/>
      </c>
      <c r="L696" t="str">
        <f>IF(A696="","",IF('ATP Fills'!G696="LME",'ATP Fills'!I696,""))</f>
        <v/>
      </c>
      <c r="M696" t="str">
        <f t="shared" si="10"/>
        <v/>
      </c>
    </row>
    <row r="697" spans="1:13">
      <c r="A697" t="str">
        <f>IF('ATP Fills'!A697="","",IF('ATP Fills'!Q697="PHILLIPSG",'ATP Fills'!F697,""))</f>
        <v/>
      </c>
      <c r="B697" t="str">
        <f>IF(A697="","",'ATP Fills'!L697)</f>
        <v/>
      </c>
      <c r="C697" t="str">
        <f>IF(A697="","",'ATP Fills'!M697)</f>
        <v/>
      </c>
      <c r="D697" t="str">
        <f>IF(A697="","",'ATP Fills'!B697)</f>
        <v/>
      </c>
      <c r="E697" s="3" t="str">
        <f>IF(A697="","",IF(DATE(LEFT(D697,4),MID(D697,5,2),RIGHT(D697,2))=Helper1!$P$1,Helper1!$P$1,""))</f>
        <v/>
      </c>
      <c r="F697" s="3" t="str">
        <f>IF(A697="","",'ATP Fills'!G697)</f>
        <v/>
      </c>
      <c r="G697" t="str">
        <f>IF(A697="","",'ATP Fills'!H697)</f>
        <v/>
      </c>
      <c r="H697" t="str">
        <f>IF(A697="","",VLOOKUP(G697,表3_3[],2,0))</f>
        <v/>
      </c>
      <c r="I697" t="str">
        <f>IF(A697="","",VLOOKUP(G697,表3_3[],3,0))</f>
        <v/>
      </c>
      <c r="J697" t="str">
        <f>IF(A697="","",IF('ATP Fills'!I697="3M","",VLOOKUP(RIGHT('ATP Fills'!I697,2),Helper1!$O$36:$P$48,2,0)))</f>
        <v/>
      </c>
      <c r="K697" t="str">
        <f>IF(J697="","",LEFT('ATP Fills'!I697,4))</f>
        <v/>
      </c>
      <c r="L697" t="str">
        <f>IF(A697="","",IF('ATP Fills'!G697="LME",'ATP Fills'!I697,""))</f>
        <v/>
      </c>
      <c r="M697" t="str">
        <f t="shared" si="10"/>
        <v/>
      </c>
    </row>
    <row r="698" spans="1:13">
      <c r="A698" t="str">
        <f>IF('ATP Fills'!A698="","",IF('ATP Fills'!Q698="PHILLIPSG",'ATP Fills'!F698,""))</f>
        <v/>
      </c>
      <c r="B698" t="str">
        <f>IF(A698="","",'ATP Fills'!L698)</f>
        <v/>
      </c>
      <c r="C698" t="str">
        <f>IF(A698="","",'ATP Fills'!M698)</f>
        <v/>
      </c>
      <c r="D698" t="str">
        <f>IF(A698="","",'ATP Fills'!B698)</f>
        <v/>
      </c>
      <c r="E698" s="3" t="str">
        <f>IF(A698="","",IF(DATE(LEFT(D698,4),MID(D698,5,2),RIGHT(D698,2))=Helper1!$P$1,Helper1!$P$1,""))</f>
        <v/>
      </c>
      <c r="F698" s="3" t="str">
        <f>IF(A698="","",'ATP Fills'!G698)</f>
        <v/>
      </c>
      <c r="G698" t="str">
        <f>IF(A698="","",'ATP Fills'!H698)</f>
        <v/>
      </c>
      <c r="H698" t="str">
        <f>IF(A698="","",VLOOKUP(G698,表3_3[],2,0))</f>
        <v/>
      </c>
      <c r="I698" t="str">
        <f>IF(A698="","",VLOOKUP(G698,表3_3[],3,0))</f>
        <v/>
      </c>
      <c r="J698" t="str">
        <f>IF(A698="","",IF('ATP Fills'!I698="3M","",VLOOKUP(RIGHT('ATP Fills'!I698,2),Helper1!$O$36:$P$48,2,0)))</f>
        <v/>
      </c>
      <c r="K698" t="str">
        <f>IF(J698="","",LEFT('ATP Fills'!I698,4))</f>
        <v/>
      </c>
      <c r="L698" t="str">
        <f>IF(A698="","",IF('ATP Fills'!G698="LME",'ATP Fills'!I698,""))</f>
        <v/>
      </c>
      <c r="M698" t="str">
        <f t="shared" si="10"/>
        <v/>
      </c>
    </row>
    <row r="699" spans="1:13">
      <c r="A699" t="str">
        <f>IF('ATP Fills'!A699="","",IF('ATP Fills'!Q699="PHILLIPSG",'ATP Fills'!F699,""))</f>
        <v/>
      </c>
      <c r="B699" t="str">
        <f>IF(A699="","",'ATP Fills'!L699)</f>
        <v/>
      </c>
      <c r="C699" t="str">
        <f>IF(A699="","",'ATP Fills'!M699)</f>
        <v/>
      </c>
      <c r="D699" t="str">
        <f>IF(A699="","",'ATP Fills'!B699)</f>
        <v/>
      </c>
      <c r="E699" s="3" t="str">
        <f>IF(A699="","",IF(DATE(LEFT(D699,4),MID(D699,5,2),RIGHT(D699,2))=Helper1!$P$1,Helper1!$P$1,""))</f>
        <v/>
      </c>
      <c r="F699" s="3" t="str">
        <f>IF(A699="","",'ATP Fills'!G699)</f>
        <v/>
      </c>
      <c r="G699" t="str">
        <f>IF(A699="","",'ATP Fills'!H699)</f>
        <v/>
      </c>
      <c r="H699" t="str">
        <f>IF(A699="","",VLOOKUP(G699,表3_3[],2,0))</f>
        <v/>
      </c>
      <c r="I699" t="str">
        <f>IF(A699="","",VLOOKUP(G699,表3_3[],3,0))</f>
        <v/>
      </c>
      <c r="J699" t="str">
        <f>IF(A699="","",IF('ATP Fills'!I699="3M","",VLOOKUP(RIGHT('ATP Fills'!I699,2),Helper1!$O$36:$P$48,2,0)))</f>
        <v/>
      </c>
      <c r="K699" t="str">
        <f>IF(J699="","",LEFT('ATP Fills'!I699,4))</f>
        <v/>
      </c>
      <c r="L699" t="str">
        <f>IF(A699="","",IF('ATP Fills'!G699="LME",'ATP Fills'!I699,""))</f>
        <v/>
      </c>
      <c r="M699" t="str">
        <f t="shared" si="10"/>
        <v/>
      </c>
    </row>
    <row r="700" spans="1:13">
      <c r="A700" t="str">
        <f>IF('ATP Fills'!A700="","",IF('ATP Fills'!Q700="PHILLIPSG",'ATP Fills'!F700,""))</f>
        <v/>
      </c>
      <c r="B700" t="str">
        <f>IF(A700="","",'ATP Fills'!L700)</f>
        <v/>
      </c>
      <c r="C700" t="str">
        <f>IF(A700="","",'ATP Fills'!M700)</f>
        <v/>
      </c>
      <c r="D700" t="str">
        <f>IF(A700="","",'ATP Fills'!B700)</f>
        <v/>
      </c>
      <c r="E700" s="3" t="str">
        <f>IF(A700="","",IF(DATE(LEFT(D700,4),MID(D700,5,2),RIGHT(D700,2))=Helper1!$P$1,Helper1!$P$1,""))</f>
        <v/>
      </c>
      <c r="F700" s="3" t="str">
        <f>IF(A700="","",'ATP Fills'!G700)</f>
        <v/>
      </c>
      <c r="G700" t="str">
        <f>IF(A700="","",'ATP Fills'!H700)</f>
        <v/>
      </c>
      <c r="H700" t="str">
        <f>IF(A700="","",VLOOKUP(G700,表3_3[],2,0))</f>
        <v/>
      </c>
      <c r="I700" t="str">
        <f>IF(A700="","",VLOOKUP(G700,表3_3[],3,0))</f>
        <v/>
      </c>
      <c r="J700" t="str">
        <f>IF(A700="","",IF('ATP Fills'!I700="3M","",VLOOKUP(RIGHT('ATP Fills'!I700,2),Helper1!$O$36:$P$48,2,0)))</f>
        <v/>
      </c>
      <c r="K700" t="str">
        <f>IF(J700="","",LEFT('ATP Fills'!I700,4))</f>
        <v/>
      </c>
      <c r="L700" t="str">
        <f>IF(A700="","",IF('ATP Fills'!G700="LME",'ATP Fills'!I700,""))</f>
        <v/>
      </c>
      <c r="M700" t="str">
        <f t="shared" si="10"/>
        <v/>
      </c>
    </row>
    <row r="701" spans="1:13">
      <c r="A701" t="str">
        <f>IF('ATP Fills'!A701="","",IF('ATP Fills'!Q701="PHILLIPSG",'ATP Fills'!F701,""))</f>
        <v/>
      </c>
      <c r="B701" t="str">
        <f>IF(A701="","",'ATP Fills'!L701)</f>
        <v/>
      </c>
      <c r="C701" t="str">
        <f>IF(A701="","",'ATP Fills'!M701)</f>
        <v/>
      </c>
      <c r="D701" t="str">
        <f>IF(A701="","",'ATP Fills'!B701)</f>
        <v/>
      </c>
      <c r="E701" s="3" t="str">
        <f>IF(A701="","",IF(DATE(LEFT(D701,4),MID(D701,5,2),RIGHT(D701,2))=Helper1!$P$1,Helper1!$P$1,""))</f>
        <v/>
      </c>
      <c r="F701" s="3" t="str">
        <f>IF(A701="","",'ATP Fills'!G701)</f>
        <v/>
      </c>
      <c r="G701" t="str">
        <f>IF(A701="","",'ATP Fills'!H701)</f>
        <v/>
      </c>
      <c r="H701" t="str">
        <f>IF(A701="","",VLOOKUP(G701,表3_3[],2,0))</f>
        <v/>
      </c>
      <c r="I701" t="str">
        <f>IF(A701="","",VLOOKUP(G701,表3_3[],3,0))</f>
        <v/>
      </c>
      <c r="J701" t="str">
        <f>IF(A701="","",IF('ATP Fills'!I701="3M","",VLOOKUP(RIGHT('ATP Fills'!I701,2),Helper1!$O$36:$P$48,2,0)))</f>
        <v/>
      </c>
      <c r="K701" t="str">
        <f>IF(J701="","",LEFT('ATP Fills'!I701,4))</f>
        <v/>
      </c>
      <c r="L701" t="str">
        <f>IF(A701="","",IF('ATP Fills'!G701="LME",'ATP Fills'!I701,""))</f>
        <v/>
      </c>
      <c r="M701" t="str">
        <f t="shared" si="10"/>
        <v/>
      </c>
    </row>
    <row r="702" spans="1:13">
      <c r="A702" t="str">
        <f>IF('ATP Fills'!A702="","",IF('ATP Fills'!Q702="PHILLIPSG",'ATP Fills'!F702,""))</f>
        <v/>
      </c>
      <c r="B702" t="str">
        <f>IF(A702="","",'ATP Fills'!L702)</f>
        <v/>
      </c>
      <c r="C702" t="str">
        <f>IF(A702="","",'ATP Fills'!M702)</f>
        <v/>
      </c>
      <c r="D702" t="str">
        <f>IF(A702="","",'ATP Fills'!B702)</f>
        <v/>
      </c>
      <c r="E702" s="3" t="str">
        <f>IF(A702="","",IF(DATE(LEFT(D702,4),MID(D702,5,2),RIGHT(D702,2))=Helper1!$P$1,Helper1!$P$1,""))</f>
        <v/>
      </c>
      <c r="F702" s="3" t="str">
        <f>IF(A702="","",'ATP Fills'!G702)</f>
        <v/>
      </c>
      <c r="G702" t="str">
        <f>IF(A702="","",'ATP Fills'!H702)</f>
        <v/>
      </c>
      <c r="H702" t="str">
        <f>IF(A702="","",VLOOKUP(G702,表3_3[],2,0))</f>
        <v/>
      </c>
      <c r="I702" t="str">
        <f>IF(A702="","",VLOOKUP(G702,表3_3[],3,0))</f>
        <v/>
      </c>
      <c r="J702" t="str">
        <f>IF(A702="","",IF('ATP Fills'!I702="3M","",VLOOKUP(RIGHT('ATP Fills'!I702,2),Helper1!$O$36:$P$48,2,0)))</f>
        <v/>
      </c>
      <c r="K702" t="str">
        <f>IF(J702="","",LEFT('ATP Fills'!I702,4))</f>
        <v/>
      </c>
      <c r="L702" t="str">
        <f>IF(A702="","",IF('ATP Fills'!G702="LME",'ATP Fills'!I702,""))</f>
        <v/>
      </c>
      <c r="M702" t="str">
        <f t="shared" si="10"/>
        <v/>
      </c>
    </row>
    <row r="703" spans="1:13">
      <c r="A703" t="str">
        <f>IF('ATP Fills'!A703="","",IF('ATP Fills'!Q703="PHILLIPSG",'ATP Fills'!F703,""))</f>
        <v/>
      </c>
      <c r="B703" t="str">
        <f>IF(A703="","",'ATP Fills'!L703)</f>
        <v/>
      </c>
      <c r="C703" t="str">
        <f>IF(A703="","",'ATP Fills'!M703)</f>
        <v/>
      </c>
      <c r="D703" t="str">
        <f>IF(A703="","",'ATP Fills'!B703)</f>
        <v/>
      </c>
      <c r="E703" s="3" t="str">
        <f>IF(A703="","",IF(DATE(LEFT(D703,4),MID(D703,5,2),RIGHT(D703,2))=Helper1!$P$1,Helper1!$P$1,""))</f>
        <v/>
      </c>
      <c r="F703" s="3" t="str">
        <f>IF(A703="","",'ATP Fills'!G703)</f>
        <v/>
      </c>
      <c r="G703" t="str">
        <f>IF(A703="","",'ATP Fills'!H703)</f>
        <v/>
      </c>
      <c r="H703" t="str">
        <f>IF(A703="","",VLOOKUP(G703,表3_3[],2,0))</f>
        <v/>
      </c>
      <c r="I703" t="str">
        <f>IF(A703="","",VLOOKUP(G703,表3_3[],3,0))</f>
        <v/>
      </c>
      <c r="J703" t="str">
        <f>IF(A703="","",IF('ATP Fills'!I703="3M","",VLOOKUP(RIGHT('ATP Fills'!I703,2),Helper1!$O$36:$P$48,2,0)))</f>
        <v/>
      </c>
      <c r="K703" t="str">
        <f>IF(J703="","",LEFT('ATP Fills'!I703,4))</f>
        <v/>
      </c>
      <c r="L703" t="str">
        <f>IF(A703="","",IF('ATP Fills'!G703="LME",'ATP Fills'!I703,""))</f>
        <v/>
      </c>
      <c r="M703" t="str">
        <f t="shared" si="10"/>
        <v/>
      </c>
    </row>
    <row r="704" spans="1:13">
      <c r="A704" t="str">
        <f>IF('ATP Fills'!A704="","",IF('ATP Fills'!Q704="PHILLIPSG",'ATP Fills'!F704,""))</f>
        <v/>
      </c>
      <c r="B704" t="str">
        <f>IF(A704="","",'ATP Fills'!L704)</f>
        <v/>
      </c>
      <c r="C704" t="str">
        <f>IF(A704="","",'ATP Fills'!M704)</f>
        <v/>
      </c>
      <c r="D704" t="str">
        <f>IF(A704="","",'ATP Fills'!B704)</f>
        <v/>
      </c>
      <c r="E704" s="3" t="str">
        <f>IF(A704="","",IF(DATE(LEFT(D704,4),MID(D704,5,2),RIGHT(D704,2))=Helper1!$P$1,Helper1!$P$1,""))</f>
        <v/>
      </c>
      <c r="F704" s="3" t="str">
        <f>IF(A704="","",'ATP Fills'!G704)</f>
        <v/>
      </c>
      <c r="G704" t="str">
        <f>IF(A704="","",'ATP Fills'!H704)</f>
        <v/>
      </c>
      <c r="H704" t="str">
        <f>IF(A704="","",VLOOKUP(G704,表3_3[],2,0))</f>
        <v/>
      </c>
      <c r="I704" t="str">
        <f>IF(A704="","",VLOOKUP(G704,表3_3[],3,0))</f>
        <v/>
      </c>
      <c r="J704" t="str">
        <f>IF(A704="","",IF('ATP Fills'!I704="3M","",VLOOKUP(RIGHT('ATP Fills'!I704,2),Helper1!$O$36:$P$48,2,0)))</f>
        <v/>
      </c>
      <c r="K704" t="str">
        <f>IF(J704="","",LEFT('ATP Fills'!I704,4))</f>
        <v/>
      </c>
      <c r="L704" t="str">
        <f>IF(A704="","",IF('ATP Fills'!G704="LME",'ATP Fills'!I704,""))</f>
        <v/>
      </c>
      <c r="M704" t="str">
        <f t="shared" si="10"/>
        <v/>
      </c>
    </row>
    <row r="705" spans="1:13">
      <c r="A705" t="str">
        <f>IF('ATP Fills'!A705="","",IF('ATP Fills'!Q705="PHILLIPSG",'ATP Fills'!F705,""))</f>
        <v/>
      </c>
      <c r="B705" t="str">
        <f>IF(A705="","",'ATP Fills'!L705)</f>
        <v/>
      </c>
      <c r="C705" t="str">
        <f>IF(A705="","",'ATP Fills'!M705)</f>
        <v/>
      </c>
      <c r="D705" t="str">
        <f>IF(A705="","",'ATP Fills'!B705)</f>
        <v/>
      </c>
      <c r="E705" s="3" t="str">
        <f>IF(A705="","",IF(DATE(LEFT(D705,4),MID(D705,5,2),RIGHT(D705,2))=Helper1!$P$1,Helper1!$P$1,""))</f>
        <v/>
      </c>
      <c r="F705" s="3" t="str">
        <f>IF(A705="","",'ATP Fills'!G705)</f>
        <v/>
      </c>
      <c r="G705" t="str">
        <f>IF(A705="","",'ATP Fills'!H705)</f>
        <v/>
      </c>
      <c r="H705" t="str">
        <f>IF(A705="","",VLOOKUP(G705,表3_3[],2,0))</f>
        <v/>
      </c>
      <c r="I705" t="str">
        <f>IF(A705="","",VLOOKUP(G705,表3_3[],3,0))</f>
        <v/>
      </c>
      <c r="J705" t="str">
        <f>IF(A705="","",IF('ATP Fills'!I705="3M","",VLOOKUP(RIGHT('ATP Fills'!I705,2),Helper1!$O$36:$P$48,2,0)))</f>
        <v/>
      </c>
      <c r="K705" t="str">
        <f>IF(J705="","",LEFT('ATP Fills'!I705,4))</f>
        <v/>
      </c>
      <c r="L705" t="str">
        <f>IF(A705="","",IF('ATP Fills'!G705="LME",'ATP Fills'!I705,""))</f>
        <v/>
      </c>
      <c r="M705" t="str">
        <f t="shared" si="10"/>
        <v/>
      </c>
    </row>
    <row r="706" spans="1:13">
      <c r="A706" t="str">
        <f>IF('ATP Fills'!A706="","",IF('ATP Fills'!Q706="PHILLIPSG",'ATP Fills'!F706,""))</f>
        <v/>
      </c>
      <c r="B706" t="str">
        <f>IF(A706="","",'ATP Fills'!L706)</f>
        <v/>
      </c>
      <c r="C706" t="str">
        <f>IF(A706="","",'ATP Fills'!M706)</f>
        <v/>
      </c>
      <c r="D706" t="str">
        <f>IF(A706="","",'ATP Fills'!B706)</f>
        <v/>
      </c>
      <c r="E706" s="3" t="str">
        <f>IF(A706="","",IF(DATE(LEFT(D706,4),MID(D706,5,2),RIGHT(D706,2))=Helper1!$P$1,Helper1!$P$1,""))</f>
        <v/>
      </c>
      <c r="F706" s="3" t="str">
        <f>IF(A706="","",'ATP Fills'!G706)</f>
        <v/>
      </c>
      <c r="G706" t="str">
        <f>IF(A706="","",'ATP Fills'!H706)</f>
        <v/>
      </c>
      <c r="H706" t="str">
        <f>IF(A706="","",VLOOKUP(G706,表3_3[],2,0))</f>
        <v/>
      </c>
      <c r="I706" t="str">
        <f>IF(A706="","",VLOOKUP(G706,表3_3[],3,0))</f>
        <v/>
      </c>
      <c r="J706" t="str">
        <f>IF(A706="","",IF('ATP Fills'!I706="3M","",VLOOKUP(RIGHT('ATP Fills'!I706,2),Helper1!$O$36:$P$48,2,0)))</f>
        <v/>
      </c>
      <c r="K706" t="str">
        <f>IF(J706="","",LEFT('ATP Fills'!I706,4))</f>
        <v/>
      </c>
      <c r="L706" t="str">
        <f>IF(A706="","",IF('ATP Fills'!G706="LME",'ATP Fills'!I706,""))</f>
        <v/>
      </c>
      <c r="M706" t="str">
        <f t="shared" si="10"/>
        <v/>
      </c>
    </row>
    <row r="707" spans="1:13">
      <c r="A707" t="str">
        <f>IF('ATP Fills'!A707="","",IF('ATP Fills'!Q707="PHILLIPSG",'ATP Fills'!F707,""))</f>
        <v/>
      </c>
      <c r="B707" t="str">
        <f>IF(A707="","",'ATP Fills'!L707)</f>
        <v/>
      </c>
      <c r="C707" t="str">
        <f>IF(A707="","",'ATP Fills'!M707)</f>
        <v/>
      </c>
      <c r="D707" t="str">
        <f>IF(A707="","",'ATP Fills'!B707)</f>
        <v/>
      </c>
      <c r="E707" s="3" t="str">
        <f>IF(A707="","",IF(DATE(LEFT(D707,4),MID(D707,5,2),RIGHT(D707,2))=Helper1!$P$1,Helper1!$P$1,""))</f>
        <v/>
      </c>
      <c r="F707" s="3" t="str">
        <f>IF(A707="","",'ATP Fills'!G707)</f>
        <v/>
      </c>
      <c r="G707" t="str">
        <f>IF(A707="","",'ATP Fills'!H707)</f>
        <v/>
      </c>
      <c r="H707" t="str">
        <f>IF(A707="","",VLOOKUP(G707,表3_3[],2,0))</f>
        <v/>
      </c>
      <c r="I707" t="str">
        <f>IF(A707="","",VLOOKUP(G707,表3_3[],3,0))</f>
        <v/>
      </c>
      <c r="J707" t="str">
        <f>IF(A707="","",IF('ATP Fills'!I707="3M","",VLOOKUP(RIGHT('ATP Fills'!I707,2),Helper1!$O$36:$P$48,2,0)))</f>
        <v/>
      </c>
      <c r="K707" t="str">
        <f>IF(J707="","",LEFT('ATP Fills'!I707,4))</f>
        <v/>
      </c>
      <c r="L707" t="str">
        <f>IF(A707="","",IF('ATP Fills'!G707="LME",'ATP Fills'!I707,""))</f>
        <v/>
      </c>
      <c r="M707" t="str">
        <f t="shared" ref="M707:M770" si="11">IF(A707="","",IF(F707="LME",F707&amp;"-"&amp;I707&amp;"-"&amp;L707,J707&amp;"-"&amp;K707&amp;"-"&amp;I707))</f>
        <v/>
      </c>
    </row>
    <row r="708" spans="1:13">
      <c r="A708" t="str">
        <f>IF('ATP Fills'!A708="","",IF('ATP Fills'!Q708="PHILLIPSG",'ATP Fills'!F708,""))</f>
        <v/>
      </c>
      <c r="B708" t="str">
        <f>IF(A708="","",'ATP Fills'!L708)</f>
        <v/>
      </c>
      <c r="C708" t="str">
        <f>IF(A708="","",'ATP Fills'!M708)</f>
        <v/>
      </c>
      <c r="D708" t="str">
        <f>IF(A708="","",'ATP Fills'!B708)</f>
        <v/>
      </c>
      <c r="E708" s="3" t="str">
        <f>IF(A708="","",IF(DATE(LEFT(D708,4),MID(D708,5,2),RIGHT(D708,2))=Helper1!$P$1,Helper1!$P$1,""))</f>
        <v/>
      </c>
      <c r="F708" s="3" t="str">
        <f>IF(A708="","",'ATP Fills'!G708)</f>
        <v/>
      </c>
      <c r="G708" t="str">
        <f>IF(A708="","",'ATP Fills'!H708)</f>
        <v/>
      </c>
      <c r="H708" t="str">
        <f>IF(A708="","",VLOOKUP(G708,表3_3[],2,0))</f>
        <v/>
      </c>
      <c r="I708" t="str">
        <f>IF(A708="","",VLOOKUP(G708,表3_3[],3,0))</f>
        <v/>
      </c>
      <c r="J708" t="str">
        <f>IF(A708="","",IF('ATP Fills'!I708="3M","",VLOOKUP(RIGHT('ATP Fills'!I708,2),Helper1!$O$36:$P$48,2,0)))</f>
        <v/>
      </c>
      <c r="K708" t="str">
        <f>IF(J708="","",LEFT('ATP Fills'!I708,4))</f>
        <v/>
      </c>
      <c r="L708" t="str">
        <f>IF(A708="","",IF('ATP Fills'!G708="LME",'ATP Fills'!I708,""))</f>
        <v/>
      </c>
      <c r="M708" t="str">
        <f t="shared" si="11"/>
        <v/>
      </c>
    </row>
    <row r="709" spans="1:13">
      <c r="A709" t="str">
        <f>IF('ATP Fills'!A709="","",IF('ATP Fills'!Q709="PHILLIPSG",'ATP Fills'!F709,""))</f>
        <v/>
      </c>
      <c r="B709" t="str">
        <f>IF(A709="","",'ATP Fills'!L709)</f>
        <v/>
      </c>
      <c r="C709" t="str">
        <f>IF(A709="","",'ATP Fills'!M709)</f>
        <v/>
      </c>
      <c r="D709" t="str">
        <f>IF(A709="","",'ATP Fills'!B709)</f>
        <v/>
      </c>
      <c r="E709" s="3" t="str">
        <f>IF(A709="","",IF(DATE(LEFT(D709,4),MID(D709,5,2),RIGHT(D709,2))=Helper1!$P$1,Helper1!$P$1,""))</f>
        <v/>
      </c>
      <c r="F709" s="3" t="str">
        <f>IF(A709="","",'ATP Fills'!G709)</f>
        <v/>
      </c>
      <c r="G709" t="str">
        <f>IF(A709="","",'ATP Fills'!H709)</f>
        <v/>
      </c>
      <c r="H709" t="str">
        <f>IF(A709="","",VLOOKUP(G709,表3_3[],2,0))</f>
        <v/>
      </c>
      <c r="I709" t="str">
        <f>IF(A709="","",VLOOKUP(G709,表3_3[],3,0))</f>
        <v/>
      </c>
      <c r="J709" t="str">
        <f>IF(A709="","",IF('ATP Fills'!I709="3M","",VLOOKUP(RIGHT('ATP Fills'!I709,2),Helper1!$O$36:$P$48,2,0)))</f>
        <v/>
      </c>
      <c r="K709" t="str">
        <f>IF(J709="","",LEFT('ATP Fills'!I709,4))</f>
        <v/>
      </c>
      <c r="L709" t="str">
        <f>IF(A709="","",IF('ATP Fills'!G709="LME",'ATP Fills'!I709,""))</f>
        <v/>
      </c>
      <c r="M709" t="str">
        <f t="shared" si="11"/>
        <v/>
      </c>
    </row>
    <row r="710" spans="1:13">
      <c r="A710" t="str">
        <f>IF('ATP Fills'!A710="","",IF('ATP Fills'!Q710="PHILLIPSG",'ATP Fills'!F710,""))</f>
        <v/>
      </c>
      <c r="B710" t="str">
        <f>IF(A710="","",'ATP Fills'!L710)</f>
        <v/>
      </c>
      <c r="C710" t="str">
        <f>IF(A710="","",'ATP Fills'!M710)</f>
        <v/>
      </c>
      <c r="D710" t="str">
        <f>IF(A710="","",'ATP Fills'!B710)</f>
        <v/>
      </c>
      <c r="E710" s="3" t="str">
        <f>IF(A710="","",IF(DATE(LEFT(D710,4),MID(D710,5,2),RIGHT(D710,2))=Helper1!$P$1,Helper1!$P$1,""))</f>
        <v/>
      </c>
      <c r="F710" s="3" t="str">
        <f>IF(A710="","",'ATP Fills'!G710)</f>
        <v/>
      </c>
      <c r="G710" t="str">
        <f>IF(A710="","",'ATP Fills'!H710)</f>
        <v/>
      </c>
      <c r="H710" t="str">
        <f>IF(A710="","",VLOOKUP(G710,表3_3[],2,0))</f>
        <v/>
      </c>
      <c r="I710" t="str">
        <f>IF(A710="","",VLOOKUP(G710,表3_3[],3,0))</f>
        <v/>
      </c>
      <c r="J710" t="str">
        <f>IF(A710="","",IF('ATP Fills'!I710="3M","",VLOOKUP(RIGHT('ATP Fills'!I710,2),Helper1!$O$36:$P$48,2,0)))</f>
        <v/>
      </c>
      <c r="K710" t="str">
        <f>IF(J710="","",LEFT('ATP Fills'!I710,4))</f>
        <v/>
      </c>
      <c r="L710" t="str">
        <f>IF(A710="","",IF('ATP Fills'!G710="LME",'ATP Fills'!I710,""))</f>
        <v/>
      </c>
      <c r="M710" t="str">
        <f t="shared" si="11"/>
        <v/>
      </c>
    </row>
    <row r="711" spans="1:13">
      <c r="A711" t="str">
        <f>IF('ATP Fills'!A711="","",IF('ATP Fills'!Q711="PHILLIPSG",'ATP Fills'!F711,""))</f>
        <v/>
      </c>
      <c r="B711" t="str">
        <f>IF(A711="","",'ATP Fills'!L711)</f>
        <v/>
      </c>
      <c r="C711" t="str">
        <f>IF(A711="","",'ATP Fills'!M711)</f>
        <v/>
      </c>
      <c r="D711" t="str">
        <f>IF(A711="","",'ATP Fills'!B711)</f>
        <v/>
      </c>
      <c r="E711" s="3" t="str">
        <f>IF(A711="","",IF(DATE(LEFT(D711,4),MID(D711,5,2),RIGHT(D711,2))=Helper1!$P$1,Helper1!$P$1,""))</f>
        <v/>
      </c>
      <c r="F711" s="3" t="str">
        <f>IF(A711="","",'ATP Fills'!G711)</f>
        <v/>
      </c>
      <c r="G711" t="str">
        <f>IF(A711="","",'ATP Fills'!H711)</f>
        <v/>
      </c>
      <c r="H711" t="str">
        <f>IF(A711="","",VLOOKUP(G711,表3_3[],2,0))</f>
        <v/>
      </c>
      <c r="I711" t="str">
        <f>IF(A711="","",VLOOKUP(G711,表3_3[],3,0))</f>
        <v/>
      </c>
      <c r="J711" t="str">
        <f>IF(A711="","",IF('ATP Fills'!I711="3M","",VLOOKUP(RIGHT('ATP Fills'!I711,2),Helper1!$O$36:$P$48,2,0)))</f>
        <v/>
      </c>
      <c r="K711" t="str">
        <f>IF(J711="","",LEFT('ATP Fills'!I711,4))</f>
        <v/>
      </c>
      <c r="L711" t="str">
        <f>IF(A711="","",IF('ATP Fills'!G711="LME",'ATP Fills'!I711,""))</f>
        <v/>
      </c>
      <c r="M711" t="str">
        <f t="shared" si="11"/>
        <v/>
      </c>
    </row>
    <row r="712" spans="1:13">
      <c r="A712" t="str">
        <f>IF('ATP Fills'!A712="","",IF('ATP Fills'!Q712="PHILLIPSG",'ATP Fills'!F712,""))</f>
        <v/>
      </c>
      <c r="B712" t="str">
        <f>IF(A712="","",'ATP Fills'!L712)</f>
        <v/>
      </c>
      <c r="C712" t="str">
        <f>IF(A712="","",'ATP Fills'!M712)</f>
        <v/>
      </c>
      <c r="D712" t="str">
        <f>IF(A712="","",'ATP Fills'!B712)</f>
        <v/>
      </c>
      <c r="E712" s="3" t="str">
        <f>IF(A712="","",IF(DATE(LEFT(D712,4),MID(D712,5,2),RIGHT(D712,2))=Helper1!$P$1,Helper1!$P$1,""))</f>
        <v/>
      </c>
      <c r="F712" s="3" t="str">
        <f>IF(A712="","",'ATP Fills'!G712)</f>
        <v/>
      </c>
      <c r="G712" t="str">
        <f>IF(A712="","",'ATP Fills'!H712)</f>
        <v/>
      </c>
      <c r="H712" t="str">
        <f>IF(A712="","",VLOOKUP(G712,表3_3[],2,0))</f>
        <v/>
      </c>
      <c r="I712" t="str">
        <f>IF(A712="","",VLOOKUP(G712,表3_3[],3,0))</f>
        <v/>
      </c>
      <c r="J712" t="str">
        <f>IF(A712="","",IF('ATP Fills'!I712="3M","",VLOOKUP(RIGHT('ATP Fills'!I712,2),Helper1!$O$36:$P$48,2,0)))</f>
        <v/>
      </c>
      <c r="K712" t="str">
        <f>IF(J712="","",LEFT('ATP Fills'!I712,4))</f>
        <v/>
      </c>
      <c r="L712" t="str">
        <f>IF(A712="","",IF('ATP Fills'!G712="LME",'ATP Fills'!I712,""))</f>
        <v/>
      </c>
      <c r="M712" t="str">
        <f t="shared" si="11"/>
        <v/>
      </c>
    </row>
    <row r="713" spans="1:13">
      <c r="A713" t="str">
        <f>IF('ATP Fills'!A713="","",IF('ATP Fills'!Q713="PHILLIPSG",'ATP Fills'!F713,""))</f>
        <v/>
      </c>
      <c r="B713" t="str">
        <f>IF(A713="","",'ATP Fills'!L713)</f>
        <v/>
      </c>
      <c r="C713" t="str">
        <f>IF(A713="","",'ATP Fills'!M713)</f>
        <v/>
      </c>
      <c r="D713" t="str">
        <f>IF(A713="","",'ATP Fills'!B713)</f>
        <v/>
      </c>
      <c r="E713" s="3" t="str">
        <f>IF(A713="","",IF(DATE(LEFT(D713,4),MID(D713,5,2),RIGHT(D713,2))=Helper1!$P$1,Helper1!$P$1,""))</f>
        <v/>
      </c>
      <c r="F713" s="3" t="str">
        <f>IF(A713="","",'ATP Fills'!G713)</f>
        <v/>
      </c>
      <c r="G713" t="str">
        <f>IF(A713="","",'ATP Fills'!H713)</f>
        <v/>
      </c>
      <c r="H713" t="str">
        <f>IF(A713="","",VLOOKUP(G713,表3_3[],2,0))</f>
        <v/>
      </c>
      <c r="I713" t="str">
        <f>IF(A713="","",VLOOKUP(G713,表3_3[],3,0))</f>
        <v/>
      </c>
      <c r="J713" t="str">
        <f>IF(A713="","",IF('ATP Fills'!I713="3M","",VLOOKUP(RIGHT('ATP Fills'!I713,2),Helper1!$O$36:$P$48,2,0)))</f>
        <v/>
      </c>
      <c r="K713" t="str">
        <f>IF(J713="","",LEFT('ATP Fills'!I713,4))</f>
        <v/>
      </c>
      <c r="L713" t="str">
        <f>IF(A713="","",IF('ATP Fills'!G713="LME",'ATP Fills'!I713,""))</f>
        <v/>
      </c>
      <c r="M713" t="str">
        <f t="shared" si="11"/>
        <v/>
      </c>
    </row>
    <row r="714" spans="1:13">
      <c r="A714" t="str">
        <f>IF('ATP Fills'!A714="","",IF('ATP Fills'!Q714="PHILLIPSG",'ATP Fills'!F714,""))</f>
        <v/>
      </c>
      <c r="B714" t="str">
        <f>IF(A714="","",'ATP Fills'!L714)</f>
        <v/>
      </c>
      <c r="C714" t="str">
        <f>IF(A714="","",'ATP Fills'!M714)</f>
        <v/>
      </c>
      <c r="D714" t="str">
        <f>IF(A714="","",'ATP Fills'!B714)</f>
        <v/>
      </c>
      <c r="E714" s="3" t="str">
        <f>IF(A714="","",IF(DATE(LEFT(D714,4),MID(D714,5,2),RIGHT(D714,2))=Helper1!$P$1,Helper1!$P$1,""))</f>
        <v/>
      </c>
      <c r="F714" s="3" t="str">
        <f>IF(A714="","",'ATP Fills'!G714)</f>
        <v/>
      </c>
      <c r="G714" t="str">
        <f>IF(A714="","",'ATP Fills'!H714)</f>
        <v/>
      </c>
      <c r="H714" t="str">
        <f>IF(A714="","",VLOOKUP(G714,表3_3[],2,0))</f>
        <v/>
      </c>
      <c r="I714" t="str">
        <f>IF(A714="","",VLOOKUP(G714,表3_3[],3,0))</f>
        <v/>
      </c>
      <c r="J714" t="str">
        <f>IF(A714="","",IF('ATP Fills'!I714="3M","",VLOOKUP(RIGHT('ATP Fills'!I714,2),Helper1!$O$36:$P$48,2,0)))</f>
        <v/>
      </c>
      <c r="K714" t="str">
        <f>IF(J714="","",LEFT('ATP Fills'!I714,4))</f>
        <v/>
      </c>
      <c r="L714" t="str">
        <f>IF(A714="","",IF('ATP Fills'!G714="LME",'ATP Fills'!I714,""))</f>
        <v/>
      </c>
      <c r="M714" t="str">
        <f t="shared" si="11"/>
        <v/>
      </c>
    </row>
    <row r="715" spans="1:13">
      <c r="A715" t="str">
        <f>IF('ATP Fills'!A715="","",IF('ATP Fills'!Q715="PHILLIPSG",'ATP Fills'!F715,""))</f>
        <v/>
      </c>
      <c r="B715" t="str">
        <f>IF(A715="","",'ATP Fills'!L715)</f>
        <v/>
      </c>
      <c r="C715" t="str">
        <f>IF(A715="","",'ATP Fills'!M715)</f>
        <v/>
      </c>
      <c r="D715" t="str">
        <f>IF(A715="","",'ATP Fills'!B715)</f>
        <v/>
      </c>
      <c r="E715" s="3" t="str">
        <f>IF(A715="","",IF(DATE(LEFT(D715,4),MID(D715,5,2),RIGHT(D715,2))=Helper1!$P$1,Helper1!$P$1,""))</f>
        <v/>
      </c>
      <c r="F715" s="3" t="str">
        <f>IF(A715="","",'ATP Fills'!G715)</f>
        <v/>
      </c>
      <c r="G715" t="str">
        <f>IF(A715="","",'ATP Fills'!H715)</f>
        <v/>
      </c>
      <c r="H715" t="str">
        <f>IF(A715="","",VLOOKUP(G715,表3_3[],2,0))</f>
        <v/>
      </c>
      <c r="I715" t="str">
        <f>IF(A715="","",VLOOKUP(G715,表3_3[],3,0))</f>
        <v/>
      </c>
      <c r="J715" t="str">
        <f>IF(A715="","",IF('ATP Fills'!I715="3M","",VLOOKUP(RIGHT('ATP Fills'!I715,2),Helper1!$O$36:$P$48,2,0)))</f>
        <v/>
      </c>
      <c r="K715" t="str">
        <f>IF(J715="","",LEFT('ATP Fills'!I715,4))</f>
        <v/>
      </c>
      <c r="L715" t="str">
        <f>IF(A715="","",IF('ATP Fills'!G715="LME",'ATP Fills'!I715,""))</f>
        <v/>
      </c>
      <c r="M715" t="str">
        <f t="shared" si="11"/>
        <v/>
      </c>
    </row>
    <row r="716" spans="1:13">
      <c r="A716" t="str">
        <f>IF('ATP Fills'!A716="","",IF('ATP Fills'!Q716="PHILLIPSG",'ATP Fills'!F716,""))</f>
        <v/>
      </c>
      <c r="B716" t="str">
        <f>IF(A716="","",'ATP Fills'!L716)</f>
        <v/>
      </c>
      <c r="C716" t="str">
        <f>IF(A716="","",'ATP Fills'!M716)</f>
        <v/>
      </c>
      <c r="D716" t="str">
        <f>IF(A716="","",'ATP Fills'!B716)</f>
        <v/>
      </c>
      <c r="E716" s="3" t="str">
        <f>IF(A716="","",IF(DATE(LEFT(D716,4),MID(D716,5,2),RIGHT(D716,2))=Helper1!$P$1,Helper1!$P$1,""))</f>
        <v/>
      </c>
      <c r="F716" s="3" t="str">
        <f>IF(A716="","",'ATP Fills'!G716)</f>
        <v/>
      </c>
      <c r="G716" t="str">
        <f>IF(A716="","",'ATP Fills'!H716)</f>
        <v/>
      </c>
      <c r="H716" t="str">
        <f>IF(A716="","",VLOOKUP(G716,表3_3[],2,0))</f>
        <v/>
      </c>
      <c r="I716" t="str">
        <f>IF(A716="","",VLOOKUP(G716,表3_3[],3,0))</f>
        <v/>
      </c>
      <c r="J716" t="str">
        <f>IF(A716="","",IF('ATP Fills'!I716="3M","",VLOOKUP(RIGHT('ATP Fills'!I716,2),Helper1!$O$36:$P$48,2,0)))</f>
        <v/>
      </c>
      <c r="K716" t="str">
        <f>IF(J716="","",LEFT('ATP Fills'!I716,4))</f>
        <v/>
      </c>
      <c r="L716" t="str">
        <f>IF(A716="","",IF('ATP Fills'!G716="LME",'ATP Fills'!I716,""))</f>
        <v/>
      </c>
      <c r="M716" t="str">
        <f t="shared" si="11"/>
        <v/>
      </c>
    </row>
    <row r="717" spans="1:13">
      <c r="A717" t="str">
        <f>IF('ATP Fills'!A717="","",IF('ATP Fills'!Q717="PHILLIPSG",'ATP Fills'!F717,""))</f>
        <v/>
      </c>
      <c r="B717" t="str">
        <f>IF(A717="","",'ATP Fills'!L717)</f>
        <v/>
      </c>
      <c r="C717" t="str">
        <f>IF(A717="","",'ATP Fills'!M717)</f>
        <v/>
      </c>
      <c r="D717" t="str">
        <f>IF(A717="","",'ATP Fills'!B717)</f>
        <v/>
      </c>
      <c r="E717" s="3" t="str">
        <f>IF(A717="","",IF(DATE(LEFT(D717,4),MID(D717,5,2),RIGHT(D717,2))=Helper1!$P$1,Helper1!$P$1,""))</f>
        <v/>
      </c>
      <c r="F717" s="3" t="str">
        <f>IF(A717="","",'ATP Fills'!G717)</f>
        <v/>
      </c>
      <c r="G717" t="str">
        <f>IF(A717="","",'ATP Fills'!H717)</f>
        <v/>
      </c>
      <c r="H717" t="str">
        <f>IF(A717="","",VLOOKUP(G717,表3_3[],2,0))</f>
        <v/>
      </c>
      <c r="I717" t="str">
        <f>IF(A717="","",VLOOKUP(G717,表3_3[],3,0))</f>
        <v/>
      </c>
      <c r="J717" t="str">
        <f>IF(A717="","",IF('ATP Fills'!I717="3M","",VLOOKUP(RIGHT('ATP Fills'!I717,2),Helper1!$O$36:$P$48,2,0)))</f>
        <v/>
      </c>
      <c r="K717" t="str">
        <f>IF(J717="","",LEFT('ATP Fills'!I717,4))</f>
        <v/>
      </c>
      <c r="L717" t="str">
        <f>IF(A717="","",IF('ATP Fills'!G717="LME",'ATP Fills'!I717,""))</f>
        <v/>
      </c>
      <c r="M717" t="str">
        <f t="shared" si="11"/>
        <v/>
      </c>
    </row>
    <row r="718" spans="1:13">
      <c r="A718" t="str">
        <f>IF('ATP Fills'!A718="","",IF('ATP Fills'!Q718="PHILLIPSG",'ATP Fills'!F718,""))</f>
        <v/>
      </c>
      <c r="B718" t="str">
        <f>IF(A718="","",'ATP Fills'!L718)</f>
        <v/>
      </c>
      <c r="C718" t="str">
        <f>IF(A718="","",'ATP Fills'!M718)</f>
        <v/>
      </c>
      <c r="D718" t="str">
        <f>IF(A718="","",'ATP Fills'!B718)</f>
        <v/>
      </c>
      <c r="E718" s="3" t="str">
        <f>IF(A718="","",IF(DATE(LEFT(D718,4),MID(D718,5,2),RIGHT(D718,2))=Helper1!$P$1,Helper1!$P$1,""))</f>
        <v/>
      </c>
      <c r="F718" s="3" t="str">
        <f>IF(A718="","",'ATP Fills'!G718)</f>
        <v/>
      </c>
      <c r="G718" t="str">
        <f>IF(A718="","",'ATP Fills'!H718)</f>
        <v/>
      </c>
      <c r="H718" t="str">
        <f>IF(A718="","",VLOOKUP(G718,表3_3[],2,0))</f>
        <v/>
      </c>
      <c r="I718" t="str">
        <f>IF(A718="","",VLOOKUP(G718,表3_3[],3,0))</f>
        <v/>
      </c>
      <c r="J718" t="str">
        <f>IF(A718="","",IF('ATP Fills'!I718="3M","",VLOOKUP(RIGHT('ATP Fills'!I718,2),Helper1!$O$36:$P$48,2,0)))</f>
        <v/>
      </c>
      <c r="K718" t="str">
        <f>IF(J718="","",LEFT('ATP Fills'!I718,4))</f>
        <v/>
      </c>
      <c r="L718" t="str">
        <f>IF(A718="","",IF('ATP Fills'!G718="LME",'ATP Fills'!I718,""))</f>
        <v/>
      </c>
      <c r="M718" t="str">
        <f t="shared" si="11"/>
        <v/>
      </c>
    </row>
    <row r="719" spans="1:13">
      <c r="A719" t="str">
        <f>IF('ATP Fills'!A719="","",IF('ATP Fills'!Q719="PHILLIPSG",'ATP Fills'!F719,""))</f>
        <v/>
      </c>
      <c r="B719" t="str">
        <f>IF(A719="","",'ATP Fills'!L719)</f>
        <v/>
      </c>
      <c r="C719" t="str">
        <f>IF(A719="","",'ATP Fills'!M719)</f>
        <v/>
      </c>
      <c r="D719" t="str">
        <f>IF(A719="","",'ATP Fills'!B719)</f>
        <v/>
      </c>
      <c r="E719" s="3" t="str">
        <f>IF(A719="","",IF(DATE(LEFT(D719,4),MID(D719,5,2),RIGHT(D719,2))=Helper1!$P$1,Helper1!$P$1,""))</f>
        <v/>
      </c>
      <c r="F719" s="3" t="str">
        <f>IF(A719="","",'ATP Fills'!G719)</f>
        <v/>
      </c>
      <c r="G719" t="str">
        <f>IF(A719="","",'ATP Fills'!H719)</f>
        <v/>
      </c>
      <c r="H719" t="str">
        <f>IF(A719="","",VLOOKUP(G719,表3_3[],2,0))</f>
        <v/>
      </c>
      <c r="I719" t="str">
        <f>IF(A719="","",VLOOKUP(G719,表3_3[],3,0))</f>
        <v/>
      </c>
      <c r="J719" t="str">
        <f>IF(A719="","",IF('ATP Fills'!I719="3M","",VLOOKUP(RIGHT('ATP Fills'!I719,2),Helper1!$O$36:$P$48,2,0)))</f>
        <v/>
      </c>
      <c r="K719" t="str">
        <f>IF(J719="","",LEFT('ATP Fills'!I719,4))</f>
        <v/>
      </c>
      <c r="L719" t="str">
        <f>IF(A719="","",IF('ATP Fills'!G719="LME",'ATP Fills'!I719,""))</f>
        <v/>
      </c>
      <c r="M719" t="str">
        <f t="shared" si="11"/>
        <v/>
      </c>
    </row>
    <row r="720" spans="1:13">
      <c r="A720" t="str">
        <f>IF('ATP Fills'!A720="","",IF('ATP Fills'!Q720="PHILLIPSG",'ATP Fills'!F720,""))</f>
        <v/>
      </c>
      <c r="B720" t="str">
        <f>IF(A720="","",'ATP Fills'!L720)</f>
        <v/>
      </c>
      <c r="C720" t="str">
        <f>IF(A720="","",'ATP Fills'!M720)</f>
        <v/>
      </c>
      <c r="D720" t="str">
        <f>IF(A720="","",'ATP Fills'!B720)</f>
        <v/>
      </c>
      <c r="E720" s="3" t="str">
        <f>IF(A720="","",IF(DATE(LEFT(D720,4),MID(D720,5,2),RIGHT(D720,2))=Helper1!$P$1,Helper1!$P$1,""))</f>
        <v/>
      </c>
      <c r="F720" s="3" t="str">
        <f>IF(A720="","",'ATP Fills'!G720)</f>
        <v/>
      </c>
      <c r="G720" t="str">
        <f>IF(A720="","",'ATP Fills'!H720)</f>
        <v/>
      </c>
      <c r="H720" t="str">
        <f>IF(A720="","",VLOOKUP(G720,表3_3[],2,0))</f>
        <v/>
      </c>
      <c r="I720" t="str">
        <f>IF(A720="","",VLOOKUP(G720,表3_3[],3,0))</f>
        <v/>
      </c>
      <c r="J720" t="str">
        <f>IF(A720="","",IF('ATP Fills'!I720="3M","",VLOOKUP(RIGHT('ATP Fills'!I720,2),Helper1!$O$36:$P$48,2,0)))</f>
        <v/>
      </c>
      <c r="K720" t="str">
        <f>IF(J720="","",LEFT('ATP Fills'!I720,4))</f>
        <v/>
      </c>
      <c r="L720" t="str">
        <f>IF(A720="","",IF('ATP Fills'!G720="LME",'ATP Fills'!I720,""))</f>
        <v/>
      </c>
      <c r="M720" t="str">
        <f t="shared" si="11"/>
        <v/>
      </c>
    </row>
    <row r="721" spans="1:13">
      <c r="A721" t="str">
        <f>IF('ATP Fills'!A721="","",IF('ATP Fills'!Q721="PHILLIPSG",'ATP Fills'!F721,""))</f>
        <v/>
      </c>
      <c r="B721" t="str">
        <f>IF(A721="","",'ATP Fills'!L721)</f>
        <v/>
      </c>
      <c r="C721" t="str">
        <f>IF(A721="","",'ATP Fills'!M721)</f>
        <v/>
      </c>
      <c r="D721" t="str">
        <f>IF(A721="","",'ATP Fills'!B721)</f>
        <v/>
      </c>
      <c r="E721" s="3" t="str">
        <f>IF(A721="","",IF(DATE(LEFT(D721,4),MID(D721,5,2),RIGHT(D721,2))=Helper1!$P$1,Helper1!$P$1,""))</f>
        <v/>
      </c>
      <c r="F721" s="3" t="str">
        <f>IF(A721="","",'ATP Fills'!G721)</f>
        <v/>
      </c>
      <c r="G721" t="str">
        <f>IF(A721="","",'ATP Fills'!H721)</f>
        <v/>
      </c>
      <c r="H721" t="str">
        <f>IF(A721="","",VLOOKUP(G721,表3_3[],2,0))</f>
        <v/>
      </c>
      <c r="I721" t="str">
        <f>IF(A721="","",VLOOKUP(G721,表3_3[],3,0))</f>
        <v/>
      </c>
      <c r="J721" t="str">
        <f>IF(A721="","",IF('ATP Fills'!I721="3M","",VLOOKUP(RIGHT('ATP Fills'!I721,2),Helper1!$O$36:$P$48,2,0)))</f>
        <v/>
      </c>
      <c r="K721" t="str">
        <f>IF(J721="","",LEFT('ATP Fills'!I721,4))</f>
        <v/>
      </c>
      <c r="L721" t="str">
        <f>IF(A721="","",IF('ATP Fills'!G721="LME",'ATP Fills'!I721,""))</f>
        <v/>
      </c>
      <c r="M721" t="str">
        <f t="shared" si="11"/>
        <v/>
      </c>
    </row>
    <row r="722" spans="1:13">
      <c r="A722" t="str">
        <f>IF('ATP Fills'!A722="","",IF('ATP Fills'!Q722="PHILLIPSG",'ATP Fills'!F722,""))</f>
        <v/>
      </c>
      <c r="B722" t="str">
        <f>IF(A722="","",'ATP Fills'!L722)</f>
        <v/>
      </c>
      <c r="C722" t="str">
        <f>IF(A722="","",'ATP Fills'!M722)</f>
        <v/>
      </c>
      <c r="D722" t="str">
        <f>IF(A722="","",'ATP Fills'!B722)</f>
        <v/>
      </c>
      <c r="E722" s="3" t="str">
        <f>IF(A722="","",IF(DATE(LEFT(D722,4),MID(D722,5,2),RIGHT(D722,2))=Helper1!$P$1,Helper1!$P$1,""))</f>
        <v/>
      </c>
      <c r="F722" s="3" t="str">
        <f>IF(A722="","",'ATP Fills'!G722)</f>
        <v/>
      </c>
      <c r="G722" t="str">
        <f>IF(A722="","",'ATP Fills'!H722)</f>
        <v/>
      </c>
      <c r="H722" t="str">
        <f>IF(A722="","",VLOOKUP(G722,表3_3[],2,0))</f>
        <v/>
      </c>
      <c r="I722" t="str">
        <f>IF(A722="","",VLOOKUP(G722,表3_3[],3,0))</f>
        <v/>
      </c>
      <c r="J722" t="str">
        <f>IF(A722="","",IF('ATP Fills'!I722="3M","",VLOOKUP(RIGHT('ATP Fills'!I722,2),Helper1!$O$36:$P$48,2,0)))</f>
        <v/>
      </c>
      <c r="K722" t="str">
        <f>IF(J722="","",LEFT('ATP Fills'!I722,4))</f>
        <v/>
      </c>
      <c r="L722" t="str">
        <f>IF(A722="","",IF('ATP Fills'!G722="LME",'ATP Fills'!I722,""))</f>
        <v/>
      </c>
      <c r="M722" t="str">
        <f t="shared" si="11"/>
        <v/>
      </c>
    </row>
    <row r="723" spans="1:13">
      <c r="A723" t="str">
        <f>IF('ATP Fills'!A723="","",IF('ATP Fills'!Q723="PHILLIPSG",'ATP Fills'!F723,""))</f>
        <v/>
      </c>
      <c r="B723" t="str">
        <f>IF(A723="","",'ATP Fills'!L723)</f>
        <v/>
      </c>
      <c r="C723" t="str">
        <f>IF(A723="","",'ATP Fills'!M723)</f>
        <v/>
      </c>
      <c r="D723" t="str">
        <f>IF(A723="","",'ATP Fills'!B723)</f>
        <v/>
      </c>
      <c r="E723" s="3" t="str">
        <f>IF(A723="","",IF(DATE(LEFT(D723,4),MID(D723,5,2),RIGHT(D723,2))=Helper1!$P$1,Helper1!$P$1,""))</f>
        <v/>
      </c>
      <c r="F723" s="3" t="str">
        <f>IF(A723="","",'ATP Fills'!G723)</f>
        <v/>
      </c>
      <c r="G723" t="str">
        <f>IF(A723="","",'ATP Fills'!H723)</f>
        <v/>
      </c>
      <c r="H723" t="str">
        <f>IF(A723="","",VLOOKUP(G723,表3_3[],2,0))</f>
        <v/>
      </c>
      <c r="I723" t="str">
        <f>IF(A723="","",VLOOKUP(G723,表3_3[],3,0))</f>
        <v/>
      </c>
      <c r="J723" t="str">
        <f>IF(A723="","",IF('ATP Fills'!I723="3M","",VLOOKUP(RIGHT('ATP Fills'!I723,2),Helper1!$O$36:$P$48,2,0)))</f>
        <v/>
      </c>
      <c r="K723" t="str">
        <f>IF(J723="","",LEFT('ATP Fills'!I723,4))</f>
        <v/>
      </c>
      <c r="L723" t="str">
        <f>IF(A723="","",IF('ATP Fills'!G723="LME",'ATP Fills'!I723,""))</f>
        <v/>
      </c>
      <c r="M723" t="str">
        <f t="shared" si="11"/>
        <v/>
      </c>
    </row>
    <row r="724" spans="1:13">
      <c r="A724" t="str">
        <f>IF('ATP Fills'!A724="","",IF('ATP Fills'!Q724="PHILLIPSG",'ATP Fills'!F724,""))</f>
        <v/>
      </c>
      <c r="B724" t="str">
        <f>IF(A724="","",'ATP Fills'!L724)</f>
        <v/>
      </c>
      <c r="C724" t="str">
        <f>IF(A724="","",'ATP Fills'!M724)</f>
        <v/>
      </c>
      <c r="D724" t="str">
        <f>IF(A724="","",'ATP Fills'!B724)</f>
        <v/>
      </c>
      <c r="E724" s="3" t="str">
        <f>IF(A724="","",IF(DATE(LEFT(D724,4),MID(D724,5,2),RIGHT(D724,2))=Helper1!$P$1,Helper1!$P$1,""))</f>
        <v/>
      </c>
      <c r="F724" s="3" t="str">
        <f>IF(A724="","",'ATP Fills'!G724)</f>
        <v/>
      </c>
      <c r="G724" t="str">
        <f>IF(A724="","",'ATP Fills'!H724)</f>
        <v/>
      </c>
      <c r="H724" t="str">
        <f>IF(A724="","",VLOOKUP(G724,表3_3[],2,0))</f>
        <v/>
      </c>
      <c r="I724" t="str">
        <f>IF(A724="","",VLOOKUP(G724,表3_3[],3,0))</f>
        <v/>
      </c>
      <c r="J724" t="str">
        <f>IF(A724="","",IF('ATP Fills'!I724="3M","",VLOOKUP(RIGHT('ATP Fills'!I724,2),Helper1!$O$36:$P$48,2,0)))</f>
        <v/>
      </c>
      <c r="K724" t="str">
        <f>IF(J724="","",LEFT('ATP Fills'!I724,4))</f>
        <v/>
      </c>
      <c r="L724" t="str">
        <f>IF(A724="","",IF('ATP Fills'!G724="LME",'ATP Fills'!I724,""))</f>
        <v/>
      </c>
      <c r="M724" t="str">
        <f t="shared" si="11"/>
        <v/>
      </c>
    </row>
    <row r="725" spans="1:13">
      <c r="A725" t="str">
        <f>IF('ATP Fills'!A725="","",IF('ATP Fills'!Q725="PHILLIPSG",'ATP Fills'!F725,""))</f>
        <v/>
      </c>
      <c r="B725" t="str">
        <f>IF(A725="","",'ATP Fills'!L725)</f>
        <v/>
      </c>
      <c r="C725" t="str">
        <f>IF(A725="","",'ATP Fills'!M725)</f>
        <v/>
      </c>
      <c r="D725" t="str">
        <f>IF(A725="","",'ATP Fills'!B725)</f>
        <v/>
      </c>
      <c r="E725" s="3" t="str">
        <f>IF(A725="","",IF(DATE(LEFT(D725,4),MID(D725,5,2),RIGHT(D725,2))=Helper1!$P$1,Helper1!$P$1,""))</f>
        <v/>
      </c>
      <c r="F725" s="3" t="str">
        <f>IF(A725="","",'ATP Fills'!G725)</f>
        <v/>
      </c>
      <c r="G725" t="str">
        <f>IF(A725="","",'ATP Fills'!H725)</f>
        <v/>
      </c>
      <c r="H725" t="str">
        <f>IF(A725="","",VLOOKUP(G725,表3_3[],2,0))</f>
        <v/>
      </c>
      <c r="I725" t="str">
        <f>IF(A725="","",VLOOKUP(G725,表3_3[],3,0))</f>
        <v/>
      </c>
      <c r="J725" t="str">
        <f>IF(A725="","",IF('ATP Fills'!I725="3M","",VLOOKUP(RIGHT('ATP Fills'!I725,2),Helper1!$O$36:$P$48,2,0)))</f>
        <v/>
      </c>
      <c r="K725" t="str">
        <f>IF(J725="","",LEFT('ATP Fills'!I725,4))</f>
        <v/>
      </c>
      <c r="L725" t="str">
        <f>IF(A725="","",IF('ATP Fills'!G725="LME",'ATP Fills'!I725,""))</f>
        <v/>
      </c>
      <c r="M725" t="str">
        <f t="shared" si="11"/>
        <v/>
      </c>
    </row>
    <row r="726" spans="1:13">
      <c r="A726" t="str">
        <f>IF('ATP Fills'!A726="","",IF('ATP Fills'!Q726="PHILLIPSG",'ATP Fills'!F726,""))</f>
        <v/>
      </c>
      <c r="B726" t="str">
        <f>IF(A726="","",'ATP Fills'!L726)</f>
        <v/>
      </c>
      <c r="C726" t="str">
        <f>IF(A726="","",'ATP Fills'!M726)</f>
        <v/>
      </c>
      <c r="D726" t="str">
        <f>IF(A726="","",'ATP Fills'!B726)</f>
        <v/>
      </c>
      <c r="E726" s="3" t="str">
        <f>IF(A726="","",IF(DATE(LEFT(D726,4),MID(D726,5,2),RIGHT(D726,2))=Helper1!$P$1,Helper1!$P$1,""))</f>
        <v/>
      </c>
      <c r="F726" s="3" t="str">
        <f>IF(A726="","",'ATP Fills'!G726)</f>
        <v/>
      </c>
      <c r="G726" t="str">
        <f>IF(A726="","",'ATP Fills'!H726)</f>
        <v/>
      </c>
      <c r="H726" t="str">
        <f>IF(A726="","",VLOOKUP(G726,表3_3[],2,0))</f>
        <v/>
      </c>
      <c r="I726" t="str">
        <f>IF(A726="","",VLOOKUP(G726,表3_3[],3,0))</f>
        <v/>
      </c>
      <c r="J726" t="str">
        <f>IF(A726="","",IF('ATP Fills'!I726="3M","",VLOOKUP(RIGHT('ATP Fills'!I726,2),Helper1!$O$36:$P$48,2,0)))</f>
        <v/>
      </c>
      <c r="K726" t="str">
        <f>IF(J726="","",LEFT('ATP Fills'!I726,4))</f>
        <v/>
      </c>
      <c r="L726" t="str">
        <f>IF(A726="","",IF('ATP Fills'!G726="LME",'ATP Fills'!I726,""))</f>
        <v/>
      </c>
      <c r="M726" t="str">
        <f t="shared" si="11"/>
        <v/>
      </c>
    </row>
    <row r="727" spans="1:13">
      <c r="A727" t="str">
        <f>IF('ATP Fills'!A727="","",IF('ATP Fills'!Q727="PHILLIPSG",'ATP Fills'!F727,""))</f>
        <v/>
      </c>
      <c r="B727" t="str">
        <f>IF(A727="","",'ATP Fills'!L727)</f>
        <v/>
      </c>
      <c r="C727" t="str">
        <f>IF(A727="","",'ATP Fills'!M727)</f>
        <v/>
      </c>
      <c r="D727" t="str">
        <f>IF(A727="","",'ATP Fills'!B727)</f>
        <v/>
      </c>
      <c r="E727" s="3" t="str">
        <f>IF(A727="","",IF(DATE(LEFT(D727,4),MID(D727,5,2),RIGHT(D727,2))=Helper1!$P$1,Helper1!$P$1,""))</f>
        <v/>
      </c>
      <c r="F727" s="3" t="str">
        <f>IF(A727="","",'ATP Fills'!G727)</f>
        <v/>
      </c>
      <c r="G727" t="str">
        <f>IF(A727="","",'ATP Fills'!H727)</f>
        <v/>
      </c>
      <c r="H727" t="str">
        <f>IF(A727="","",VLOOKUP(G727,表3_3[],2,0))</f>
        <v/>
      </c>
      <c r="I727" t="str">
        <f>IF(A727="","",VLOOKUP(G727,表3_3[],3,0))</f>
        <v/>
      </c>
      <c r="J727" t="str">
        <f>IF(A727="","",IF('ATP Fills'!I727="3M","",VLOOKUP(RIGHT('ATP Fills'!I727,2),Helper1!$O$36:$P$48,2,0)))</f>
        <v/>
      </c>
      <c r="K727" t="str">
        <f>IF(J727="","",LEFT('ATP Fills'!I727,4))</f>
        <v/>
      </c>
      <c r="L727" t="str">
        <f>IF(A727="","",IF('ATP Fills'!G727="LME",'ATP Fills'!I727,""))</f>
        <v/>
      </c>
      <c r="M727" t="str">
        <f t="shared" si="11"/>
        <v/>
      </c>
    </row>
    <row r="728" spans="1:13">
      <c r="A728" t="str">
        <f>IF('ATP Fills'!A728="","",IF('ATP Fills'!Q728="PHILLIPSG",'ATP Fills'!F728,""))</f>
        <v/>
      </c>
      <c r="B728" t="str">
        <f>IF(A728="","",'ATP Fills'!L728)</f>
        <v/>
      </c>
      <c r="C728" t="str">
        <f>IF(A728="","",'ATP Fills'!M728)</f>
        <v/>
      </c>
      <c r="D728" t="str">
        <f>IF(A728="","",'ATP Fills'!B728)</f>
        <v/>
      </c>
      <c r="E728" s="3" t="str">
        <f>IF(A728="","",IF(DATE(LEFT(D728,4),MID(D728,5,2),RIGHT(D728,2))=Helper1!$P$1,Helper1!$P$1,""))</f>
        <v/>
      </c>
      <c r="F728" s="3" t="str">
        <f>IF(A728="","",'ATP Fills'!G728)</f>
        <v/>
      </c>
      <c r="G728" t="str">
        <f>IF(A728="","",'ATP Fills'!H728)</f>
        <v/>
      </c>
      <c r="H728" t="str">
        <f>IF(A728="","",VLOOKUP(G728,表3_3[],2,0))</f>
        <v/>
      </c>
      <c r="I728" t="str">
        <f>IF(A728="","",VLOOKUP(G728,表3_3[],3,0))</f>
        <v/>
      </c>
      <c r="J728" t="str">
        <f>IF(A728="","",IF('ATP Fills'!I728="3M","",VLOOKUP(RIGHT('ATP Fills'!I728,2),Helper1!$O$36:$P$48,2,0)))</f>
        <v/>
      </c>
      <c r="K728" t="str">
        <f>IF(J728="","",LEFT('ATP Fills'!I728,4))</f>
        <v/>
      </c>
      <c r="L728" t="str">
        <f>IF(A728="","",IF('ATP Fills'!G728="LME",'ATP Fills'!I728,""))</f>
        <v/>
      </c>
      <c r="M728" t="str">
        <f t="shared" si="11"/>
        <v/>
      </c>
    </row>
    <row r="729" spans="1:13">
      <c r="A729" t="str">
        <f>IF('ATP Fills'!A729="","",IF('ATP Fills'!Q729="PHILLIPSG",'ATP Fills'!F729,""))</f>
        <v/>
      </c>
      <c r="B729" t="str">
        <f>IF(A729="","",'ATP Fills'!L729)</f>
        <v/>
      </c>
      <c r="C729" t="str">
        <f>IF(A729="","",'ATP Fills'!M729)</f>
        <v/>
      </c>
      <c r="D729" t="str">
        <f>IF(A729="","",'ATP Fills'!B729)</f>
        <v/>
      </c>
      <c r="E729" s="3" t="str">
        <f>IF(A729="","",IF(DATE(LEFT(D729,4),MID(D729,5,2),RIGHT(D729,2))=Helper1!$P$1,Helper1!$P$1,""))</f>
        <v/>
      </c>
      <c r="F729" s="3" t="str">
        <f>IF(A729="","",'ATP Fills'!G729)</f>
        <v/>
      </c>
      <c r="G729" t="str">
        <f>IF(A729="","",'ATP Fills'!H729)</f>
        <v/>
      </c>
      <c r="H729" t="str">
        <f>IF(A729="","",VLOOKUP(G729,表3_3[],2,0))</f>
        <v/>
      </c>
      <c r="I729" t="str">
        <f>IF(A729="","",VLOOKUP(G729,表3_3[],3,0))</f>
        <v/>
      </c>
      <c r="J729" t="str">
        <f>IF(A729="","",IF('ATP Fills'!I729="3M","",VLOOKUP(RIGHT('ATP Fills'!I729,2),Helper1!$O$36:$P$48,2,0)))</f>
        <v/>
      </c>
      <c r="K729" t="str">
        <f>IF(J729="","",LEFT('ATP Fills'!I729,4))</f>
        <v/>
      </c>
      <c r="L729" t="str">
        <f>IF(A729="","",IF('ATP Fills'!G729="LME",'ATP Fills'!I729,""))</f>
        <v/>
      </c>
      <c r="M729" t="str">
        <f t="shared" si="11"/>
        <v/>
      </c>
    </row>
    <row r="730" spans="1:13">
      <c r="A730" t="str">
        <f>IF('ATP Fills'!A730="","",IF('ATP Fills'!Q730="PHILLIPSG",'ATP Fills'!F730,""))</f>
        <v/>
      </c>
      <c r="B730" t="str">
        <f>IF(A730="","",'ATP Fills'!L730)</f>
        <v/>
      </c>
      <c r="C730" t="str">
        <f>IF(A730="","",'ATP Fills'!M730)</f>
        <v/>
      </c>
      <c r="D730" t="str">
        <f>IF(A730="","",'ATP Fills'!B730)</f>
        <v/>
      </c>
      <c r="E730" s="3" t="str">
        <f>IF(A730="","",IF(DATE(LEFT(D730,4),MID(D730,5,2),RIGHT(D730,2))=Helper1!$P$1,Helper1!$P$1,""))</f>
        <v/>
      </c>
      <c r="F730" s="3" t="str">
        <f>IF(A730="","",'ATP Fills'!G730)</f>
        <v/>
      </c>
      <c r="G730" t="str">
        <f>IF(A730="","",'ATP Fills'!H730)</f>
        <v/>
      </c>
      <c r="H730" t="str">
        <f>IF(A730="","",VLOOKUP(G730,表3_3[],2,0))</f>
        <v/>
      </c>
      <c r="I730" t="str">
        <f>IF(A730="","",VLOOKUP(G730,表3_3[],3,0))</f>
        <v/>
      </c>
      <c r="J730" t="str">
        <f>IF(A730="","",IF('ATP Fills'!I730="3M","",VLOOKUP(RIGHT('ATP Fills'!I730,2),Helper1!$O$36:$P$48,2,0)))</f>
        <v/>
      </c>
      <c r="K730" t="str">
        <f>IF(J730="","",LEFT('ATP Fills'!I730,4))</f>
        <v/>
      </c>
      <c r="L730" t="str">
        <f>IF(A730="","",IF('ATP Fills'!G730="LME",'ATP Fills'!I730,""))</f>
        <v/>
      </c>
      <c r="M730" t="str">
        <f t="shared" si="11"/>
        <v/>
      </c>
    </row>
    <row r="731" spans="1:13">
      <c r="A731" t="str">
        <f>IF('ATP Fills'!A731="","",IF('ATP Fills'!Q731="PHILLIPSG",'ATP Fills'!F731,""))</f>
        <v/>
      </c>
      <c r="B731" t="str">
        <f>IF(A731="","",'ATP Fills'!L731)</f>
        <v/>
      </c>
      <c r="C731" t="str">
        <f>IF(A731="","",'ATP Fills'!M731)</f>
        <v/>
      </c>
      <c r="D731" t="str">
        <f>IF(A731="","",'ATP Fills'!B731)</f>
        <v/>
      </c>
      <c r="E731" s="3" t="str">
        <f>IF(A731="","",IF(DATE(LEFT(D731,4),MID(D731,5,2),RIGHT(D731,2))=Helper1!$P$1,Helper1!$P$1,""))</f>
        <v/>
      </c>
      <c r="F731" s="3" t="str">
        <f>IF(A731="","",'ATP Fills'!G731)</f>
        <v/>
      </c>
      <c r="G731" t="str">
        <f>IF(A731="","",'ATP Fills'!H731)</f>
        <v/>
      </c>
      <c r="H731" t="str">
        <f>IF(A731="","",VLOOKUP(G731,表3_3[],2,0))</f>
        <v/>
      </c>
      <c r="I731" t="str">
        <f>IF(A731="","",VLOOKUP(G731,表3_3[],3,0))</f>
        <v/>
      </c>
      <c r="J731" t="str">
        <f>IF(A731="","",IF('ATP Fills'!I731="3M","",VLOOKUP(RIGHT('ATP Fills'!I731,2),Helper1!$O$36:$P$48,2,0)))</f>
        <v/>
      </c>
      <c r="K731" t="str">
        <f>IF(J731="","",LEFT('ATP Fills'!I731,4))</f>
        <v/>
      </c>
      <c r="L731" t="str">
        <f>IF(A731="","",IF('ATP Fills'!G731="LME",'ATP Fills'!I731,""))</f>
        <v/>
      </c>
      <c r="M731" t="str">
        <f t="shared" si="11"/>
        <v/>
      </c>
    </row>
    <row r="732" spans="1:13">
      <c r="A732" t="str">
        <f>IF('ATP Fills'!A732="","",IF('ATP Fills'!Q732="PHILLIPSG",'ATP Fills'!F732,""))</f>
        <v/>
      </c>
      <c r="B732" t="str">
        <f>IF(A732="","",'ATP Fills'!L732)</f>
        <v/>
      </c>
      <c r="C732" t="str">
        <f>IF(A732="","",'ATP Fills'!M732)</f>
        <v/>
      </c>
      <c r="D732" t="str">
        <f>IF(A732="","",'ATP Fills'!B732)</f>
        <v/>
      </c>
      <c r="E732" s="3" t="str">
        <f>IF(A732="","",IF(DATE(LEFT(D732,4),MID(D732,5,2),RIGHT(D732,2))=Helper1!$P$1,Helper1!$P$1,""))</f>
        <v/>
      </c>
      <c r="F732" s="3" t="str">
        <f>IF(A732="","",'ATP Fills'!G732)</f>
        <v/>
      </c>
      <c r="G732" t="str">
        <f>IF(A732="","",'ATP Fills'!H732)</f>
        <v/>
      </c>
      <c r="H732" t="str">
        <f>IF(A732="","",VLOOKUP(G732,表3_3[],2,0))</f>
        <v/>
      </c>
      <c r="I732" t="str">
        <f>IF(A732="","",VLOOKUP(G732,表3_3[],3,0))</f>
        <v/>
      </c>
      <c r="J732" t="str">
        <f>IF(A732="","",IF('ATP Fills'!I732="3M","",VLOOKUP(RIGHT('ATP Fills'!I732,2),Helper1!$O$36:$P$48,2,0)))</f>
        <v/>
      </c>
      <c r="K732" t="str">
        <f>IF(J732="","",LEFT('ATP Fills'!I732,4))</f>
        <v/>
      </c>
      <c r="L732" t="str">
        <f>IF(A732="","",IF('ATP Fills'!G732="LME",'ATP Fills'!I732,""))</f>
        <v/>
      </c>
      <c r="M732" t="str">
        <f t="shared" si="11"/>
        <v/>
      </c>
    </row>
    <row r="733" spans="1:13">
      <c r="A733" t="str">
        <f>IF('ATP Fills'!A733="","",IF('ATP Fills'!Q733="PHILLIPSG",'ATP Fills'!F733,""))</f>
        <v/>
      </c>
      <c r="B733" t="str">
        <f>IF(A733="","",'ATP Fills'!L733)</f>
        <v/>
      </c>
      <c r="C733" t="str">
        <f>IF(A733="","",'ATP Fills'!M733)</f>
        <v/>
      </c>
      <c r="D733" t="str">
        <f>IF(A733="","",'ATP Fills'!B733)</f>
        <v/>
      </c>
      <c r="E733" s="3" t="str">
        <f>IF(A733="","",IF(DATE(LEFT(D733,4),MID(D733,5,2),RIGHT(D733,2))=Helper1!$P$1,Helper1!$P$1,""))</f>
        <v/>
      </c>
      <c r="F733" s="3" t="str">
        <f>IF(A733="","",'ATP Fills'!G733)</f>
        <v/>
      </c>
      <c r="G733" t="str">
        <f>IF(A733="","",'ATP Fills'!H733)</f>
        <v/>
      </c>
      <c r="H733" t="str">
        <f>IF(A733="","",VLOOKUP(G733,表3_3[],2,0))</f>
        <v/>
      </c>
      <c r="I733" t="str">
        <f>IF(A733="","",VLOOKUP(G733,表3_3[],3,0))</f>
        <v/>
      </c>
      <c r="J733" t="str">
        <f>IF(A733="","",IF('ATP Fills'!I733="3M","",VLOOKUP(RIGHT('ATP Fills'!I733,2),Helper1!$O$36:$P$48,2,0)))</f>
        <v/>
      </c>
      <c r="K733" t="str">
        <f>IF(J733="","",LEFT('ATP Fills'!I733,4))</f>
        <v/>
      </c>
      <c r="L733" t="str">
        <f>IF(A733="","",IF('ATP Fills'!G733="LME",'ATP Fills'!I733,""))</f>
        <v/>
      </c>
      <c r="M733" t="str">
        <f t="shared" si="11"/>
        <v/>
      </c>
    </row>
    <row r="734" spans="1:13">
      <c r="A734" t="str">
        <f>IF('ATP Fills'!A734="","",IF('ATP Fills'!Q734="PHILLIPSG",'ATP Fills'!F734,""))</f>
        <v/>
      </c>
      <c r="B734" t="str">
        <f>IF(A734="","",'ATP Fills'!L734)</f>
        <v/>
      </c>
      <c r="C734" t="str">
        <f>IF(A734="","",'ATP Fills'!M734)</f>
        <v/>
      </c>
      <c r="D734" t="str">
        <f>IF(A734="","",'ATP Fills'!B734)</f>
        <v/>
      </c>
      <c r="E734" s="3" t="str">
        <f>IF(A734="","",IF(DATE(LEFT(D734,4),MID(D734,5,2),RIGHT(D734,2))=Helper1!$P$1,Helper1!$P$1,""))</f>
        <v/>
      </c>
      <c r="F734" s="3" t="str">
        <f>IF(A734="","",'ATP Fills'!G734)</f>
        <v/>
      </c>
      <c r="G734" t="str">
        <f>IF(A734="","",'ATP Fills'!H734)</f>
        <v/>
      </c>
      <c r="H734" t="str">
        <f>IF(A734="","",VLOOKUP(G734,表3_3[],2,0))</f>
        <v/>
      </c>
      <c r="I734" t="str">
        <f>IF(A734="","",VLOOKUP(G734,表3_3[],3,0))</f>
        <v/>
      </c>
      <c r="J734" t="str">
        <f>IF(A734="","",IF('ATP Fills'!I734="3M","",VLOOKUP(RIGHT('ATP Fills'!I734,2),Helper1!$O$36:$P$48,2,0)))</f>
        <v/>
      </c>
      <c r="K734" t="str">
        <f>IF(J734="","",LEFT('ATP Fills'!I734,4))</f>
        <v/>
      </c>
      <c r="L734" t="str">
        <f>IF(A734="","",IF('ATP Fills'!G734="LME",'ATP Fills'!I734,""))</f>
        <v/>
      </c>
      <c r="M734" t="str">
        <f t="shared" si="11"/>
        <v/>
      </c>
    </row>
    <row r="735" spans="1:13">
      <c r="A735" t="str">
        <f>IF('ATP Fills'!A735="","",IF('ATP Fills'!Q735="PHILLIPSG",'ATP Fills'!F735,""))</f>
        <v/>
      </c>
      <c r="B735" t="str">
        <f>IF(A735="","",'ATP Fills'!L735)</f>
        <v/>
      </c>
      <c r="C735" t="str">
        <f>IF(A735="","",'ATP Fills'!M735)</f>
        <v/>
      </c>
      <c r="D735" t="str">
        <f>IF(A735="","",'ATP Fills'!B735)</f>
        <v/>
      </c>
      <c r="E735" s="3" t="str">
        <f>IF(A735="","",IF(DATE(LEFT(D735,4),MID(D735,5,2),RIGHT(D735,2))=Helper1!$P$1,Helper1!$P$1,""))</f>
        <v/>
      </c>
      <c r="F735" s="3" t="str">
        <f>IF(A735="","",'ATP Fills'!G735)</f>
        <v/>
      </c>
      <c r="G735" t="str">
        <f>IF(A735="","",'ATP Fills'!H735)</f>
        <v/>
      </c>
      <c r="H735" t="str">
        <f>IF(A735="","",VLOOKUP(G735,表3_3[],2,0))</f>
        <v/>
      </c>
      <c r="I735" t="str">
        <f>IF(A735="","",VLOOKUP(G735,表3_3[],3,0))</f>
        <v/>
      </c>
      <c r="J735" t="str">
        <f>IF(A735="","",IF('ATP Fills'!I735="3M","",VLOOKUP(RIGHT('ATP Fills'!I735,2),Helper1!$O$36:$P$48,2,0)))</f>
        <v/>
      </c>
      <c r="K735" t="str">
        <f>IF(J735="","",LEFT('ATP Fills'!I735,4))</f>
        <v/>
      </c>
      <c r="L735" t="str">
        <f>IF(A735="","",IF('ATP Fills'!G735="LME",'ATP Fills'!I735,""))</f>
        <v/>
      </c>
      <c r="M735" t="str">
        <f t="shared" si="11"/>
        <v/>
      </c>
    </row>
    <row r="736" spans="1:13">
      <c r="A736" t="str">
        <f>IF('ATP Fills'!A736="","",IF('ATP Fills'!Q736="PHILLIPSG",'ATP Fills'!F736,""))</f>
        <v/>
      </c>
      <c r="B736" t="str">
        <f>IF(A736="","",'ATP Fills'!L736)</f>
        <v/>
      </c>
      <c r="C736" t="str">
        <f>IF(A736="","",'ATP Fills'!M736)</f>
        <v/>
      </c>
      <c r="D736" t="str">
        <f>IF(A736="","",'ATP Fills'!B736)</f>
        <v/>
      </c>
      <c r="E736" s="3" t="str">
        <f>IF(A736="","",IF(DATE(LEFT(D736,4),MID(D736,5,2),RIGHT(D736,2))=Helper1!$P$1,Helper1!$P$1,""))</f>
        <v/>
      </c>
      <c r="F736" s="3" t="str">
        <f>IF(A736="","",'ATP Fills'!G736)</f>
        <v/>
      </c>
      <c r="G736" t="str">
        <f>IF(A736="","",'ATP Fills'!H736)</f>
        <v/>
      </c>
      <c r="H736" t="str">
        <f>IF(A736="","",VLOOKUP(G736,表3_3[],2,0))</f>
        <v/>
      </c>
      <c r="I736" t="str">
        <f>IF(A736="","",VLOOKUP(G736,表3_3[],3,0))</f>
        <v/>
      </c>
      <c r="J736" t="str">
        <f>IF(A736="","",IF('ATP Fills'!I736="3M","",VLOOKUP(RIGHT('ATP Fills'!I736,2),Helper1!$O$36:$P$48,2,0)))</f>
        <v/>
      </c>
      <c r="K736" t="str">
        <f>IF(J736="","",LEFT('ATP Fills'!I736,4))</f>
        <v/>
      </c>
      <c r="L736" t="str">
        <f>IF(A736="","",IF('ATP Fills'!G736="LME",'ATP Fills'!I736,""))</f>
        <v/>
      </c>
      <c r="M736" t="str">
        <f t="shared" si="11"/>
        <v/>
      </c>
    </row>
    <row r="737" spans="1:13">
      <c r="A737" t="str">
        <f>IF('ATP Fills'!A737="","",IF('ATP Fills'!Q737="PHILLIPSG",'ATP Fills'!F737,""))</f>
        <v/>
      </c>
      <c r="B737" t="str">
        <f>IF(A737="","",'ATP Fills'!L737)</f>
        <v/>
      </c>
      <c r="C737" t="str">
        <f>IF(A737="","",'ATP Fills'!M737)</f>
        <v/>
      </c>
      <c r="D737" t="str">
        <f>IF(A737="","",'ATP Fills'!B737)</f>
        <v/>
      </c>
      <c r="E737" s="3" t="str">
        <f>IF(A737="","",IF(DATE(LEFT(D737,4),MID(D737,5,2),RIGHT(D737,2))=Helper1!$P$1,Helper1!$P$1,""))</f>
        <v/>
      </c>
      <c r="F737" s="3" t="str">
        <f>IF(A737="","",'ATP Fills'!G737)</f>
        <v/>
      </c>
      <c r="G737" t="str">
        <f>IF(A737="","",'ATP Fills'!H737)</f>
        <v/>
      </c>
      <c r="H737" t="str">
        <f>IF(A737="","",VLOOKUP(G737,表3_3[],2,0))</f>
        <v/>
      </c>
      <c r="I737" t="str">
        <f>IF(A737="","",VLOOKUP(G737,表3_3[],3,0))</f>
        <v/>
      </c>
      <c r="J737" t="str">
        <f>IF(A737="","",IF('ATP Fills'!I737="3M","",VLOOKUP(RIGHT('ATP Fills'!I737,2),Helper1!$O$36:$P$48,2,0)))</f>
        <v/>
      </c>
      <c r="K737" t="str">
        <f>IF(J737="","",LEFT('ATP Fills'!I737,4))</f>
        <v/>
      </c>
      <c r="L737" t="str">
        <f>IF(A737="","",IF('ATP Fills'!G737="LME",'ATP Fills'!I737,""))</f>
        <v/>
      </c>
      <c r="M737" t="str">
        <f t="shared" si="11"/>
        <v/>
      </c>
    </row>
    <row r="738" spans="1:13">
      <c r="A738" t="str">
        <f>IF('ATP Fills'!A738="","",IF('ATP Fills'!Q738="PHILLIPSG",'ATP Fills'!F738,""))</f>
        <v/>
      </c>
      <c r="B738" t="str">
        <f>IF(A738="","",'ATP Fills'!L738)</f>
        <v/>
      </c>
      <c r="C738" t="str">
        <f>IF(A738="","",'ATP Fills'!M738)</f>
        <v/>
      </c>
      <c r="D738" t="str">
        <f>IF(A738="","",'ATP Fills'!B738)</f>
        <v/>
      </c>
      <c r="E738" s="3" t="str">
        <f>IF(A738="","",IF(DATE(LEFT(D738,4),MID(D738,5,2),RIGHT(D738,2))=Helper1!$P$1,Helper1!$P$1,""))</f>
        <v/>
      </c>
      <c r="F738" s="3" t="str">
        <f>IF(A738="","",'ATP Fills'!G738)</f>
        <v/>
      </c>
      <c r="G738" t="str">
        <f>IF(A738="","",'ATP Fills'!H738)</f>
        <v/>
      </c>
      <c r="H738" t="str">
        <f>IF(A738="","",VLOOKUP(G738,表3_3[],2,0))</f>
        <v/>
      </c>
      <c r="I738" t="str">
        <f>IF(A738="","",VLOOKUP(G738,表3_3[],3,0))</f>
        <v/>
      </c>
      <c r="J738" t="str">
        <f>IF(A738="","",IF('ATP Fills'!I738="3M","",VLOOKUP(RIGHT('ATP Fills'!I738,2),Helper1!$O$36:$P$48,2,0)))</f>
        <v/>
      </c>
      <c r="K738" t="str">
        <f>IF(J738="","",LEFT('ATP Fills'!I738,4))</f>
        <v/>
      </c>
      <c r="L738" t="str">
        <f>IF(A738="","",IF('ATP Fills'!G738="LME",'ATP Fills'!I738,""))</f>
        <v/>
      </c>
      <c r="M738" t="str">
        <f t="shared" si="11"/>
        <v/>
      </c>
    </row>
    <row r="739" spans="1:13">
      <c r="A739" t="str">
        <f>IF('ATP Fills'!A739="","",IF('ATP Fills'!Q739="PHILLIPSG",'ATP Fills'!F739,""))</f>
        <v/>
      </c>
      <c r="B739" t="str">
        <f>IF(A739="","",'ATP Fills'!L739)</f>
        <v/>
      </c>
      <c r="C739" t="str">
        <f>IF(A739="","",'ATP Fills'!M739)</f>
        <v/>
      </c>
      <c r="D739" t="str">
        <f>IF(A739="","",'ATP Fills'!B739)</f>
        <v/>
      </c>
      <c r="E739" s="3" t="str">
        <f>IF(A739="","",IF(DATE(LEFT(D739,4),MID(D739,5,2),RIGHT(D739,2))=Helper1!$P$1,Helper1!$P$1,""))</f>
        <v/>
      </c>
      <c r="F739" s="3" t="str">
        <f>IF(A739="","",'ATP Fills'!G739)</f>
        <v/>
      </c>
      <c r="G739" t="str">
        <f>IF(A739="","",'ATP Fills'!H739)</f>
        <v/>
      </c>
      <c r="H739" t="str">
        <f>IF(A739="","",VLOOKUP(G739,表3_3[],2,0))</f>
        <v/>
      </c>
      <c r="I739" t="str">
        <f>IF(A739="","",VLOOKUP(G739,表3_3[],3,0))</f>
        <v/>
      </c>
      <c r="J739" t="str">
        <f>IF(A739="","",IF('ATP Fills'!I739="3M","",VLOOKUP(RIGHT('ATP Fills'!I739,2),Helper1!$O$36:$P$48,2,0)))</f>
        <v/>
      </c>
      <c r="K739" t="str">
        <f>IF(J739="","",LEFT('ATP Fills'!I739,4))</f>
        <v/>
      </c>
      <c r="L739" t="str">
        <f>IF(A739="","",IF('ATP Fills'!G739="LME",'ATP Fills'!I739,""))</f>
        <v/>
      </c>
      <c r="M739" t="str">
        <f t="shared" si="11"/>
        <v/>
      </c>
    </row>
    <row r="740" spans="1:13">
      <c r="A740" t="str">
        <f>IF('ATP Fills'!A740="","",IF('ATP Fills'!Q740="PHILLIPSG",'ATP Fills'!F740,""))</f>
        <v/>
      </c>
      <c r="B740" t="str">
        <f>IF(A740="","",'ATP Fills'!L740)</f>
        <v/>
      </c>
      <c r="C740" t="str">
        <f>IF(A740="","",'ATP Fills'!M740)</f>
        <v/>
      </c>
      <c r="D740" t="str">
        <f>IF(A740="","",'ATP Fills'!B740)</f>
        <v/>
      </c>
      <c r="E740" s="3" t="str">
        <f>IF(A740="","",IF(DATE(LEFT(D740,4),MID(D740,5,2),RIGHT(D740,2))=Helper1!$P$1,Helper1!$P$1,""))</f>
        <v/>
      </c>
      <c r="F740" s="3" t="str">
        <f>IF(A740="","",'ATP Fills'!G740)</f>
        <v/>
      </c>
      <c r="G740" t="str">
        <f>IF(A740="","",'ATP Fills'!H740)</f>
        <v/>
      </c>
      <c r="H740" t="str">
        <f>IF(A740="","",VLOOKUP(G740,表3_3[],2,0))</f>
        <v/>
      </c>
      <c r="I740" t="str">
        <f>IF(A740="","",VLOOKUP(G740,表3_3[],3,0))</f>
        <v/>
      </c>
      <c r="J740" t="str">
        <f>IF(A740="","",IF('ATP Fills'!I740="3M","",VLOOKUP(RIGHT('ATP Fills'!I740,2),Helper1!$O$36:$P$48,2,0)))</f>
        <v/>
      </c>
      <c r="K740" t="str">
        <f>IF(J740="","",LEFT('ATP Fills'!I740,4))</f>
        <v/>
      </c>
      <c r="L740" t="str">
        <f>IF(A740="","",IF('ATP Fills'!G740="LME",'ATP Fills'!I740,""))</f>
        <v/>
      </c>
      <c r="M740" t="str">
        <f t="shared" si="11"/>
        <v/>
      </c>
    </row>
    <row r="741" spans="1:13">
      <c r="A741" t="str">
        <f>IF('ATP Fills'!A741="","",IF('ATP Fills'!Q741="PHILLIPSG",'ATP Fills'!F741,""))</f>
        <v/>
      </c>
      <c r="B741" t="str">
        <f>IF(A741="","",'ATP Fills'!L741)</f>
        <v/>
      </c>
      <c r="C741" t="str">
        <f>IF(A741="","",'ATP Fills'!M741)</f>
        <v/>
      </c>
      <c r="D741" t="str">
        <f>IF(A741="","",'ATP Fills'!B741)</f>
        <v/>
      </c>
      <c r="E741" s="3" t="str">
        <f>IF(A741="","",IF(DATE(LEFT(D741,4),MID(D741,5,2),RIGHT(D741,2))=Helper1!$P$1,Helper1!$P$1,""))</f>
        <v/>
      </c>
      <c r="F741" s="3" t="str">
        <f>IF(A741="","",'ATP Fills'!G741)</f>
        <v/>
      </c>
      <c r="G741" t="str">
        <f>IF(A741="","",'ATP Fills'!H741)</f>
        <v/>
      </c>
      <c r="H741" t="str">
        <f>IF(A741="","",VLOOKUP(G741,表3_3[],2,0))</f>
        <v/>
      </c>
      <c r="I741" t="str">
        <f>IF(A741="","",VLOOKUP(G741,表3_3[],3,0))</f>
        <v/>
      </c>
      <c r="J741" t="str">
        <f>IF(A741="","",IF('ATP Fills'!I741="3M","",VLOOKUP(RIGHT('ATP Fills'!I741,2),Helper1!$O$36:$P$48,2,0)))</f>
        <v/>
      </c>
      <c r="K741" t="str">
        <f>IF(J741="","",LEFT('ATP Fills'!I741,4))</f>
        <v/>
      </c>
      <c r="L741" t="str">
        <f>IF(A741="","",IF('ATP Fills'!G741="LME",'ATP Fills'!I741,""))</f>
        <v/>
      </c>
      <c r="M741" t="str">
        <f t="shared" si="11"/>
        <v/>
      </c>
    </row>
    <row r="742" spans="1:13">
      <c r="A742" t="str">
        <f>IF('ATP Fills'!A742="","",IF('ATP Fills'!Q742="PHILLIPSG",'ATP Fills'!F742,""))</f>
        <v/>
      </c>
      <c r="B742" t="str">
        <f>IF(A742="","",'ATP Fills'!L742)</f>
        <v/>
      </c>
      <c r="C742" t="str">
        <f>IF(A742="","",'ATP Fills'!M742)</f>
        <v/>
      </c>
      <c r="D742" t="str">
        <f>IF(A742="","",'ATP Fills'!B742)</f>
        <v/>
      </c>
      <c r="E742" s="3" t="str">
        <f>IF(A742="","",IF(DATE(LEFT(D742,4),MID(D742,5,2),RIGHT(D742,2))=Helper1!$P$1,Helper1!$P$1,""))</f>
        <v/>
      </c>
      <c r="F742" s="3" t="str">
        <f>IF(A742="","",'ATP Fills'!G742)</f>
        <v/>
      </c>
      <c r="G742" t="str">
        <f>IF(A742="","",'ATP Fills'!H742)</f>
        <v/>
      </c>
      <c r="H742" t="str">
        <f>IF(A742="","",VLOOKUP(G742,表3_3[],2,0))</f>
        <v/>
      </c>
      <c r="I742" t="str">
        <f>IF(A742="","",VLOOKUP(G742,表3_3[],3,0))</f>
        <v/>
      </c>
      <c r="J742" t="str">
        <f>IF(A742="","",IF('ATP Fills'!I742="3M","",VLOOKUP(RIGHT('ATP Fills'!I742,2),Helper1!$O$36:$P$48,2,0)))</f>
        <v/>
      </c>
      <c r="K742" t="str">
        <f>IF(J742="","",LEFT('ATP Fills'!I742,4))</f>
        <v/>
      </c>
      <c r="L742" t="str">
        <f>IF(A742="","",IF('ATP Fills'!G742="LME",'ATP Fills'!I742,""))</f>
        <v/>
      </c>
      <c r="M742" t="str">
        <f t="shared" si="11"/>
        <v/>
      </c>
    </row>
    <row r="743" spans="1:13">
      <c r="A743" t="str">
        <f>IF('ATP Fills'!A743="","",IF('ATP Fills'!Q743="PHILLIPSG",'ATP Fills'!F743,""))</f>
        <v/>
      </c>
      <c r="B743" t="str">
        <f>IF(A743="","",'ATP Fills'!L743)</f>
        <v/>
      </c>
      <c r="C743" t="str">
        <f>IF(A743="","",'ATP Fills'!M743)</f>
        <v/>
      </c>
      <c r="D743" t="str">
        <f>IF(A743="","",'ATP Fills'!B743)</f>
        <v/>
      </c>
      <c r="E743" s="3" t="str">
        <f>IF(A743="","",IF(DATE(LEFT(D743,4),MID(D743,5,2),RIGHT(D743,2))=Helper1!$P$1,Helper1!$P$1,""))</f>
        <v/>
      </c>
      <c r="F743" s="3" t="str">
        <f>IF(A743="","",'ATP Fills'!G743)</f>
        <v/>
      </c>
      <c r="G743" t="str">
        <f>IF(A743="","",'ATP Fills'!H743)</f>
        <v/>
      </c>
      <c r="H743" t="str">
        <f>IF(A743="","",VLOOKUP(G743,表3_3[],2,0))</f>
        <v/>
      </c>
      <c r="I743" t="str">
        <f>IF(A743="","",VLOOKUP(G743,表3_3[],3,0))</f>
        <v/>
      </c>
      <c r="J743" t="str">
        <f>IF(A743="","",IF('ATP Fills'!I743="3M","",VLOOKUP(RIGHT('ATP Fills'!I743,2),Helper1!$O$36:$P$48,2,0)))</f>
        <v/>
      </c>
      <c r="K743" t="str">
        <f>IF(J743="","",LEFT('ATP Fills'!I743,4))</f>
        <v/>
      </c>
      <c r="L743" t="str">
        <f>IF(A743="","",IF('ATP Fills'!G743="LME",'ATP Fills'!I743,""))</f>
        <v/>
      </c>
      <c r="M743" t="str">
        <f t="shared" si="11"/>
        <v/>
      </c>
    </row>
    <row r="744" spans="1:13">
      <c r="A744" t="str">
        <f>IF('ATP Fills'!A744="","",IF('ATP Fills'!Q744="PHILLIPSG",'ATP Fills'!F744,""))</f>
        <v/>
      </c>
      <c r="B744" t="str">
        <f>IF(A744="","",'ATP Fills'!L744)</f>
        <v/>
      </c>
      <c r="C744" t="str">
        <f>IF(A744="","",'ATP Fills'!M744)</f>
        <v/>
      </c>
      <c r="D744" t="str">
        <f>IF(A744="","",'ATP Fills'!B744)</f>
        <v/>
      </c>
      <c r="E744" s="3" t="str">
        <f>IF(A744="","",IF(DATE(LEFT(D744,4),MID(D744,5,2),RIGHT(D744,2))=Helper1!$P$1,Helper1!$P$1,""))</f>
        <v/>
      </c>
      <c r="F744" s="3" t="str">
        <f>IF(A744="","",'ATP Fills'!G744)</f>
        <v/>
      </c>
      <c r="G744" t="str">
        <f>IF(A744="","",'ATP Fills'!H744)</f>
        <v/>
      </c>
      <c r="H744" t="str">
        <f>IF(A744="","",VLOOKUP(G744,表3_3[],2,0))</f>
        <v/>
      </c>
      <c r="I744" t="str">
        <f>IF(A744="","",VLOOKUP(G744,表3_3[],3,0))</f>
        <v/>
      </c>
      <c r="J744" t="str">
        <f>IF(A744="","",IF('ATP Fills'!I744="3M","",VLOOKUP(RIGHT('ATP Fills'!I744,2),Helper1!$O$36:$P$48,2,0)))</f>
        <v/>
      </c>
      <c r="K744" t="str">
        <f>IF(J744="","",LEFT('ATP Fills'!I744,4))</f>
        <v/>
      </c>
      <c r="L744" t="str">
        <f>IF(A744="","",IF('ATP Fills'!G744="LME",'ATP Fills'!I744,""))</f>
        <v/>
      </c>
      <c r="M744" t="str">
        <f t="shared" si="11"/>
        <v/>
      </c>
    </row>
    <row r="745" spans="1:13">
      <c r="A745" t="str">
        <f>IF('ATP Fills'!A745="","",IF('ATP Fills'!Q745="PHILLIPSG",'ATP Fills'!F745,""))</f>
        <v/>
      </c>
      <c r="B745" t="str">
        <f>IF(A745="","",'ATP Fills'!L745)</f>
        <v/>
      </c>
      <c r="C745" t="str">
        <f>IF(A745="","",'ATP Fills'!M745)</f>
        <v/>
      </c>
      <c r="D745" t="str">
        <f>IF(A745="","",'ATP Fills'!B745)</f>
        <v/>
      </c>
      <c r="E745" s="3" t="str">
        <f>IF(A745="","",IF(DATE(LEFT(D745,4),MID(D745,5,2),RIGHT(D745,2))=Helper1!$P$1,Helper1!$P$1,""))</f>
        <v/>
      </c>
      <c r="F745" s="3" t="str">
        <f>IF(A745="","",'ATP Fills'!G745)</f>
        <v/>
      </c>
      <c r="G745" t="str">
        <f>IF(A745="","",'ATP Fills'!H745)</f>
        <v/>
      </c>
      <c r="H745" t="str">
        <f>IF(A745="","",VLOOKUP(G745,表3_3[],2,0))</f>
        <v/>
      </c>
      <c r="I745" t="str">
        <f>IF(A745="","",VLOOKUP(G745,表3_3[],3,0))</f>
        <v/>
      </c>
      <c r="J745" t="str">
        <f>IF(A745="","",IF('ATP Fills'!I745="3M","",VLOOKUP(RIGHT('ATP Fills'!I745,2),Helper1!$O$36:$P$48,2,0)))</f>
        <v/>
      </c>
      <c r="K745" t="str">
        <f>IF(J745="","",LEFT('ATP Fills'!I745,4))</f>
        <v/>
      </c>
      <c r="L745" t="str">
        <f>IF(A745="","",IF('ATP Fills'!G745="LME",'ATP Fills'!I745,""))</f>
        <v/>
      </c>
      <c r="M745" t="str">
        <f t="shared" si="11"/>
        <v/>
      </c>
    </row>
    <row r="746" spans="1:13">
      <c r="A746" t="str">
        <f>IF('ATP Fills'!A746="","",IF('ATP Fills'!Q746="PHILLIPSG",'ATP Fills'!F746,""))</f>
        <v/>
      </c>
      <c r="B746" t="str">
        <f>IF(A746="","",'ATP Fills'!L746)</f>
        <v/>
      </c>
      <c r="C746" t="str">
        <f>IF(A746="","",'ATP Fills'!M746)</f>
        <v/>
      </c>
      <c r="D746" t="str">
        <f>IF(A746="","",'ATP Fills'!B746)</f>
        <v/>
      </c>
      <c r="E746" s="3" t="str">
        <f>IF(A746="","",IF(DATE(LEFT(D746,4),MID(D746,5,2),RIGHT(D746,2))=Helper1!$P$1,Helper1!$P$1,""))</f>
        <v/>
      </c>
      <c r="F746" s="3" t="str">
        <f>IF(A746="","",'ATP Fills'!G746)</f>
        <v/>
      </c>
      <c r="G746" t="str">
        <f>IF(A746="","",'ATP Fills'!H746)</f>
        <v/>
      </c>
      <c r="H746" t="str">
        <f>IF(A746="","",VLOOKUP(G746,表3_3[],2,0))</f>
        <v/>
      </c>
      <c r="I746" t="str">
        <f>IF(A746="","",VLOOKUP(G746,表3_3[],3,0))</f>
        <v/>
      </c>
      <c r="J746" t="str">
        <f>IF(A746="","",IF('ATP Fills'!I746="3M","",VLOOKUP(RIGHT('ATP Fills'!I746,2),Helper1!$O$36:$P$48,2,0)))</f>
        <v/>
      </c>
      <c r="K746" t="str">
        <f>IF(J746="","",LEFT('ATP Fills'!I746,4))</f>
        <v/>
      </c>
      <c r="L746" t="str">
        <f>IF(A746="","",IF('ATP Fills'!G746="LME",'ATP Fills'!I746,""))</f>
        <v/>
      </c>
      <c r="M746" t="str">
        <f t="shared" si="11"/>
        <v/>
      </c>
    </row>
    <row r="747" spans="1:13">
      <c r="A747" t="str">
        <f>IF('ATP Fills'!A747="","",IF('ATP Fills'!Q747="PHILLIPSG",'ATP Fills'!F747,""))</f>
        <v/>
      </c>
      <c r="B747" t="str">
        <f>IF(A747="","",'ATP Fills'!L747)</f>
        <v/>
      </c>
      <c r="C747" t="str">
        <f>IF(A747="","",'ATP Fills'!M747)</f>
        <v/>
      </c>
      <c r="D747" t="str">
        <f>IF(A747="","",'ATP Fills'!B747)</f>
        <v/>
      </c>
      <c r="E747" s="3" t="str">
        <f>IF(A747="","",IF(DATE(LEFT(D747,4),MID(D747,5,2),RIGHT(D747,2))=Helper1!$P$1,Helper1!$P$1,""))</f>
        <v/>
      </c>
      <c r="F747" s="3" t="str">
        <f>IF(A747="","",'ATP Fills'!G747)</f>
        <v/>
      </c>
      <c r="G747" t="str">
        <f>IF(A747="","",'ATP Fills'!H747)</f>
        <v/>
      </c>
      <c r="H747" t="str">
        <f>IF(A747="","",VLOOKUP(G747,表3_3[],2,0))</f>
        <v/>
      </c>
      <c r="I747" t="str">
        <f>IF(A747="","",VLOOKUP(G747,表3_3[],3,0))</f>
        <v/>
      </c>
      <c r="J747" t="str">
        <f>IF(A747="","",IF('ATP Fills'!I747="3M","",VLOOKUP(RIGHT('ATP Fills'!I747,2),Helper1!$O$36:$P$48,2,0)))</f>
        <v/>
      </c>
      <c r="K747" t="str">
        <f>IF(J747="","",LEFT('ATP Fills'!I747,4))</f>
        <v/>
      </c>
      <c r="L747" t="str">
        <f>IF(A747="","",IF('ATP Fills'!G747="LME",'ATP Fills'!I747,""))</f>
        <v/>
      </c>
      <c r="M747" t="str">
        <f t="shared" si="11"/>
        <v/>
      </c>
    </row>
    <row r="748" spans="1:13">
      <c r="A748" t="str">
        <f>IF('ATP Fills'!A748="","",IF('ATP Fills'!Q748="PHILLIPSG",'ATP Fills'!F748,""))</f>
        <v/>
      </c>
      <c r="B748" t="str">
        <f>IF(A748="","",'ATP Fills'!L748)</f>
        <v/>
      </c>
      <c r="C748" t="str">
        <f>IF(A748="","",'ATP Fills'!M748)</f>
        <v/>
      </c>
      <c r="D748" t="str">
        <f>IF(A748="","",'ATP Fills'!B748)</f>
        <v/>
      </c>
      <c r="E748" s="3" t="str">
        <f>IF(A748="","",IF(DATE(LEFT(D748,4),MID(D748,5,2),RIGHT(D748,2))=Helper1!$P$1,Helper1!$P$1,""))</f>
        <v/>
      </c>
      <c r="F748" s="3" t="str">
        <f>IF(A748="","",'ATP Fills'!G748)</f>
        <v/>
      </c>
      <c r="G748" t="str">
        <f>IF(A748="","",'ATP Fills'!H748)</f>
        <v/>
      </c>
      <c r="H748" t="str">
        <f>IF(A748="","",VLOOKUP(G748,表3_3[],2,0))</f>
        <v/>
      </c>
      <c r="I748" t="str">
        <f>IF(A748="","",VLOOKUP(G748,表3_3[],3,0))</f>
        <v/>
      </c>
      <c r="J748" t="str">
        <f>IF(A748="","",IF('ATP Fills'!I748="3M","",VLOOKUP(RIGHT('ATP Fills'!I748,2),Helper1!$O$36:$P$48,2,0)))</f>
        <v/>
      </c>
      <c r="K748" t="str">
        <f>IF(J748="","",LEFT('ATP Fills'!I748,4))</f>
        <v/>
      </c>
      <c r="L748" t="str">
        <f>IF(A748="","",IF('ATP Fills'!G748="LME",'ATP Fills'!I748,""))</f>
        <v/>
      </c>
      <c r="M748" t="str">
        <f t="shared" si="11"/>
        <v/>
      </c>
    </row>
    <row r="749" spans="1:13">
      <c r="A749" t="str">
        <f>IF('ATP Fills'!A749="","",IF('ATP Fills'!Q749="PHILLIPSG",'ATP Fills'!F749,""))</f>
        <v/>
      </c>
      <c r="B749" t="str">
        <f>IF(A749="","",'ATP Fills'!L749)</f>
        <v/>
      </c>
      <c r="C749" t="str">
        <f>IF(A749="","",'ATP Fills'!M749)</f>
        <v/>
      </c>
      <c r="D749" t="str">
        <f>IF(A749="","",'ATP Fills'!B749)</f>
        <v/>
      </c>
      <c r="E749" s="3" t="str">
        <f>IF(A749="","",IF(DATE(LEFT(D749,4),MID(D749,5,2),RIGHT(D749,2))=Helper1!$P$1,Helper1!$P$1,""))</f>
        <v/>
      </c>
      <c r="F749" s="3" t="str">
        <f>IF(A749="","",'ATP Fills'!G749)</f>
        <v/>
      </c>
      <c r="G749" t="str">
        <f>IF(A749="","",'ATP Fills'!H749)</f>
        <v/>
      </c>
      <c r="H749" t="str">
        <f>IF(A749="","",VLOOKUP(G749,表3_3[],2,0))</f>
        <v/>
      </c>
      <c r="I749" t="str">
        <f>IF(A749="","",VLOOKUP(G749,表3_3[],3,0))</f>
        <v/>
      </c>
      <c r="J749" t="str">
        <f>IF(A749="","",IF('ATP Fills'!I749="3M","",VLOOKUP(RIGHT('ATP Fills'!I749,2),Helper1!$O$36:$P$48,2,0)))</f>
        <v/>
      </c>
      <c r="K749" t="str">
        <f>IF(J749="","",LEFT('ATP Fills'!I749,4))</f>
        <v/>
      </c>
      <c r="L749" t="str">
        <f>IF(A749="","",IF('ATP Fills'!G749="LME",'ATP Fills'!I749,""))</f>
        <v/>
      </c>
      <c r="M749" t="str">
        <f t="shared" si="11"/>
        <v/>
      </c>
    </row>
    <row r="750" spans="1:13">
      <c r="A750" t="str">
        <f>IF('ATP Fills'!A750="","",IF('ATP Fills'!Q750="PHILLIPSG",'ATP Fills'!F750,""))</f>
        <v/>
      </c>
      <c r="B750" t="str">
        <f>IF(A750="","",'ATP Fills'!L750)</f>
        <v/>
      </c>
      <c r="C750" t="str">
        <f>IF(A750="","",'ATP Fills'!M750)</f>
        <v/>
      </c>
      <c r="D750" t="str">
        <f>IF(A750="","",'ATP Fills'!B750)</f>
        <v/>
      </c>
      <c r="E750" s="3" t="str">
        <f>IF(A750="","",IF(DATE(LEFT(D750,4),MID(D750,5,2),RIGHT(D750,2))=Helper1!$P$1,Helper1!$P$1,""))</f>
        <v/>
      </c>
      <c r="F750" s="3" t="str">
        <f>IF(A750="","",'ATP Fills'!G750)</f>
        <v/>
      </c>
      <c r="G750" t="str">
        <f>IF(A750="","",'ATP Fills'!H750)</f>
        <v/>
      </c>
      <c r="H750" t="str">
        <f>IF(A750="","",VLOOKUP(G750,表3_3[],2,0))</f>
        <v/>
      </c>
      <c r="I750" t="str">
        <f>IF(A750="","",VLOOKUP(G750,表3_3[],3,0))</f>
        <v/>
      </c>
      <c r="J750" t="str">
        <f>IF(A750="","",IF('ATP Fills'!I750="3M","",VLOOKUP(RIGHT('ATP Fills'!I750,2),Helper1!$O$36:$P$48,2,0)))</f>
        <v/>
      </c>
      <c r="K750" t="str">
        <f>IF(J750="","",LEFT('ATP Fills'!I750,4))</f>
        <v/>
      </c>
      <c r="L750" t="str">
        <f>IF(A750="","",IF('ATP Fills'!G750="LME",'ATP Fills'!I750,""))</f>
        <v/>
      </c>
      <c r="M750" t="str">
        <f t="shared" si="11"/>
        <v/>
      </c>
    </row>
    <row r="751" spans="1:13">
      <c r="A751" t="str">
        <f>IF('ATP Fills'!A751="","",IF('ATP Fills'!Q751="PHILLIPSG",'ATP Fills'!F751,""))</f>
        <v/>
      </c>
      <c r="B751" t="str">
        <f>IF(A751="","",'ATP Fills'!L751)</f>
        <v/>
      </c>
      <c r="C751" t="str">
        <f>IF(A751="","",'ATP Fills'!M751)</f>
        <v/>
      </c>
      <c r="D751" t="str">
        <f>IF(A751="","",'ATP Fills'!B751)</f>
        <v/>
      </c>
      <c r="E751" s="3" t="str">
        <f>IF(A751="","",IF(DATE(LEFT(D751,4),MID(D751,5,2),RIGHT(D751,2))=Helper1!$P$1,Helper1!$P$1,""))</f>
        <v/>
      </c>
      <c r="F751" s="3" t="str">
        <f>IF(A751="","",'ATP Fills'!G751)</f>
        <v/>
      </c>
      <c r="G751" t="str">
        <f>IF(A751="","",'ATP Fills'!H751)</f>
        <v/>
      </c>
      <c r="H751" t="str">
        <f>IF(A751="","",VLOOKUP(G751,表3_3[],2,0))</f>
        <v/>
      </c>
      <c r="I751" t="str">
        <f>IF(A751="","",VLOOKUP(G751,表3_3[],3,0))</f>
        <v/>
      </c>
      <c r="J751" t="str">
        <f>IF(A751="","",IF('ATP Fills'!I751="3M","",VLOOKUP(RIGHT('ATP Fills'!I751,2),Helper1!$O$36:$P$48,2,0)))</f>
        <v/>
      </c>
      <c r="K751" t="str">
        <f>IF(J751="","",LEFT('ATP Fills'!I751,4))</f>
        <v/>
      </c>
      <c r="L751" t="str">
        <f>IF(A751="","",IF('ATP Fills'!G751="LME",'ATP Fills'!I751,""))</f>
        <v/>
      </c>
      <c r="M751" t="str">
        <f t="shared" si="11"/>
        <v/>
      </c>
    </row>
    <row r="752" spans="1:13">
      <c r="A752" t="str">
        <f>IF('ATP Fills'!A752="","",IF('ATP Fills'!Q752="PHILLIPSG",'ATP Fills'!F752,""))</f>
        <v/>
      </c>
      <c r="B752" t="str">
        <f>IF(A752="","",'ATP Fills'!L752)</f>
        <v/>
      </c>
      <c r="C752" t="str">
        <f>IF(A752="","",'ATP Fills'!M752)</f>
        <v/>
      </c>
      <c r="D752" t="str">
        <f>IF(A752="","",'ATP Fills'!B752)</f>
        <v/>
      </c>
      <c r="E752" s="3" t="str">
        <f>IF(A752="","",IF(DATE(LEFT(D752,4),MID(D752,5,2),RIGHT(D752,2))=Helper1!$P$1,Helper1!$P$1,""))</f>
        <v/>
      </c>
      <c r="F752" s="3" t="str">
        <f>IF(A752="","",'ATP Fills'!G752)</f>
        <v/>
      </c>
      <c r="G752" t="str">
        <f>IF(A752="","",'ATP Fills'!H752)</f>
        <v/>
      </c>
      <c r="H752" t="str">
        <f>IF(A752="","",VLOOKUP(G752,表3_3[],2,0))</f>
        <v/>
      </c>
      <c r="I752" t="str">
        <f>IF(A752="","",VLOOKUP(G752,表3_3[],3,0))</f>
        <v/>
      </c>
      <c r="J752" t="str">
        <f>IF(A752="","",IF('ATP Fills'!I752="3M","",VLOOKUP(RIGHT('ATP Fills'!I752,2),Helper1!$O$36:$P$48,2,0)))</f>
        <v/>
      </c>
      <c r="K752" t="str">
        <f>IF(J752="","",LEFT('ATP Fills'!I752,4))</f>
        <v/>
      </c>
      <c r="L752" t="str">
        <f>IF(A752="","",IF('ATP Fills'!G752="LME",'ATP Fills'!I752,""))</f>
        <v/>
      </c>
      <c r="M752" t="str">
        <f t="shared" si="11"/>
        <v/>
      </c>
    </row>
    <row r="753" spans="1:13">
      <c r="A753" t="str">
        <f>IF('ATP Fills'!A753="","",IF('ATP Fills'!Q753="PHILLIPSG",'ATP Fills'!F753,""))</f>
        <v/>
      </c>
      <c r="B753" t="str">
        <f>IF(A753="","",'ATP Fills'!L753)</f>
        <v/>
      </c>
      <c r="C753" t="str">
        <f>IF(A753="","",'ATP Fills'!M753)</f>
        <v/>
      </c>
      <c r="D753" t="str">
        <f>IF(A753="","",'ATP Fills'!B753)</f>
        <v/>
      </c>
      <c r="E753" s="3" t="str">
        <f>IF(A753="","",IF(DATE(LEFT(D753,4),MID(D753,5,2),RIGHT(D753,2))=Helper1!$P$1,Helper1!$P$1,""))</f>
        <v/>
      </c>
      <c r="F753" s="3" t="str">
        <f>IF(A753="","",'ATP Fills'!G753)</f>
        <v/>
      </c>
      <c r="G753" t="str">
        <f>IF(A753="","",'ATP Fills'!H753)</f>
        <v/>
      </c>
      <c r="H753" t="str">
        <f>IF(A753="","",VLOOKUP(G753,表3_3[],2,0))</f>
        <v/>
      </c>
      <c r="I753" t="str">
        <f>IF(A753="","",VLOOKUP(G753,表3_3[],3,0))</f>
        <v/>
      </c>
      <c r="J753" t="str">
        <f>IF(A753="","",IF('ATP Fills'!I753="3M","",VLOOKUP(RIGHT('ATP Fills'!I753,2),Helper1!$O$36:$P$48,2,0)))</f>
        <v/>
      </c>
      <c r="K753" t="str">
        <f>IF(J753="","",LEFT('ATP Fills'!I753,4))</f>
        <v/>
      </c>
      <c r="L753" t="str">
        <f>IF(A753="","",IF('ATP Fills'!G753="LME",'ATP Fills'!I753,""))</f>
        <v/>
      </c>
      <c r="M753" t="str">
        <f t="shared" si="11"/>
        <v/>
      </c>
    </row>
    <row r="754" spans="1:13">
      <c r="A754" t="str">
        <f>IF('ATP Fills'!A754="","",IF('ATP Fills'!Q754="PHILLIPSG",'ATP Fills'!F754,""))</f>
        <v/>
      </c>
      <c r="B754" t="str">
        <f>IF(A754="","",'ATP Fills'!L754)</f>
        <v/>
      </c>
      <c r="C754" t="str">
        <f>IF(A754="","",'ATP Fills'!M754)</f>
        <v/>
      </c>
      <c r="D754" t="str">
        <f>IF(A754="","",'ATP Fills'!B754)</f>
        <v/>
      </c>
      <c r="E754" s="3" t="str">
        <f>IF(A754="","",IF(DATE(LEFT(D754,4),MID(D754,5,2),RIGHT(D754,2))=Helper1!$P$1,Helper1!$P$1,""))</f>
        <v/>
      </c>
      <c r="F754" s="3" t="str">
        <f>IF(A754="","",'ATP Fills'!G754)</f>
        <v/>
      </c>
      <c r="G754" t="str">
        <f>IF(A754="","",'ATP Fills'!H754)</f>
        <v/>
      </c>
      <c r="H754" t="str">
        <f>IF(A754="","",VLOOKUP(G754,表3_3[],2,0))</f>
        <v/>
      </c>
      <c r="I754" t="str">
        <f>IF(A754="","",VLOOKUP(G754,表3_3[],3,0))</f>
        <v/>
      </c>
      <c r="J754" t="str">
        <f>IF(A754="","",IF('ATP Fills'!I754="3M","",VLOOKUP(RIGHT('ATP Fills'!I754,2),Helper1!$O$36:$P$48,2,0)))</f>
        <v/>
      </c>
      <c r="K754" t="str">
        <f>IF(J754="","",LEFT('ATP Fills'!I754,4))</f>
        <v/>
      </c>
      <c r="L754" t="str">
        <f>IF(A754="","",IF('ATP Fills'!G754="LME",'ATP Fills'!I754,""))</f>
        <v/>
      </c>
      <c r="M754" t="str">
        <f t="shared" si="11"/>
        <v/>
      </c>
    </row>
    <row r="755" spans="1:13">
      <c r="A755" t="str">
        <f>IF('ATP Fills'!A755="","",IF('ATP Fills'!Q755="PHILLIPSG",'ATP Fills'!F755,""))</f>
        <v/>
      </c>
      <c r="B755" t="str">
        <f>IF(A755="","",'ATP Fills'!L755)</f>
        <v/>
      </c>
      <c r="C755" t="str">
        <f>IF(A755="","",'ATP Fills'!M755)</f>
        <v/>
      </c>
      <c r="D755" t="str">
        <f>IF(A755="","",'ATP Fills'!B755)</f>
        <v/>
      </c>
      <c r="E755" s="3" t="str">
        <f>IF(A755="","",IF(DATE(LEFT(D755,4),MID(D755,5,2),RIGHT(D755,2))=Helper1!$P$1,Helper1!$P$1,""))</f>
        <v/>
      </c>
      <c r="F755" s="3" t="str">
        <f>IF(A755="","",'ATP Fills'!G755)</f>
        <v/>
      </c>
      <c r="G755" t="str">
        <f>IF(A755="","",'ATP Fills'!H755)</f>
        <v/>
      </c>
      <c r="H755" t="str">
        <f>IF(A755="","",VLOOKUP(G755,表3_3[],2,0))</f>
        <v/>
      </c>
      <c r="I755" t="str">
        <f>IF(A755="","",VLOOKUP(G755,表3_3[],3,0))</f>
        <v/>
      </c>
      <c r="J755" t="str">
        <f>IF(A755="","",IF('ATP Fills'!I755="3M","",VLOOKUP(RIGHT('ATP Fills'!I755,2),Helper1!$O$36:$P$48,2,0)))</f>
        <v/>
      </c>
      <c r="K755" t="str">
        <f>IF(J755="","",LEFT('ATP Fills'!I755,4))</f>
        <v/>
      </c>
      <c r="L755" t="str">
        <f>IF(A755="","",IF('ATP Fills'!G755="LME",'ATP Fills'!I755,""))</f>
        <v/>
      </c>
      <c r="M755" t="str">
        <f t="shared" si="11"/>
        <v/>
      </c>
    </row>
    <row r="756" spans="1:13">
      <c r="A756" t="str">
        <f>IF('ATP Fills'!A756="","",IF('ATP Fills'!Q756="PHILLIPSG",'ATP Fills'!F756,""))</f>
        <v/>
      </c>
      <c r="B756" t="str">
        <f>IF(A756="","",'ATP Fills'!L756)</f>
        <v/>
      </c>
      <c r="C756" t="str">
        <f>IF(A756="","",'ATP Fills'!M756)</f>
        <v/>
      </c>
      <c r="D756" t="str">
        <f>IF(A756="","",'ATP Fills'!B756)</f>
        <v/>
      </c>
      <c r="E756" s="3" t="str">
        <f>IF(A756="","",IF(DATE(LEFT(D756,4),MID(D756,5,2),RIGHT(D756,2))=Helper1!$P$1,Helper1!$P$1,""))</f>
        <v/>
      </c>
      <c r="F756" s="3" t="str">
        <f>IF(A756="","",'ATP Fills'!G756)</f>
        <v/>
      </c>
      <c r="G756" t="str">
        <f>IF(A756="","",'ATP Fills'!H756)</f>
        <v/>
      </c>
      <c r="H756" t="str">
        <f>IF(A756="","",VLOOKUP(G756,表3_3[],2,0))</f>
        <v/>
      </c>
      <c r="I756" t="str">
        <f>IF(A756="","",VLOOKUP(G756,表3_3[],3,0))</f>
        <v/>
      </c>
      <c r="J756" t="str">
        <f>IF(A756="","",IF('ATP Fills'!I756="3M","",VLOOKUP(RIGHT('ATP Fills'!I756,2),Helper1!$O$36:$P$48,2,0)))</f>
        <v/>
      </c>
      <c r="K756" t="str">
        <f>IF(J756="","",LEFT('ATP Fills'!I756,4))</f>
        <v/>
      </c>
      <c r="L756" t="str">
        <f>IF(A756="","",IF('ATP Fills'!G756="LME",'ATP Fills'!I756,""))</f>
        <v/>
      </c>
      <c r="M756" t="str">
        <f t="shared" si="11"/>
        <v/>
      </c>
    </row>
    <row r="757" spans="1:13">
      <c r="A757" t="str">
        <f>IF('ATP Fills'!A757="","",IF('ATP Fills'!Q757="PHILLIPSG",'ATP Fills'!F757,""))</f>
        <v/>
      </c>
      <c r="B757" t="str">
        <f>IF(A757="","",'ATP Fills'!L757)</f>
        <v/>
      </c>
      <c r="C757" t="str">
        <f>IF(A757="","",'ATP Fills'!M757)</f>
        <v/>
      </c>
      <c r="D757" t="str">
        <f>IF(A757="","",'ATP Fills'!B757)</f>
        <v/>
      </c>
      <c r="E757" s="3" t="str">
        <f>IF(A757="","",IF(DATE(LEFT(D757,4),MID(D757,5,2),RIGHT(D757,2))=Helper1!$P$1,Helper1!$P$1,""))</f>
        <v/>
      </c>
      <c r="F757" s="3" t="str">
        <f>IF(A757="","",'ATP Fills'!G757)</f>
        <v/>
      </c>
      <c r="G757" t="str">
        <f>IF(A757="","",'ATP Fills'!H757)</f>
        <v/>
      </c>
      <c r="H757" t="str">
        <f>IF(A757="","",VLOOKUP(G757,表3_3[],2,0))</f>
        <v/>
      </c>
      <c r="I757" t="str">
        <f>IF(A757="","",VLOOKUP(G757,表3_3[],3,0))</f>
        <v/>
      </c>
      <c r="J757" t="str">
        <f>IF(A757="","",IF('ATP Fills'!I757="3M","",VLOOKUP(RIGHT('ATP Fills'!I757,2),Helper1!$O$36:$P$48,2,0)))</f>
        <v/>
      </c>
      <c r="K757" t="str">
        <f>IF(J757="","",LEFT('ATP Fills'!I757,4))</f>
        <v/>
      </c>
      <c r="L757" t="str">
        <f>IF(A757="","",IF('ATP Fills'!G757="LME",'ATP Fills'!I757,""))</f>
        <v/>
      </c>
      <c r="M757" t="str">
        <f t="shared" si="11"/>
        <v/>
      </c>
    </row>
    <row r="758" spans="1:13">
      <c r="A758" t="str">
        <f>IF('ATP Fills'!A758="","",IF('ATP Fills'!Q758="PHILLIPSG",'ATP Fills'!F758,""))</f>
        <v/>
      </c>
      <c r="B758" t="str">
        <f>IF(A758="","",'ATP Fills'!L758)</f>
        <v/>
      </c>
      <c r="C758" t="str">
        <f>IF(A758="","",'ATP Fills'!M758)</f>
        <v/>
      </c>
      <c r="D758" t="str">
        <f>IF(A758="","",'ATP Fills'!B758)</f>
        <v/>
      </c>
      <c r="E758" s="3" t="str">
        <f>IF(A758="","",IF(DATE(LEFT(D758,4),MID(D758,5,2),RIGHT(D758,2))=Helper1!$P$1,Helper1!$P$1,""))</f>
        <v/>
      </c>
      <c r="F758" s="3" t="str">
        <f>IF(A758="","",'ATP Fills'!G758)</f>
        <v/>
      </c>
      <c r="G758" t="str">
        <f>IF(A758="","",'ATP Fills'!H758)</f>
        <v/>
      </c>
      <c r="H758" t="str">
        <f>IF(A758="","",VLOOKUP(G758,表3_3[],2,0))</f>
        <v/>
      </c>
      <c r="I758" t="str">
        <f>IF(A758="","",VLOOKUP(G758,表3_3[],3,0))</f>
        <v/>
      </c>
      <c r="J758" t="str">
        <f>IF(A758="","",IF('ATP Fills'!I758="3M","",VLOOKUP(RIGHT('ATP Fills'!I758,2),Helper1!$O$36:$P$48,2,0)))</f>
        <v/>
      </c>
      <c r="K758" t="str">
        <f>IF(J758="","",LEFT('ATP Fills'!I758,4))</f>
        <v/>
      </c>
      <c r="L758" t="str">
        <f>IF(A758="","",IF('ATP Fills'!G758="LME",'ATP Fills'!I758,""))</f>
        <v/>
      </c>
      <c r="M758" t="str">
        <f t="shared" si="11"/>
        <v/>
      </c>
    </row>
    <row r="759" spans="1:13">
      <c r="A759" t="str">
        <f>IF('ATP Fills'!A759="","",IF('ATP Fills'!Q759="PHILLIPSG",'ATP Fills'!F759,""))</f>
        <v/>
      </c>
      <c r="B759" t="str">
        <f>IF(A759="","",'ATP Fills'!L759)</f>
        <v/>
      </c>
      <c r="C759" t="str">
        <f>IF(A759="","",'ATP Fills'!M759)</f>
        <v/>
      </c>
      <c r="D759" t="str">
        <f>IF(A759="","",'ATP Fills'!B759)</f>
        <v/>
      </c>
      <c r="E759" s="3" t="str">
        <f>IF(A759="","",IF(DATE(LEFT(D759,4),MID(D759,5,2),RIGHT(D759,2))=Helper1!$P$1,Helper1!$P$1,""))</f>
        <v/>
      </c>
      <c r="F759" s="3" t="str">
        <f>IF(A759="","",'ATP Fills'!G759)</f>
        <v/>
      </c>
      <c r="G759" t="str">
        <f>IF(A759="","",'ATP Fills'!H759)</f>
        <v/>
      </c>
      <c r="H759" t="str">
        <f>IF(A759="","",VLOOKUP(G759,表3_3[],2,0))</f>
        <v/>
      </c>
      <c r="I759" t="str">
        <f>IF(A759="","",VLOOKUP(G759,表3_3[],3,0))</f>
        <v/>
      </c>
      <c r="J759" t="str">
        <f>IF(A759="","",IF('ATP Fills'!I759="3M","",VLOOKUP(RIGHT('ATP Fills'!I759,2),Helper1!$O$36:$P$48,2,0)))</f>
        <v/>
      </c>
      <c r="K759" t="str">
        <f>IF(J759="","",LEFT('ATP Fills'!I759,4))</f>
        <v/>
      </c>
      <c r="L759" t="str">
        <f>IF(A759="","",IF('ATP Fills'!G759="LME",'ATP Fills'!I759,""))</f>
        <v/>
      </c>
      <c r="M759" t="str">
        <f t="shared" si="11"/>
        <v/>
      </c>
    </row>
    <row r="760" spans="1:13">
      <c r="A760" t="str">
        <f>IF('ATP Fills'!A760="","",IF('ATP Fills'!Q760="PHILLIPSG",'ATP Fills'!F760,""))</f>
        <v/>
      </c>
      <c r="B760" t="str">
        <f>IF(A760="","",'ATP Fills'!L760)</f>
        <v/>
      </c>
      <c r="C760" t="str">
        <f>IF(A760="","",'ATP Fills'!M760)</f>
        <v/>
      </c>
      <c r="D760" t="str">
        <f>IF(A760="","",'ATP Fills'!B760)</f>
        <v/>
      </c>
      <c r="E760" s="3" t="str">
        <f>IF(A760="","",IF(DATE(LEFT(D760,4),MID(D760,5,2),RIGHT(D760,2))=Helper1!$P$1,Helper1!$P$1,""))</f>
        <v/>
      </c>
      <c r="F760" s="3" t="str">
        <f>IF(A760="","",'ATP Fills'!G760)</f>
        <v/>
      </c>
      <c r="G760" t="str">
        <f>IF(A760="","",'ATP Fills'!H760)</f>
        <v/>
      </c>
      <c r="H760" t="str">
        <f>IF(A760="","",VLOOKUP(G760,表3_3[],2,0))</f>
        <v/>
      </c>
      <c r="I760" t="str">
        <f>IF(A760="","",VLOOKUP(G760,表3_3[],3,0))</f>
        <v/>
      </c>
      <c r="J760" t="str">
        <f>IF(A760="","",IF('ATP Fills'!I760="3M","",VLOOKUP(RIGHT('ATP Fills'!I760,2),Helper1!$O$36:$P$48,2,0)))</f>
        <v/>
      </c>
      <c r="K760" t="str">
        <f>IF(J760="","",LEFT('ATP Fills'!I760,4))</f>
        <v/>
      </c>
      <c r="L760" t="str">
        <f>IF(A760="","",IF('ATP Fills'!G760="LME",'ATP Fills'!I760,""))</f>
        <v/>
      </c>
      <c r="M760" t="str">
        <f t="shared" si="11"/>
        <v/>
      </c>
    </row>
    <row r="761" spans="1:13">
      <c r="A761" t="str">
        <f>IF('ATP Fills'!A761="","",IF('ATP Fills'!Q761="PHILLIPSG",'ATP Fills'!F761,""))</f>
        <v/>
      </c>
      <c r="B761" t="str">
        <f>IF(A761="","",'ATP Fills'!L761)</f>
        <v/>
      </c>
      <c r="C761" t="str">
        <f>IF(A761="","",'ATP Fills'!M761)</f>
        <v/>
      </c>
      <c r="D761" t="str">
        <f>IF(A761="","",'ATP Fills'!B761)</f>
        <v/>
      </c>
      <c r="E761" s="3" t="str">
        <f>IF(A761="","",IF(DATE(LEFT(D761,4),MID(D761,5,2),RIGHT(D761,2))=Helper1!$P$1,Helper1!$P$1,""))</f>
        <v/>
      </c>
      <c r="F761" s="3" t="str">
        <f>IF(A761="","",'ATP Fills'!G761)</f>
        <v/>
      </c>
      <c r="G761" t="str">
        <f>IF(A761="","",'ATP Fills'!H761)</f>
        <v/>
      </c>
      <c r="H761" t="str">
        <f>IF(A761="","",VLOOKUP(G761,表3_3[],2,0))</f>
        <v/>
      </c>
      <c r="I761" t="str">
        <f>IF(A761="","",VLOOKUP(G761,表3_3[],3,0))</f>
        <v/>
      </c>
      <c r="J761" t="str">
        <f>IF(A761="","",IF('ATP Fills'!I761="3M","",VLOOKUP(RIGHT('ATP Fills'!I761,2),Helper1!$O$36:$P$48,2,0)))</f>
        <v/>
      </c>
      <c r="K761" t="str">
        <f>IF(J761="","",LEFT('ATP Fills'!I761,4))</f>
        <v/>
      </c>
      <c r="L761" t="str">
        <f>IF(A761="","",IF('ATP Fills'!G761="LME",'ATP Fills'!I761,""))</f>
        <v/>
      </c>
      <c r="M761" t="str">
        <f t="shared" si="11"/>
        <v/>
      </c>
    </row>
    <row r="762" spans="1:13">
      <c r="A762" t="str">
        <f>IF('ATP Fills'!A762="","",IF('ATP Fills'!Q762="PHILLIPSG",'ATP Fills'!F762,""))</f>
        <v/>
      </c>
      <c r="B762" t="str">
        <f>IF(A762="","",'ATP Fills'!L762)</f>
        <v/>
      </c>
      <c r="C762" t="str">
        <f>IF(A762="","",'ATP Fills'!M762)</f>
        <v/>
      </c>
      <c r="D762" t="str">
        <f>IF(A762="","",'ATP Fills'!B762)</f>
        <v/>
      </c>
      <c r="E762" s="3" t="str">
        <f>IF(A762="","",IF(DATE(LEFT(D762,4),MID(D762,5,2),RIGHT(D762,2))=Helper1!$P$1,Helper1!$P$1,""))</f>
        <v/>
      </c>
      <c r="F762" s="3" t="str">
        <f>IF(A762="","",'ATP Fills'!G762)</f>
        <v/>
      </c>
      <c r="G762" t="str">
        <f>IF(A762="","",'ATP Fills'!H762)</f>
        <v/>
      </c>
      <c r="H762" t="str">
        <f>IF(A762="","",VLOOKUP(G762,表3_3[],2,0))</f>
        <v/>
      </c>
      <c r="I762" t="str">
        <f>IF(A762="","",VLOOKUP(G762,表3_3[],3,0))</f>
        <v/>
      </c>
      <c r="J762" t="str">
        <f>IF(A762="","",IF('ATP Fills'!I762="3M","",VLOOKUP(RIGHT('ATP Fills'!I762,2),Helper1!$O$36:$P$48,2,0)))</f>
        <v/>
      </c>
      <c r="K762" t="str">
        <f>IF(J762="","",LEFT('ATP Fills'!I762,4))</f>
        <v/>
      </c>
      <c r="L762" t="str">
        <f>IF(A762="","",IF('ATP Fills'!G762="LME",'ATP Fills'!I762,""))</f>
        <v/>
      </c>
      <c r="M762" t="str">
        <f t="shared" si="11"/>
        <v/>
      </c>
    </row>
    <row r="763" spans="1:13">
      <c r="A763" t="str">
        <f>IF('ATP Fills'!A763="","",IF('ATP Fills'!Q763="PHILLIPSG",'ATP Fills'!F763,""))</f>
        <v/>
      </c>
      <c r="B763" t="str">
        <f>IF(A763="","",'ATP Fills'!L763)</f>
        <v/>
      </c>
      <c r="C763" t="str">
        <f>IF(A763="","",'ATP Fills'!M763)</f>
        <v/>
      </c>
      <c r="D763" t="str">
        <f>IF(A763="","",'ATP Fills'!B763)</f>
        <v/>
      </c>
      <c r="E763" s="3" t="str">
        <f>IF(A763="","",IF(DATE(LEFT(D763,4),MID(D763,5,2),RIGHT(D763,2))=Helper1!$P$1,Helper1!$P$1,""))</f>
        <v/>
      </c>
      <c r="F763" s="3" t="str">
        <f>IF(A763="","",'ATP Fills'!G763)</f>
        <v/>
      </c>
      <c r="G763" t="str">
        <f>IF(A763="","",'ATP Fills'!H763)</f>
        <v/>
      </c>
      <c r="H763" t="str">
        <f>IF(A763="","",VLOOKUP(G763,表3_3[],2,0))</f>
        <v/>
      </c>
      <c r="I763" t="str">
        <f>IF(A763="","",VLOOKUP(G763,表3_3[],3,0))</f>
        <v/>
      </c>
      <c r="J763" t="str">
        <f>IF(A763="","",IF('ATP Fills'!I763="3M","",VLOOKUP(RIGHT('ATP Fills'!I763,2),Helper1!$O$36:$P$48,2,0)))</f>
        <v/>
      </c>
      <c r="K763" t="str">
        <f>IF(J763="","",LEFT('ATP Fills'!I763,4))</f>
        <v/>
      </c>
      <c r="L763" t="str">
        <f>IF(A763="","",IF('ATP Fills'!G763="LME",'ATP Fills'!I763,""))</f>
        <v/>
      </c>
      <c r="M763" t="str">
        <f t="shared" si="11"/>
        <v/>
      </c>
    </row>
    <row r="764" spans="1:13">
      <c r="A764" t="str">
        <f>IF('ATP Fills'!A764="","",IF('ATP Fills'!Q764="PHILLIPSG",'ATP Fills'!F764,""))</f>
        <v/>
      </c>
      <c r="B764" t="str">
        <f>IF(A764="","",'ATP Fills'!L764)</f>
        <v/>
      </c>
      <c r="C764" t="str">
        <f>IF(A764="","",'ATP Fills'!M764)</f>
        <v/>
      </c>
      <c r="D764" t="str">
        <f>IF(A764="","",'ATP Fills'!B764)</f>
        <v/>
      </c>
      <c r="E764" s="3" t="str">
        <f>IF(A764="","",IF(DATE(LEFT(D764,4),MID(D764,5,2),RIGHT(D764,2))=Helper1!$P$1,Helper1!$P$1,""))</f>
        <v/>
      </c>
      <c r="F764" s="3" t="str">
        <f>IF(A764="","",'ATP Fills'!G764)</f>
        <v/>
      </c>
      <c r="G764" t="str">
        <f>IF(A764="","",'ATP Fills'!H764)</f>
        <v/>
      </c>
      <c r="H764" t="str">
        <f>IF(A764="","",VLOOKUP(G764,表3_3[],2,0))</f>
        <v/>
      </c>
      <c r="I764" t="str">
        <f>IF(A764="","",VLOOKUP(G764,表3_3[],3,0))</f>
        <v/>
      </c>
      <c r="J764" t="str">
        <f>IF(A764="","",IF('ATP Fills'!I764="3M","",VLOOKUP(RIGHT('ATP Fills'!I764,2),Helper1!$O$36:$P$48,2,0)))</f>
        <v/>
      </c>
      <c r="K764" t="str">
        <f>IF(J764="","",LEFT('ATP Fills'!I764,4))</f>
        <v/>
      </c>
      <c r="L764" t="str">
        <f>IF(A764="","",IF('ATP Fills'!G764="LME",'ATP Fills'!I764,""))</f>
        <v/>
      </c>
      <c r="M764" t="str">
        <f t="shared" si="11"/>
        <v/>
      </c>
    </row>
    <row r="765" spans="1:13">
      <c r="A765" t="str">
        <f>IF('ATP Fills'!A765="","",IF('ATP Fills'!Q765="PHILLIPSG",'ATP Fills'!F765,""))</f>
        <v/>
      </c>
      <c r="B765" t="str">
        <f>IF(A765="","",'ATP Fills'!L765)</f>
        <v/>
      </c>
      <c r="C765" t="str">
        <f>IF(A765="","",'ATP Fills'!M765)</f>
        <v/>
      </c>
      <c r="D765" t="str">
        <f>IF(A765="","",'ATP Fills'!B765)</f>
        <v/>
      </c>
      <c r="E765" s="3" t="str">
        <f>IF(A765="","",IF(DATE(LEFT(D765,4),MID(D765,5,2),RIGHT(D765,2))=Helper1!$P$1,Helper1!$P$1,""))</f>
        <v/>
      </c>
      <c r="F765" s="3" t="str">
        <f>IF(A765="","",'ATP Fills'!G765)</f>
        <v/>
      </c>
      <c r="G765" t="str">
        <f>IF(A765="","",'ATP Fills'!H765)</f>
        <v/>
      </c>
      <c r="H765" t="str">
        <f>IF(A765="","",VLOOKUP(G765,表3_3[],2,0))</f>
        <v/>
      </c>
      <c r="I765" t="str">
        <f>IF(A765="","",VLOOKUP(G765,表3_3[],3,0))</f>
        <v/>
      </c>
      <c r="J765" t="str">
        <f>IF(A765="","",IF('ATP Fills'!I765="3M","",VLOOKUP(RIGHT('ATP Fills'!I765,2),Helper1!$O$36:$P$48,2,0)))</f>
        <v/>
      </c>
      <c r="K765" t="str">
        <f>IF(J765="","",LEFT('ATP Fills'!I765,4))</f>
        <v/>
      </c>
      <c r="L765" t="str">
        <f>IF(A765="","",IF('ATP Fills'!G765="LME",'ATP Fills'!I765,""))</f>
        <v/>
      </c>
      <c r="M765" t="str">
        <f t="shared" si="11"/>
        <v/>
      </c>
    </row>
    <row r="766" spans="1:13">
      <c r="A766" t="str">
        <f>IF('ATP Fills'!A766="","",IF('ATP Fills'!Q766="PHILLIPSG",'ATP Fills'!F766,""))</f>
        <v/>
      </c>
      <c r="B766" t="str">
        <f>IF(A766="","",'ATP Fills'!L766)</f>
        <v/>
      </c>
      <c r="C766" t="str">
        <f>IF(A766="","",'ATP Fills'!M766)</f>
        <v/>
      </c>
      <c r="D766" t="str">
        <f>IF(A766="","",'ATP Fills'!B766)</f>
        <v/>
      </c>
      <c r="E766" s="3" t="str">
        <f>IF(A766="","",IF(DATE(LEFT(D766,4),MID(D766,5,2),RIGHT(D766,2))=Helper1!$P$1,Helper1!$P$1,""))</f>
        <v/>
      </c>
      <c r="F766" s="3" t="str">
        <f>IF(A766="","",'ATP Fills'!G766)</f>
        <v/>
      </c>
      <c r="G766" t="str">
        <f>IF(A766="","",'ATP Fills'!H766)</f>
        <v/>
      </c>
      <c r="H766" t="str">
        <f>IF(A766="","",VLOOKUP(G766,表3_3[],2,0))</f>
        <v/>
      </c>
      <c r="I766" t="str">
        <f>IF(A766="","",VLOOKUP(G766,表3_3[],3,0))</f>
        <v/>
      </c>
      <c r="J766" t="str">
        <f>IF(A766="","",IF('ATP Fills'!I766="3M","",VLOOKUP(RIGHT('ATP Fills'!I766,2),Helper1!$O$36:$P$48,2,0)))</f>
        <v/>
      </c>
      <c r="K766" t="str">
        <f>IF(J766="","",LEFT('ATP Fills'!I766,4))</f>
        <v/>
      </c>
      <c r="L766" t="str">
        <f>IF(A766="","",IF('ATP Fills'!G766="LME",'ATP Fills'!I766,""))</f>
        <v/>
      </c>
      <c r="M766" t="str">
        <f t="shared" si="11"/>
        <v/>
      </c>
    </row>
    <row r="767" spans="1:13">
      <c r="A767" t="str">
        <f>IF('ATP Fills'!A767="","",IF('ATP Fills'!Q767="PHILLIPSG",'ATP Fills'!F767,""))</f>
        <v/>
      </c>
      <c r="B767" t="str">
        <f>IF(A767="","",'ATP Fills'!L767)</f>
        <v/>
      </c>
      <c r="C767" t="str">
        <f>IF(A767="","",'ATP Fills'!M767)</f>
        <v/>
      </c>
      <c r="D767" t="str">
        <f>IF(A767="","",'ATP Fills'!B767)</f>
        <v/>
      </c>
      <c r="E767" s="3" t="str">
        <f>IF(A767="","",IF(DATE(LEFT(D767,4),MID(D767,5,2),RIGHT(D767,2))=Helper1!$P$1,Helper1!$P$1,""))</f>
        <v/>
      </c>
      <c r="F767" s="3" t="str">
        <f>IF(A767="","",'ATP Fills'!G767)</f>
        <v/>
      </c>
      <c r="G767" t="str">
        <f>IF(A767="","",'ATP Fills'!H767)</f>
        <v/>
      </c>
      <c r="H767" t="str">
        <f>IF(A767="","",VLOOKUP(G767,表3_3[],2,0))</f>
        <v/>
      </c>
      <c r="I767" t="str">
        <f>IF(A767="","",VLOOKUP(G767,表3_3[],3,0))</f>
        <v/>
      </c>
      <c r="J767" t="str">
        <f>IF(A767="","",IF('ATP Fills'!I767="3M","",VLOOKUP(RIGHT('ATP Fills'!I767,2),Helper1!$O$36:$P$48,2,0)))</f>
        <v/>
      </c>
      <c r="K767" t="str">
        <f>IF(J767="","",LEFT('ATP Fills'!I767,4))</f>
        <v/>
      </c>
      <c r="L767" t="str">
        <f>IF(A767="","",IF('ATP Fills'!G767="LME",'ATP Fills'!I767,""))</f>
        <v/>
      </c>
      <c r="M767" t="str">
        <f t="shared" si="11"/>
        <v/>
      </c>
    </row>
    <row r="768" spans="1:13">
      <c r="A768" t="str">
        <f>IF('ATP Fills'!A768="","",IF('ATP Fills'!Q768="PHILLIPSG",'ATP Fills'!F768,""))</f>
        <v/>
      </c>
      <c r="B768" t="str">
        <f>IF(A768="","",'ATP Fills'!L768)</f>
        <v/>
      </c>
      <c r="C768" t="str">
        <f>IF(A768="","",'ATP Fills'!M768)</f>
        <v/>
      </c>
      <c r="D768" t="str">
        <f>IF(A768="","",'ATP Fills'!B768)</f>
        <v/>
      </c>
      <c r="E768" s="3" t="str">
        <f>IF(A768="","",IF(DATE(LEFT(D768,4),MID(D768,5,2),RIGHT(D768,2))=Helper1!$P$1,Helper1!$P$1,""))</f>
        <v/>
      </c>
      <c r="F768" s="3" t="str">
        <f>IF(A768="","",'ATP Fills'!G768)</f>
        <v/>
      </c>
      <c r="G768" t="str">
        <f>IF(A768="","",'ATP Fills'!H768)</f>
        <v/>
      </c>
      <c r="H768" t="str">
        <f>IF(A768="","",VLOOKUP(G768,表3_3[],2,0))</f>
        <v/>
      </c>
      <c r="I768" t="str">
        <f>IF(A768="","",VLOOKUP(G768,表3_3[],3,0))</f>
        <v/>
      </c>
      <c r="J768" t="str">
        <f>IF(A768="","",IF('ATP Fills'!I768="3M","",VLOOKUP(RIGHT('ATP Fills'!I768,2),Helper1!$O$36:$P$48,2,0)))</f>
        <v/>
      </c>
      <c r="K768" t="str">
        <f>IF(J768="","",LEFT('ATP Fills'!I768,4))</f>
        <v/>
      </c>
      <c r="L768" t="str">
        <f>IF(A768="","",IF('ATP Fills'!G768="LME",'ATP Fills'!I768,""))</f>
        <v/>
      </c>
      <c r="M768" t="str">
        <f t="shared" si="11"/>
        <v/>
      </c>
    </row>
    <row r="769" spans="1:13">
      <c r="A769" t="str">
        <f>IF('ATP Fills'!A769="","",IF('ATP Fills'!Q769="PHILLIPSG",'ATP Fills'!F769,""))</f>
        <v/>
      </c>
      <c r="B769" t="str">
        <f>IF(A769="","",'ATP Fills'!L769)</f>
        <v/>
      </c>
      <c r="C769" t="str">
        <f>IF(A769="","",'ATP Fills'!M769)</f>
        <v/>
      </c>
      <c r="D769" t="str">
        <f>IF(A769="","",'ATP Fills'!B769)</f>
        <v/>
      </c>
      <c r="E769" s="3" t="str">
        <f>IF(A769="","",IF(DATE(LEFT(D769,4),MID(D769,5,2),RIGHT(D769,2))=Helper1!$P$1,Helper1!$P$1,""))</f>
        <v/>
      </c>
      <c r="F769" s="3" t="str">
        <f>IF(A769="","",'ATP Fills'!G769)</f>
        <v/>
      </c>
      <c r="G769" t="str">
        <f>IF(A769="","",'ATP Fills'!H769)</f>
        <v/>
      </c>
      <c r="H769" t="str">
        <f>IF(A769="","",VLOOKUP(G769,表3_3[],2,0))</f>
        <v/>
      </c>
      <c r="I769" t="str">
        <f>IF(A769="","",VLOOKUP(G769,表3_3[],3,0))</f>
        <v/>
      </c>
      <c r="J769" t="str">
        <f>IF(A769="","",IF('ATP Fills'!I769="3M","",VLOOKUP(RIGHT('ATP Fills'!I769,2),Helper1!$O$36:$P$48,2,0)))</f>
        <v/>
      </c>
      <c r="K769" t="str">
        <f>IF(J769="","",LEFT('ATP Fills'!I769,4))</f>
        <v/>
      </c>
      <c r="L769" t="str">
        <f>IF(A769="","",IF('ATP Fills'!G769="LME",'ATP Fills'!I769,""))</f>
        <v/>
      </c>
      <c r="M769" t="str">
        <f t="shared" si="11"/>
        <v/>
      </c>
    </row>
    <row r="770" spans="1:13">
      <c r="A770" t="str">
        <f>IF('ATP Fills'!A770="","",IF('ATP Fills'!Q770="PHILLIPSG",'ATP Fills'!F770,""))</f>
        <v/>
      </c>
      <c r="B770" t="str">
        <f>IF(A770="","",'ATP Fills'!L770)</f>
        <v/>
      </c>
      <c r="C770" t="str">
        <f>IF(A770="","",'ATP Fills'!M770)</f>
        <v/>
      </c>
      <c r="D770" t="str">
        <f>IF(A770="","",'ATP Fills'!B770)</f>
        <v/>
      </c>
      <c r="E770" s="3" t="str">
        <f>IF(A770="","",IF(DATE(LEFT(D770,4),MID(D770,5,2),RIGHT(D770,2))=Helper1!$P$1,Helper1!$P$1,""))</f>
        <v/>
      </c>
      <c r="F770" s="3" t="str">
        <f>IF(A770="","",'ATP Fills'!G770)</f>
        <v/>
      </c>
      <c r="G770" t="str">
        <f>IF(A770="","",'ATP Fills'!H770)</f>
        <v/>
      </c>
      <c r="H770" t="str">
        <f>IF(A770="","",VLOOKUP(G770,表3_3[],2,0))</f>
        <v/>
      </c>
      <c r="I770" t="str">
        <f>IF(A770="","",VLOOKUP(G770,表3_3[],3,0))</f>
        <v/>
      </c>
      <c r="J770" t="str">
        <f>IF(A770="","",IF('ATP Fills'!I770="3M","",VLOOKUP(RIGHT('ATP Fills'!I770,2),Helper1!$O$36:$P$48,2,0)))</f>
        <v/>
      </c>
      <c r="K770" t="str">
        <f>IF(J770="","",LEFT('ATP Fills'!I770,4))</f>
        <v/>
      </c>
      <c r="L770" t="str">
        <f>IF(A770="","",IF('ATP Fills'!G770="LME",'ATP Fills'!I770,""))</f>
        <v/>
      </c>
      <c r="M770" t="str">
        <f t="shared" si="11"/>
        <v/>
      </c>
    </row>
    <row r="771" spans="1:13">
      <c r="A771" t="str">
        <f>IF('ATP Fills'!A771="","",IF('ATP Fills'!Q771="PHILLIPSG",'ATP Fills'!F771,""))</f>
        <v/>
      </c>
      <c r="B771" t="str">
        <f>IF(A771="","",'ATP Fills'!L771)</f>
        <v/>
      </c>
      <c r="C771" t="str">
        <f>IF(A771="","",'ATP Fills'!M771)</f>
        <v/>
      </c>
      <c r="D771" t="str">
        <f>IF(A771="","",'ATP Fills'!B771)</f>
        <v/>
      </c>
      <c r="E771" s="3" t="str">
        <f>IF(A771="","",IF(DATE(LEFT(D771,4),MID(D771,5,2),RIGHT(D771,2))=Helper1!$P$1,Helper1!$P$1,""))</f>
        <v/>
      </c>
      <c r="F771" s="3" t="str">
        <f>IF(A771="","",'ATP Fills'!G771)</f>
        <v/>
      </c>
      <c r="G771" t="str">
        <f>IF(A771="","",'ATP Fills'!H771)</f>
        <v/>
      </c>
      <c r="H771" t="str">
        <f>IF(A771="","",VLOOKUP(G771,表3_3[],2,0))</f>
        <v/>
      </c>
      <c r="I771" t="str">
        <f>IF(A771="","",VLOOKUP(G771,表3_3[],3,0))</f>
        <v/>
      </c>
      <c r="J771" t="str">
        <f>IF(A771="","",IF('ATP Fills'!I771="3M","",VLOOKUP(RIGHT('ATP Fills'!I771,2),Helper1!$O$36:$P$48,2,0)))</f>
        <v/>
      </c>
      <c r="K771" t="str">
        <f>IF(J771="","",LEFT('ATP Fills'!I771,4))</f>
        <v/>
      </c>
      <c r="L771" t="str">
        <f>IF(A771="","",IF('ATP Fills'!G771="LME",'ATP Fills'!I771,""))</f>
        <v/>
      </c>
      <c r="M771" t="str">
        <f t="shared" ref="M771:M834" si="12">IF(A771="","",IF(F771="LME",F771&amp;"-"&amp;I771&amp;"-"&amp;L771,J771&amp;"-"&amp;K771&amp;"-"&amp;I771))</f>
        <v/>
      </c>
    </row>
    <row r="772" spans="1:13">
      <c r="A772" t="str">
        <f>IF('ATP Fills'!A772="","",IF('ATP Fills'!Q772="PHILLIPSG",'ATP Fills'!F772,""))</f>
        <v/>
      </c>
      <c r="B772" t="str">
        <f>IF(A772="","",'ATP Fills'!L772)</f>
        <v/>
      </c>
      <c r="C772" t="str">
        <f>IF(A772="","",'ATP Fills'!M772)</f>
        <v/>
      </c>
      <c r="D772" t="str">
        <f>IF(A772="","",'ATP Fills'!B772)</f>
        <v/>
      </c>
      <c r="E772" s="3" t="str">
        <f>IF(A772="","",IF(DATE(LEFT(D772,4),MID(D772,5,2),RIGHT(D772,2))=Helper1!$P$1,Helper1!$P$1,""))</f>
        <v/>
      </c>
      <c r="F772" s="3" t="str">
        <f>IF(A772="","",'ATP Fills'!G772)</f>
        <v/>
      </c>
      <c r="G772" t="str">
        <f>IF(A772="","",'ATP Fills'!H772)</f>
        <v/>
      </c>
      <c r="H772" t="str">
        <f>IF(A772="","",VLOOKUP(G772,表3_3[],2,0))</f>
        <v/>
      </c>
      <c r="I772" t="str">
        <f>IF(A772="","",VLOOKUP(G772,表3_3[],3,0))</f>
        <v/>
      </c>
      <c r="J772" t="str">
        <f>IF(A772="","",IF('ATP Fills'!I772="3M","",VLOOKUP(RIGHT('ATP Fills'!I772,2),Helper1!$O$36:$P$48,2,0)))</f>
        <v/>
      </c>
      <c r="K772" t="str">
        <f>IF(J772="","",LEFT('ATP Fills'!I772,4))</f>
        <v/>
      </c>
      <c r="L772" t="str">
        <f>IF(A772="","",IF('ATP Fills'!G772="LME",'ATP Fills'!I772,""))</f>
        <v/>
      </c>
      <c r="M772" t="str">
        <f t="shared" si="12"/>
        <v/>
      </c>
    </row>
    <row r="773" spans="1:13">
      <c r="A773" t="str">
        <f>IF('ATP Fills'!A773="","",IF('ATP Fills'!Q773="PHILLIPSG",'ATP Fills'!F773,""))</f>
        <v/>
      </c>
      <c r="B773" t="str">
        <f>IF(A773="","",'ATP Fills'!L773)</f>
        <v/>
      </c>
      <c r="C773" t="str">
        <f>IF(A773="","",'ATP Fills'!M773)</f>
        <v/>
      </c>
      <c r="D773" t="str">
        <f>IF(A773="","",'ATP Fills'!B773)</f>
        <v/>
      </c>
      <c r="E773" s="3" t="str">
        <f>IF(A773="","",IF(DATE(LEFT(D773,4),MID(D773,5,2),RIGHT(D773,2))=Helper1!$P$1,Helper1!$P$1,""))</f>
        <v/>
      </c>
      <c r="F773" s="3" t="str">
        <f>IF(A773="","",'ATP Fills'!G773)</f>
        <v/>
      </c>
      <c r="G773" t="str">
        <f>IF(A773="","",'ATP Fills'!H773)</f>
        <v/>
      </c>
      <c r="H773" t="str">
        <f>IF(A773="","",VLOOKUP(G773,表3_3[],2,0))</f>
        <v/>
      </c>
      <c r="I773" t="str">
        <f>IF(A773="","",VLOOKUP(G773,表3_3[],3,0))</f>
        <v/>
      </c>
      <c r="J773" t="str">
        <f>IF(A773="","",IF('ATP Fills'!I773="3M","",VLOOKUP(RIGHT('ATP Fills'!I773,2),Helper1!$O$36:$P$48,2,0)))</f>
        <v/>
      </c>
      <c r="K773" t="str">
        <f>IF(J773="","",LEFT('ATP Fills'!I773,4))</f>
        <v/>
      </c>
      <c r="L773" t="str">
        <f>IF(A773="","",IF('ATP Fills'!G773="LME",'ATP Fills'!I773,""))</f>
        <v/>
      </c>
      <c r="M773" t="str">
        <f t="shared" si="12"/>
        <v/>
      </c>
    </row>
    <row r="774" spans="1:13">
      <c r="A774" t="str">
        <f>IF('ATP Fills'!A774="","",IF('ATP Fills'!Q774="PHILLIPSG",'ATP Fills'!F774,""))</f>
        <v/>
      </c>
      <c r="B774" t="str">
        <f>IF(A774="","",'ATP Fills'!L774)</f>
        <v/>
      </c>
      <c r="C774" t="str">
        <f>IF(A774="","",'ATP Fills'!M774)</f>
        <v/>
      </c>
      <c r="D774" t="str">
        <f>IF(A774="","",'ATP Fills'!B774)</f>
        <v/>
      </c>
      <c r="E774" s="3" t="str">
        <f>IF(A774="","",IF(DATE(LEFT(D774,4),MID(D774,5,2),RIGHT(D774,2))=Helper1!$P$1,Helper1!$P$1,""))</f>
        <v/>
      </c>
      <c r="F774" s="3" t="str">
        <f>IF(A774="","",'ATP Fills'!G774)</f>
        <v/>
      </c>
      <c r="G774" t="str">
        <f>IF(A774="","",'ATP Fills'!H774)</f>
        <v/>
      </c>
      <c r="H774" t="str">
        <f>IF(A774="","",VLOOKUP(G774,表3_3[],2,0))</f>
        <v/>
      </c>
      <c r="I774" t="str">
        <f>IF(A774="","",VLOOKUP(G774,表3_3[],3,0))</f>
        <v/>
      </c>
      <c r="J774" t="str">
        <f>IF(A774="","",IF('ATP Fills'!I774="3M","",VLOOKUP(RIGHT('ATP Fills'!I774,2),Helper1!$O$36:$P$48,2,0)))</f>
        <v/>
      </c>
      <c r="K774" t="str">
        <f>IF(J774="","",LEFT('ATP Fills'!I774,4))</f>
        <v/>
      </c>
      <c r="L774" t="str">
        <f>IF(A774="","",IF('ATP Fills'!G774="LME",'ATP Fills'!I774,""))</f>
        <v/>
      </c>
      <c r="M774" t="str">
        <f t="shared" si="12"/>
        <v/>
      </c>
    </row>
    <row r="775" spans="1:13">
      <c r="A775" t="str">
        <f>IF('ATP Fills'!A775="","",IF('ATP Fills'!Q775="PHILLIPSG",'ATP Fills'!F775,""))</f>
        <v/>
      </c>
      <c r="B775" t="str">
        <f>IF(A775="","",'ATP Fills'!L775)</f>
        <v/>
      </c>
      <c r="C775" t="str">
        <f>IF(A775="","",'ATP Fills'!M775)</f>
        <v/>
      </c>
      <c r="D775" t="str">
        <f>IF(A775="","",'ATP Fills'!B775)</f>
        <v/>
      </c>
      <c r="E775" s="3" t="str">
        <f>IF(A775="","",IF(DATE(LEFT(D775,4),MID(D775,5,2),RIGHT(D775,2))=Helper1!$P$1,Helper1!$P$1,""))</f>
        <v/>
      </c>
      <c r="F775" s="3" t="str">
        <f>IF(A775="","",'ATP Fills'!G775)</f>
        <v/>
      </c>
      <c r="G775" t="str">
        <f>IF(A775="","",'ATP Fills'!H775)</f>
        <v/>
      </c>
      <c r="H775" t="str">
        <f>IF(A775="","",VLOOKUP(G775,表3_3[],2,0))</f>
        <v/>
      </c>
      <c r="I775" t="str">
        <f>IF(A775="","",VLOOKUP(G775,表3_3[],3,0))</f>
        <v/>
      </c>
      <c r="J775" t="str">
        <f>IF(A775="","",IF('ATP Fills'!I775="3M","",VLOOKUP(RIGHT('ATP Fills'!I775,2),Helper1!$O$36:$P$48,2,0)))</f>
        <v/>
      </c>
      <c r="K775" t="str">
        <f>IF(J775="","",LEFT('ATP Fills'!I775,4))</f>
        <v/>
      </c>
      <c r="L775" t="str">
        <f>IF(A775="","",IF('ATP Fills'!G775="LME",'ATP Fills'!I775,""))</f>
        <v/>
      </c>
      <c r="M775" t="str">
        <f t="shared" si="12"/>
        <v/>
      </c>
    </row>
    <row r="776" spans="1:13">
      <c r="A776" t="str">
        <f>IF('ATP Fills'!A776="","",IF('ATP Fills'!Q776="PHILLIPSG",'ATP Fills'!F776,""))</f>
        <v/>
      </c>
      <c r="B776" t="str">
        <f>IF(A776="","",'ATP Fills'!L776)</f>
        <v/>
      </c>
      <c r="C776" t="str">
        <f>IF(A776="","",'ATP Fills'!M776)</f>
        <v/>
      </c>
      <c r="D776" t="str">
        <f>IF(A776="","",'ATP Fills'!B776)</f>
        <v/>
      </c>
      <c r="E776" s="3" t="str">
        <f>IF(A776="","",IF(DATE(LEFT(D776,4),MID(D776,5,2),RIGHT(D776,2))=Helper1!$P$1,Helper1!$P$1,""))</f>
        <v/>
      </c>
      <c r="F776" s="3" t="str">
        <f>IF(A776="","",'ATP Fills'!G776)</f>
        <v/>
      </c>
      <c r="G776" t="str">
        <f>IF(A776="","",'ATP Fills'!H776)</f>
        <v/>
      </c>
      <c r="H776" t="str">
        <f>IF(A776="","",VLOOKUP(G776,表3_3[],2,0))</f>
        <v/>
      </c>
      <c r="I776" t="str">
        <f>IF(A776="","",VLOOKUP(G776,表3_3[],3,0))</f>
        <v/>
      </c>
      <c r="J776" t="str">
        <f>IF(A776="","",IF('ATP Fills'!I776="3M","",VLOOKUP(RIGHT('ATP Fills'!I776,2),Helper1!$O$36:$P$48,2,0)))</f>
        <v/>
      </c>
      <c r="K776" t="str">
        <f>IF(J776="","",LEFT('ATP Fills'!I776,4))</f>
        <v/>
      </c>
      <c r="L776" t="str">
        <f>IF(A776="","",IF('ATP Fills'!G776="LME",'ATP Fills'!I776,""))</f>
        <v/>
      </c>
      <c r="M776" t="str">
        <f t="shared" si="12"/>
        <v/>
      </c>
    </row>
    <row r="777" spans="1:13">
      <c r="A777" t="str">
        <f>IF('ATP Fills'!A777="","",IF('ATP Fills'!Q777="PHILLIPSG",'ATP Fills'!F777,""))</f>
        <v/>
      </c>
      <c r="B777" t="str">
        <f>IF(A777="","",'ATP Fills'!L777)</f>
        <v/>
      </c>
      <c r="C777" t="str">
        <f>IF(A777="","",'ATP Fills'!M777)</f>
        <v/>
      </c>
      <c r="D777" t="str">
        <f>IF(A777="","",'ATP Fills'!B777)</f>
        <v/>
      </c>
      <c r="E777" s="3" t="str">
        <f>IF(A777="","",IF(DATE(LEFT(D777,4),MID(D777,5,2),RIGHT(D777,2))=Helper1!$P$1,Helper1!$P$1,""))</f>
        <v/>
      </c>
      <c r="F777" s="3" t="str">
        <f>IF(A777="","",'ATP Fills'!G777)</f>
        <v/>
      </c>
      <c r="G777" t="str">
        <f>IF(A777="","",'ATP Fills'!H777)</f>
        <v/>
      </c>
      <c r="H777" t="str">
        <f>IF(A777="","",VLOOKUP(G777,表3_3[],2,0))</f>
        <v/>
      </c>
      <c r="I777" t="str">
        <f>IF(A777="","",VLOOKUP(G777,表3_3[],3,0))</f>
        <v/>
      </c>
      <c r="J777" t="str">
        <f>IF(A777="","",IF('ATP Fills'!I777="3M","",VLOOKUP(RIGHT('ATP Fills'!I777,2),Helper1!$O$36:$P$48,2,0)))</f>
        <v/>
      </c>
      <c r="K777" t="str">
        <f>IF(J777="","",LEFT('ATP Fills'!I777,4))</f>
        <v/>
      </c>
      <c r="L777" t="str">
        <f>IF(A777="","",IF('ATP Fills'!G777="LME",'ATP Fills'!I777,""))</f>
        <v/>
      </c>
      <c r="M777" t="str">
        <f t="shared" si="12"/>
        <v/>
      </c>
    </row>
    <row r="778" spans="1:13">
      <c r="A778" t="str">
        <f>IF('ATP Fills'!A778="","",IF('ATP Fills'!Q778="PHILLIPSG",'ATP Fills'!F778,""))</f>
        <v/>
      </c>
      <c r="B778" t="str">
        <f>IF(A778="","",'ATP Fills'!L778)</f>
        <v/>
      </c>
      <c r="C778" t="str">
        <f>IF(A778="","",'ATP Fills'!M778)</f>
        <v/>
      </c>
      <c r="D778" t="str">
        <f>IF(A778="","",'ATP Fills'!B778)</f>
        <v/>
      </c>
      <c r="E778" s="3" t="str">
        <f>IF(A778="","",IF(DATE(LEFT(D778,4),MID(D778,5,2),RIGHT(D778,2))=Helper1!$P$1,Helper1!$P$1,""))</f>
        <v/>
      </c>
      <c r="F778" s="3" t="str">
        <f>IF(A778="","",'ATP Fills'!G778)</f>
        <v/>
      </c>
      <c r="G778" t="str">
        <f>IF(A778="","",'ATP Fills'!H778)</f>
        <v/>
      </c>
      <c r="H778" t="str">
        <f>IF(A778="","",VLOOKUP(G778,表3_3[],2,0))</f>
        <v/>
      </c>
      <c r="I778" t="str">
        <f>IF(A778="","",VLOOKUP(G778,表3_3[],3,0))</f>
        <v/>
      </c>
      <c r="J778" t="str">
        <f>IF(A778="","",IF('ATP Fills'!I778="3M","",VLOOKUP(RIGHT('ATP Fills'!I778,2),Helper1!$O$36:$P$48,2,0)))</f>
        <v/>
      </c>
      <c r="K778" t="str">
        <f>IF(J778="","",LEFT('ATP Fills'!I778,4))</f>
        <v/>
      </c>
      <c r="L778" t="str">
        <f>IF(A778="","",IF('ATP Fills'!G778="LME",'ATP Fills'!I778,""))</f>
        <v/>
      </c>
      <c r="M778" t="str">
        <f t="shared" si="12"/>
        <v/>
      </c>
    </row>
    <row r="779" spans="1:13">
      <c r="A779" t="str">
        <f>IF('ATP Fills'!A779="","",IF('ATP Fills'!Q779="PHILLIPSG",'ATP Fills'!F779,""))</f>
        <v/>
      </c>
      <c r="B779" t="str">
        <f>IF(A779="","",'ATP Fills'!L779)</f>
        <v/>
      </c>
      <c r="C779" t="str">
        <f>IF(A779="","",'ATP Fills'!M779)</f>
        <v/>
      </c>
      <c r="D779" t="str">
        <f>IF(A779="","",'ATP Fills'!B779)</f>
        <v/>
      </c>
      <c r="E779" s="3" t="str">
        <f>IF(A779="","",IF(DATE(LEFT(D779,4),MID(D779,5,2),RIGHT(D779,2))=Helper1!$P$1,Helper1!$P$1,""))</f>
        <v/>
      </c>
      <c r="F779" s="3" t="str">
        <f>IF(A779="","",'ATP Fills'!G779)</f>
        <v/>
      </c>
      <c r="G779" t="str">
        <f>IF(A779="","",'ATP Fills'!H779)</f>
        <v/>
      </c>
      <c r="H779" t="str">
        <f>IF(A779="","",VLOOKUP(G779,表3_3[],2,0))</f>
        <v/>
      </c>
      <c r="I779" t="str">
        <f>IF(A779="","",VLOOKUP(G779,表3_3[],3,0))</f>
        <v/>
      </c>
      <c r="J779" t="str">
        <f>IF(A779="","",IF('ATP Fills'!I779="3M","",VLOOKUP(RIGHT('ATP Fills'!I779,2),Helper1!$O$36:$P$48,2,0)))</f>
        <v/>
      </c>
      <c r="K779" t="str">
        <f>IF(J779="","",LEFT('ATP Fills'!I779,4))</f>
        <v/>
      </c>
      <c r="L779" t="str">
        <f>IF(A779="","",IF('ATP Fills'!G779="LME",'ATP Fills'!I779,""))</f>
        <v/>
      </c>
      <c r="M779" t="str">
        <f t="shared" si="12"/>
        <v/>
      </c>
    </row>
    <row r="780" spans="1:13">
      <c r="A780" t="str">
        <f>IF('ATP Fills'!A780="","",IF('ATP Fills'!Q780="PHILLIPSG",'ATP Fills'!F780,""))</f>
        <v/>
      </c>
      <c r="B780" t="str">
        <f>IF(A780="","",'ATP Fills'!L780)</f>
        <v/>
      </c>
      <c r="C780" t="str">
        <f>IF(A780="","",'ATP Fills'!M780)</f>
        <v/>
      </c>
      <c r="D780" t="str">
        <f>IF(A780="","",'ATP Fills'!B780)</f>
        <v/>
      </c>
      <c r="E780" s="3" t="str">
        <f>IF(A780="","",IF(DATE(LEFT(D780,4),MID(D780,5,2),RIGHT(D780,2))=Helper1!$P$1,Helper1!$P$1,""))</f>
        <v/>
      </c>
      <c r="F780" s="3" t="str">
        <f>IF(A780="","",'ATP Fills'!G780)</f>
        <v/>
      </c>
      <c r="G780" t="str">
        <f>IF(A780="","",'ATP Fills'!H780)</f>
        <v/>
      </c>
      <c r="H780" t="str">
        <f>IF(A780="","",VLOOKUP(G780,表3_3[],2,0))</f>
        <v/>
      </c>
      <c r="I780" t="str">
        <f>IF(A780="","",VLOOKUP(G780,表3_3[],3,0))</f>
        <v/>
      </c>
      <c r="J780" t="str">
        <f>IF(A780="","",IF('ATP Fills'!I780="3M","",VLOOKUP(RIGHT('ATP Fills'!I780,2),Helper1!$O$36:$P$48,2,0)))</f>
        <v/>
      </c>
      <c r="K780" t="str">
        <f>IF(J780="","",LEFT('ATP Fills'!I780,4))</f>
        <v/>
      </c>
      <c r="L780" t="str">
        <f>IF(A780="","",IF('ATP Fills'!G780="LME",'ATP Fills'!I780,""))</f>
        <v/>
      </c>
      <c r="M780" t="str">
        <f t="shared" si="12"/>
        <v/>
      </c>
    </row>
    <row r="781" spans="1:13">
      <c r="A781" t="str">
        <f>IF('ATP Fills'!A781="","",IF('ATP Fills'!Q781="PHILLIPSG",'ATP Fills'!F781,""))</f>
        <v/>
      </c>
      <c r="B781" t="str">
        <f>IF(A781="","",'ATP Fills'!L781)</f>
        <v/>
      </c>
      <c r="C781" t="str">
        <f>IF(A781="","",'ATP Fills'!M781)</f>
        <v/>
      </c>
      <c r="D781" t="str">
        <f>IF(A781="","",'ATP Fills'!B781)</f>
        <v/>
      </c>
      <c r="E781" s="3" t="str">
        <f>IF(A781="","",IF(DATE(LEFT(D781,4),MID(D781,5,2),RIGHT(D781,2))=Helper1!$P$1,Helper1!$P$1,""))</f>
        <v/>
      </c>
      <c r="F781" s="3" t="str">
        <f>IF(A781="","",'ATP Fills'!G781)</f>
        <v/>
      </c>
      <c r="G781" t="str">
        <f>IF(A781="","",'ATP Fills'!H781)</f>
        <v/>
      </c>
      <c r="H781" t="str">
        <f>IF(A781="","",VLOOKUP(G781,表3_3[],2,0))</f>
        <v/>
      </c>
      <c r="I781" t="str">
        <f>IF(A781="","",VLOOKUP(G781,表3_3[],3,0))</f>
        <v/>
      </c>
      <c r="J781" t="str">
        <f>IF(A781="","",IF('ATP Fills'!I781="3M","",VLOOKUP(RIGHT('ATP Fills'!I781,2),Helper1!$O$36:$P$48,2,0)))</f>
        <v/>
      </c>
      <c r="K781" t="str">
        <f>IF(J781="","",LEFT('ATP Fills'!I781,4))</f>
        <v/>
      </c>
      <c r="L781" t="str">
        <f>IF(A781="","",IF('ATP Fills'!G781="LME",'ATP Fills'!I781,""))</f>
        <v/>
      </c>
      <c r="M781" t="str">
        <f t="shared" si="12"/>
        <v/>
      </c>
    </row>
    <row r="782" spans="1:13">
      <c r="A782" t="str">
        <f>IF('ATP Fills'!A782="","",IF('ATP Fills'!Q782="PHILLIPSG",'ATP Fills'!F782,""))</f>
        <v/>
      </c>
      <c r="B782" t="str">
        <f>IF(A782="","",'ATP Fills'!L782)</f>
        <v/>
      </c>
      <c r="C782" t="str">
        <f>IF(A782="","",'ATP Fills'!M782)</f>
        <v/>
      </c>
      <c r="D782" t="str">
        <f>IF(A782="","",'ATP Fills'!B782)</f>
        <v/>
      </c>
      <c r="E782" s="3" t="str">
        <f>IF(A782="","",IF(DATE(LEFT(D782,4),MID(D782,5,2),RIGHT(D782,2))=Helper1!$P$1,Helper1!$P$1,""))</f>
        <v/>
      </c>
      <c r="F782" s="3" t="str">
        <f>IF(A782="","",'ATP Fills'!G782)</f>
        <v/>
      </c>
      <c r="G782" t="str">
        <f>IF(A782="","",'ATP Fills'!H782)</f>
        <v/>
      </c>
      <c r="H782" t="str">
        <f>IF(A782="","",VLOOKUP(G782,表3_3[],2,0))</f>
        <v/>
      </c>
      <c r="I782" t="str">
        <f>IF(A782="","",VLOOKUP(G782,表3_3[],3,0))</f>
        <v/>
      </c>
      <c r="J782" t="str">
        <f>IF(A782="","",IF('ATP Fills'!I782="3M","",VLOOKUP(RIGHT('ATP Fills'!I782,2),Helper1!$O$36:$P$48,2,0)))</f>
        <v/>
      </c>
      <c r="K782" t="str">
        <f>IF(J782="","",LEFT('ATP Fills'!I782,4))</f>
        <v/>
      </c>
      <c r="L782" t="str">
        <f>IF(A782="","",IF('ATP Fills'!G782="LME",'ATP Fills'!I782,""))</f>
        <v/>
      </c>
      <c r="M782" t="str">
        <f t="shared" si="12"/>
        <v/>
      </c>
    </row>
    <row r="783" spans="1:13">
      <c r="A783" t="str">
        <f>IF('ATP Fills'!A783="","",IF('ATP Fills'!Q783="PHILLIPSG",'ATP Fills'!F783,""))</f>
        <v/>
      </c>
      <c r="B783" t="str">
        <f>IF(A783="","",'ATP Fills'!L783)</f>
        <v/>
      </c>
      <c r="C783" t="str">
        <f>IF(A783="","",'ATP Fills'!M783)</f>
        <v/>
      </c>
      <c r="D783" t="str">
        <f>IF(A783="","",'ATP Fills'!B783)</f>
        <v/>
      </c>
      <c r="E783" s="3" t="str">
        <f>IF(A783="","",IF(DATE(LEFT(D783,4),MID(D783,5,2),RIGHT(D783,2))=Helper1!$P$1,Helper1!$P$1,""))</f>
        <v/>
      </c>
      <c r="F783" s="3" t="str">
        <f>IF(A783="","",'ATP Fills'!G783)</f>
        <v/>
      </c>
      <c r="G783" t="str">
        <f>IF(A783="","",'ATP Fills'!H783)</f>
        <v/>
      </c>
      <c r="H783" t="str">
        <f>IF(A783="","",VLOOKUP(G783,表3_3[],2,0))</f>
        <v/>
      </c>
      <c r="I783" t="str">
        <f>IF(A783="","",VLOOKUP(G783,表3_3[],3,0))</f>
        <v/>
      </c>
      <c r="J783" t="str">
        <f>IF(A783="","",IF('ATP Fills'!I783="3M","",VLOOKUP(RIGHT('ATP Fills'!I783,2),Helper1!$O$36:$P$48,2,0)))</f>
        <v/>
      </c>
      <c r="K783" t="str">
        <f>IF(J783="","",LEFT('ATP Fills'!I783,4))</f>
        <v/>
      </c>
      <c r="L783" t="str">
        <f>IF(A783="","",IF('ATP Fills'!G783="LME",'ATP Fills'!I783,""))</f>
        <v/>
      </c>
      <c r="M783" t="str">
        <f t="shared" si="12"/>
        <v/>
      </c>
    </row>
    <row r="784" spans="1:13">
      <c r="A784" t="str">
        <f>IF('ATP Fills'!A784="","",IF('ATP Fills'!Q784="PHILLIPSG",'ATP Fills'!F784,""))</f>
        <v/>
      </c>
      <c r="B784" t="str">
        <f>IF(A784="","",'ATP Fills'!L784)</f>
        <v/>
      </c>
      <c r="C784" t="str">
        <f>IF(A784="","",'ATP Fills'!M784)</f>
        <v/>
      </c>
      <c r="D784" t="str">
        <f>IF(A784="","",'ATP Fills'!B784)</f>
        <v/>
      </c>
      <c r="E784" s="3" t="str">
        <f>IF(A784="","",IF(DATE(LEFT(D784,4),MID(D784,5,2),RIGHT(D784,2))=Helper1!$P$1,Helper1!$P$1,""))</f>
        <v/>
      </c>
      <c r="F784" s="3" t="str">
        <f>IF(A784="","",'ATP Fills'!G784)</f>
        <v/>
      </c>
      <c r="G784" t="str">
        <f>IF(A784="","",'ATP Fills'!H784)</f>
        <v/>
      </c>
      <c r="H784" t="str">
        <f>IF(A784="","",VLOOKUP(G784,表3_3[],2,0))</f>
        <v/>
      </c>
      <c r="I784" t="str">
        <f>IF(A784="","",VLOOKUP(G784,表3_3[],3,0))</f>
        <v/>
      </c>
      <c r="J784" t="str">
        <f>IF(A784="","",IF('ATP Fills'!I784="3M","",VLOOKUP(RIGHT('ATP Fills'!I784,2),Helper1!$O$36:$P$48,2,0)))</f>
        <v/>
      </c>
      <c r="K784" t="str">
        <f>IF(J784="","",LEFT('ATP Fills'!I784,4))</f>
        <v/>
      </c>
      <c r="L784" t="str">
        <f>IF(A784="","",IF('ATP Fills'!G784="LME",'ATP Fills'!I784,""))</f>
        <v/>
      </c>
      <c r="M784" t="str">
        <f t="shared" si="12"/>
        <v/>
      </c>
    </row>
    <row r="785" spans="1:13">
      <c r="A785" t="str">
        <f>IF('ATP Fills'!A785="","",IF('ATP Fills'!Q785="PHILLIPSG",'ATP Fills'!F785,""))</f>
        <v/>
      </c>
      <c r="B785" t="str">
        <f>IF(A785="","",'ATP Fills'!L785)</f>
        <v/>
      </c>
      <c r="C785" t="str">
        <f>IF(A785="","",'ATP Fills'!M785)</f>
        <v/>
      </c>
      <c r="D785" t="str">
        <f>IF(A785="","",'ATP Fills'!B785)</f>
        <v/>
      </c>
      <c r="E785" s="3" t="str">
        <f>IF(A785="","",IF(DATE(LEFT(D785,4),MID(D785,5,2),RIGHT(D785,2))=Helper1!$P$1,Helper1!$P$1,""))</f>
        <v/>
      </c>
      <c r="F785" s="3" t="str">
        <f>IF(A785="","",'ATP Fills'!G785)</f>
        <v/>
      </c>
      <c r="G785" t="str">
        <f>IF(A785="","",'ATP Fills'!H785)</f>
        <v/>
      </c>
      <c r="H785" t="str">
        <f>IF(A785="","",VLOOKUP(G785,表3_3[],2,0))</f>
        <v/>
      </c>
      <c r="I785" t="str">
        <f>IF(A785="","",VLOOKUP(G785,表3_3[],3,0))</f>
        <v/>
      </c>
      <c r="J785" t="str">
        <f>IF(A785="","",IF('ATP Fills'!I785="3M","",VLOOKUP(RIGHT('ATP Fills'!I785,2),Helper1!$O$36:$P$48,2,0)))</f>
        <v/>
      </c>
      <c r="K785" t="str">
        <f>IF(J785="","",LEFT('ATP Fills'!I785,4))</f>
        <v/>
      </c>
      <c r="L785" t="str">
        <f>IF(A785="","",IF('ATP Fills'!G785="LME",'ATP Fills'!I785,""))</f>
        <v/>
      </c>
      <c r="M785" t="str">
        <f t="shared" si="12"/>
        <v/>
      </c>
    </row>
    <row r="786" spans="1:13">
      <c r="A786" t="str">
        <f>IF('ATP Fills'!A786="","",IF('ATP Fills'!Q786="PHILLIPSG",'ATP Fills'!F786,""))</f>
        <v/>
      </c>
      <c r="B786" t="str">
        <f>IF(A786="","",'ATP Fills'!L786)</f>
        <v/>
      </c>
      <c r="C786" t="str">
        <f>IF(A786="","",'ATP Fills'!M786)</f>
        <v/>
      </c>
      <c r="D786" t="str">
        <f>IF(A786="","",'ATP Fills'!B786)</f>
        <v/>
      </c>
      <c r="E786" s="3" t="str">
        <f>IF(A786="","",IF(DATE(LEFT(D786,4),MID(D786,5,2),RIGHT(D786,2))=Helper1!$P$1,Helper1!$P$1,""))</f>
        <v/>
      </c>
      <c r="F786" s="3" t="str">
        <f>IF(A786="","",'ATP Fills'!G786)</f>
        <v/>
      </c>
      <c r="G786" t="str">
        <f>IF(A786="","",'ATP Fills'!H786)</f>
        <v/>
      </c>
      <c r="H786" t="str">
        <f>IF(A786="","",VLOOKUP(G786,表3_3[],2,0))</f>
        <v/>
      </c>
      <c r="I786" t="str">
        <f>IF(A786="","",VLOOKUP(G786,表3_3[],3,0))</f>
        <v/>
      </c>
      <c r="J786" t="str">
        <f>IF(A786="","",IF('ATP Fills'!I786="3M","",VLOOKUP(RIGHT('ATP Fills'!I786,2),Helper1!$O$36:$P$48,2,0)))</f>
        <v/>
      </c>
      <c r="K786" t="str">
        <f>IF(J786="","",LEFT('ATP Fills'!I786,4))</f>
        <v/>
      </c>
      <c r="L786" t="str">
        <f>IF(A786="","",IF('ATP Fills'!G786="LME",'ATP Fills'!I786,""))</f>
        <v/>
      </c>
      <c r="M786" t="str">
        <f t="shared" si="12"/>
        <v/>
      </c>
    </row>
    <row r="787" spans="1:13">
      <c r="A787" t="str">
        <f>IF('ATP Fills'!A787="","",IF('ATP Fills'!Q787="PHILLIPSG",'ATP Fills'!F787,""))</f>
        <v/>
      </c>
      <c r="B787" t="str">
        <f>IF(A787="","",'ATP Fills'!L787)</f>
        <v/>
      </c>
      <c r="C787" t="str">
        <f>IF(A787="","",'ATP Fills'!M787)</f>
        <v/>
      </c>
      <c r="D787" t="str">
        <f>IF(A787="","",'ATP Fills'!B787)</f>
        <v/>
      </c>
      <c r="E787" s="3" t="str">
        <f>IF(A787="","",IF(DATE(LEFT(D787,4),MID(D787,5,2),RIGHT(D787,2))=Helper1!$P$1,Helper1!$P$1,""))</f>
        <v/>
      </c>
      <c r="F787" s="3" t="str">
        <f>IF(A787="","",'ATP Fills'!G787)</f>
        <v/>
      </c>
      <c r="G787" t="str">
        <f>IF(A787="","",'ATP Fills'!H787)</f>
        <v/>
      </c>
      <c r="H787" t="str">
        <f>IF(A787="","",VLOOKUP(G787,表3_3[],2,0))</f>
        <v/>
      </c>
      <c r="I787" t="str">
        <f>IF(A787="","",VLOOKUP(G787,表3_3[],3,0))</f>
        <v/>
      </c>
      <c r="J787" t="str">
        <f>IF(A787="","",IF('ATP Fills'!I787="3M","",VLOOKUP(RIGHT('ATP Fills'!I787,2),Helper1!$O$36:$P$48,2,0)))</f>
        <v/>
      </c>
      <c r="K787" t="str">
        <f>IF(J787="","",LEFT('ATP Fills'!I787,4))</f>
        <v/>
      </c>
      <c r="L787" t="str">
        <f>IF(A787="","",IF('ATP Fills'!G787="LME",'ATP Fills'!I787,""))</f>
        <v/>
      </c>
      <c r="M787" t="str">
        <f t="shared" si="12"/>
        <v/>
      </c>
    </row>
    <row r="788" spans="1:13">
      <c r="A788" t="str">
        <f>IF('ATP Fills'!A788="","",IF('ATP Fills'!Q788="PHILLIPSG",'ATP Fills'!F788,""))</f>
        <v/>
      </c>
      <c r="B788" t="str">
        <f>IF(A788="","",'ATP Fills'!L788)</f>
        <v/>
      </c>
      <c r="C788" t="str">
        <f>IF(A788="","",'ATP Fills'!M788)</f>
        <v/>
      </c>
      <c r="D788" t="str">
        <f>IF(A788="","",'ATP Fills'!B788)</f>
        <v/>
      </c>
      <c r="E788" s="3" t="str">
        <f>IF(A788="","",IF(DATE(LEFT(D788,4),MID(D788,5,2),RIGHT(D788,2))=Helper1!$P$1,Helper1!$P$1,""))</f>
        <v/>
      </c>
      <c r="F788" s="3" t="str">
        <f>IF(A788="","",'ATP Fills'!G788)</f>
        <v/>
      </c>
      <c r="G788" t="str">
        <f>IF(A788="","",'ATP Fills'!H788)</f>
        <v/>
      </c>
      <c r="H788" t="str">
        <f>IF(A788="","",VLOOKUP(G788,表3_3[],2,0))</f>
        <v/>
      </c>
      <c r="I788" t="str">
        <f>IF(A788="","",VLOOKUP(G788,表3_3[],3,0))</f>
        <v/>
      </c>
      <c r="J788" t="str">
        <f>IF(A788="","",IF('ATP Fills'!I788="3M","",VLOOKUP(RIGHT('ATP Fills'!I788,2),Helper1!$O$36:$P$48,2,0)))</f>
        <v/>
      </c>
      <c r="K788" t="str">
        <f>IF(J788="","",LEFT('ATP Fills'!I788,4))</f>
        <v/>
      </c>
      <c r="L788" t="str">
        <f>IF(A788="","",IF('ATP Fills'!G788="LME",'ATP Fills'!I788,""))</f>
        <v/>
      </c>
      <c r="M788" t="str">
        <f t="shared" si="12"/>
        <v/>
      </c>
    </row>
    <row r="789" spans="1:13">
      <c r="A789" t="str">
        <f>IF('ATP Fills'!A789="","",IF('ATP Fills'!Q789="PHILLIPSG",'ATP Fills'!F789,""))</f>
        <v/>
      </c>
      <c r="B789" t="str">
        <f>IF(A789="","",'ATP Fills'!L789)</f>
        <v/>
      </c>
      <c r="C789" t="str">
        <f>IF(A789="","",'ATP Fills'!M789)</f>
        <v/>
      </c>
      <c r="D789" t="str">
        <f>IF(A789="","",'ATP Fills'!B789)</f>
        <v/>
      </c>
      <c r="E789" s="3" t="str">
        <f>IF(A789="","",IF(DATE(LEFT(D789,4),MID(D789,5,2),RIGHT(D789,2))=Helper1!$P$1,Helper1!$P$1,""))</f>
        <v/>
      </c>
      <c r="F789" s="3" t="str">
        <f>IF(A789="","",'ATP Fills'!G789)</f>
        <v/>
      </c>
      <c r="G789" t="str">
        <f>IF(A789="","",'ATP Fills'!H789)</f>
        <v/>
      </c>
      <c r="H789" t="str">
        <f>IF(A789="","",VLOOKUP(G789,表3_3[],2,0))</f>
        <v/>
      </c>
      <c r="I789" t="str">
        <f>IF(A789="","",VLOOKUP(G789,表3_3[],3,0))</f>
        <v/>
      </c>
      <c r="J789" t="str">
        <f>IF(A789="","",IF('ATP Fills'!I789="3M","",VLOOKUP(RIGHT('ATP Fills'!I789,2),Helper1!$O$36:$P$48,2,0)))</f>
        <v/>
      </c>
      <c r="K789" t="str">
        <f>IF(J789="","",LEFT('ATP Fills'!I789,4))</f>
        <v/>
      </c>
      <c r="L789" t="str">
        <f>IF(A789="","",IF('ATP Fills'!G789="LME",'ATP Fills'!I789,""))</f>
        <v/>
      </c>
      <c r="M789" t="str">
        <f t="shared" si="12"/>
        <v/>
      </c>
    </row>
    <row r="790" spans="1:13">
      <c r="A790" t="str">
        <f>IF('ATP Fills'!A790="","",IF('ATP Fills'!Q790="PHILLIPSG",'ATP Fills'!F790,""))</f>
        <v/>
      </c>
      <c r="B790" t="str">
        <f>IF(A790="","",'ATP Fills'!L790)</f>
        <v/>
      </c>
      <c r="C790" t="str">
        <f>IF(A790="","",'ATP Fills'!M790)</f>
        <v/>
      </c>
      <c r="D790" t="str">
        <f>IF(A790="","",'ATP Fills'!B790)</f>
        <v/>
      </c>
      <c r="E790" s="3" t="str">
        <f>IF(A790="","",IF(DATE(LEFT(D790,4),MID(D790,5,2),RIGHT(D790,2))=Helper1!$P$1,Helper1!$P$1,""))</f>
        <v/>
      </c>
      <c r="F790" s="3" t="str">
        <f>IF(A790="","",'ATP Fills'!G790)</f>
        <v/>
      </c>
      <c r="G790" t="str">
        <f>IF(A790="","",'ATP Fills'!H790)</f>
        <v/>
      </c>
      <c r="H790" t="str">
        <f>IF(A790="","",VLOOKUP(G790,表3_3[],2,0))</f>
        <v/>
      </c>
      <c r="I790" t="str">
        <f>IF(A790="","",VLOOKUP(G790,表3_3[],3,0))</f>
        <v/>
      </c>
      <c r="J790" t="str">
        <f>IF(A790="","",IF('ATP Fills'!I790="3M","",VLOOKUP(RIGHT('ATP Fills'!I790,2),Helper1!$O$36:$P$48,2,0)))</f>
        <v/>
      </c>
      <c r="K790" t="str">
        <f>IF(J790="","",LEFT('ATP Fills'!I790,4))</f>
        <v/>
      </c>
      <c r="L790" t="str">
        <f>IF(A790="","",IF('ATP Fills'!G790="LME",'ATP Fills'!I790,""))</f>
        <v/>
      </c>
      <c r="M790" t="str">
        <f t="shared" si="12"/>
        <v/>
      </c>
    </row>
    <row r="791" spans="1:13">
      <c r="A791" t="str">
        <f>IF('ATP Fills'!A791="","",IF('ATP Fills'!Q791="PHILLIPSG",'ATP Fills'!F791,""))</f>
        <v/>
      </c>
      <c r="B791" t="str">
        <f>IF(A791="","",'ATP Fills'!L791)</f>
        <v/>
      </c>
      <c r="C791" t="str">
        <f>IF(A791="","",'ATP Fills'!M791)</f>
        <v/>
      </c>
      <c r="D791" t="str">
        <f>IF(A791="","",'ATP Fills'!B791)</f>
        <v/>
      </c>
      <c r="E791" s="3" t="str">
        <f>IF(A791="","",IF(DATE(LEFT(D791,4),MID(D791,5,2),RIGHT(D791,2))=Helper1!$P$1,Helper1!$P$1,""))</f>
        <v/>
      </c>
      <c r="F791" s="3" t="str">
        <f>IF(A791="","",'ATP Fills'!G791)</f>
        <v/>
      </c>
      <c r="G791" t="str">
        <f>IF(A791="","",'ATP Fills'!H791)</f>
        <v/>
      </c>
      <c r="H791" t="str">
        <f>IF(A791="","",VLOOKUP(G791,表3_3[],2,0))</f>
        <v/>
      </c>
      <c r="I791" t="str">
        <f>IF(A791="","",VLOOKUP(G791,表3_3[],3,0))</f>
        <v/>
      </c>
      <c r="J791" t="str">
        <f>IF(A791="","",IF('ATP Fills'!I791="3M","",VLOOKUP(RIGHT('ATP Fills'!I791,2),Helper1!$O$36:$P$48,2,0)))</f>
        <v/>
      </c>
      <c r="K791" t="str">
        <f>IF(J791="","",LEFT('ATP Fills'!I791,4))</f>
        <v/>
      </c>
      <c r="L791" t="str">
        <f>IF(A791="","",IF('ATP Fills'!G791="LME",'ATP Fills'!I791,""))</f>
        <v/>
      </c>
      <c r="M791" t="str">
        <f t="shared" si="12"/>
        <v/>
      </c>
    </row>
    <row r="792" spans="1:13">
      <c r="A792" t="str">
        <f>IF('ATP Fills'!A792="","",IF('ATP Fills'!Q792="PHILLIPSG",'ATP Fills'!F792,""))</f>
        <v/>
      </c>
      <c r="B792" t="str">
        <f>IF(A792="","",'ATP Fills'!L792)</f>
        <v/>
      </c>
      <c r="C792" t="str">
        <f>IF(A792="","",'ATP Fills'!M792)</f>
        <v/>
      </c>
      <c r="D792" t="str">
        <f>IF(A792="","",'ATP Fills'!B792)</f>
        <v/>
      </c>
      <c r="E792" s="3" t="str">
        <f>IF(A792="","",IF(DATE(LEFT(D792,4),MID(D792,5,2),RIGHT(D792,2))=Helper1!$P$1,Helper1!$P$1,""))</f>
        <v/>
      </c>
      <c r="F792" s="3" t="str">
        <f>IF(A792="","",'ATP Fills'!G792)</f>
        <v/>
      </c>
      <c r="G792" t="str">
        <f>IF(A792="","",'ATP Fills'!H792)</f>
        <v/>
      </c>
      <c r="H792" t="str">
        <f>IF(A792="","",VLOOKUP(G792,表3_3[],2,0))</f>
        <v/>
      </c>
      <c r="I792" t="str">
        <f>IF(A792="","",VLOOKUP(G792,表3_3[],3,0))</f>
        <v/>
      </c>
      <c r="J792" t="str">
        <f>IF(A792="","",IF('ATP Fills'!I792="3M","",VLOOKUP(RIGHT('ATP Fills'!I792,2),Helper1!$O$36:$P$48,2,0)))</f>
        <v/>
      </c>
      <c r="K792" t="str">
        <f>IF(J792="","",LEFT('ATP Fills'!I792,4))</f>
        <v/>
      </c>
      <c r="L792" t="str">
        <f>IF(A792="","",IF('ATP Fills'!G792="LME",'ATP Fills'!I792,""))</f>
        <v/>
      </c>
      <c r="M792" t="str">
        <f t="shared" si="12"/>
        <v/>
      </c>
    </row>
    <row r="793" spans="1:13">
      <c r="A793" t="str">
        <f>IF('ATP Fills'!A793="","",IF('ATP Fills'!Q793="PHILLIPSG",'ATP Fills'!F793,""))</f>
        <v/>
      </c>
      <c r="B793" t="str">
        <f>IF(A793="","",'ATP Fills'!L793)</f>
        <v/>
      </c>
      <c r="C793" t="str">
        <f>IF(A793="","",'ATP Fills'!M793)</f>
        <v/>
      </c>
      <c r="D793" t="str">
        <f>IF(A793="","",'ATP Fills'!B793)</f>
        <v/>
      </c>
      <c r="E793" s="3" t="str">
        <f>IF(A793="","",IF(DATE(LEFT(D793,4),MID(D793,5,2),RIGHT(D793,2))=Helper1!$P$1,Helper1!$P$1,""))</f>
        <v/>
      </c>
      <c r="F793" s="3" t="str">
        <f>IF(A793="","",'ATP Fills'!G793)</f>
        <v/>
      </c>
      <c r="G793" t="str">
        <f>IF(A793="","",'ATP Fills'!H793)</f>
        <v/>
      </c>
      <c r="H793" t="str">
        <f>IF(A793="","",VLOOKUP(G793,表3_3[],2,0))</f>
        <v/>
      </c>
      <c r="I793" t="str">
        <f>IF(A793="","",VLOOKUP(G793,表3_3[],3,0))</f>
        <v/>
      </c>
      <c r="J793" t="str">
        <f>IF(A793="","",IF('ATP Fills'!I793="3M","",VLOOKUP(RIGHT('ATP Fills'!I793,2),Helper1!$O$36:$P$48,2,0)))</f>
        <v/>
      </c>
      <c r="K793" t="str">
        <f>IF(J793="","",LEFT('ATP Fills'!I793,4))</f>
        <v/>
      </c>
      <c r="L793" t="str">
        <f>IF(A793="","",IF('ATP Fills'!G793="LME",'ATP Fills'!I793,""))</f>
        <v/>
      </c>
      <c r="M793" t="str">
        <f t="shared" si="12"/>
        <v/>
      </c>
    </row>
    <row r="794" spans="1:13">
      <c r="A794" t="str">
        <f>IF('ATP Fills'!A794="","",IF('ATP Fills'!Q794="PHILLIPSG",'ATP Fills'!F794,""))</f>
        <v/>
      </c>
      <c r="B794" t="str">
        <f>IF(A794="","",'ATP Fills'!L794)</f>
        <v/>
      </c>
      <c r="C794" t="str">
        <f>IF(A794="","",'ATP Fills'!M794)</f>
        <v/>
      </c>
      <c r="D794" t="str">
        <f>IF(A794="","",'ATP Fills'!B794)</f>
        <v/>
      </c>
      <c r="E794" s="3" t="str">
        <f>IF(A794="","",IF(DATE(LEFT(D794,4),MID(D794,5,2),RIGHT(D794,2))=Helper1!$P$1,Helper1!$P$1,""))</f>
        <v/>
      </c>
      <c r="F794" s="3" t="str">
        <f>IF(A794="","",'ATP Fills'!G794)</f>
        <v/>
      </c>
      <c r="G794" t="str">
        <f>IF(A794="","",'ATP Fills'!H794)</f>
        <v/>
      </c>
      <c r="H794" t="str">
        <f>IF(A794="","",VLOOKUP(G794,表3_3[],2,0))</f>
        <v/>
      </c>
      <c r="I794" t="str">
        <f>IF(A794="","",VLOOKUP(G794,表3_3[],3,0))</f>
        <v/>
      </c>
      <c r="J794" t="str">
        <f>IF(A794="","",IF('ATP Fills'!I794="3M","",VLOOKUP(RIGHT('ATP Fills'!I794,2),Helper1!$O$36:$P$48,2,0)))</f>
        <v/>
      </c>
      <c r="K794" t="str">
        <f>IF(J794="","",LEFT('ATP Fills'!I794,4))</f>
        <v/>
      </c>
      <c r="L794" t="str">
        <f>IF(A794="","",IF('ATP Fills'!G794="LME",'ATP Fills'!I794,""))</f>
        <v/>
      </c>
      <c r="M794" t="str">
        <f t="shared" si="12"/>
        <v/>
      </c>
    </row>
    <row r="795" spans="1:13">
      <c r="A795" t="str">
        <f>IF('ATP Fills'!A795="","",IF('ATP Fills'!Q795="PHILLIPSG",'ATP Fills'!F795,""))</f>
        <v/>
      </c>
      <c r="B795" t="str">
        <f>IF(A795="","",'ATP Fills'!L795)</f>
        <v/>
      </c>
      <c r="C795" t="str">
        <f>IF(A795="","",'ATP Fills'!M795)</f>
        <v/>
      </c>
      <c r="D795" t="str">
        <f>IF(A795="","",'ATP Fills'!B795)</f>
        <v/>
      </c>
      <c r="E795" s="3" t="str">
        <f>IF(A795="","",IF(DATE(LEFT(D795,4),MID(D795,5,2),RIGHT(D795,2))=Helper1!$P$1,Helper1!$P$1,""))</f>
        <v/>
      </c>
      <c r="F795" s="3" t="str">
        <f>IF(A795="","",'ATP Fills'!G795)</f>
        <v/>
      </c>
      <c r="G795" t="str">
        <f>IF(A795="","",'ATP Fills'!H795)</f>
        <v/>
      </c>
      <c r="H795" t="str">
        <f>IF(A795="","",VLOOKUP(G795,表3_3[],2,0))</f>
        <v/>
      </c>
      <c r="I795" t="str">
        <f>IF(A795="","",VLOOKUP(G795,表3_3[],3,0))</f>
        <v/>
      </c>
      <c r="J795" t="str">
        <f>IF(A795="","",IF('ATP Fills'!I795="3M","",VLOOKUP(RIGHT('ATP Fills'!I795,2),Helper1!$O$36:$P$48,2,0)))</f>
        <v/>
      </c>
      <c r="K795" t="str">
        <f>IF(J795="","",LEFT('ATP Fills'!I795,4))</f>
        <v/>
      </c>
      <c r="L795" t="str">
        <f>IF(A795="","",IF('ATP Fills'!G795="LME",'ATP Fills'!I795,""))</f>
        <v/>
      </c>
      <c r="M795" t="str">
        <f t="shared" si="12"/>
        <v/>
      </c>
    </row>
    <row r="796" spans="1:13">
      <c r="A796" t="str">
        <f>IF('ATP Fills'!A796="","",IF('ATP Fills'!Q796="PHILLIPSG",'ATP Fills'!F796,""))</f>
        <v/>
      </c>
      <c r="B796" t="str">
        <f>IF(A796="","",'ATP Fills'!L796)</f>
        <v/>
      </c>
      <c r="C796" t="str">
        <f>IF(A796="","",'ATP Fills'!M796)</f>
        <v/>
      </c>
      <c r="D796" t="str">
        <f>IF(A796="","",'ATP Fills'!B796)</f>
        <v/>
      </c>
      <c r="E796" s="3" t="str">
        <f>IF(A796="","",IF(DATE(LEFT(D796,4),MID(D796,5,2),RIGHT(D796,2))=Helper1!$P$1,Helper1!$P$1,""))</f>
        <v/>
      </c>
      <c r="F796" s="3" t="str">
        <f>IF(A796="","",'ATP Fills'!G796)</f>
        <v/>
      </c>
      <c r="G796" t="str">
        <f>IF(A796="","",'ATP Fills'!H796)</f>
        <v/>
      </c>
      <c r="H796" t="str">
        <f>IF(A796="","",VLOOKUP(G796,表3_3[],2,0))</f>
        <v/>
      </c>
      <c r="I796" t="str">
        <f>IF(A796="","",VLOOKUP(G796,表3_3[],3,0))</f>
        <v/>
      </c>
      <c r="J796" t="str">
        <f>IF(A796="","",IF('ATP Fills'!I796="3M","",VLOOKUP(RIGHT('ATP Fills'!I796,2),Helper1!$O$36:$P$48,2,0)))</f>
        <v/>
      </c>
      <c r="K796" t="str">
        <f>IF(J796="","",LEFT('ATP Fills'!I796,4))</f>
        <v/>
      </c>
      <c r="L796" t="str">
        <f>IF(A796="","",IF('ATP Fills'!G796="LME",'ATP Fills'!I796,""))</f>
        <v/>
      </c>
      <c r="M796" t="str">
        <f t="shared" si="12"/>
        <v/>
      </c>
    </row>
    <row r="797" spans="1:13">
      <c r="A797" t="str">
        <f>IF('ATP Fills'!A797="","",IF('ATP Fills'!Q797="PHILLIPSG",'ATP Fills'!F797,""))</f>
        <v/>
      </c>
      <c r="B797" t="str">
        <f>IF(A797="","",'ATP Fills'!L797)</f>
        <v/>
      </c>
      <c r="C797" t="str">
        <f>IF(A797="","",'ATP Fills'!M797)</f>
        <v/>
      </c>
      <c r="D797" t="str">
        <f>IF(A797="","",'ATP Fills'!B797)</f>
        <v/>
      </c>
      <c r="E797" s="3" t="str">
        <f>IF(A797="","",IF(DATE(LEFT(D797,4),MID(D797,5,2),RIGHT(D797,2))=Helper1!$P$1,Helper1!$P$1,""))</f>
        <v/>
      </c>
      <c r="F797" s="3" t="str">
        <f>IF(A797="","",'ATP Fills'!G797)</f>
        <v/>
      </c>
      <c r="G797" t="str">
        <f>IF(A797="","",'ATP Fills'!H797)</f>
        <v/>
      </c>
      <c r="H797" t="str">
        <f>IF(A797="","",VLOOKUP(G797,表3_3[],2,0))</f>
        <v/>
      </c>
      <c r="I797" t="str">
        <f>IF(A797="","",VLOOKUP(G797,表3_3[],3,0))</f>
        <v/>
      </c>
      <c r="J797" t="str">
        <f>IF(A797="","",IF('ATP Fills'!I797="3M","",VLOOKUP(RIGHT('ATP Fills'!I797,2),Helper1!$O$36:$P$48,2,0)))</f>
        <v/>
      </c>
      <c r="K797" t="str">
        <f>IF(J797="","",LEFT('ATP Fills'!I797,4))</f>
        <v/>
      </c>
      <c r="L797" t="str">
        <f>IF(A797="","",IF('ATP Fills'!G797="LME",'ATP Fills'!I797,""))</f>
        <v/>
      </c>
      <c r="M797" t="str">
        <f t="shared" si="12"/>
        <v/>
      </c>
    </row>
    <row r="798" spans="1:13">
      <c r="A798" t="str">
        <f>IF('ATP Fills'!A798="","",IF('ATP Fills'!Q798="PHILLIPSG",'ATP Fills'!F798,""))</f>
        <v/>
      </c>
      <c r="B798" t="str">
        <f>IF(A798="","",'ATP Fills'!L798)</f>
        <v/>
      </c>
      <c r="C798" t="str">
        <f>IF(A798="","",'ATP Fills'!M798)</f>
        <v/>
      </c>
      <c r="D798" t="str">
        <f>IF(A798="","",'ATP Fills'!B798)</f>
        <v/>
      </c>
      <c r="E798" s="3" t="str">
        <f>IF(A798="","",IF(DATE(LEFT(D798,4),MID(D798,5,2),RIGHT(D798,2))=Helper1!$P$1,Helper1!$P$1,""))</f>
        <v/>
      </c>
      <c r="F798" s="3" t="str">
        <f>IF(A798="","",'ATP Fills'!G798)</f>
        <v/>
      </c>
      <c r="G798" t="str">
        <f>IF(A798="","",'ATP Fills'!H798)</f>
        <v/>
      </c>
      <c r="H798" t="str">
        <f>IF(A798="","",VLOOKUP(G798,表3_3[],2,0))</f>
        <v/>
      </c>
      <c r="I798" t="str">
        <f>IF(A798="","",VLOOKUP(G798,表3_3[],3,0))</f>
        <v/>
      </c>
      <c r="J798" t="str">
        <f>IF(A798="","",IF('ATP Fills'!I798="3M","",VLOOKUP(RIGHT('ATP Fills'!I798,2),Helper1!$O$36:$P$48,2,0)))</f>
        <v/>
      </c>
      <c r="K798" t="str">
        <f>IF(J798="","",LEFT('ATP Fills'!I798,4))</f>
        <v/>
      </c>
      <c r="L798" t="str">
        <f>IF(A798="","",IF('ATP Fills'!G798="LME",'ATP Fills'!I798,""))</f>
        <v/>
      </c>
      <c r="M798" t="str">
        <f t="shared" si="12"/>
        <v/>
      </c>
    </row>
    <row r="799" spans="1:13">
      <c r="A799" t="str">
        <f>IF('ATP Fills'!A799="","",IF('ATP Fills'!Q799="PHILLIPSG",'ATP Fills'!F799,""))</f>
        <v/>
      </c>
      <c r="B799" t="str">
        <f>IF(A799="","",'ATP Fills'!L799)</f>
        <v/>
      </c>
      <c r="C799" t="str">
        <f>IF(A799="","",'ATP Fills'!M799)</f>
        <v/>
      </c>
      <c r="D799" t="str">
        <f>IF(A799="","",'ATP Fills'!B799)</f>
        <v/>
      </c>
      <c r="E799" s="3" t="str">
        <f>IF(A799="","",IF(DATE(LEFT(D799,4),MID(D799,5,2),RIGHT(D799,2))=Helper1!$P$1,Helper1!$P$1,""))</f>
        <v/>
      </c>
      <c r="F799" s="3" t="str">
        <f>IF(A799="","",'ATP Fills'!G799)</f>
        <v/>
      </c>
      <c r="G799" t="str">
        <f>IF(A799="","",'ATP Fills'!H799)</f>
        <v/>
      </c>
      <c r="H799" t="str">
        <f>IF(A799="","",VLOOKUP(G799,表3_3[],2,0))</f>
        <v/>
      </c>
      <c r="I799" t="str">
        <f>IF(A799="","",VLOOKUP(G799,表3_3[],3,0))</f>
        <v/>
      </c>
      <c r="J799" t="str">
        <f>IF(A799="","",IF('ATP Fills'!I799="3M","",VLOOKUP(RIGHT('ATP Fills'!I799,2),Helper1!$O$36:$P$48,2,0)))</f>
        <v/>
      </c>
      <c r="K799" t="str">
        <f>IF(J799="","",LEFT('ATP Fills'!I799,4))</f>
        <v/>
      </c>
      <c r="L799" t="str">
        <f>IF(A799="","",IF('ATP Fills'!G799="LME",'ATP Fills'!I799,""))</f>
        <v/>
      </c>
      <c r="M799" t="str">
        <f t="shared" si="12"/>
        <v/>
      </c>
    </row>
    <row r="800" spans="1:13">
      <c r="A800" t="str">
        <f>IF('ATP Fills'!A800="","",IF('ATP Fills'!Q800="PHILLIPSG",'ATP Fills'!F800,""))</f>
        <v/>
      </c>
      <c r="B800" t="str">
        <f>IF(A800="","",'ATP Fills'!L800)</f>
        <v/>
      </c>
      <c r="C800" t="str">
        <f>IF(A800="","",'ATP Fills'!M800)</f>
        <v/>
      </c>
      <c r="D800" t="str">
        <f>IF(A800="","",'ATP Fills'!B800)</f>
        <v/>
      </c>
      <c r="E800" s="3" t="str">
        <f>IF(A800="","",IF(DATE(LEFT(D800,4),MID(D800,5,2),RIGHT(D800,2))=Helper1!$P$1,Helper1!$P$1,""))</f>
        <v/>
      </c>
      <c r="F800" s="3" t="str">
        <f>IF(A800="","",'ATP Fills'!G800)</f>
        <v/>
      </c>
      <c r="G800" t="str">
        <f>IF(A800="","",'ATP Fills'!H800)</f>
        <v/>
      </c>
      <c r="H800" t="str">
        <f>IF(A800="","",VLOOKUP(G800,表3_3[],2,0))</f>
        <v/>
      </c>
      <c r="I800" t="str">
        <f>IF(A800="","",VLOOKUP(G800,表3_3[],3,0))</f>
        <v/>
      </c>
      <c r="J800" t="str">
        <f>IF(A800="","",IF('ATP Fills'!I800="3M","",VLOOKUP(RIGHT('ATP Fills'!I800,2),Helper1!$O$36:$P$48,2,0)))</f>
        <v/>
      </c>
      <c r="K800" t="str">
        <f>IF(J800="","",LEFT('ATP Fills'!I800,4))</f>
        <v/>
      </c>
      <c r="L800" t="str">
        <f>IF(A800="","",IF('ATP Fills'!G800="LME",'ATP Fills'!I800,""))</f>
        <v/>
      </c>
      <c r="M800" t="str">
        <f t="shared" si="12"/>
        <v/>
      </c>
    </row>
    <row r="801" spans="1:13">
      <c r="A801" t="str">
        <f>IF('ATP Fills'!A801="","",IF('ATP Fills'!Q801="PHILLIPSG",'ATP Fills'!F801,""))</f>
        <v/>
      </c>
      <c r="B801" t="str">
        <f>IF(A801="","",'ATP Fills'!L801)</f>
        <v/>
      </c>
      <c r="C801" t="str">
        <f>IF(A801="","",'ATP Fills'!M801)</f>
        <v/>
      </c>
      <c r="D801" t="str">
        <f>IF(A801="","",'ATP Fills'!B801)</f>
        <v/>
      </c>
      <c r="E801" s="3" t="str">
        <f>IF(A801="","",IF(DATE(LEFT(D801,4),MID(D801,5,2),RIGHT(D801,2))=Helper1!$P$1,Helper1!$P$1,""))</f>
        <v/>
      </c>
      <c r="F801" s="3" t="str">
        <f>IF(A801="","",'ATP Fills'!G801)</f>
        <v/>
      </c>
      <c r="G801" t="str">
        <f>IF(A801="","",'ATP Fills'!H801)</f>
        <v/>
      </c>
      <c r="H801" t="str">
        <f>IF(A801="","",VLOOKUP(G801,表3_3[],2,0))</f>
        <v/>
      </c>
      <c r="I801" t="str">
        <f>IF(A801="","",VLOOKUP(G801,表3_3[],3,0))</f>
        <v/>
      </c>
      <c r="J801" t="str">
        <f>IF(A801="","",IF('ATP Fills'!I801="3M","",VLOOKUP(RIGHT('ATP Fills'!I801,2),Helper1!$O$36:$P$48,2,0)))</f>
        <v/>
      </c>
      <c r="K801" t="str">
        <f>IF(J801="","",LEFT('ATP Fills'!I801,4))</f>
        <v/>
      </c>
      <c r="L801" t="str">
        <f>IF(A801="","",IF('ATP Fills'!G801="LME",'ATP Fills'!I801,""))</f>
        <v/>
      </c>
      <c r="M801" t="str">
        <f t="shared" si="12"/>
        <v/>
      </c>
    </row>
    <row r="802" spans="1:13">
      <c r="A802" t="str">
        <f>IF('ATP Fills'!A802="","",IF('ATP Fills'!Q802="PHILLIPSG",'ATP Fills'!F802,""))</f>
        <v/>
      </c>
      <c r="B802" t="str">
        <f>IF(A802="","",'ATP Fills'!L802)</f>
        <v/>
      </c>
      <c r="C802" t="str">
        <f>IF(A802="","",'ATP Fills'!M802)</f>
        <v/>
      </c>
      <c r="D802" t="str">
        <f>IF(A802="","",'ATP Fills'!B802)</f>
        <v/>
      </c>
      <c r="E802" s="3" t="str">
        <f>IF(A802="","",IF(DATE(LEFT(D802,4),MID(D802,5,2),RIGHT(D802,2))=Helper1!$P$1,Helper1!$P$1,""))</f>
        <v/>
      </c>
      <c r="F802" s="3" t="str">
        <f>IF(A802="","",'ATP Fills'!G802)</f>
        <v/>
      </c>
      <c r="G802" t="str">
        <f>IF(A802="","",'ATP Fills'!H802)</f>
        <v/>
      </c>
      <c r="H802" t="str">
        <f>IF(A802="","",VLOOKUP(G802,表3_3[],2,0))</f>
        <v/>
      </c>
      <c r="I802" t="str">
        <f>IF(A802="","",VLOOKUP(G802,表3_3[],3,0))</f>
        <v/>
      </c>
      <c r="J802" t="str">
        <f>IF(A802="","",IF('ATP Fills'!I802="3M","",VLOOKUP(RIGHT('ATP Fills'!I802,2),Helper1!$O$36:$P$48,2,0)))</f>
        <v/>
      </c>
      <c r="K802" t="str">
        <f>IF(J802="","",LEFT('ATP Fills'!I802,4))</f>
        <v/>
      </c>
      <c r="L802" t="str">
        <f>IF(A802="","",IF('ATP Fills'!G802="LME",'ATP Fills'!I802,""))</f>
        <v/>
      </c>
      <c r="M802" t="str">
        <f t="shared" si="12"/>
        <v/>
      </c>
    </row>
    <row r="803" spans="1:13">
      <c r="A803" t="str">
        <f>IF('ATP Fills'!A803="","",IF('ATP Fills'!Q803="PHILLIPSG",'ATP Fills'!F803,""))</f>
        <v/>
      </c>
      <c r="B803" t="str">
        <f>IF(A803="","",'ATP Fills'!L803)</f>
        <v/>
      </c>
      <c r="C803" t="str">
        <f>IF(A803="","",'ATP Fills'!M803)</f>
        <v/>
      </c>
      <c r="D803" t="str">
        <f>IF(A803="","",'ATP Fills'!B803)</f>
        <v/>
      </c>
      <c r="E803" s="3" t="str">
        <f>IF(A803="","",IF(DATE(LEFT(D803,4),MID(D803,5,2),RIGHT(D803,2))=Helper1!$P$1,Helper1!$P$1,""))</f>
        <v/>
      </c>
      <c r="F803" s="3" t="str">
        <f>IF(A803="","",'ATP Fills'!G803)</f>
        <v/>
      </c>
      <c r="G803" t="str">
        <f>IF(A803="","",'ATP Fills'!H803)</f>
        <v/>
      </c>
      <c r="H803" t="str">
        <f>IF(A803="","",VLOOKUP(G803,表3_3[],2,0))</f>
        <v/>
      </c>
      <c r="I803" t="str">
        <f>IF(A803="","",VLOOKUP(G803,表3_3[],3,0))</f>
        <v/>
      </c>
      <c r="J803" t="str">
        <f>IF(A803="","",IF('ATP Fills'!I803="3M","",VLOOKUP(RIGHT('ATP Fills'!I803,2),Helper1!$O$36:$P$48,2,0)))</f>
        <v/>
      </c>
      <c r="K803" t="str">
        <f>IF(J803="","",LEFT('ATP Fills'!I803,4))</f>
        <v/>
      </c>
      <c r="L803" t="str">
        <f>IF(A803="","",IF('ATP Fills'!G803="LME",'ATP Fills'!I803,""))</f>
        <v/>
      </c>
      <c r="M803" t="str">
        <f t="shared" si="12"/>
        <v/>
      </c>
    </row>
    <row r="804" spans="1:13">
      <c r="A804" t="str">
        <f>IF('ATP Fills'!A804="","",IF('ATP Fills'!Q804="PHILLIPSG",'ATP Fills'!F804,""))</f>
        <v/>
      </c>
      <c r="B804" t="str">
        <f>IF(A804="","",'ATP Fills'!L804)</f>
        <v/>
      </c>
      <c r="C804" t="str">
        <f>IF(A804="","",'ATP Fills'!M804)</f>
        <v/>
      </c>
      <c r="D804" t="str">
        <f>IF(A804="","",'ATP Fills'!B804)</f>
        <v/>
      </c>
      <c r="E804" s="3" t="str">
        <f>IF(A804="","",IF(DATE(LEFT(D804,4),MID(D804,5,2),RIGHT(D804,2))=Helper1!$P$1,Helper1!$P$1,""))</f>
        <v/>
      </c>
      <c r="F804" s="3" t="str">
        <f>IF(A804="","",'ATP Fills'!G804)</f>
        <v/>
      </c>
      <c r="G804" t="str">
        <f>IF(A804="","",'ATP Fills'!H804)</f>
        <v/>
      </c>
      <c r="H804" t="str">
        <f>IF(A804="","",VLOOKUP(G804,表3_3[],2,0))</f>
        <v/>
      </c>
      <c r="I804" t="str">
        <f>IF(A804="","",VLOOKUP(G804,表3_3[],3,0))</f>
        <v/>
      </c>
      <c r="J804" t="str">
        <f>IF(A804="","",IF('ATP Fills'!I804="3M","",VLOOKUP(RIGHT('ATP Fills'!I804,2),Helper1!$O$36:$P$48,2,0)))</f>
        <v/>
      </c>
      <c r="K804" t="str">
        <f>IF(J804="","",LEFT('ATP Fills'!I804,4))</f>
        <v/>
      </c>
      <c r="L804" t="str">
        <f>IF(A804="","",IF('ATP Fills'!G804="LME",'ATP Fills'!I804,""))</f>
        <v/>
      </c>
      <c r="M804" t="str">
        <f t="shared" si="12"/>
        <v/>
      </c>
    </row>
    <row r="805" spans="1:13">
      <c r="A805" t="str">
        <f>IF('ATP Fills'!A805="","",IF('ATP Fills'!Q805="PHILLIPSG",'ATP Fills'!F805,""))</f>
        <v/>
      </c>
      <c r="B805" t="str">
        <f>IF(A805="","",'ATP Fills'!L805)</f>
        <v/>
      </c>
      <c r="C805" t="str">
        <f>IF(A805="","",'ATP Fills'!M805)</f>
        <v/>
      </c>
      <c r="D805" t="str">
        <f>IF(A805="","",'ATP Fills'!B805)</f>
        <v/>
      </c>
      <c r="E805" s="3" t="str">
        <f>IF(A805="","",IF(DATE(LEFT(D805,4),MID(D805,5,2),RIGHT(D805,2))=Helper1!$P$1,Helper1!$P$1,""))</f>
        <v/>
      </c>
      <c r="F805" s="3" t="str">
        <f>IF(A805="","",'ATP Fills'!G805)</f>
        <v/>
      </c>
      <c r="G805" t="str">
        <f>IF(A805="","",'ATP Fills'!H805)</f>
        <v/>
      </c>
      <c r="H805" t="str">
        <f>IF(A805="","",VLOOKUP(G805,表3_3[],2,0))</f>
        <v/>
      </c>
      <c r="I805" t="str">
        <f>IF(A805="","",VLOOKUP(G805,表3_3[],3,0))</f>
        <v/>
      </c>
      <c r="J805" t="str">
        <f>IF(A805="","",IF('ATP Fills'!I805="3M","",VLOOKUP(RIGHT('ATP Fills'!I805,2),Helper1!$O$36:$P$48,2,0)))</f>
        <v/>
      </c>
      <c r="K805" t="str">
        <f>IF(J805="","",LEFT('ATP Fills'!I805,4))</f>
        <v/>
      </c>
      <c r="L805" t="str">
        <f>IF(A805="","",IF('ATP Fills'!G805="LME",'ATP Fills'!I805,""))</f>
        <v/>
      </c>
      <c r="M805" t="str">
        <f t="shared" si="12"/>
        <v/>
      </c>
    </row>
    <row r="806" spans="1:13">
      <c r="A806" t="str">
        <f>IF('ATP Fills'!A806="","",IF('ATP Fills'!Q806="PHILLIPSG",'ATP Fills'!F806,""))</f>
        <v/>
      </c>
      <c r="B806" t="str">
        <f>IF(A806="","",'ATP Fills'!L806)</f>
        <v/>
      </c>
      <c r="C806" t="str">
        <f>IF(A806="","",'ATP Fills'!M806)</f>
        <v/>
      </c>
      <c r="D806" t="str">
        <f>IF(A806="","",'ATP Fills'!B806)</f>
        <v/>
      </c>
      <c r="E806" s="3" t="str">
        <f>IF(A806="","",IF(DATE(LEFT(D806,4),MID(D806,5,2),RIGHT(D806,2))=Helper1!$P$1,Helper1!$P$1,""))</f>
        <v/>
      </c>
      <c r="F806" s="3" t="str">
        <f>IF(A806="","",'ATP Fills'!G806)</f>
        <v/>
      </c>
      <c r="G806" t="str">
        <f>IF(A806="","",'ATP Fills'!H806)</f>
        <v/>
      </c>
      <c r="H806" t="str">
        <f>IF(A806="","",VLOOKUP(G806,表3_3[],2,0))</f>
        <v/>
      </c>
      <c r="I806" t="str">
        <f>IF(A806="","",VLOOKUP(G806,表3_3[],3,0))</f>
        <v/>
      </c>
      <c r="J806" t="str">
        <f>IF(A806="","",IF('ATP Fills'!I806="3M","",VLOOKUP(RIGHT('ATP Fills'!I806,2),Helper1!$O$36:$P$48,2,0)))</f>
        <v/>
      </c>
      <c r="K806" t="str">
        <f>IF(J806="","",LEFT('ATP Fills'!I806,4))</f>
        <v/>
      </c>
      <c r="L806" t="str">
        <f>IF(A806="","",IF('ATP Fills'!G806="LME",'ATP Fills'!I806,""))</f>
        <v/>
      </c>
      <c r="M806" t="str">
        <f t="shared" si="12"/>
        <v/>
      </c>
    </row>
    <row r="807" spans="1:13">
      <c r="A807" t="str">
        <f>IF('ATP Fills'!A807="","",IF('ATP Fills'!Q807="PHILLIPSG",'ATP Fills'!F807,""))</f>
        <v/>
      </c>
      <c r="B807" t="str">
        <f>IF(A807="","",'ATP Fills'!L807)</f>
        <v/>
      </c>
      <c r="C807" t="str">
        <f>IF(A807="","",'ATP Fills'!M807)</f>
        <v/>
      </c>
      <c r="D807" t="str">
        <f>IF(A807="","",'ATP Fills'!B807)</f>
        <v/>
      </c>
      <c r="E807" s="3" t="str">
        <f>IF(A807="","",IF(DATE(LEFT(D807,4),MID(D807,5,2),RIGHT(D807,2))=Helper1!$P$1,Helper1!$P$1,""))</f>
        <v/>
      </c>
      <c r="F807" s="3" t="str">
        <f>IF(A807="","",'ATP Fills'!G807)</f>
        <v/>
      </c>
      <c r="G807" t="str">
        <f>IF(A807="","",'ATP Fills'!H807)</f>
        <v/>
      </c>
      <c r="H807" t="str">
        <f>IF(A807="","",VLOOKUP(G807,表3_3[],2,0))</f>
        <v/>
      </c>
      <c r="I807" t="str">
        <f>IF(A807="","",VLOOKUP(G807,表3_3[],3,0))</f>
        <v/>
      </c>
      <c r="J807" t="str">
        <f>IF(A807="","",IF('ATP Fills'!I807="3M","",VLOOKUP(RIGHT('ATP Fills'!I807,2),Helper1!$O$36:$P$48,2,0)))</f>
        <v/>
      </c>
      <c r="K807" t="str">
        <f>IF(J807="","",LEFT('ATP Fills'!I807,4))</f>
        <v/>
      </c>
      <c r="L807" t="str">
        <f>IF(A807="","",IF('ATP Fills'!G807="LME",'ATP Fills'!I807,""))</f>
        <v/>
      </c>
      <c r="M807" t="str">
        <f t="shared" si="12"/>
        <v/>
      </c>
    </row>
    <row r="808" spans="1:13">
      <c r="A808" t="str">
        <f>IF('ATP Fills'!A808="","",IF('ATP Fills'!Q808="PHILLIPSG",'ATP Fills'!F808,""))</f>
        <v/>
      </c>
      <c r="B808" t="str">
        <f>IF(A808="","",'ATP Fills'!L808)</f>
        <v/>
      </c>
      <c r="C808" t="str">
        <f>IF(A808="","",'ATP Fills'!M808)</f>
        <v/>
      </c>
      <c r="D808" t="str">
        <f>IF(A808="","",'ATP Fills'!B808)</f>
        <v/>
      </c>
      <c r="E808" s="3" t="str">
        <f>IF(A808="","",IF(DATE(LEFT(D808,4),MID(D808,5,2),RIGHT(D808,2))=Helper1!$P$1,Helper1!$P$1,""))</f>
        <v/>
      </c>
      <c r="F808" s="3" t="str">
        <f>IF(A808="","",'ATP Fills'!G808)</f>
        <v/>
      </c>
      <c r="G808" t="str">
        <f>IF(A808="","",'ATP Fills'!H808)</f>
        <v/>
      </c>
      <c r="H808" t="str">
        <f>IF(A808="","",VLOOKUP(G808,表3_3[],2,0))</f>
        <v/>
      </c>
      <c r="I808" t="str">
        <f>IF(A808="","",VLOOKUP(G808,表3_3[],3,0))</f>
        <v/>
      </c>
      <c r="J808" t="str">
        <f>IF(A808="","",IF('ATP Fills'!I808="3M","",VLOOKUP(RIGHT('ATP Fills'!I808,2),Helper1!$O$36:$P$48,2,0)))</f>
        <v/>
      </c>
      <c r="K808" t="str">
        <f>IF(J808="","",LEFT('ATP Fills'!I808,4))</f>
        <v/>
      </c>
      <c r="L808" t="str">
        <f>IF(A808="","",IF('ATP Fills'!G808="LME",'ATP Fills'!I808,""))</f>
        <v/>
      </c>
      <c r="M808" t="str">
        <f t="shared" si="12"/>
        <v/>
      </c>
    </row>
    <row r="809" spans="1:13">
      <c r="A809" t="str">
        <f>IF('ATP Fills'!A809="","",IF('ATP Fills'!Q809="PHILLIPSG",'ATP Fills'!F809,""))</f>
        <v/>
      </c>
      <c r="B809" t="str">
        <f>IF(A809="","",'ATP Fills'!L809)</f>
        <v/>
      </c>
      <c r="C809" t="str">
        <f>IF(A809="","",'ATP Fills'!M809)</f>
        <v/>
      </c>
      <c r="D809" t="str">
        <f>IF(A809="","",'ATP Fills'!B809)</f>
        <v/>
      </c>
      <c r="E809" s="3" t="str">
        <f>IF(A809="","",IF(DATE(LEFT(D809,4),MID(D809,5,2),RIGHT(D809,2))=Helper1!$P$1,Helper1!$P$1,""))</f>
        <v/>
      </c>
      <c r="F809" s="3" t="str">
        <f>IF(A809="","",'ATP Fills'!G809)</f>
        <v/>
      </c>
      <c r="G809" t="str">
        <f>IF(A809="","",'ATP Fills'!H809)</f>
        <v/>
      </c>
      <c r="H809" t="str">
        <f>IF(A809="","",VLOOKUP(G809,表3_3[],2,0))</f>
        <v/>
      </c>
      <c r="I809" t="str">
        <f>IF(A809="","",VLOOKUP(G809,表3_3[],3,0))</f>
        <v/>
      </c>
      <c r="J809" t="str">
        <f>IF(A809="","",IF('ATP Fills'!I809="3M","",VLOOKUP(RIGHT('ATP Fills'!I809,2),Helper1!$O$36:$P$48,2,0)))</f>
        <v/>
      </c>
      <c r="K809" t="str">
        <f>IF(J809="","",LEFT('ATP Fills'!I809,4))</f>
        <v/>
      </c>
      <c r="L809" t="str">
        <f>IF(A809="","",IF('ATP Fills'!G809="LME",'ATP Fills'!I809,""))</f>
        <v/>
      </c>
      <c r="M809" t="str">
        <f t="shared" si="12"/>
        <v/>
      </c>
    </row>
    <row r="810" spans="1:13">
      <c r="A810" t="str">
        <f>IF('ATP Fills'!A810="","",IF('ATP Fills'!Q810="PHILLIPSG",'ATP Fills'!F810,""))</f>
        <v/>
      </c>
      <c r="B810" t="str">
        <f>IF(A810="","",'ATP Fills'!L810)</f>
        <v/>
      </c>
      <c r="C810" t="str">
        <f>IF(A810="","",'ATP Fills'!M810)</f>
        <v/>
      </c>
      <c r="D810" t="str">
        <f>IF(A810="","",'ATP Fills'!B810)</f>
        <v/>
      </c>
      <c r="E810" s="3" t="str">
        <f>IF(A810="","",IF(DATE(LEFT(D810,4),MID(D810,5,2),RIGHT(D810,2))=Helper1!$P$1,Helper1!$P$1,""))</f>
        <v/>
      </c>
      <c r="F810" s="3" t="str">
        <f>IF(A810="","",'ATP Fills'!G810)</f>
        <v/>
      </c>
      <c r="G810" t="str">
        <f>IF(A810="","",'ATP Fills'!H810)</f>
        <v/>
      </c>
      <c r="H810" t="str">
        <f>IF(A810="","",VLOOKUP(G810,表3_3[],2,0))</f>
        <v/>
      </c>
      <c r="I810" t="str">
        <f>IF(A810="","",VLOOKUP(G810,表3_3[],3,0))</f>
        <v/>
      </c>
      <c r="J810" t="str">
        <f>IF(A810="","",IF('ATP Fills'!I810="3M","",VLOOKUP(RIGHT('ATP Fills'!I810,2),Helper1!$O$36:$P$48,2,0)))</f>
        <v/>
      </c>
      <c r="K810" t="str">
        <f>IF(J810="","",LEFT('ATP Fills'!I810,4))</f>
        <v/>
      </c>
      <c r="L810" t="str">
        <f>IF(A810="","",IF('ATP Fills'!G810="LME",'ATP Fills'!I810,""))</f>
        <v/>
      </c>
      <c r="M810" t="str">
        <f t="shared" si="12"/>
        <v/>
      </c>
    </row>
    <row r="811" spans="1:13">
      <c r="A811" t="str">
        <f>IF('ATP Fills'!A811="","",IF('ATP Fills'!Q811="PHILLIPSG",'ATP Fills'!F811,""))</f>
        <v/>
      </c>
      <c r="B811" t="str">
        <f>IF(A811="","",'ATP Fills'!L811)</f>
        <v/>
      </c>
      <c r="C811" t="str">
        <f>IF(A811="","",'ATP Fills'!M811)</f>
        <v/>
      </c>
      <c r="D811" t="str">
        <f>IF(A811="","",'ATP Fills'!B811)</f>
        <v/>
      </c>
      <c r="E811" s="3" t="str">
        <f>IF(A811="","",IF(DATE(LEFT(D811,4),MID(D811,5,2),RIGHT(D811,2))=Helper1!$P$1,Helper1!$P$1,""))</f>
        <v/>
      </c>
      <c r="F811" s="3" t="str">
        <f>IF(A811="","",'ATP Fills'!G811)</f>
        <v/>
      </c>
      <c r="G811" t="str">
        <f>IF(A811="","",'ATP Fills'!H811)</f>
        <v/>
      </c>
      <c r="H811" t="str">
        <f>IF(A811="","",VLOOKUP(G811,表3_3[],2,0))</f>
        <v/>
      </c>
      <c r="I811" t="str">
        <f>IF(A811="","",VLOOKUP(G811,表3_3[],3,0))</f>
        <v/>
      </c>
      <c r="J811" t="str">
        <f>IF(A811="","",IF('ATP Fills'!I811="3M","",VLOOKUP(RIGHT('ATP Fills'!I811,2),Helper1!$O$36:$P$48,2,0)))</f>
        <v/>
      </c>
      <c r="K811" t="str">
        <f>IF(J811="","",LEFT('ATP Fills'!I811,4))</f>
        <v/>
      </c>
      <c r="L811" t="str">
        <f>IF(A811="","",IF('ATP Fills'!G811="LME",'ATP Fills'!I811,""))</f>
        <v/>
      </c>
      <c r="M811" t="str">
        <f t="shared" si="12"/>
        <v/>
      </c>
    </row>
    <row r="812" spans="1:13">
      <c r="A812" t="str">
        <f>IF('ATP Fills'!A812="","",IF('ATP Fills'!Q812="PHILLIPSG",'ATP Fills'!F812,""))</f>
        <v/>
      </c>
      <c r="B812" t="str">
        <f>IF(A812="","",'ATP Fills'!L812)</f>
        <v/>
      </c>
      <c r="C812" t="str">
        <f>IF(A812="","",'ATP Fills'!M812)</f>
        <v/>
      </c>
      <c r="D812" t="str">
        <f>IF(A812="","",'ATP Fills'!B812)</f>
        <v/>
      </c>
      <c r="E812" s="3" t="str">
        <f>IF(A812="","",IF(DATE(LEFT(D812,4),MID(D812,5,2),RIGHT(D812,2))=Helper1!$P$1,Helper1!$P$1,""))</f>
        <v/>
      </c>
      <c r="F812" s="3" t="str">
        <f>IF(A812="","",'ATP Fills'!G812)</f>
        <v/>
      </c>
      <c r="G812" t="str">
        <f>IF(A812="","",'ATP Fills'!H812)</f>
        <v/>
      </c>
      <c r="H812" t="str">
        <f>IF(A812="","",VLOOKUP(G812,表3_3[],2,0))</f>
        <v/>
      </c>
      <c r="I812" t="str">
        <f>IF(A812="","",VLOOKUP(G812,表3_3[],3,0))</f>
        <v/>
      </c>
      <c r="J812" t="str">
        <f>IF(A812="","",IF('ATP Fills'!I812="3M","",VLOOKUP(RIGHT('ATP Fills'!I812,2),Helper1!$O$36:$P$48,2,0)))</f>
        <v/>
      </c>
      <c r="K812" t="str">
        <f>IF(J812="","",LEFT('ATP Fills'!I812,4))</f>
        <v/>
      </c>
      <c r="L812" t="str">
        <f>IF(A812="","",IF('ATP Fills'!G812="LME",'ATP Fills'!I812,""))</f>
        <v/>
      </c>
      <c r="M812" t="str">
        <f t="shared" si="12"/>
        <v/>
      </c>
    </row>
    <row r="813" spans="1:13">
      <c r="A813" t="str">
        <f>IF('ATP Fills'!A813="","",IF('ATP Fills'!Q813="PHILLIPSG",'ATP Fills'!F813,""))</f>
        <v/>
      </c>
      <c r="B813" t="str">
        <f>IF(A813="","",'ATP Fills'!L813)</f>
        <v/>
      </c>
      <c r="C813" t="str">
        <f>IF(A813="","",'ATP Fills'!M813)</f>
        <v/>
      </c>
      <c r="D813" t="str">
        <f>IF(A813="","",'ATP Fills'!B813)</f>
        <v/>
      </c>
      <c r="E813" s="3" t="str">
        <f>IF(A813="","",IF(DATE(LEFT(D813,4),MID(D813,5,2),RIGHT(D813,2))=Helper1!$P$1,Helper1!$P$1,""))</f>
        <v/>
      </c>
      <c r="F813" s="3" t="str">
        <f>IF(A813="","",'ATP Fills'!G813)</f>
        <v/>
      </c>
      <c r="G813" t="str">
        <f>IF(A813="","",'ATP Fills'!H813)</f>
        <v/>
      </c>
      <c r="H813" t="str">
        <f>IF(A813="","",VLOOKUP(G813,表3_3[],2,0))</f>
        <v/>
      </c>
      <c r="I813" t="str">
        <f>IF(A813="","",VLOOKUP(G813,表3_3[],3,0))</f>
        <v/>
      </c>
      <c r="J813" t="str">
        <f>IF(A813="","",IF('ATP Fills'!I813="3M","",VLOOKUP(RIGHT('ATP Fills'!I813,2),Helper1!$O$36:$P$48,2,0)))</f>
        <v/>
      </c>
      <c r="K813" t="str">
        <f>IF(J813="","",LEFT('ATP Fills'!I813,4))</f>
        <v/>
      </c>
      <c r="L813" t="str">
        <f>IF(A813="","",IF('ATP Fills'!G813="LME",'ATP Fills'!I813,""))</f>
        <v/>
      </c>
      <c r="M813" t="str">
        <f t="shared" si="12"/>
        <v/>
      </c>
    </row>
    <row r="814" spans="1:13">
      <c r="A814" t="str">
        <f>IF('ATP Fills'!A814="","",IF('ATP Fills'!Q814="PHILLIPSG",'ATP Fills'!F814,""))</f>
        <v/>
      </c>
      <c r="B814" t="str">
        <f>IF(A814="","",'ATP Fills'!L814)</f>
        <v/>
      </c>
      <c r="C814" t="str">
        <f>IF(A814="","",'ATP Fills'!M814)</f>
        <v/>
      </c>
      <c r="D814" t="str">
        <f>IF(A814="","",'ATP Fills'!B814)</f>
        <v/>
      </c>
      <c r="E814" s="3" t="str">
        <f>IF(A814="","",IF(DATE(LEFT(D814,4),MID(D814,5,2),RIGHT(D814,2))=Helper1!$P$1,Helper1!$P$1,""))</f>
        <v/>
      </c>
      <c r="F814" s="3" t="str">
        <f>IF(A814="","",'ATP Fills'!G814)</f>
        <v/>
      </c>
      <c r="G814" t="str">
        <f>IF(A814="","",'ATP Fills'!H814)</f>
        <v/>
      </c>
      <c r="H814" t="str">
        <f>IF(A814="","",VLOOKUP(G814,表3_3[],2,0))</f>
        <v/>
      </c>
      <c r="I814" t="str">
        <f>IF(A814="","",VLOOKUP(G814,表3_3[],3,0))</f>
        <v/>
      </c>
      <c r="J814" t="str">
        <f>IF(A814="","",IF('ATP Fills'!I814="3M","",VLOOKUP(RIGHT('ATP Fills'!I814,2),Helper1!$O$36:$P$48,2,0)))</f>
        <v/>
      </c>
      <c r="K814" t="str">
        <f>IF(J814="","",LEFT('ATP Fills'!I814,4))</f>
        <v/>
      </c>
      <c r="L814" t="str">
        <f>IF(A814="","",IF('ATP Fills'!G814="LME",'ATP Fills'!I814,""))</f>
        <v/>
      </c>
      <c r="M814" t="str">
        <f t="shared" si="12"/>
        <v/>
      </c>
    </row>
    <row r="815" spans="1:13">
      <c r="A815" t="str">
        <f>IF('ATP Fills'!A815="","",IF('ATP Fills'!Q815="PHILLIPSG",'ATP Fills'!F815,""))</f>
        <v/>
      </c>
      <c r="B815" t="str">
        <f>IF(A815="","",'ATP Fills'!L815)</f>
        <v/>
      </c>
      <c r="C815" t="str">
        <f>IF(A815="","",'ATP Fills'!M815)</f>
        <v/>
      </c>
      <c r="D815" t="str">
        <f>IF(A815="","",'ATP Fills'!B815)</f>
        <v/>
      </c>
      <c r="E815" s="3" t="str">
        <f>IF(A815="","",IF(DATE(LEFT(D815,4),MID(D815,5,2),RIGHT(D815,2))=Helper1!$P$1,Helper1!$P$1,""))</f>
        <v/>
      </c>
      <c r="F815" s="3" t="str">
        <f>IF(A815="","",'ATP Fills'!G815)</f>
        <v/>
      </c>
      <c r="G815" t="str">
        <f>IF(A815="","",'ATP Fills'!H815)</f>
        <v/>
      </c>
      <c r="H815" t="str">
        <f>IF(A815="","",VLOOKUP(G815,表3_3[],2,0))</f>
        <v/>
      </c>
      <c r="I815" t="str">
        <f>IF(A815="","",VLOOKUP(G815,表3_3[],3,0))</f>
        <v/>
      </c>
      <c r="J815" t="str">
        <f>IF(A815="","",IF('ATP Fills'!I815="3M","",VLOOKUP(RIGHT('ATP Fills'!I815,2),Helper1!$O$36:$P$48,2,0)))</f>
        <v/>
      </c>
      <c r="K815" t="str">
        <f>IF(J815="","",LEFT('ATP Fills'!I815,4))</f>
        <v/>
      </c>
      <c r="L815" t="str">
        <f>IF(A815="","",IF('ATP Fills'!G815="LME",'ATP Fills'!I815,""))</f>
        <v/>
      </c>
      <c r="M815" t="str">
        <f t="shared" si="12"/>
        <v/>
      </c>
    </row>
    <row r="816" spans="1:13">
      <c r="A816" t="str">
        <f>IF('ATP Fills'!A816="","",IF('ATP Fills'!Q816="PHILLIPSG",'ATP Fills'!F816,""))</f>
        <v/>
      </c>
      <c r="B816" t="str">
        <f>IF(A816="","",'ATP Fills'!L816)</f>
        <v/>
      </c>
      <c r="C816" t="str">
        <f>IF(A816="","",'ATP Fills'!M816)</f>
        <v/>
      </c>
      <c r="D816" t="str">
        <f>IF(A816="","",'ATP Fills'!B816)</f>
        <v/>
      </c>
      <c r="E816" s="3" t="str">
        <f>IF(A816="","",IF(DATE(LEFT(D816,4),MID(D816,5,2),RIGHT(D816,2))=Helper1!$P$1,Helper1!$P$1,""))</f>
        <v/>
      </c>
      <c r="F816" s="3" t="str">
        <f>IF(A816="","",'ATP Fills'!G816)</f>
        <v/>
      </c>
      <c r="G816" t="str">
        <f>IF(A816="","",'ATP Fills'!H816)</f>
        <v/>
      </c>
      <c r="H816" t="str">
        <f>IF(A816="","",VLOOKUP(G816,表3_3[],2,0))</f>
        <v/>
      </c>
      <c r="I816" t="str">
        <f>IF(A816="","",VLOOKUP(G816,表3_3[],3,0))</f>
        <v/>
      </c>
      <c r="J816" t="str">
        <f>IF(A816="","",IF('ATP Fills'!I816="3M","",VLOOKUP(RIGHT('ATP Fills'!I816,2),Helper1!$O$36:$P$48,2,0)))</f>
        <v/>
      </c>
      <c r="K816" t="str">
        <f>IF(J816="","",LEFT('ATP Fills'!I816,4))</f>
        <v/>
      </c>
      <c r="L816" t="str">
        <f>IF(A816="","",IF('ATP Fills'!G816="LME",'ATP Fills'!I816,""))</f>
        <v/>
      </c>
      <c r="M816" t="str">
        <f t="shared" si="12"/>
        <v/>
      </c>
    </row>
    <row r="817" spans="1:13">
      <c r="A817" t="str">
        <f>IF('ATP Fills'!A817="","",IF('ATP Fills'!Q817="PHILLIPSG",'ATP Fills'!F817,""))</f>
        <v/>
      </c>
      <c r="B817" t="str">
        <f>IF(A817="","",'ATP Fills'!L817)</f>
        <v/>
      </c>
      <c r="C817" t="str">
        <f>IF(A817="","",'ATP Fills'!M817)</f>
        <v/>
      </c>
      <c r="D817" t="str">
        <f>IF(A817="","",'ATP Fills'!B817)</f>
        <v/>
      </c>
      <c r="E817" s="3" t="str">
        <f>IF(A817="","",IF(DATE(LEFT(D817,4),MID(D817,5,2),RIGHT(D817,2))=Helper1!$P$1,Helper1!$P$1,""))</f>
        <v/>
      </c>
      <c r="F817" s="3" t="str">
        <f>IF(A817="","",'ATP Fills'!G817)</f>
        <v/>
      </c>
      <c r="G817" t="str">
        <f>IF(A817="","",'ATP Fills'!H817)</f>
        <v/>
      </c>
      <c r="H817" t="str">
        <f>IF(A817="","",VLOOKUP(G817,表3_3[],2,0))</f>
        <v/>
      </c>
      <c r="I817" t="str">
        <f>IF(A817="","",VLOOKUP(G817,表3_3[],3,0))</f>
        <v/>
      </c>
      <c r="J817" t="str">
        <f>IF(A817="","",IF('ATP Fills'!I817="3M","",VLOOKUP(RIGHT('ATP Fills'!I817,2),Helper1!$O$36:$P$48,2,0)))</f>
        <v/>
      </c>
      <c r="K817" t="str">
        <f>IF(J817="","",LEFT('ATP Fills'!I817,4))</f>
        <v/>
      </c>
      <c r="L817" t="str">
        <f>IF(A817="","",IF('ATP Fills'!G817="LME",'ATP Fills'!I817,""))</f>
        <v/>
      </c>
      <c r="M817" t="str">
        <f t="shared" si="12"/>
        <v/>
      </c>
    </row>
    <row r="818" spans="1:13">
      <c r="A818" t="str">
        <f>IF('ATP Fills'!A818="","",IF('ATP Fills'!Q818="PHILLIPSG",'ATP Fills'!F818,""))</f>
        <v/>
      </c>
      <c r="B818" t="str">
        <f>IF(A818="","",'ATP Fills'!L818)</f>
        <v/>
      </c>
      <c r="C818" t="str">
        <f>IF(A818="","",'ATP Fills'!M818)</f>
        <v/>
      </c>
      <c r="D818" t="str">
        <f>IF(A818="","",'ATP Fills'!B818)</f>
        <v/>
      </c>
      <c r="E818" s="3" t="str">
        <f>IF(A818="","",IF(DATE(LEFT(D818,4),MID(D818,5,2),RIGHT(D818,2))=Helper1!$P$1,Helper1!$P$1,""))</f>
        <v/>
      </c>
      <c r="F818" s="3" t="str">
        <f>IF(A818="","",'ATP Fills'!G818)</f>
        <v/>
      </c>
      <c r="G818" t="str">
        <f>IF(A818="","",'ATP Fills'!H818)</f>
        <v/>
      </c>
      <c r="H818" t="str">
        <f>IF(A818="","",VLOOKUP(G818,表3_3[],2,0))</f>
        <v/>
      </c>
      <c r="I818" t="str">
        <f>IF(A818="","",VLOOKUP(G818,表3_3[],3,0))</f>
        <v/>
      </c>
      <c r="J818" t="str">
        <f>IF(A818="","",IF('ATP Fills'!I818="3M","",VLOOKUP(RIGHT('ATP Fills'!I818,2),Helper1!$O$36:$P$48,2,0)))</f>
        <v/>
      </c>
      <c r="K818" t="str">
        <f>IF(J818="","",LEFT('ATP Fills'!I818,4))</f>
        <v/>
      </c>
      <c r="L818" t="str">
        <f>IF(A818="","",IF('ATP Fills'!G818="LME",'ATP Fills'!I818,""))</f>
        <v/>
      </c>
      <c r="M818" t="str">
        <f t="shared" si="12"/>
        <v/>
      </c>
    </row>
    <row r="819" spans="1:13">
      <c r="A819" t="str">
        <f>IF('ATP Fills'!A819="","",IF('ATP Fills'!Q819="PHILLIPSG",'ATP Fills'!F819,""))</f>
        <v/>
      </c>
      <c r="B819" t="str">
        <f>IF(A819="","",'ATP Fills'!L819)</f>
        <v/>
      </c>
      <c r="C819" t="str">
        <f>IF(A819="","",'ATP Fills'!M819)</f>
        <v/>
      </c>
      <c r="D819" t="str">
        <f>IF(A819="","",'ATP Fills'!B819)</f>
        <v/>
      </c>
      <c r="E819" s="3" t="str">
        <f>IF(A819="","",IF(DATE(LEFT(D819,4),MID(D819,5,2),RIGHT(D819,2))=Helper1!$P$1,Helper1!$P$1,""))</f>
        <v/>
      </c>
      <c r="F819" s="3" t="str">
        <f>IF(A819="","",'ATP Fills'!G819)</f>
        <v/>
      </c>
      <c r="G819" t="str">
        <f>IF(A819="","",'ATP Fills'!H819)</f>
        <v/>
      </c>
      <c r="H819" t="str">
        <f>IF(A819="","",VLOOKUP(G819,表3_3[],2,0))</f>
        <v/>
      </c>
      <c r="I819" t="str">
        <f>IF(A819="","",VLOOKUP(G819,表3_3[],3,0))</f>
        <v/>
      </c>
      <c r="J819" t="str">
        <f>IF(A819="","",IF('ATP Fills'!I819="3M","",VLOOKUP(RIGHT('ATP Fills'!I819,2),Helper1!$O$36:$P$48,2,0)))</f>
        <v/>
      </c>
      <c r="K819" t="str">
        <f>IF(J819="","",LEFT('ATP Fills'!I819,4))</f>
        <v/>
      </c>
      <c r="L819" t="str">
        <f>IF(A819="","",IF('ATP Fills'!G819="LME",'ATP Fills'!I819,""))</f>
        <v/>
      </c>
      <c r="M819" t="str">
        <f t="shared" si="12"/>
        <v/>
      </c>
    </row>
    <row r="820" spans="1:13">
      <c r="A820" t="str">
        <f>IF('ATP Fills'!A820="","",IF('ATP Fills'!Q820="PHILLIPSG",'ATP Fills'!F820,""))</f>
        <v/>
      </c>
      <c r="B820" t="str">
        <f>IF(A820="","",'ATP Fills'!L820)</f>
        <v/>
      </c>
      <c r="C820" t="str">
        <f>IF(A820="","",'ATP Fills'!M820)</f>
        <v/>
      </c>
      <c r="D820" t="str">
        <f>IF(A820="","",'ATP Fills'!B820)</f>
        <v/>
      </c>
      <c r="E820" s="3" t="str">
        <f>IF(A820="","",IF(DATE(LEFT(D820,4),MID(D820,5,2),RIGHT(D820,2))=Helper1!$P$1,Helper1!$P$1,""))</f>
        <v/>
      </c>
      <c r="F820" s="3" t="str">
        <f>IF(A820="","",'ATP Fills'!G820)</f>
        <v/>
      </c>
      <c r="G820" t="str">
        <f>IF(A820="","",'ATP Fills'!H820)</f>
        <v/>
      </c>
      <c r="H820" t="str">
        <f>IF(A820="","",VLOOKUP(G820,表3_3[],2,0))</f>
        <v/>
      </c>
      <c r="I820" t="str">
        <f>IF(A820="","",VLOOKUP(G820,表3_3[],3,0))</f>
        <v/>
      </c>
      <c r="J820" t="str">
        <f>IF(A820="","",IF('ATP Fills'!I820="3M","",VLOOKUP(RIGHT('ATP Fills'!I820,2),Helper1!$O$36:$P$48,2,0)))</f>
        <v/>
      </c>
      <c r="K820" t="str">
        <f>IF(J820="","",LEFT('ATP Fills'!I820,4))</f>
        <v/>
      </c>
      <c r="L820" t="str">
        <f>IF(A820="","",IF('ATP Fills'!G820="LME",'ATP Fills'!I820,""))</f>
        <v/>
      </c>
      <c r="M820" t="str">
        <f t="shared" si="12"/>
        <v/>
      </c>
    </row>
    <row r="821" spans="1:13">
      <c r="A821" t="str">
        <f>IF('ATP Fills'!A821="","",IF('ATP Fills'!Q821="PHILLIPSG",'ATP Fills'!F821,""))</f>
        <v/>
      </c>
      <c r="B821" t="str">
        <f>IF(A821="","",'ATP Fills'!L821)</f>
        <v/>
      </c>
      <c r="C821" t="str">
        <f>IF(A821="","",'ATP Fills'!M821)</f>
        <v/>
      </c>
      <c r="D821" t="str">
        <f>IF(A821="","",'ATP Fills'!B821)</f>
        <v/>
      </c>
      <c r="E821" s="3" t="str">
        <f>IF(A821="","",IF(DATE(LEFT(D821,4),MID(D821,5,2),RIGHT(D821,2))=Helper1!$P$1,Helper1!$P$1,""))</f>
        <v/>
      </c>
      <c r="F821" s="3" t="str">
        <f>IF(A821="","",'ATP Fills'!G821)</f>
        <v/>
      </c>
      <c r="G821" t="str">
        <f>IF(A821="","",'ATP Fills'!H821)</f>
        <v/>
      </c>
      <c r="H821" t="str">
        <f>IF(A821="","",VLOOKUP(G821,表3_3[],2,0))</f>
        <v/>
      </c>
      <c r="I821" t="str">
        <f>IF(A821="","",VLOOKUP(G821,表3_3[],3,0))</f>
        <v/>
      </c>
      <c r="J821" t="str">
        <f>IF(A821="","",IF('ATP Fills'!I821="3M","",VLOOKUP(RIGHT('ATP Fills'!I821,2),Helper1!$O$36:$P$48,2,0)))</f>
        <v/>
      </c>
      <c r="K821" t="str">
        <f>IF(J821="","",LEFT('ATP Fills'!I821,4))</f>
        <v/>
      </c>
      <c r="L821" t="str">
        <f>IF(A821="","",IF('ATP Fills'!G821="LME",'ATP Fills'!I821,""))</f>
        <v/>
      </c>
      <c r="M821" t="str">
        <f t="shared" si="12"/>
        <v/>
      </c>
    </row>
    <row r="822" spans="1:13">
      <c r="A822" t="str">
        <f>IF('ATP Fills'!A822="","",IF('ATP Fills'!Q822="PHILLIPSG",'ATP Fills'!F822,""))</f>
        <v/>
      </c>
      <c r="B822" t="str">
        <f>IF(A822="","",'ATP Fills'!L822)</f>
        <v/>
      </c>
      <c r="C822" t="str">
        <f>IF(A822="","",'ATP Fills'!M822)</f>
        <v/>
      </c>
      <c r="D822" t="str">
        <f>IF(A822="","",'ATP Fills'!B822)</f>
        <v/>
      </c>
      <c r="E822" s="3" t="str">
        <f>IF(A822="","",IF(DATE(LEFT(D822,4),MID(D822,5,2),RIGHT(D822,2))=Helper1!$P$1,Helper1!$P$1,""))</f>
        <v/>
      </c>
      <c r="F822" s="3" t="str">
        <f>IF(A822="","",'ATP Fills'!G822)</f>
        <v/>
      </c>
      <c r="G822" t="str">
        <f>IF(A822="","",'ATP Fills'!H822)</f>
        <v/>
      </c>
      <c r="H822" t="str">
        <f>IF(A822="","",VLOOKUP(G822,表3_3[],2,0))</f>
        <v/>
      </c>
      <c r="I822" t="str">
        <f>IF(A822="","",VLOOKUP(G822,表3_3[],3,0))</f>
        <v/>
      </c>
      <c r="J822" t="str">
        <f>IF(A822="","",IF('ATP Fills'!I822="3M","",VLOOKUP(RIGHT('ATP Fills'!I822,2),Helper1!$O$36:$P$48,2,0)))</f>
        <v/>
      </c>
      <c r="K822" t="str">
        <f>IF(J822="","",LEFT('ATP Fills'!I822,4))</f>
        <v/>
      </c>
      <c r="L822" t="str">
        <f>IF(A822="","",IF('ATP Fills'!G822="LME",'ATP Fills'!I822,""))</f>
        <v/>
      </c>
      <c r="M822" t="str">
        <f t="shared" si="12"/>
        <v/>
      </c>
    </row>
    <row r="823" spans="1:13">
      <c r="A823" t="str">
        <f>IF('ATP Fills'!A823="","",IF('ATP Fills'!Q823="PHILLIPSG",'ATP Fills'!F823,""))</f>
        <v/>
      </c>
      <c r="B823" t="str">
        <f>IF(A823="","",'ATP Fills'!L823)</f>
        <v/>
      </c>
      <c r="C823" t="str">
        <f>IF(A823="","",'ATP Fills'!M823)</f>
        <v/>
      </c>
      <c r="D823" t="str">
        <f>IF(A823="","",'ATP Fills'!B823)</f>
        <v/>
      </c>
      <c r="E823" s="3" t="str">
        <f>IF(A823="","",IF(DATE(LEFT(D823,4),MID(D823,5,2),RIGHT(D823,2))=Helper1!$P$1,Helper1!$P$1,""))</f>
        <v/>
      </c>
      <c r="F823" s="3" t="str">
        <f>IF(A823="","",'ATP Fills'!G823)</f>
        <v/>
      </c>
      <c r="G823" t="str">
        <f>IF(A823="","",'ATP Fills'!H823)</f>
        <v/>
      </c>
      <c r="H823" t="str">
        <f>IF(A823="","",VLOOKUP(G823,表3_3[],2,0))</f>
        <v/>
      </c>
      <c r="I823" t="str">
        <f>IF(A823="","",VLOOKUP(G823,表3_3[],3,0))</f>
        <v/>
      </c>
      <c r="J823" t="str">
        <f>IF(A823="","",IF('ATP Fills'!I823="3M","",VLOOKUP(RIGHT('ATP Fills'!I823,2),Helper1!$O$36:$P$48,2,0)))</f>
        <v/>
      </c>
      <c r="K823" t="str">
        <f>IF(J823="","",LEFT('ATP Fills'!I823,4))</f>
        <v/>
      </c>
      <c r="L823" t="str">
        <f>IF(A823="","",IF('ATP Fills'!G823="LME",'ATP Fills'!I823,""))</f>
        <v/>
      </c>
      <c r="M823" t="str">
        <f t="shared" si="12"/>
        <v/>
      </c>
    </row>
    <row r="824" spans="1:13">
      <c r="A824" t="str">
        <f>IF('ATP Fills'!A824="","",IF('ATP Fills'!Q824="PHILLIPSG",'ATP Fills'!F824,""))</f>
        <v/>
      </c>
      <c r="B824" t="str">
        <f>IF(A824="","",'ATP Fills'!L824)</f>
        <v/>
      </c>
      <c r="C824" t="str">
        <f>IF(A824="","",'ATP Fills'!M824)</f>
        <v/>
      </c>
      <c r="D824" t="str">
        <f>IF(A824="","",'ATP Fills'!B824)</f>
        <v/>
      </c>
      <c r="E824" s="3" t="str">
        <f>IF(A824="","",IF(DATE(LEFT(D824,4),MID(D824,5,2),RIGHT(D824,2))=Helper1!$P$1,Helper1!$P$1,""))</f>
        <v/>
      </c>
      <c r="F824" s="3" t="str">
        <f>IF(A824="","",'ATP Fills'!G824)</f>
        <v/>
      </c>
      <c r="G824" t="str">
        <f>IF(A824="","",'ATP Fills'!H824)</f>
        <v/>
      </c>
      <c r="H824" t="str">
        <f>IF(A824="","",VLOOKUP(G824,表3_3[],2,0))</f>
        <v/>
      </c>
      <c r="I824" t="str">
        <f>IF(A824="","",VLOOKUP(G824,表3_3[],3,0))</f>
        <v/>
      </c>
      <c r="J824" t="str">
        <f>IF(A824="","",IF('ATP Fills'!I824="3M","",VLOOKUP(RIGHT('ATP Fills'!I824,2),Helper1!$O$36:$P$48,2,0)))</f>
        <v/>
      </c>
      <c r="K824" t="str">
        <f>IF(J824="","",LEFT('ATP Fills'!I824,4))</f>
        <v/>
      </c>
      <c r="L824" t="str">
        <f>IF(A824="","",IF('ATP Fills'!G824="LME",'ATP Fills'!I824,""))</f>
        <v/>
      </c>
      <c r="M824" t="str">
        <f t="shared" si="12"/>
        <v/>
      </c>
    </row>
    <row r="825" spans="1:13">
      <c r="A825" t="str">
        <f>IF('ATP Fills'!A825="","",IF('ATP Fills'!Q825="PHILLIPSG",'ATP Fills'!F825,""))</f>
        <v/>
      </c>
      <c r="B825" t="str">
        <f>IF(A825="","",'ATP Fills'!L825)</f>
        <v/>
      </c>
      <c r="C825" t="str">
        <f>IF(A825="","",'ATP Fills'!M825)</f>
        <v/>
      </c>
      <c r="D825" t="str">
        <f>IF(A825="","",'ATP Fills'!B825)</f>
        <v/>
      </c>
      <c r="E825" s="3" t="str">
        <f>IF(A825="","",IF(DATE(LEFT(D825,4),MID(D825,5,2),RIGHT(D825,2))=Helper1!$P$1,Helper1!$P$1,""))</f>
        <v/>
      </c>
      <c r="F825" s="3" t="str">
        <f>IF(A825="","",'ATP Fills'!G825)</f>
        <v/>
      </c>
      <c r="G825" t="str">
        <f>IF(A825="","",'ATP Fills'!H825)</f>
        <v/>
      </c>
      <c r="H825" t="str">
        <f>IF(A825="","",VLOOKUP(G825,表3_3[],2,0))</f>
        <v/>
      </c>
      <c r="I825" t="str">
        <f>IF(A825="","",VLOOKUP(G825,表3_3[],3,0))</f>
        <v/>
      </c>
      <c r="J825" t="str">
        <f>IF(A825="","",IF('ATP Fills'!I825="3M","",VLOOKUP(RIGHT('ATP Fills'!I825,2),Helper1!$O$36:$P$48,2,0)))</f>
        <v/>
      </c>
      <c r="K825" t="str">
        <f>IF(J825="","",LEFT('ATP Fills'!I825,4))</f>
        <v/>
      </c>
      <c r="L825" t="str">
        <f>IF(A825="","",IF('ATP Fills'!G825="LME",'ATP Fills'!I825,""))</f>
        <v/>
      </c>
      <c r="M825" t="str">
        <f t="shared" si="12"/>
        <v/>
      </c>
    </row>
    <row r="826" spans="1:13">
      <c r="A826" t="str">
        <f>IF('ATP Fills'!A826="","",IF('ATP Fills'!Q826="PHILLIPSG",'ATP Fills'!F826,""))</f>
        <v/>
      </c>
      <c r="B826" t="str">
        <f>IF(A826="","",'ATP Fills'!L826)</f>
        <v/>
      </c>
      <c r="C826" t="str">
        <f>IF(A826="","",'ATP Fills'!M826)</f>
        <v/>
      </c>
      <c r="D826" t="str">
        <f>IF(A826="","",'ATP Fills'!B826)</f>
        <v/>
      </c>
      <c r="E826" s="3" t="str">
        <f>IF(A826="","",IF(DATE(LEFT(D826,4),MID(D826,5,2),RIGHT(D826,2))=Helper1!$P$1,Helper1!$P$1,""))</f>
        <v/>
      </c>
      <c r="F826" s="3" t="str">
        <f>IF(A826="","",'ATP Fills'!G826)</f>
        <v/>
      </c>
      <c r="G826" t="str">
        <f>IF(A826="","",'ATP Fills'!H826)</f>
        <v/>
      </c>
      <c r="H826" t="str">
        <f>IF(A826="","",VLOOKUP(G826,表3_3[],2,0))</f>
        <v/>
      </c>
      <c r="I826" t="str">
        <f>IF(A826="","",VLOOKUP(G826,表3_3[],3,0))</f>
        <v/>
      </c>
      <c r="J826" t="str">
        <f>IF(A826="","",IF('ATP Fills'!I826="3M","",VLOOKUP(RIGHT('ATP Fills'!I826,2),Helper1!$O$36:$P$48,2,0)))</f>
        <v/>
      </c>
      <c r="K826" t="str">
        <f>IF(J826="","",LEFT('ATP Fills'!I826,4))</f>
        <v/>
      </c>
      <c r="L826" t="str">
        <f>IF(A826="","",IF('ATP Fills'!G826="LME",'ATP Fills'!I826,""))</f>
        <v/>
      </c>
      <c r="M826" t="str">
        <f t="shared" si="12"/>
        <v/>
      </c>
    </row>
    <row r="827" spans="1:13">
      <c r="A827" t="str">
        <f>IF('ATP Fills'!A827="","",IF('ATP Fills'!Q827="PHILLIPSG",'ATP Fills'!F827,""))</f>
        <v/>
      </c>
      <c r="B827" t="str">
        <f>IF(A827="","",'ATP Fills'!L827)</f>
        <v/>
      </c>
      <c r="C827" t="str">
        <f>IF(A827="","",'ATP Fills'!M827)</f>
        <v/>
      </c>
      <c r="D827" t="str">
        <f>IF(A827="","",'ATP Fills'!B827)</f>
        <v/>
      </c>
      <c r="E827" s="3" t="str">
        <f>IF(A827="","",IF(DATE(LEFT(D827,4),MID(D827,5,2),RIGHT(D827,2))=Helper1!$P$1,Helper1!$P$1,""))</f>
        <v/>
      </c>
      <c r="F827" s="3" t="str">
        <f>IF(A827="","",'ATP Fills'!G827)</f>
        <v/>
      </c>
      <c r="G827" t="str">
        <f>IF(A827="","",'ATP Fills'!H827)</f>
        <v/>
      </c>
      <c r="H827" t="str">
        <f>IF(A827="","",VLOOKUP(G827,表3_3[],2,0))</f>
        <v/>
      </c>
      <c r="I827" t="str">
        <f>IF(A827="","",VLOOKUP(G827,表3_3[],3,0))</f>
        <v/>
      </c>
      <c r="J827" t="str">
        <f>IF(A827="","",IF('ATP Fills'!I827="3M","",VLOOKUP(RIGHT('ATP Fills'!I827,2),Helper1!$O$36:$P$48,2,0)))</f>
        <v/>
      </c>
      <c r="K827" t="str">
        <f>IF(J827="","",LEFT('ATP Fills'!I827,4))</f>
        <v/>
      </c>
      <c r="L827" t="str">
        <f>IF(A827="","",IF('ATP Fills'!G827="LME",'ATP Fills'!I827,""))</f>
        <v/>
      </c>
      <c r="M827" t="str">
        <f t="shared" si="12"/>
        <v/>
      </c>
    </row>
    <row r="828" spans="1:13">
      <c r="A828" t="str">
        <f>IF('ATP Fills'!A828="","",IF('ATP Fills'!Q828="PHILLIPSG",'ATP Fills'!F828,""))</f>
        <v/>
      </c>
      <c r="B828" t="str">
        <f>IF(A828="","",'ATP Fills'!L828)</f>
        <v/>
      </c>
      <c r="C828" t="str">
        <f>IF(A828="","",'ATP Fills'!M828)</f>
        <v/>
      </c>
      <c r="D828" t="str">
        <f>IF(A828="","",'ATP Fills'!B828)</f>
        <v/>
      </c>
      <c r="E828" s="3" t="str">
        <f>IF(A828="","",IF(DATE(LEFT(D828,4),MID(D828,5,2),RIGHT(D828,2))=Helper1!$P$1,Helper1!$P$1,""))</f>
        <v/>
      </c>
      <c r="F828" s="3" t="str">
        <f>IF(A828="","",'ATP Fills'!G828)</f>
        <v/>
      </c>
      <c r="G828" t="str">
        <f>IF(A828="","",'ATP Fills'!H828)</f>
        <v/>
      </c>
      <c r="H828" t="str">
        <f>IF(A828="","",VLOOKUP(G828,表3_3[],2,0))</f>
        <v/>
      </c>
      <c r="I828" t="str">
        <f>IF(A828="","",VLOOKUP(G828,表3_3[],3,0))</f>
        <v/>
      </c>
      <c r="J828" t="str">
        <f>IF(A828="","",IF('ATP Fills'!I828="3M","",VLOOKUP(RIGHT('ATP Fills'!I828,2),Helper1!$O$36:$P$48,2,0)))</f>
        <v/>
      </c>
      <c r="K828" t="str">
        <f>IF(J828="","",LEFT('ATP Fills'!I828,4))</f>
        <v/>
      </c>
      <c r="L828" t="str">
        <f>IF(A828="","",IF('ATP Fills'!G828="LME",'ATP Fills'!I828,""))</f>
        <v/>
      </c>
      <c r="M828" t="str">
        <f t="shared" si="12"/>
        <v/>
      </c>
    </row>
    <row r="829" spans="1:13">
      <c r="A829" t="str">
        <f>IF('ATP Fills'!A829="","",IF('ATP Fills'!Q829="PHILLIPSG",'ATP Fills'!F829,""))</f>
        <v/>
      </c>
      <c r="B829" t="str">
        <f>IF(A829="","",'ATP Fills'!L829)</f>
        <v/>
      </c>
      <c r="C829" t="str">
        <f>IF(A829="","",'ATP Fills'!M829)</f>
        <v/>
      </c>
      <c r="D829" t="str">
        <f>IF(A829="","",'ATP Fills'!B829)</f>
        <v/>
      </c>
      <c r="E829" s="3" t="str">
        <f>IF(A829="","",IF(DATE(LEFT(D829,4),MID(D829,5,2),RIGHT(D829,2))=Helper1!$P$1,Helper1!$P$1,""))</f>
        <v/>
      </c>
      <c r="F829" s="3" t="str">
        <f>IF(A829="","",'ATP Fills'!G829)</f>
        <v/>
      </c>
      <c r="G829" t="str">
        <f>IF(A829="","",'ATP Fills'!H829)</f>
        <v/>
      </c>
      <c r="H829" t="str">
        <f>IF(A829="","",VLOOKUP(G829,表3_3[],2,0))</f>
        <v/>
      </c>
      <c r="I829" t="str">
        <f>IF(A829="","",VLOOKUP(G829,表3_3[],3,0))</f>
        <v/>
      </c>
      <c r="J829" t="str">
        <f>IF(A829="","",IF('ATP Fills'!I829="3M","",VLOOKUP(RIGHT('ATP Fills'!I829,2),Helper1!$O$36:$P$48,2,0)))</f>
        <v/>
      </c>
      <c r="K829" t="str">
        <f>IF(J829="","",LEFT('ATP Fills'!I829,4))</f>
        <v/>
      </c>
      <c r="L829" t="str">
        <f>IF(A829="","",IF('ATP Fills'!G829="LME",'ATP Fills'!I829,""))</f>
        <v/>
      </c>
      <c r="M829" t="str">
        <f t="shared" si="12"/>
        <v/>
      </c>
    </row>
    <row r="830" spans="1:13">
      <c r="A830" t="str">
        <f>IF('ATP Fills'!A830="","",IF('ATP Fills'!Q830="PHILLIPSG",'ATP Fills'!F830,""))</f>
        <v/>
      </c>
      <c r="B830" t="str">
        <f>IF(A830="","",'ATP Fills'!L830)</f>
        <v/>
      </c>
      <c r="C830" t="str">
        <f>IF(A830="","",'ATP Fills'!M830)</f>
        <v/>
      </c>
      <c r="D830" t="str">
        <f>IF(A830="","",'ATP Fills'!B830)</f>
        <v/>
      </c>
      <c r="E830" s="3" t="str">
        <f>IF(A830="","",IF(DATE(LEFT(D830,4),MID(D830,5,2),RIGHT(D830,2))=Helper1!$P$1,Helper1!$P$1,""))</f>
        <v/>
      </c>
      <c r="F830" s="3" t="str">
        <f>IF(A830="","",'ATP Fills'!G830)</f>
        <v/>
      </c>
      <c r="G830" t="str">
        <f>IF(A830="","",'ATP Fills'!H830)</f>
        <v/>
      </c>
      <c r="H830" t="str">
        <f>IF(A830="","",VLOOKUP(G830,表3_3[],2,0))</f>
        <v/>
      </c>
      <c r="I830" t="str">
        <f>IF(A830="","",VLOOKUP(G830,表3_3[],3,0))</f>
        <v/>
      </c>
      <c r="J830" t="str">
        <f>IF(A830="","",IF('ATP Fills'!I830="3M","",VLOOKUP(RIGHT('ATP Fills'!I830,2),Helper1!$O$36:$P$48,2,0)))</f>
        <v/>
      </c>
      <c r="K830" t="str">
        <f>IF(J830="","",LEFT('ATP Fills'!I830,4))</f>
        <v/>
      </c>
      <c r="L830" t="str">
        <f>IF(A830="","",IF('ATP Fills'!G830="LME",'ATP Fills'!I830,""))</f>
        <v/>
      </c>
      <c r="M830" t="str">
        <f t="shared" si="12"/>
        <v/>
      </c>
    </row>
    <row r="831" spans="1:13">
      <c r="A831" t="str">
        <f>IF('ATP Fills'!A831="","",IF('ATP Fills'!Q831="PHILLIPSG",'ATP Fills'!F831,""))</f>
        <v/>
      </c>
      <c r="B831" t="str">
        <f>IF(A831="","",'ATP Fills'!L831)</f>
        <v/>
      </c>
      <c r="C831" t="str">
        <f>IF(A831="","",'ATP Fills'!M831)</f>
        <v/>
      </c>
      <c r="D831" t="str">
        <f>IF(A831="","",'ATP Fills'!B831)</f>
        <v/>
      </c>
      <c r="E831" s="3" t="str">
        <f>IF(A831="","",IF(DATE(LEFT(D831,4),MID(D831,5,2),RIGHT(D831,2))=Helper1!$P$1,Helper1!$P$1,""))</f>
        <v/>
      </c>
      <c r="F831" s="3" t="str">
        <f>IF(A831="","",'ATP Fills'!G831)</f>
        <v/>
      </c>
      <c r="G831" t="str">
        <f>IF(A831="","",'ATP Fills'!H831)</f>
        <v/>
      </c>
      <c r="H831" t="str">
        <f>IF(A831="","",VLOOKUP(G831,表3_3[],2,0))</f>
        <v/>
      </c>
      <c r="I831" t="str">
        <f>IF(A831="","",VLOOKUP(G831,表3_3[],3,0))</f>
        <v/>
      </c>
      <c r="J831" t="str">
        <f>IF(A831="","",IF('ATP Fills'!I831="3M","",VLOOKUP(RIGHT('ATP Fills'!I831,2),Helper1!$O$36:$P$48,2,0)))</f>
        <v/>
      </c>
      <c r="K831" t="str">
        <f>IF(J831="","",LEFT('ATP Fills'!I831,4))</f>
        <v/>
      </c>
      <c r="L831" t="str">
        <f>IF(A831="","",IF('ATP Fills'!G831="LME",'ATP Fills'!I831,""))</f>
        <v/>
      </c>
      <c r="M831" t="str">
        <f t="shared" si="12"/>
        <v/>
      </c>
    </row>
    <row r="832" spans="1:13">
      <c r="A832" t="str">
        <f>IF('ATP Fills'!A832="","",IF('ATP Fills'!Q832="PHILLIPSG",'ATP Fills'!F832,""))</f>
        <v/>
      </c>
      <c r="B832" t="str">
        <f>IF(A832="","",'ATP Fills'!L832)</f>
        <v/>
      </c>
      <c r="C832" t="str">
        <f>IF(A832="","",'ATP Fills'!M832)</f>
        <v/>
      </c>
      <c r="D832" t="str">
        <f>IF(A832="","",'ATP Fills'!B832)</f>
        <v/>
      </c>
      <c r="E832" s="3" t="str">
        <f>IF(A832="","",IF(DATE(LEFT(D832,4),MID(D832,5,2),RIGHT(D832,2))=Helper1!$P$1,Helper1!$P$1,""))</f>
        <v/>
      </c>
      <c r="F832" s="3" t="str">
        <f>IF(A832="","",'ATP Fills'!G832)</f>
        <v/>
      </c>
      <c r="G832" t="str">
        <f>IF(A832="","",'ATP Fills'!H832)</f>
        <v/>
      </c>
      <c r="H832" t="str">
        <f>IF(A832="","",VLOOKUP(G832,表3_3[],2,0))</f>
        <v/>
      </c>
      <c r="I832" t="str">
        <f>IF(A832="","",VLOOKUP(G832,表3_3[],3,0))</f>
        <v/>
      </c>
      <c r="J832" t="str">
        <f>IF(A832="","",IF('ATP Fills'!I832="3M","",VLOOKUP(RIGHT('ATP Fills'!I832,2),Helper1!$O$36:$P$48,2,0)))</f>
        <v/>
      </c>
      <c r="K832" t="str">
        <f>IF(J832="","",LEFT('ATP Fills'!I832,4))</f>
        <v/>
      </c>
      <c r="L832" t="str">
        <f>IF(A832="","",IF('ATP Fills'!G832="LME",'ATP Fills'!I832,""))</f>
        <v/>
      </c>
      <c r="M832" t="str">
        <f t="shared" si="12"/>
        <v/>
      </c>
    </row>
    <row r="833" spans="1:13">
      <c r="A833" t="str">
        <f>IF('ATP Fills'!A833="","",IF('ATP Fills'!Q833="PHILLIPSG",'ATP Fills'!F833,""))</f>
        <v/>
      </c>
      <c r="B833" t="str">
        <f>IF(A833="","",'ATP Fills'!L833)</f>
        <v/>
      </c>
      <c r="C833" t="str">
        <f>IF(A833="","",'ATP Fills'!M833)</f>
        <v/>
      </c>
      <c r="D833" t="str">
        <f>IF(A833="","",'ATP Fills'!B833)</f>
        <v/>
      </c>
      <c r="E833" s="3" t="str">
        <f>IF(A833="","",IF(DATE(LEFT(D833,4),MID(D833,5,2),RIGHT(D833,2))=Helper1!$P$1,Helper1!$P$1,""))</f>
        <v/>
      </c>
      <c r="F833" s="3" t="str">
        <f>IF(A833="","",'ATP Fills'!G833)</f>
        <v/>
      </c>
      <c r="G833" t="str">
        <f>IF(A833="","",'ATP Fills'!H833)</f>
        <v/>
      </c>
      <c r="H833" t="str">
        <f>IF(A833="","",VLOOKUP(G833,表3_3[],2,0))</f>
        <v/>
      </c>
      <c r="I833" t="str">
        <f>IF(A833="","",VLOOKUP(G833,表3_3[],3,0))</f>
        <v/>
      </c>
      <c r="J833" t="str">
        <f>IF(A833="","",IF('ATP Fills'!I833="3M","",VLOOKUP(RIGHT('ATP Fills'!I833,2),Helper1!$O$36:$P$48,2,0)))</f>
        <v/>
      </c>
      <c r="K833" t="str">
        <f>IF(J833="","",LEFT('ATP Fills'!I833,4))</f>
        <v/>
      </c>
      <c r="L833" t="str">
        <f>IF(A833="","",IF('ATP Fills'!G833="LME",'ATP Fills'!I833,""))</f>
        <v/>
      </c>
      <c r="M833" t="str">
        <f t="shared" si="12"/>
        <v/>
      </c>
    </row>
    <row r="834" spans="1:13">
      <c r="A834" t="str">
        <f>IF('ATP Fills'!A834="","",IF('ATP Fills'!Q834="PHILLIPSG",'ATP Fills'!F834,""))</f>
        <v/>
      </c>
      <c r="B834" t="str">
        <f>IF(A834="","",'ATP Fills'!L834)</f>
        <v/>
      </c>
      <c r="C834" t="str">
        <f>IF(A834="","",'ATP Fills'!M834)</f>
        <v/>
      </c>
      <c r="D834" t="str">
        <f>IF(A834="","",'ATP Fills'!B834)</f>
        <v/>
      </c>
      <c r="E834" s="3" t="str">
        <f>IF(A834="","",IF(DATE(LEFT(D834,4),MID(D834,5,2),RIGHT(D834,2))=Helper1!$P$1,Helper1!$P$1,""))</f>
        <v/>
      </c>
      <c r="F834" s="3" t="str">
        <f>IF(A834="","",'ATP Fills'!G834)</f>
        <v/>
      </c>
      <c r="G834" t="str">
        <f>IF(A834="","",'ATP Fills'!H834)</f>
        <v/>
      </c>
      <c r="H834" t="str">
        <f>IF(A834="","",VLOOKUP(G834,表3_3[],2,0))</f>
        <v/>
      </c>
      <c r="I834" t="str">
        <f>IF(A834="","",VLOOKUP(G834,表3_3[],3,0))</f>
        <v/>
      </c>
      <c r="J834" t="str">
        <f>IF(A834="","",IF('ATP Fills'!I834="3M","",VLOOKUP(RIGHT('ATP Fills'!I834,2),Helper1!$O$36:$P$48,2,0)))</f>
        <v/>
      </c>
      <c r="K834" t="str">
        <f>IF(J834="","",LEFT('ATP Fills'!I834,4))</f>
        <v/>
      </c>
      <c r="L834" t="str">
        <f>IF(A834="","",IF('ATP Fills'!G834="LME",'ATP Fills'!I834,""))</f>
        <v/>
      </c>
      <c r="M834" t="str">
        <f t="shared" si="12"/>
        <v/>
      </c>
    </row>
    <row r="835" spans="1:13">
      <c r="A835" t="str">
        <f>IF('ATP Fills'!A835="","",IF('ATP Fills'!Q835="PHILLIPSG",'ATP Fills'!F835,""))</f>
        <v/>
      </c>
      <c r="B835" t="str">
        <f>IF(A835="","",'ATP Fills'!L835)</f>
        <v/>
      </c>
      <c r="C835" t="str">
        <f>IF(A835="","",'ATP Fills'!M835)</f>
        <v/>
      </c>
      <c r="D835" t="str">
        <f>IF(A835="","",'ATP Fills'!B835)</f>
        <v/>
      </c>
      <c r="E835" s="3" t="str">
        <f>IF(A835="","",IF(DATE(LEFT(D835,4),MID(D835,5,2),RIGHT(D835,2))=Helper1!$P$1,Helper1!$P$1,""))</f>
        <v/>
      </c>
      <c r="F835" s="3" t="str">
        <f>IF(A835="","",'ATP Fills'!G835)</f>
        <v/>
      </c>
      <c r="G835" t="str">
        <f>IF(A835="","",'ATP Fills'!H835)</f>
        <v/>
      </c>
      <c r="H835" t="str">
        <f>IF(A835="","",VLOOKUP(G835,表3_3[],2,0))</f>
        <v/>
      </c>
      <c r="I835" t="str">
        <f>IF(A835="","",VLOOKUP(G835,表3_3[],3,0))</f>
        <v/>
      </c>
      <c r="J835" t="str">
        <f>IF(A835="","",IF('ATP Fills'!I835="3M","",VLOOKUP(RIGHT('ATP Fills'!I835,2),Helper1!$O$36:$P$48,2,0)))</f>
        <v/>
      </c>
      <c r="K835" t="str">
        <f>IF(J835="","",LEFT('ATP Fills'!I835,4))</f>
        <v/>
      </c>
      <c r="L835" t="str">
        <f>IF(A835="","",IF('ATP Fills'!G835="LME",'ATP Fills'!I835,""))</f>
        <v/>
      </c>
      <c r="M835" t="str">
        <f t="shared" ref="M835:M898" si="13">IF(A835="","",IF(F835="LME",F835&amp;"-"&amp;I835&amp;"-"&amp;L835,J835&amp;"-"&amp;K835&amp;"-"&amp;I835))</f>
        <v/>
      </c>
    </row>
    <row r="836" spans="1:13">
      <c r="A836" t="str">
        <f>IF('ATP Fills'!A836="","",IF('ATP Fills'!Q836="PHILLIPSG",'ATP Fills'!F836,""))</f>
        <v/>
      </c>
      <c r="B836" t="str">
        <f>IF(A836="","",'ATP Fills'!L836)</f>
        <v/>
      </c>
      <c r="C836" t="str">
        <f>IF(A836="","",'ATP Fills'!M836)</f>
        <v/>
      </c>
      <c r="D836" t="str">
        <f>IF(A836="","",'ATP Fills'!B836)</f>
        <v/>
      </c>
      <c r="E836" s="3" t="str">
        <f>IF(A836="","",IF(DATE(LEFT(D836,4),MID(D836,5,2),RIGHT(D836,2))=Helper1!$P$1,Helper1!$P$1,""))</f>
        <v/>
      </c>
      <c r="F836" s="3" t="str">
        <f>IF(A836="","",'ATP Fills'!G836)</f>
        <v/>
      </c>
      <c r="G836" t="str">
        <f>IF(A836="","",'ATP Fills'!H836)</f>
        <v/>
      </c>
      <c r="H836" t="str">
        <f>IF(A836="","",VLOOKUP(G836,表3_3[],2,0))</f>
        <v/>
      </c>
      <c r="I836" t="str">
        <f>IF(A836="","",VLOOKUP(G836,表3_3[],3,0))</f>
        <v/>
      </c>
      <c r="J836" t="str">
        <f>IF(A836="","",IF('ATP Fills'!I836="3M","",VLOOKUP(RIGHT('ATP Fills'!I836,2),Helper1!$O$36:$P$48,2,0)))</f>
        <v/>
      </c>
      <c r="K836" t="str">
        <f>IF(J836="","",LEFT('ATP Fills'!I836,4))</f>
        <v/>
      </c>
      <c r="L836" t="str">
        <f>IF(A836="","",IF('ATP Fills'!G836="LME",'ATP Fills'!I836,""))</f>
        <v/>
      </c>
      <c r="M836" t="str">
        <f t="shared" si="13"/>
        <v/>
      </c>
    </row>
    <row r="837" spans="1:13">
      <c r="A837" t="str">
        <f>IF('ATP Fills'!A837="","",IF('ATP Fills'!Q837="PHILLIPSG",'ATP Fills'!F837,""))</f>
        <v/>
      </c>
      <c r="B837" t="str">
        <f>IF(A837="","",'ATP Fills'!L837)</f>
        <v/>
      </c>
      <c r="C837" t="str">
        <f>IF(A837="","",'ATP Fills'!M837)</f>
        <v/>
      </c>
      <c r="D837" t="str">
        <f>IF(A837="","",'ATP Fills'!B837)</f>
        <v/>
      </c>
      <c r="E837" s="3" t="str">
        <f>IF(A837="","",IF(DATE(LEFT(D837,4),MID(D837,5,2),RIGHT(D837,2))=Helper1!$P$1,Helper1!$P$1,""))</f>
        <v/>
      </c>
      <c r="F837" s="3" t="str">
        <f>IF(A837="","",'ATP Fills'!G837)</f>
        <v/>
      </c>
      <c r="G837" t="str">
        <f>IF(A837="","",'ATP Fills'!H837)</f>
        <v/>
      </c>
      <c r="H837" t="str">
        <f>IF(A837="","",VLOOKUP(G837,表3_3[],2,0))</f>
        <v/>
      </c>
      <c r="I837" t="str">
        <f>IF(A837="","",VLOOKUP(G837,表3_3[],3,0))</f>
        <v/>
      </c>
      <c r="J837" t="str">
        <f>IF(A837="","",IF('ATP Fills'!I837="3M","",VLOOKUP(RIGHT('ATP Fills'!I837,2),Helper1!$O$36:$P$48,2,0)))</f>
        <v/>
      </c>
      <c r="K837" t="str">
        <f>IF(J837="","",LEFT('ATP Fills'!I837,4))</f>
        <v/>
      </c>
      <c r="L837" t="str">
        <f>IF(A837="","",IF('ATP Fills'!G837="LME",'ATP Fills'!I837,""))</f>
        <v/>
      </c>
      <c r="M837" t="str">
        <f t="shared" si="13"/>
        <v/>
      </c>
    </row>
    <row r="838" spans="1:13">
      <c r="A838" t="str">
        <f>IF('ATP Fills'!A838="","",IF('ATP Fills'!Q838="PHILLIPSG",'ATP Fills'!F838,""))</f>
        <v/>
      </c>
      <c r="B838" t="str">
        <f>IF(A838="","",'ATP Fills'!L838)</f>
        <v/>
      </c>
      <c r="C838" t="str">
        <f>IF(A838="","",'ATP Fills'!M838)</f>
        <v/>
      </c>
      <c r="D838" t="str">
        <f>IF(A838="","",'ATP Fills'!B838)</f>
        <v/>
      </c>
      <c r="E838" s="3" t="str">
        <f>IF(A838="","",IF(DATE(LEFT(D838,4),MID(D838,5,2),RIGHT(D838,2))=Helper1!$P$1,Helper1!$P$1,""))</f>
        <v/>
      </c>
      <c r="F838" s="3" t="str">
        <f>IF(A838="","",'ATP Fills'!G838)</f>
        <v/>
      </c>
      <c r="G838" t="str">
        <f>IF(A838="","",'ATP Fills'!H838)</f>
        <v/>
      </c>
      <c r="H838" t="str">
        <f>IF(A838="","",VLOOKUP(G838,表3_3[],2,0))</f>
        <v/>
      </c>
      <c r="I838" t="str">
        <f>IF(A838="","",VLOOKUP(G838,表3_3[],3,0))</f>
        <v/>
      </c>
      <c r="J838" t="str">
        <f>IF(A838="","",IF('ATP Fills'!I838="3M","",VLOOKUP(RIGHT('ATP Fills'!I838,2),Helper1!$O$36:$P$48,2,0)))</f>
        <v/>
      </c>
      <c r="K838" t="str">
        <f>IF(J838="","",LEFT('ATP Fills'!I838,4))</f>
        <v/>
      </c>
      <c r="L838" t="str">
        <f>IF(A838="","",IF('ATP Fills'!G838="LME",'ATP Fills'!I838,""))</f>
        <v/>
      </c>
      <c r="M838" t="str">
        <f t="shared" si="13"/>
        <v/>
      </c>
    </row>
    <row r="839" spans="1:13">
      <c r="A839" t="str">
        <f>IF('ATP Fills'!A839="","",IF('ATP Fills'!Q839="PHILLIPSG",'ATP Fills'!F839,""))</f>
        <v/>
      </c>
      <c r="B839" t="str">
        <f>IF(A839="","",'ATP Fills'!L839)</f>
        <v/>
      </c>
      <c r="C839" t="str">
        <f>IF(A839="","",'ATP Fills'!M839)</f>
        <v/>
      </c>
      <c r="D839" t="str">
        <f>IF(A839="","",'ATP Fills'!B839)</f>
        <v/>
      </c>
      <c r="E839" s="3" t="str">
        <f>IF(A839="","",IF(DATE(LEFT(D839,4),MID(D839,5,2),RIGHT(D839,2))=Helper1!$P$1,Helper1!$P$1,""))</f>
        <v/>
      </c>
      <c r="F839" s="3" t="str">
        <f>IF(A839="","",'ATP Fills'!G839)</f>
        <v/>
      </c>
      <c r="G839" t="str">
        <f>IF(A839="","",'ATP Fills'!H839)</f>
        <v/>
      </c>
      <c r="H839" t="str">
        <f>IF(A839="","",VLOOKUP(G839,表3_3[],2,0))</f>
        <v/>
      </c>
      <c r="I839" t="str">
        <f>IF(A839="","",VLOOKUP(G839,表3_3[],3,0))</f>
        <v/>
      </c>
      <c r="J839" t="str">
        <f>IF(A839="","",IF('ATP Fills'!I839="3M","",VLOOKUP(RIGHT('ATP Fills'!I839,2),Helper1!$O$36:$P$48,2,0)))</f>
        <v/>
      </c>
      <c r="K839" t="str">
        <f>IF(J839="","",LEFT('ATP Fills'!I839,4))</f>
        <v/>
      </c>
      <c r="L839" t="str">
        <f>IF(A839="","",IF('ATP Fills'!G839="LME",'ATP Fills'!I839,""))</f>
        <v/>
      </c>
      <c r="M839" t="str">
        <f t="shared" si="13"/>
        <v/>
      </c>
    </row>
    <row r="840" spans="1:13">
      <c r="A840" t="str">
        <f>IF('ATP Fills'!A840="","",IF('ATP Fills'!Q840="PHILLIPSG",'ATP Fills'!F840,""))</f>
        <v/>
      </c>
      <c r="B840" t="str">
        <f>IF(A840="","",'ATP Fills'!L840)</f>
        <v/>
      </c>
      <c r="C840" t="str">
        <f>IF(A840="","",'ATP Fills'!M840)</f>
        <v/>
      </c>
      <c r="D840" t="str">
        <f>IF(A840="","",'ATP Fills'!B840)</f>
        <v/>
      </c>
      <c r="E840" s="3" t="str">
        <f>IF(A840="","",IF(DATE(LEFT(D840,4),MID(D840,5,2),RIGHT(D840,2))=Helper1!$P$1,Helper1!$P$1,""))</f>
        <v/>
      </c>
      <c r="F840" s="3" t="str">
        <f>IF(A840="","",'ATP Fills'!G840)</f>
        <v/>
      </c>
      <c r="G840" t="str">
        <f>IF(A840="","",'ATP Fills'!H840)</f>
        <v/>
      </c>
      <c r="H840" t="str">
        <f>IF(A840="","",VLOOKUP(G840,表3_3[],2,0))</f>
        <v/>
      </c>
      <c r="I840" t="str">
        <f>IF(A840="","",VLOOKUP(G840,表3_3[],3,0))</f>
        <v/>
      </c>
      <c r="J840" t="str">
        <f>IF(A840="","",IF('ATP Fills'!I840="3M","",VLOOKUP(RIGHT('ATP Fills'!I840,2),Helper1!$O$36:$P$48,2,0)))</f>
        <v/>
      </c>
      <c r="K840" t="str">
        <f>IF(J840="","",LEFT('ATP Fills'!I840,4))</f>
        <v/>
      </c>
      <c r="L840" t="str">
        <f>IF(A840="","",IF('ATP Fills'!G840="LME",'ATP Fills'!I840,""))</f>
        <v/>
      </c>
      <c r="M840" t="str">
        <f t="shared" si="13"/>
        <v/>
      </c>
    </row>
    <row r="841" spans="1:13">
      <c r="A841" t="str">
        <f>IF('ATP Fills'!A841="","",IF('ATP Fills'!Q841="PHILLIPSG",'ATP Fills'!F841,""))</f>
        <v/>
      </c>
      <c r="B841" t="str">
        <f>IF(A841="","",'ATP Fills'!L841)</f>
        <v/>
      </c>
      <c r="C841" t="str">
        <f>IF(A841="","",'ATP Fills'!M841)</f>
        <v/>
      </c>
      <c r="D841" t="str">
        <f>IF(A841="","",'ATP Fills'!B841)</f>
        <v/>
      </c>
      <c r="E841" s="3" t="str">
        <f>IF(A841="","",IF(DATE(LEFT(D841,4),MID(D841,5,2),RIGHT(D841,2))=Helper1!$P$1,Helper1!$P$1,""))</f>
        <v/>
      </c>
      <c r="F841" s="3" t="str">
        <f>IF(A841="","",'ATP Fills'!G841)</f>
        <v/>
      </c>
      <c r="G841" t="str">
        <f>IF(A841="","",'ATP Fills'!H841)</f>
        <v/>
      </c>
      <c r="H841" t="str">
        <f>IF(A841="","",VLOOKUP(G841,表3_3[],2,0))</f>
        <v/>
      </c>
      <c r="I841" t="str">
        <f>IF(A841="","",VLOOKUP(G841,表3_3[],3,0))</f>
        <v/>
      </c>
      <c r="J841" t="str">
        <f>IF(A841="","",IF('ATP Fills'!I841="3M","",VLOOKUP(RIGHT('ATP Fills'!I841,2),Helper1!$O$36:$P$48,2,0)))</f>
        <v/>
      </c>
      <c r="K841" t="str">
        <f>IF(J841="","",LEFT('ATP Fills'!I841,4))</f>
        <v/>
      </c>
      <c r="L841" t="str">
        <f>IF(A841="","",IF('ATP Fills'!G841="LME",'ATP Fills'!I841,""))</f>
        <v/>
      </c>
      <c r="M841" t="str">
        <f t="shared" si="13"/>
        <v/>
      </c>
    </row>
    <row r="842" spans="1:13">
      <c r="A842" t="str">
        <f>IF('ATP Fills'!A842="","",IF('ATP Fills'!Q842="PHILLIPSG",'ATP Fills'!F842,""))</f>
        <v/>
      </c>
      <c r="B842" t="str">
        <f>IF(A842="","",'ATP Fills'!L842)</f>
        <v/>
      </c>
      <c r="C842" t="str">
        <f>IF(A842="","",'ATP Fills'!M842)</f>
        <v/>
      </c>
      <c r="D842" t="str">
        <f>IF(A842="","",'ATP Fills'!B842)</f>
        <v/>
      </c>
      <c r="E842" s="3" t="str">
        <f>IF(A842="","",IF(DATE(LEFT(D842,4),MID(D842,5,2),RIGHT(D842,2))=Helper1!$P$1,Helper1!$P$1,""))</f>
        <v/>
      </c>
      <c r="F842" s="3" t="str">
        <f>IF(A842="","",'ATP Fills'!G842)</f>
        <v/>
      </c>
      <c r="G842" t="str">
        <f>IF(A842="","",'ATP Fills'!H842)</f>
        <v/>
      </c>
      <c r="H842" t="str">
        <f>IF(A842="","",VLOOKUP(G842,表3_3[],2,0))</f>
        <v/>
      </c>
      <c r="I842" t="str">
        <f>IF(A842="","",VLOOKUP(G842,表3_3[],3,0))</f>
        <v/>
      </c>
      <c r="J842" t="str">
        <f>IF(A842="","",IF('ATP Fills'!I842="3M","",VLOOKUP(RIGHT('ATP Fills'!I842,2),Helper1!$O$36:$P$48,2,0)))</f>
        <v/>
      </c>
      <c r="K842" t="str">
        <f>IF(J842="","",LEFT('ATP Fills'!I842,4))</f>
        <v/>
      </c>
      <c r="L842" t="str">
        <f>IF(A842="","",IF('ATP Fills'!G842="LME",'ATP Fills'!I842,""))</f>
        <v/>
      </c>
      <c r="M842" t="str">
        <f t="shared" si="13"/>
        <v/>
      </c>
    </row>
    <row r="843" spans="1:13">
      <c r="A843" t="str">
        <f>IF('ATP Fills'!A843="","",IF('ATP Fills'!Q843="PHILLIPSG",'ATP Fills'!F843,""))</f>
        <v/>
      </c>
      <c r="B843" t="str">
        <f>IF(A843="","",'ATP Fills'!L843)</f>
        <v/>
      </c>
      <c r="C843" t="str">
        <f>IF(A843="","",'ATP Fills'!M843)</f>
        <v/>
      </c>
      <c r="D843" t="str">
        <f>IF(A843="","",'ATP Fills'!B843)</f>
        <v/>
      </c>
      <c r="E843" s="3" t="str">
        <f>IF(A843="","",IF(DATE(LEFT(D843,4),MID(D843,5,2),RIGHT(D843,2))=Helper1!$P$1,Helper1!$P$1,""))</f>
        <v/>
      </c>
      <c r="F843" s="3" t="str">
        <f>IF(A843="","",'ATP Fills'!G843)</f>
        <v/>
      </c>
      <c r="G843" t="str">
        <f>IF(A843="","",'ATP Fills'!H843)</f>
        <v/>
      </c>
      <c r="H843" t="str">
        <f>IF(A843="","",VLOOKUP(G843,表3_3[],2,0))</f>
        <v/>
      </c>
      <c r="I843" t="str">
        <f>IF(A843="","",VLOOKUP(G843,表3_3[],3,0))</f>
        <v/>
      </c>
      <c r="J843" t="str">
        <f>IF(A843="","",IF('ATP Fills'!I843="3M","",VLOOKUP(RIGHT('ATP Fills'!I843,2),Helper1!$O$36:$P$48,2,0)))</f>
        <v/>
      </c>
      <c r="K843" t="str">
        <f>IF(J843="","",LEFT('ATP Fills'!I843,4))</f>
        <v/>
      </c>
      <c r="L843" t="str">
        <f>IF(A843="","",IF('ATP Fills'!G843="LME",'ATP Fills'!I843,""))</f>
        <v/>
      </c>
      <c r="M843" t="str">
        <f t="shared" si="13"/>
        <v/>
      </c>
    </row>
    <row r="844" spans="1:13">
      <c r="A844" t="str">
        <f>IF('ATP Fills'!A844="","",IF('ATP Fills'!Q844="PHILLIPSG",'ATP Fills'!F844,""))</f>
        <v/>
      </c>
      <c r="B844" t="str">
        <f>IF(A844="","",'ATP Fills'!L844)</f>
        <v/>
      </c>
      <c r="C844" t="str">
        <f>IF(A844="","",'ATP Fills'!M844)</f>
        <v/>
      </c>
      <c r="D844" t="str">
        <f>IF(A844="","",'ATP Fills'!B844)</f>
        <v/>
      </c>
      <c r="E844" s="3" t="str">
        <f>IF(A844="","",IF(DATE(LEFT(D844,4),MID(D844,5,2),RIGHT(D844,2))=Helper1!$P$1,Helper1!$P$1,""))</f>
        <v/>
      </c>
      <c r="F844" s="3" t="str">
        <f>IF(A844="","",'ATP Fills'!G844)</f>
        <v/>
      </c>
      <c r="G844" t="str">
        <f>IF(A844="","",'ATP Fills'!H844)</f>
        <v/>
      </c>
      <c r="H844" t="str">
        <f>IF(A844="","",VLOOKUP(G844,表3_3[],2,0))</f>
        <v/>
      </c>
      <c r="I844" t="str">
        <f>IF(A844="","",VLOOKUP(G844,表3_3[],3,0))</f>
        <v/>
      </c>
      <c r="J844" t="str">
        <f>IF(A844="","",IF('ATP Fills'!I844="3M","",VLOOKUP(RIGHT('ATP Fills'!I844,2),Helper1!$O$36:$P$48,2,0)))</f>
        <v/>
      </c>
      <c r="K844" t="str">
        <f>IF(J844="","",LEFT('ATP Fills'!I844,4))</f>
        <v/>
      </c>
      <c r="L844" t="str">
        <f>IF(A844="","",IF('ATP Fills'!G844="LME",'ATP Fills'!I844,""))</f>
        <v/>
      </c>
      <c r="M844" t="str">
        <f t="shared" si="13"/>
        <v/>
      </c>
    </row>
    <row r="845" spans="1:13">
      <c r="A845" t="str">
        <f>IF('ATP Fills'!A845="","",IF('ATP Fills'!Q845="PHILLIPSG",'ATP Fills'!F845,""))</f>
        <v/>
      </c>
      <c r="B845" t="str">
        <f>IF(A845="","",'ATP Fills'!L845)</f>
        <v/>
      </c>
      <c r="C845" t="str">
        <f>IF(A845="","",'ATP Fills'!M845)</f>
        <v/>
      </c>
      <c r="D845" t="str">
        <f>IF(A845="","",'ATP Fills'!B845)</f>
        <v/>
      </c>
      <c r="E845" s="3" t="str">
        <f>IF(A845="","",IF(DATE(LEFT(D845,4),MID(D845,5,2),RIGHT(D845,2))=Helper1!$P$1,Helper1!$P$1,""))</f>
        <v/>
      </c>
      <c r="F845" s="3" t="str">
        <f>IF(A845="","",'ATP Fills'!G845)</f>
        <v/>
      </c>
      <c r="G845" t="str">
        <f>IF(A845="","",'ATP Fills'!H845)</f>
        <v/>
      </c>
      <c r="H845" t="str">
        <f>IF(A845="","",VLOOKUP(G845,表3_3[],2,0))</f>
        <v/>
      </c>
      <c r="I845" t="str">
        <f>IF(A845="","",VLOOKUP(G845,表3_3[],3,0))</f>
        <v/>
      </c>
      <c r="J845" t="str">
        <f>IF(A845="","",IF('ATP Fills'!I845="3M","",VLOOKUP(RIGHT('ATP Fills'!I845,2),Helper1!$O$36:$P$48,2,0)))</f>
        <v/>
      </c>
      <c r="K845" t="str">
        <f>IF(J845="","",LEFT('ATP Fills'!I845,4))</f>
        <v/>
      </c>
      <c r="L845" t="str">
        <f>IF(A845="","",IF('ATP Fills'!G845="LME",'ATP Fills'!I845,""))</f>
        <v/>
      </c>
      <c r="M845" t="str">
        <f t="shared" si="13"/>
        <v/>
      </c>
    </row>
    <row r="846" spans="1:13">
      <c r="A846" t="str">
        <f>IF('ATP Fills'!A846="","",IF('ATP Fills'!Q846="PHILLIPSG",'ATP Fills'!F846,""))</f>
        <v/>
      </c>
      <c r="B846" t="str">
        <f>IF(A846="","",'ATP Fills'!L846)</f>
        <v/>
      </c>
      <c r="C846" t="str">
        <f>IF(A846="","",'ATP Fills'!M846)</f>
        <v/>
      </c>
      <c r="D846" t="str">
        <f>IF(A846="","",'ATP Fills'!B846)</f>
        <v/>
      </c>
      <c r="E846" s="3" t="str">
        <f>IF(A846="","",IF(DATE(LEFT(D846,4),MID(D846,5,2),RIGHT(D846,2))=Helper1!$P$1,Helper1!$P$1,""))</f>
        <v/>
      </c>
      <c r="F846" s="3" t="str">
        <f>IF(A846="","",'ATP Fills'!G846)</f>
        <v/>
      </c>
      <c r="G846" t="str">
        <f>IF(A846="","",'ATP Fills'!H846)</f>
        <v/>
      </c>
      <c r="H846" t="str">
        <f>IF(A846="","",VLOOKUP(G846,表3_3[],2,0))</f>
        <v/>
      </c>
      <c r="I846" t="str">
        <f>IF(A846="","",VLOOKUP(G846,表3_3[],3,0))</f>
        <v/>
      </c>
      <c r="J846" t="str">
        <f>IF(A846="","",IF('ATP Fills'!I846="3M","",VLOOKUP(RIGHT('ATP Fills'!I846,2),Helper1!$O$36:$P$48,2,0)))</f>
        <v/>
      </c>
      <c r="K846" t="str">
        <f>IF(J846="","",LEFT('ATP Fills'!I846,4))</f>
        <v/>
      </c>
      <c r="L846" t="str">
        <f>IF(A846="","",IF('ATP Fills'!G846="LME",'ATP Fills'!I846,""))</f>
        <v/>
      </c>
      <c r="M846" t="str">
        <f t="shared" si="13"/>
        <v/>
      </c>
    </row>
    <row r="847" spans="1:13">
      <c r="A847" t="str">
        <f>IF('ATP Fills'!A847="","",IF('ATP Fills'!Q847="PHILLIPSG",'ATP Fills'!F847,""))</f>
        <v/>
      </c>
      <c r="B847" t="str">
        <f>IF(A847="","",'ATP Fills'!L847)</f>
        <v/>
      </c>
      <c r="C847" t="str">
        <f>IF(A847="","",'ATP Fills'!M847)</f>
        <v/>
      </c>
      <c r="D847" t="str">
        <f>IF(A847="","",'ATP Fills'!B847)</f>
        <v/>
      </c>
      <c r="E847" s="3" t="str">
        <f>IF(A847="","",IF(DATE(LEFT(D847,4),MID(D847,5,2),RIGHT(D847,2))=Helper1!$P$1,Helper1!$P$1,""))</f>
        <v/>
      </c>
      <c r="F847" s="3" t="str">
        <f>IF(A847="","",'ATP Fills'!G847)</f>
        <v/>
      </c>
      <c r="G847" t="str">
        <f>IF(A847="","",'ATP Fills'!H847)</f>
        <v/>
      </c>
      <c r="H847" t="str">
        <f>IF(A847="","",VLOOKUP(G847,表3_3[],2,0))</f>
        <v/>
      </c>
      <c r="I847" t="str">
        <f>IF(A847="","",VLOOKUP(G847,表3_3[],3,0))</f>
        <v/>
      </c>
      <c r="J847" t="str">
        <f>IF(A847="","",IF('ATP Fills'!I847="3M","",VLOOKUP(RIGHT('ATP Fills'!I847,2),Helper1!$O$36:$P$48,2,0)))</f>
        <v/>
      </c>
      <c r="K847" t="str">
        <f>IF(J847="","",LEFT('ATP Fills'!I847,4))</f>
        <v/>
      </c>
      <c r="L847" t="str">
        <f>IF(A847="","",IF('ATP Fills'!G847="LME",'ATP Fills'!I847,""))</f>
        <v/>
      </c>
      <c r="M847" t="str">
        <f t="shared" si="13"/>
        <v/>
      </c>
    </row>
    <row r="848" spans="1:13">
      <c r="A848" t="str">
        <f>IF('ATP Fills'!A848="","",IF('ATP Fills'!Q848="PHILLIPSG",'ATP Fills'!F848,""))</f>
        <v/>
      </c>
      <c r="B848" t="str">
        <f>IF(A848="","",'ATP Fills'!L848)</f>
        <v/>
      </c>
      <c r="C848" t="str">
        <f>IF(A848="","",'ATP Fills'!M848)</f>
        <v/>
      </c>
      <c r="D848" t="str">
        <f>IF(A848="","",'ATP Fills'!B848)</f>
        <v/>
      </c>
      <c r="E848" s="3" t="str">
        <f>IF(A848="","",IF(DATE(LEFT(D848,4),MID(D848,5,2),RIGHT(D848,2))=Helper1!$P$1,Helper1!$P$1,""))</f>
        <v/>
      </c>
      <c r="F848" s="3" t="str">
        <f>IF(A848="","",'ATP Fills'!G848)</f>
        <v/>
      </c>
      <c r="G848" t="str">
        <f>IF(A848="","",'ATP Fills'!H848)</f>
        <v/>
      </c>
      <c r="H848" t="str">
        <f>IF(A848="","",VLOOKUP(G848,表3_3[],2,0))</f>
        <v/>
      </c>
      <c r="I848" t="str">
        <f>IF(A848="","",VLOOKUP(G848,表3_3[],3,0))</f>
        <v/>
      </c>
      <c r="J848" t="str">
        <f>IF(A848="","",IF('ATP Fills'!I848="3M","",VLOOKUP(RIGHT('ATP Fills'!I848,2),Helper1!$O$36:$P$48,2,0)))</f>
        <v/>
      </c>
      <c r="K848" t="str">
        <f>IF(J848="","",LEFT('ATP Fills'!I848,4))</f>
        <v/>
      </c>
      <c r="L848" t="str">
        <f>IF(A848="","",IF('ATP Fills'!G848="LME",'ATP Fills'!I848,""))</f>
        <v/>
      </c>
      <c r="M848" t="str">
        <f t="shared" si="13"/>
        <v/>
      </c>
    </row>
    <row r="849" spans="1:13">
      <c r="A849" t="str">
        <f>IF('ATP Fills'!A849="","",IF('ATP Fills'!Q849="PHILLIPSG",'ATP Fills'!F849,""))</f>
        <v/>
      </c>
      <c r="B849" t="str">
        <f>IF(A849="","",'ATP Fills'!L849)</f>
        <v/>
      </c>
      <c r="C849" t="str">
        <f>IF(A849="","",'ATP Fills'!M849)</f>
        <v/>
      </c>
      <c r="D849" t="str">
        <f>IF(A849="","",'ATP Fills'!B849)</f>
        <v/>
      </c>
      <c r="E849" s="3" t="str">
        <f>IF(A849="","",IF(DATE(LEFT(D849,4),MID(D849,5,2),RIGHT(D849,2))=Helper1!$P$1,Helper1!$P$1,""))</f>
        <v/>
      </c>
      <c r="F849" s="3" t="str">
        <f>IF(A849="","",'ATP Fills'!G849)</f>
        <v/>
      </c>
      <c r="G849" t="str">
        <f>IF(A849="","",'ATP Fills'!H849)</f>
        <v/>
      </c>
      <c r="H849" t="str">
        <f>IF(A849="","",VLOOKUP(G849,表3_3[],2,0))</f>
        <v/>
      </c>
      <c r="I849" t="str">
        <f>IF(A849="","",VLOOKUP(G849,表3_3[],3,0))</f>
        <v/>
      </c>
      <c r="J849" t="str">
        <f>IF(A849="","",IF('ATP Fills'!I849="3M","",VLOOKUP(RIGHT('ATP Fills'!I849,2),Helper1!$O$36:$P$48,2,0)))</f>
        <v/>
      </c>
      <c r="K849" t="str">
        <f>IF(J849="","",LEFT('ATP Fills'!I849,4))</f>
        <v/>
      </c>
      <c r="L849" t="str">
        <f>IF(A849="","",IF('ATP Fills'!G849="LME",'ATP Fills'!I849,""))</f>
        <v/>
      </c>
      <c r="M849" t="str">
        <f t="shared" si="13"/>
        <v/>
      </c>
    </row>
    <row r="850" spans="1:13">
      <c r="A850" t="str">
        <f>IF('ATP Fills'!A850="","",IF('ATP Fills'!Q850="PHILLIPSG",'ATP Fills'!F850,""))</f>
        <v/>
      </c>
      <c r="B850" t="str">
        <f>IF(A850="","",'ATP Fills'!L850)</f>
        <v/>
      </c>
      <c r="C850" t="str">
        <f>IF(A850="","",'ATP Fills'!M850)</f>
        <v/>
      </c>
      <c r="D850" t="str">
        <f>IF(A850="","",'ATP Fills'!B850)</f>
        <v/>
      </c>
      <c r="E850" s="3" t="str">
        <f>IF(A850="","",IF(DATE(LEFT(D850,4),MID(D850,5,2),RIGHT(D850,2))=Helper1!$P$1,Helper1!$P$1,""))</f>
        <v/>
      </c>
      <c r="F850" s="3" t="str">
        <f>IF(A850="","",'ATP Fills'!G850)</f>
        <v/>
      </c>
      <c r="G850" t="str">
        <f>IF(A850="","",'ATP Fills'!H850)</f>
        <v/>
      </c>
      <c r="H850" t="str">
        <f>IF(A850="","",VLOOKUP(G850,表3_3[],2,0))</f>
        <v/>
      </c>
      <c r="I850" t="str">
        <f>IF(A850="","",VLOOKUP(G850,表3_3[],3,0))</f>
        <v/>
      </c>
      <c r="J850" t="str">
        <f>IF(A850="","",IF('ATP Fills'!I850="3M","",VLOOKUP(RIGHT('ATP Fills'!I850,2),Helper1!$O$36:$P$48,2,0)))</f>
        <v/>
      </c>
      <c r="K850" t="str">
        <f>IF(J850="","",LEFT('ATP Fills'!I850,4))</f>
        <v/>
      </c>
      <c r="L850" t="str">
        <f>IF(A850="","",IF('ATP Fills'!G850="LME",'ATP Fills'!I850,""))</f>
        <v/>
      </c>
      <c r="M850" t="str">
        <f t="shared" si="13"/>
        <v/>
      </c>
    </row>
    <row r="851" spans="1:13">
      <c r="A851" t="str">
        <f>IF('ATP Fills'!A851="","",IF('ATP Fills'!Q851="PHILLIPSG",'ATP Fills'!F851,""))</f>
        <v/>
      </c>
      <c r="B851" t="str">
        <f>IF(A851="","",'ATP Fills'!L851)</f>
        <v/>
      </c>
      <c r="C851" t="str">
        <f>IF(A851="","",'ATP Fills'!M851)</f>
        <v/>
      </c>
      <c r="D851" t="str">
        <f>IF(A851="","",'ATP Fills'!B851)</f>
        <v/>
      </c>
      <c r="E851" s="3" t="str">
        <f>IF(A851="","",IF(DATE(LEFT(D851,4),MID(D851,5,2),RIGHT(D851,2))=Helper1!$P$1,Helper1!$P$1,""))</f>
        <v/>
      </c>
      <c r="F851" s="3" t="str">
        <f>IF(A851="","",'ATP Fills'!G851)</f>
        <v/>
      </c>
      <c r="G851" t="str">
        <f>IF(A851="","",'ATP Fills'!H851)</f>
        <v/>
      </c>
      <c r="H851" t="str">
        <f>IF(A851="","",VLOOKUP(G851,表3_3[],2,0))</f>
        <v/>
      </c>
      <c r="I851" t="str">
        <f>IF(A851="","",VLOOKUP(G851,表3_3[],3,0))</f>
        <v/>
      </c>
      <c r="J851" t="str">
        <f>IF(A851="","",IF('ATP Fills'!I851="3M","",VLOOKUP(RIGHT('ATP Fills'!I851,2),Helper1!$O$36:$P$48,2,0)))</f>
        <v/>
      </c>
      <c r="K851" t="str">
        <f>IF(J851="","",LEFT('ATP Fills'!I851,4))</f>
        <v/>
      </c>
      <c r="L851" t="str">
        <f>IF(A851="","",IF('ATP Fills'!G851="LME",'ATP Fills'!I851,""))</f>
        <v/>
      </c>
      <c r="M851" t="str">
        <f t="shared" si="13"/>
        <v/>
      </c>
    </row>
    <row r="852" spans="1:13">
      <c r="A852" t="str">
        <f>IF('ATP Fills'!A852="","",IF('ATP Fills'!Q852="PHILLIPSG",'ATP Fills'!F852,""))</f>
        <v/>
      </c>
      <c r="B852" t="str">
        <f>IF(A852="","",'ATP Fills'!L852)</f>
        <v/>
      </c>
      <c r="C852" t="str">
        <f>IF(A852="","",'ATP Fills'!M852)</f>
        <v/>
      </c>
      <c r="D852" t="str">
        <f>IF(A852="","",'ATP Fills'!B852)</f>
        <v/>
      </c>
      <c r="E852" s="3" t="str">
        <f>IF(A852="","",IF(DATE(LEFT(D852,4),MID(D852,5,2),RIGHT(D852,2))=Helper1!$P$1,Helper1!$P$1,""))</f>
        <v/>
      </c>
      <c r="F852" s="3" t="str">
        <f>IF(A852="","",'ATP Fills'!G852)</f>
        <v/>
      </c>
      <c r="G852" t="str">
        <f>IF(A852="","",'ATP Fills'!H852)</f>
        <v/>
      </c>
      <c r="H852" t="str">
        <f>IF(A852="","",VLOOKUP(G852,表3_3[],2,0))</f>
        <v/>
      </c>
      <c r="I852" t="str">
        <f>IF(A852="","",VLOOKUP(G852,表3_3[],3,0))</f>
        <v/>
      </c>
      <c r="J852" t="str">
        <f>IF(A852="","",IF('ATP Fills'!I852="3M","",VLOOKUP(RIGHT('ATP Fills'!I852,2),Helper1!$O$36:$P$48,2,0)))</f>
        <v/>
      </c>
      <c r="K852" t="str">
        <f>IF(J852="","",LEFT('ATP Fills'!I852,4))</f>
        <v/>
      </c>
      <c r="L852" t="str">
        <f>IF(A852="","",IF('ATP Fills'!G852="LME",'ATP Fills'!I852,""))</f>
        <v/>
      </c>
      <c r="M852" t="str">
        <f t="shared" si="13"/>
        <v/>
      </c>
    </row>
    <row r="853" spans="1:13">
      <c r="A853" t="str">
        <f>IF('ATP Fills'!A853="","",IF('ATP Fills'!Q853="PHILLIPSG",'ATP Fills'!F853,""))</f>
        <v/>
      </c>
      <c r="B853" t="str">
        <f>IF(A853="","",'ATP Fills'!L853)</f>
        <v/>
      </c>
      <c r="C853" t="str">
        <f>IF(A853="","",'ATP Fills'!M853)</f>
        <v/>
      </c>
      <c r="D853" t="str">
        <f>IF(A853="","",'ATP Fills'!B853)</f>
        <v/>
      </c>
      <c r="E853" s="3" t="str">
        <f>IF(A853="","",IF(DATE(LEFT(D853,4),MID(D853,5,2),RIGHT(D853,2))=Helper1!$P$1,Helper1!$P$1,""))</f>
        <v/>
      </c>
      <c r="F853" s="3" t="str">
        <f>IF(A853="","",'ATP Fills'!G853)</f>
        <v/>
      </c>
      <c r="G853" t="str">
        <f>IF(A853="","",'ATP Fills'!H853)</f>
        <v/>
      </c>
      <c r="H853" t="str">
        <f>IF(A853="","",VLOOKUP(G853,表3_3[],2,0))</f>
        <v/>
      </c>
      <c r="I853" t="str">
        <f>IF(A853="","",VLOOKUP(G853,表3_3[],3,0))</f>
        <v/>
      </c>
      <c r="J853" t="str">
        <f>IF(A853="","",IF('ATP Fills'!I853="3M","",VLOOKUP(RIGHT('ATP Fills'!I853,2),Helper1!$O$36:$P$48,2,0)))</f>
        <v/>
      </c>
      <c r="K853" t="str">
        <f>IF(J853="","",LEFT('ATP Fills'!I853,4))</f>
        <v/>
      </c>
      <c r="L853" t="str">
        <f>IF(A853="","",IF('ATP Fills'!G853="LME",'ATP Fills'!I853,""))</f>
        <v/>
      </c>
      <c r="M853" t="str">
        <f t="shared" si="13"/>
        <v/>
      </c>
    </row>
    <row r="854" spans="1:13">
      <c r="A854" t="str">
        <f>IF('ATP Fills'!A854="","",IF('ATP Fills'!Q854="PHILLIPSG",'ATP Fills'!F854,""))</f>
        <v/>
      </c>
      <c r="B854" t="str">
        <f>IF(A854="","",'ATP Fills'!L854)</f>
        <v/>
      </c>
      <c r="C854" t="str">
        <f>IF(A854="","",'ATP Fills'!M854)</f>
        <v/>
      </c>
      <c r="D854" t="str">
        <f>IF(A854="","",'ATP Fills'!B854)</f>
        <v/>
      </c>
      <c r="E854" s="3" t="str">
        <f>IF(A854="","",IF(DATE(LEFT(D854,4),MID(D854,5,2),RIGHT(D854,2))=Helper1!$P$1,Helper1!$P$1,""))</f>
        <v/>
      </c>
      <c r="F854" s="3" t="str">
        <f>IF(A854="","",'ATP Fills'!G854)</f>
        <v/>
      </c>
      <c r="G854" t="str">
        <f>IF(A854="","",'ATP Fills'!H854)</f>
        <v/>
      </c>
      <c r="H854" t="str">
        <f>IF(A854="","",VLOOKUP(G854,表3_3[],2,0))</f>
        <v/>
      </c>
      <c r="I854" t="str">
        <f>IF(A854="","",VLOOKUP(G854,表3_3[],3,0))</f>
        <v/>
      </c>
      <c r="J854" t="str">
        <f>IF(A854="","",IF('ATP Fills'!I854="3M","",VLOOKUP(RIGHT('ATP Fills'!I854,2),Helper1!$O$36:$P$48,2,0)))</f>
        <v/>
      </c>
      <c r="K854" t="str">
        <f>IF(J854="","",LEFT('ATP Fills'!I854,4))</f>
        <v/>
      </c>
      <c r="L854" t="str">
        <f>IF(A854="","",IF('ATP Fills'!G854="LME",'ATP Fills'!I854,""))</f>
        <v/>
      </c>
      <c r="M854" t="str">
        <f t="shared" si="13"/>
        <v/>
      </c>
    </row>
    <row r="855" spans="1:13">
      <c r="A855" t="str">
        <f>IF('ATP Fills'!A855="","",IF('ATP Fills'!Q855="PHILLIPSG",'ATP Fills'!F855,""))</f>
        <v/>
      </c>
      <c r="B855" t="str">
        <f>IF(A855="","",'ATP Fills'!L855)</f>
        <v/>
      </c>
      <c r="C855" t="str">
        <f>IF(A855="","",'ATP Fills'!M855)</f>
        <v/>
      </c>
      <c r="D855" t="str">
        <f>IF(A855="","",'ATP Fills'!B855)</f>
        <v/>
      </c>
      <c r="E855" s="3" t="str">
        <f>IF(A855="","",IF(DATE(LEFT(D855,4),MID(D855,5,2),RIGHT(D855,2))=Helper1!$P$1,Helper1!$P$1,""))</f>
        <v/>
      </c>
      <c r="F855" s="3" t="str">
        <f>IF(A855="","",'ATP Fills'!G855)</f>
        <v/>
      </c>
      <c r="G855" t="str">
        <f>IF(A855="","",'ATP Fills'!H855)</f>
        <v/>
      </c>
      <c r="H855" t="str">
        <f>IF(A855="","",VLOOKUP(G855,表3_3[],2,0))</f>
        <v/>
      </c>
      <c r="I855" t="str">
        <f>IF(A855="","",VLOOKUP(G855,表3_3[],3,0))</f>
        <v/>
      </c>
      <c r="J855" t="str">
        <f>IF(A855="","",IF('ATP Fills'!I855="3M","",VLOOKUP(RIGHT('ATP Fills'!I855,2),Helper1!$O$36:$P$48,2,0)))</f>
        <v/>
      </c>
      <c r="K855" t="str">
        <f>IF(J855="","",LEFT('ATP Fills'!I855,4))</f>
        <v/>
      </c>
      <c r="L855" t="str">
        <f>IF(A855="","",IF('ATP Fills'!G855="LME",'ATP Fills'!I855,""))</f>
        <v/>
      </c>
      <c r="M855" t="str">
        <f t="shared" si="13"/>
        <v/>
      </c>
    </row>
    <row r="856" spans="1:13">
      <c r="A856" t="str">
        <f>IF('ATP Fills'!A856="","",IF('ATP Fills'!Q856="PHILLIPSG",'ATP Fills'!F856,""))</f>
        <v/>
      </c>
      <c r="B856" t="str">
        <f>IF(A856="","",'ATP Fills'!L856)</f>
        <v/>
      </c>
      <c r="C856" t="str">
        <f>IF(A856="","",'ATP Fills'!M856)</f>
        <v/>
      </c>
      <c r="D856" t="str">
        <f>IF(A856="","",'ATP Fills'!B856)</f>
        <v/>
      </c>
      <c r="E856" s="3" t="str">
        <f>IF(A856="","",IF(DATE(LEFT(D856,4),MID(D856,5,2),RIGHT(D856,2))=Helper1!$P$1,Helper1!$P$1,""))</f>
        <v/>
      </c>
      <c r="F856" s="3" t="str">
        <f>IF(A856="","",'ATP Fills'!G856)</f>
        <v/>
      </c>
      <c r="G856" t="str">
        <f>IF(A856="","",'ATP Fills'!H856)</f>
        <v/>
      </c>
      <c r="H856" t="str">
        <f>IF(A856="","",VLOOKUP(G856,表3_3[],2,0))</f>
        <v/>
      </c>
      <c r="I856" t="str">
        <f>IF(A856="","",VLOOKUP(G856,表3_3[],3,0))</f>
        <v/>
      </c>
      <c r="J856" t="str">
        <f>IF(A856="","",IF('ATP Fills'!I856="3M","",VLOOKUP(RIGHT('ATP Fills'!I856,2),Helper1!$O$36:$P$48,2,0)))</f>
        <v/>
      </c>
      <c r="K856" t="str">
        <f>IF(J856="","",LEFT('ATP Fills'!I856,4))</f>
        <v/>
      </c>
      <c r="L856" t="str">
        <f>IF(A856="","",IF('ATP Fills'!G856="LME",'ATP Fills'!I856,""))</f>
        <v/>
      </c>
      <c r="M856" t="str">
        <f t="shared" si="13"/>
        <v/>
      </c>
    </row>
    <row r="857" spans="1:13">
      <c r="A857" t="str">
        <f>IF('ATP Fills'!A857="","",IF('ATP Fills'!Q857="PHILLIPSG",'ATP Fills'!F857,""))</f>
        <v/>
      </c>
      <c r="B857" t="str">
        <f>IF(A857="","",'ATP Fills'!L857)</f>
        <v/>
      </c>
      <c r="C857" t="str">
        <f>IF(A857="","",'ATP Fills'!M857)</f>
        <v/>
      </c>
      <c r="D857" t="str">
        <f>IF(A857="","",'ATP Fills'!B857)</f>
        <v/>
      </c>
      <c r="E857" s="3" t="str">
        <f>IF(A857="","",IF(DATE(LEFT(D857,4),MID(D857,5,2),RIGHT(D857,2))=Helper1!$P$1,Helper1!$P$1,""))</f>
        <v/>
      </c>
      <c r="F857" s="3" t="str">
        <f>IF(A857="","",'ATP Fills'!G857)</f>
        <v/>
      </c>
      <c r="G857" t="str">
        <f>IF(A857="","",'ATP Fills'!H857)</f>
        <v/>
      </c>
      <c r="H857" t="str">
        <f>IF(A857="","",VLOOKUP(G857,表3_3[],2,0))</f>
        <v/>
      </c>
      <c r="I857" t="str">
        <f>IF(A857="","",VLOOKUP(G857,表3_3[],3,0))</f>
        <v/>
      </c>
      <c r="J857" t="str">
        <f>IF(A857="","",IF('ATP Fills'!I857="3M","",VLOOKUP(RIGHT('ATP Fills'!I857,2),Helper1!$O$36:$P$48,2,0)))</f>
        <v/>
      </c>
      <c r="K857" t="str">
        <f>IF(J857="","",LEFT('ATP Fills'!I857,4))</f>
        <v/>
      </c>
      <c r="L857" t="str">
        <f>IF(A857="","",IF('ATP Fills'!G857="LME",'ATP Fills'!I857,""))</f>
        <v/>
      </c>
      <c r="M857" t="str">
        <f t="shared" si="13"/>
        <v/>
      </c>
    </row>
    <row r="858" spans="1:13">
      <c r="A858" t="str">
        <f>IF('ATP Fills'!A858="","",IF('ATP Fills'!Q858="PHILLIPSG",'ATP Fills'!F858,""))</f>
        <v/>
      </c>
      <c r="B858" t="str">
        <f>IF(A858="","",'ATP Fills'!L858)</f>
        <v/>
      </c>
      <c r="C858" t="str">
        <f>IF(A858="","",'ATP Fills'!M858)</f>
        <v/>
      </c>
      <c r="D858" t="str">
        <f>IF(A858="","",'ATP Fills'!B858)</f>
        <v/>
      </c>
      <c r="E858" s="3" t="str">
        <f>IF(A858="","",IF(DATE(LEFT(D858,4),MID(D858,5,2),RIGHT(D858,2))=Helper1!$P$1,Helper1!$P$1,""))</f>
        <v/>
      </c>
      <c r="F858" s="3" t="str">
        <f>IF(A858="","",'ATP Fills'!G858)</f>
        <v/>
      </c>
      <c r="G858" t="str">
        <f>IF(A858="","",'ATP Fills'!H858)</f>
        <v/>
      </c>
      <c r="H858" t="str">
        <f>IF(A858="","",VLOOKUP(G858,表3_3[],2,0))</f>
        <v/>
      </c>
      <c r="I858" t="str">
        <f>IF(A858="","",VLOOKUP(G858,表3_3[],3,0))</f>
        <v/>
      </c>
      <c r="J858" t="str">
        <f>IF(A858="","",IF('ATP Fills'!I858="3M","",VLOOKUP(RIGHT('ATP Fills'!I858,2),Helper1!$O$36:$P$48,2,0)))</f>
        <v/>
      </c>
      <c r="K858" t="str">
        <f>IF(J858="","",LEFT('ATP Fills'!I858,4))</f>
        <v/>
      </c>
      <c r="L858" t="str">
        <f>IF(A858="","",IF('ATP Fills'!G858="LME",'ATP Fills'!I858,""))</f>
        <v/>
      </c>
      <c r="M858" t="str">
        <f t="shared" si="13"/>
        <v/>
      </c>
    </row>
    <row r="859" spans="1:13">
      <c r="A859" t="str">
        <f>IF('ATP Fills'!A859="","",IF('ATP Fills'!Q859="PHILLIPSG",'ATP Fills'!F859,""))</f>
        <v/>
      </c>
      <c r="B859" t="str">
        <f>IF(A859="","",'ATP Fills'!L859)</f>
        <v/>
      </c>
      <c r="C859" t="str">
        <f>IF(A859="","",'ATP Fills'!M859)</f>
        <v/>
      </c>
      <c r="D859" t="str">
        <f>IF(A859="","",'ATP Fills'!B859)</f>
        <v/>
      </c>
      <c r="E859" s="3" t="str">
        <f>IF(A859="","",IF(DATE(LEFT(D859,4),MID(D859,5,2),RIGHT(D859,2))=Helper1!$P$1,Helper1!$P$1,""))</f>
        <v/>
      </c>
      <c r="F859" s="3" t="str">
        <f>IF(A859="","",'ATP Fills'!G859)</f>
        <v/>
      </c>
      <c r="G859" t="str">
        <f>IF(A859="","",'ATP Fills'!H859)</f>
        <v/>
      </c>
      <c r="H859" t="str">
        <f>IF(A859="","",VLOOKUP(G859,表3_3[],2,0))</f>
        <v/>
      </c>
      <c r="I859" t="str">
        <f>IF(A859="","",VLOOKUP(G859,表3_3[],3,0))</f>
        <v/>
      </c>
      <c r="J859" t="str">
        <f>IF(A859="","",IF('ATP Fills'!I859="3M","",VLOOKUP(RIGHT('ATP Fills'!I859,2),Helper1!$O$36:$P$48,2,0)))</f>
        <v/>
      </c>
      <c r="K859" t="str">
        <f>IF(J859="","",LEFT('ATP Fills'!I859,4))</f>
        <v/>
      </c>
      <c r="L859" t="str">
        <f>IF(A859="","",IF('ATP Fills'!G859="LME",'ATP Fills'!I859,""))</f>
        <v/>
      </c>
      <c r="M859" t="str">
        <f t="shared" si="13"/>
        <v/>
      </c>
    </row>
    <row r="860" spans="1:13">
      <c r="A860" t="str">
        <f>IF('ATP Fills'!A860="","",IF('ATP Fills'!Q860="PHILLIPSG",'ATP Fills'!F860,""))</f>
        <v/>
      </c>
      <c r="B860" t="str">
        <f>IF(A860="","",'ATP Fills'!L860)</f>
        <v/>
      </c>
      <c r="C860" t="str">
        <f>IF(A860="","",'ATP Fills'!M860)</f>
        <v/>
      </c>
      <c r="D860" t="str">
        <f>IF(A860="","",'ATP Fills'!B860)</f>
        <v/>
      </c>
      <c r="E860" s="3" t="str">
        <f>IF(A860="","",IF(DATE(LEFT(D860,4),MID(D860,5,2),RIGHT(D860,2))=Helper1!$P$1,Helper1!$P$1,""))</f>
        <v/>
      </c>
      <c r="F860" s="3" t="str">
        <f>IF(A860="","",'ATP Fills'!G860)</f>
        <v/>
      </c>
      <c r="G860" t="str">
        <f>IF(A860="","",'ATP Fills'!H860)</f>
        <v/>
      </c>
      <c r="H860" t="str">
        <f>IF(A860="","",VLOOKUP(G860,表3_3[],2,0))</f>
        <v/>
      </c>
      <c r="I860" t="str">
        <f>IF(A860="","",VLOOKUP(G860,表3_3[],3,0))</f>
        <v/>
      </c>
      <c r="J860" t="str">
        <f>IF(A860="","",IF('ATP Fills'!I860="3M","",VLOOKUP(RIGHT('ATP Fills'!I860,2),Helper1!$O$36:$P$48,2,0)))</f>
        <v/>
      </c>
      <c r="K860" t="str">
        <f>IF(J860="","",LEFT('ATP Fills'!I860,4))</f>
        <v/>
      </c>
      <c r="L860" t="str">
        <f>IF(A860="","",IF('ATP Fills'!G860="LME",'ATP Fills'!I860,""))</f>
        <v/>
      </c>
      <c r="M860" t="str">
        <f t="shared" si="13"/>
        <v/>
      </c>
    </row>
    <row r="861" spans="1:13">
      <c r="A861" t="str">
        <f>IF('ATP Fills'!A861="","",IF('ATP Fills'!Q861="PHILLIPSG",'ATP Fills'!F861,""))</f>
        <v/>
      </c>
      <c r="B861" t="str">
        <f>IF(A861="","",'ATP Fills'!L861)</f>
        <v/>
      </c>
      <c r="C861" t="str">
        <f>IF(A861="","",'ATP Fills'!M861)</f>
        <v/>
      </c>
      <c r="D861" t="str">
        <f>IF(A861="","",'ATP Fills'!B861)</f>
        <v/>
      </c>
      <c r="E861" s="3" t="str">
        <f>IF(A861="","",IF(DATE(LEFT(D861,4),MID(D861,5,2),RIGHT(D861,2))=Helper1!$P$1,Helper1!$P$1,""))</f>
        <v/>
      </c>
      <c r="F861" s="3" t="str">
        <f>IF(A861="","",'ATP Fills'!G861)</f>
        <v/>
      </c>
      <c r="G861" t="str">
        <f>IF(A861="","",'ATP Fills'!H861)</f>
        <v/>
      </c>
      <c r="H861" t="str">
        <f>IF(A861="","",VLOOKUP(G861,表3_3[],2,0))</f>
        <v/>
      </c>
      <c r="I861" t="str">
        <f>IF(A861="","",VLOOKUP(G861,表3_3[],3,0))</f>
        <v/>
      </c>
      <c r="J861" t="str">
        <f>IF(A861="","",IF('ATP Fills'!I861="3M","",VLOOKUP(RIGHT('ATP Fills'!I861,2),Helper1!$O$36:$P$48,2,0)))</f>
        <v/>
      </c>
      <c r="K861" t="str">
        <f>IF(J861="","",LEFT('ATP Fills'!I861,4))</f>
        <v/>
      </c>
      <c r="L861" t="str">
        <f>IF(A861="","",IF('ATP Fills'!G861="LME",'ATP Fills'!I861,""))</f>
        <v/>
      </c>
      <c r="M861" t="str">
        <f t="shared" si="13"/>
        <v/>
      </c>
    </row>
    <row r="862" spans="1:13">
      <c r="A862" t="str">
        <f>IF('ATP Fills'!A862="","",IF('ATP Fills'!Q862="PHILLIPSG",'ATP Fills'!F862,""))</f>
        <v/>
      </c>
      <c r="B862" t="str">
        <f>IF(A862="","",'ATP Fills'!L862)</f>
        <v/>
      </c>
      <c r="C862" t="str">
        <f>IF(A862="","",'ATP Fills'!M862)</f>
        <v/>
      </c>
      <c r="D862" t="str">
        <f>IF(A862="","",'ATP Fills'!B862)</f>
        <v/>
      </c>
      <c r="E862" s="3" t="str">
        <f>IF(A862="","",IF(DATE(LEFT(D862,4),MID(D862,5,2),RIGHT(D862,2))=Helper1!$P$1,Helper1!$P$1,""))</f>
        <v/>
      </c>
      <c r="F862" s="3" t="str">
        <f>IF(A862="","",'ATP Fills'!G862)</f>
        <v/>
      </c>
      <c r="G862" t="str">
        <f>IF(A862="","",'ATP Fills'!H862)</f>
        <v/>
      </c>
      <c r="H862" t="str">
        <f>IF(A862="","",VLOOKUP(G862,表3_3[],2,0))</f>
        <v/>
      </c>
      <c r="I862" t="str">
        <f>IF(A862="","",VLOOKUP(G862,表3_3[],3,0))</f>
        <v/>
      </c>
      <c r="J862" t="str">
        <f>IF(A862="","",IF('ATP Fills'!I862="3M","",VLOOKUP(RIGHT('ATP Fills'!I862,2),Helper1!$O$36:$P$48,2,0)))</f>
        <v/>
      </c>
      <c r="K862" t="str">
        <f>IF(J862="","",LEFT('ATP Fills'!I862,4))</f>
        <v/>
      </c>
      <c r="L862" t="str">
        <f>IF(A862="","",IF('ATP Fills'!G862="LME",'ATP Fills'!I862,""))</f>
        <v/>
      </c>
      <c r="M862" t="str">
        <f t="shared" si="13"/>
        <v/>
      </c>
    </row>
    <row r="863" spans="1:13">
      <c r="A863" t="str">
        <f>IF('ATP Fills'!A863="","",IF('ATP Fills'!Q863="PHILLIPSG",'ATP Fills'!F863,""))</f>
        <v/>
      </c>
      <c r="B863" t="str">
        <f>IF(A863="","",'ATP Fills'!L863)</f>
        <v/>
      </c>
      <c r="C863" t="str">
        <f>IF(A863="","",'ATP Fills'!M863)</f>
        <v/>
      </c>
      <c r="D863" t="str">
        <f>IF(A863="","",'ATP Fills'!B863)</f>
        <v/>
      </c>
      <c r="E863" s="3" t="str">
        <f>IF(A863="","",IF(DATE(LEFT(D863,4),MID(D863,5,2),RIGHT(D863,2))=Helper1!$P$1,Helper1!$P$1,""))</f>
        <v/>
      </c>
      <c r="F863" s="3" t="str">
        <f>IF(A863="","",'ATP Fills'!G863)</f>
        <v/>
      </c>
      <c r="G863" t="str">
        <f>IF(A863="","",'ATP Fills'!H863)</f>
        <v/>
      </c>
      <c r="H863" t="str">
        <f>IF(A863="","",VLOOKUP(G863,表3_3[],2,0))</f>
        <v/>
      </c>
      <c r="I863" t="str">
        <f>IF(A863="","",VLOOKUP(G863,表3_3[],3,0))</f>
        <v/>
      </c>
      <c r="J863" t="str">
        <f>IF(A863="","",IF('ATP Fills'!I863="3M","",VLOOKUP(RIGHT('ATP Fills'!I863,2),Helper1!$O$36:$P$48,2,0)))</f>
        <v/>
      </c>
      <c r="K863" t="str">
        <f>IF(J863="","",LEFT('ATP Fills'!I863,4))</f>
        <v/>
      </c>
      <c r="L863" t="str">
        <f>IF(A863="","",IF('ATP Fills'!G863="LME",'ATP Fills'!I863,""))</f>
        <v/>
      </c>
      <c r="M863" t="str">
        <f t="shared" si="13"/>
        <v/>
      </c>
    </row>
    <row r="864" spans="1:13">
      <c r="A864" t="str">
        <f>IF('ATP Fills'!A864="","",IF('ATP Fills'!Q864="PHILLIPSG",'ATP Fills'!F864,""))</f>
        <v/>
      </c>
      <c r="B864" t="str">
        <f>IF(A864="","",'ATP Fills'!L864)</f>
        <v/>
      </c>
      <c r="C864" t="str">
        <f>IF(A864="","",'ATP Fills'!M864)</f>
        <v/>
      </c>
      <c r="D864" t="str">
        <f>IF(A864="","",'ATP Fills'!B864)</f>
        <v/>
      </c>
      <c r="E864" s="3" t="str">
        <f>IF(A864="","",IF(DATE(LEFT(D864,4),MID(D864,5,2),RIGHT(D864,2))=Helper1!$P$1,Helper1!$P$1,""))</f>
        <v/>
      </c>
      <c r="F864" s="3" t="str">
        <f>IF(A864="","",'ATP Fills'!G864)</f>
        <v/>
      </c>
      <c r="G864" t="str">
        <f>IF(A864="","",'ATP Fills'!H864)</f>
        <v/>
      </c>
      <c r="H864" t="str">
        <f>IF(A864="","",VLOOKUP(G864,表3_3[],2,0))</f>
        <v/>
      </c>
      <c r="I864" t="str">
        <f>IF(A864="","",VLOOKUP(G864,表3_3[],3,0))</f>
        <v/>
      </c>
      <c r="J864" t="str">
        <f>IF(A864="","",IF('ATP Fills'!I864="3M","",VLOOKUP(RIGHT('ATP Fills'!I864,2),Helper1!$O$36:$P$48,2,0)))</f>
        <v/>
      </c>
      <c r="K864" t="str">
        <f>IF(J864="","",LEFT('ATP Fills'!I864,4))</f>
        <v/>
      </c>
      <c r="L864" t="str">
        <f>IF(A864="","",IF('ATP Fills'!G864="LME",'ATP Fills'!I864,""))</f>
        <v/>
      </c>
      <c r="M864" t="str">
        <f t="shared" si="13"/>
        <v/>
      </c>
    </row>
    <row r="865" spans="1:13">
      <c r="A865" t="str">
        <f>IF('ATP Fills'!A865="","",IF('ATP Fills'!Q865="PHILLIPSG",'ATP Fills'!F865,""))</f>
        <v/>
      </c>
      <c r="B865" t="str">
        <f>IF(A865="","",'ATP Fills'!L865)</f>
        <v/>
      </c>
      <c r="C865" t="str">
        <f>IF(A865="","",'ATP Fills'!M865)</f>
        <v/>
      </c>
      <c r="D865" t="str">
        <f>IF(A865="","",'ATP Fills'!B865)</f>
        <v/>
      </c>
      <c r="E865" s="3" t="str">
        <f>IF(A865="","",IF(DATE(LEFT(D865,4),MID(D865,5,2),RIGHT(D865,2))=Helper1!$P$1,Helper1!$P$1,""))</f>
        <v/>
      </c>
      <c r="F865" s="3" t="str">
        <f>IF(A865="","",'ATP Fills'!G865)</f>
        <v/>
      </c>
      <c r="G865" t="str">
        <f>IF(A865="","",'ATP Fills'!H865)</f>
        <v/>
      </c>
      <c r="H865" t="str">
        <f>IF(A865="","",VLOOKUP(G865,表3_3[],2,0))</f>
        <v/>
      </c>
      <c r="I865" t="str">
        <f>IF(A865="","",VLOOKUP(G865,表3_3[],3,0))</f>
        <v/>
      </c>
      <c r="J865" t="str">
        <f>IF(A865="","",IF('ATP Fills'!I865="3M","",VLOOKUP(RIGHT('ATP Fills'!I865,2),Helper1!$O$36:$P$48,2,0)))</f>
        <v/>
      </c>
      <c r="K865" t="str">
        <f>IF(J865="","",LEFT('ATP Fills'!I865,4))</f>
        <v/>
      </c>
      <c r="L865" t="str">
        <f>IF(A865="","",IF('ATP Fills'!G865="LME",'ATP Fills'!I865,""))</f>
        <v/>
      </c>
      <c r="M865" t="str">
        <f t="shared" si="13"/>
        <v/>
      </c>
    </row>
    <row r="866" spans="1:13">
      <c r="A866" t="str">
        <f>IF('ATP Fills'!A866="","",IF('ATP Fills'!Q866="PHILLIPSG",'ATP Fills'!F866,""))</f>
        <v/>
      </c>
      <c r="B866" t="str">
        <f>IF(A866="","",'ATP Fills'!L866)</f>
        <v/>
      </c>
      <c r="C866" t="str">
        <f>IF(A866="","",'ATP Fills'!M866)</f>
        <v/>
      </c>
      <c r="D866" t="str">
        <f>IF(A866="","",'ATP Fills'!B866)</f>
        <v/>
      </c>
      <c r="E866" s="3" t="str">
        <f>IF(A866="","",IF(DATE(LEFT(D866,4),MID(D866,5,2),RIGHT(D866,2))=Helper1!$P$1,Helper1!$P$1,""))</f>
        <v/>
      </c>
      <c r="F866" s="3" t="str">
        <f>IF(A866="","",'ATP Fills'!G866)</f>
        <v/>
      </c>
      <c r="G866" t="str">
        <f>IF(A866="","",'ATP Fills'!H866)</f>
        <v/>
      </c>
      <c r="H866" t="str">
        <f>IF(A866="","",VLOOKUP(G866,表3_3[],2,0))</f>
        <v/>
      </c>
      <c r="I866" t="str">
        <f>IF(A866="","",VLOOKUP(G866,表3_3[],3,0))</f>
        <v/>
      </c>
      <c r="J866" t="str">
        <f>IF(A866="","",IF('ATP Fills'!I866="3M","",VLOOKUP(RIGHT('ATP Fills'!I866,2),Helper1!$O$36:$P$48,2,0)))</f>
        <v/>
      </c>
      <c r="K866" t="str">
        <f>IF(J866="","",LEFT('ATP Fills'!I866,4))</f>
        <v/>
      </c>
      <c r="L866" t="str">
        <f>IF(A866="","",IF('ATP Fills'!G866="LME",'ATP Fills'!I866,""))</f>
        <v/>
      </c>
      <c r="M866" t="str">
        <f t="shared" si="13"/>
        <v/>
      </c>
    </row>
    <row r="867" spans="1:13">
      <c r="A867" t="str">
        <f>IF('ATP Fills'!A867="","",IF('ATP Fills'!Q867="PHILLIPSG",'ATP Fills'!F867,""))</f>
        <v/>
      </c>
      <c r="B867" t="str">
        <f>IF(A867="","",'ATP Fills'!L867)</f>
        <v/>
      </c>
      <c r="C867" t="str">
        <f>IF(A867="","",'ATP Fills'!M867)</f>
        <v/>
      </c>
      <c r="D867" t="str">
        <f>IF(A867="","",'ATP Fills'!B867)</f>
        <v/>
      </c>
      <c r="E867" s="3" t="str">
        <f>IF(A867="","",IF(DATE(LEFT(D867,4),MID(D867,5,2),RIGHT(D867,2))=Helper1!$P$1,Helper1!$P$1,""))</f>
        <v/>
      </c>
      <c r="F867" s="3" t="str">
        <f>IF(A867="","",'ATP Fills'!G867)</f>
        <v/>
      </c>
      <c r="G867" t="str">
        <f>IF(A867="","",'ATP Fills'!H867)</f>
        <v/>
      </c>
      <c r="H867" t="str">
        <f>IF(A867="","",VLOOKUP(G867,表3_3[],2,0))</f>
        <v/>
      </c>
      <c r="I867" t="str">
        <f>IF(A867="","",VLOOKUP(G867,表3_3[],3,0))</f>
        <v/>
      </c>
      <c r="J867" t="str">
        <f>IF(A867="","",IF('ATP Fills'!I867="3M","",VLOOKUP(RIGHT('ATP Fills'!I867,2),Helper1!$O$36:$P$48,2,0)))</f>
        <v/>
      </c>
      <c r="K867" t="str">
        <f>IF(J867="","",LEFT('ATP Fills'!I867,4))</f>
        <v/>
      </c>
      <c r="L867" t="str">
        <f>IF(A867="","",IF('ATP Fills'!G867="LME",'ATP Fills'!I867,""))</f>
        <v/>
      </c>
      <c r="M867" t="str">
        <f t="shared" si="13"/>
        <v/>
      </c>
    </row>
    <row r="868" spans="1:13">
      <c r="A868" t="str">
        <f>IF('ATP Fills'!A868="","",IF('ATP Fills'!Q868="PHILLIPSG",'ATP Fills'!F868,""))</f>
        <v/>
      </c>
      <c r="B868" t="str">
        <f>IF(A868="","",'ATP Fills'!L868)</f>
        <v/>
      </c>
      <c r="C868" t="str">
        <f>IF(A868="","",'ATP Fills'!M868)</f>
        <v/>
      </c>
      <c r="D868" t="str">
        <f>IF(A868="","",'ATP Fills'!B868)</f>
        <v/>
      </c>
      <c r="E868" s="3" t="str">
        <f>IF(A868="","",IF(DATE(LEFT(D868,4),MID(D868,5,2),RIGHT(D868,2))=Helper1!$P$1,Helper1!$P$1,""))</f>
        <v/>
      </c>
      <c r="F868" s="3" t="str">
        <f>IF(A868="","",'ATP Fills'!G868)</f>
        <v/>
      </c>
      <c r="G868" t="str">
        <f>IF(A868="","",'ATP Fills'!H868)</f>
        <v/>
      </c>
      <c r="H868" t="str">
        <f>IF(A868="","",VLOOKUP(G868,表3_3[],2,0))</f>
        <v/>
      </c>
      <c r="I868" t="str">
        <f>IF(A868="","",VLOOKUP(G868,表3_3[],3,0))</f>
        <v/>
      </c>
      <c r="J868" t="str">
        <f>IF(A868="","",IF('ATP Fills'!I868="3M","",VLOOKUP(RIGHT('ATP Fills'!I868,2),Helper1!$O$36:$P$48,2,0)))</f>
        <v/>
      </c>
      <c r="K868" t="str">
        <f>IF(J868="","",LEFT('ATP Fills'!I868,4))</f>
        <v/>
      </c>
      <c r="L868" t="str">
        <f>IF(A868="","",IF('ATP Fills'!G868="LME",'ATP Fills'!I868,""))</f>
        <v/>
      </c>
      <c r="M868" t="str">
        <f t="shared" si="13"/>
        <v/>
      </c>
    </row>
    <row r="869" spans="1:13">
      <c r="A869" t="str">
        <f>IF('ATP Fills'!A869="","",IF('ATP Fills'!Q869="PHILLIPSG",'ATP Fills'!F869,""))</f>
        <v/>
      </c>
      <c r="B869" t="str">
        <f>IF(A869="","",'ATP Fills'!L869)</f>
        <v/>
      </c>
      <c r="C869" t="str">
        <f>IF(A869="","",'ATP Fills'!M869)</f>
        <v/>
      </c>
      <c r="D869" t="str">
        <f>IF(A869="","",'ATP Fills'!B869)</f>
        <v/>
      </c>
      <c r="E869" s="3" t="str">
        <f>IF(A869="","",IF(DATE(LEFT(D869,4),MID(D869,5,2),RIGHT(D869,2))=Helper1!$P$1,Helper1!$P$1,""))</f>
        <v/>
      </c>
      <c r="F869" s="3" t="str">
        <f>IF(A869="","",'ATP Fills'!G869)</f>
        <v/>
      </c>
      <c r="G869" t="str">
        <f>IF(A869="","",'ATP Fills'!H869)</f>
        <v/>
      </c>
      <c r="H869" t="str">
        <f>IF(A869="","",VLOOKUP(G869,表3_3[],2,0))</f>
        <v/>
      </c>
      <c r="I869" t="str">
        <f>IF(A869="","",VLOOKUP(G869,表3_3[],3,0))</f>
        <v/>
      </c>
      <c r="J869" t="str">
        <f>IF(A869="","",IF('ATP Fills'!I869="3M","",VLOOKUP(RIGHT('ATP Fills'!I869,2),Helper1!$O$36:$P$48,2,0)))</f>
        <v/>
      </c>
      <c r="K869" t="str">
        <f>IF(J869="","",LEFT('ATP Fills'!I869,4))</f>
        <v/>
      </c>
      <c r="L869" t="str">
        <f>IF(A869="","",IF('ATP Fills'!G869="LME",'ATP Fills'!I869,""))</f>
        <v/>
      </c>
      <c r="M869" t="str">
        <f t="shared" si="13"/>
        <v/>
      </c>
    </row>
    <row r="870" spans="1:13">
      <c r="A870" t="str">
        <f>IF('ATP Fills'!A870="","",IF('ATP Fills'!Q870="PHILLIPSG",'ATP Fills'!F870,""))</f>
        <v/>
      </c>
      <c r="B870" t="str">
        <f>IF(A870="","",'ATP Fills'!L870)</f>
        <v/>
      </c>
      <c r="C870" t="str">
        <f>IF(A870="","",'ATP Fills'!M870)</f>
        <v/>
      </c>
      <c r="D870" t="str">
        <f>IF(A870="","",'ATP Fills'!B870)</f>
        <v/>
      </c>
      <c r="E870" s="3" t="str">
        <f>IF(A870="","",IF(DATE(LEFT(D870,4),MID(D870,5,2),RIGHT(D870,2))=Helper1!$P$1,Helper1!$P$1,""))</f>
        <v/>
      </c>
      <c r="F870" s="3" t="str">
        <f>IF(A870="","",'ATP Fills'!G870)</f>
        <v/>
      </c>
      <c r="G870" t="str">
        <f>IF(A870="","",'ATP Fills'!H870)</f>
        <v/>
      </c>
      <c r="H870" t="str">
        <f>IF(A870="","",VLOOKUP(G870,表3_3[],2,0))</f>
        <v/>
      </c>
      <c r="I870" t="str">
        <f>IF(A870="","",VLOOKUP(G870,表3_3[],3,0))</f>
        <v/>
      </c>
      <c r="J870" t="str">
        <f>IF(A870="","",IF('ATP Fills'!I870="3M","",VLOOKUP(RIGHT('ATP Fills'!I870,2),Helper1!$O$36:$P$48,2,0)))</f>
        <v/>
      </c>
      <c r="K870" t="str">
        <f>IF(J870="","",LEFT('ATP Fills'!I870,4))</f>
        <v/>
      </c>
      <c r="L870" t="str">
        <f>IF(A870="","",IF('ATP Fills'!G870="LME",'ATP Fills'!I870,""))</f>
        <v/>
      </c>
      <c r="M870" t="str">
        <f t="shared" si="13"/>
        <v/>
      </c>
    </row>
    <row r="871" spans="1:13">
      <c r="A871" t="str">
        <f>IF('ATP Fills'!A871="","",IF('ATP Fills'!Q871="PHILLIPSG",'ATP Fills'!F871,""))</f>
        <v/>
      </c>
      <c r="B871" t="str">
        <f>IF(A871="","",'ATP Fills'!L871)</f>
        <v/>
      </c>
      <c r="C871" t="str">
        <f>IF(A871="","",'ATP Fills'!M871)</f>
        <v/>
      </c>
      <c r="D871" t="str">
        <f>IF(A871="","",'ATP Fills'!B871)</f>
        <v/>
      </c>
      <c r="E871" s="3" t="str">
        <f>IF(A871="","",IF(DATE(LEFT(D871,4),MID(D871,5,2),RIGHT(D871,2))=Helper1!$P$1,Helper1!$P$1,""))</f>
        <v/>
      </c>
      <c r="F871" s="3" t="str">
        <f>IF(A871="","",'ATP Fills'!G871)</f>
        <v/>
      </c>
      <c r="G871" t="str">
        <f>IF(A871="","",'ATP Fills'!H871)</f>
        <v/>
      </c>
      <c r="H871" t="str">
        <f>IF(A871="","",VLOOKUP(G871,表3_3[],2,0))</f>
        <v/>
      </c>
      <c r="I871" t="str">
        <f>IF(A871="","",VLOOKUP(G871,表3_3[],3,0))</f>
        <v/>
      </c>
      <c r="J871" t="str">
        <f>IF(A871="","",IF('ATP Fills'!I871="3M","",VLOOKUP(RIGHT('ATP Fills'!I871,2),Helper1!$O$36:$P$48,2,0)))</f>
        <v/>
      </c>
      <c r="K871" t="str">
        <f>IF(J871="","",LEFT('ATP Fills'!I871,4))</f>
        <v/>
      </c>
      <c r="L871" t="str">
        <f>IF(A871="","",IF('ATP Fills'!G871="LME",'ATP Fills'!I871,""))</f>
        <v/>
      </c>
      <c r="M871" t="str">
        <f t="shared" si="13"/>
        <v/>
      </c>
    </row>
    <row r="872" spans="1:13">
      <c r="A872" t="str">
        <f>IF('ATP Fills'!A872="","",IF('ATP Fills'!Q872="PHILLIPSG",'ATP Fills'!F872,""))</f>
        <v/>
      </c>
      <c r="B872" t="str">
        <f>IF(A872="","",'ATP Fills'!L872)</f>
        <v/>
      </c>
      <c r="C872" t="str">
        <f>IF(A872="","",'ATP Fills'!M872)</f>
        <v/>
      </c>
      <c r="D872" t="str">
        <f>IF(A872="","",'ATP Fills'!B872)</f>
        <v/>
      </c>
      <c r="E872" s="3" t="str">
        <f>IF(A872="","",IF(DATE(LEFT(D872,4),MID(D872,5,2),RIGHT(D872,2))=Helper1!$P$1,Helper1!$P$1,""))</f>
        <v/>
      </c>
      <c r="F872" s="3" t="str">
        <f>IF(A872="","",'ATP Fills'!G872)</f>
        <v/>
      </c>
      <c r="G872" t="str">
        <f>IF(A872="","",'ATP Fills'!H872)</f>
        <v/>
      </c>
      <c r="H872" t="str">
        <f>IF(A872="","",VLOOKUP(G872,表3_3[],2,0))</f>
        <v/>
      </c>
      <c r="I872" t="str">
        <f>IF(A872="","",VLOOKUP(G872,表3_3[],3,0))</f>
        <v/>
      </c>
      <c r="J872" t="str">
        <f>IF(A872="","",IF('ATP Fills'!I872="3M","",VLOOKUP(RIGHT('ATP Fills'!I872,2),Helper1!$O$36:$P$48,2,0)))</f>
        <v/>
      </c>
      <c r="K872" t="str">
        <f>IF(J872="","",LEFT('ATP Fills'!I872,4))</f>
        <v/>
      </c>
      <c r="L872" t="str">
        <f>IF(A872="","",IF('ATP Fills'!G872="LME",'ATP Fills'!I872,""))</f>
        <v/>
      </c>
      <c r="M872" t="str">
        <f t="shared" si="13"/>
        <v/>
      </c>
    </row>
    <row r="873" spans="1:13">
      <c r="A873" t="str">
        <f>IF('ATP Fills'!A873="","",IF('ATP Fills'!Q873="PHILLIPSG",'ATP Fills'!F873,""))</f>
        <v/>
      </c>
      <c r="B873" t="str">
        <f>IF(A873="","",'ATP Fills'!L873)</f>
        <v/>
      </c>
      <c r="C873" t="str">
        <f>IF(A873="","",'ATP Fills'!M873)</f>
        <v/>
      </c>
      <c r="D873" t="str">
        <f>IF(A873="","",'ATP Fills'!B873)</f>
        <v/>
      </c>
      <c r="E873" s="3" t="str">
        <f>IF(A873="","",IF(DATE(LEFT(D873,4),MID(D873,5,2),RIGHT(D873,2))=Helper1!$P$1,Helper1!$P$1,""))</f>
        <v/>
      </c>
      <c r="F873" s="3" t="str">
        <f>IF(A873="","",'ATP Fills'!G873)</f>
        <v/>
      </c>
      <c r="G873" t="str">
        <f>IF(A873="","",'ATP Fills'!H873)</f>
        <v/>
      </c>
      <c r="H873" t="str">
        <f>IF(A873="","",VLOOKUP(G873,表3_3[],2,0))</f>
        <v/>
      </c>
      <c r="I873" t="str">
        <f>IF(A873="","",VLOOKUP(G873,表3_3[],3,0))</f>
        <v/>
      </c>
      <c r="J873" t="str">
        <f>IF(A873="","",IF('ATP Fills'!I873="3M","",VLOOKUP(RIGHT('ATP Fills'!I873,2),Helper1!$O$36:$P$48,2,0)))</f>
        <v/>
      </c>
      <c r="K873" t="str">
        <f>IF(J873="","",LEFT('ATP Fills'!I873,4))</f>
        <v/>
      </c>
      <c r="L873" t="str">
        <f>IF(A873="","",IF('ATP Fills'!G873="LME",'ATP Fills'!I873,""))</f>
        <v/>
      </c>
      <c r="M873" t="str">
        <f t="shared" si="13"/>
        <v/>
      </c>
    </row>
    <row r="874" spans="1:13">
      <c r="A874" t="str">
        <f>IF('ATP Fills'!A874="","",IF('ATP Fills'!Q874="PHILLIPSG",'ATP Fills'!F874,""))</f>
        <v/>
      </c>
      <c r="B874" t="str">
        <f>IF(A874="","",'ATP Fills'!L874)</f>
        <v/>
      </c>
      <c r="C874" t="str">
        <f>IF(A874="","",'ATP Fills'!M874)</f>
        <v/>
      </c>
      <c r="D874" t="str">
        <f>IF(A874="","",'ATP Fills'!B874)</f>
        <v/>
      </c>
      <c r="E874" s="3" t="str">
        <f>IF(A874="","",IF(DATE(LEFT(D874,4),MID(D874,5,2),RIGHT(D874,2))=Helper1!$P$1,Helper1!$P$1,""))</f>
        <v/>
      </c>
      <c r="F874" s="3" t="str">
        <f>IF(A874="","",'ATP Fills'!G874)</f>
        <v/>
      </c>
      <c r="G874" t="str">
        <f>IF(A874="","",'ATP Fills'!H874)</f>
        <v/>
      </c>
      <c r="H874" t="str">
        <f>IF(A874="","",VLOOKUP(G874,表3_3[],2,0))</f>
        <v/>
      </c>
      <c r="I874" t="str">
        <f>IF(A874="","",VLOOKUP(G874,表3_3[],3,0))</f>
        <v/>
      </c>
      <c r="J874" t="str">
        <f>IF(A874="","",IF('ATP Fills'!I874="3M","",VLOOKUP(RIGHT('ATP Fills'!I874,2),Helper1!$O$36:$P$48,2,0)))</f>
        <v/>
      </c>
      <c r="K874" t="str">
        <f>IF(J874="","",LEFT('ATP Fills'!I874,4))</f>
        <v/>
      </c>
      <c r="L874" t="str">
        <f>IF(A874="","",IF('ATP Fills'!G874="LME",'ATP Fills'!I874,""))</f>
        <v/>
      </c>
      <c r="M874" t="str">
        <f t="shared" si="13"/>
        <v/>
      </c>
    </row>
    <row r="875" spans="1:13">
      <c r="A875" t="str">
        <f>IF('ATP Fills'!A875="","",IF('ATP Fills'!Q875="PHILLIPSG",'ATP Fills'!F875,""))</f>
        <v/>
      </c>
      <c r="B875" t="str">
        <f>IF(A875="","",'ATP Fills'!L875)</f>
        <v/>
      </c>
      <c r="C875" t="str">
        <f>IF(A875="","",'ATP Fills'!M875)</f>
        <v/>
      </c>
      <c r="D875" t="str">
        <f>IF(A875="","",'ATP Fills'!B875)</f>
        <v/>
      </c>
      <c r="E875" s="3" t="str">
        <f>IF(A875="","",IF(DATE(LEFT(D875,4),MID(D875,5,2),RIGHT(D875,2))=Helper1!$P$1,Helper1!$P$1,""))</f>
        <v/>
      </c>
      <c r="F875" s="3" t="str">
        <f>IF(A875="","",'ATP Fills'!G875)</f>
        <v/>
      </c>
      <c r="G875" t="str">
        <f>IF(A875="","",'ATP Fills'!H875)</f>
        <v/>
      </c>
      <c r="H875" t="str">
        <f>IF(A875="","",VLOOKUP(G875,表3_3[],2,0))</f>
        <v/>
      </c>
      <c r="I875" t="str">
        <f>IF(A875="","",VLOOKUP(G875,表3_3[],3,0))</f>
        <v/>
      </c>
      <c r="J875" t="str">
        <f>IF(A875="","",IF('ATP Fills'!I875="3M","",VLOOKUP(RIGHT('ATP Fills'!I875,2),Helper1!$O$36:$P$48,2,0)))</f>
        <v/>
      </c>
      <c r="K875" t="str">
        <f>IF(J875="","",LEFT('ATP Fills'!I875,4))</f>
        <v/>
      </c>
      <c r="L875" t="str">
        <f>IF(A875="","",IF('ATP Fills'!G875="LME",'ATP Fills'!I875,""))</f>
        <v/>
      </c>
      <c r="M875" t="str">
        <f t="shared" si="13"/>
        <v/>
      </c>
    </row>
    <row r="876" spans="1:13">
      <c r="A876" t="str">
        <f>IF('ATP Fills'!A876="","",IF('ATP Fills'!Q876="PHILLIPSG",'ATP Fills'!F876,""))</f>
        <v/>
      </c>
      <c r="B876" t="str">
        <f>IF(A876="","",'ATP Fills'!L876)</f>
        <v/>
      </c>
      <c r="C876" t="str">
        <f>IF(A876="","",'ATP Fills'!M876)</f>
        <v/>
      </c>
      <c r="D876" t="str">
        <f>IF(A876="","",'ATP Fills'!B876)</f>
        <v/>
      </c>
      <c r="E876" s="3" t="str">
        <f>IF(A876="","",IF(DATE(LEFT(D876,4),MID(D876,5,2),RIGHT(D876,2))=Helper1!$P$1,Helper1!$P$1,""))</f>
        <v/>
      </c>
      <c r="F876" s="3" t="str">
        <f>IF(A876="","",'ATP Fills'!G876)</f>
        <v/>
      </c>
      <c r="G876" t="str">
        <f>IF(A876="","",'ATP Fills'!H876)</f>
        <v/>
      </c>
      <c r="H876" t="str">
        <f>IF(A876="","",VLOOKUP(G876,表3_3[],2,0))</f>
        <v/>
      </c>
      <c r="I876" t="str">
        <f>IF(A876="","",VLOOKUP(G876,表3_3[],3,0))</f>
        <v/>
      </c>
      <c r="J876" t="str">
        <f>IF(A876="","",IF('ATP Fills'!I876="3M","",VLOOKUP(RIGHT('ATP Fills'!I876,2),Helper1!$O$36:$P$48,2,0)))</f>
        <v/>
      </c>
      <c r="K876" t="str">
        <f>IF(J876="","",LEFT('ATP Fills'!I876,4))</f>
        <v/>
      </c>
      <c r="L876" t="str">
        <f>IF(A876="","",IF('ATP Fills'!G876="LME",'ATP Fills'!I876,""))</f>
        <v/>
      </c>
      <c r="M876" t="str">
        <f t="shared" si="13"/>
        <v/>
      </c>
    </row>
    <row r="877" spans="1:13">
      <c r="A877" t="str">
        <f>IF('ATP Fills'!A877="","",IF('ATP Fills'!Q877="PHILLIPSG",'ATP Fills'!F877,""))</f>
        <v/>
      </c>
      <c r="B877" t="str">
        <f>IF(A877="","",'ATP Fills'!L877)</f>
        <v/>
      </c>
      <c r="C877" t="str">
        <f>IF(A877="","",'ATP Fills'!M877)</f>
        <v/>
      </c>
      <c r="D877" t="str">
        <f>IF(A877="","",'ATP Fills'!B877)</f>
        <v/>
      </c>
      <c r="E877" s="3" t="str">
        <f>IF(A877="","",IF(DATE(LEFT(D877,4),MID(D877,5,2),RIGHT(D877,2))=Helper1!$P$1,Helper1!$P$1,""))</f>
        <v/>
      </c>
      <c r="F877" s="3" t="str">
        <f>IF(A877="","",'ATP Fills'!G877)</f>
        <v/>
      </c>
      <c r="G877" t="str">
        <f>IF(A877="","",'ATP Fills'!H877)</f>
        <v/>
      </c>
      <c r="H877" t="str">
        <f>IF(A877="","",VLOOKUP(G877,表3_3[],2,0))</f>
        <v/>
      </c>
      <c r="I877" t="str">
        <f>IF(A877="","",VLOOKUP(G877,表3_3[],3,0))</f>
        <v/>
      </c>
      <c r="J877" t="str">
        <f>IF(A877="","",IF('ATP Fills'!I877="3M","",VLOOKUP(RIGHT('ATP Fills'!I877,2),Helper1!$O$36:$P$48,2,0)))</f>
        <v/>
      </c>
      <c r="K877" t="str">
        <f>IF(J877="","",LEFT('ATP Fills'!I877,4))</f>
        <v/>
      </c>
      <c r="L877" t="str">
        <f>IF(A877="","",IF('ATP Fills'!G877="LME",'ATP Fills'!I877,""))</f>
        <v/>
      </c>
      <c r="M877" t="str">
        <f t="shared" si="13"/>
        <v/>
      </c>
    </row>
    <row r="878" spans="1:13">
      <c r="A878" t="str">
        <f>IF('ATP Fills'!A878="","",IF('ATP Fills'!Q878="PHILLIPSG",'ATP Fills'!F878,""))</f>
        <v/>
      </c>
      <c r="B878" t="str">
        <f>IF(A878="","",'ATP Fills'!L878)</f>
        <v/>
      </c>
      <c r="C878" t="str">
        <f>IF(A878="","",'ATP Fills'!M878)</f>
        <v/>
      </c>
      <c r="D878" t="str">
        <f>IF(A878="","",'ATP Fills'!B878)</f>
        <v/>
      </c>
      <c r="E878" s="3" t="str">
        <f>IF(A878="","",IF(DATE(LEFT(D878,4),MID(D878,5,2),RIGHT(D878,2))=Helper1!$P$1,Helper1!$P$1,""))</f>
        <v/>
      </c>
      <c r="F878" s="3" t="str">
        <f>IF(A878="","",'ATP Fills'!G878)</f>
        <v/>
      </c>
      <c r="G878" t="str">
        <f>IF(A878="","",'ATP Fills'!H878)</f>
        <v/>
      </c>
      <c r="H878" t="str">
        <f>IF(A878="","",VLOOKUP(G878,表3_3[],2,0))</f>
        <v/>
      </c>
      <c r="I878" t="str">
        <f>IF(A878="","",VLOOKUP(G878,表3_3[],3,0))</f>
        <v/>
      </c>
      <c r="J878" t="str">
        <f>IF(A878="","",IF('ATP Fills'!I878="3M","",VLOOKUP(RIGHT('ATP Fills'!I878,2),Helper1!$O$36:$P$48,2,0)))</f>
        <v/>
      </c>
      <c r="K878" t="str">
        <f>IF(J878="","",LEFT('ATP Fills'!I878,4))</f>
        <v/>
      </c>
      <c r="L878" t="str">
        <f>IF(A878="","",IF('ATP Fills'!G878="LME",'ATP Fills'!I878,""))</f>
        <v/>
      </c>
      <c r="M878" t="str">
        <f t="shared" si="13"/>
        <v/>
      </c>
    </row>
    <row r="879" spans="1:13">
      <c r="A879" t="str">
        <f>IF('ATP Fills'!A879="","",IF('ATP Fills'!Q879="PHILLIPSG",'ATP Fills'!F879,""))</f>
        <v/>
      </c>
      <c r="B879" t="str">
        <f>IF(A879="","",'ATP Fills'!L879)</f>
        <v/>
      </c>
      <c r="C879" t="str">
        <f>IF(A879="","",'ATP Fills'!M879)</f>
        <v/>
      </c>
      <c r="D879" t="str">
        <f>IF(A879="","",'ATP Fills'!B879)</f>
        <v/>
      </c>
      <c r="E879" s="3" t="str">
        <f>IF(A879="","",IF(DATE(LEFT(D879,4),MID(D879,5,2),RIGHT(D879,2))=Helper1!$P$1,Helper1!$P$1,""))</f>
        <v/>
      </c>
      <c r="F879" s="3" t="str">
        <f>IF(A879="","",'ATP Fills'!G879)</f>
        <v/>
      </c>
      <c r="G879" t="str">
        <f>IF(A879="","",'ATP Fills'!H879)</f>
        <v/>
      </c>
      <c r="H879" t="str">
        <f>IF(A879="","",VLOOKUP(G879,表3_3[],2,0))</f>
        <v/>
      </c>
      <c r="I879" t="str">
        <f>IF(A879="","",VLOOKUP(G879,表3_3[],3,0))</f>
        <v/>
      </c>
      <c r="J879" t="str">
        <f>IF(A879="","",IF('ATP Fills'!I879="3M","",VLOOKUP(RIGHT('ATP Fills'!I879,2),Helper1!$O$36:$P$48,2,0)))</f>
        <v/>
      </c>
      <c r="K879" t="str">
        <f>IF(J879="","",LEFT('ATP Fills'!I879,4))</f>
        <v/>
      </c>
      <c r="L879" t="str">
        <f>IF(A879="","",IF('ATP Fills'!G879="LME",'ATP Fills'!I879,""))</f>
        <v/>
      </c>
      <c r="M879" t="str">
        <f t="shared" si="13"/>
        <v/>
      </c>
    </row>
    <row r="880" spans="1:13">
      <c r="A880" t="str">
        <f>IF('ATP Fills'!A880="","",IF('ATP Fills'!Q880="PHILLIPSG",'ATP Fills'!F880,""))</f>
        <v/>
      </c>
      <c r="B880" t="str">
        <f>IF(A880="","",'ATP Fills'!L880)</f>
        <v/>
      </c>
      <c r="C880" t="str">
        <f>IF(A880="","",'ATP Fills'!M880)</f>
        <v/>
      </c>
      <c r="D880" t="str">
        <f>IF(A880="","",'ATP Fills'!B880)</f>
        <v/>
      </c>
      <c r="E880" s="3" t="str">
        <f>IF(A880="","",IF(DATE(LEFT(D880,4),MID(D880,5,2),RIGHT(D880,2))=Helper1!$P$1,Helper1!$P$1,""))</f>
        <v/>
      </c>
      <c r="F880" s="3" t="str">
        <f>IF(A880="","",'ATP Fills'!G880)</f>
        <v/>
      </c>
      <c r="G880" t="str">
        <f>IF(A880="","",'ATP Fills'!H880)</f>
        <v/>
      </c>
      <c r="H880" t="str">
        <f>IF(A880="","",VLOOKUP(G880,表3_3[],2,0))</f>
        <v/>
      </c>
      <c r="I880" t="str">
        <f>IF(A880="","",VLOOKUP(G880,表3_3[],3,0))</f>
        <v/>
      </c>
      <c r="J880" t="str">
        <f>IF(A880="","",IF('ATP Fills'!I880="3M","",VLOOKUP(RIGHT('ATP Fills'!I880,2),Helper1!$O$36:$P$48,2,0)))</f>
        <v/>
      </c>
      <c r="K880" t="str">
        <f>IF(J880="","",LEFT('ATP Fills'!I880,4))</f>
        <v/>
      </c>
      <c r="L880" t="str">
        <f>IF(A880="","",IF('ATP Fills'!G880="LME",'ATP Fills'!I880,""))</f>
        <v/>
      </c>
      <c r="M880" t="str">
        <f t="shared" si="13"/>
        <v/>
      </c>
    </row>
    <row r="881" spans="1:13">
      <c r="A881" t="str">
        <f>IF('ATP Fills'!A881="","",IF('ATP Fills'!Q881="PHILLIPSG",'ATP Fills'!F881,""))</f>
        <v/>
      </c>
      <c r="B881" t="str">
        <f>IF(A881="","",'ATP Fills'!L881)</f>
        <v/>
      </c>
      <c r="C881" t="str">
        <f>IF(A881="","",'ATP Fills'!M881)</f>
        <v/>
      </c>
      <c r="D881" t="str">
        <f>IF(A881="","",'ATP Fills'!B881)</f>
        <v/>
      </c>
      <c r="E881" s="3" t="str">
        <f>IF(A881="","",IF(DATE(LEFT(D881,4),MID(D881,5,2),RIGHT(D881,2))=Helper1!$P$1,Helper1!$P$1,""))</f>
        <v/>
      </c>
      <c r="F881" s="3" t="str">
        <f>IF(A881="","",'ATP Fills'!G881)</f>
        <v/>
      </c>
      <c r="G881" t="str">
        <f>IF(A881="","",'ATP Fills'!H881)</f>
        <v/>
      </c>
      <c r="H881" t="str">
        <f>IF(A881="","",VLOOKUP(G881,表3_3[],2,0))</f>
        <v/>
      </c>
      <c r="I881" t="str">
        <f>IF(A881="","",VLOOKUP(G881,表3_3[],3,0))</f>
        <v/>
      </c>
      <c r="J881" t="str">
        <f>IF(A881="","",IF('ATP Fills'!I881="3M","",VLOOKUP(RIGHT('ATP Fills'!I881,2),Helper1!$O$36:$P$48,2,0)))</f>
        <v/>
      </c>
      <c r="K881" t="str">
        <f>IF(J881="","",LEFT('ATP Fills'!I881,4))</f>
        <v/>
      </c>
      <c r="L881" t="str">
        <f>IF(A881="","",IF('ATP Fills'!G881="LME",'ATP Fills'!I881,""))</f>
        <v/>
      </c>
      <c r="M881" t="str">
        <f t="shared" si="13"/>
        <v/>
      </c>
    </row>
    <row r="882" spans="1:13">
      <c r="A882" t="str">
        <f>IF('ATP Fills'!A882="","",IF('ATP Fills'!Q882="PHILLIPSG",'ATP Fills'!F882,""))</f>
        <v/>
      </c>
      <c r="B882" t="str">
        <f>IF(A882="","",'ATP Fills'!L882)</f>
        <v/>
      </c>
      <c r="C882" t="str">
        <f>IF(A882="","",'ATP Fills'!M882)</f>
        <v/>
      </c>
      <c r="D882" t="str">
        <f>IF(A882="","",'ATP Fills'!B882)</f>
        <v/>
      </c>
      <c r="E882" s="3" t="str">
        <f>IF(A882="","",IF(DATE(LEFT(D882,4),MID(D882,5,2),RIGHT(D882,2))=Helper1!$P$1,Helper1!$P$1,""))</f>
        <v/>
      </c>
      <c r="F882" s="3" t="str">
        <f>IF(A882="","",'ATP Fills'!G882)</f>
        <v/>
      </c>
      <c r="G882" t="str">
        <f>IF(A882="","",'ATP Fills'!H882)</f>
        <v/>
      </c>
      <c r="H882" t="str">
        <f>IF(A882="","",VLOOKUP(G882,表3_3[],2,0))</f>
        <v/>
      </c>
      <c r="I882" t="str">
        <f>IF(A882="","",VLOOKUP(G882,表3_3[],3,0))</f>
        <v/>
      </c>
      <c r="J882" t="str">
        <f>IF(A882="","",IF('ATP Fills'!I882="3M","",VLOOKUP(RIGHT('ATP Fills'!I882,2),Helper1!$O$36:$P$48,2,0)))</f>
        <v/>
      </c>
      <c r="K882" t="str">
        <f>IF(J882="","",LEFT('ATP Fills'!I882,4))</f>
        <v/>
      </c>
      <c r="L882" t="str">
        <f>IF(A882="","",IF('ATP Fills'!G882="LME",'ATP Fills'!I882,""))</f>
        <v/>
      </c>
      <c r="M882" t="str">
        <f t="shared" si="13"/>
        <v/>
      </c>
    </row>
    <row r="883" spans="1:13">
      <c r="A883" t="str">
        <f>IF('ATP Fills'!A883="","",IF('ATP Fills'!Q883="PHILLIPSG",'ATP Fills'!F883,""))</f>
        <v/>
      </c>
      <c r="B883" t="str">
        <f>IF(A883="","",'ATP Fills'!L883)</f>
        <v/>
      </c>
      <c r="C883" t="str">
        <f>IF(A883="","",'ATP Fills'!M883)</f>
        <v/>
      </c>
      <c r="D883" t="str">
        <f>IF(A883="","",'ATP Fills'!B883)</f>
        <v/>
      </c>
      <c r="E883" s="3" t="str">
        <f>IF(A883="","",IF(DATE(LEFT(D883,4),MID(D883,5,2),RIGHT(D883,2))=Helper1!$P$1,Helper1!$P$1,""))</f>
        <v/>
      </c>
      <c r="F883" s="3" t="str">
        <f>IF(A883="","",'ATP Fills'!G883)</f>
        <v/>
      </c>
      <c r="G883" t="str">
        <f>IF(A883="","",'ATP Fills'!H883)</f>
        <v/>
      </c>
      <c r="H883" t="str">
        <f>IF(A883="","",VLOOKUP(G883,表3_3[],2,0))</f>
        <v/>
      </c>
      <c r="I883" t="str">
        <f>IF(A883="","",VLOOKUP(G883,表3_3[],3,0))</f>
        <v/>
      </c>
      <c r="J883" t="str">
        <f>IF(A883="","",IF('ATP Fills'!I883="3M","",VLOOKUP(RIGHT('ATP Fills'!I883,2),Helper1!$O$36:$P$48,2,0)))</f>
        <v/>
      </c>
      <c r="K883" t="str">
        <f>IF(J883="","",LEFT('ATP Fills'!I883,4))</f>
        <v/>
      </c>
      <c r="L883" t="str">
        <f>IF(A883="","",IF('ATP Fills'!G883="LME",'ATP Fills'!I883,""))</f>
        <v/>
      </c>
      <c r="M883" t="str">
        <f t="shared" si="13"/>
        <v/>
      </c>
    </row>
    <row r="884" spans="1:13">
      <c r="A884" t="str">
        <f>IF('ATP Fills'!A884="","",IF('ATP Fills'!Q884="PHILLIPSG",'ATP Fills'!F884,""))</f>
        <v/>
      </c>
      <c r="B884" t="str">
        <f>IF(A884="","",'ATP Fills'!L884)</f>
        <v/>
      </c>
      <c r="C884" t="str">
        <f>IF(A884="","",'ATP Fills'!M884)</f>
        <v/>
      </c>
      <c r="D884" t="str">
        <f>IF(A884="","",'ATP Fills'!B884)</f>
        <v/>
      </c>
      <c r="E884" s="3" t="str">
        <f>IF(A884="","",IF(DATE(LEFT(D884,4),MID(D884,5,2),RIGHT(D884,2))=Helper1!$P$1,Helper1!$P$1,""))</f>
        <v/>
      </c>
      <c r="F884" s="3" t="str">
        <f>IF(A884="","",'ATP Fills'!G884)</f>
        <v/>
      </c>
      <c r="G884" t="str">
        <f>IF(A884="","",'ATP Fills'!H884)</f>
        <v/>
      </c>
      <c r="H884" t="str">
        <f>IF(A884="","",VLOOKUP(G884,表3_3[],2,0))</f>
        <v/>
      </c>
      <c r="I884" t="str">
        <f>IF(A884="","",VLOOKUP(G884,表3_3[],3,0))</f>
        <v/>
      </c>
      <c r="J884" t="str">
        <f>IF(A884="","",IF('ATP Fills'!I884="3M","",VLOOKUP(RIGHT('ATP Fills'!I884,2),Helper1!$O$36:$P$48,2,0)))</f>
        <v/>
      </c>
      <c r="K884" t="str">
        <f>IF(J884="","",LEFT('ATP Fills'!I884,4))</f>
        <v/>
      </c>
      <c r="L884" t="str">
        <f>IF(A884="","",IF('ATP Fills'!G884="LME",'ATP Fills'!I884,""))</f>
        <v/>
      </c>
      <c r="M884" t="str">
        <f t="shared" si="13"/>
        <v/>
      </c>
    </row>
    <row r="885" spans="1:13">
      <c r="A885" t="str">
        <f>IF('ATP Fills'!A885="","",IF('ATP Fills'!Q885="PHILLIPSG",'ATP Fills'!F885,""))</f>
        <v/>
      </c>
      <c r="B885" t="str">
        <f>IF(A885="","",'ATP Fills'!L885)</f>
        <v/>
      </c>
      <c r="C885" t="str">
        <f>IF(A885="","",'ATP Fills'!M885)</f>
        <v/>
      </c>
      <c r="D885" t="str">
        <f>IF(A885="","",'ATP Fills'!B885)</f>
        <v/>
      </c>
      <c r="E885" s="3" t="str">
        <f>IF(A885="","",IF(DATE(LEFT(D885,4),MID(D885,5,2),RIGHT(D885,2))=Helper1!$P$1,Helper1!$P$1,""))</f>
        <v/>
      </c>
      <c r="F885" s="3" t="str">
        <f>IF(A885="","",'ATP Fills'!G885)</f>
        <v/>
      </c>
      <c r="G885" t="str">
        <f>IF(A885="","",'ATP Fills'!H885)</f>
        <v/>
      </c>
      <c r="H885" t="str">
        <f>IF(A885="","",VLOOKUP(G885,表3_3[],2,0))</f>
        <v/>
      </c>
      <c r="I885" t="str">
        <f>IF(A885="","",VLOOKUP(G885,表3_3[],3,0))</f>
        <v/>
      </c>
      <c r="J885" t="str">
        <f>IF(A885="","",IF('ATP Fills'!I885="3M","",VLOOKUP(RIGHT('ATP Fills'!I885,2),Helper1!$O$36:$P$48,2,0)))</f>
        <v/>
      </c>
      <c r="K885" t="str">
        <f>IF(J885="","",LEFT('ATP Fills'!I885,4))</f>
        <v/>
      </c>
      <c r="L885" t="str">
        <f>IF(A885="","",IF('ATP Fills'!G885="LME",'ATP Fills'!I885,""))</f>
        <v/>
      </c>
      <c r="M885" t="str">
        <f t="shared" si="13"/>
        <v/>
      </c>
    </row>
    <row r="886" spans="1:13">
      <c r="A886" t="str">
        <f>IF('ATP Fills'!A886="","",IF('ATP Fills'!Q886="PHILLIPSG",'ATP Fills'!F886,""))</f>
        <v/>
      </c>
      <c r="B886" t="str">
        <f>IF(A886="","",'ATP Fills'!L886)</f>
        <v/>
      </c>
      <c r="C886" t="str">
        <f>IF(A886="","",'ATP Fills'!M886)</f>
        <v/>
      </c>
      <c r="D886" t="str">
        <f>IF(A886="","",'ATP Fills'!B886)</f>
        <v/>
      </c>
      <c r="E886" s="3" t="str">
        <f>IF(A886="","",IF(DATE(LEFT(D886,4),MID(D886,5,2),RIGHT(D886,2))=Helper1!$P$1,Helper1!$P$1,""))</f>
        <v/>
      </c>
      <c r="F886" s="3" t="str">
        <f>IF(A886="","",'ATP Fills'!G886)</f>
        <v/>
      </c>
      <c r="G886" t="str">
        <f>IF(A886="","",'ATP Fills'!H886)</f>
        <v/>
      </c>
      <c r="H886" t="str">
        <f>IF(A886="","",VLOOKUP(G886,表3_3[],2,0))</f>
        <v/>
      </c>
      <c r="I886" t="str">
        <f>IF(A886="","",VLOOKUP(G886,表3_3[],3,0))</f>
        <v/>
      </c>
      <c r="J886" t="str">
        <f>IF(A886="","",IF('ATP Fills'!I886="3M","",VLOOKUP(RIGHT('ATP Fills'!I886,2),Helper1!$O$36:$P$48,2,0)))</f>
        <v/>
      </c>
      <c r="K886" t="str">
        <f>IF(J886="","",LEFT('ATP Fills'!I886,4))</f>
        <v/>
      </c>
      <c r="L886" t="str">
        <f>IF(A886="","",IF('ATP Fills'!G886="LME",'ATP Fills'!I886,""))</f>
        <v/>
      </c>
      <c r="M886" t="str">
        <f t="shared" si="13"/>
        <v/>
      </c>
    </row>
    <row r="887" spans="1:13">
      <c r="A887" t="str">
        <f>IF('ATP Fills'!A887="","",IF('ATP Fills'!Q887="PHILLIPSG",'ATP Fills'!F887,""))</f>
        <v/>
      </c>
      <c r="B887" t="str">
        <f>IF(A887="","",'ATP Fills'!L887)</f>
        <v/>
      </c>
      <c r="C887" t="str">
        <f>IF(A887="","",'ATP Fills'!M887)</f>
        <v/>
      </c>
      <c r="D887" t="str">
        <f>IF(A887="","",'ATP Fills'!B887)</f>
        <v/>
      </c>
      <c r="E887" s="3" t="str">
        <f>IF(A887="","",IF(DATE(LEFT(D887,4),MID(D887,5,2),RIGHT(D887,2))=Helper1!$P$1,Helper1!$P$1,""))</f>
        <v/>
      </c>
      <c r="F887" s="3" t="str">
        <f>IF(A887="","",'ATP Fills'!G887)</f>
        <v/>
      </c>
      <c r="G887" t="str">
        <f>IF(A887="","",'ATP Fills'!H887)</f>
        <v/>
      </c>
      <c r="H887" t="str">
        <f>IF(A887="","",VLOOKUP(G887,表3_3[],2,0))</f>
        <v/>
      </c>
      <c r="I887" t="str">
        <f>IF(A887="","",VLOOKUP(G887,表3_3[],3,0))</f>
        <v/>
      </c>
      <c r="J887" t="str">
        <f>IF(A887="","",IF('ATP Fills'!I887="3M","",VLOOKUP(RIGHT('ATP Fills'!I887,2),Helper1!$O$36:$P$48,2,0)))</f>
        <v/>
      </c>
      <c r="K887" t="str">
        <f>IF(J887="","",LEFT('ATP Fills'!I887,4))</f>
        <v/>
      </c>
      <c r="L887" t="str">
        <f>IF(A887="","",IF('ATP Fills'!G887="LME",'ATP Fills'!I887,""))</f>
        <v/>
      </c>
      <c r="M887" t="str">
        <f t="shared" si="13"/>
        <v/>
      </c>
    </row>
    <row r="888" spans="1:13">
      <c r="A888" t="str">
        <f>IF('ATP Fills'!A888="","",IF('ATP Fills'!Q888="PHILLIPSG",'ATP Fills'!F888,""))</f>
        <v/>
      </c>
      <c r="B888" t="str">
        <f>IF(A888="","",'ATP Fills'!L888)</f>
        <v/>
      </c>
      <c r="C888" t="str">
        <f>IF(A888="","",'ATP Fills'!M888)</f>
        <v/>
      </c>
      <c r="D888" t="str">
        <f>IF(A888="","",'ATP Fills'!B888)</f>
        <v/>
      </c>
      <c r="E888" s="3" t="str">
        <f>IF(A888="","",IF(DATE(LEFT(D888,4),MID(D888,5,2),RIGHT(D888,2))=Helper1!$P$1,Helper1!$P$1,""))</f>
        <v/>
      </c>
      <c r="F888" s="3" t="str">
        <f>IF(A888="","",'ATP Fills'!G888)</f>
        <v/>
      </c>
      <c r="G888" t="str">
        <f>IF(A888="","",'ATP Fills'!H888)</f>
        <v/>
      </c>
      <c r="H888" t="str">
        <f>IF(A888="","",VLOOKUP(G888,表3_3[],2,0))</f>
        <v/>
      </c>
      <c r="I888" t="str">
        <f>IF(A888="","",VLOOKUP(G888,表3_3[],3,0))</f>
        <v/>
      </c>
      <c r="J888" t="str">
        <f>IF(A888="","",IF('ATP Fills'!I888="3M","",VLOOKUP(RIGHT('ATP Fills'!I888,2),Helper1!$O$36:$P$48,2,0)))</f>
        <v/>
      </c>
      <c r="K888" t="str">
        <f>IF(J888="","",LEFT('ATP Fills'!I888,4))</f>
        <v/>
      </c>
      <c r="L888" t="str">
        <f>IF(A888="","",IF('ATP Fills'!G888="LME",'ATP Fills'!I888,""))</f>
        <v/>
      </c>
      <c r="M888" t="str">
        <f t="shared" si="13"/>
        <v/>
      </c>
    </row>
    <row r="889" spans="1:13">
      <c r="A889" t="str">
        <f>IF('ATP Fills'!A889="","",IF('ATP Fills'!Q889="PHILLIPSG",'ATP Fills'!F889,""))</f>
        <v/>
      </c>
      <c r="B889" t="str">
        <f>IF(A889="","",'ATP Fills'!L889)</f>
        <v/>
      </c>
      <c r="C889" t="str">
        <f>IF(A889="","",'ATP Fills'!M889)</f>
        <v/>
      </c>
      <c r="D889" t="str">
        <f>IF(A889="","",'ATP Fills'!B889)</f>
        <v/>
      </c>
      <c r="E889" s="3" t="str">
        <f>IF(A889="","",IF(DATE(LEFT(D889,4),MID(D889,5,2),RIGHT(D889,2))=Helper1!$P$1,Helper1!$P$1,""))</f>
        <v/>
      </c>
      <c r="F889" s="3" t="str">
        <f>IF(A889="","",'ATP Fills'!G889)</f>
        <v/>
      </c>
      <c r="G889" t="str">
        <f>IF(A889="","",'ATP Fills'!H889)</f>
        <v/>
      </c>
      <c r="H889" t="str">
        <f>IF(A889="","",VLOOKUP(G889,表3_3[],2,0))</f>
        <v/>
      </c>
      <c r="I889" t="str">
        <f>IF(A889="","",VLOOKUP(G889,表3_3[],3,0))</f>
        <v/>
      </c>
      <c r="J889" t="str">
        <f>IF(A889="","",IF('ATP Fills'!I889="3M","",VLOOKUP(RIGHT('ATP Fills'!I889,2),Helper1!$O$36:$P$48,2,0)))</f>
        <v/>
      </c>
      <c r="K889" t="str">
        <f>IF(J889="","",LEFT('ATP Fills'!I889,4))</f>
        <v/>
      </c>
      <c r="L889" t="str">
        <f>IF(A889="","",IF('ATP Fills'!G889="LME",'ATP Fills'!I889,""))</f>
        <v/>
      </c>
      <c r="M889" t="str">
        <f t="shared" si="13"/>
        <v/>
      </c>
    </row>
    <row r="890" spans="1:13">
      <c r="A890" t="str">
        <f>IF('ATP Fills'!A890="","",IF('ATP Fills'!Q890="PHILLIPSG",'ATP Fills'!F890,""))</f>
        <v/>
      </c>
      <c r="B890" t="str">
        <f>IF(A890="","",'ATP Fills'!L890)</f>
        <v/>
      </c>
      <c r="C890" t="str">
        <f>IF(A890="","",'ATP Fills'!M890)</f>
        <v/>
      </c>
      <c r="D890" t="str">
        <f>IF(A890="","",'ATP Fills'!B890)</f>
        <v/>
      </c>
      <c r="E890" s="3" t="str">
        <f>IF(A890="","",IF(DATE(LEFT(D890,4),MID(D890,5,2),RIGHT(D890,2))=Helper1!$P$1,Helper1!$P$1,""))</f>
        <v/>
      </c>
      <c r="F890" s="3" t="str">
        <f>IF(A890="","",'ATP Fills'!G890)</f>
        <v/>
      </c>
      <c r="G890" t="str">
        <f>IF(A890="","",'ATP Fills'!H890)</f>
        <v/>
      </c>
      <c r="H890" t="str">
        <f>IF(A890="","",VLOOKUP(G890,表3_3[],2,0))</f>
        <v/>
      </c>
      <c r="I890" t="str">
        <f>IF(A890="","",VLOOKUP(G890,表3_3[],3,0))</f>
        <v/>
      </c>
      <c r="J890" t="str">
        <f>IF(A890="","",IF('ATP Fills'!I890="3M","",VLOOKUP(RIGHT('ATP Fills'!I890,2),Helper1!$O$36:$P$48,2,0)))</f>
        <v/>
      </c>
      <c r="K890" t="str">
        <f>IF(J890="","",LEFT('ATP Fills'!I890,4))</f>
        <v/>
      </c>
      <c r="L890" t="str">
        <f>IF(A890="","",IF('ATP Fills'!G890="LME",'ATP Fills'!I890,""))</f>
        <v/>
      </c>
      <c r="M890" t="str">
        <f t="shared" si="13"/>
        <v/>
      </c>
    </row>
    <row r="891" spans="1:13">
      <c r="A891" t="str">
        <f>IF('ATP Fills'!A891="","",IF('ATP Fills'!Q891="PHILLIPSG",'ATP Fills'!F891,""))</f>
        <v/>
      </c>
      <c r="B891" t="str">
        <f>IF(A891="","",'ATP Fills'!L891)</f>
        <v/>
      </c>
      <c r="C891" t="str">
        <f>IF(A891="","",'ATP Fills'!M891)</f>
        <v/>
      </c>
      <c r="D891" t="str">
        <f>IF(A891="","",'ATP Fills'!B891)</f>
        <v/>
      </c>
      <c r="E891" s="3" t="str">
        <f>IF(A891="","",IF(DATE(LEFT(D891,4),MID(D891,5,2),RIGHT(D891,2))=Helper1!$P$1,Helper1!$P$1,""))</f>
        <v/>
      </c>
      <c r="F891" s="3" t="str">
        <f>IF(A891="","",'ATP Fills'!G891)</f>
        <v/>
      </c>
      <c r="G891" t="str">
        <f>IF(A891="","",'ATP Fills'!H891)</f>
        <v/>
      </c>
      <c r="H891" t="str">
        <f>IF(A891="","",VLOOKUP(G891,表3_3[],2,0))</f>
        <v/>
      </c>
      <c r="I891" t="str">
        <f>IF(A891="","",VLOOKUP(G891,表3_3[],3,0))</f>
        <v/>
      </c>
      <c r="J891" t="str">
        <f>IF(A891="","",IF('ATP Fills'!I891="3M","",VLOOKUP(RIGHT('ATP Fills'!I891,2),Helper1!$O$36:$P$48,2,0)))</f>
        <v/>
      </c>
      <c r="K891" t="str">
        <f>IF(J891="","",LEFT('ATP Fills'!I891,4))</f>
        <v/>
      </c>
      <c r="L891" t="str">
        <f>IF(A891="","",IF('ATP Fills'!G891="LME",'ATP Fills'!I891,""))</f>
        <v/>
      </c>
      <c r="M891" t="str">
        <f t="shared" si="13"/>
        <v/>
      </c>
    </row>
    <row r="892" spans="1:13">
      <c r="A892" t="str">
        <f>IF('ATP Fills'!A892="","",IF('ATP Fills'!Q892="PHILLIPSG",'ATP Fills'!F892,""))</f>
        <v/>
      </c>
      <c r="B892" t="str">
        <f>IF(A892="","",'ATP Fills'!L892)</f>
        <v/>
      </c>
      <c r="C892" t="str">
        <f>IF(A892="","",'ATP Fills'!M892)</f>
        <v/>
      </c>
      <c r="D892" t="str">
        <f>IF(A892="","",'ATP Fills'!B892)</f>
        <v/>
      </c>
      <c r="E892" s="3" t="str">
        <f>IF(A892="","",IF(DATE(LEFT(D892,4),MID(D892,5,2),RIGHT(D892,2))=Helper1!$P$1,Helper1!$P$1,""))</f>
        <v/>
      </c>
      <c r="F892" s="3" t="str">
        <f>IF(A892="","",'ATP Fills'!G892)</f>
        <v/>
      </c>
      <c r="G892" t="str">
        <f>IF(A892="","",'ATP Fills'!H892)</f>
        <v/>
      </c>
      <c r="H892" t="str">
        <f>IF(A892="","",VLOOKUP(G892,表3_3[],2,0))</f>
        <v/>
      </c>
      <c r="I892" t="str">
        <f>IF(A892="","",VLOOKUP(G892,表3_3[],3,0))</f>
        <v/>
      </c>
      <c r="J892" t="str">
        <f>IF(A892="","",IF('ATP Fills'!I892="3M","",VLOOKUP(RIGHT('ATP Fills'!I892,2),Helper1!$O$36:$P$48,2,0)))</f>
        <v/>
      </c>
      <c r="K892" t="str">
        <f>IF(J892="","",LEFT('ATP Fills'!I892,4))</f>
        <v/>
      </c>
      <c r="L892" t="str">
        <f>IF(A892="","",IF('ATP Fills'!G892="LME",'ATP Fills'!I892,""))</f>
        <v/>
      </c>
      <c r="M892" t="str">
        <f t="shared" si="13"/>
        <v/>
      </c>
    </row>
    <row r="893" spans="1:13">
      <c r="A893" t="str">
        <f>IF('ATP Fills'!A893="","",IF('ATP Fills'!Q893="PHILLIPSG",'ATP Fills'!F893,""))</f>
        <v/>
      </c>
      <c r="B893" t="str">
        <f>IF(A893="","",'ATP Fills'!L893)</f>
        <v/>
      </c>
      <c r="C893" t="str">
        <f>IF(A893="","",'ATP Fills'!M893)</f>
        <v/>
      </c>
      <c r="D893" t="str">
        <f>IF(A893="","",'ATP Fills'!B893)</f>
        <v/>
      </c>
      <c r="E893" s="3" t="str">
        <f>IF(A893="","",IF(DATE(LEFT(D893,4),MID(D893,5,2),RIGHT(D893,2))=Helper1!$P$1,Helper1!$P$1,""))</f>
        <v/>
      </c>
      <c r="F893" s="3" t="str">
        <f>IF(A893="","",'ATP Fills'!G893)</f>
        <v/>
      </c>
      <c r="G893" t="str">
        <f>IF(A893="","",'ATP Fills'!H893)</f>
        <v/>
      </c>
      <c r="H893" t="str">
        <f>IF(A893="","",VLOOKUP(G893,表3_3[],2,0))</f>
        <v/>
      </c>
      <c r="I893" t="str">
        <f>IF(A893="","",VLOOKUP(G893,表3_3[],3,0))</f>
        <v/>
      </c>
      <c r="J893" t="str">
        <f>IF(A893="","",IF('ATP Fills'!I893="3M","",VLOOKUP(RIGHT('ATP Fills'!I893,2),Helper1!$O$36:$P$48,2,0)))</f>
        <v/>
      </c>
      <c r="K893" t="str">
        <f>IF(J893="","",LEFT('ATP Fills'!I893,4))</f>
        <v/>
      </c>
      <c r="L893" t="str">
        <f>IF(A893="","",IF('ATP Fills'!G893="LME",'ATP Fills'!I893,""))</f>
        <v/>
      </c>
      <c r="M893" t="str">
        <f t="shared" si="13"/>
        <v/>
      </c>
    </row>
    <row r="894" spans="1:13">
      <c r="A894" t="str">
        <f>IF('ATP Fills'!A894="","",IF('ATP Fills'!Q894="PHILLIPSG",'ATP Fills'!F894,""))</f>
        <v/>
      </c>
      <c r="B894" t="str">
        <f>IF(A894="","",'ATP Fills'!L894)</f>
        <v/>
      </c>
      <c r="C894" t="str">
        <f>IF(A894="","",'ATP Fills'!M894)</f>
        <v/>
      </c>
      <c r="D894" t="str">
        <f>IF(A894="","",'ATP Fills'!B894)</f>
        <v/>
      </c>
      <c r="E894" s="3" t="str">
        <f>IF(A894="","",IF(DATE(LEFT(D894,4),MID(D894,5,2),RIGHT(D894,2))=Helper1!$P$1,Helper1!$P$1,""))</f>
        <v/>
      </c>
      <c r="F894" s="3" t="str">
        <f>IF(A894="","",'ATP Fills'!G894)</f>
        <v/>
      </c>
      <c r="G894" t="str">
        <f>IF(A894="","",'ATP Fills'!H894)</f>
        <v/>
      </c>
      <c r="H894" t="str">
        <f>IF(A894="","",VLOOKUP(G894,表3_3[],2,0))</f>
        <v/>
      </c>
      <c r="I894" t="str">
        <f>IF(A894="","",VLOOKUP(G894,表3_3[],3,0))</f>
        <v/>
      </c>
      <c r="J894" t="str">
        <f>IF(A894="","",IF('ATP Fills'!I894="3M","",VLOOKUP(RIGHT('ATP Fills'!I894,2),Helper1!$O$36:$P$48,2,0)))</f>
        <v/>
      </c>
      <c r="K894" t="str">
        <f>IF(J894="","",LEFT('ATP Fills'!I894,4))</f>
        <v/>
      </c>
      <c r="L894" t="str">
        <f>IF(A894="","",IF('ATP Fills'!G894="LME",'ATP Fills'!I894,""))</f>
        <v/>
      </c>
      <c r="M894" t="str">
        <f t="shared" si="13"/>
        <v/>
      </c>
    </row>
    <row r="895" spans="1:13">
      <c r="A895" t="str">
        <f>IF('ATP Fills'!A895="","",IF('ATP Fills'!Q895="PHILLIPSG",'ATP Fills'!F895,""))</f>
        <v/>
      </c>
      <c r="B895" t="str">
        <f>IF(A895="","",'ATP Fills'!L895)</f>
        <v/>
      </c>
      <c r="C895" t="str">
        <f>IF(A895="","",'ATP Fills'!M895)</f>
        <v/>
      </c>
      <c r="D895" t="str">
        <f>IF(A895="","",'ATP Fills'!B895)</f>
        <v/>
      </c>
      <c r="E895" s="3" t="str">
        <f>IF(A895="","",IF(DATE(LEFT(D895,4),MID(D895,5,2),RIGHT(D895,2))=Helper1!$P$1,Helper1!$P$1,""))</f>
        <v/>
      </c>
      <c r="F895" s="3" t="str">
        <f>IF(A895="","",'ATP Fills'!G895)</f>
        <v/>
      </c>
      <c r="G895" t="str">
        <f>IF(A895="","",'ATP Fills'!H895)</f>
        <v/>
      </c>
      <c r="H895" t="str">
        <f>IF(A895="","",VLOOKUP(G895,表3_3[],2,0))</f>
        <v/>
      </c>
      <c r="I895" t="str">
        <f>IF(A895="","",VLOOKUP(G895,表3_3[],3,0))</f>
        <v/>
      </c>
      <c r="J895" t="str">
        <f>IF(A895="","",IF('ATP Fills'!I895="3M","",VLOOKUP(RIGHT('ATP Fills'!I895,2),Helper1!$O$36:$P$48,2,0)))</f>
        <v/>
      </c>
      <c r="K895" t="str">
        <f>IF(J895="","",LEFT('ATP Fills'!I895,4))</f>
        <v/>
      </c>
      <c r="L895" t="str">
        <f>IF(A895="","",IF('ATP Fills'!G895="LME",'ATP Fills'!I895,""))</f>
        <v/>
      </c>
      <c r="M895" t="str">
        <f t="shared" si="13"/>
        <v/>
      </c>
    </row>
    <row r="896" spans="1:13">
      <c r="A896" t="str">
        <f>IF('ATP Fills'!A896="","",IF('ATP Fills'!Q896="PHILLIPSG",'ATP Fills'!F896,""))</f>
        <v/>
      </c>
      <c r="B896" t="str">
        <f>IF(A896="","",'ATP Fills'!L896)</f>
        <v/>
      </c>
      <c r="C896" t="str">
        <f>IF(A896="","",'ATP Fills'!M896)</f>
        <v/>
      </c>
      <c r="D896" t="str">
        <f>IF(A896="","",'ATP Fills'!B896)</f>
        <v/>
      </c>
      <c r="E896" s="3" t="str">
        <f>IF(A896="","",IF(DATE(LEFT(D896,4),MID(D896,5,2),RIGHT(D896,2))=Helper1!$P$1,Helper1!$P$1,""))</f>
        <v/>
      </c>
      <c r="F896" s="3" t="str">
        <f>IF(A896="","",'ATP Fills'!G896)</f>
        <v/>
      </c>
      <c r="G896" t="str">
        <f>IF(A896="","",'ATP Fills'!H896)</f>
        <v/>
      </c>
      <c r="H896" t="str">
        <f>IF(A896="","",VLOOKUP(G896,表3_3[],2,0))</f>
        <v/>
      </c>
      <c r="I896" t="str">
        <f>IF(A896="","",VLOOKUP(G896,表3_3[],3,0))</f>
        <v/>
      </c>
      <c r="J896" t="str">
        <f>IF(A896="","",IF('ATP Fills'!I896="3M","",VLOOKUP(RIGHT('ATP Fills'!I896,2),Helper1!$O$36:$P$48,2,0)))</f>
        <v/>
      </c>
      <c r="K896" t="str">
        <f>IF(J896="","",LEFT('ATP Fills'!I896,4))</f>
        <v/>
      </c>
      <c r="L896" t="str">
        <f>IF(A896="","",IF('ATP Fills'!G896="LME",'ATP Fills'!I896,""))</f>
        <v/>
      </c>
      <c r="M896" t="str">
        <f t="shared" si="13"/>
        <v/>
      </c>
    </row>
    <row r="897" spans="1:13">
      <c r="A897" t="str">
        <f>IF('ATP Fills'!A897="","",IF('ATP Fills'!Q897="PHILLIPSG",'ATP Fills'!F897,""))</f>
        <v/>
      </c>
      <c r="B897" t="str">
        <f>IF(A897="","",'ATP Fills'!L897)</f>
        <v/>
      </c>
      <c r="C897" t="str">
        <f>IF(A897="","",'ATP Fills'!M897)</f>
        <v/>
      </c>
      <c r="D897" t="str">
        <f>IF(A897="","",'ATP Fills'!B897)</f>
        <v/>
      </c>
      <c r="E897" s="3" t="str">
        <f>IF(A897="","",IF(DATE(LEFT(D897,4),MID(D897,5,2),RIGHT(D897,2))=Helper1!$P$1,Helper1!$P$1,""))</f>
        <v/>
      </c>
      <c r="F897" s="3" t="str">
        <f>IF(A897="","",'ATP Fills'!G897)</f>
        <v/>
      </c>
      <c r="G897" t="str">
        <f>IF(A897="","",'ATP Fills'!H897)</f>
        <v/>
      </c>
      <c r="H897" t="str">
        <f>IF(A897="","",VLOOKUP(G897,表3_3[],2,0))</f>
        <v/>
      </c>
      <c r="I897" t="str">
        <f>IF(A897="","",VLOOKUP(G897,表3_3[],3,0))</f>
        <v/>
      </c>
      <c r="J897" t="str">
        <f>IF(A897="","",IF('ATP Fills'!I897="3M","",VLOOKUP(RIGHT('ATP Fills'!I897,2),Helper1!$O$36:$P$48,2,0)))</f>
        <v/>
      </c>
      <c r="K897" t="str">
        <f>IF(J897="","",LEFT('ATP Fills'!I897,4))</f>
        <v/>
      </c>
      <c r="L897" t="str">
        <f>IF(A897="","",IF('ATP Fills'!G897="LME",'ATP Fills'!I897,""))</f>
        <v/>
      </c>
      <c r="M897" t="str">
        <f t="shared" si="13"/>
        <v/>
      </c>
    </row>
    <row r="898" spans="1:13">
      <c r="A898" t="str">
        <f>IF('ATP Fills'!A898="","",IF('ATP Fills'!Q898="PHILLIPSG",'ATP Fills'!F898,""))</f>
        <v/>
      </c>
      <c r="B898" t="str">
        <f>IF(A898="","",'ATP Fills'!L898)</f>
        <v/>
      </c>
      <c r="C898" t="str">
        <f>IF(A898="","",'ATP Fills'!M898)</f>
        <v/>
      </c>
      <c r="D898" t="str">
        <f>IF(A898="","",'ATP Fills'!B898)</f>
        <v/>
      </c>
      <c r="E898" s="3" t="str">
        <f>IF(A898="","",IF(DATE(LEFT(D898,4),MID(D898,5,2),RIGHT(D898,2))=Helper1!$P$1,Helper1!$P$1,""))</f>
        <v/>
      </c>
      <c r="F898" s="3" t="str">
        <f>IF(A898="","",'ATP Fills'!G898)</f>
        <v/>
      </c>
      <c r="G898" t="str">
        <f>IF(A898="","",'ATP Fills'!H898)</f>
        <v/>
      </c>
      <c r="H898" t="str">
        <f>IF(A898="","",VLOOKUP(G898,表3_3[],2,0))</f>
        <v/>
      </c>
      <c r="I898" t="str">
        <f>IF(A898="","",VLOOKUP(G898,表3_3[],3,0))</f>
        <v/>
      </c>
      <c r="J898" t="str">
        <f>IF(A898="","",IF('ATP Fills'!I898="3M","",VLOOKUP(RIGHT('ATP Fills'!I898,2),Helper1!$O$36:$P$48,2,0)))</f>
        <v/>
      </c>
      <c r="K898" t="str">
        <f>IF(J898="","",LEFT('ATP Fills'!I898,4))</f>
        <v/>
      </c>
      <c r="L898" t="str">
        <f>IF(A898="","",IF('ATP Fills'!G898="LME",'ATP Fills'!I898,""))</f>
        <v/>
      </c>
      <c r="M898" t="str">
        <f t="shared" si="13"/>
        <v/>
      </c>
    </row>
    <row r="899" spans="1:13">
      <c r="A899" t="str">
        <f>IF('ATP Fills'!A899="","",IF('ATP Fills'!Q899="PHILLIPSG",'ATP Fills'!F899,""))</f>
        <v/>
      </c>
      <c r="B899" t="str">
        <f>IF(A899="","",'ATP Fills'!L899)</f>
        <v/>
      </c>
      <c r="C899" t="str">
        <f>IF(A899="","",'ATP Fills'!M899)</f>
        <v/>
      </c>
      <c r="D899" t="str">
        <f>IF(A899="","",'ATP Fills'!B899)</f>
        <v/>
      </c>
      <c r="E899" s="3" t="str">
        <f>IF(A899="","",IF(DATE(LEFT(D899,4),MID(D899,5,2),RIGHT(D899,2))=Helper1!$P$1,Helper1!$P$1,""))</f>
        <v/>
      </c>
      <c r="F899" s="3" t="str">
        <f>IF(A899="","",'ATP Fills'!G899)</f>
        <v/>
      </c>
      <c r="G899" t="str">
        <f>IF(A899="","",'ATP Fills'!H899)</f>
        <v/>
      </c>
      <c r="H899" t="str">
        <f>IF(A899="","",VLOOKUP(G899,表3_3[],2,0))</f>
        <v/>
      </c>
      <c r="I899" t="str">
        <f>IF(A899="","",VLOOKUP(G899,表3_3[],3,0))</f>
        <v/>
      </c>
      <c r="J899" t="str">
        <f>IF(A899="","",IF('ATP Fills'!I899="3M","",VLOOKUP(RIGHT('ATP Fills'!I899,2),Helper1!$O$36:$P$48,2,0)))</f>
        <v/>
      </c>
      <c r="K899" t="str">
        <f>IF(J899="","",LEFT('ATP Fills'!I899,4))</f>
        <v/>
      </c>
      <c r="L899" t="str">
        <f>IF(A899="","",IF('ATP Fills'!G899="LME",'ATP Fills'!I899,""))</f>
        <v/>
      </c>
      <c r="M899" t="str">
        <f t="shared" ref="M899:M962" si="14">IF(A899="","",IF(F899="LME",F899&amp;"-"&amp;I899&amp;"-"&amp;L899,J899&amp;"-"&amp;K899&amp;"-"&amp;I899))</f>
        <v/>
      </c>
    </row>
    <row r="900" spans="1:13">
      <c r="A900" t="str">
        <f>IF('ATP Fills'!A900="","",IF('ATP Fills'!Q900="PHILLIPSG",'ATP Fills'!F900,""))</f>
        <v/>
      </c>
      <c r="B900" t="str">
        <f>IF(A900="","",'ATP Fills'!L900)</f>
        <v/>
      </c>
      <c r="C900" t="str">
        <f>IF(A900="","",'ATP Fills'!M900)</f>
        <v/>
      </c>
      <c r="D900" t="str">
        <f>IF(A900="","",'ATP Fills'!B900)</f>
        <v/>
      </c>
      <c r="E900" s="3" t="str">
        <f>IF(A900="","",IF(DATE(LEFT(D900,4),MID(D900,5,2),RIGHT(D900,2))=Helper1!$P$1,Helper1!$P$1,""))</f>
        <v/>
      </c>
      <c r="F900" s="3" t="str">
        <f>IF(A900="","",'ATP Fills'!G900)</f>
        <v/>
      </c>
      <c r="G900" t="str">
        <f>IF(A900="","",'ATP Fills'!H900)</f>
        <v/>
      </c>
      <c r="H900" t="str">
        <f>IF(A900="","",VLOOKUP(G900,表3_3[],2,0))</f>
        <v/>
      </c>
      <c r="I900" t="str">
        <f>IF(A900="","",VLOOKUP(G900,表3_3[],3,0))</f>
        <v/>
      </c>
      <c r="J900" t="str">
        <f>IF(A900="","",IF('ATP Fills'!I900="3M","",VLOOKUP(RIGHT('ATP Fills'!I900,2),Helper1!$O$36:$P$48,2,0)))</f>
        <v/>
      </c>
      <c r="K900" t="str">
        <f>IF(J900="","",LEFT('ATP Fills'!I900,4))</f>
        <v/>
      </c>
      <c r="L900" t="str">
        <f>IF(A900="","",IF('ATP Fills'!G900="LME",'ATP Fills'!I900,""))</f>
        <v/>
      </c>
      <c r="M900" t="str">
        <f t="shared" si="14"/>
        <v/>
      </c>
    </row>
    <row r="901" spans="1:13">
      <c r="A901" t="str">
        <f>IF('ATP Fills'!A901="","",IF('ATP Fills'!Q901="PHILLIPSG",'ATP Fills'!F901,""))</f>
        <v/>
      </c>
      <c r="B901" t="str">
        <f>IF(A901="","",'ATP Fills'!L901)</f>
        <v/>
      </c>
      <c r="C901" t="str">
        <f>IF(A901="","",'ATP Fills'!M901)</f>
        <v/>
      </c>
      <c r="D901" t="str">
        <f>IF(A901="","",'ATP Fills'!B901)</f>
        <v/>
      </c>
      <c r="E901" s="3" t="str">
        <f>IF(A901="","",IF(DATE(LEFT(D901,4),MID(D901,5,2),RIGHT(D901,2))=Helper1!$P$1,Helper1!$P$1,""))</f>
        <v/>
      </c>
      <c r="F901" s="3" t="str">
        <f>IF(A901="","",'ATP Fills'!G901)</f>
        <v/>
      </c>
      <c r="G901" t="str">
        <f>IF(A901="","",'ATP Fills'!H901)</f>
        <v/>
      </c>
      <c r="H901" t="str">
        <f>IF(A901="","",VLOOKUP(G901,表3_3[],2,0))</f>
        <v/>
      </c>
      <c r="I901" t="str">
        <f>IF(A901="","",VLOOKUP(G901,表3_3[],3,0))</f>
        <v/>
      </c>
      <c r="J901" t="str">
        <f>IF(A901="","",IF('ATP Fills'!I901="3M","",VLOOKUP(RIGHT('ATP Fills'!I901,2),Helper1!$O$36:$P$48,2,0)))</f>
        <v/>
      </c>
      <c r="K901" t="str">
        <f>IF(J901="","",LEFT('ATP Fills'!I901,4))</f>
        <v/>
      </c>
      <c r="L901" t="str">
        <f>IF(A901="","",IF('ATP Fills'!G901="LME",'ATP Fills'!I901,""))</f>
        <v/>
      </c>
      <c r="M901" t="str">
        <f t="shared" si="14"/>
        <v/>
      </c>
    </row>
    <row r="902" spans="1:13">
      <c r="A902" t="str">
        <f>IF('ATP Fills'!A902="","",IF('ATP Fills'!Q902="PHILLIPSG",'ATP Fills'!F902,""))</f>
        <v/>
      </c>
      <c r="B902" t="str">
        <f>IF(A902="","",'ATP Fills'!L902)</f>
        <v/>
      </c>
      <c r="C902" t="str">
        <f>IF(A902="","",'ATP Fills'!M902)</f>
        <v/>
      </c>
      <c r="D902" t="str">
        <f>IF(A902="","",'ATP Fills'!B902)</f>
        <v/>
      </c>
      <c r="E902" s="3" t="str">
        <f>IF(A902="","",IF(DATE(LEFT(D902,4),MID(D902,5,2),RIGHT(D902,2))=Helper1!$P$1,Helper1!$P$1,""))</f>
        <v/>
      </c>
      <c r="F902" s="3" t="str">
        <f>IF(A902="","",'ATP Fills'!G902)</f>
        <v/>
      </c>
      <c r="G902" t="str">
        <f>IF(A902="","",'ATP Fills'!H902)</f>
        <v/>
      </c>
      <c r="H902" t="str">
        <f>IF(A902="","",VLOOKUP(G902,表3_3[],2,0))</f>
        <v/>
      </c>
      <c r="I902" t="str">
        <f>IF(A902="","",VLOOKUP(G902,表3_3[],3,0))</f>
        <v/>
      </c>
      <c r="J902" t="str">
        <f>IF(A902="","",IF('ATP Fills'!I902="3M","",VLOOKUP(RIGHT('ATP Fills'!I902,2),Helper1!$O$36:$P$48,2,0)))</f>
        <v/>
      </c>
      <c r="K902" t="str">
        <f>IF(J902="","",LEFT('ATP Fills'!I902,4))</f>
        <v/>
      </c>
      <c r="L902" t="str">
        <f>IF(A902="","",IF('ATP Fills'!G902="LME",'ATP Fills'!I902,""))</f>
        <v/>
      </c>
      <c r="M902" t="str">
        <f t="shared" si="14"/>
        <v/>
      </c>
    </row>
    <row r="903" spans="1:13">
      <c r="A903" t="str">
        <f>IF('ATP Fills'!A903="","",IF('ATP Fills'!Q903="PHILLIPSG",'ATP Fills'!F903,""))</f>
        <v/>
      </c>
      <c r="B903" t="str">
        <f>IF(A903="","",'ATP Fills'!L903)</f>
        <v/>
      </c>
      <c r="C903" t="str">
        <f>IF(A903="","",'ATP Fills'!M903)</f>
        <v/>
      </c>
      <c r="D903" t="str">
        <f>IF(A903="","",'ATP Fills'!B903)</f>
        <v/>
      </c>
      <c r="E903" s="3" t="str">
        <f>IF(A903="","",IF(DATE(LEFT(D903,4),MID(D903,5,2),RIGHT(D903,2))=Helper1!$P$1,Helper1!$P$1,""))</f>
        <v/>
      </c>
      <c r="F903" s="3" t="str">
        <f>IF(A903="","",'ATP Fills'!G903)</f>
        <v/>
      </c>
      <c r="G903" t="str">
        <f>IF(A903="","",'ATP Fills'!H903)</f>
        <v/>
      </c>
      <c r="H903" t="str">
        <f>IF(A903="","",VLOOKUP(G903,表3_3[],2,0))</f>
        <v/>
      </c>
      <c r="I903" t="str">
        <f>IF(A903="","",VLOOKUP(G903,表3_3[],3,0))</f>
        <v/>
      </c>
      <c r="J903" t="str">
        <f>IF(A903="","",IF('ATP Fills'!I903="3M","",VLOOKUP(RIGHT('ATP Fills'!I903,2),Helper1!$O$36:$P$48,2,0)))</f>
        <v/>
      </c>
      <c r="K903" t="str">
        <f>IF(J903="","",LEFT('ATP Fills'!I903,4))</f>
        <v/>
      </c>
      <c r="L903" t="str">
        <f>IF(A903="","",IF('ATP Fills'!G903="LME",'ATP Fills'!I903,""))</f>
        <v/>
      </c>
      <c r="M903" t="str">
        <f t="shared" si="14"/>
        <v/>
      </c>
    </row>
    <row r="904" spans="1:13">
      <c r="A904" t="str">
        <f>IF('ATP Fills'!A904="","",IF('ATP Fills'!Q904="PHILLIPSG",'ATP Fills'!F904,""))</f>
        <v/>
      </c>
      <c r="B904" t="str">
        <f>IF(A904="","",'ATP Fills'!L904)</f>
        <v/>
      </c>
      <c r="C904" t="str">
        <f>IF(A904="","",'ATP Fills'!M904)</f>
        <v/>
      </c>
      <c r="D904" t="str">
        <f>IF(A904="","",'ATP Fills'!B904)</f>
        <v/>
      </c>
      <c r="E904" s="3" t="str">
        <f>IF(A904="","",IF(DATE(LEFT(D904,4),MID(D904,5,2),RIGHT(D904,2))=Helper1!$P$1,Helper1!$P$1,""))</f>
        <v/>
      </c>
      <c r="F904" s="3" t="str">
        <f>IF(A904="","",'ATP Fills'!G904)</f>
        <v/>
      </c>
      <c r="G904" t="str">
        <f>IF(A904="","",'ATP Fills'!H904)</f>
        <v/>
      </c>
      <c r="H904" t="str">
        <f>IF(A904="","",VLOOKUP(G904,表3_3[],2,0))</f>
        <v/>
      </c>
      <c r="I904" t="str">
        <f>IF(A904="","",VLOOKUP(G904,表3_3[],3,0))</f>
        <v/>
      </c>
      <c r="J904" t="str">
        <f>IF(A904="","",IF('ATP Fills'!I904="3M","",VLOOKUP(RIGHT('ATP Fills'!I904,2),Helper1!$O$36:$P$48,2,0)))</f>
        <v/>
      </c>
      <c r="K904" t="str">
        <f>IF(J904="","",LEFT('ATP Fills'!I904,4))</f>
        <v/>
      </c>
      <c r="L904" t="str">
        <f>IF(A904="","",IF('ATP Fills'!G904="LME",'ATP Fills'!I904,""))</f>
        <v/>
      </c>
      <c r="M904" t="str">
        <f t="shared" si="14"/>
        <v/>
      </c>
    </row>
    <row r="905" spans="1:13">
      <c r="A905" t="str">
        <f>IF('ATP Fills'!A905="","",IF('ATP Fills'!Q905="PHILLIPSG",'ATP Fills'!F905,""))</f>
        <v/>
      </c>
      <c r="B905" t="str">
        <f>IF(A905="","",'ATP Fills'!L905)</f>
        <v/>
      </c>
      <c r="C905" t="str">
        <f>IF(A905="","",'ATP Fills'!M905)</f>
        <v/>
      </c>
      <c r="D905" t="str">
        <f>IF(A905="","",'ATP Fills'!B905)</f>
        <v/>
      </c>
      <c r="E905" s="3" t="str">
        <f>IF(A905="","",IF(DATE(LEFT(D905,4),MID(D905,5,2),RIGHT(D905,2))=Helper1!$P$1,Helper1!$P$1,""))</f>
        <v/>
      </c>
      <c r="F905" s="3" t="str">
        <f>IF(A905="","",'ATP Fills'!G905)</f>
        <v/>
      </c>
      <c r="G905" t="str">
        <f>IF(A905="","",'ATP Fills'!H905)</f>
        <v/>
      </c>
      <c r="H905" t="str">
        <f>IF(A905="","",VLOOKUP(G905,表3_3[],2,0))</f>
        <v/>
      </c>
      <c r="I905" t="str">
        <f>IF(A905="","",VLOOKUP(G905,表3_3[],3,0))</f>
        <v/>
      </c>
      <c r="J905" t="str">
        <f>IF(A905="","",IF('ATP Fills'!I905="3M","",VLOOKUP(RIGHT('ATP Fills'!I905,2),Helper1!$O$36:$P$48,2,0)))</f>
        <v/>
      </c>
      <c r="K905" t="str">
        <f>IF(J905="","",LEFT('ATP Fills'!I905,4))</f>
        <v/>
      </c>
      <c r="L905" t="str">
        <f>IF(A905="","",IF('ATP Fills'!G905="LME",'ATP Fills'!I905,""))</f>
        <v/>
      </c>
      <c r="M905" t="str">
        <f t="shared" si="14"/>
        <v/>
      </c>
    </row>
    <row r="906" spans="1:13">
      <c r="A906" t="str">
        <f>IF('ATP Fills'!A906="","",IF('ATP Fills'!Q906="PHILLIPSG",'ATP Fills'!F906,""))</f>
        <v/>
      </c>
      <c r="B906" t="str">
        <f>IF(A906="","",'ATP Fills'!L906)</f>
        <v/>
      </c>
      <c r="C906" t="str">
        <f>IF(A906="","",'ATP Fills'!M906)</f>
        <v/>
      </c>
      <c r="D906" t="str">
        <f>IF(A906="","",'ATP Fills'!B906)</f>
        <v/>
      </c>
      <c r="E906" s="3" t="str">
        <f>IF(A906="","",IF(DATE(LEFT(D906,4),MID(D906,5,2),RIGHT(D906,2))=Helper1!$P$1,Helper1!$P$1,""))</f>
        <v/>
      </c>
      <c r="F906" s="3" t="str">
        <f>IF(A906="","",'ATP Fills'!G906)</f>
        <v/>
      </c>
      <c r="G906" t="str">
        <f>IF(A906="","",'ATP Fills'!H906)</f>
        <v/>
      </c>
      <c r="H906" t="str">
        <f>IF(A906="","",VLOOKUP(G906,表3_3[],2,0))</f>
        <v/>
      </c>
      <c r="I906" t="str">
        <f>IF(A906="","",VLOOKUP(G906,表3_3[],3,0))</f>
        <v/>
      </c>
      <c r="J906" t="str">
        <f>IF(A906="","",IF('ATP Fills'!I906="3M","",VLOOKUP(RIGHT('ATP Fills'!I906,2),Helper1!$O$36:$P$48,2,0)))</f>
        <v/>
      </c>
      <c r="K906" t="str">
        <f>IF(J906="","",LEFT('ATP Fills'!I906,4))</f>
        <v/>
      </c>
      <c r="L906" t="str">
        <f>IF(A906="","",IF('ATP Fills'!G906="LME",'ATP Fills'!I906,""))</f>
        <v/>
      </c>
      <c r="M906" t="str">
        <f t="shared" si="14"/>
        <v/>
      </c>
    </row>
    <row r="907" spans="1:13">
      <c r="A907" t="str">
        <f>IF('ATP Fills'!A907="","",IF('ATP Fills'!Q907="PHILLIPSG",'ATP Fills'!F907,""))</f>
        <v/>
      </c>
      <c r="B907" t="str">
        <f>IF(A907="","",'ATP Fills'!L907)</f>
        <v/>
      </c>
      <c r="C907" t="str">
        <f>IF(A907="","",'ATP Fills'!M907)</f>
        <v/>
      </c>
      <c r="D907" t="str">
        <f>IF(A907="","",'ATP Fills'!B907)</f>
        <v/>
      </c>
      <c r="E907" s="3" t="str">
        <f>IF(A907="","",IF(DATE(LEFT(D907,4),MID(D907,5,2),RIGHT(D907,2))=Helper1!$P$1,Helper1!$P$1,""))</f>
        <v/>
      </c>
      <c r="F907" s="3" t="str">
        <f>IF(A907="","",'ATP Fills'!G907)</f>
        <v/>
      </c>
      <c r="G907" t="str">
        <f>IF(A907="","",'ATP Fills'!H907)</f>
        <v/>
      </c>
      <c r="H907" t="str">
        <f>IF(A907="","",VLOOKUP(G907,表3_3[],2,0))</f>
        <v/>
      </c>
      <c r="I907" t="str">
        <f>IF(A907="","",VLOOKUP(G907,表3_3[],3,0))</f>
        <v/>
      </c>
      <c r="J907" t="str">
        <f>IF(A907="","",IF('ATP Fills'!I907="3M","",VLOOKUP(RIGHT('ATP Fills'!I907,2),Helper1!$O$36:$P$48,2,0)))</f>
        <v/>
      </c>
      <c r="K907" t="str">
        <f>IF(J907="","",LEFT('ATP Fills'!I907,4))</f>
        <v/>
      </c>
      <c r="L907" t="str">
        <f>IF(A907="","",IF('ATP Fills'!G907="LME",'ATP Fills'!I907,""))</f>
        <v/>
      </c>
      <c r="M907" t="str">
        <f t="shared" si="14"/>
        <v/>
      </c>
    </row>
    <row r="908" spans="1:13">
      <c r="A908" t="str">
        <f>IF('ATP Fills'!A908="","",IF('ATP Fills'!Q908="PHILLIPSG",'ATP Fills'!F908,""))</f>
        <v/>
      </c>
      <c r="B908" t="str">
        <f>IF(A908="","",'ATP Fills'!L908)</f>
        <v/>
      </c>
      <c r="C908" t="str">
        <f>IF(A908="","",'ATP Fills'!M908)</f>
        <v/>
      </c>
      <c r="D908" t="str">
        <f>IF(A908="","",'ATP Fills'!B908)</f>
        <v/>
      </c>
      <c r="E908" s="3" t="str">
        <f>IF(A908="","",IF(DATE(LEFT(D908,4),MID(D908,5,2),RIGHT(D908,2))=Helper1!$P$1,Helper1!$P$1,""))</f>
        <v/>
      </c>
      <c r="F908" s="3" t="str">
        <f>IF(A908="","",'ATP Fills'!G908)</f>
        <v/>
      </c>
      <c r="G908" t="str">
        <f>IF(A908="","",'ATP Fills'!H908)</f>
        <v/>
      </c>
      <c r="H908" t="str">
        <f>IF(A908="","",VLOOKUP(G908,表3_3[],2,0))</f>
        <v/>
      </c>
      <c r="I908" t="str">
        <f>IF(A908="","",VLOOKUP(G908,表3_3[],3,0))</f>
        <v/>
      </c>
      <c r="J908" t="str">
        <f>IF(A908="","",IF('ATP Fills'!I908="3M","",VLOOKUP(RIGHT('ATP Fills'!I908,2),Helper1!$O$36:$P$48,2,0)))</f>
        <v/>
      </c>
      <c r="K908" t="str">
        <f>IF(J908="","",LEFT('ATP Fills'!I908,4))</f>
        <v/>
      </c>
      <c r="L908" t="str">
        <f>IF(A908="","",IF('ATP Fills'!G908="LME",'ATP Fills'!I908,""))</f>
        <v/>
      </c>
      <c r="M908" t="str">
        <f t="shared" si="14"/>
        <v/>
      </c>
    </row>
    <row r="909" spans="1:13">
      <c r="A909" t="str">
        <f>IF('ATP Fills'!A909="","",IF('ATP Fills'!Q909="PHILLIPSG",'ATP Fills'!F909,""))</f>
        <v/>
      </c>
      <c r="B909" t="str">
        <f>IF(A909="","",'ATP Fills'!L909)</f>
        <v/>
      </c>
      <c r="C909" t="str">
        <f>IF(A909="","",'ATP Fills'!M909)</f>
        <v/>
      </c>
      <c r="D909" t="str">
        <f>IF(A909="","",'ATP Fills'!B909)</f>
        <v/>
      </c>
      <c r="E909" s="3" t="str">
        <f>IF(A909="","",IF(DATE(LEFT(D909,4),MID(D909,5,2),RIGHT(D909,2))=Helper1!$P$1,Helper1!$P$1,""))</f>
        <v/>
      </c>
      <c r="F909" s="3" t="str">
        <f>IF(A909="","",'ATP Fills'!G909)</f>
        <v/>
      </c>
      <c r="G909" t="str">
        <f>IF(A909="","",'ATP Fills'!H909)</f>
        <v/>
      </c>
      <c r="H909" t="str">
        <f>IF(A909="","",VLOOKUP(G909,表3_3[],2,0))</f>
        <v/>
      </c>
      <c r="I909" t="str">
        <f>IF(A909="","",VLOOKUP(G909,表3_3[],3,0))</f>
        <v/>
      </c>
      <c r="J909" t="str">
        <f>IF(A909="","",IF('ATP Fills'!I909="3M","",VLOOKUP(RIGHT('ATP Fills'!I909,2),Helper1!$O$36:$P$48,2,0)))</f>
        <v/>
      </c>
      <c r="K909" t="str">
        <f>IF(J909="","",LEFT('ATP Fills'!I909,4))</f>
        <v/>
      </c>
      <c r="L909" t="str">
        <f>IF(A909="","",IF('ATP Fills'!G909="LME",'ATP Fills'!I909,""))</f>
        <v/>
      </c>
      <c r="M909" t="str">
        <f t="shared" si="14"/>
        <v/>
      </c>
    </row>
    <row r="910" spans="1:13">
      <c r="A910" t="str">
        <f>IF('ATP Fills'!A910="","",IF('ATP Fills'!Q910="PHILLIPSG",'ATP Fills'!F910,""))</f>
        <v/>
      </c>
      <c r="B910" t="str">
        <f>IF(A910="","",'ATP Fills'!L910)</f>
        <v/>
      </c>
      <c r="C910" t="str">
        <f>IF(A910="","",'ATP Fills'!M910)</f>
        <v/>
      </c>
      <c r="D910" t="str">
        <f>IF(A910="","",'ATP Fills'!B910)</f>
        <v/>
      </c>
      <c r="E910" s="3" t="str">
        <f>IF(A910="","",IF(DATE(LEFT(D910,4),MID(D910,5,2),RIGHT(D910,2))=Helper1!$P$1,Helper1!$P$1,""))</f>
        <v/>
      </c>
      <c r="F910" s="3" t="str">
        <f>IF(A910="","",'ATP Fills'!G910)</f>
        <v/>
      </c>
      <c r="G910" t="str">
        <f>IF(A910="","",'ATP Fills'!H910)</f>
        <v/>
      </c>
      <c r="H910" t="str">
        <f>IF(A910="","",VLOOKUP(G910,表3_3[],2,0))</f>
        <v/>
      </c>
      <c r="I910" t="str">
        <f>IF(A910="","",VLOOKUP(G910,表3_3[],3,0))</f>
        <v/>
      </c>
      <c r="J910" t="str">
        <f>IF(A910="","",IF('ATP Fills'!I910="3M","",VLOOKUP(RIGHT('ATP Fills'!I910,2),Helper1!$O$36:$P$48,2,0)))</f>
        <v/>
      </c>
      <c r="K910" t="str">
        <f>IF(J910="","",LEFT('ATP Fills'!I910,4))</f>
        <v/>
      </c>
      <c r="L910" t="str">
        <f>IF(A910="","",IF('ATP Fills'!G910="LME",'ATP Fills'!I910,""))</f>
        <v/>
      </c>
      <c r="M910" t="str">
        <f t="shared" si="14"/>
        <v/>
      </c>
    </row>
    <row r="911" spans="1:13">
      <c r="A911" t="str">
        <f>IF('ATP Fills'!A911="","",IF('ATP Fills'!Q911="PHILLIPSG",'ATP Fills'!F911,""))</f>
        <v/>
      </c>
      <c r="B911" t="str">
        <f>IF(A911="","",'ATP Fills'!L911)</f>
        <v/>
      </c>
      <c r="C911" t="str">
        <f>IF(A911="","",'ATP Fills'!M911)</f>
        <v/>
      </c>
      <c r="D911" t="str">
        <f>IF(A911="","",'ATP Fills'!B911)</f>
        <v/>
      </c>
      <c r="E911" s="3" t="str">
        <f>IF(A911="","",IF(DATE(LEFT(D911,4),MID(D911,5,2),RIGHT(D911,2))=Helper1!$P$1,Helper1!$P$1,""))</f>
        <v/>
      </c>
      <c r="F911" s="3" t="str">
        <f>IF(A911="","",'ATP Fills'!G911)</f>
        <v/>
      </c>
      <c r="G911" t="str">
        <f>IF(A911="","",'ATP Fills'!H911)</f>
        <v/>
      </c>
      <c r="H911" t="str">
        <f>IF(A911="","",VLOOKUP(G911,表3_3[],2,0))</f>
        <v/>
      </c>
      <c r="I911" t="str">
        <f>IF(A911="","",VLOOKUP(G911,表3_3[],3,0))</f>
        <v/>
      </c>
      <c r="J911" t="str">
        <f>IF(A911="","",IF('ATP Fills'!I911="3M","",VLOOKUP(RIGHT('ATP Fills'!I911,2),Helper1!$O$36:$P$48,2,0)))</f>
        <v/>
      </c>
      <c r="K911" t="str">
        <f>IF(J911="","",LEFT('ATP Fills'!I911,4))</f>
        <v/>
      </c>
      <c r="L911" t="str">
        <f>IF(A911="","",IF('ATP Fills'!G911="LME",'ATP Fills'!I911,""))</f>
        <v/>
      </c>
      <c r="M911" t="str">
        <f t="shared" si="14"/>
        <v/>
      </c>
    </row>
    <row r="912" spans="1:13">
      <c r="A912" t="str">
        <f>IF('ATP Fills'!A912="","",IF('ATP Fills'!Q912="PHILLIPSG",'ATP Fills'!F912,""))</f>
        <v/>
      </c>
      <c r="B912" t="str">
        <f>IF(A912="","",'ATP Fills'!L912)</f>
        <v/>
      </c>
      <c r="C912" t="str">
        <f>IF(A912="","",'ATP Fills'!M912)</f>
        <v/>
      </c>
      <c r="D912" t="str">
        <f>IF(A912="","",'ATP Fills'!B912)</f>
        <v/>
      </c>
      <c r="E912" s="3" t="str">
        <f>IF(A912="","",IF(DATE(LEFT(D912,4),MID(D912,5,2),RIGHT(D912,2))=Helper1!$P$1,Helper1!$P$1,""))</f>
        <v/>
      </c>
      <c r="F912" s="3" t="str">
        <f>IF(A912="","",'ATP Fills'!G912)</f>
        <v/>
      </c>
      <c r="G912" t="str">
        <f>IF(A912="","",'ATP Fills'!H912)</f>
        <v/>
      </c>
      <c r="H912" t="str">
        <f>IF(A912="","",VLOOKUP(G912,表3_3[],2,0))</f>
        <v/>
      </c>
      <c r="I912" t="str">
        <f>IF(A912="","",VLOOKUP(G912,表3_3[],3,0))</f>
        <v/>
      </c>
      <c r="J912" t="str">
        <f>IF(A912="","",IF('ATP Fills'!I912="3M","",VLOOKUP(RIGHT('ATP Fills'!I912,2),Helper1!$O$36:$P$48,2,0)))</f>
        <v/>
      </c>
      <c r="K912" t="str">
        <f>IF(J912="","",LEFT('ATP Fills'!I912,4))</f>
        <v/>
      </c>
      <c r="L912" t="str">
        <f>IF(A912="","",IF('ATP Fills'!G912="LME",'ATP Fills'!I912,""))</f>
        <v/>
      </c>
      <c r="M912" t="str">
        <f t="shared" si="14"/>
        <v/>
      </c>
    </row>
    <row r="913" spans="1:13">
      <c r="A913" t="str">
        <f>IF('ATP Fills'!A913="","",IF('ATP Fills'!Q913="PHILLIPSG",'ATP Fills'!F913,""))</f>
        <v/>
      </c>
      <c r="B913" t="str">
        <f>IF(A913="","",'ATP Fills'!L913)</f>
        <v/>
      </c>
      <c r="C913" t="str">
        <f>IF(A913="","",'ATP Fills'!M913)</f>
        <v/>
      </c>
      <c r="D913" t="str">
        <f>IF(A913="","",'ATP Fills'!B913)</f>
        <v/>
      </c>
      <c r="E913" s="3" t="str">
        <f>IF(A913="","",IF(DATE(LEFT(D913,4),MID(D913,5,2),RIGHT(D913,2))=Helper1!$P$1,Helper1!$P$1,""))</f>
        <v/>
      </c>
      <c r="F913" s="3" t="str">
        <f>IF(A913="","",'ATP Fills'!G913)</f>
        <v/>
      </c>
      <c r="G913" t="str">
        <f>IF(A913="","",'ATP Fills'!H913)</f>
        <v/>
      </c>
      <c r="H913" t="str">
        <f>IF(A913="","",VLOOKUP(G913,表3_3[],2,0))</f>
        <v/>
      </c>
      <c r="I913" t="str">
        <f>IF(A913="","",VLOOKUP(G913,表3_3[],3,0))</f>
        <v/>
      </c>
      <c r="J913" t="str">
        <f>IF(A913="","",IF('ATP Fills'!I913="3M","",VLOOKUP(RIGHT('ATP Fills'!I913,2),Helper1!$O$36:$P$48,2,0)))</f>
        <v/>
      </c>
      <c r="K913" t="str">
        <f>IF(J913="","",LEFT('ATP Fills'!I913,4))</f>
        <v/>
      </c>
      <c r="L913" t="str">
        <f>IF(A913="","",IF('ATP Fills'!G913="LME",'ATP Fills'!I913,""))</f>
        <v/>
      </c>
      <c r="M913" t="str">
        <f t="shared" si="14"/>
        <v/>
      </c>
    </row>
    <row r="914" spans="1:13">
      <c r="A914" t="str">
        <f>IF('ATP Fills'!A914="","",IF('ATP Fills'!Q914="PHILLIPSG",'ATP Fills'!F914,""))</f>
        <v/>
      </c>
      <c r="B914" t="str">
        <f>IF(A914="","",'ATP Fills'!L914)</f>
        <v/>
      </c>
      <c r="C914" t="str">
        <f>IF(A914="","",'ATP Fills'!M914)</f>
        <v/>
      </c>
      <c r="D914" t="str">
        <f>IF(A914="","",'ATP Fills'!B914)</f>
        <v/>
      </c>
      <c r="E914" s="3" t="str">
        <f>IF(A914="","",IF(DATE(LEFT(D914,4),MID(D914,5,2),RIGHT(D914,2))=Helper1!$P$1,Helper1!$P$1,""))</f>
        <v/>
      </c>
      <c r="F914" s="3" t="str">
        <f>IF(A914="","",'ATP Fills'!G914)</f>
        <v/>
      </c>
      <c r="G914" t="str">
        <f>IF(A914="","",'ATP Fills'!H914)</f>
        <v/>
      </c>
      <c r="H914" t="str">
        <f>IF(A914="","",VLOOKUP(G914,表3_3[],2,0))</f>
        <v/>
      </c>
      <c r="I914" t="str">
        <f>IF(A914="","",VLOOKUP(G914,表3_3[],3,0))</f>
        <v/>
      </c>
      <c r="J914" t="str">
        <f>IF(A914="","",IF('ATP Fills'!I914="3M","",VLOOKUP(RIGHT('ATP Fills'!I914,2),Helper1!$O$36:$P$48,2,0)))</f>
        <v/>
      </c>
      <c r="K914" t="str">
        <f>IF(J914="","",LEFT('ATP Fills'!I914,4))</f>
        <v/>
      </c>
      <c r="L914" t="str">
        <f>IF(A914="","",IF('ATP Fills'!G914="LME",'ATP Fills'!I914,""))</f>
        <v/>
      </c>
      <c r="M914" t="str">
        <f t="shared" si="14"/>
        <v/>
      </c>
    </row>
    <row r="915" spans="1:13">
      <c r="A915" t="str">
        <f>IF('ATP Fills'!A915="","",IF('ATP Fills'!Q915="PHILLIPSG",'ATP Fills'!F915,""))</f>
        <v/>
      </c>
      <c r="B915" t="str">
        <f>IF(A915="","",'ATP Fills'!L915)</f>
        <v/>
      </c>
      <c r="C915" t="str">
        <f>IF(A915="","",'ATP Fills'!M915)</f>
        <v/>
      </c>
      <c r="D915" t="str">
        <f>IF(A915="","",'ATP Fills'!B915)</f>
        <v/>
      </c>
      <c r="E915" s="3" t="str">
        <f>IF(A915="","",IF(DATE(LEFT(D915,4),MID(D915,5,2),RIGHT(D915,2))=Helper1!$P$1,Helper1!$P$1,""))</f>
        <v/>
      </c>
      <c r="F915" s="3" t="str">
        <f>IF(A915="","",'ATP Fills'!G915)</f>
        <v/>
      </c>
      <c r="G915" t="str">
        <f>IF(A915="","",'ATP Fills'!H915)</f>
        <v/>
      </c>
      <c r="H915" t="str">
        <f>IF(A915="","",VLOOKUP(G915,表3_3[],2,0))</f>
        <v/>
      </c>
      <c r="I915" t="str">
        <f>IF(A915="","",VLOOKUP(G915,表3_3[],3,0))</f>
        <v/>
      </c>
      <c r="J915" t="str">
        <f>IF(A915="","",IF('ATP Fills'!I915="3M","",VLOOKUP(RIGHT('ATP Fills'!I915,2),Helper1!$O$36:$P$48,2,0)))</f>
        <v/>
      </c>
      <c r="K915" t="str">
        <f>IF(J915="","",LEFT('ATP Fills'!I915,4))</f>
        <v/>
      </c>
      <c r="L915" t="str">
        <f>IF(A915="","",IF('ATP Fills'!G915="LME",'ATP Fills'!I915,""))</f>
        <v/>
      </c>
      <c r="M915" t="str">
        <f t="shared" si="14"/>
        <v/>
      </c>
    </row>
    <row r="916" spans="1:13">
      <c r="A916" t="str">
        <f>IF('ATP Fills'!A916="","",IF('ATP Fills'!Q916="PHILLIPSG",'ATP Fills'!F916,""))</f>
        <v/>
      </c>
      <c r="B916" t="str">
        <f>IF(A916="","",'ATP Fills'!L916)</f>
        <v/>
      </c>
      <c r="C916" t="str">
        <f>IF(A916="","",'ATP Fills'!M916)</f>
        <v/>
      </c>
      <c r="D916" t="str">
        <f>IF(A916="","",'ATP Fills'!B916)</f>
        <v/>
      </c>
      <c r="E916" s="3" t="str">
        <f>IF(A916="","",IF(DATE(LEFT(D916,4),MID(D916,5,2),RIGHT(D916,2))=Helper1!$P$1,Helper1!$P$1,""))</f>
        <v/>
      </c>
      <c r="F916" s="3" t="str">
        <f>IF(A916="","",'ATP Fills'!G916)</f>
        <v/>
      </c>
      <c r="G916" t="str">
        <f>IF(A916="","",'ATP Fills'!H916)</f>
        <v/>
      </c>
      <c r="H916" t="str">
        <f>IF(A916="","",VLOOKUP(G916,表3_3[],2,0))</f>
        <v/>
      </c>
      <c r="I916" t="str">
        <f>IF(A916="","",VLOOKUP(G916,表3_3[],3,0))</f>
        <v/>
      </c>
      <c r="J916" t="str">
        <f>IF(A916="","",IF('ATP Fills'!I916="3M","",VLOOKUP(RIGHT('ATP Fills'!I916,2),Helper1!$O$36:$P$48,2,0)))</f>
        <v/>
      </c>
      <c r="K916" t="str">
        <f>IF(J916="","",LEFT('ATP Fills'!I916,4))</f>
        <v/>
      </c>
      <c r="L916" t="str">
        <f>IF(A916="","",IF('ATP Fills'!G916="LME",'ATP Fills'!I916,""))</f>
        <v/>
      </c>
      <c r="M916" t="str">
        <f t="shared" si="14"/>
        <v/>
      </c>
    </row>
    <row r="917" spans="1:13">
      <c r="A917" t="str">
        <f>IF('ATP Fills'!A917="","",IF('ATP Fills'!Q917="PHILLIPSG",'ATP Fills'!F917,""))</f>
        <v/>
      </c>
      <c r="B917" t="str">
        <f>IF(A917="","",'ATP Fills'!L917)</f>
        <v/>
      </c>
      <c r="C917" t="str">
        <f>IF(A917="","",'ATP Fills'!M917)</f>
        <v/>
      </c>
      <c r="D917" t="str">
        <f>IF(A917="","",'ATP Fills'!B917)</f>
        <v/>
      </c>
      <c r="E917" s="3" t="str">
        <f>IF(A917="","",IF(DATE(LEFT(D917,4),MID(D917,5,2),RIGHT(D917,2))=Helper1!$P$1,Helper1!$P$1,""))</f>
        <v/>
      </c>
      <c r="F917" s="3" t="str">
        <f>IF(A917="","",'ATP Fills'!G917)</f>
        <v/>
      </c>
      <c r="G917" t="str">
        <f>IF(A917="","",'ATP Fills'!H917)</f>
        <v/>
      </c>
      <c r="H917" t="str">
        <f>IF(A917="","",VLOOKUP(G917,表3_3[],2,0))</f>
        <v/>
      </c>
      <c r="I917" t="str">
        <f>IF(A917="","",VLOOKUP(G917,表3_3[],3,0))</f>
        <v/>
      </c>
      <c r="J917" t="str">
        <f>IF(A917="","",IF('ATP Fills'!I917="3M","",VLOOKUP(RIGHT('ATP Fills'!I917,2),Helper1!$O$36:$P$48,2,0)))</f>
        <v/>
      </c>
      <c r="K917" t="str">
        <f>IF(J917="","",LEFT('ATP Fills'!I917,4))</f>
        <v/>
      </c>
      <c r="L917" t="str">
        <f>IF(A917="","",IF('ATP Fills'!G917="LME",'ATP Fills'!I917,""))</f>
        <v/>
      </c>
      <c r="M917" t="str">
        <f t="shared" si="14"/>
        <v/>
      </c>
    </row>
    <row r="918" spans="1:13">
      <c r="A918" t="str">
        <f>IF('ATP Fills'!A918="","",IF('ATP Fills'!Q918="PHILLIPSG",'ATP Fills'!F918,""))</f>
        <v/>
      </c>
      <c r="B918" t="str">
        <f>IF(A918="","",'ATP Fills'!L918)</f>
        <v/>
      </c>
      <c r="C918" t="str">
        <f>IF(A918="","",'ATP Fills'!M918)</f>
        <v/>
      </c>
      <c r="D918" t="str">
        <f>IF(A918="","",'ATP Fills'!B918)</f>
        <v/>
      </c>
      <c r="E918" s="3" t="str">
        <f>IF(A918="","",IF(DATE(LEFT(D918,4),MID(D918,5,2),RIGHT(D918,2))=Helper1!$P$1,Helper1!$P$1,""))</f>
        <v/>
      </c>
      <c r="F918" s="3" t="str">
        <f>IF(A918="","",'ATP Fills'!G918)</f>
        <v/>
      </c>
      <c r="G918" t="str">
        <f>IF(A918="","",'ATP Fills'!H918)</f>
        <v/>
      </c>
      <c r="H918" t="str">
        <f>IF(A918="","",VLOOKUP(G918,表3_3[],2,0))</f>
        <v/>
      </c>
      <c r="I918" t="str">
        <f>IF(A918="","",VLOOKUP(G918,表3_3[],3,0))</f>
        <v/>
      </c>
      <c r="J918" t="str">
        <f>IF(A918="","",IF('ATP Fills'!I918="3M","",VLOOKUP(RIGHT('ATP Fills'!I918,2),Helper1!$O$36:$P$48,2,0)))</f>
        <v/>
      </c>
      <c r="K918" t="str">
        <f>IF(J918="","",LEFT('ATP Fills'!I918,4))</f>
        <v/>
      </c>
      <c r="L918" t="str">
        <f>IF(A918="","",IF('ATP Fills'!G918="LME",'ATP Fills'!I918,""))</f>
        <v/>
      </c>
      <c r="M918" t="str">
        <f t="shared" si="14"/>
        <v/>
      </c>
    </row>
    <row r="919" spans="1:13">
      <c r="A919" t="str">
        <f>IF('ATP Fills'!A919="","",IF('ATP Fills'!Q919="PHILLIPSG",'ATP Fills'!F919,""))</f>
        <v/>
      </c>
      <c r="B919" t="str">
        <f>IF(A919="","",'ATP Fills'!L919)</f>
        <v/>
      </c>
      <c r="C919" t="str">
        <f>IF(A919="","",'ATP Fills'!M919)</f>
        <v/>
      </c>
      <c r="D919" t="str">
        <f>IF(A919="","",'ATP Fills'!B919)</f>
        <v/>
      </c>
      <c r="E919" s="3" t="str">
        <f>IF(A919="","",IF(DATE(LEFT(D919,4),MID(D919,5,2),RIGHT(D919,2))=Helper1!$P$1,Helper1!$P$1,""))</f>
        <v/>
      </c>
      <c r="F919" s="3" t="str">
        <f>IF(A919="","",'ATP Fills'!G919)</f>
        <v/>
      </c>
      <c r="G919" t="str">
        <f>IF(A919="","",'ATP Fills'!H919)</f>
        <v/>
      </c>
      <c r="H919" t="str">
        <f>IF(A919="","",VLOOKUP(G919,表3_3[],2,0))</f>
        <v/>
      </c>
      <c r="I919" t="str">
        <f>IF(A919="","",VLOOKUP(G919,表3_3[],3,0))</f>
        <v/>
      </c>
      <c r="J919" t="str">
        <f>IF(A919="","",IF('ATP Fills'!I919="3M","",VLOOKUP(RIGHT('ATP Fills'!I919,2),Helper1!$O$36:$P$48,2,0)))</f>
        <v/>
      </c>
      <c r="K919" t="str">
        <f>IF(J919="","",LEFT('ATP Fills'!I919,4))</f>
        <v/>
      </c>
      <c r="L919" t="str">
        <f>IF(A919="","",IF('ATP Fills'!G919="LME",'ATP Fills'!I919,""))</f>
        <v/>
      </c>
      <c r="M919" t="str">
        <f t="shared" si="14"/>
        <v/>
      </c>
    </row>
    <row r="920" spans="1:13">
      <c r="A920" t="str">
        <f>IF('ATP Fills'!A920="","",IF('ATP Fills'!Q920="PHILLIPSG",'ATP Fills'!F920,""))</f>
        <v/>
      </c>
      <c r="B920" t="str">
        <f>IF(A920="","",'ATP Fills'!L920)</f>
        <v/>
      </c>
      <c r="C920" t="str">
        <f>IF(A920="","",'ATP Fills'!M920)</f>
        <v/>
      </c>
      <c r="D920" t="str">
        <f>IF(A920="","",'ATP Fills'!B920)</f>
        <v/>
      </c>
      <c r="E920" s="3" t="str">
        <f>IF(A920="","",IF(DATE(LEFT(D920,4),MID(D920,5,2),RIGHT(D920,2))=Helper1!$P$1,Helper1!$P$1,""))</f>
        <v/>
      </c>
      <c r="F920" s="3" t="str">
        <f>IF(A920="","",'ATP Fills'!G920)</f>
        <v/>
      </c>
      <c r="G920" t="str">
        <f>IF(A920="","",'ATP Fills'!H920)</f>
        <v/>
      </c>
      <c r="H920" t="str">
        <f>IF(A920="","",VLOOKUP(G920,表3_3[],2,0))</f>
        <v/>
      </c>
      <c r="I920" t="str">
        <f>IF(A920="","",VLOOKUP(G920,表3_3[],3,0))</f>
        <v/>
      </c>
      <c r="J920" t="str">
        <f>IF(A920="","",IF('ATP Fills'!I920="3M","",VLOOKUP(RIGHT('ATP Fills'!I920,2),Helper1!$O$36:$P$48,2,0)))</f>
        <v/>
      </c>
      <c r="K920" t="str">
        <f>IF(J920="","",LEFT('ATP Fills'!I920,4))</f>
        <v/>
      </c>
      <c r="L920" t="str">
        <f>IF(A920="","",IF('ATP Fills'!G920="LME",'ATP Fills'!I920,""))</f>
        <v/>
      </c>
      <c r="M920" t="str">
        <f t="shared" si="14"/>
        <v/>
      </c>
    </row>
    <row r="921" spans="1:13">
      <c r="A921" t="str">
        <f>IF('ATP Fills'!A921="","",IF('ATP Fills'!Q921="PHILLIPSG",'ATP Fills'!F921,""))</f>
        <v/>
      </c>
      <c r="B921" t="str">
        <f>IF(A921="","",'ATP Fills'!L921)</f>
        <v/>
      </c>
      <c r="C921" t="str">
        <f>IF(A921="","",'ATP Fills'!M921)</f>
        <v/>
      </c>
      <c r="D921" t="str">
        <f>IF(A921="","",'ATP Fills'!B921)</f>
        <v/>
      </c>
      <c r="E921" s="3" t="str">
        <f>IF(A921="","",IF(DATE(LEFT(D921,4),MID(D921,5,2),RIGHT(D921,2))=Helper1!$P$1,Helper1!$P$1,""))</f>
        <v/>
      </c>
      <c r="F921" s="3" t="str">
        <f>IF(A921="","",'ATP Fills'!G921)</f>
        <v/>
      </c>
      <c r="G921" t="str">
        <f>IF(A921="","",'ATP Fills'!H921)</f>
        <v/>
      </c>
      <c r="H921" t="str">
        <f>IF(A921="","",VLOOKUP(G921,表3_3[],2,0))</f>
        <v/>
      </c>
      <c r="I921" t="str">
        <f>IF(A921="","",VLOOKUP(G921,表3_3[],3,0))</f>
        <v/>
      </c>
      <c r="J921" t="str">
        <f>IF(A921="","",IF('ATP Fills'!I921="3M","",VLOOKUP(RIGHT('ATP Fills'!I921,2),Helper1!$O$36:$P$48,2,0)))</f>
        <v/>
      </c>
      <c r="K921" t="str">
        <f>IF(J921="","",LEFT('ATP Fills'!I921,4))</f>
        <v/>
      </c>
      <c r="L921" t="str">
        <f>IF(A921="","",IF('ATP Fills'!G921="LME",'ATP Fills'!I921,""))</f>
        <v/>
      </c>
      <c r="M921" t="str">
        <f t="shared" si="14"/>
        <v/>
      </c>
    </row>
    <row r="922" spans="1:13">
      <c r="A922" t="str">
        <f>IF('ATP Fills'!A922="","",IF('ATP Fills'!Q922="PHILLIPSG",'ATP Fills'!F922,""))</f>
        <v/>
      </c>
      <c r="B922" t="str">
        <f>IF(A922="","",'ATP Fills'!L922)</f>
        <v/>
      </c>
      <c r="C922" t="str">
        <f>IF(A922="","",'ATP Fills'!M922)</f>
        <v/>
      </c>
      <c r="D922" t="str">
        <f>IF(A922="","",'ATP Fills'!B922)</f>
        <v/>
      </c>
      <c r="E922" s="3" t="str">
        <f>IF(A922="","",IF(DATE(LEFT(D922,4),MID(D922,5,2),RIGHT(D922,2))=Helper1!$P$1,Helper1!$P$1,""))</f>
        <v/>
      </c>
      <c r="F922" s="3" t="str">
        <f>IF(A922="","",'ATP Fills'!G922)</f>
        <v/>
      </c>
      <c r="G922" t="str">
        <f>IF(A922="","",'ATP Fills'!H922)</f>
        <v/>
      </c>
      <c r="H922" t="str">
        <f>IF(A922="","",VLOOKUP(G922,表3_3[],2,0))</f>
        <v/>
      </c>
      <c r="I922" t="str">
        <f>IF(A922="","",VLOOKUP(G922,表3_3[],3,0))</f>
        <v/>
      </c>
      <c r="J922" t="str">
        <f>IF(A922="","",IF('ATP Fills'!I922="3M","",VLOOKUP(RIGHT('ATP Fills'!I922,2),Helper1!$O$36:$P$48,2,0)))</f>
        <v/>
      </c>
      <c r="K922" t="str">
        <f>IF(J922="","",LEFT('ATP Fills'!I922,4))</f>
        <v/>
      </c>
      <c r="L922" t="str">
        <f>IF(A922="","",IF('ATP Fills'!G922="LME",'ATP Fills'!I922,""))</f>
        <v/>
      </c>
      <c r="M922" t="str">
        <f t="shared" si="14"/>
        <v/>
      </c>
    </row>
    <row r="923" spans="1:13">
      <c r="A923" t="str">
        <f>IF('ATP Fills'!A923="","",IF('ATP Fills'!Q923="PHILLIPSG",'ATP Fills'!F923,""))</f>
        <v/>
      </c>
      <c r="B923" t="str">
        <f>IF(A923="","",'ATP Fills'!L923)</f>
        <v/>
      </c>
      <c r="C923" t="str">
        <f>IF(A923="","",'ATP Fills'!M923)</f>
        <v/>
      </c>
      <c r="D923" t="str">
        <f>IF(A923="","",'ATP Fills'!B923)</f>
        <v/>
      </c>
      <c r="E923" s="3" t="str">
        <f>IF(A923="","",IF(DATE(LEFT(D923,4),MID(D923,5,2),RIGHT(D923,2))=Helper1!$P$1,Helper1!$P$1,""))</f>
        <v/>
      </c>
      <c r="F923" s="3" t="str">
        <f>IF(A923="","",'ATP Fills'!G923)</f>
        <v/>
      </c>
      <c r="G923" t="str">
        <f>IF(A923="","",'ATP Fills'!H923)</f>
        <v/>
      </c>
      <c r="H923" t="str">
        <f>IF(A923="","",VLOOKUP(G923,表3_3[],2,0))</f>
        <v/>
      </c>
      <c r="I923" t="str">
        <f>IF(A923="","",VLOOKUP(G923,表3_3[],3,0))</f>
        <v/>
      </c>
      <c r="J923" t="str">
        <f>IF(A923="","",IF('ATP Fills'!I923="3M","",VLOOKUP(RIGHT('ATP Fills'!I923,2),Helper1!$O$36:$P$48,2,0)))</f>
        <v/>
      </c>
      <c r="K923" t="str">
        <f>IF(J923="","",LEFT('ATP Fills'!I923,4))</f>
        <v/>
      </c>
      <c r="L923" t="str">
        <f>IF(A923="","",IF('ATP Fills'!G923="LME",'ATP Fills'!I923,""))</f>
        <v/>
      </c>
      <c r="M923" t="str">
        <f t="shared" si="14"/>
        <v/>
      </c>
    </row>
    <row r="924" spans="1:13">
      <c r="A924" t="str">
        <f>IF('ATP Fills'!A924="","",IF('ATP Fills'!Q924="PHILLIPSG",'ATP Fills'!F924,""))</f>
        <v/>
      </c>
      <c r="B924" t="str">
        <f>IF(A924="","",'ATP Fills'!L924)</f>
        <v/>
      </c>
      <c r="C924" t="str">
        <f>IF(A924="","",'ATP Fills'!M924)</f>
        <v/>
      </c>
      <c r="D924" t="str">
        <f>IF(A924="","",'ATP Fills'!B924)</f>
        <v/>
      </c>
      <c r="E924" s="3" t="str">
        <f>IF(A924="","",IF(DATE(LEFT(D924,4),MID(D924,5,2),RIGHT(D924,2))=Helper1!$P$1,Helper1!$P$1,""))</f>
        <v/>
      </c>
      <c r="F924" s="3" t="str">
        <f>IF(A924="","",'ATP Fills'!G924)</f>
        <v/>
      </c>
      <c r="G924" t="str">
        <f>IF(A924="","",'ATP Fills'!H924)</f>
        <v/>
      </c>
      <c r="H924" t="str">
        <f>IF(A924="","",VLOOKUP(G924,表3_3[],2,0))</f>
        <v/>
      </c>
      <c r="I924" t="str">
        <f>IF(A924="","",VLOOKUP(G924,表3_3[],3,0))</f>
        <v/>
      </c>
      <c r="J924" t="str">
        <f>IF(A924="","",IF('ATP Fills'!I924="3M","",VLOOKUP(RIGHT('ATP Fills'!I924,2),Helper1!$O$36:$P$48,2,0)))</f>
        <v/>
      </c>
      <c r="K924" t="str">
        <f>IF(J924="","",LEFT('ATP Fills'!I924,4))</f>
        <v/>
      </c>
      <c r="L924" t="str">
        <f>IF(A924="","",IF('ATP Fills'!G924="LME",'ATP Fills'!I924,""))</f>
        <v/>
      </c>
      <c r="M924" t="str">
        <f t="shared" si="14"/>
        <v/>
      </c>
    </row>
    <row r="925" spans="1:13">
      <c r="A925" t="str">
        <f>IF('ATP Fills'!A925="","",IF('ATP Fills'!Q925="PHILLIPSG",'ATP Fills'!F925,""))</f>
        <v/>
      </c>
      <c r="B925" t="str">
        <f>IF(A925="","",'ATP Fills'!L925)</f>
        <v/>
      </c>
      <c r="C925" t="str">
        <f>IF(A925="","",'ATP Fills'!M925)</f>
        <v/>
      </c>
      <c r="D925" t="str">
        <f>IF(A925="","",'ATP Fills'!B925)</f>
        <v/>
      </c>
      <c r="E925" s="3" t="str">
        <f>IF(A925="","",IF(DATE(LEFT(D925,4),MID(D925,5,2),RIGHT(D925,2))=Helper1!$P$1,Helper1!$P$1,""))</f>
        <v/>
      </c>
      <c r="F925" s="3" t="str">
        <f>IF(A925="","",'ATP Fills'!G925)</f>
        <v/>
      </c>
      <c r="G925" t="str">
        <f>IF(A925="","",'ATP Fills'!H925)</f>
        <v/>
      </c>
      <c r="H925" t="str">
        <f>IF(A925="","",VLOOKUP(G925,表3_3[],2,0))</f>
        <v/>
      </c>
      <c r="I925" t="str">
        <f>IF(A925="","",VLOOKUP(G925,表3_3[],3,0))</f>
        <v/>
      </c>
      <c r="J925" t="str">
        <f>IF(A925="","",IF('ATP Fills'!I925="3M","",VLOOKUP(RIGHT('ATP Fills'!I925,2),Helper1!$O$36:$P$48,2,0)))</f>
        <v/>
      </c>
      <c r="K925" t="str">
        <f>IF(J925="","",LEFT('ATP Fills'!I925,4))</f>
        <v/>
      </c>
      <c r="L925" t="str">
        <f>IF(A925="","",IF('ATP Fills'!G925="LME",'ATP Fills'!I925,""))</f>
        <v/>
      </c>
      <c r="M925" t="str">
        <f t="shared" si="14"/>
        <v/>
      </c>
    </row>
    <row r="926" spans="1:13">
      <c r="A926" t="str">
        <f>IF('ATP Fills'!A926="","",IF('ATP Fills'!Q926="PHILLIPSG",'ATP Fills'!F926,""))</f>
        <v/>
      </c>
      <c r="B926" t="str">
        <f>IF(A926="","",'ATP Fills'!L926)</f>
        <v/>
      </c>
      <c r="C926" t="str">
        <f>IF(A926="","",'ATP Fills'!M926)</f>
        <v/>
      </c>
      <c r="D926" t="str">
        <f>IF(A926="","",'ATP Fills'!B926)</f>
        <v/>
      </c>
      <c r="E926" s="3" t="str">
        <f>IF(A926="","",IF(DATE(LEFT(D926,4),MID(D926,5,2),RIGHT(D926,2))=Helper1!$P$1,Helper1!$P$1,""))</f>
        <v/>
      </c>
      <c r="F926" s="3" t="str">
        <f>IF(A926="","",'ATP Fills'!G926)</f>
        <v/>
      </c>
      <c r="G926" t="str">
        <f>IF(A926="","",'ATP Fills'!H926)</f>
        <v/>
      </c>
      <c r="H926" t="str">
        <f>IF(A926="","",VLOOKUP(G926,表3_3[],2,0))</f>
        <v/>
      </c>
      <c r="I926" t="str">
        <f>IF(A926="","",VLOOKUP(G926,表3_3[],3,0))</f>
        <v/>
      </c>
      <c r="J926" t="str">
        <f>IF(A926="","",IF('ATP Fills'!I926="3M","",VLOOKUP(RIGHT('ATP Fills'!I926,2),Helper1!$O$36:$P$48,2,0)))</f>
        <v/>
      </c>
      <c r="K926" t="str">
        <f>IF(J926="","",LEFT('ATP Fills'!I926,4))</f>
        <v/>
      </c>
      <c r="L926" t="str">
        <f>IF(A926="","",IF('ATP Fills'!G926="LME",'ATP Fills'!I926,""))</f>
        <v/>
      </c>
      <c r="M926" t="str">
        <f t="shared" si="14"/>
        <v/>
      </c>
    </row>
    <row r="927" spans="1:13">
      <c r="A927" t="str">
        <f>IF('ATP Fills'!A927="","",IF('ATP Fills'!Q927="PHILLIPSG",'ATP Fills'!F927,""))</f>
        <v/>
      </c>
      <c r="B927" t="str">
        <f>IF(A927="","",'ATP Fills'!L927)</f>
        <v/>
      </c>
      <c r="C927" t="str">
        <f>IF(A927="","",'ATP Fills'!M927)</f>
        <v/>
      </c>
      <c r="D927" t="str">
        <f>IF(A927="","",'ATP Fills'!B927)</f>
        <v/>
      </c>
      <c r="E927" s="3" t="str">
        <f>IF(A927="","",IF(DATE(LEFT(D927,4),MID(D927,5,2),RIGHT(D927,2))=Helper1!$P$1,Helper1!$P$1,""))</f>
        <v/>
      </c>
      <c r="F927" s="3" t="str">
        <f>IF(A927="","",'ATP Fills'!G927)</f>
        <v/>
      </c>
      <c r="G927" t="str">
        <f>IF(A927="","",'ATP Fills'!H927)</f>
        <v/>
      </c>
      <c r="H927" t="str">
        <f>IF(A927="","",VLOOKUP(G927,表3_3[],2,0))</f>
        <v/>
      </c>
      <c r="I927" t="str">
        <f>IF(A927="","",VLOOKUP(G927,表3_3[],3,0))</f>
        <v/>
      </c>
      <c r="J927" t="str">
        <f>IF(A927="","",IF('ATP Fills'!I927="3M","",VLOOKUP(RIGHT('ATP Fills'!I927,2),Helper1!$O$36:$P$48,2,0)))</f>
        <v/>
      </c>
      <c r="K927" t="str">
        <f>IF(J927="","",LEFT('ATP Fills'!I927,4))</f>
        <v/>
      </c>
      <c r="L927" t="str">
        <f>IF(A927="","",IF('ATP Fills'!G927="LME",'ATP Fills'!I927,""))</f>
        <v/>
      </c>
      <c r="M927" t="str">
        <f t="shared" si="14"/>
        <v/>
      </c>
    </row>
    <row r="928" spans="1:13">
      <c r="A928" t="str">
        <f>IF('ATP Fills'!A928="","",IF('ATP Fills'!Q928="PHILLIPSG",'ATP Fills'!F928,""))</f>
        <v/>
      </c>
      <c r="B928" t="str">
        <f>IF(A928="","",'ATP Fills'!L928)</f>
        <v/>
      </c>
      <c r="C928" t="str">
        <f>IF(A928="","",'ATP Fills'!M928)</f>
        <v/>
      </c>
      <c r="D928" t="str">
        <f>IF(A928="","",'ATP Fills'!B928)</f>
        <v/>
      </c>
      <c r="E928" s="3" t="str">
        <f>IF(A928="","",IF(DATE(LEFT(D928,4),MID(D928,5,2),RIGHT(D928,2))=Helper1!$P$1,Helper1!$P$1,""))</f>
        <v/>
      </c>
      <c r="F928" s="3" t="str">
        <f>IF(A928="","",'ATP Fills'!G928)</f>
        <v/>
      </c>
      <c r="G928" t="str">
        <f>IF(A928="","",'ATP Fills'!H928)</f>
        <v/>
      </c>
      <c r="H928" t="str">
        <f>IF(A928="","",VLOOKUP(G928,表3_3[],2,0))</f>
        <v/>
      </c>
      <c r="I928" t="str">
        <f>IF(A928="","",VLOOKUP(G928,表3_3[],3,0))</f>
        <v/>
      </c>
      <c r="J928" t="str">
        <f>IF(A928="","",IF('ATP Fills'!I928="3M","",VLOOKUP(RIGHT('ATP Fills'!I928,2),Helper1!$O$36:$P$48,2,0)))</f>
        <v/>
      </c>
      <c r="K928" t="str">
        <f>IF(J928="","",LEFT('ATP Fills'!I928,4))</f>
        <v/>
      </c>
      <c r="L928" t="str">
        <f>IF(A928="","",IF('ATP Fills'!G928="LME",'ATP Fills'!I928,""))</f>
        <v/>
      </c>
      <c r="M928" t="str">
        <f t="shared" si="14"/>
        <v/>
      </c>
    </row>
    <row r="929" spans="1:13">
      <c r="A929" t="str">
        <f>IF('ATP Fills'!A929="","",IF('ATP Fills'!Q929="PHILLIPSG",'ATP Fills'!F929,""))</f>
        <v/>
      </c>
      <c r="B929" t="str">
        <f>IF(A929="","",'ATP Fills'!L929)</f>
        <v/>
      </c>
      <c r="C929" t="str">
        <f>IF(A929="","",'ATP Fills'!M929)</f>
        <v/>
      </c>
      <c r="D929" t="str">
        <f>IF(A929="","",'ATP Fills'!B929)</f>
        <v/>
      </c>
      <c r="E929" s="3" t="str">
        <f>IF(A929="","",IF(DATE(LEFT(D929,4),MID(D929,5,2),RIGHT(D929,2))=Helper1!$P$1,Helper1!$P$1,""))</f>
        <v/>
      </c>
      <c r="F929" s="3" t="str">
        <f>IF(A929="","",'ATP Fills'!G929)</f>
        <v/>
      </c>
      <c r="G929" t="str">
        <f>IF(A929="","",'ATP Fills'!H929)</f>
        <v/>
      </c>
      <c r="H929" t="str">
        <f>IF(A929="","",VLOOKUP(G929,表3_3[],2,0))</f>
        <v/>
      </c>
      <c r="I929" t="str">
        <f>IF(A929="","",VLOOKUP(G929,表3_3[],3,0))</f>
        <v/>
      </c>
      <c r="J929" t="str">
        <f>IF(A929="","",IF('ATP Fills'!I929="3M","",VLOOKUP(RIGHT('ATP Fills'!I929,2),Helper1!$O$36:$P$48,2,0)))</f>
        <v/>
      </c>
      <c r="K929" t="str">
        <f>IF(J929="","",LEFT('ATP Fills'!I929,4))</f>
        <v/>
      </c>
      <c r="L929" t="str">
        <f>IF(A929="","",IF('ATP Fills'!G929="LME",'ATP Fills'!I929,""))</f>
        <v/>
      </c>
      <c r="M929" t="str">
        <f t="shared" si="14"/>
        <v/>
      </c>
    </row>
    <row r="930" spans="1:13">
      <c r="A930" t="str">
        <f>IF('ATP Fills'!A930="","",IF('ATP Fills'!Q930="PHILLIPSG",'ATP Fills'!F930,""))</f>
        <v/>
      </c>
      <c r="B930" t="str">
        <f>IF(A930="","",'ATP Fills'!L930)</f>
        <v/>
      </c>
      <c r="C930" t="str">
        <f>IF(A930="","",'ATP Fills'!M930)</f>
        <v/>
      </c>
      <c r="D930" t="str">
        <f>IF(A930="","",'ATP Fills'!B930)</f>
        <v/>
      </c>
      <c r="E930" s="3" t="str">
        <f>IF(A930="","",IF(DATE(LEFT(D930,4),MID(D930,5,2),RIGHT(D930,2))=Helper1!$P$1,Helper1!$P$1,""))</f>
        <v/>
      </c>
      <c r="F930" s="3" t="str">
        <f>IF(A930="","",'ATP Fills'!G930)</f>
        <v/>
      </c>
      <c r="G930" t="str">
        <f>IF(A930="","",'ATP Fills'!H930)</f>
        <v/>
      </c>
      <c r="H930" t="str">
        <f>IF(A930="","",VLOOKUP(G930,表3_3[],2,0))</f>
        <v/>
      </c>
      <c r="I930" t="str">
        <f>IF(A930="","",VLOOKUP(G930,表3_3[],3,0))</f>
        <v/>
      </c>
      <c r="J930" t="str">
        <f>IF(A930="","",IF('ATP Fills'!I930="3M","",VLOOKUP(RIGHT('ATP Fills'!I930,2),Helper1!$O$36:$P$48,2,0)))</f>
        <v/>
      </c>
      <c r="K930" t="str">
        <f>IF(J930="","",LEFT('ATP Fills'!I930,4))</f>
        <v/>
      </c>
      <c r="L930" t="str">
        <f>IF(A930="","",IF('ATP Fills'!G930="LME",'ATP Fills'!I930,""))</f>
        <v/>
      </c>
      <c r="M930" t="str">
        <f t="shared" si="14"/>
        <v/>
      </c>
    </row>
    <row r="931" spans="1:13">
      <c r="A931" t="str">
        <f>IF('ATP Fills'!A931="","",IF('ATP Fills'!Q931="PHILLIPSG",'ATP Fills'!F931,""))</f>
        <v/>
      </c>
      <c r="B931" t="str">
        <f>IF(A931="","",'ATP Fills'!L931)</f>
        <v/>
      </c>
      <c r="C931" t="str">
        <f>IF(A931="","",'ATP Fills'!M931)</f>
        <v/>
      </c>
      <c r="D931" t="str">
        <f>IF(A931="","",'ATP Fills'!B931)</f>
        <v/>
      </c>
      <c r="E931" s="3" t="str">
        <f>IF(A931="","",IF(DATE(LEFT(D931,4),MID(D931,5,2),RIGHT(D931,2))=Helper1!$P$1,Helper1!$P$1,""))</f>
        <v/>
      </c>
      <c r="F931" s="3" t="str">
        <f>IF(A931="","",'ATP Fills'!G931)</f>
        <v/>
      </c>
      <c r="G931" t="str">
        <f>IF(A931="","",'ATP Fills'!H931)</f>
        <v/>
      </c>
      <c r="H931" t="str">
        <f>IF(A931="","",VLOOKUP(G931,表3_3[],2,0))</f>
        <v/>
      </c>
      <c r="I931" t="str">
        <f>IF(A931="","",VLOOKUP(G931,表3_3[],3,0))</f>
        <v/>
      </c>
      <c r="J931" t="str">
        <f>IF(A931="","",IF('ATP Fills'!I931="3M","",VLOOKUP(RIGHT('ATP Fills'!I931,2),Helper1!$O$36:$P$48,2,0)))</f>
        <v/>
      </c>
      <c r="K931" t="str">
        <f>IF(J931="","",LEFT('ATP Fills'!I931,4))</f>
        <v/>
      </c>
      <c r="L931" t="str">
        <f>IF(A931="","",IF('ATP Fills'!G931="LME",'ATP Fills'!I931,""))</f>
        <v/>
      </c>
      <c r="M931" t="str">
        <f t="shared" si="14"/>
        <v/>
      </c>
    </row>
    <row r="932" spans="1:13">
      <c r="A932" t="str">
        <f>IF('ATP Fills'!A932="","",IF('ATP Fills'!Q932="PHILLIPSG",'ATP Fills'!F932,""))</f>
        <v/>
      </c>
      <c r="B932" t="str">
        <f>IF(A932="","",'ATP Fills'!L932)</f>
        <v/>
      </c>
      <c r="C932" t="str">
        <f>IF(A932="","",'ATP Fills'!M932)</f>
        <v/>
      </c>
      <c r="D932" t="str">
        <f>IF(A932="","",'ATP Fills'!B932)</f>
        <v/>
      </c>
      <c r="E932" s="3" t="str">
        <f>IF(A932="","",IF(DATE(LEFT(D932,4),MID(D932,5,2),RIGHT(D932,2))=Helper1!$P$1,Helper1!$P$1,""))</f>
        <v/>
      </c>
      <c r="F932" s="3" t="str">
        <f>IF(A932="","",'ATP Fills'!G932)</f>
        <v/>
      </c>
      <c r="G932" t="str">
        <f>IF(A932="","",'ATP Fills'!H932)</f>
        <v/>
      </c>
      <c r="H932" t="str">
        <f>IF(A932="","",VLOOKUP(G932,表3_3[],2,0))</f>
        <v/>
      </c>
      <c r="I932" t="str">
        <f>IF(A932="","",VLOOKUP(G932,表3_3[],3,0))</f>
        <v/>
      </c>
      <c r="J932" t="str">
        <f>IF(A932="","",IF('ATP Fills'!I932="3M","",VLOOKUP(RIGHT('ATP Fills'!I932,2),Helper1!$O$36:$P$48,2,0)))</f>
        <v/>
      </c>
      <c r="K932" t="str">
        <f>IF(J932="","",LEFT('ATP Fills'!I932,4))</f>
        <v/>
      </c>
      <c r="L932" t="str">
        <f>IF(A932="","",IF('ATP Fills'!G932="LME",'ATP Fills'!I932,""))</f>
        <v/>
      </c>
      <c r="M932" t="str">
        <f t="shared" si="14"/>
        <v/>
      </c>
    </row>
    <row r="933" spans="1:13">
      <c r="A933" t="str">
        <f>IF('ATP Fills'!A933="","",IF('ATP Fills'!Q933="PHILLIPSG",'ATP Fills'!F933,""))</f>
        <v/>
      </c>
      <c r="B933" t="str">
        <f>IF(A933="","",'ATP Fills'!L933)</f>
        <v/>
      </c>
      <c r="C933" t="str">
        <f>IF(A933="","",'ATP Fills'!M933)</f>
        <v/>
      </c>
      <c r="D933" t="str">
        <f>IF(A933="","",'ATP Fills'!B933)</f>
        <v/>
      </c>
      <c r="E933" s="3" t="str">
        <f>IF(A933="","",IF(DATE(LEFT(D933,4),MID(D933,5,2),RIGHT(D933,2))=Helper1!$P$1,Helper1!$P$1,""))</f>
        <v/>
      </c>
      <c r="F933" s="3" t="str">
        <f>IF(A933="","",'ATP Fills'!G933)</f>
        <v/>
      </c>
      <c r="G933" t="str">
        <f>IF(A933="","",'ATP Fills'!H933)</f>
        <v/>
      </c>
      <c r="H933" t="str">
        <f>IF(A933="","",VLOOKUP(G933,表3_3[],2,0))</f>
        <v/>
      </c>
      <c r="I933" t="str">
        <f>IF(A933="","",VLOOKUP(G933,表3_3[],3,0))</f>
        <v/>
      </c>
      <c r="J933" t="str">
        <f>IF(A933="","",IF('ATP Fills'!I933="3M","",VLOOKUP(RIGHT('ATP Fills'!I933,2),Helper1!$O$36:$P$48,2,0)))</f>
        <v/>
      </c>
      <c r="K933" t="str">
        <f>IF(J933="","",LEFT('ATP Fills'!I933,4))</f>
        <v/>
      </c>
      <c r="L933" t="str">
        <f>IF(A933="","",IF('ATP Fills'!G933="LME",'ATP Fills'!I933,""))</f>
        <v/>
      </c>
      <c r="M933" t="str">
        <f t="shared" si="14"/>
        <v/>
      </c>
    </row>
    <row r="934" spans="1:13">
      <c r="A934" t="str">
        <f>IF('ATP Fills'!A934="","",IF('ATP Fills'!Q934="PHILLIPSG",'ATP Fills'!F934,""))</f>
        <v/>
      </c>
      <c r="B934" t="str">
        <f>IF(A934="","",'ATP Fills'!L934)</f>
        <v/>
      </c>
      <c r="C934" t="str">
        <f>IF(A934="","",'ATP Fills'!M934)</f>
        <v/>
      </c>
      <c r="D934" t="str">
        <f>IF(A934="","",'ATP Fills'!B934)</f>
        <v/>
      </c>
      <c r="E934" s="3" t="str">
        <f>IF(A934="","",IF(DATE(LEFT(D934,4),MID(D934,5,2),RIGHT(D934,2))=Helper1!$P$1,Helper1!$P$1,""))</f>
        <v/>
      </c>
      <c r="F934" s="3" t="str">
        <f>IF(A934="","",'ATP Fills'!G934)</f>
        <v/>
      </c>
      <c r="G934" t="str">
        <f>IF(A934="","",'ATP Fills'!H934)</f>
        <v/>
      </c>
      <c r="H934" t="str">
        <f>IF(A934="","",VLOOKUP(G934,表3_3[],2,0))</f>
        <v/>
      </c>
      <c r="I934" t="str">
        <f>IF(A934="","",VLOOKUP(G934,表3_3[],3,0))</f>
        <v/>
      </c>
      <c r="J934" t="str">
        <f>IF(A934="","",IF('ATP Fills'!I934="3M","",VLOOKUP(RIGHT('ATP Fills'!I934,2),Helper1!$O$36:$P$48,2,0)))</f>
        <v/>
      </c>
      <c r="K934" t="str">
        <f>IF(J934="","",LEFT('ATP Fills'!I934,4))</f>
        <v/>
      </c>
      <c r="L934" t="str">
        <f>IF(A934="","",IF('ATP Fills'!G934="LME",'ATP Fills'!I934,""))</f>
        <v/>
      </c>
      <c r="M934" t="str">
        <f t="shared" si="14"/>
        <v/>
      </c>
    </row>
    <row r="935" spans="1:13">
      <c r="A935" t="str">
        <f>IF('ATP Fills'!A935="","",IF('ATP Fills'!Q935="PHILLIPSG",'ATP Fills'!F935,""))</f>
        <v/>
      </c>
      <c r="B935" t="str">
        <f>IF(A935="","",'ATP Fills'!L935)</f>
        <v/>
      </c>
      <c r="C935" t="str">
        <f>IF(A935="","",'ATP Fills'!M935)</f>
        <v/>
      </c>
      <c r="D935" t="str">
        <f>IF(A935="","",'ATP Fills'!B935)</f>
        <v/>
      </c>
      <c r="E935" s="3" t="str">
        <f>IF(A935="","",IF(DATE(LEFT(D935,4),MID(D935,5,2),RIGHT(D935,2))=Helper1!$P$1,Helper1!$P$1,""))</f>
        <v/>
      </c>
      <c r="F935" s="3" t="str">
        <f>IF(A935="","",'ATP Fills'!G935)</f>
        <v/>
      </c>
      <c r="G935" t="str">
        <f>IF(A935="","",'ATP Fills'!H935)</f>
        <v/>
      </c>
      <c r="H935" t="str">
        <f>IF(A935="","",VLOOKUP(G935,表3_3[],2,0))</f>
        <v/>
      </c>
      <c r="I935" t="str">
        <f>IF(A935="","",VLOOKUP(G935,表3_3[],3,0))</f>
        <v/>
      </c>
      <c r="J935" t="str">
        <f>IF(A935="","",IF('ATP Fills'!I935="3M","",VLOOKUP(RIGHT('ATP Fills'!I935,2),Helper1!$O$36:$P$48,2,0)))</f>
        <v/>
      </c>
      <c r="K935" t="str">
        <f>IF(J935="","",LEFT('ATP Fills'!I935,4))</f>
        <v/>
      </c>
      <c r="L935" t="str">
        <f>IF(A935="","",IF('ATP Fills'!G935="LME",'ATP Fills'!I935,""))</f>
        <v/>
      </c>
      <c r="M935" t="str">
        <f t="shared" si="14"/>
        <v/>
      </c>
    </row>
    <row r="936" spans="1:13">
      <c r="A936" t="str">
        <f>IF('ATP Fills'!A936="","",IF('ATP Fills'!Q936="PHILLIPSG",'ATP Fills'!F936,""))</f>
        <v/>
      </c>
      <c r="B936" t="str">
        <f>IF(A936="","",'ATP Fills'!L936)</f>
        <v/>
      </c>
      <c r="C936" t="str">
        <f>IF(A936="","",'ATP Fills'!M936)</f>
        <v/>
      </c>
      <c r="D936" t="str">
        <f>IF(A936="","",'ATP Fills'!B936)</f>
        <v/>
      </c>
      <c r="E936" s="3" t="str">
        <f>IF(A936="","",IF(DATE(LEFT(D936,4),MID(D936,5,2),RIGHT(D936,2))=Helper1!$P$1,Helper1!$P$1,""))</f>
        <v/>
      </c>
      <c r="F936" s="3" t="str">
        <f>IF(A936="","",'ATP Fills'!G936)</f>
        <v/>
      </c>
      <c r="G936" t="str">
        <f>IF(A936="","",'ATP Fills'!H936)</f>
        <v/>
      </c>
      <c r="H936" t="str">
        <f>IF(A936="","",VLOOKUP(G936,表3_3[],2,0))</f>
        <v/>
      </c>
      <c r="I936" t="str">
        <f>IF(A936="","",VLOOKUP(G936,表3_3[],3,0))</f>
        <v/>
      </c>
      <c r="J936" t="str">
        <f>IF(A936="","",IF('ATP Fills'!I936="3M","",VLOOKUP(RIGHT('ATP Fills'!I936,2),Helper1!$O$36:$P$48,2,0)))</f>
        <v/>
      </c>
      <c r="K936" t="str">
        <f>IF(J936="","",LEFT('ATP Fills'!I936,4))</f>
        <v/>
      </c>
      <c r="L936" t="str">
        <f>IF(A936="","",IF('ATP Fills'!G936="LME",'ATP Fills'!I936,""))</f>
        <v/>
      </c>
      <c r="M936" t="str">
        <f t="shared" si="14"/>
        <v/>
      </c>
    </row>
    <row r="937" spans="1:13">
      <c r="A937" t="str">
        <f>IF('ATP Fills'!A937="","",IF('ATP Fills'!Q937="PHILLIPSG",'ATP Fills'!F937,""))</f>
        <v/>
      </c>
      <c r="B937" t="str">
        <f>IF(A937="","",'ATP Fills'!L937)</f>
        <v/>
      </c>
      <c r="C937" t="str">
        <f>IF(A937="","",'ATP Fills'!M937)</f>
        <v/>
      </c>
      <c r="D937" t="str">
        <f>IF(A937="","",'ATP Fills'!B937)</f>
        <v/>
      </c>
      <c r="E937" s="3" t="str">
        <f>IF(A937="","",IF(DATE(LEFT(D937,4),MID(D937,5,2),RIGHT(D937,2))=Helper1!$P$1,Helper1!$P$1,""))</f>
        <v/>
      </c>
      <c r="F937" s="3" t="str">
        <f>IF(A937="","",'ATP Fills'!G937)</f>
        <v/>
      </c>
      <c r="G937" t="str">
        <f>IF(A937="","",'ATP Fills'!H937)</f>
        <v/>
      </c>
      <c r="H937" t="str">
        <f>IF(A937="","",VLOOKUP(G937,表3_3[],2,0))</f>
        <v/>
      </c>
      <c r="I937" t="str">
        <f>IF(A937="","",VLOOKUP(G937,表3_3[],3,0))</f>
        <v/>
      </c>
      <c r="J937" t="str">
        <f>IF(A937="","",IF('ATP Fills'!I937="3M","",VLOOKUP(RIGHT('ATP Fills'!I937,2),Helper1!$O$36:$P$48,2,0)))</f>
        <v/>
      </c>
      <c r="K937" t="str">
        <f>IF(J937="","",LEFT('ATP Fills'!I937,4))</f>
        <v/>
      </c>
      <c r="L937" t="str">
        <f>IF(A937="","",IF('ATP Fills'!G937="LME",'ATP Fills'!I937,""))</f>
        <v/>
      </c>
      <c r="M937" t="str">
        <f t="shared" si="14"/>
        <v/>
      </c>
    </row>
    <row r="938" spans="1:13">
      <c r="A938" t="str">
        <f>IF('ATP Fills'!A938="","",IF('ATP Fills'!Q938="PHILLIPSG",'ATP Fills'!F938,""))</f>
        <v/>
      </c>
      <c r="B938" t="str">
        <f>IF(A938="","",'ATP Fills'!L938)</f>
        <v/>
      </c>
      <c r="C938" t="str">
        <f>IF(A938="","",'ATP Fills'!M938)</f>
        <v/>
      </c>
      <c r="D938" t="str">
        <f>IF(A938="","",'ATP Fills'!B938)</f>
        <v/>
      </c>
      <c r="E938" s="3" t="str">
        <f>IF(A938="","",IF(DATE(LEFT(D938,4),MID(D938,5,2),RIGHT(D938,2))=Helper1!$P$1,Helper1!$P$1,""))</f>
        <v/>
      </c>
      <c r="F938" s="3" t="str">
        <f>IF(A938="","",'ATP Fills'!G938)</f>
        <v/>
      </c>
      <c r="G938" t="str">
        <f>IF(A938="","",'ATP Fills'!H938)</f>
        <v/>
      </c>
      <c r="H938" t="str">
        <f>IF(A938="","",VLOOKUP(G938,表3_3[],2,0))</f>
        <v/>
      </c>
      <c r="I938" t="str">
        <f>IF(A938="","",VLOOKUP(G938,表3_3[],3,0))</f>
        <v/>
      </c>
      <c r="J938" t="str">
        <f>IF(A938="","",IF('ATP Fills'!I938="3M","",VLOOKUP(RIGHT('ATP Fills'!I938,2),Helper1!$O$36:$P$48,2,0)))</f>
        <v/>
      </c>
      <c r="K938" t="str">
        <f>IF(J938="","",LEFT('ATP Fills'!I938,4))</f>
        <v/>
      </c>
      <c r="L938" t="str">
        <f>IF(A938="","",IF('ATP Fills'!G938="LME",'ATP Fills'!I938,""))</f>
        <v/>
      </c>
      <c r="M938" t="str">
        <f t="shared" si="14"/>
        <v/>
      </c>
    </row>
    <row r="939" spans="1:13">
      <c r="A939" t="str">
        <f>IF('ATP Fills'!A939="","",IF('ATP Fills'!Q939="PHILLIPSG",'ATP Fills'!F939,""))</f>
        <v/>
      </c>
      <c r="B939" t="str">
        <f>IF(A939="","",'ATP Fills'!L939)</f>
        <v/>
      </c>
      <c r="C939" t="str">
        <f>IF(A939="","",'ATP Fills'!M939)</f>
        <v/>
      </c>
      <c r="D939" t="str">
        <f>IF(A939="","",'ATP Fills'!B939)</f>
        <v/>
      </c>
      <c r="E939" s="3" t="str">
        <f>IF(A939="","",IF(DATE(LEFT(D939,4),MID(D939,5,2),RIGHT(D939,2))=Helper1!$P$1,Helper1!$P$1,""))</f>
        <v/>
      </c>
      <c r="F939" s="3" t="str">
        <f>IF(A939="","",'ATP Fills'!G939)</f>
        <v/>
      </c>
      <c r="G939" t="str">
        <f>IF(A939="","",'ATP Fills'!H939)</f>
        <v/>
      </c>
      <c r="H939" t="str">
        <f>IF(A939="","",VLOOKUP(G939,表3_3[],2,0))</f>
        <v/>
      </c>
      <c r="I939" t="str">
        <f>IF(A939="","",VLOOKUP(G939,表3_3[],3,0))</f>
        <v/>
      </c>
      <c r="J939" t="str">
        <f>IF(A939="","",IF('ATP Fills'!I939="3M","",VLOOKUP(RIGHT('ATP Fills'!I939,2),Helper1!$O$36:$P$48,2,0)))</f>
        <v/>
      </c>
      <c r="K939" t="str">
        <f>IF(J939="","",LEFT('ATP Fills'!I939,4))</f>
        <v/>
      </c>
      <c r="L939" t="str">
        <f>IF(A939="","",IF('ATP Fills'!G939="LME",'ATP Fills'!I939,""))</f>
        <v/>
      </c>
      <c r="M939" t="str">
        <f t="shared" si="14"/>
        <v/>
      </c>
    </row>
    <row r="940" spans="1:13">
      <c r="A940" t="str">
        <f>IF('ATP Fills'!A940="","",IF('ATP Fills'!Q940="PHILLIPSG",'ATP Fills'!F940,""))</f>
        <v/>
      </c>
      <c r="B940" t="str">
        <f>IF(A940="","",'ATP Fills'!L940)</f>
        <v/>
      </c>
      <c r="C940" t="str">
        <f>IF(A940="","",'ATP Fills'!M940)</f>
        <v/>
      </c>
      <c r="D940" t="str">
        <f>IF(A940="","",'ATP Fills'!B940)</f>
        <v/>
      </c>
      <c r="E940" s="3" t="str">
        <f>IF(A940="","",IF(DATE(LEFT(D940,4),MID(D940,5,2),RIGHT(D940,2))=Helper1!$P$1,Helper1!$P$1,""))</f>
        <v/>
      </c>
      <c r="F940" s="3" t="str">
        <f>IF(A940="","",'ATP Fills'!G940)</f>
        <v/>
      </c>
      <c r="G940" t="str">
        <f>IF(A940="","",'ATP Fills'!H940)</f>
        <v/>
      </c>
      <c r="H940" t="str">
        <f>IF(A940="","",VLOOKUP(G940,表3_3[],2,0))</f>
        <v/>
      </c>
      <c r="I940" t="str">
        <f>IF(A940="","",VLOOKUP(G940,表3_3[],3,0))</f>
        <v/>
      </c>
      <c r="J940" t="str">
        <f>IF(A940="","",IF('ATP Fills'!I940="3M","",VLOOKUP(RIGHT('ATP Fills'!I940,2),Helper1!$O$36:$P$48,2,0)))</f>
        <v/>
      </c>
      <c r="K940" t="str">
        <f>IF(J940="","",LEFT('ATP Fills'!I940,4))</f>
        <v/>
      </c>
      <c r="L940" t="str">
        <f>IF(A940="","",IF('ATP Fills'!G940="LME",'ATP Fills'!I940,""))</f>
        <v/>
      </c>
      <c r="M940" t="str">
        <f t="shared" si="14"/>
        <v/>
      </c>
    </row>
    <row r="941" spans="1:13">
      <c r="A941" t="str">
        <f>IF('ATP Fills'!A941="","",IF('ATP Fills'!Q941="PHILLIPSG",'ATP Fills'!F941,""))</f>
        <v/>
      </c>
      <c r="B941" t="str">
        <f>IF(A941="","",'ATP Fills'!L941)</f>
        <v/>
      </c>
      <c r="C941" t="str">
        <f>IF(A941="","",'ATP Fills'!M941)</f>
        <v/>
      </c>
      <c r="D941" t="str">
        <f>IF(A941="","",'ATP Fills'!B941)</f>
        <v/>
      </c>
      <c r="E941" s="3" t="str">
        <f>IF(A941="","",IF(DATE(LEFT(D941,4),MID(D941,5,2),RIGHT(D941,2))=Helper1!$P$1,Helper1!$P$1,""))</f>
        <v/>
      </c>
      <c r="F941" s="3" t="str">
        <f>IF(A941="","",'ATP Fills'!G941)</f>
        <v/>
      </c>
      <c r="G941" t="str">
        <f>IF(A941="","",'ATP Fills'!H941)</f>
        <v/>
      </c>
      <c r="H941" t="str">
        <f>IF(A941="","",VLOOKUP(G941,表3_3[],2,0))</f>
        <v/>
      </c>
      <c r="I941" t="str">
        <f>IF(A941="","",VLOOKUP(G941,表3_3[],3,0))</f>
        <v/>
      </c>
      <c r="J941" t="str">
        <f>IF(A941="","",IF('ATP Fills'!I941="3M","",VLOOKUP(RIGHT('ATP Fills'!I941,2),Helper1!$O$36:$P$48,2,0)))</f>
        <v/>
      </c>
      <c r="K941" t="str">
        <f>IF(J941="","",LEFT('ATP Fills'!I941,4))</f>
        <v/>
      </c>
      <c r="L941" t="str">
        <f>IF(A941="","",IF('ATP Fills'!G941="LME",'ATP Fills'!I941,""))</f>
        <v/>
      </c>
      <c r="M941" t="str">
        <f t="shared" si="14"/>
        <v/>
      </c>
    </row>
    <row r="942" spans="1:13">
      <c r="A942" t="str">
        <f>IF('ATP Fills'!A942="","",IF('ATP Fills'!Q942="PHILLIPSG",'ATP Fills'!F942,""))</f>
        <v/>
      </c>
      <c r="B942" t="str">
        <f>IF(A942="","",'ATP Fills'!L942)</f>
        <v/>
      </c>
      <c r="C942" t="str">
        <f>IF(A942="","",'ATP Fills'!M942)</f>
        <v/>
      </c>
      <c r="D942" t="str">
        <f>IF(A942="","",'ATP Fills'!B942)</f>
        <v/>
      </c>
      <c r="E942" s="3" t="str">
        <f>IF(A942="","",IF(DATE(LEFT(D942,4),MID(D942,5,2),RIGHT(D942,2))=Helper1!$P$1,Helper1!$P$1,""))</f>
        <v/>
      </c>
      <c r="F942" s="3" t="str">
        <f>IF(A942="","",'ATP Fills'!G942)</f>
        <v/>
      </c>
      <c r="G942" t="str">
        <f>IF(A942="","",'ATP Fills'!H942)</f>
        <v/>
      </c>
      <c r="H942" t="str">
        <f>IF(A942="","",VLOOKUP(G942,表3_3[],2,0))</f>
        <v/>
      </c>
      <c r="I942" t="str">
        <f>IF(A942="","",VLOOKUP(G942,表3_3[],3,0))</f>
        <v/>
      </c>
      <c r="J942" t="str">
        <f>IF(A942="","",IF('ATP Fills'!I942="3M","",VLOOKUP(RIGHT('ATP Fills'!I942,2),Helper1!$O$36:$P$48,2,0)))</f>
        <v/>
      </c>
      <c r="K942" t="str">
        <f>IF(J942="","",LEFT('ATP Fills'!I942,4))</f>
        <v/>
      </c>
      <c r="L942" t="str">
        <f>IF(A942="","",IF('ATP Fills'!G942="LME",'ATP Fills'!I942,""))</f>
        <v/>
      </c>
      <c r="M942" t="str">
        <f t="shared" si="14"/>
        <v/>
      </c>
    </row>
    <row r="943" spans="1:13">
      <c r="A943" t="str">
        <f>IF('ATP Fills'!A943="","",IF('ATP Fills'!Q943="PHILLIPSG",'ATP Fills'!F943,""))</f>
        <v/>
      </c>
      <c r="B943" t="str">
        <f>IF(A943="","",'ATP Fills'!L943)</f>
        <v/>
      </c>
      <c r="C943" t="str">
        <f>IF(A943="","",'ATP Fills'!M943)</f>
        <v/>
      </c>
      <c r="D943" t="str">
        <f>IF(A943="","",'ATP Fills'!B943)</f>
        <v/>
      </c>
      <c r="E943" s="3" t="str">
        <f>IF(A943="","",IF(DATE(LEFT(D943,4),MID(D943,5,2),RIGHT(D943,2))=Helper1!$P$1,Helper1!$P$1,""))</f>
        <v/>
      </c>
      <c r="F943" s="3" t="str">
        <f>IF(A943="","",'ATP Fills'!G943)</f>
        <v/>
      </c>
      <c r="G943" t="str">
        <f>IF(A943="","",'ATP Fills'!H943)</f>
        <v/>
      </c>
      <c r="H943" t="str">
        <f>IF(A943="","",VLOOKUP(G943,表3_3[],2,0))</f>
        <v/>
      </c>
      <c r="I943" t="str">
        <f>IF(A943="","",VLOOKUP(G943,表3_3[],3,0))</f>
        <v/>
      </c>
      <c r="J943" t="str">
        <f>IF(A943="","",IF('ATP Fills'!I943="3M","",VLOOKUP(RIGHT('ATP Fills'!I943,2),Helper1!$O$36:$P$48,2,0)))</f>
        <v/>
      </c>
      <c r="K943" t="str">
        <f>IF(J943="","",LEFT('ATP Fills'!I943,4))</f>
        <v/>
      </c>
      <c r="L943" t="str">
        <f>IF(A943="","",IF('ATP Fills'!G943="LME",'ATP Fills'!I943,""))</f>
        <v/>
      </c>
      <c r="M943" t="str">
        <f t="shared" si="14"/>
        <v/>
      </c>
    </row>
    <row r="944" spans="1:13">
      <c r="A944" t="str">
        <f>IF('ATP Fills'!A944="","",IF('ATP Fills'!Q944="PHILLIPSG",'ATP Fills'!F944,""))</f>
        <v/>
      </c>
      <c r="B944" t="str">
        <f>IF(A944="","",'ATP Fills'!L944)</f>
        <v/>
      </c>
      <c r="C944" t="str">
        <f>IF(A944="","",'ATP Fills'!M944)</f>
        <v/>
      </c>
      <c r="D944" t="str">
        <f>IF(A944="","",'ATP Fills'!B944)</f>
        <v/>
      </c>
      <c r="E944" s="3" t="str">
        <f>IF(A944="","",IF(DATE(LEFT(D944,4),MID(D944,5,2),RIGHT(D944,2))=Helper1!$P$1,Helper1!$P$1,""))</f>
        <v/>
      </c>
      <c r="F944" s="3" t="str">
        <f>IF(A944="","",'ATP Fills'!G944)</f>
        <v/>
      </c>
      <c r="G944" t="str">
        <f>IF(A944="","",'ATP Fills'!H944)</f>
        <v/>
      </c>
      <c r="H944" t="str">
        <f>IF(A944="","",VLOOKUP(G944,表3_3[],2,0))</f>
        <v/>
      </c>
      <c r="I944" t="str">
        <f>IF(A944="","",VLOOKUP(G944,表3_3[],3,0))</f>
        <v/>
      </c>
      <c r="J944" t="str">
        <f>IF(A944="","",IF('ATP Fills'!I944="3M","",VLOOKUP(RIGHT('ATP Fills'!I944,2),Helper1!$O$36:$P$48,2,0)))</f>
        <v/>
      </c>
      <c r="K944" t="str">
        <f>IF(J944="","",LEFT('ATP Fills'!I944,4))</f>
        <v/>
      </c>
      <c r="L944" t="str">
        <f>IF(A944="","",IF('ATP Fills'!G944="LME",'ATP Fills'!I944,""))</f>
        <v/>
      </c>
      <c r="M944" t="str">
        <f t="shared" si="14"/>
        <v/>
      </c>
    </row>
    <row r="945" spans="1:13">
      <c r="A945" t="str">
        <f>IF('ATP Fills'!A945="","",IF('ATP Fills'!Q945="PHILLIPSG",'ATP Fills'!F945,""))</f>
        <v/>
      </c>
      <c r="B945" t="str">
        <f>IF(A945="","",'ATP Fills'!L945)</f>
        <v/>
      </c>
      <c r="C945" t="str">
        <f>IF(A945="","",'ATP Fills'!M945)</f>
        <v/>
      </c>
      <c r="D945" t="str">
        <f>IF(A945="","",'ATP Fills'!B945)</f>
        <v/>
      </c>
      <c r="E945" s="3" t="str">
        <f>IF(A945="","",IF(DATE(LEFT(D945,4),MID(D945,5,2),RIGHT(D945,2))=Helper1!$P$1,Helper1!$P$1,""))</f>
        <v/>
      </c>
      <c r="F945" s="3" t="str">
        <f>IF(A945="","",'ATP Fills'!G945)</f>
        <v/>
      </c>
      <c r="G945" t="str">
        <f>IF(A945="","",'ATP Fills'!H945)</f>
        <v/>
      </c>
      <c r="H945" t="str">
        <f>IF(A945="","",VLOOKUP(G945,表3_3[],2,0))</f>
        <v/>
      </c>
      <c r="I945" t="str">
        <f>IF(A945="","",VLOOKUP(G945,表3_3[],3,0))</f>
        <v/>
      </c>
      <c r="J945" t="str">
        <f>IF(A945="","",IF('ATP Fills'!I945="3M","",VLOOKUP(RIGHT('ATP Fills'!I945,2),Helper1!$O$36:$P$48,2,0)))</f>
        <v/>
      </c>
      <c r="K945" t="str">
        <f>IF(J945="","",LEFT('ATP Fills'!I945,4))</f>
        <v/>
      </c>
      <c r="L945" t="str">
        <f>IF(A945="","",IF('ATP Fills'!G945="LME",'ATP Fills'!I945,""))</f>
        <v/>
      </c>
      <c r="M945" t="str">
        <f t="shared" si="14"/>
        <v/>
      </c>
    </row>
    <row r="946" spans="1:13">
      <c r="A946" t="str">
        <f>IF('ATP Fills'!A946="","",IF('ATP Fills'!Q946="PHILLIPSG",'ATP Fills'!F946,""))</f>
        <v/>
      </c>
      <c r="B946" t="str">
        <f>IF(A946="","",'ATP Fills'!L946)</f>
        <v/>
      </c>
      <c r="C946" t="str">
        <f>IF(A946="","",'ATP Fills'!M946)</f>
        <v/>
      </c>
      <c r="D946" t="str">
        <f>IF(A946="","",'ATP Fills'!B946)</f>
        <v/>
      </c>
      <c r="E946" s="3" t="str">
        <f>IF(A946="","",IF(DATE(LEFT(D946,4),MID(D946,5,2),RIGHT(D946,2))=Helper1!$P$1,Helper1!$P$1,""))</f>
        <v/>
      </c>
      <c r="F946" s="3" t="str">
        <f>IF(A946="","",'ATP Fills'!G946)</f>
        <v/>
      </c>
      <c r="G946" t="str">
        <f>IF(A946="","",'ATP Fills'!H946)</f>
        <v/>
      </c>
      <c r="H946" t="str">
        <f>IF(A946="","",VLOOKUP(G946,表3_3[],2,0))</f>
        <v/>
      </c>
      <c r="I946" t="str">
        <f>IF(A946="","",VLOOKUP(G946,表3_3[],3,0))</f>
        <v/>
      </c>
      <c r="J946" t="str">
        <f>IF(A946="","",IF('ATP Fills'!I946="3M","",VLOOKUP(RIGHT('ATP Fills'!I946,2),Helper1!$O$36:$P$48,2,0)))</f>
        <v/>
      </c>
      <c r="K946" t="str">
        <f>IF(J946="","",LEFT('ATP Fills'!I946,4))</f>
        <v/>
      </c>
      <c r="L946" t="str">
        <f>IF(A946="","",IF('ATP Fills'!G946="LME",'ATP Fills'!I946,""))</f>
        <v/>
      </c>
      <c r="M946" t="str">
        <f t="shared" si="14"/>
        <v/>
      </c>
    </row>
    <row r="947" spans="1:13">
      <c r="A947" t="str">
        <f>IF('ATP Fills'!A947="","",IF('ATP Fills'!Q947="PHILLIPSG",'ATP Fills'!F947,""))</f>
        <v/>
      </c>
      <c r="B947" t="str">
        <f>IF(A947="","",'ATP Fills'!L947)</f>
        <v/>
      </c>
      <c r="C947" t="str">
        <f>IF(A947="","",'ATP Fills'!M947)</f>
        <v/>
      </c>
      <c r="D947" t="str">
        <f>IF(A947="","",'ATP Fills'!B947)</f>
        <v/>
      </c>
      <c r="E947" s="3" t="str">
        <f>IF(A947="","",IF(DATE(LEFT(D947,4),MID(D947,5,2),RIGHT(D947,2))=Helper1!$P$1,Helper1!$P$1,""))</f>
        <v/>
      </c>
      <c r="F947" s="3" t="str">
        <f>IF(A947="","",'ATP Fills'!G947)</f>
        <v/>
      </c>
      <c r="G947" t="str">
        <f>IF(A947="","",'ATP Fills'!H947)</f>
        <v/>
      </c>
      <c r="H947" t="str">
        <f>IF(A947="","",VLOOKUP(G947,表3_3[],2,0))</f>
        <v/>
      </c>
      <c r="I947" t="str">
        <f>IF(A947="","",VLOOKUP(G947,表3_3[],3,0))</f>
        <v/>
      </c>
      <c r="J947" t="str">
        <f>IF(A947="","",IF('ATP Fills'!I947="3M","",VLOOKUP(RIGHT('ATP Fills'!I947,2),Helper1!$O$36:$P$48,2,0)))</f>
        <v/>
      </c>
      <c r="K947" t="str">
        <f>IF(J947="","",LEFT('ATP Fills'!I947,4))</f>
        <v/>
      </c>
      <c r="L947" t="str">
        <f>IF(A947="","",IF('ATP Fills'!G947="LME",'ATP Fills'!I947,""))</f>
        <v/>
      </c>
      <c r="M947" t="str">
        <f t="shared" si="14"/>
        <v/>
      </c>
    </row>
    <row r="948" spans="1:13">
      <c r="A948" t="str">
        <f>IF('ATP Fills'!A948="","",IF('ATP Fills'!Q948="PHILLIPSG",'ATP Fills'!F948,""))</f>
        <v/>
      </c>
      <c r="B948" t="str">
        <f>IF(A948="","",'ATP Fills'!L948)</f>
        <v/>
      </c>
      <c r="C948" t="str">
        <f>IF(A948="","",'ATP Fills'!M948)</f>
        <v/>
      </c>
      <c r="D948" t="str">
        <f>IF(A948="","",'ATP Fills'!B948)</f>
        <v/>
      </c>
      <c r="E948" s="3" t="str">
        <f>IF(A948="","",IF(DATE(LEFT(D948,4),MID(D948,5,2),RIGHT(D948,2))=Helper1!$P$1,Helper1!$P$1,""))</f>
        <v/>
      </c>
      <c r="F948" s="3" t="str">
        <f>IF(A948="","",'ATP Fills'!G948)</f>
        <v/>
      </c>
      <c r="G948" t="str">
        <f>IF(A948="","",'ATP Fills'!H948)</f>
        <v/>
      </c>
      <c r="H948" t="str">
        <f>IF(A948="","",VLOOKUP(G948,表3_3[],2,0))</f>
        <v/>
      </c>
      <c r="I948" t="str">
        <f>IF(A948="","",VLOOKUP(G948,表3_3[],3,0))</f>
        <v/>
      </c>
      <c r="J948" t="str">
        <f>IF(A948="","",IF('ATP Fills'!I948="3M","",VLOOKUP(RIGHT('ATP Fills'!I948,2),Helper1!$O$36:$P$48,2,0)))</f>
        <v/>
      </c>
      <c r="K948" t="str">
        <f>IF(J948="","",LEFT('ATP Fills'!I948,4))</f>
        <v/>
      </c>
      <c r="L948" t="str">
        <f>IF(A948="","",IF('ATP Fills'!G948="LME",'ATP Fills'!I948,""))</f>
        <v/>
      </c>
      <c r="M948" t="str">
        <f t="shared" si="14"/>
        <v/>
      </c>
    </row>
    <row r="949" spans="1:13">
      <c r="A949" t="str">
        <f>IF('ATP Fills'!A949="","",IF('ATP Fills'!Q949="PHILLIPSG",'ATP Fills'!F949,""))</f>
        <v/>
      </c>
      <c r="B949" t="str">
        <f>IF(A949="","",'ATP Fills'!L949)</f>
        <v/>
      </c>
      <c r="C949" t="str">
        <f>IF(A949="","",'ATP Fills'!M949)</f>
        <v/>
      </c>
      <c r="D949" t="str">
        <f>IF(A949="","",'ATP Fills'!B949)</f>
        <v/>
      </c>
      <c r="E949" s="3" t="str">
        <f>IF(A949="","",IF(DATE(LEFT(D949,4),MID(D949,5,2),RIGHT(D949,2))=Helper1!$P$1,Helper1!$P$1,""))</f>
        <v/>
      </c>
      <c r="F949" s="3" t="str">
        <f>IF(A949="","",'ATP Fills'!G949)</f>
        <v/>
      </c>
      <c r="G949" t="str">
        <f>IF(A949="","",'ATP Fills'!H949)</f>
        <v/>
      </c>
      <c r="H949" t="str">
        <f>IF(A949="","",VLOOKUP(G949,表3_3[],2,0))</f>
        <v/>
      </c>
      <c r="I949" t="str">
        <f>IF(A949="","",VLOOKUP(G949,表3_3[],3,0))</f>
        <v/>
      </c>
      <c r="J949" t="str">
        <f>IF(A949="","",IF('ATP Fills'!I949="3M","",VLOOKUP(RIGHT('ATP Fills'!I949,2),Helper1!$O$36:$P$48,2,0)))</f>
        <v/>
      </c>
      <c r="K949" t="str">
        <f>IF(J949="","",LEFT('ATP Fills'!I949,4))</f>
        <v/>
      </c>
      <c r="L949" t="str">
        <f>IF(A949="","",IF('ATP Fills'!G949="LME",'ATP Fills'!I949,""))</f>
        <v/>
      </c>
      <c r="M949" t="str">
        <f t="shared" si="14"/>
        <v/>
      </c>
    </row>
    <row r="950" spans="1:13">
      <c r="A950" t="str">
        <f>IF('ATP Fills'!A950="","",IF('ATP Fills'!Q950="PHILLIPSG",'ATP Fills'!F950,""))</f>
        <v/>
      </c>
      <c r="B950" t="str">
        <f>IF(A950="","",'ATP Fills'!L950)</f>
        <v/>
      </c>
      <c r="C950" t="str">
        <f>IF(A950="","",'ATP Fills'!M950)</f>
        <v/>
      </c>
      <c r="D950" t="str">
        <f>IF(A950="","",'ATP Fills'!B950)</f>
        <v/>
      </c>
      <c r="E950" s="3" t="str">
        <f>IF(A950="","",IF(DATE(LEFT(D950,4),MID(D950,5,2),RIGHT(D950,2))=Helper1!$P$1,Helper1!$P$1,""))</f>
        <v/>
      </c>
      <c r="F950" s="3" t="str">
        <f>IF(A950="","",'ATP Fills'!G950)</f>
        <v/>
      </c>
      <c r="G950" t="str">
        <f>IF(A950="","",'ATP Fills'!H950)</f>
        <v/>
      </c>
      <c r="H950" t="str">
        <f>IF(A950="","",VLOOKUP(G950,表3_3[],2,0))</f>
        <v/>
      </c>
      <c r="I950" t="str">
        <f>IF(A950="","",VLOOKUP(G950,表3_3[],3,0))</f>
        <v/>
      </c>
      <c r="J950" t="str">
        <f>IF(A950="","",IF('ATP Fills'!I950="3M","",VLOOKUP(RIGHT('ATP Fills'!I950,2),Helper1!$O$36:$P$48,2,0)))</f>
        <v/>
      </c>
      <c r="K950" t="str">
        <f>IF(J950="","",LEFT('ATP Fills'!I950,4))</f>
        <v/>
      </c>
      <c r="L950" t="str">
        <f>IF(A950="","",IF('ATP Fills'!G950="LME",'ATP Fills'!I950,""))</f>
        <v/>
      </c>
      <c r="M950" t="str">
        <f t="shared" si="14"/>
        <v/>
      </c>
    </row>
    <row r="951" spans="1:13">
      <c r="A951" t="str">
        <f>IF('ATP Fills'!A951="","",IF('ATP Fills'!Q951="PHILLIPSG",'ATP Fills'!F951,""))</f>
        <v/>
      </c>
      <c r="B951" t="str">
        <f>IF(A951="","",'ATP Fills'!L951)</f>
        <v/>
      </c>
      <c r="C951" t="str">
        <f>IF(A951="","",'ATP Fills'!M951)</f>
        <v/>
      </c>
      <c r="D951" t="str">
        <f>IF(A951="","",'ATP Fills'!B951)</f>
        <v/>
      </c>
      <c r="E951" s="3" t="str">
        <f>IF(A951="","",IF(DATE(LEFT(D951,4),MID(D951,5,2),RIGHT(D951,2))=Helper1!$P$1,Helper1!$P$1,""))</f>
        <v/>
      </c>
      <c r="F951" s="3" t="str">
        <f>IF(A951="","",'ATP Fills'!G951)</f>
        <v/>
      </c>
      <c r="G951" t="str">
        <f>IF(A951="","",'ATP Fills'!H951)</f>
        <v/>
      </c>
      <c r="H951" t="str">
        <f>IF(A951="","",VLOOKUP(G951,表3_3[],2,0))</f>
        <v/>
      </c>
      <c r="I951" t="str">
        <f>IF(A951="","",VLOOKUP(G951,表3_3[],3,0))</f>
        <v/>
      </c>
      <c r="J951" t="str">
        <f>IF(A951="","",IF('ATP Fills'!I951="3M","",VLOOKUP(RIGHT('ATP Fills'!I951,2),Helper1!$O$36:$P$48,2,0)))</f>
        <v/>
      </c>
      <c r="K951" t="str">
        <f>IF(J951="","",LEFT('ATP Fills'!I951,4))</f>
        <v/>
      </c>
      <c r="L951" t="str">
        <f>IF(A951="","",IF('ATP Fills'!G951="LME",'ATP Fills'!I951,""))</f>
        <v/>
      </c>
      <c r="M951" t="str">
        <f t="shared" si="14"/>
        <v/>
      </c>
    </row>
    <row r="952" spans="1:13">
      <c r="A952" t="str">
        <f>IF('ATP Fills'!A952="","",IF('ATP Fills'!Q952="PHILLIPSG",'ATP Fills'!F952,""))</f>
        <v/>
      </c>
      <c r="B952" t="str">
        <f>IF(A952="","",'ATP Fills'!L952)</f>
        <v/>
      </c>
      <c r="C952" t="str">
        <f>IF(A952="","",'ATP Fills'!M952)</f>
        <v/>
      </c>
      <c r="D952" t="str">
        <f>IF(A952="","",'ATP Fills'!B952)</f>
        <v/>
      </c>
      <c r="E952" s="3" t="str">
        <f>IF(A952="","",IF(DATE(LEFT(D952,4),MID(D952,5,2),RIGHT(D952,2))=Helper1!$P$1,Helper1!$P$1,""))</f>
        <v/>
      </c>
      <c r="F952" s="3" t="str">
        <f>IF(A952="","",'ATP Fills'!G952)</f>
        <v/>
      </c>
      <c r="G952" t="str">
        <f>IF(A952="","",'ATP Fills'!H952)</f>
        <v/>
      </c>
      <c r="H952" t="str">
        <f>IF(A952="","",VLOOKUP(G952,表3_3[],2,0))</f>
        <v/>
      </c>
      <c r="I952" t="str">
        <f>IF(A952="","",VLOOKUP(G952,表3_3[],3,0))</f>
        <v/>
      </c>
      <c r="J952" t="str">
        <f>IF(A952="","",IF('ATP Fills'!I952="3M","",VLOOKUP(RIGHT('ATP Fills'!I952,2),Helper1!$O$36:$P$48,2,0)))</f>
        <v/>
      </c>
      <c r="K952" t="str">
        <f>IF(J952="","",LEFT('ATP Fills'!I952,4))</f>
        <v/>
      </c>
      <c r="L952" t="str">
        <f>IF(A952="","",IF('ATP Fills'!G952="LME",'ATP Fills'!I952,""))</f>
        <v/>
      </c>
      <c r="M952" t="str">
        <f t="shared" si="14"/>
        <v/>
      </c>
    </row>
    <row r="953" spans="1:13">
      <c r="A953" t="str">
        <f>IF('ATP Fills'!A953="","",IF('ATP Fills'!Q953="PHILLIPSG",'ATP Fills'!F953,""))</f>
        <v/>
      </c>
      <c r="B953" t="str">
        <f>IF(A953="","",'ATP Fills'!L953)</f>
        <v/>
      </c>
      <c r="C953" t="str">
        <f>IF(A953="","",'ATP Fills'!M953)</f>
        <v/>
      </c>
      <c r="D953" t="str">
        <f>IF(A953="","",'ATP Fills'!B953)</f>
        <v/>
      </c>
      <c r="E953" s="3" t="str">
        <f>IF(A953="","",IF(DATE(LEFT(D953,4),MID(D953,5,2),RIGHT(D953,2))=Helper1!$P$1,Helper1!$P$1,""))</f>
        <v/>
      </c>
      <c r="F953" s="3" t="str">
        <f>IF(A953="","",'ATP Fills'!G953)</f>
        <v/>
      </c>
      <c r="G953" t="str">
        <f>IF(A953="","",'ATP Fills'!H953)</f>
        <v/>
      </c>
      <c r="H953" t="str">
        <f>IF(A953="","",VLOOKUP(G953,表3_3[],2,0))</f>
        <v/>
      </c>
      <c r="I953" t="str">
        <f>IF(A953="","",VLOOKUP(G953,表3_3[],3,0))</f>
        <v/>
      </c>
      <c r="J953" t="str">
        <f>IF(A953="","",IF('ATP Fills'!I953="3M","",VLOOKUP(RIGHT('ATP Fills'!I953,2),Helper1!$O$36:$P$48,2,0)))</f>
        <v/>
      </c>
      <c r="K953" t="str">
        <f>IF(J953="","",LEFT('ATP Fills'!I953,4))</f>
        <v/>
      </c>
      <c r="L953" t="str">
        <f>IF(A953="","",IF('ATP Fills'!G953="LME",'ATP Fills'!I953,""))</f>
        <v/>
      </c>
      <c r="M953" t="str">
        <f t="shared" si="14"/>
        <v/>
      </c>
    </row>
    <row r="954" spans="1:13">
      <c r="A954" t="str">
        <f>IF('ATP Fills'!A954="","",IF('ATP Fills'!Q954="PHILLIPSG",'ATP Fills'!F954,""))</f>
        <v/>
      </c>
      <c r="B954" t="str">
        <f>IF(A954="","",'ATP Fills'!L954)</f>
        <v/>
      </c>
      <c r="C954" t="str">
        <f>IF(A954="","",'ATP Fills'!M954)</f>
        <v/>
      </c>
      <c r="D954" t="str">
        <f>IF(A954="","",'ATP Fills'!B954)</f>
        <v/>
      </c>
      <c r="E954" s="3" t="str">
        <f>IF(A954="","",IF(DATE(LEFT(D954,4),MID(D954,5,2),RIGHT(D954,2))=Helper1!$P$1,Helper1!$P$1,""))</f>
        <v/>
      </c>
      <c r="F954" s="3" t="str">
        <f>IF(A954="","",'ATP Fills'!G954)</f>
        <v/>
      </c>
      <c r="G954" t="str">
        <f>IF(A954="","",'ATP Fills'!H954)</f>
        <v/>
      </c>
      <c r="H954" t="str">
        <f>IF(A954="","",VLOOKUP(G954,表3_3[],2,0))</f>
        <v/>
      </c>
      <c r="I954" t="str">
        <f>IF(A954="","",VLOOKUP(G954,表3_3[],3,0))</f>
        <v/>
      </c>
      <c r="J954" t="str">
        <f>IF(A954="","",IF('ATP Fills'!I954="3M","",VLOOKUP(RIGHT('ATP Fills'!I954,2),Helper1!$O$36:$P$48,2,0)))</f>
        <v/>
      </c>
      <c r="K954" t="str">
        <f>IF(J954="","",LEFT('ATP Fills'!I954,4))</f>
        <v/>
      </c>
      <c r="L954" t="str">
        <f>IF(A954="","",IF('ATP Fills'!G954="LME",'ATP Fills'!I954,""))</f>
        <v/>
      </c>
      <c r="M954" t="str">
        <f t="shared" si="14"/>
        <v/>
      </c>
    </row>
    <row r="955" spans="1:13">
      <c r="A955" t="str">
        <f>IF('ATP Fills'!A955="","",IF('ATP Fills'!Q955="PHILLIPSG",'ATP Fills'!F955,""))</f>
        <v/>
      </c>
      <c r="B955" t="str">
        <f>IF(A955="","",'ATP Fills'!L955)</f>
        <v/>
      </c>
      <c r="C955" t="str">
        <f>IF(A955="","",'ATP Fills'!M955)</f>
        <v/>
      </c>
      <c r="D955" t="str">
        <f>IF(A955="","",'ATP Fills'!B955)</f>
        <v/>
      </c>
      <c r="E955" s="3" t="str">
        <f>IF(A955="","",IF(DATE(LEFT(D955,4),MID(D955,5,2),RIGHT(D955,2))=Helper1!$P$1,Helper1!$P$1,""))</f>
        <v/>
      </c>
      <c r="F955" s="3" t="str">
        <f>IF(A955="","",'ATP Fills'!G955)</f>
        <v/>
      </c>
      <c r="G955" t="str">
        <f>IF(A955="","",'ATP Fills'!H955)</f>
        <v/>
      </c>
      <c r="H955" t="str">
        <f>IF(A955="","",VLOOKUP(G955,表3_3[],2,0))</f>
        <v/>
      </c>
      <c r="I955" t="str">
        <f>IF(A955="","",VLOOKUP(G955,表3_3[],3,0))</f>
        <v/>
      </c>
      <c r="J955" t="str">
        <f>IF(A955="","",IF('ATP Fills'!I955="3M","",VLOOKUP(RIGHT('ATP Fills'!I955,2),Helper1!$O$36:$P$48,2,0)))</f>
        <v/>
      </c>
      <c r="K955" t="str">
        <f>IF(J955="","",LEFT('ATP Fills'!I955,4))</f>
        <v/>
      </c>
      <c r="L955" t="str">
        <f>IF(A955="","",IF('ATP Fills'!G955="LME",'ATP Fills'!I955,""))</f>
        <v/>
      </c>
      <c r="M955" t="str">
        <f t="shared" si="14"/>
        <v/>
      </c>
    </row>
    <row r="956" spans="1:13">
      <c r="A956" t="str">
        <f>IF('ATP Fills'!A956="","",IF('ATP Fills'!Q956="PHILLIPSG",'ATP Fills'!F956,""))</f>
        <v/>
      </c>
      <c r="B956" t="str">
        <f>IF(A956="","",'ATP Fills'!L956)</f>
        <v/>
      </c>
      <c r="C956" t="str">
        <f>IF(A956="","",'ATP Fills'!M956)</f>
        <v/>
      </c>
      <c r="D956" t="str">
        <f>IF(A956="","",'ATP Fills'!B956)</f>
        <v/>
      </c>
      <c r="E956" s="3" t="str">
        <f>IF(A956="","",IF(DATE(LEFT(D956,4),MID(D956,5,2),RIGHT(D956,2))=Helper1!$P$1,Helper1!$P$1,""))</f>
        <v/>
      </c>
      <c r="F956" s="3" t="str">
        <f>IF(A956="","",'ATP Fills'!G956)</f>
        <v/>
      </c>
      <c r="G956" t="str">
        <f>IF(A956="","",'ATP Fills'!H956)</f>
        <v/>
      </c>
      <c r="H956" t="str">
        <f>IF(A956="","",VLOOKUP(G956,表3_3[],2,0))</f>
        <v/>
      </c>
      <c r="I956" t="str">
        <f>IF(A956="","",VLOOKUP(G956,表3_3[],3,0))</f>
        <v/>
      </c>
      <c r="J956" t="str">
        <f>IF(A956="","",IF('ATP Fills'!I956="3M","",VLOOKUP(RIGHT('ATP Fills'!I956,2),Helper1!$O$36:$P$48,2,0)))</f>
        <v/>
      </c>
      <c r="K956" t="str">
        <f>IF(J956="","",LEFT('ATP Fills'!I956,4))</f>
        <v/>
      </c>
      <c r="L956" t="str">
        <f>IF(A956="","",IF('ATP Fills'!G956="LME",'ATP Fills'!I956,""))</f>
        <v/>
      </c>
      <c r="M956" t="str">
        <f t="shared" si="14"/>
        <v/>
      </c>
    </row>
    <row r="957" spans="1:13">
      <c r="A957" t="str">
        <f>IF('ATP Fills'!A957="","",IF('ATP Fills'!Q957="PHILLIPSG",'ATP Fills'!F957,""))</f>
        <v/>
      </c>
      <c r="B957" t="str">
        <f>IF(A957="","",'ATP Fills'!L957)</f>
        <v/>
      </c>
      <c r="C957" t="str">
        <f>IF(A957="","",'ATP Fills'!M957)</f>
        <v/>
      </c>
      <c r="D957" t="str">
        <f>IF(A957="","",'ATP Fills'!B957)</f>
        <v/>
      </c>
      <c r="E957" s="3" t="str">
        <f>IF(A957="","",IF(DATE(LEFT(D957,4),MID(D957,5,2),RIGHT(D957,2))=Helper1!$P$1,Helper1!$P$1,""))</f>
        <v/>
      </c>
      <c r="F957" s="3" t="str">
        <f>IF(A957="","",'ATP Fills'!G957)</f>
        <v/>
      </c>
      <c r="G957" t="str">
        <f>IF(A957="","",'ATP Fills'!H957)</f>
        <v/>
      </c>
      <c r="H957" t="str">
        <f>IF(A957="","",VLOOKUP(G957,表3_3[],2,0))</f>
        <v/>
      </c>
      <c r="I957" t="str">
        <f>IF(A957="","",VLOOKUP(G957,表3_3[],3,0))</f>
        <v/>
      </c>
      <c r="J957" t="str">
        <f>IF(A957="","",IF('ATP Fills'!I957="3M","",VLOOKUP(RIGHT('ATP Fills'!I957,2),Helper1!$O$36:$P$48,2,0)))</f>
        <v/>
      </c>
      <c r="K957" t="str">
        <f>IF(J957="","",LEFT('ATP Fills'!I957,4))</f>
        <v/>
      </c>
      <c r="L957" t="str">
        <f>IF(A957="","",IF('ATP Fills'!G957="LME",'ATP Fills'!I957,""))</f>
        <v/>
      </c>
      <c r="M957" t="str">
        <f t="shared" si="14"/>
        <v/>
      </c>
    </row>
    <row r="958" spans="1:13">
      <c r="A958" t="str">
        <f>IF('ATP Fills'!A958="","",IF('ATP Fills'!Q958="PHILLIPSG",'ATP Fills'!F958,""))</f>
        <v/>
      </c>
      <c r="B958" t="str">
        <f>IF(A958="","",'ATP Fills'!L958)</f>
        <v/>
      </c>
      <c r="C958" t="str">
        <f>IF(A958="","",'ATP Fills'!M958)</f>
        <v/>
      </c>
      <c r="D958" t="str">
        <f>IF(A958="","",'ATP Fills'!B958)</f>
        <v/>
      </c>
      <c r="E958" s="3" t="str">
        <f>IF(A958="","",IF(DATE(LEFT(D958,4),MID(D958,5,2),RIGHT(D958,2))=Helper1!$P$1,Helper1!$P$1,""))</f>
        <v/>
      </c>
      <c r="F958" s="3" t="str">
        <f>IF(A958="","",'ATP Fills'!G958)</f>
        <v/>
      </c>
      <c r="G958" t="str">
        <f>IF(A958="","",'ATP Fills'!H958)</f>
        <v/>
      </c>
      <c r="H958" t="str">
        <f>IF(A958="","",VLOOKUP(G958,表3_3[],2,0))</f>
        <v/>
      </c>
      <c r="I958" t="str">
        <f>IF(A958="","",VLOOKUP(G958,表3_3[],3,0))</f>
        <v/>
      </c>
      <c r="J958" t="str">
        <f>IF(A958="","",IF('ATP Fills'!I958="3M","",VLOOKUP(RIGHT('ATP Fills'!I958,2),Helper1!$O$36:$P$48,2,0)))</f>
        <v/>
      </c>
      <c r="K958" t="str">
        <f>IF(J958="","",LEFT('ATP Fills'!I958,4))</f>
        <v/>
      </c>
      <c r="L958" t="str">
        <f>IF(A958="","",IF('ATP Fills'!G958="LME",'ATP Fills'!I958,""))</f>
        <v/>
      </c>
      <c r="M958" t="str">
        <f t="shared" si="14"/>
        <v/>
      </c>
    </row>
    <row r="959" spans="1:13">
      <c r="A959" t="str">
        <f>IF('ATP Fills'!A959="","",IF('ATP Fills'!Q959="PHILLIPSG",'ATP Fills'!F959,""))</f>
        <v/>
      </c>
      <c r="B959" t="str">
        <f>IF(A959="","",'ATP Fills'!L959)</f>
        <v/>
      </c>
      <c r="C959" t="str">
        <f>IF(A959="","",'ATP Fills'!M959)</f>
        <v/>
      </c>
      <c r="D959" t="str">
        <f>IF(A959="","",'ATP Fills'!B959)</f>
        <v/>
      </c>
      <c r="E959" s="3" t="str">
        <f>IF(A959="","",IF(DATE(LEFT(D959,4),MID(D959,5,2),RIGHT(D959,2))=Helper1!$P$1,Helper1!$P$1,""))</f>
        <v/>
      </c>
      <c r="F959" s="3" t="str">
        <f>IF(A959="","",'ATP Fills'!G959)</f>
        <v/>
      </c>
      <c r="G959" t="str">
        <f>IF(A959="","",'ATP Fills'!H959)</f>
        <v/>
      </c>
      <c r="H959" t="str">
        <f>IF(A959="","",VLOOKUP(G959,表3_3[],2,0))</f>
        <v/>
      </c>
      <c r="I959" t="str">
        <f>IF(A959="","",VLOOKUP(G959,表3_3[],3,0))</f>
        <v/>
      </c>
      <c r="J959" t="str">
        <f>IF(A959="","",IF('ATP Fills'!I959="3M","",VLOOKUP(RIGHT('ATP Fills'!I959,2),Helper1!$O$36:$P$48,2,0)))</f>
        <v/>
      </c>
      <c r="K959" t="str">
        <f>IF(J959="","",LEFT('ATP Fills'!I959,4))</f>
        <v/>
      </c>
      <c r="L959" t="str">
        <f>IF(A959="","",IF('ATP Fills'!G959="LME",'ATP Fills'!I959,""))</f>
        <v/>
      </c>
      <c r="M959" t="str">
        <f t="shared" si="14"/>
        <v/>
      </c>
    </row>
    <row r="960" spans="1:13">
      <c r="A960" t="str">
        <f>IF('ATP Fills'!A960="","",IF('ATP Fills'!Q960="PHILLIPSG",'ATP Fills'!F960,""))</f>
        <v/>
      </c>
      <c r="B960" t="str">
        <f>IF(A960="","",'ATP Fills'!L960)</f>
        <v/>
      </c>
      <c r="C960" t="str">
        <f>IF(A960="","",'ATP Fills'!M960)</f>
        <v/>
      </c>
      <c r="D960" t="str">
        <f>IF(A960="","",'ATP Fills'!B960)</f>
        <v/>
      </c>
      <c r="E960" s="3" t="str">
        <f>IF(A960="","",IF(DATE(LEFT(D960,4),MID(D960,5,2),RIGHT(D960,2))=Helper1!$P$1,Helper1!$P$1,""))</f>
        <v/>
      </c>
      <c r="F960" s="3" t="str">
        <f>IF(A960="","",'ATP Fills'!G960)</f>
        <v/>
      </c>
      <c r="G960" t="str">
        <f>IF(A960="","",'ATP Fills'!H960)</f>
        <v/>
      </c>
      <c r="H960" t="str">
        <f>IF(A960="","",VLOOKUP(G960,表3_3[],2,0))</f>
        <v/>
      </c>
      <c r="I960" t="str">
        <f>IF(A960="","",VLOOKUP(G960,表3_3[],3,0))</f>
        <v/>
      </c>
      <c r="J960" t="str">
        <f>IF(A960="","",IF('ATP Fills'!I960="3M","",VLOOKUP(RIGHT('ATP Fills'!I960,2),Helper1!$O$36:$P$48,2,0)))</f>
        <v/>
      </c>
      <c r="K960" t="str">
        <f>IF(J960="","",LEFT('ATP Fills'!I960,4))</f>
        <v/>
      </c>
      <c r="L960" t="str">
        <f>IF(A960="","",IF('ATP Fills'!G960="LME",'ATP Fills'!I960,""))</f>
        <v/>
      </c>
      <c r="M960" t="str">
        <f t="shared" si="14"/>
        <v/>
      </c>
    </row>
    <row r="961" spans="1:13">
      <c r="A961" t="str">
        <f>IF('ATP Fills'!A961="","",IF('ATP Fills'!Q961="PHILLIPSG",'ATP Fills'!F961,""))</f>
        <v/>
      </c>
      <c r="B961" t="str">
        <f>IF(A961="","",'ATP Fills'!L961)</f>
        <v/>
      </c>
      <c r="C961" t="str">
        <f>IF(A961="","",'ATP Fills'!M961)</f>
        <v/>
      </c>
      <c r="D961" t="str">
        <f>IF(A961="","",'ATP Fills'!B961)</f>
        <v/>
      </c>
      <c r="E961" s="3" t="str">
        <f>IF(A961="","",IF(DATE(LEFT(D961,4),MID(D961,5,2),RIGHT(D961,2))=Helper1!$P$1,Helper1!$P$1,""))</f>
        <v/>
      </c>
      <c r="F961" s="3" t="str">
        <f>IF(A961="","",'ATP Fills'!G961)</f>
        <v/>
      </c>
      <c r="G961" t="str">
        <f>IF(A961="","",'ATP Fills'!H961)</f>
        <v/>
      </c>
      <c r="H961" t="str">
        <f>IF(A961="","",VLOOKUP(G961,表3_3[],2,0))</f>
        <v/>
      </c>
      <c r="I961" t="str">
        <f>IF(A961="","",VLOOKUP(G961,表3_3[],3,0))</f>
        <v/>
      </c>
      <c r="J961" t="str">
        <f>IF(A961="","",IF('ATP Fills'!I961="3M","",VLOOKUP(RIGHT('ATP Fills'!I961,2),Helper1!$O$36:$P$48,2,0)))</f>
        <v/>
      </c>
      <c r="K961" t="str">
        <f>IF(J961="","",LEFT('ATP Fills'!I961,4))</f>
        <v/>
      </c>
      <c r="L961" t="str">
        <f>IF(A961="","",IF('ATP Fills'!G961="LME",'ATP Fills'!I961,""))</f>
        <v/>
      </c>
      <c r="M961" t="str">
        <f t="shared" si="14"/>
        <v/>
      </c>
    </row>
    <row r="962" spans="1:13">
      <c r="A962" t="str">
        <f>IF('ATP Fills'!A962="","",IF('ATP Fills'!Q962="PHILLIPSG",'ATP Fills'!F962,""))</f>
        <v/>
      </c>
      <c r="B962" t="str">
        <f>IF(A962="","",'ATP Fills'!L962)</f>
        <v/>
      </c>
      <c r="C962" t="str">
        <f>IF(A962="","",'ATP Fills'!M962)</f>
        <v/>
      </c>
      <c r="D962" t="str">
        <f>IF(A962="","",'ATP Fills'!B962)</f>
        <v/>
      </c>
      <c r="E962" s="3" t="str">
        <f>IF(A962="","",IF(DATE(LEFT(D962,4),MID(D962,5,2),RIGHT(D962,2))=Helper1!$P$1,Helper1!$P$1,""))</f>
        <v/>
      </c>
      <c r="F962" s="3" t="str">
        <f>IF(A962="","",'ATP Fills'!G962)</f>
        <v/>
      </c>
      <c r="G962" t="str">
        <f>IF(A962="","",'ATP Fills'!H962)</f>
        <v/>
      </c>
      <c r="H962" t="str">
        <f>IF(A962="","",VLOOKUP(G962,表3_3[],2,0))</f>
        <v/>
      </c>
      <c r="I962" t="str">
        <f>IF(A962="","",VLOOKUP(G962,表3_3[],3,0))</f>
        <v/>
      </c>
      <c r="J962" t="str">
        <f>IF(A962="","",IF('ATP Fills'!I962="3M","",VLOOKUP(RIGHT('ATP Fills'!I962,2),Helper1!$O$36:$P$48,2,0)))</f>
        <v/>
      </c>
      <c r="K962" t="str">
        <f>IF(J962="","",LEFT('ATP Fills'!I962,4))</f>
        <v/>
      </c>
      <c r="L962" t="str">
        <f>IF(A962="","",IF('ATP Fills'!G962="LME",'ATP Fills'!I962,""))</f>
        <v/>
      </c>
      <c r="M962" t="str">
        <f t="shared" si="14"/>
        <v/>
      </c>
    </row>
    <row r="963" spans="1:13">
      <c r="A963" t="str">
        <f>IF('ATP Fills'!A963="","",IF('ATP Fills'!Q963="PHILLIPSG",'ATP Fills'!F963,""))</f>
        <v/>
      </c>
      <c r="B963" t="str">
        <f>IF(A963="","",'ATP Fills'!L963)</f>
        <v/>
      </c>
      <c r="C963" t="str">
        <f>IF(A963="","",'ATP Fills'!M963)</f>
        <v/>
      </c>
      <c r="D963" t="str">
        <f>IF(A963="","",'ATP Fills'!B963)</f>
        <v/>
      </c>
      <c r="E963" s="3" t="str">
        <f>IF(A963="","",IF(DATE(LEFT(D963,4),MID(D963,5,2),RIGHT(D963,2))=Helper1!$P$1,Helper1!$P$1,""))</f>
        <v/>
      </c>
      <c r="F963" s="3" t="str">
        <f>IF(A963="","",'ATP Fills'!G963)</f>
        <v/>
      </c>
      <c r="G963" t="str">
        <f>IF(A963="","",'ATP Fills'!H963)</f>
        <v/>
      </c>
      <c r="H963" t="str">
        <f>IF(A963="","",VLOOKUP(G963,表3_3[],2,0))</f>
        <v/>
      </c>
      <c r="I963" t="str">
        <f>IF(A963="","",VLOOKUP(G963,表3_3[],3,0))</f>
        <v/>
      </c>
      <c r="J963" t="str">
        <f>IF(A963="","",IF('ATP Fills'!I963="3M","",VLOOKUP(RIGHT('ATP Fills'!I963,2),Helper1!$O$36:$P$48,2,0)))</f>
        <v/>
      </c>
      <c r="K963" t="str">
        <f>IF(J963="","",LEFT('ATP Fills'!I963,4))</f>
        <v/>
      </c>
      <c r="L963" t="str">
        <f>IF(A963="","",IF('ATP Fills'!G963="LME",'ATP Fills'!I963,""))</f>
        <v/>
      </c>
      <c r="M963" t="str">
        <f t="shared" ref="M963:M1026" si="15">IF(A963="","",IF(F963="LME",F963&amp;"-"&amp;I963&amp;"-"&amp;L963,J963&amp;"-"&amp;K963&amp;"-"&amp;I963))</f>
        <v/>
      </c>
    </row>
    <row r="964" spans="1:13">
      <c r="A964" t="str">
        <f>IF('ATP Fills'!A964="","",IF('ATP Fills'!Q964="PHILLIPSG",'ATP Fills'!F964,""))</f>
        <v/>
      </c>
      <c r="B964" t="str">
        <f>IF(A964="","",'ATP Fills'!L964)</f>
        <v/>
      </c>
      <c r="C964" t="str">
        <f>IF(A964="","",'ATP Fills'!M964)</f>
        <v/>
      </c>
      <c r="D964" t="str">
        <f>IF(A964="","",'ATP Fills'!B964)</f>
        <v/>
      </c>
      <c r="E964" s="3" t="str">
        <f>IF(A964="","",IF(DATE(LEFT(D964,4),MID(D964,5,2),RIGHT(D964,2))=Helper1!$P$1,Helper1!$P$1,""))</f>
        <v/>
      </c>
      <c r="F964" s="3" t="str">
        <f>IF(A964="","",'ATP Fills'!G964)</f>
        <v/>
      </c>
      <c r="G964" t="str">
        <f>IF(A964="","",'ATP Fills'!H964)</f>
        <v/>
      </c>
      <c r="H964" t="str">
        <f>IF(A964="","",VLOOKUP(G964,表3_3[],2,0))</f>
        <v/>
      </c>
      <c r="I964" t="str">
        <f>IF(A964="","",VLOOKUP(G964,表3_3[],3,0))</f>
        <v/>
      </c>
      <c r="J964" t="str">
        <f>IF(A964="","",IF('ATP Fills'!I964="3M","",VLOOKUP(RIGHT('ATP Fills'!I964,2),Helper1!$O$36:$P$48,2,0)))</f>
        <v/>
      </c>
      <c r="K964" t="str">
        <f>IF(J964="","",LEFT('ATP Fills'!I964,4))</f>
        <v/>
      </c>
      <c r="L964" t="str">
        <f>IF(A964="","",IF('ATP Fills'!G964="LME",'ATP Fills'!I964,""))</f>
        <v/>
      </c>
      <c r="M964" t="str">
        <f t="shared" si="15"/>
        <v/>
      </c>
    </row>
    <row r="965" spans="1:13">
      <c r="A965" t="str">
        <f>IF('ATP Fills'!A965="","",IF('ATP Fills'!Q965="PHILLIPSG",'ATP Fills'!F965,""))</f>
        <v/>
      </c>
      <c r="B965" t="str">
        <f>IF(A965="","",'ATP Fills'!L965)</f>
        <v/>
      </c>
      <c r="C965" t="str">
        <f>IF(A965="","",'ATP Fills'!M965)</f>
        <v/>
      </c>
      <c r="D965" t="str">
        <f>IF(A965="","",'ATP Fills'!B965)</f>
        <v/>
      </c>
      <c r="E965" s="3" t="str">
        <f>IF(A965="","",IF(DATE(LEFT(D965,4),MID(D965,5,2),RIGHT(D965,2))=Helper1!$P$1,Helper1!$P$1,""))</f>
        <v/>
      </c>
      <c r="F965" s="3" t="str">
        <f>IF(A965="","",'ATP Fills'!G965)</f>
        <v/>
      </c>
      <c r="G965" t="str">
        <f>IF(A965="","",'ATP Fills'!H965)</f>
        <v/>
      </c>
      <c r="H965" t="str">
        <f>IF(A965="","",VLOOKUP(G965,表3_3[],2,0))</f>
        <v/>
      </c>
      <c r="I965" t="str">
        <f>IF(A965="","",VLOOKUP(G965,表3_3[],3,0))</f>
        <v/>
      </c>
      <c r="J965" t="str">
        <f>IF(A965="","",IF('ATP Fills'!I965="3M","",VLOOKUP(RIGHT('ATP Fills'!I965,2),Helper1!$O$36:$P$48,2,0)))</f>
        <v/>
      </c>
      <c r="K965" t="str">
        <f>IF(J965="","",LEFT('ATP Fills'!I965,4))</f>
        <v/>
      </c>
      <c r="L965" t="str">
        <f>IF(A965="","",IF('ATP Fills'!G965="LME",'ATP Fills'!I965,""))</f>
        <v/>
      </c>
      <c r="M965" t="str">
        <f t="shared" si="15"/>
        <v/>
      </c>
    </row>
    <row r="966" spans="1:13">
      <c r="A966" t="str">
        <f>IF('ATP Fills'!A966="","",IF('ATP Fills'!Q966="PHILLIPSG",'ATP Fills'!F966,""))</f>
        <v/>
      </c>
      <c r="B966" t="str">
        <f>IF(A966="","",'ATP Fills'!L966)</f>
        <v/>
      </c>
      <c r="C966" t="str">
        <f>IF(A966="","",'ATP Fills'!M966)</f>
        <v/>
      </c>
      <c r="D966" t="str">
        <f>IF(A966="","",'ATP Fills'!B966)</f>
        <v/>
      </c>
      <c r="E966" s="3" t="str">
        <f>IF(A966="","",IF(DATE(LEFT(D966,4),MID(D966,5,2),RIGHT(D966,2))=Helper1!$P$1,Helper1!$P$1,""))</f>
        <v/>
      </c>
      <c r="F966" s="3" t="str">
        <f>IF(A966="","",'ATP Fills'!G966)</f>
        <v/>
      </c>
      <c r="G966" t="str">
        <f>IF(A966="","",'ATP Fills'!H966)</f>
        <v/>
      </c>
      <c r="H966" t="str">
        <f>IF(A966="","",VLOOKUP(G966,表3_3[],2,0))</f>
        <v/>
      </c>
      <c r="I966" t="str">
        <f>IF(A966="","",VLOOKUP(G966,表3_3[],3,0))</f>
        <v/>
      </c>
      <c r="J966" t="str">
        <f>IF(A966="","",IF('ATP Fills'!I966="3M","",VLOOKUP(RIGHT('ATP Fills'!I966,2),Helper1!$O$36:$P$48,2,0)))</f>
        <v/>
      </c>
      <c r="K966" t="str">
        <f>IF(J966="","",LEFT('ATP Fills'!I966,4))</f>
        <v/>
      </c>
      <c r="L966" t="str">
        <f>IF(A966="","",IF('ATP Fills'!G966="LME",'ATP Fills'!I966,""))</f>
        <v/>
      </c>
      <c r="M966" t="str">
        <f t="shared" si="15"/>
        <v/>
      </c>
    </row>
    <row r="967" spans="1:13">
      <c r="A967" t="str">
        <f>IF('ATP Fills'!A967="","",IF('ATP Fills'!Q967="PHILLIPSG",'ATP Fills'!F967,""))</f>
        <v/>
      </c>
      <c r="B967" t="str">
        <f>IF(A967="","",'ATP Fills'!L967)</f>
        <v/>
      </c>
      <c r="C967" t="str">
        <f>IF(A967="","",'ATP Fills'!M967)</f>
        <v/>
      </c>
      <c r="D967" t="str">
        <f>IF(A967="","",'ATP Fills'!B967)</f>
        <v/>
      </c>
      <c r="E967" s="3" t="str">
        <f>IF(A967="","",IF(DATE(LEFT(D967,4),MID(D967,5,2),RIGHT(D967,2))=Helper1!$P$1,Helper1!$P$1,""))</f>
        <v/>
      </c>
      <c r="F967" s="3" t="str">
        <f>IF(A967="","",'ATP Fills'!G967)</f>
        <v/>
      </c>
      <c r="G967" t="str">
        <f>IF(A967="","",'ATP Fills'!H967)</f>
        <v/>
      </c>
      <c r="H967" t="str">
        <f>IF(A967="","",VLOOKUP(G967,表3_3[],2,0))</f>
        <v/>
      </c>
      <c r="I967" t="str">
        <f>IF(A967="","",VLOOKUP(G967,表3_3[],3,0))</f>
        <v/>
      </c>
      <c r="J967" t="str">
        <f>IF(A967="","",IF('ATP Fills'!I967="3M","",VLOOKUP(RIGHT('ATP Fills'!I967,2),Helper1!$O$36:$P$48,2,0)))</f>
        <v/>
      </c>
      <c r="K967" t="str">
        <f>IF(J967="","",LEFT('ATP Fills'!I967,4))</f>
        <v/>
      </c>
      <c r="L967" t="str">
        <f>IF(A967="","",IF('ATP Fills'!G967="LME",'ATP Fills'!I967,""))</f>
        <v/>
      </c>
      <c r="M967" t="str">
        <f t="shared" si="15"/>
        <v/>
      </c>
    </row>
    <row r="968" spans="1:13">
      <c r="A968" t="str">
        <f>IF('ATP Fills'!A968="","",IF('ATP Fills'!Q968="PHILLIPSG",'ATP Fills'!F968,""))</f>
        <v/>
      </c>
      <c r="B968" t="str">
        <f>IF(A968="","",'ATP Fills'!L968)</f>
        <v/>
      </c>
      <c r="C968" t="str">
        <f>IF(A968="","",'ATP Fills'!M968)</f>
        <v/>
      </c>
      <c r="D968" t="str">
        <f>IF(A968="","",'ATP Fills'!B968)</f>
        <v/>
      </c>
      <c r="E968" s="3" t="str">
        <f>IF(A968="","",IF(DATE(LEFT(D968,4),MID(D968,5,2),RIGHT(D968,2))=Helper1!$P$1,Helper1!$P$1,""))</f>
        <v/>
      </c>
      <c r="F968" s="3" t="str">
        <f>IF(A968="","",'ATP Fills'!G968)</f>
        <v/>
      </c>
      <c r="G968" t="str">
        <f>IF(A968="","",'ATP Fills'!H968)</f>
        <v/>
      </c>
      <c r="H968" t="str">
        <f>IF(A968="","",VLOOKUP(G968,表3_3[],2,0))</f>
        <v/>
      </c>
      <c r="I968" t="str">
        <f>IF(A968="","",VLOOKUP(G968,表3_3[],3,0))</f>
        <v/>
      </c>
      <c r="J968" t="str">
        <f>IF(A968="","",IF('ATP Fills'!I968="3M","",VLOOKUP(RIGHT('ATP Fills'!I968,2),Helper1!$O$36:$P$48,2,0)))</f>
        <v/>
      </c>
      <c r="K968" t="str">
        <f>IF(J968="","",LEFT('ATP Fills'!I968,4))</f>
        <v/>
      </c>
      <c r="L968" t="str">
        <f>IF(A968="","",IF('ATP Fills'!G968="LME",'ATP Fills'!I968,""))</f>
        <v/>
      </c>
      <c r="M968" t="str">
        <f t="shared" si="15"/>
        <v/>
      </c>
    </row>
    <row r="969" spans="1:13">
      <c r="A969" t="str">
        <f>IF('ATP Fills'!A969="","",IF('ATP Fills'!Q969="PHILLIPSG",'ATP Fills'!F969,""))</f>
        <v/>
      </c>
      <c r="B969" t="str">
        <f>IF(A969="","",'ATP Fills'!L969)</f>
        <v/>
      </c>
      <c r="C969" t="str">
        <f>IF(A969="","",'ATP Fills'!M969)</f>
        <v/>
      </c>
      <c r="D969" t="str">
        <f>IF(A969="","",'ATP Fills'!B969)</f>
        <v/>
      </c>
      <c r="E969" s="3" t="str">
        <f>IF(A969="","",IF(DATE(LEFT(D969,4),MID(D969,5,2),RIGHT(D969,2))=Helper1!$P$1,Helper1!$P$1,""))</f>
        <v/>
      </c>
      <c r="F969" s="3" t="str">
        <f>IF(A969="","",'ATP Fills'!G969)</f>
        <v/>
      </c>
      <c r="G969" t="str">
        <f>IF(A969="","",'ATP Fills'!H969)</f>
        <v/>
      </c>
      <c r="H969" t="str">
        <f>IF(A969="","",VLOOKUP(G969,表3_3[],2,0))</f>
        <v/>
      </c>
      <c r="I969" t="str">
        <f>IF(A969="","",VLOOKUP(G969,表3_3[],3,0))</f>
        <v/>
      </c>
      <c r="J969" t="str">
        <f>IF(A969="","",IF('ATP Fills'!I969="3M","",VLOOKUP(RIGHT('ATP Fills'!I969,2),Helper1!$O$36:$P$48,2,0)))</f>
        <v/>
      </c>
      <c r="K969" t="str">
        <f>IF(J969="","",LEFT('ATP Fills'!I969,4))</f>
        <v/>
      </c>
      <c r="L969" t="str">
        <f>IF(A969="","",IF('ATP Fills'!G969="LME",'ATP Fills'!I969,""))</f>
        <v/>
      </c>
      <c r="M969" t="str">
        <f t="shared" si="15"/>
        <v/>
      </c>
    </row>
    <row r="970" spans="1:13">
      <c r="A970" t="str">
        <f>IF('ATP Fills'!A970="","",IF('ATP Fills'!Q970="PHILLIPSG",'ATP Fills'!F970,""))</f>
        <v/>
      </c>
      <c r="B970" t="str">
        <f>IF(A970="","",'ATP Fills'!L970)</f>
        <v/>
      </c>
      <c r="C970" t="str">
        <f>IF(A970="","",'ATP Fills'!M970)</f>
        <v/>
      </c>
      <c r="D970" t="str">
        <f>IF(A970="","",'ATP Fills'!B970)</f>
        <v/>
      </c>
      <c r="E970" s="3" t="str">
        <f>IF(A970="","",IF(DATE(LEFT(D970,4),MID(D970,5,2),RIGHT(D970,2))=Helper1!$P$1,Helper1!$P$1,""))</f>
        <v/>
      </c>
      <c r="F970" s="3" t="str">
        <f>IF(A970="","",'ATP Fills'!G970)</f>
        <v/>
      </c>
      <c r="G970" t="str">
        <f>IF(A970="","",'ATP Fills'!H970)</f>
        <v/>
      </c>
      <c r="H970" t="str">
        <f>IF(A970="","",VLOOKUP(G970,表3_3[],2,0))</f>
        <v/>
      </c>
      <c r="I970" t="str">
        <f>IF(A970="","",VLOOKUP(G970,表3_3[],3,0))</f>
        <v/>
      </c>
      <c r="J970" t="str">
        <f>IF(A970="","",IF('ATP Fills'!I970="3M","",VLOOKUP(RIGHT('ATP Fills'!I970,2),Helper1!$O$36:$P$48,2,0)))</f>
        <v/>
      </c>
      <c r="K970" t="str">
        <f>IF(J970="","",LEFT('ATP Fills'!I970,4))</f>
        <v/>
      </c>
      <c r="L970" t="str">
        <f>IF(A970="","",IF('ATP Fills'!G970="LME",'ATP Fills'!I970,""))</f>
        <v/>
      </c>
      <c r="M970" t="str">
        <f t="shared" si="15"/>
        <v/>
      </c>
    </row>
    <row r="971" spans="1:13">
      <c r="A971" t="str">
        <f>IF('ATP Fills'!A971="","",IF('ATP Fills'!Q971="PHILLIPSG",'ATP Fills'!F971,""))</f>
        <v/>
      </c>
      <c r="B971" t="str">
        <f>IF(A971="","",'ATP Fills'!L971)</f>
        <v/>
      </c>
      <c r="C971" t="str">
        <f>IF(A971="","",'ATP Fills'!M971)</f>
        <v/>
      </c>
      <c r="D971" t="str">
        <f>IF(A971="","",'ATP Fills'!B971)</f>
        <v/>
      </c>
      <c r="E971" s="3" t="str">
        <f>IF(A971="","",IF(DATE(LEFT(D971,4),MID(D971,5,2),RIGHT(D971,2))=Helper1!$P$1,Helper1!$P$1,""))</f>
        <v/>
      </c>
      <c r="F971" s="3" t="str">
        <f>IF(A971="","",'ATP Fills'!G971)</f>
        <v/>
      </c>
      <c r="G971" t="str">
        <f>IF(A971="","",'ATP Fills'!H971)</f>
        <v/>
      </c>
      <c r="H971" t="str">
        <f>IF(A971="","",VLOOKUP(G971,表3_3[],2,0))</f>
        <v/>
      </c>
      <c r="I971" t="str">
        <f>IF(A971="","",VLOOKUP(G971,表3_3[],3,0))</f>
        <v/>
      </c>
      <c r="J971" t="str">
        <f>IF(A971="","",IF('ATP Fills'!I971="3M","",VLOOKUP(RIGHT('ATP Fills'!I971,2),Helper1!$O$36:$P$48,2,0)))</f>
        <v/>
      </c>
      <c r="K971" t="str">
        <f>IF(J971="","",LEFT('ATP Fills'!I971,4))</f>
        <v/>
      </c>
      <c r="L971" t="str">
        <f>IF(A971="","",IF('ATP Fills'!G971="LME",'ATP Fills'!I971,""))</f>
        <v/>
      </c>
      <c r="M971" t="str">
        <f t="shared" si="15"/>
        <v/>
      </c>
    </row>
    <row r="972" spans="1:13">
      <c r="A972" t="str">
        <f>IF('ATP Fills'!A972="","",IF('ATP Fills'!Q972="PHILLIPSG",'ATP Fills'!F972,""))</f>
        <v/>
      </c>
      <c r="B972" t="str">
        <f>IF(A972="","",'ATP Fills'!L972)</f>
        <v/>
      </c>
      <c r="C972" t="str">
        <f>IF(A972="","",'ATP Fills'!M972)</f>
        <v/>
      </c>
      <c r="D972" t="str">
        <f>IF(A972="","",'ATP Fills'!B972)</f>
        <v/>
      </c>
      <c r="E972" s="3" t="str">
        <f>IF(A972="","",IF(DATE(LEFT(D972,4),MID(D972,5,2),RIGHT(D972,2))=Helper1!$P$1,Helper1!$P$1,""))</f>
        <v/>
      </c>
      <c r="F972" s="3" t="str">
        <f>IF(A972="","",'ATP Fills'!G972)</f>
        <v/>
      </c>
      <c r="G972" t="str">
        <f>IF(A972="","",'ATP Fills'!H972)</f>
        <v/>
      </c>
      <c r="H972" t="str">
        <f>IF(A972="","",VLOOKUP(G972,表3_3[],2,0))</f>
        <v/>
      </c>
      <c r="I972" t="str">
        <f>IF(A972="","",VLOOKUP(G972,表3_3[],3,0))</f>
        <v/>
      </c>
      <c r="J972" t="str">
        <f>IF(A972="","",IF('ATP Fills'!I972="3M","",VLOOKUP(RIGHT('ATP Fills'!I972,2),Helper1!$O$36:$P$48,2,0)))</f>
        <v/>
      </c>
      <c r="K972" t="str">
        <f>IF(J972="","",LEFT('ATP Fills'!I972,4))</f>
        <v/>
      </c>
      <c r="L972" t="str">
        <f>IF(A972="","",IF('ATP Fills'!G972="LME",'ATP Fills'!I972,""))</f>
        <v/>
      </c>
      <c r="M972" t="str">
        <f t="shared" si="15"/>
        <v/>
      </c>
    </row>
    <row r="973" spans="1:13">
      <c r="A973" t="str">
        <f>IF('ATP Fills'!A973="","",IF('ATP Fills'!Q973="PHILLIPSG",'ATP Fills'!F973,""))</f>
        <v/>
      </c>
      <c r="B973" t="str">
        <f>IF(A973="","",'ATP Fills'!L973)</f>
        <v/>
      </c>
      <c r="C973" t="str">
        <f>IF(A973="","",'ATP Fills'!M973)</f>
        <v/>
      </c>
      <c r="D973" t="str">
        <f>IF(A973="","",'ATP Fills'!B973)</f>
        <v/>
      </c>
      <c r="E973" s="3" t="str">
        <f>IF(A973="","",IF(DATE(LEFT(D973,4),MID(D973,5,2),RIGHT(D973,2))=Helper1!$P$1,Helper1!$P$1,""))</f>
        <v/>
      </c>
      <c r="F973" s="3" t="str">
        <f>IF(A973="","",'ATP Fills'!G973)</f>
        <v/>
      </c>
      <c r="G973" t="str">
        <f>IF(A973="","",'ATP Fills'!H973)</f>
        <v/>
      </c>
      <c r="H973" t="str">
        <f>IF(A973="","",VLOOKUP(G973,表3_3[],2,0))</f>
        <v/>
      </c>
      <c r="I973" t="str">
        <f>IF(A973="","",VLOOKUP(G973,表3_3[],3,0))</f>
        <v/>
      </c>
      <c r="J973" t="str">
        <f>IF(A973="","",IF('ATP Fills'!I973="3M","",VLOOKUP(RIGHT('ATP Fills'!I973,2),Helper1!$O$36:$P$48,2,0)))</f>
        <v/>
      </c>
      <c r="K973" t="str">
        <f>IF(J973="","",LEFT('ATP Fills'!I973,4))</f>
        <v/>
      </c>
      <c r="L973" t="str">
        <f>IF(A973="","",IF('ATP Fills'!G973="LME",'ATP Fills'!I973,""))</f>
        <v/>
      </c>
      <c r="M973" t="str">
        <f t="shared" si="15"/>
        <v/>
      </c>
    </row>
    <row r="974" spans="1:13">
      <c r="A974" t="str">
        <f>IF('ATP Fills'!A974="","",IF('ATP Fills'!Q974="PHILLIPSG",'ATP Fills'!F974,""))</f>
        <v/>
      </c>
      <c r="B974" t="str">
        <f>IF(A974="","",'ATP Fills'!L974)</f>
        <v/>
      </c>
      <c r="C974" t="str">
        <f>IF(A974="","",'ATP Fills'!M974)</f>
        <v/>
      </c>
      <c r="D974" t="str">
        <f>IF(A974="","",'ATP Fills'!B974)</f>
        <v/>
      </c>
      <c r="E974" s="3" t="str">
        <f>IF(A974="","",IF(DATE(LEFT(D974,4),MID(D974,5,2),RIGHT(D974,2))=Helper1!$P$1,Helper1!$P$1,""))</f>
        <v/>
      </c>
      <c r="F974" s="3" t="str">
        <f>IF(A974="","",'ATP Fills'!G974)</f>
        <v/>
      </c>
      <c r="G974" t="str">
        <f>IF(A974="","",'ATP Fills'!H974)</f>
        <v/>
      </c>
      <c r="H974" t="str">
        <f>IF(A974="","",VLOOKUP(G974,表3_3[],2,0))</f>
        <v/>
      </c>
      <c r="I974" t="str">
        <f>IF(A974="","",VLOOKUP(G974,表3_3[],3,0))</f>
        <v/>
      </c>
      <c r="J974" t="str">
        <f>IF(A974="","",IF('ATP Fills'!I974="3M","",VLOOKUP(RIGHT('ATP Fills'!I974,2),Helper1!$O$36:$P$48,2,0)))</f>
        <v/>
      </c>
      <c r="K974" t="str">
        <f>IF(J974="","",LEFT('ATP Fills'!I974,4))</f>
        <v/>
      </c>
      <c r="L974" t="str">
        <f>IF(A974="","",IF('ATP Fills'!G974="LME",'ATP Fills'!I974,""))</f>
        <v/>
      </c>
      <c r="M974" t="str">
        <f t="shared" si="15"/>
        <v/>
      </c>
    </row>
    <row r="975" spans="1:13">
      <c r="A975" t="str">
        <f>IF('ATP Fills'!A975="","",IF('ATP Fills'!Q975="PHILLIPSG",'ATP Fills'!F975,""))</f>
        <v/>
      </c>
      <c r="B975" t="str">
        <f>IF(A975="","",'ATP Fills'!L975)</f>
        <v/>
      </c>
      <c r="C975" t="str">
        <f>IF(A975="","",'ATP Fills'!M975)</f>
        <v/>
      </c>
      <c r="D975" t="str">
        <f>IF(A975="","",'ATP Fills'!B975)</f>
        <v/>
      </c>
      <c r="E975" s="3" t="str">
        <f>IF(A975="","",IF(DATE(LEFT(D975,4),MID(D975,5,2),RIGHT(D975,2))=Helper1!$P$1,Helper1!$P$1,""))</f>
        <v/>
      </c>
      <c r="F975" s="3" t="str">
        <f>IF(A975="","",'ATP Fills'!G975)</f>
        <v/>
      </c>
      <c r="G975" t="str">
        <f>IF(A975="","",'ATP Fills'!H975)</f>
        <v/>
      </c>
      <c r="H975" t="str">
        <f>IF(A975="","",VLOOKUP(G975,表3_3[],2,0))</f>
        <v/>
      </c>
      <c r="I975" t="str">
        <f>IF(A975="","",VLOOKUP(G975,表3_3[],3,0))</f>
        <v/>
      </c>
      <c r="J975" t="str">
        <f>IF(A975="","",IF('ATP Fills'!I975="3M","",VLOOKUP(RIGHT('ATP Fills'!I975,2),Helper1!$O$36:$P$48,2,0)))</f>
        <v/>
      </c>
      <c r="K975" t="str">
        <f>IF(J975="","",LEFT('ATP Fills'!I975,4))</f>
        <v/>
      </c>
      <c r="L975" t="str">
        <f>IF(A975="","",IF('ATP Fills'!G975="LME",'ATP Fills'!I975,""))</f>
        <v/>
      </c>
      <c r="M975" t="str">
        <f t="shared" si="15"/>
        <v/>
      </c>
    </row>
    <row r="976" spans="1:13">
      <c r="A976" t="str">
        <f>IF('ATP Fills'!A976="","",IF('ATP Fills'!Q976="PHILLIPSG",'ATP Fills'!F976,""))</f>
        <v/>
      </c>
      <c r="B976" t="str">
        <f>IF(A976="","",'ATP Fills'!L976)</f>
        <v/>
      </c>
      <c r="C976" t="str">
        <f>IF(A976="","",'ATP Fills'!M976)</f>
        <v/>
      </c>
      <c r="D976" t="str">
        <f>IF(A976="","",'ATP Fills'!B976)</f>
        <v/>
      </c>
      <c r="E976" s="3" t="str">
        <f>IF(A976="","",IF(DATE(LEFT(D976,4),MID(D976,5,2),RIGHT(D976,2))=Helper1!$P$1,Helper1!$P$1,""))</f>
        <v/>
      </c>
      <c r="F976" s="3" t="str">
        <f>IF(A976="","",'ATP Fills'!G976)</f>
        <v/>
      </c>
      <c r="G976" t="str">
        <f>IF(A976="","",'ATP Fills'!H976)</f>
        <v/>
      </c>
      <c r="H976" t="str">
        <f>IF(A976="","",VLOOKUP(G976,表3_3[],2,0))</f>
        <v/>
      </c>
      <c r="I976" t="str">
        <f>IF(A976="","",VLOOKUP(G976,表3_3[],3,0))</f>
        <v/>
      </c>
      <c r="J976" t="str">
        <f>IF(A976="","",IF('ATP Fills'!I976="3M","",VLOOKUP(RIGHT('ATP Fills'!I976,2),Helper1!$O$36:$P$48,2,0)))</f>
        <v/>
      </c>
      <c r="K976" t="str">
        <f>IF(J976="","",LEFT('ATP Fills'!I976,4))</f>
        <v/>
      </c>
      <c r="L976" t="str">
        <f>IF(A976="","",IF('ATP Fills'!G976="LME",'ATP Fills'!I976,""))</f>
        <v/>
      </c>
      <c r="M976" t="str">
        <f t="shared" si="15"/>
        <v/>
      </c>
    </row>
    <row r="977" spans="1:13">
      <c r="A977" t="str">
        <f>IF('ATP Fills'!A977="","",IF('ATP Fills'!Q977="PHILLIPSG",'ATP Fills'!F977,""))</f>
        <v/>
      </c>
      <c r="B977" t="str">
        <f>IF(A977="","",'ATP Fills'!L977)</f>
        <v/>
      </c>
      <c r="C977" t="str">
        <f>IF(A977="","",'ATP Fills'!M977)</f>
        <v/>
      </c>
      <c r="D977" t="str">
        <f>IF(A977="","",'ATP Fills'!B977)</f>
        <v/>
      </c>
      <c r="E977" s="3" t="str">
        <f>IF(A977="","",IF(DATE(LEFT(D977,4),MID(D977,5,2),RIGHT(D977,2))=Helper1!$P$1,Helper1!$P$1,""))</f>
        <v/>
      </c>
      <c r="F977" s="3" t="str">
        <f>IF(A977="","",'ATP Fills'!G977)</f>
        <v/>
      </c>
      <c r="G977" t="str">
        <f>IF(A977="","",'ATP Fills'!H977)</f>
        <v/>
      </c>
      <c r="H977" t="str">
        <f>IF(A977="","",VLOOKUP(G977,表3_3[],2,0))</f>
        <v/>
      </c>
      <c r="I977" t="str">
        <f>IF(A977="","",VLOOKUP(G977,表3_3[],3,0))</f>
        <v/>
      </c>
      <c r="J977" t="str">
        <f>IF(A977="","",IF('ATP Fills'!I977="3M","",VLOOKUP(RIGHT('ATP Fills'!I977,2),Helper1!$O$36:$P$48,2,0)))</f>
        <v/>
      </c>
      <c r="K977" t="str">
        <f>IF(J977="","",LEFT('ATP Fills'!I977,4))</f>
        <v/>
      </c>
      <c r="L977" t="str">
        <f>IF(A977="","",IF('ATP Fills'!G977="LME",'ATP Fills'!I977,""))</f>
        <v/>
      </c>
      <c r="M977" t="str">
        <f t="shared" si="15"/>
        <v/>
      </c>
    </row>
    <row r="978" spans="1:13">
      <c r="A978" t="str">
        <f>IF('ATP Fills'!A978="","",IF('ATP Fills'!Q978="PHILLIPSG",'ATP Fills'!F978,""))</f>
        <v/>
      </c>
      <c r="B978" t="str">
        <f>IF(A978="","",'ATP Fills'!L978)</f>
        <v/>
      </c>
      <c r="C978" t="str">
        <f>IF(A978="","",'ATP Fills'!M978)</f>
        <v/>
      </c>
      <c r="D978" t="str">
        <f>IF(A978="","",'ATP Fills'!B978)</f>
        <v/>
      </c>
      <c r="E978" s="3" t="str">
        <f>IF(A978="","",IF(DATE(LEFT(D978,4),MID(D978,5,2),RIGHT(D978,2))=Helper1!$P$1,Helper1!$P$1,""))</f>
        <v/>
      </c>
      <c r="F978" s="3" t="str">
        <f>IF(A978="","",'ATP Fills'!G978)</f>
        <v/>
      </c>
      <c r="G978" t="str">
        <f>IF(A978="","",'ATP Fills'!H978)</f>
        <v/>
      </c>
      <c r="H978" t="str">
        <f>IF(A978="","",VLOOKUP(G978,表3_3[],2,0))</f>
        <v/>
      </c>
      <c r="I978" t="str">
        <f>IF(A978="","",VLOOKUP(G978,表3_3[],3,0))</f>
        <v/>
      </c>
      <c r="J978" t="str">
        <f>IF(A978="","",IF('ATP Fills'!I978="3M","",VLOOKUP(RIGHT('ATP Fills'!I978,2),Helper1!$O$36:$P$48,2,0)))</f>
        <v/>
      </c>
      <c r="K978" t="str">
        <f>IF(J978="","",LEFT('ATP Fills'!I978,4))</f>
        <v/>
      </c>
      <c r="L978" t="str">
        <f>IF(A978="","",IF('ATP Fills'!G978="LME",'ATP Fills'!I978,""))</f>
        <v/>
      </c>
      <c r="M978" t="str">
        <f t="shared" si="15"/>
        <v/>
      </c>
    </row>
    <row r="979" spans="1:13">
      <c r="A979" t="str">
        <f>IF('ATP Fills'!A979="","",IF('ATP Fills'!Q979="PHILLIPSG",'ATP Fills'!F979,""))</f>
        <v/>
      </c>
      <c r="B979" t="str">
        <f>IF(A979="","",'ATP Fills'!L979)</f>
        <v/>
      </c>
      <c r="C979" t="str">
        <f>IF(A979="","",'ATP Fills'!M979)</f>
        <v/>
      </c>
      <c r="D979" t="str">
        <f>IF(A979="","",'ATP Fills'!B979)</f>
        <v/>
      </c>
      <c r="E979" s="3" t="str">
        <f>IF(A979="","",IF(DATE(LEFT(D979,4),MID(D979,5,2),RIGHT(D979,2))=Helper1!$P$1,Helper1!$P$1,""))</f>
        <v/>
      </c>
      <c r="F979" s="3" t="str">
        <f>IF(A979="","",'ATP Fills'!G979)</f>
        <v/>
      </c>
      <c r="G979" t="str">
        <f>IF(A979="","",'ATP Fills'!H979)</f>
        <v/>
      </c>
      <c r="H979" t="str">
        <f>IF(A979="","",VLOOKUP(G979,表3_3[],2,0))</f>
        <v/>
      </c>
      <c r="I979" t="str">
        <f>IF(A979="","",VLOOKUP(G979,表3_3[],3,0))</f>
        <v/>
      </c>
      <c r="J979" t="str">
        <f>IF(A979="","",IF('ATP Fills'!I979="3M","",VLOOKUP(RIGHT('ATP Fills'!I979,2),Helper1!$O$36:$P$48,2,0)))</f>
        <v/>
      </c>
      <c r="K979" t="str">
        <f>IF(J979="","",LEFT('ATP Fills'!I979,4))</f>
        <v/>
      </c>
      <c r="L979" t="str">
        <f>IF(A979="","",IF('ATP Fills'!G979="LME",'ATP Fills'!I979,""))</f>
        <v/>
      </c>
      <c r="M979" t="str">
        <f t="shared" si="15"/>
        <v/>
      </c>
    </row>
    <row r="980" spans="1:13">
      <c r="A980" t="str">
        <f>IF('ATP Fills'!A980="","",IF('ATP Fills'!Q980="PHILLIPSG",'ATP Fills'!F980,""))</f>
        <v/>
      </c>
      <c r="B980" t="str">
        <f>IF(A980="","",'ATP Fills'!L980)</f>
        <v/>
      </c>
      <c r="C980" t="str">
        <f>IF(A980="","",'ATP Fills'!M980)</f>
        <v/>
      </c>
      <c r="D980" t="str">
        <f>IF(A980="","",'ATP Fills'!B980)</f>
        <v/>
      </c>
      <c r="E980" s="3" t="str">
        <f>IF(A980="","",IF(DATE(LEFT(D980,4),MID(D980,5,2),RIGHT(D980,2))=Helper1!$P$1,Helper1!$P$1,""))</f>
        <v/>
      </c>
      <c r="F980" s="3" t="str">
        <f>IF(A980="","",'ATP Fills'!G980)</f>
        <v/>
      </c>
      <c r="G980" t="str">
        <f>IF(A980="","",'ATP Fills'!H980)</f>
        <v/>
      </c>
      <c r="H980" t="str">
        <f>IF(A980="","",VLOOKUP(G980,表3_3[],2,0))</f>
        <v/>
      </c>
      <c r="I980" t="str">
        <f>IF(A980="","",VLOOKUP(G980,表3_3[],3,0))</f>
        <v/>
      </c>
      <c r="J980" t="str">
        <f>IF(A980="","",IF('ATP Fills'!I980="3M","",VLOOKUP(RIGHT('ATP Fills'!I980,2),Helper1!$O$36:$P$48,2,0)))</f>
        <v/>
      </c>
      <c r="K980" t="str">
        <f>IF(J980="","",LEFT('ATP Fills'!I980,4))</f>
        <v/>
      </c>
      <c r="L980" t="str">
        <f>IF(A980="","",IF('ATP Fills'!G980="LME",'ATP Fills'!I980,""))</f>
        <v/>
      </c>
      <c r="M980" t="str">
        <f t="shared" si="15"/>
        <v/>
      </c>
    </row>
    <row r="981" spans="1:13">
      <c r="A981" t="str">
        <f>IF('ATP Fills'!A981="","",IF('ATP Fills'!Q981="PHILLIPSG",'ATP Fills'!F981,""))</f>
        <v/>
      </c>
      <c r="B981" t="str">
        <f>IF(A981="","",'ATP Fills'!L981)</f>
        <v/>
      </c>
      <c r="C981" t="str">
        <f>IF(A981="","",'ATP Fills'!M981)</f>
        <v/>
      </c>
      <c r="D981" t="str">
        <f>IF(A981="","",'ATP Fills'!B981)</f>
        <v/>
      </c>
      <c r="E981" s="3" t="str">
        <f>IF(A981="","",IF(DATE(LEFT(D981,4),MID(D981,5,2),RIGHT(D981,2))=Helper1!$P$1,Helper1!$P$1,""))</f>
        <v/>
      </c>
      <c r="F981" s="3" t="str">
        <f>IF(A981="","",'ATP Fills'!G981)</f>
        <v/>
      </c>
      <c r="G981" t="str">
        <f>IF(A981="","",'ATP Fills'!H981)</f>
        <v/>
      </c>
      <c r="H981" t="str">
        <f>IF(A981="","",VLOOKUP(G981,表3_3[],2,0))</f>
        <v/>
      </c>
      <c r="I981" t="str">
        <f>IF(A981="","",VLOOKUP(G981,表3_3[],3,0))</f>
        <v/>
      </c>
      <c r="J981" t="str">
        <f>IF(A981="","",IF('ATP Fills'!I981="3M","",VLOOKUP(RIGHT('ATP Fills'!I981,2),Helper1!$O$36:$P$48,2,0)))</f>
        <v/>
      </c>
      <c r="K981" t="str">
        <f>IF(J981="","",LEFT('ATP Fills'!I981,4))</f>
        <v/>
      </c>
      <c r="L981" t="str">
        <f>IF(A981="","",IF('ATP Fills'!G981="LME",'ATP Fills'!I981,""))</f>
        <v/>
      </c>
      <c r="M981" t="str">
        <f t="shared" si="15"/>
        <v/>
      </c>
    </row>
    <row r="982" spans="1:13">
      <c r="A982" t="str">
        <f>IF('ATP Fills'!A982="","",IF('ATP Fills'!Q982="PHILLIPSG",'ATP Fills'!F982,""))</f>
        <v/>
      </c>
      <c r="B982" t="str">
        <f>IF(A982="","",'ATP Fills'!L982)</f>
        <v/>
      </c>
      <c r="C982" t="str">
        <f>IF(A982="","",'ATP Fills'!M982)</f>
        <v/>
      </c>
      <c r="D982" t="str">
        <f>IF(A982="","",'ATP Fills'!B982)</f>
        <v/>
      </c>
      <c r="E982" s="3" t="str">
        <f>IF(A982="","",IF(DATE(LEFT(D982,4),MID(D982,5,2),RIGHT(D982,2))=Helper1!$P$1,Helper1!$P$1,""))</f>
        <v/>
      </c>
      <c r="F982" s="3" t="str">
        <f>IF(A982="","",'ATP Fills'!G982)</f>
        <v/>
      </c>
      <c r="G982" t="str">
        <f>IF(A982="","",'ATP Fills'!H982)</f>
        <v/>
      </c>
      <c r="H982" t="str">
        <f>IF(A982="","",VLOOKUP(G982,表3_3[],2,0))</f>
        <v/>
      </c>
      <c r="I982" t="str">
        <f>IF(A982="","",VLOOKUP(G982,表3_3[],3,0))</f>
        <v/>
      </c>
      <c r="J982" t="str">
        <f>IF(A982="","",IF('ATP Fills'!I982="3M","",VLOOKUP(RIGHT('ATP Fills'!I982,2),Helper1!$O$36:$P$48,2,0)))</f>
        <v/>
      </c>
      <c r="K982" t="str">
        <f>IF(J982="","",LEFT('ATP Fills'!I982,4))</f>
        <v/>
      </c>
      <c r="L982" t="str">
        <f>IF(A982="","",IF('ATP Fills'!G982="LME",'ATP Fills'!I982,""))</f>
        <v/>
      </c>
      <c r="M982" t="str">
        <f t="shared" si="15"/>
        <v/>
      </c>
    </row>
    <row r="983" spans="1:13">
      <c r="A983" t="str">
        <f>IF('ATP Fills'!A983="","",IF('ATP Fills'!Q983="PHILLIPSG",'ATP Fills'!F983,""))</f>
        <v/>
      </c>
      <c r="B983" t="str">
        <f>IF(A983="","",'ATP Fills'!L983)</f>
        <v/>
      </c>
      <c r="C983" t="str">
        <f>IF(A983="","",'ATP Fills'!M983)</f>
        <v/>
      </c>
      <c r="D983" t="str">
        <f>IF(A983="","",'ATP Fills'!B983)</f>
        <v/>
      </c>
      <c r="E983" s="3" t="str">
        <f>IF(A983="","",IF(DATE(LEFT(D983,4),MID(D983,5,2),RIGHT(D983,2))=Helper1!$P$1,Helper1!$P$1,""))</f>
        <v/>
      </c>
      <c r="F983" s="3" t="str">
        <f>IF(A983="","",'ATP Fills'!G983)</f>
        <v/>
      </c>
      <c r="G983" t="str">
        <f>IF(A983="","",'ATP Fills'!H983)</f>
        <v/>
      </c>
      <c r="H983" t="str">
        <f>IF(A983="","",VLOOKUP(G983,表3_3[],2,0))</f>
        <v/>
      </c>
      <c r="I983" t="str">
        <f>IF(A983="","",VLOOKUP(G983,表3_3[],3,0))</f>
        <v/>
      </c>
      <c r="J983" t="str">
        <f>IF(A983="","",IF('ATP Fills'!I983="3M","",VLOOKUP(RIGHT('ATP Fills'!I983,2),Helper1!$O$36:$P$48,2,0)))</f>
        <v/>
      </c>
      <c r="K983" t="str">
        <f>IF(J983="","",LEFT('ATP Fills'!I983,4))</f>
        <v/>
      </c>
      <c r="L983" t="str">
        <f>IF(A983="","",IF('ATP Fills'!G983="LME",'ATP Fills'!I983,""))</f>
        <v/>
      </c>
      <c r="M983" t="str">
        <f t="shared" si="15"/>
        <v/>
      </c>
    </row>
    <row r="984" spans="1:13">
      <c r="A984" t="str">
        <f>IF('ATP Fills'!A984="","",IF('ATP Fills'!Q984="PHILLIPSG",'ATP Fills'!F984,""))</f>
        <v/>
      </c>
      <c r="B984" t="str">
        <f>IF(A984="","",'ATP Fills'!L984)</f>
        <v/>
      </c>
      <c r="C984" t="str">
        <f>IF(A984="","",'ATP Fills'!M984)</f>
        <v/>
      </c>
      <c r="D984" t="str">
        <f>IF(A984="","",'ATP Fills'!B984)</f>
        <v/>
      </c>
      <c r="E984" s="3" t="str">
        <f>IF(A984="","",IF(DATE(LEFT(D984,4),MID(D984,5,2),RIGHT(D984,2))=Helper1!$P$1,Helper1!$P$1,""))</f>
        <v/>
      </c>
      <c r="F984" s="3" t="str">
        <f>IF(A984="","",'ATP Fills'!G984)</f>
        <v/>
      </c>
      <c r="G984" t="str">
        <f>IF(A984="","",'ATP Fills'!H984)</f>
        <v/>
      </c>
      <c r="H984" t="str">
        <f>IF(A984="","",VLOOKUP(G984,表3_3[],2,0))</f>
        <v/>
      </c>
      <c r="I984" t="str">
        <f>IF(A984="","",VLOOKUP(G984,表3_3[],3,0))</f>
        <v/>
      </c>
      <c r="J984" t="str">
        <f>IF(A984="","",IF('ATP Fills'!I984="3M","",VLOOKUP(RIGHT('ATP Fills'!I984,2),Helper1!$O$36:$P$48,2,0)))</f>
        <v/>
      </c>
      <c r="K984" t="str">
        <f>IF(J984="","",LEFT('ATP Fills'!I984,4))</f>
        <v/>
      </c>
      <c r="L984" t="str">
        <f>IF(A984="","",IF('ATP Fills'!G984="LME",'ATP Fills'!I984,""))</f>
        <v/>
      </c>
      <c r="M984" t="str">
        <f t="shared" si="15"/>
        <v/>
      </c>
    </row>
    <row r="985" spans="1:13">
      <c r="A985" t="str">
        <f>IF('ATP Fills'!A985="","",IF('ATP Fills'!Q985="PHILLIPSG",'ATP Fills'!F985,""))</f>
        <v/>
      </c>
      <c r="B985" t="str">
        <f>IF(A985="","",'ATP Fills'!L985)</f>
        <v/>
      </c>
      <c r="C985" t="str">
        <f>IF(A985="","",'ATP Fills'!M985)</f>
        <v/>
      </c>
      <c r="D985" t="str">
        <f>IF(A985="","",'ATP Fills'!B985)</f>
        <v/>
      </c>
      <c r="E985" s="3" t="str">
        <f>IF(A985="","",IF(DATE(LEFT(D985,4),MID(D985,5,2),RIGHT(D985,2))=Helper1!$P$1,Helper1!$P$1,""))</f>
        <v/>
      </c>
      <c r="F985" s="3" t="str">
        <f>IF(A985="","",'ATP Fills'!G985)</f>
        <v/>
      </c>
      <c r="G985" t="str">
        <f>IF(A985="","",'ATP Fills'!H985)</f>
        <v/>
      </c>
      <c r="H985" t="str">
        <f>IF(A985="","",VLOOKUP(G985,表3_3[],2,0))</f>
        <v/>
      </c>
      <c r="I985" t="str">
        <f>IF(A985="","",VLOOKUP(G985,表3_3[],3,0))</f>
        <v/>
      </c>
      <c r="J985" t="str">
        <f>IF(A985="","",IF('ATP Fills'!I985="3M","",VLOOKUP(RIGHT('ATP Fills'!I985,2),Helper1!$O$36:$P$48,2,0)))</f>
        <v/>
      </c>
      <c r="K985" t="str">
        <f>IF(J985="","",LEFT('ATP Fills'!I985,4))</f>
        <v/>
      </c>
      <c r="L985" t="str">
        <f>IF(A985="","",IF('ATP Fills'!G985="LME",'ATP Fills'!I985,""))</f>
        <v/>
      </c>
      <c r="M985" t="str">
        <f t="shared" si="15"/>
        <v/>
      </c>
    </row>
    <row r="986" spans="1:13">
      <c r="A986" t="str">
        <f>IF('ATP Fills'!A986="","",IF('ATP Fills'!Q986="PHILLIPSG",'ATP Fills'!F986,""))</f>
        <v/>
      </c>
      <c r="B986" t="str">
        <f>IF(A986="","",'ATP Fills'!L986)</f>
        <v/>
      </c>
      <c r="C986" t="str">
        <f>IF(A986="","",'ATP Fills'!M986)</f>
        <v/>
      </c>
      <c r="D986" t="str">
        <f>IF(A986="","",'ATP Fills'!B986)</f>
        <v/>
      </c>
      <c r="E986" s="3" t="str">
        <f>IF(A986="","",IF(DATE(LEFT(D986,4),MID(D986,5,2),RIGHT(D986,2))=Helper1!$P$1,Helper1!$P$1,""))</f>
        <v/>
      </c>
      <c r="F986" s="3" t="str">
        <f>IF(A986="","",'ATP Fills'!G986)</f>
        <v/>
      </c>
      <c r="G986" t="str">
        <f>IF(A986="","",'ATP Fills'!H986)</f>
        <v/>
      </c>
      <c r="H986" t="str">
        <f>IF(A986="","",VLOOKUP(G986,表3_3[],2,0))</f>
        <v/>
      </c>
      <c r="I986" t="str">
        <f>IF(A986="","",VLOOKUP(G986,表3_3[],3,0))</f>
        <v/>
      </c>
      <c r="J986" t="str">
        <f>IF(A986="","",IF('ATP Fills'!I986="3M","",VLOOKUP(RIGHT('ATP Fills'!I986,2),Helper1!$O$36:$P$48,2,0)))</f>
        <v/>
      </c>
      <c r="K986" t="str">
        <f>IF(J986="","",LEFT('ATP Fills'!I986,4))</f>
        <v/>
      </c>
      <c r="L986" t="str">
        <f>IF(A986="","",IF('ATP Fills'!G986="LME",'ATP Fills'!I986,""))</f>
        <v/>
      </c>
      <c r="M986" t="str">
        <f t="shared" si="15"/>
        <v/>
      </c>
    </row>
    <row r="987" spans="1:13">
      <c r="A987" t="str">
        <f>IF('ATP Fills'!A987="","",IF('ATP Fills'!Q987="PHILLIPSG",'ATP Fills'!F987,""))</f>
        <v/>
      </c>
      <c r="B987" t="str">
        <f>IF(A987="","",'ATP Fills'!L987)</f>
        <v/>
      </c>
      <c r="C987" t="str">
        <f>IF(A987="","",'ATP Fills'!M987)</f>
        <v/>
      </c>
      <c r="D987" t="str">
        <f>IF(A987="","",'ATP Fills'!B987)</f>
        <v/>
      </c>
      <c r="E987" s="3" t="str">
        <f>IF(A987="","",IF(DATE(LEFT(D987,4),MID(D987,5,2),RIGHT(D987,2))=Helper1!$P$1,Helper1!$P$1,""))</f>
        <v/>
      </c>
      <c r="F987" s="3" t="str">
        <f>IF(A987="","",'ATP Fills'!G987)</f>
        <v/>
      </c>
      <c r="G987" t="str">
        <f>IF(A987="","",'ATP Fills'!H987)</f>
        <v/>
      </c>
      <c r="H987" t="str">
        <f>IF(A987="","",VLOOKUP(G987,表3_3[],2,0))</f>
        <v/>
      </c>
      <c r="I987" t="str">
        <f>IF(A987="","",VLOOKUP(G987,表3_3[],3,0))</f>
        <v/>
      </c>
      <c r="J987" t="str">
        <f>IF(A987="","",IF('ATP Fills'!I987="3M","",VLOOKUP(RIGHT('ATP Fills'!I987,2),Helper1!$O$36:$P$48,2,0)))</f>
        <v/>
      </c>
      <c r="K987" t="str">
        <f>IF(J987="","",LEFT('ATP Fills'!I987,4))</f>
        <v/>
      </c>
      <c r="L987" t="str">
        <f>IF(A987="","",IF('ATP Fills'!G987="LME",'ATP Fills'!I987,""))</f>
        <v/>
      </c>
      <c r="M987" t="str">
        <f t="shared" si="15"/>
        <v/>
      </c>
    </row>
    <row r="988" spans="1:13">
      <c r="A988" t="str">
        <f>IF('ATP Fills'!A988="","",IF('ATP Fills'!Q988="PHILLIPSG",'ATP Fills'!F988,""))</f>
        <v/>
      </c>
      <c r="B988" t="str">
        <f>IF(A988="","",'ATP Fills'!L988)</f>
        <v/>
      </c>
      <c r="C988" t="str">
        <f>IF(A988="","",'ATP Fills'!M988)</f>
        <v/>
      </c>
      <c r="D988" t="str">
        <f>IF(A988="","",'ATP Fills'!B988)</f>
        <v/>
      </c>
      <c r="E988" s="3" t="str">
        <f>IF(A988="","",IF(DATE(LEFT(D988,4),MID(D988,5,2),RIGHT(D988,2))=Helper1!$P$1,Helper1!$P$1,""))</f>
        <v/>
      </c>
      <c r="F988" s="3" t="str">
        <f>IF(A988="","",'ATP Fills'!G988)</f>
        <v/>
      </c>
      <c r="G988" t="str">
        <f>IF(A988="","",'ATP Fills'!H988)</f>
        <v/>
      </c>
      <c r="H988" t="str">
        <f>IF(A988="","",VLOOKUP(G988,表3_3[],2,0))</f>
        <v/>
      </c>
      <c r="I988" t="str">
        <f>IF(A988="","",VLOOKUP(G988,表3_3[],3,0))</f>
        <v/>
      </c>
      <c r="J988" t="str">
        <f>IF(A988="","",IF('ATP Fills'!I988="3M","",VLOOKUP(RIGHT('ATP Fills'!I988,2),Helper1!$O$36:$P$48,2,0)))</f>
        <v/>
      </c>
      <c r="K988" t="str">
        <f>IF(J988="","",LEFT('ATP Fills'!I988,4))</f>
        <v/>
      </c>
      <c r="L988" t="str">
        <f>IF(A988="","",IF('ATP Fills'!G988="LME",'ATP Fills'!I988,""))</f>
        <v/>
      </c>
      <c r="M988" t="str">
        <f t="shared" si="15"/>
        <v/>
      </c>
    </row>
    <row r="989" spans="1:13">
      <c r="A989" t="str">
        <f>IF('ATP Fills'!A989="","",IF('ATP Fills'!Q989="PHILLIPSG",'ATP Fills'!F989,""))</f>
        <v/>
      </c>
      <c r="B989" t="str">
        <f>IF(A989="","",'ATP Fills'!L989)</f>
        <v/>
      </c>
      <c r="C989" t="str">
        <f>IF(A989="","",'ATP Fills'!M989)</f>
        <v/>
      </c>
      <c r="D989" t="str">
        <f>IF(A989="","",'ATP Fills'!B989)</f>
        <v/>
      </c>
      <c r="E989" s="3" t="str">
        <f>IF(A989="","",IF(DATE(LEFT(D989,4),MID(D989,5,2),RIGHT(D989,2))=Helper1!$P$1,Helper1!$P$1,""))</f>
        <v/>
      </c>
      <c r="F989" s="3" t="str">
        <f>IF(A989="","",'ATP Fills'!G989)</f>
        <v/>
      </c>
      <c r="G989" t="str">
        <f>IF(A989="","",'ATP Fills'!H989)</f>
        <v/>
      </c>
      <c r="H989" t="str">
        <f>IF(A989="","",VLOOKUP(G989,表3_3[],2,0))</f>
        <v/>
      </c>
      <c r="I989" t="str">
        <f>IF(A989="","",VLOOKUP(G989,表3_3[],3,0))</f>
        <v/>
      </c>
      <c r="J989" t="str">
        <f>IF(A989="","",IF('ATP Fills'!I989="3M","",VLOOKUP(RIGHT('ATP Fills'!I989,2),Helper1!$O$36:$P$48,2,0)))</f>
        <v/>
      </c>
      <c r="K989" t="str">
        <f>IF(J989="","",LEFT('ATP Fills'!I989,4))</f>
        <v/>
      </c>
      <c r="L989" t="str">
        <f>IF(A989="","",IF('ATP Fills'!G989="LME",'ATP Fills'!I989,""))</f>
        <v/>
      </c>
      <c r="M989" t="str">
        <f t="shared" si="15"/>
        <v/>
      </c>
    </row>
    <row r="990" spans="1:13">
      <c r="A990" t="str">
        <f>IF('ATP Fills'!A990="","",IF('ATP Fills'!Q990="PHILLIPSG",'ATP Fills'!F990,""))</f>
        <v/>
      </c>
      <c r="B990" t="str">
        <f>IF(A990="","",'ATP Fills'!L990)</f>
        <v/>
      </c>
      <c r="C990" t="str">
        <f>IF(A990="","",'ATP Fills'!M990)</f>
        <v/>
      </c>
      <c r="D990" t="str">
        <f>IF(A990="","",'ATP Fills'!B990)</f>
        <v/>
      </c>
      <c r="E990" s="3" t="str">
        <f>IF(A990="","",IF(DATE(LEFT(D990,4),MID(D990,5,2),RIGHT(D990,2))=Helper1!$P$1,Helper1!$P$1,""))</f>
        <v/>
      </c>
      <c r="F990" s="3" t="str">
        <f>IF(A990="","",'ATP Fills'!G990)</f>
        <v/>
      </c>
      <c r="G990" t="str">
        <f>IF(A990="","",'ATP Fills'!H990)</f>
        <v/>
      </c>
      <c r="H990" t="str">
        <f>IF(A990="","",VLOOKUP(G990,表3_3[],2,0))</f>
        <v/>
      </c>
      <c r="I990" t="str">
        <f>IF(A990="","",VLOOKUP(G990,表3_3[],3,0))</f>
        <v/>
      </c>
      <c r="J990" t="str">
        <f>IF(A990="","",IF('ATP Fills'!I990="3M","",VLOOKUP(RIGHT('ATP Fills'!I990,2),Helper1!$O$36:$P$48,2,0)))</f>
        <v/>
      </c>
      <c r="K990" t="str">
        <f>IF(J990="","",LEFT('ATP Fills'!I990,4))</f>
        <v/>
      </c>
      <c r="L990" t="str">
        <f>IF(A990="","",IF('ATP Fills'!G990="LME",'ATP Fills'!I990,""))</f>
        <v/>
      </c>
      <c r="M990" t="str">
        <f t="shared" si="15"/>
        <v/>
      </c>
    </row>
    <row r="991" spans="1:13">
      <c r="A991" t="str">
        <f>IF('ATP Fills'!A991="","",IF('ATP Fills'!Q991="PHILLIPSG",'ATP Fills'!F991,""))</f>
        <v/>
      </c>
      <c r="B991" t="str">
        <f>IF(A991="","",'ATP Fills'!L991)</f>
        <v/>
      </c>
      <c r="C991" t="str">
        <f>IF(A991="","",'ATP Fills'!M991)</f>
        <v/>
      </c>
      <c r="D991" t="str">
        <f>IF(A991="","",'ATP Fills'!B991)</f>
        <v/>
      </c>
      <c r="E991" s="3" t="str">
        <f>IF(A991="","",IF(DATE(LEFT(D991,4),MID(D991,5,2),RIGHT(D991,2))=Helper1!$P$1,Helper1!$P$1,""))</f>
        <v/>
      </c>
      <c r="F991" s="3" t="str">
        <f>IF(A991="","",'ATP Fills'!G991)</f>
        <v/>
      </c>
      <c r="G991" t="str">
        <f>IF(A991="","",'ATP Fills'!H991)</f>
        <v/>
      </c>
      <c r="H991" t="str">
        <f>IF(A991="","",VLOOKUP(G991,表3_3[],2,0))</f>
        <v/>
      </c>
      <c r="I991" t="str">
        <f>IF(A991="","",VLOOKUP(G991,表3_3[],3,0))</f>
        <v/>
      </c>
      <c r="J991" t="str">
        <f>IF(A991="","",IF('ATP Fills'!I991="3M","",VLOOKUP(RIGHT('ATP Fills'!I991,2),Helper1!$O$36:$P$48,2,0)))</f>
        <v/>
      </c>
      <c r="K991" t="str">
        <f>IF(J991="","",LEFT('ATP Fills'!I991,4))</f>
        <v/>
      </c>
      <c r="L991" t="str">
        <f>IF(A991="","",IF('ATP Fills'!G991="LME",'ATP Fills'!I991,""))</f>
        <v/>
      </c>
      <c r="M991" t="str">
        <f t="shared" si="15"/>
        <v/>
      </c>
    </row>
    <row r="992" spans="1:13">
      <c r="A992" t="str">
        <f>IF('ATP Fills'!A992="","",IF('ATP Fills'!Q992="PHILLIPSG",'ATP Fills'!F992,""))</f>
        <v/>
      </c>
      <c r="B992" t="str">
        <f>IF(A992="","",'ATP Fills'!L992)</f>
        <v/>
      </c>
      <c r="C992" t="str">
        <f>IF(A992="","",'ATP Fills'!M992)</f>
        <v/>
      </c>
      <c r="D992" t="str">
        <f>IF(A992="","",'ATP Fills'!B992)</f>
        <v/>
      </c>
      <c r="E992" s="3" t="str">
        <f>IF(A992="","",IF(DATE(LEFT(D992,4),MID(D992,5,2),RIGHT(D992,2))=Helper1!$P$1,Helper1!$P$1,""))</f>
        <v/>
      </c>
      <c r="F992" s="3" t="str">
        <f>IF(A992="","",'ATP Fills'!G992)</f>
        <v/>
      </c>
      <c r="G992" t="str">
        <f>IF(A992="","",'ATP Fills'!H992)</f>
        <v/>
      </c>
      <c r="H992" t="str">
        <f>IF(A992="","",VLOOKUP(G992,表3_3[],2,0))</f>
        <v/>
      </c>
      <c r="I992" t="str">
        <f>IF(A992="","",VLOOKUP(G992,表3_3[],3,0))</f>
        <v/>
      </c>
      <c r="J992" t="str">
        <f>IF(A992="","",IF('ATP Fills'!I992="3M","",VLOOKUP(RIGHT('ATP Fills'!I992,2),Helper1!$O$36:$P$48,2,0)))</f>
        <v/>
      </c>
      <c r="K992" t="str">
        <f>IF(J992="","",LEFT('ATP Fills'!I992,4))</f>
        <v/>
      </c>
      <c r="L992" t="str">
        <f>IF(A992="","",IF('ATP Fills'!G992="LME",'ATP Fills'!I992,""))</f>
        <v/>
      </c>
      <c r="M992" t="str">
        <f t="shared" si="15"/>
        <v/>
      </c>
    </row>
    <row r="993" spans="1:13">
      <c r="A993" t="str">
        <f>IF('ATP Fills'!A993="","",IF('ATP Fills'!Q993="PHILLIPSG",'ATP Fills'!F993,""))</f>
        <v/>
      </c>
      <c r="B993" t="str">
        <f>IF(A993="","",'ATP Fills'!L993)</f>
        <v/>
      </c>
      <c r="C993" t="str">
        <f>IF(A993="","",'ATP Fills'!M993)</f>
        <v/>
      </c>
      <c r="D993" t="str">
        <f>IF(A993="","",'ATP Fills'!B993)</f>
        <v/>
      </c>
      <c r="E993" s="3" t="str">
        <f>IF(A993="","",IF(DATE(LEFT(D993,4),MID(D993,5,2),RIGHT(D993,2))=Helper1!$P$1,Helper1!$P$1,""))</f>
        <v/>
      </c>
      <c r="F993" s="3" t="str">
        <f>IF(A993="","",'ATP Fills'!G993)</f>
        <v/>
      </c>
      <c r="G993" t="str">
        <f>IF(A993="","",'ATP Fills'!H993)</f>
        <v/>
      </c>
      <c r="H993" t="str">
        <f>IF(A993="","",VLOOKUP(G993,表3_3[],2,0))</f>
        <v/>
      </c>
      <c r="I993" t="str">
        <f>IF(A993="","",VLOOKUP(G993,表3_3[],3,0))</f>
        <v/>
      </c>
      <c r="J993" t="str">
        <f>IF(A993="","",IF('ATP Fills'!I993="3M","",VLOOKUP(RIGHT('ATP Fills'!I993,2),Helper1!$O$36:$P$48,2,0)))</f>
        <v/>
      </c>
      <c r="K993" t="str">
        <f>IF(J993="","",LEFT('ATP Fills'!I993,4))</f>
        <v/>
      </c>
      <c r="L993" t="str">
        <f>IF(A993="","",IF('ATP Fills'!G993="LME",'ATP Fills'!I993,""))</f>
        <v/>
      </c>
      <c r="M993" t="str">
        <f t="shared" si="15"/>
        <v/>
      </c>
    </row>
    <row r="994" spans="1:13">
      <c r="A994" t="str">
        <f>IF('ATP Fills'!A994="","",IF('ATP Fills'!Q994="PHILLIPSG",'ATP Fills'!F994,""))</f>
        <v/>
      </c>
      <c r="B994" t="str">
        <f>IF(A994="","",'ATP Fills'!L994)</f>
        <v/>
      </c>
      <c r="C994" t="str">
        <f>IF(A994="","",'ATP Fills'!M994)</f>
        <v/>
      </c>
      <c r="D994" t="str">
        <f>IF(A994="","",'ATP Fills'!B994)</f>
        <v/>
      </c>
      <c r="E994" s="3" t="str">
        <f>IF(A994="","",IF(DATE(LEFT(D994,4),MID(D994,5,2),RIGHT(D994,2))=Helper1!$P$1,Helper1!$P$1,""))</f>
        <v/>
      </c>
      <c r="F994" s="3" t="str">
        <f>IF(A994="","",'ATP Fills'!G994)</f>
        <v/>
      </c>
      <c r="G994" t="str">
        <f>IF(A994="","",'ATP Fills'!H994)</f>
        <v/>
      </c>
      <c r="H994" t="str">
        <f>IF(A994="","",VLOOKUP(G994,表3_3[],2,0))</f>
        <v/>
      </c>
      <c r="I994" t="str">
        <f>IF(A994="","",VLOOKUP(G994,表3_3[],3,0))</f>
        <v/>
      </c>
      <c r="J994" t="str">
        <f>IF(A994="","",IF('ATP Fills'!I994="3M","",VLOOKUP(RIGHT('ATP Fills'!I994,2),Helper1!$O$36:$P$48,2,0)))</f>
        <v/>
      </c>
      <c r="K994" t="str">
        <f>IF(J994="","",LEFT('ATP Fills'!I994,4))</f>
        <v/>
      </c>
      <c r="L994" t="str">
        <f>IF(A994="","",IF('ATP Fills'!G994="LME",'ATP Fills'!I994,""))</f>
        <v/>
      </c>
      <c r="M994" t="str">
        <f t="shared" si="15"/>
        <v/>
      </c>
    </row>
    <row r="995" spans="1:13">
      <c r="A995" t="str">
        <f>IF('ATP Fills'!A995="","",IF('ATP Fills'!Q995="PHILLIPSG",'ATP Fills'!F995,""))</f>
        <v/>
      </c>
      <c r="B995" t="str">
        <f>IF(A995="","",'ATP Fills'!L995)</f>
        <v/>
      </c>
      <c r="C995" t="str">
        <f>IF(A995="","",'ATP Fills'!M995)</f>
        <v/>
      </c>
      <c r="D995" t="str">
        <f>IF(A995="","",'ATP Fills'!B995)</f>
        <v/>
      </c>
      <c r="E995" s="3" t="str">
        <f>IF(A995="","",IF(DATE(LEFT(D995,4),MID(D995,5,2),RIGHT(D995,2))=Helper1!$P$1,Helper1!$P$1,""))</f>
        <v/>
      </c>
      <c r="F995" s="3" t="str">
        <f>IF(A995="","",'ATP Fills'!G995)</f>
        <v/>
      </c>
      <c r="G995" t="str">
        <f>IF(A995="","",'ATP Fills'!H995)</f>
        <v/>
      </c>
      <c r="H995" t="str">
        <f>IF(A995="","",VLOOKUP(G995,表3_3[],2,0))</f>
        <v/>
      </c>
      <c r="I995" t="str">
        <f>IF(A995="","",VLOOKUP(G995,表3_3[],3,0))</f>
        <v/>
      </c>
      <c r="J995" t="str">
        <f>IF(A995="","",IF('ATP Fills'!I995="3M","",VLOOKUP(RIGHT('ATP Fills'!I995,2),Helper1!$O$36:$P$48,2,0)))</f>
        <v/>
      </c>
      <c r="K995" t="str">
        <f>IF(J995="","",LEFT('ATP Fills'!I995,4))</f>
        <v/>
      </c>
      <c r="L995" t="str">
        <f>IF(A995="","",IF('ATP Fills'!G995="LME",'ATP Fills'!I995,""))</f>
        <v/>
      </c>
      <c r="M995" t="str">
        <f t="shared" si="15"/>
        <v/>
      </c>
    </row>
    <row r="996" spans="1:13">
      <c r="A996" t="str">
        <f>IF('ATP Fills'!A996="","",IF('ATP Fills'!Q996="PHILLIPSG",'ATP Fills'!F996,""))</f>
        <v/>
      </c>
      <c r="B996" t="str">
        <f>IF(A996="","",'ATP Fills'!L996)</f>
        <v/>
      </c>
      <c r="C996" t="str">
        <f>IF(A996="","",'ATP Fills'!M996)</f>
        <v/>
      </c>
      <c r="D996" t="str">
        <f>IF(A996="","",'ATP Fills'!B996)</f>
        <v/>
      </c>
      <c r="E996" s="3" t="str">
        <f>IF(A996="","",IF(DATE(LEFT(D996,4),MID(D996,5,2),RIGHT(D996,2))=Helper1!$P$1,Helper1!$P$1,""))</f>
        <v/>
      </c>
      <c r="F996" s="3" t="str">
        <f>IF(A996="","",'ATP Fills'!G996)</f>
        <v/>
      </c>
      <c r="G996" t="str">
        <f>IF(A996="","",'ATP Fills'!H996)</f>
        <v/>
      </c>
      <c r="H996" t="str">
        <f>IF(A996="","",VLOOKUP(G996,表3_3[],2,0))</f>
        <v/>
      </c>
      <c r="I996" t="str">
        <f>IF(A996="","",VLOOKUP(G996,表3_3[],3,0))</f>
        <v/>
      </c>
      <c r="J996" t="str">
        <f>IF(A996="","",IF('ATP Fills'!I996="3M","",VLOOKUP(RIGHT('ATP Fills'!I996,2),Helper1!$O$36:$P$48,2,0)))</f>
        <v/>
      </c>
      <c r="K996" t="str">
        <f>IF(J996="","",LEFT('ATP Fills'!I996,4))</f>
        <v/>
      </c>
      <c r="L996" t="str">
        <f>IF(A996="","",IF('ATP Fills'!G996="LME",'ATP Fills'!I996,""))</f>
        <v/>
      </c>
      <c r="M996" t="str">
        <f t="shared" si="15"/>
        <v/>
      </c>
    </row>
    <row r="997" spans="1:13">
      <c r="A997" t="str">
        <f>IF('ATP Fills'!A997="","",IF('ATP Fills'!Q997="PHILLIPSG",'ATP Fills'!F997,""))</f>
        <v/>
      </c>
      <c r="B997" t="str">
        <f>IF(A997="","",'ATP Fills'!L997)</f>
        <v/>
      </c>
      <c r="C997" t="str">
        <f>IF(A997="","",'ATP Fills'!M997)</f>
        <v/>
      </c>
      <c r="D997" t="str">
        <f>IF(A997="","",'ATP Fills'!B997)</f>
        <v/>
      </c>
      <c r="E997" s="3" t="str">
        <f>IF(A997="","",IF(DATE(LEFT(D997,4),MID(D997,5,2),RIGHT(D997,2))=Helper1!$P$1,Helper1!$P$1,""))</f>
        <v/>
      </c>
      <c r="F997" s="3" t="str">
        <f>IF(A997="","",'ATP Fills'!G997)</f>
        <v/>
      </c>
      <c r="G997" t="str">
        <f>IF(A997="","",'ATP Fills'!H997)</f>
        <v/>
      </c>
      <c r="H997" t="str">
        <f>IF(A997="","",VLOOKUP(G997,表3_3[],2,0))</f>
        <v/>
      </c>
      <c r="I997" t="str">
        <f>IF(A997="","",VLOOKUP(G997,表3_3[],3,0))</f>
        <v/>
      </c>
      <c r="J997" t="str">
        <f>IF(A997="","",IF('ATP Fills'!I997="3M","",VLOOKUP(RIGHT('ATP Fills'!I997,2),Helper1!$O$36:$P$48,2,0)))</f>
        <v/>
      </c>
      <c r="K997" t="str">
        <f>IF(J997="","",LEFT('ATP Fills'!I997,4))</f>
        <v/>
      </c>
      <c r="L997" t="str">
        <f>IF(A997="","",IF('ATP Fills'!G997="LME",'ATP Fills'!I997,""))</f>
        <v/>
      </c>
      <c r="M997" t="str">
        <f t="shared" si="15"/>
        <v/>
      </c>
    </row>
    <row r="998" spans="1:13">
      <c r="A998" t="str">
        <f>IF('ATP Fills'!A998="","",IF('ATP Fills'!Q998="PHILLIPSG",'ATP Fills'!F998,""))</f>
        <v/>
      </c>
      <c r="B998" t="str">
        <f>IF(A998="","",'ATP Fills'!L998)</f>
        <v/>
      </c>
      <c r="C998" t="str">
        <f>IF(A998="","",'ATP Fills'!M998)</f>
        <v/>
      </c>
      <c r="D998" t="str">
        <f>IF(A998="","",'ATP Fills'!B998)</f>
        <v/>
      </c>
      <c r="E998" s="3" t="str">
        <f>IF(A998="","",IF(DATE(LEFT(D998,4),MID(D998,5,2),RIGHT(D998,2))=Helper1!$P$1,Helper1!$P$1,""))</f>
        <v/>
      </c>
      <c r="F998" s="3" t="str">
        <f>IF(A998="","",'ATP Fills'!G998)</f>
        <v/>
      </c>
      <c r="G998" t="str">
        <f>IF(A998="","",'ATP Fills'!H998)</f>
        <v/>
      </c>
      <c r="H998" t="str">
        <f>IF(A998="","",VLOOKUP(G998,表3_3[],2,0))</f>
        <v/>
      </c>
      <c r="I998" t="str">
        <f>IF(A998="","",VLOOKUP(G998,表3_3[],3,0))</f>
        <v/>
      </c>
      <c r="J998" t="str">
        <f>IF(A998="","",IF('ATP Fills'!I998="3M","",VLOOKUP(RIGHT('ATP Fills'!I998,2),Helper1!$O$36:$P$48,2,0)))</f>
        <v/>
      </c>
      <c r="K998" t="str">
        <f>IF(J998="","",LEFT('ATP Fills'!I998,4))</f>
        <v/>
      </c>
      <c r="L998" t="str">
        <f>IF(A998="","",IF('ATP Fills'!G998="LME",'ATP Fills'!I998,""))</f>
        <v/>
      </c>
      <c r="M998" t="str">
        <f t="shared" si="15"/>
        <v/>
      </c>
    </row>
    <row r="999" spans="1:13">
      <c r="A999" t="str">
        <f>IF('ATP Fills'!A999="","",IF('ATP Fills'!Q999="PHILLIPSG",'ATP Fills'!F999,""))</f>
        <v/>
      </c>
      <c r="B999" t="str">
        <f>IF(A999="","",'ATP Fills'!L999)</f>
        <v/>
      </c>
      <c r="C999" t="str">
        <f>IF(A999="","",'ATP Fills'!M999)</f>
        <v/>
      </c>
      <c r="D999" t="str">
        <f>IF(A999="","",'ATP Fills'!B999)</f>
        <v/>
      </c>
      <c r="E999" s="3" t="str">
        <f>IF(A999="","",IF(DATE(LEFT(D999,4),MID(D999,5,2),RIGHT(D999,2))=Helper1!$P$1,Helper1!$P$1,""))</f>
        <v/>
      </c>
      <c r="F999" s="3" t="str">
        <f>IF(A999="","",'ATP Fills'!G999)</f>
        <v/>
      </c>
      <c r="G999" t="str">
        <f>IF(A999="","",'ATP Fills'!H999)</f>
        <v/>
      </c>
      <c r="H999" t="str">
        <f>IF(A999="","",VLOOKUP(G999,表3_3[],2,0))</f>
        <v/>
      </c>
      <c r="I999" t="str">
        <f>IF(A999="","",VLOOKUP(G999,表3_3[],3,0))</f>
        <v/>
      </c>
      <c r="J999" t="str">
        <f>IF(A999="","",IF('ATP Fills'!I999="3M","",VLOOKUP(RIGHT('ATP Fills'!I999,2),Helper1!$O$36:$P$48,2,0)))</f>
        <v/>
      </c>
      <c r="K999" t="str">
        <f>IF(J999="","",LEFT('ATP Fills'!I999,4))</f>
        <v/>
      </c>
      <c r="L999" t="str">
        <f>IF(A999="","",IF('ATP Fills'!G999="LME",'ATP Fills'!I999,""))</f>
        <v/>
      </c>
      <c r="M999" t="str">
        <f t="shared" si="15"/>
        <v/>
      </c>
    </row>
    <row r="1000" spans="1:13">
      <c r="A1000" t="str">
        <f>IF('ATP Fills'!A1000="","",IF('ATP Fills'!Q1000="PHILLIPSG",'ATP Fills'!F1000,""))</f>
        <v/>
      </c>
      <c r="B1000" t="str">
        <f>IF(A1000="","",'ATP Fills'!L1000)</f>
        <v/>
      </c>
      <c r="C1000" t="str">
        <f>IF(A1000="","",'ATP Fills'!M1000)</f>
        <v/>
      </c>
      <c r="D1000" t="str">
        <f>IF(A1000="","",'ATP Fills'!B1000)</f>
        <v/>
      </c>
      <c r="E1000" s="3" t="str">
        <f>IF(A1000="","",IF(DATE(LEFT(D1000,4),MID(D1000,5,2),RIGHT(D1000,2))=Helper1!$P$1,Helper1!$P$1,""))</f>
        <v/>
      </c>
      <c r="F1000" s="3" t="str">
        <f>IF(A1000="","",'ATP Fills'!G1000)</f>
        <v/>
      </c>
      <c r="G1000" t="str">
        <f>IF(A1000="","",'ATP Fills'!H1000)</f>
        <v/>
      </c>
      <c r="H1000" t="str">
        <f>IF(A1000="","",VLOOKUP(G1000,表3_3[],2,0))</f>
        <v/>
      </c>
      <c r="I1000" t="str">
        <f>IF(A1000="","",VLOOKUP(G1000,表3_3[],3,0))</f>
        <v/>
      </c>
      <c r="J1000" t="str">
        <f>IF(A1000="","",IF('ATP Fills'!I1000="3M","",VLOOKUP(RIGHT('ATP Fills'!I1000,2),Helper1!$O$36:$P$48,2,0)))</f>
        <v/>
      </c>
      <c r="K1000" t="str">
        <f>IF(J1000="","",LEFT('ATP Fills'!I1000,4))</f>
        <v/>
      </c>
      <c r="L1000" t="str">
        <f>IF(A1000="","",IF('ATP Fills'!G1000="LME",'ATP Fills'!I1000,""))</f>
        <v/>
      </c>
      <c r="M1000" t="str">
        <f t="shared" si="15"/>
        <v/>
      </c>
    </row>
    <row r="1001" spans="1:13">
      <c r="A1001" t="str">
        <f>IF('ATP Fills'!A1001="","",IF('ATP Fills'!Q1001="PHILLIPSG",'ATP Fills'!F1001,""))</f>
        <v/>
      </c>
      <c r="B1001" t="str">
        <f>IF(A1001="","",'ATP Fills'!L1001)</f>
        <v/>
      </c>
      <c r="C1001" t="str">
        <f>IF(A1001="","",'ATP Fills'!M1001)</f>
        <v/>
      </c>
      <c r="D1001" t="str">
        <f>IF(A1001="","",'ATP Fills'!B1001)</f>
        <v/>
      </c>
      <c r="E1001" s="3" t="str">
        <f>IF(A1001="","",IF(DATE(LEFT(D1001,4),MID(D1001,5,2),RIGHT(D1001,2))=Helper1!$P$1,Helper1!$P$1,""))</f>
        <v/>
      </c>
      <c r="F1001" s="3" t="str">
        <f>IF(A1001="","",'ATP Fills'!G1001)</f>
        <v/>
      </c>
      <c r="G1001" t="str">
        <f>IF(A1001="","",'ATP Fills'!H1001)</f>
        <v/>
      </c>
      <c r="H1001" t="str">
        <f>IF(A1001="","",VLOOKUP(G1001,表3_3[],2,0))</f>
        <v/>
      </c>
      <c r="I1001" t="str">
        <f>IF(A1001="","",VLOOKUP(G1001,表3_3[],3,0))</f>
        <v/>
      </c>
      <c r="J1001" t="str">
        <f>IF(A1001="","",IF('ATP Fills'!I1001="3M","",VLOOKUP(RIGHT('ATP Fills'!I1001,2),Helper1!$O$36:$P$48,2,0)))</f>
        <v/>
      </c>
      <c r="K1001" t="str">
        <f>IF(J1001="","",LEFT('ATP Fills'!I1001,4))</f>
        <v/>
      </c>
      <c r="L1001" t="str">
        <f>IF(A1001="","",IF('ATP Fills'!G1001="LME",'ATP Fills'!I1001,""))</f>
        <v/>
      </c>
      <c r="M1001" t="str">
        <f t="shared" si="15"/>
        <v/>
      </c>
    </row>
    <row r="1002" spans="1:13">
      <c r="A1002" t="str">
        <f>IF('ATP Fills'!A1002="","",IF('ATP Fills'!Q1002="PHILLIPSG",'ATP Fills'!F1002,""))</f>
        <v/>
      </c>
      <c r="B1002" t="str">
        <f>IF(A1002="","",'ATP Fills'!L1002)</f>
        <v/>
      </c>
      <c r="C1002" t="str">
        <f>IF(A1002="","",'ATP Fills'!M1002)</f>
        <v/>
      </c>
      <c r="D1002" t="str">
        <f>IF(A1002="","",'ATP Fills'!B1002)</f>
        <v/>
      </c>
      <c r="E1002" s="3" t="str">
        <f>IF(A1002="","",IF(DATE(LEFT(D1002,4),MID(D1002,5,2),RIGHT(D1002,2))=Helper1!$P$1,Helper1!$P$1,""))</f>
        <v/>
      </c>
      <c r="F1002" s="3" t="str">
        <f>IF(A1002="","",'ATP Fills'!G1002)</f>
        <v/>
      </c>
      <c r="G1002" t="str">
        <f>IF(A1002="","",'ATP Fills'!H1002)</f>
        <v/>
      </c>
      <c r="H1002" t="str">
        <f>IF(A1002="","",VLOOKUP(G1002,表3_3[],2,0))</f>
        <v/>
      </c>
      <c r="I1002" t="str">
        <f>IF(A1002="","",VLOOKUP(G1002,表3_3[],3,0))</f>
        <v/>
      </c>
      <c r="J1002" t="str">
        <f>IF(A1002="","",IF('ATP Fills'!I1002="3M","",VLOOKUP(RIGHT('ATP Fills'!I1002,2),Helper1!$O$36:$P$48,2,0)))</f>
        <v/>
      </c>
      <c r="K1002" t="str">
        <f>IF(J1002="","",LEFT('ATP Fills'!I1002,4))</f>
        <v/>
      </c>
      <c r="L1002" t="str">
        <f>IF(A1002="","",IF('ATP Fills'!G1002="LME",'ATP Fills'!I1002,""))</f>
        <v/>
      </c>
      <c r="M1002" t="str">
        <f t="shared" si="15"/>
        <v/>
      </c>
    </row>
    <row r="1003" spans="1:13">
      <c r="A1003" t="str">
        <f>IF('ATP Fills'!A1003="","",IF('ATP Fills'!Q1003="PHILLIPSG",'ATP Fills'!F1003,""))</f>
        <v/>
      </c>
      <c r="B1003" t="str">
        <f>IF(A1003="","",'ATP Fills'!L1003)</f>
        <v/>
      </c>
      <c r="C1003" t="str">
        <f>IF(A1003="","",'ATP Fills'!M1003)</f>
        <v/>
      </c>
      <c r="D1003" t="str">
        <f>IF(A1003="","",'ATP Fills'!B1003)</f>
        <v/>
      </c>
      <c r="E1003" s="3" t="str">
        <f>IF(A1003="","",IF(DATE(LEFT(D1003,4),MID(D1003,5,2),RIGHT(D1003,2))=Helper1!$P$1,Helper1!$P$1,""))</f>
        <v/>
      </c>
      <c r="F1003" s="3" t="str">
        <f>IF(A1003="","",'ATP Fills'!G1003)</f>
        <v/>
      </c>
      <c r="G1003" t="str">
        <f>IF(A1003="","",'ATP Fills'!H1003)</f>
        <v/>
      </c>
      <c r="H1003" t="str">
        <f>IF(A1003="","",VLOOKUP(G1003,表3_3[],2,0))</f>
        <v/>
      </c>
      <c r="I1003" t="str">
        <f>IF(A1003="","",VLOOKUP(G1003,表3_3[],3,0))</f>
        <v/>
      </c>
      <c r="J1003" t="str">
        <f>IF(A1003="","",IF('ATP Fills'!I1003="3M","",VLOOKUP(RIGHT('ATP Fills'!I1003,2),Helper1!$O$36:$P$48,2,0)))</f>
        <v/>
      </c>
      <c r="K1003" t="str">
        <f>IF(J1003="","",LEFT('ATP Fills'!I1003,4))</f>
        <v/>
      </c>
      <c r="L1003" t="str">
        <f>IF(A1003="","",IF('ATP Fills'!G1003="LME",'ATP Fills'!I1003,""))</f>
        <v/>
      </c>
      <c r="M1003" t="str">
        <f t="shared" si="15"/>
        <v/>
      </c>
    </row>
    <row r="1004" spans="1:13">
      <c r="A1004" t="str">
        <f>IF('ATP Fills'!A1004="","",IF('ATP Fills'!Q1004="PHILLIPSG",'ATP Fills'!F1004,""))</f>
        <v/>
      </c>
      <c r="B1004" t="str">
        <f>IF(A1004="","",'ATP Fills'!L1004)</f>
        <v/>
      </c>
      <c r="C1004" t="str">
        <f>IF(A1004="","",'ATP Fills'!M1004)</f>
        <v/>
      </c>
      <c r="D1004" t="str">
        <f>IF(A1004="","",'ATP Fills'!B1004)</f>
        <v/>
      </c>
      <c r="E1004" s="3" t="str">
        <f>IF(A1004="","",IF(DATE(LEFT(D1004,4),MID(D1004,5,2),RIGHT(D1004,2))=Helper1!$P$1,Helper1!$P$1,""))</f>
        <v/>
      </c>
      <c r="F1004" s="3" t="str">
        <f>IF(A1004="","",'ATP Fills'!G1004)</f>
        <v/>
      </c>
      <c r="G1004" t="str">
        <f>IF(A1004="","",'ATP Fills'!H1004)</f>
        <v/>
      </c>
      <c r="H1004" t="str">
        <f>IF(A1004="","",VLOOKUP(G1004,表3_3[],2,0))</f>
        <v/>
      </c>
      <c r="I1004" t="str">
        <f>IF(A1004="","",VLOOKUP(G1004,表3_3[],3,0))</f>
        <v/>
      </c>
      <c r="J1004" t="str">
        <f>IF(A1004="","",IF('ATP Fills'!I1004="3M","",VLOOKUP(RIGHT('ATP Fills'!I1004,2),Helper1!$O$36:$P$48,2,0)))</f>
        <v/>
      </c>
      <c r="K1004" t="str">
        <f>IF(J1004="","",LEFT('ATP Fills'!I1004,4))</f>
        <v/>
      </c>
      <c r="L1004" t="str">
        <f>IF(A1004="","",IF('ATP Fills'!G1004="LME",'ATP Fills'!I1004,""))</f>
        <v/>
      </c>
      <c r="M1004" t="str">
        <f t="shared" si="15"/>
        <v/>
      </c>
    </row>
    <row r="1005" spans="1:13">
      <c r="A1005" t="str">
        <f>IF('ATP Fills'!A1005="","",IF('ATP Fills'!Q1005="PHILLIPSG",'ATP Fills'!F1005,""))</f>
        <v/>
      </c>
      <c r="B1005" t="str">
        <f>IF(A1005="","",'ATP Fills'!L1005)</f>
        <v/>
      </c>
      <c r="C1005" t="str">
        <f>IF(A1005="","",'ATP Fills'!M1005)</f>
        <v/>
      </c>
      <c r="D1005" t="str">
        <f>IF(A1005="","",'ATP Fills'!B1005)</f>
        <v/>
      </c>
      <c r="E1005" s="3" t="str">
        <f>IF(A1005="","",IF(DATE(LEFT(D1005,4),MID(D1005,5,2),RIGHT(D1005,2))=Helper1!$P$1,Helper1!$P$1,""))</f>
        <v/>
      </c>
      <c r="F1005" s="3" t="str">
        <f>IF(A1005="","",'ATP Fills'!G1005)</f>
        <v/>
      </c>
      <c r="G1005" t="str">
        <f>IF(A1005="","",'ATP Fills'!H1005)</f>
        <v/>
      </c>
      <c r="H1005" t="str">
        <f>IF(A1005="","",VLOOKUP(G1005,表3_3[],2,0))</f>
        <v/>
      </c>
      <c r="I1005" t="str">
        <f>IF(A1005="","",VLOOKUP(G1005,表3_3[],3,0))</f>
        <v/>
      </c>
      <c r="J1005" t="str">
        <f>IF(A1005="","",IF('ATP Fills'!I1005="3M","",VLOOKUP(RIGHT('ATP Fills'!I1005,2),Helper1!$O$36:$P$48,2,0)))</f>
        <v/>
      </c>
      <c r="K1005" t="str">
        <f>IF(J1005="","",LEFT('ATP Fills'!I1005,4))</f>
        <v/>
      </c>
      <c r="L1005" t="str">
        <f>IF(A1005="","",IF('ATP Fills'!G1005="LME",'ATP Fills'!I1005,""))</f>
        <v/>
      </c>
      <c r="M1005" t="str">
        <f t="shared" si="15"/>
        <v/>
      </c>
    </row>
    <row r="1006" spans="1:13">
      <c r="A1006" t="str">
        <f>IF('ATP Fills'!A1006="","",IF('ATP Fills'!Q1006="PHILLIPSG",'ATP Fills'!F1006,""))</f>
        <v/>
      </c>
      <c r="B1006" t="str">
        <f>IF(A1006="","",'ATP Fills'!L1006)</f>
        <v/>
      </c>
      <c r="C1006" t="str">
        <f>IF(A1006="","",'ATP Fills'!M1006)</f>
        <v/>
      </c>
      <c r="D1006" t="str">
        <f>IF(A1006="","",'ATP Fills'!B1006)</f>
        <v/>
      </c>
      <c r="E1006" s="3" t="str">
        <f>IF(A1006="","",IF(DATE(LEFT(D1006,4),MID(D1006,5,2),RIGHT(D1006,2))=Helper1!$P$1,Helper1!$P$1,""))</f>
        <v/>
      </c>
      <c r="F1006" s="3" t="str">
        <f>IF(A1006="","",'ATP Fills'!G1006)</f>
        <v/>
      </c>
      <c r="G1006" t="str">
        <f>IF(A1006="","",'ATP Fills'!H1006)</f>
        <v/>
      </c>
      <c r="H1006" t="str">
        <f>IF(A1006="","",VLOOKUP(G1006,表3_3[],2,0))</f>
        <v/>
      </c>
      <c r="I1006" t="str">
        <f>IF(A1006="","",VLOOKUP(G1006,表3_3[],3,0))</f>
        <v/>
      </c>
      <c r="J1006" t="str">
        <f>IF(A1006="","",IF('ATP Fills'!I1006="3M","",VLOOKUP(RIGHT('ATP Fills'!I1006,2),Helper1!$O$36:$P$48,2,0)))</f>
        <v/>
      </c>
      <c r="K1006" t="str">
        <f>IF(J1006="","",LEFT('ATP Fills'!I1006,4))</f>
        <v/>
      </c>
      <c r="L1006" t="str">
        <f>IF(A1006="","",IF('ATP Fills'!G1006="LME",'ATP Fills'!I1006,""))</f>
        <v/>
      </c>
      <c r="M1006" t="str">
        <f t="shared" si="15"/>
        <v/>
      </c>
    </row>
    <row r="1007" spans="1:13">
      <c r="A1007" t="str">
        <f>IF('ATP Fills'!A1007="","",IF('ATP Fills'!Q1007="PHILLIPSG",'ATP Fills'!F1007,""))</f>
        <v/>
      </c>
      <c r="B1007" t="str">
        <f>IF(A1007="","",'ATP Fills'!L1007)</f>
        <v/>
      </c>
      <c r="C1007" t="str">
        <f>IF(A1007="","",'ATP Fills'!M1007)</f>
        <v/>
      </c>
      <c r="D1007" t="str">
        <f>IF(A1007="","",'ATP Fills'!B1007)</f>
        <v/>
      </c>
      <c r="E1007" s="3" t="str">
        <f>IF(A1007="","",IF(DATE(LEFT(D1007,4),MID(D1007,5,2),RIGHT(D1007,2))=Helper1!$P$1,Helper1!$P$1,""))</f>
        <v/>
      </c>
      <c r="F1007" s="3" t="str">
        <f>IF(A1007="","",'ATP Fills'!G1007)</f>
        <v/>
      </c>
      <c r="G1007" t="str">
        <f>IF(A1007="","",'ATP Fills'!H1007)</f>
        <v/>
      </c>
      <c r="H1007" t="str">
        <f>IF(A1007="","",VLOOKUP(G1007,表3_3[],2,0))</f>
        <v/>
      </c>
      <c r="I1007" t="str">
        <f>IF(A1007="","",VLOOKUP(G1007,表3_3[],3,0))</f>
        <v/>
      </c>
      <c r="J1007" t="str">
        <f>IF(A1007="","",IF('ATP Fills'!I1007="3M","",VLOOKUP(RIGHT('ATP Fills'!I1007,2),Helper1!$O$36:$P$48,2,0)))</f>
        <v/>
      </c>
      <c r="K1007" t="str">
        <f>IF(J1007="","",LEFT('ATP Fills'!I1007,4))</f>
        <v/>
      </c>
      <c r="L1007" t="str">
        <f>IF(A1007="","",IF('ATP Fills'!G1007="LME",'ATP Fills'!I1007,""))</f>
        <v/>
      </c>
      <c r="M1007" t="str">
        <f t="shared" si="15"/>
        <v/>
      </c>
    </row>
    <row r="1008" spans="1:13">
      <c r="A1008" t="str">
        <f>IF('ATP Fills'!A1008="","",IF('ATP Fills'!Q1008="PHILLIPSG",'ATP Fills'!F1008,""))</f>
        <v/>
      </c>
      <c r="B1008" t="str">
        <f>IF(A1008="","",'ATP Fills'!L1008)</f>
        <v/>
      </c>
      <c r="C1008" t="str">
        <f>IF(A1008="","",'ATP Fills'!M1008)</f>
        <v/>
      </c>
      <c r="D1008" t="str">
        <f>IF(A1008="","",'ATP Fills'!B1008)</f>
        <v/>
      </c>
      <c r="E1008" s="3" t="str">
        <f>IF(A1008="","",IF(DATE(LEFT(D1008,4),MID(D1008,5,2),RIGHT(D1008,2))=Helper1!$P$1,Helper1!$P$1,""))</f>
        <v/>
      </c>
      <c r="F1008" s="3" t="str">
        <f>IF(A1008="","",'ATP Fills'!G1008)</f>
        <v/>
      </c>
      <c r="G1008" t="str">
        <f>IF(A1008="","",'ATP Fills'!H1008)</f>
        <v/>
      </c>
      <c r="H1008" t="str">
        <f>IF(A1008="","",VLOOKUP(G1008,表3_3[],2,0))</f>
        <v/>
      </c>
      <c r="I1008" t="str">
        <f>IF(A1008="","",VLOOKUP(G1008,表3_3[],3,0))</f>
        <v/>
      </c>
      <c r="J1008" t="str">
        <f>IF(A1008="","",IF('ATP Fills'!I1008="3M","",VLOOKUP(RIGHT('ATP Fills'!I1008,2),Helper1!$O$36:$P$48,2,0)))</f>
        <v/>
      </c>
      <c r="K1008" t="str">
        <f>IF(J1008="","",LEFT('ATP Fills'!I1008,4))</f>
        <v/>
      </c>
      <c r="L1008" t="str">
        <f>IF(A1008="","",IF('ATP Fills'!G1008="LME",'ATP Fills'!I1008,""))</f>
        <v/>
      </c>
      <c r="M1008" t="str">
        <f t="shared" si="15"/>
        <v/>
      </c>
    </row>
    <row r="1009" spans="1:13">
      <c r="A1009" t="str">
        <f>IF('ATP Fills'!A1009="","",IF('ATP Fills'!Q1009="PHILLIPSG",'ATP Fills'!F1009,""))</f>
        <v/>
      </c>
      <c r="B1009" t="str">
        <f>IF(A1009="","",'ATP Fills'!L1009)</f>
        <v/>
      </c>
      <c r="C1009" t="str">
        <f>IF(A1009="","",'ATP Fills'!M1009)</f>
        <v/>
      </c>
      <c r="D1009" t="str">
        <f>IF(A1009="","",'ATP Fills'!B1009)</f>
        <v/>
      </c>
      <c r="E1009" s="3" t="str">
        <f>IF(A1009="","",IF(DATE(LEFT(D1009,4),MID(D1009,5,2),RIGHT(D1009,2))=Helper1!$P$1,Helper1!$P$1,""))</f>
        <v/>
      </c>
      <c r="F1009" s="3" t="str">
        <f>IF(A1009="","",'ATP Fills'!G1009)</f>
        <v/>
      </c>
      <c r="G1009" t="str">
        <f>IF(A1009="","",'ATP Fills'!H1009)</f>
        <v/>
      </c>
      <c r="H1009" t="str">
        <f>IF(A1009="","",VLOOKUP(G1009,表3_3[],2,0))</f>
        <v/>
      </c>
      <c r="I1009" t="str">
        <f>IF(A1009="","",VLOOKUP(G1009,表3_3[],3,0))</f>
        <v/>
      </c>
      <c r="J1009" t="str">
        <f>IF(A1009="","",IF('ATP Fills'!I1009="3M","",VLOOKUP(RIGHT('ATP Fills'!I1009,2),Helper1!$O$36:$P$48,2,0)))</f>
        <v/>
      </c>
      <c r="K1009" t="str">
        <f>IF(J1009="","",LEFT('ATP Fills'!I1009,4))</f>
        <v/>
      </c>
      <c r="L1009" t="str">
        <f>IF(A1009="","",IF('ATP Fills'!G1009="LME",'ATP Fills'!I1009,""))</f>
        <v/>
      </c>
      <c r="M1009" t="str">
        <f t="shared" si="15"/>
        <v/>
      </c>
    </row>
    <row r="1010" spans="1:13">
      <c r="A1010" t="str">
        <f>IF('ATP Fills'!A1010="","",IF('ATP Fills'!Q1010="PHILLIPSG",'ATP Fills'!F1010,""))</f>
        <v/>
      </c>
      <c r="B1010" t="str">
        <f>IF(A1010="","",'ATP Fills'!L1010)</f>
        <v/>
      </c>
      <c r="C1010" t="str">
        <f>IF(A1010="","",'ATP Fills'!M1010)</f>
        <v/>
      </c>
      <c r="D1010" t="str">
        <f>IF(A1010="","",'ATP Fills'!B1010)</f>
        <v/>
      </c>
      <c r="E1010" s="3" t="str">
        <f>IF(A1010="","",IF(DATE(LEFT(D1010,4),MID(D1010,5,2),RIGHT(D1010,2))=Helper1!$P$1,Helper1!$P$1,""))</f>
        <v/>
      </c>
      <c r="F1010" s="3" t="str">
        <f>IF(A1010="","",'ATP Fills'!G1010)</f>
        <v/>
      </c>
      <c r="G1010" t="str">
        <f>IF(A1010="","",'ATP Fills'!H1010)</f>
        <v/>
      </c>
      <c r="H1010" t="str">
        <f>IF(A1010="","",VLOOKUP(G1010,表3_3[],2,0))</f>
        <v/>
      </c>
      <c r="I1010" t="str">
        <f>IF(A1010="","",VLOOKUP(G1010,表3_3[],3,0))</f>
        <v/>
      </c>
      <c r="J1010" t="str">
        <f>IF(A1010="","",IF('ATP Fills'!I1010="3M","",VLOOKUP(RIGHT('ATP Fills'!I1010,2),Helper1!$O$36:$P$48,2,0)))</f>
        <v/>
      </c>
      <c r="K1010" t="str">
        <f>IF(J1010="","",LEFT('ATP Fills'!I1010,4))</f>
        <v/>
      </c>
      <c r="L1010" t="str">
        <f>IF(A1010="","",IF('ATP Fills'!G1010="LME",'ATP Fills'!I1010,""))</f>
        <v/>
      </c>
      <c r="M1010" t="str">
        <f t="shared" si="15"/>
        <v/>
      </c>
    </row>
    <row r="1011" spans="1:13">
      <c r="A1011" t="str">
        <f>IF('ATP Fills'!A1011="","",IF('ATP Fills'!Q1011="PHILLIPSG",'ATP Fills'!F1011,""))</f>
        <v/>
      </c>
      <c r="B1011" t="str">
        <f>IF(A1011="","",'ATP Fills'!L1011)</f>
        <v/>
      </c>
      <c r="C1011" t="str">
        <f>IF(A1011="","",'ATP Fills'!M1011)</f>
        <v/>
      </c>
      <c r="D1011" t="str">
        <f>IF(A1011="","",'ATP Fills'!B1011)</f>
        <v/>
      </c>
      <c r="E1011" s="3" t="str">
        <f>IF(A1011="","",IF(DATE(LEFT(D1011,4),MID(D1011,5,2),RIGHT(D1011,2))=Helper1!$P$1,Helper1!$P$1,""))</f>
        <v/>
      </c>
      <c r="F1011" s="3" t="str">
        <f>IF(A1011="","",'ATP Fills'!G1011)</f>
        <v/>
      </c>
      <c r="G1011" t="str">
        <f>IF(A1011="","",'ATP Fills'!H1011)</f>
        <v/>
      </c>
      <c r="H1011" t="str">
        <f>IF(A1011="","",VLOOKUP(G1011,表3_3[],2,0))</f>
        <v/>
      </c>
      <c r="I1011" t="str">
        <f>IF(A1011="","",VLOOKUP(G1011,表3_3[],3,0))</f>
        <v/>
      </c>
      <c r="J1011" t="str">
        <f>IF(A1011="","",IF('ATP Fills'!I1011="3M","",VLOOKUP(RIGHT('ATP Fills'!I1011,2),Helper1!$O$36:$P$48,2,0)))</f>
        <v/>
      </c>
      <c r="K1011" t="str">
        <f>IF(J1011="","",LEFT('ATP Fills'!I1011,4))</f>
        <v/>
      </c>
      <c r="L1011" t="str">
        <f>IF(A1011="","",IF('ATP Fills'!G1011="LME",'ATP Fills'!I1011,""))</f>
        <v/>
      </c>
      <c r="M1011" t="str">
        <f t="shared" si="15"/>
        <v/>
      </c>
    </row>
    <row r="1012" spans="1:13">
      <c r="A1012" t="str">
        <f>IF('ATP Fills'!A1012="","",IF('ATP Fills'!Q1012="PHILLIPSG",'ATP Fills'!F1012,""))</f>
        <v/>
      </c>
      <c r="B1012" t="str">
        <f>IF(A1012="","",'ATP Fills'!L1012)</f>
        <v/>
      </c>
      <c r="C1012" t="str">
        <f>IF(A1012="","",'ATP Fills'!M1012)</f>
        <v/>
      </c>
      <c r="D1012" t="str">
        <f>IF(A1012="","",'ATP Fills'!B1012)</f>
        <v/>
      </c>
      <c r="E1012" s="3" t="str">
        <f>IF(A1012="","",IF(DATE(LEFT(D1012,4),MID(D1012,5,2),RIGHT(D1012,2))=Helper1!$P$1,Helper1!$P$1,""))</f>
        <v/>
      </c>
      <c r="F1012" s="3" t="str">
        <f>IF(A1012="","",'ATP Fills'!G1012)</f>
        <v/>
      </c>
      <c r="G1012" t="str">
        <f>IF(A1012="","",'ATP Fills'!H1012)</f>
        <v/>
      </c>
      <c r="H1012" t="str">
        <f>IF(A1012="","",VLOOKUP(G1012,表3_3[],2,0))</f>
        <v/>
      </c>
      <c r="I1012" t="str">
        <f>IF(A1012="","",VLOOKUP(G1012,表3_3[],3,0))</f>
        <v/>
      </c>
      <c r="J1012" t="str">
        <f>IF(A1012="","",IF('ATP Fills'!I1012="3M","",VLOOKUP(RIGHT('ATP Fills'!I1012,2),Helper1!$O$36:$P$48,2,0)))</f>
        <v/>
      </c>
      <c r="K1012" t="str">
        <f>IF(J1012="","",LEFT('ATP Fills'!I1012,4))</f>
        <v/>
      </c>
      <c r="L1012" t="str">
        <f>IF(A1012="","",IF('ATP Fills'!G1012="LME",'ATP Fills'!I1012,""))</f>
        <v/>
      </c>
      <c r="M1012" t="str">
        <f t="shared" si="15"/>
        <v/>
      </c>
    </row>
    <row r="1013" spans="1:13">
      <c r="A1013" t="str">
        <f>IF('ATP Fills'!A1013="","",IF('ATP Fills'!Q1013="PHILLIPSG",'ATP Fills'!F1013,""))</f>
        <v/>
      </c>
      <c r="B1013" t="str">
        <f>IF(A1013="","",'ATP Fills'!L1013)</f>
        <v/>
      </c>
      <c r="C1013" t="str">
        <f>IF(A1013="","",'ATP Fills'!M1013)</f>
        <v/>
      </c>
      <c r="D1013" t="str">
        <f>IF(A1013="","",'ATP Fills'!B1013)</f>
        <v/>
      </c>
      <c r="E1013" s="3" t="str">
        <f>IF(A1013="","",IF(DATE(LEFT(D1013,4),MID(D1013,5,2),RIGHT(D1013,2))=Helper1!$P$1,Helper1!$P$1,""))</f>
        <v/>
      </c>
      <c r="F1013" s="3" t="str">
        <f>IF(A1013="","",'ATP Fills'!G1013)</f>
        <v/>
      </c>
      <c r="G1013" t="str">
        <f>IF(A1013="","",'ATP Fills'!H1013)</f>
        <v/>
      </c>
      <c r="H1013" t="str">
        <f>IF(A1013="","",VLOOKUP(G1013,表3_3[],2,0))</f>
        <v/>
      </c>
      <c r="I1013" t="str">
        <f>IF(A1013="","",VLOOKUP(G1013,表3_3[],3,0))</f>
        <v/>
      </c>
      <c r="J1013" t="str">
        <f>IF(A1013="","",IF('ATP Fills'!I1013="3M","",VLOOKUP(RIGHT('ATP Fills'!I1013,2),Helper1!$O$36:$P$48,2,0)))</f>
        <v/>
      </c>
      <c r="K1013" t="str">
        <f>IF(J1013="","",LEFT('ATP Fills'!I1013,4))</f>
        <v/>
      </c>
      <c r="L1013" t="str">
        <f>IF(A1013="","",IF('ATP Fills'!G1013="LME",'ATP Fills'!I1013,""))</f>
        <v/>
      </c>
      <c r="M1013" t="str">
        <f t="shared" si="15"/>
        <v/>
      </c>
    </row>
    <row r="1014" spans="1:13">
      <c r="A1014" t="str">
        <f>IF('ATP Fills'!A1014="","",IF('ATP Fills'!Q1014="PHILLIPSG",'ATP Fills'!F1014,""))</f>
        <v/>
      </c>
      <c r="B1014" t="str">
        <f>IF(A1014="","",'ATP Fills'!L1014)</f>
        <v/>
      </c>
      <c r="C1014" t="str">
        <f>IF(A1014="","",'ATP Fills'!M1014)</f>
        <v/>
      </c>
      <c r="D1014" t="str">
        <f>IF(A1014="","",'ATP Fills'!B1014)</f>
        <v/>
      </c>
      <c r="E1014" s="3" t="str">
        <f>IF(A1014="","",IF(DATE(LEFT(D1014,4),MID(D1014,5,2),RIGHT(D1014,2))=Helper1!$P$1,Helper1!$P$1,""))</f>
        <v/>
      </c>
      <c r="F1014" s="3" t="str">
        <f>IF(A1014="","",'ATP Fills'!G1014)</f>
        <v/>
      </c>
      <c r="G1014" t="str">
        <f>IF(A1014="","",'ATP Fills'!H1014)</f>
        <v/>
      </c>
      <c r="H1014" t="str">
        <f>IF(A1014="","",VLOOKUP(G1014,表3_3[],2,0))</f>
        <v/>
      </c>
      <c r="I1014" t="str">
        <f>IF(A1014="","",VLOOKUP(G1014,表3_3[],3,0))</f>
        <v/>
      </c>
      <c r="J1014" t="str">
        <f>IF(A1014="","",IF('ATP Fills'!I1014="3M","",VLOOKUP(RIGHT('ATP Fills'!I1014,2),Helper1!$O$36:$P$48,2,0)))</f>
        <v/>
      </c>
      <c r="K1014" t="str">
        <f>IF(J1014="","",LEFT('ATP Fills'!I1014,4))</f>
        <v/>
      </c>
      <c r="L1014" t="str">
        <f>IF(A1014="","",IF('ATP Fills'!G1014="LME",'ATP Fills'!I1014,""))</f>
        <v/>
      </c>
      <c r="M1014" t="str">
        <f t="shared" si="15"/>
        <v/>
      </c>
    </row>
    <row r="1015" spans="1:13">
      <c r="A1015" t="str">
        <f>IF('ATP Fills'!A1015="","",IF('ATP Fills'!Q1015="PHILLIPSG",'ATP Fills'!F1015,""))</f>
        <v/>
      </c>
      <c r="B1015" t="str">
        <f>IF(A1015="","",'ATP Fills'!L1015)</f>
        <v/>
      </c>
      <c r="C1015" t="str">
        <f>IF(A1015="","",'ATP Fills'!M1015)</f>
        <v/>
      </c>
      <c r="D1015" t="str">
        <f>IF(A1015="","",'ATP Fills'!B1015)</f>
        <v/>
      </c>
      <c r="E1015" s="3" t="str">
        <f>IF(A1015="","",IF(DATE(LEFT(D1015,4),MID(D1015,5,2),RIGHT(D1015,2))=Helper1!$P$1,Helper1!$P$1,""))</f>
        <v/>
      </c>
      <c r="F1015" s="3" t="str">
        <f>IF(A1015="","",'ATP Fills'!G1015)</f>
        <v/>
      </c>
      <c r="G1015" t="str">
        <f>IF(A1015="","",'ATP Fills'!H1015)</f>
        <v/>
      </c>
      <c r="H1015" t="str">
        <f>IF(A1015="","",VLOOKUP(G1015,表3_3[],2,0))</f>
        <v/>
      </c>
      <c r="I1015" t="str">
        <f>IF(A1015="","",VLOOKUP(G1015,表3_3[],3,0))</f>
        <v/>
      </c>
      <c r="J1015" t="str">
        <f>IF(A1015="","",IF('ATP Fills'!I1015="3M","",VLOOKUP(RIGHT('ATP Fills'!I1015,2),Helper1!$O$36:$P$48,2,0)))</f>
        <v/>
      </c>
      <c r="K1015" t="str">
        <f>IF(J1015="","",LEFT('ATP Fills'!I1015,4))</f>
        <v/>
      </c>
      <c r="L1015" t="str">
        <f>IF(A1015="","",IF('ATP Fills'!G1015="LME",'ATP Fills'!I1015,""))</f>
        <v/>
      </c>
      <c r="M1015" t="str">
        <f t="shared" si="15"/>
        <v/>
      </c>
    </row>
    <row r="1016" spans="1:13">
      <c r="A1016" t="str">
        <f>IF('ATP Fills'!A1016="","",IF('ATP Fills'!Q1016="PHILLIPSG",'ATP Fills'!F1016,""))</f>
        <v/>
      </c>
      <c r="B1016" t="str">
        <f>IF(A1016="","",'ATP Fills'!L1016)</f>
        <v/>
      </c>
      <c r="C1016" t="str">
        <f>IF(A1016="","",'ATP Fills'!M1016)</f>
        <v/>
      </c>
      <c r="D1016" t="str">
        <f>IF(A1016="","",'ATP Fills'!B1016)</f>
        <v/>
      </c>
      <c r="E1016" s="3" t="str">
        <f>IF(A1016="","",IF(DATE(LEFT(D1016,4),MID(D1016,5,2),RIGHT(D1016,2))=Helper1!$P$1,Helper1!$P$1,""))</f>
        <v/>
      </c>
      <c r="F1016" s="3" t="str">
        <f>IF(A1016="","",'ATP Fills'!G1016)</f>
        <v/>
      </c>
      <c r="G1016" t="str">
        <f>IF(A1016="","",'ATP Fills'!H1016)</f>
        <v/>
      </c>
      <c r="H1016" t="str">
        <f>IF(A1016="","",VLOOKUP(G1016,表3_3[],2,0))</f>
        <v/>
      </c>
      <c r="I1016" t="str">
        <f>IF(A1016="","",VLOOKUP(G1016,表3_3[],3,0))</f>
        <v/>
      </c>
      <c r="J1016" t="str">
        <f>IF(A1016="","",IF('ATP Fills'!I1016="3M","",VLOOKUP(RIGHT('ATP Fills'!I1016,2),Helper1!$O$36:$P$48,2,0)))</f>
        <v/>
      </c>
      <c r="K1016" t="str">
        <f>IF(J1016="","",LEFT('ATP Fills'!I1016,4))</f>
        <v/>
      </c>
      <c r="L1016" t="str">
        <f>IF(A1016="","",IF('ATP Fills'!G1016="LME",'ATP Fills'!I1016,""))</f>
        <v/>
      </c>
      <c r="M1016" t="str">
        <f t="shared" si="15"/>
        <v/>
      </c>
    </row>
    <row r="1017" spans="1:13">
      <c r="A1017" t="str">
        <f>IF('ATP Fills'!A1017="","",IF('ATP Fills'!Q1017="PHILLIPSG",'ATP Fills'!F1017,""))</f>
        <v/>
      </c>
      <c r="B1017" t="str">
        <f>IF(A1017="","",'ATP Fills'!L1017)</f>
        <v/>
      </c>
      <c r="C1017" t="str">
        <f>IF(A1017="","",'ATP Fills'!M1017)</f>
        <v/>
      </c>
      <c r="D1017" t="str">
        <f>IF(A1017="","",'ATP Fills'!B1017)</f>
        <v/>
      </c>
      <c r="E1017" s="3" t="str">
        <f>IF(A1017="","",IF(DATE(LEFT(D1017,4),MID(D1017,5,2),RIGHT(D1017,2))=Helper1!$P$1,Helper1!$P$1,""))</f>
        <v/>
      </c>
      <c r="F1017" s="3" t="str">
        <f>IF(A1017="","",'ATP Fills'!G1017)</f>
        <v/>
      </c>
      <c r="G1017" t="str">
        <f>IF(A1017="","",'ATP Fills'!H1017)</f>
        <v/>
      </c>
      <c r="H1017" t="str">
        <f>IF(A1017="","",VLOOKUP(G1017,表3_3[],2,0))</f>
        <v/>
      </c>
      <c r="I1017" t="str">
        <f>IF(A1017="","",VLOOKUP(G1017,表3_3[],3,0))</f>
        <v/>
      </c>
      <c r="J1017" t="str">
        <f>IF(A1017="","",IF('ATP Fills'!I1017="3M","",VLOOKUP(RIGHT('ATP Fills'!I1017,2),Helper1!$O$36:$P$48,2,0)))</f>
        <v/>
      </c>
      <c r="K1017" t="str">
        <f>IF(J1017="","",LEFT('ATP Fills'!I1017,4))</f>
        <v/>
      </c>
      <c r="L1017" t="str">
        <f>IF(A1017="","",IF('ATP Fills'!G1017="LME",'ATP Fills'!I1017,""))</f>
        <v/>
      </c>
      <c r="M1017" t="str">
        <f t="shared" si="15"/>
        <v/>
      </c>
    </row>
    <row r="1018" spans="1:13">
      <c r="A1018" t="str">
        <f>IF('ATP Fills'!A1018="","",IF('ATP Fills'!Q1018="PHILLIPSG",'ATP Fills'!F1018,""))</f>
        <v/>
      </c>
      <c r="B1018" t="str">
        <f>IF(A1018="","",'ATP Fills'!L1018)</f>
        <v/>
      </c>
      <c r="C1018" t="str">
        <f>IF(A1018="","",'ATP Fills'!M1018)</f>
        <v/>
      </c>
      <c r="D1018" t="str">
        <f>IF(A1018="","",'ATP Fills'!B1018)</f>
        <v/>
      </c>
      <c r="E1018" s="3" t="str">
        <f>IF(A1018="","",IF(DATE(LEFT(D1018,4),MID(D1018,5,2),RIGHT(D1018,2))=Helper1!$P$1,Helper1!$P$1,""))</f>
        <v/>
      </c>
      <c r="F1018" s="3" t="str">
        <f>IF(A1018="","",'ATP Fills'!G1018)</f>
        <v/>
      </c>
      <c r="G1018" t="str">
        <f>IF(A1018="","",'ATP Fills'!H1018)</f>
        <v/>
      </c>
      <c r="H1018" t="str">
        <f>IF(A1018="","",VLOOKUP(G1018,表3_3[],2,0))</f>
        <v/>
      </c>
      <c r="I1018" t="str">
        <f>IF(A1018="","",VLOOKUP(G1018,表3_3[],3,0))</f>
        <v/>
      </c>
      <c r="J1018" t="str">
        <f>IF(A1018="","",IF('ATP Fills'!I1018="3M","",VLOOKUP(RIGHT('ATP Fills'!I1018,2),Helper1!$O$36:$P$48,2,0)))</f>
        <v/>
      </c>
      <c r="K1018" t="str">
        <f>IF(J1018="","",LEFT('ATP Fills'!I1018,4))</f>
        <v/>
      </c>
      <c r="L1018" t="str">
        <f>IF(A1018="","",IF('ATP Fills'!G1018="LME",'ATP Fills'!I1018,""))</f>
        <v/>
      </c>
      <c r="M1018" t="str">
        <f t="shared" si="15"/>
        <v/>
      </c>
    </row>
    <row r="1019" spans="1:13">
      <c r="A1019" t="str">
        <f>IF('ATP Fills'!A1019="","",IF('ATP Fills'!Q1019="PHILLIPSG",'ATP Fills'!F1019,""))</f>
        <v/>
      </c>
      <c r="B1019" t="str">
        <f>IF(A1019="","",'ATP Fills'!L1019)</f>
        <v/>
      </c>
      <c r="C1019" t="str">
        <f>IF(A1019="","",'ATP Fills'!M1019)</f>
        <v/>
      </c>
      <c r="D1019" t="str">
        <f>IF(A1019="","",'ATP Fills'!B1019)</f>
        <v/>
      </c>
      <c r="E1019" s="3" t="str">
        <f>IF(A1019="","",IF(DATE(LEFT(D1019,4),MID(D1019,5,2),RIGHT(D1019,2))=Helper1!$P$1,Helper1!$P$1,""))</f>
        <v/>
      </c>
      <c r="F1019" s="3" t="str">
        <f>IF(A1019="","",'ATP Fills'!G1019)</f>
        <v/>
      </c>
      <c r="G1019" t="str">
        <f>IF(A1019="","",'ATP Fills'!H1019)</f>
        <v/>
      </c>
      <c r="H1019" t="str">
        <f>IF(A1019="","",VLOOKUP(G1019,表3_3[],2,0))</f>
        <v/>
      </c>
      <c r="I1019" t="str">
        <f>IF(A1019="","",VLOOKUP(G1019,表3_3[],3,0))</f>
        <v/>
      </c>
      <c r="J1019" t="str">
        <f>IF(A1019="","",IF('ATP Fills'!I1019="3M","",VLOOKUP(RIGHT('ATP Fills'!I1019,2),Helper1!$O$36:$P$48,2,0)))</f>
        <v/>
      </c>
      <c r="K1019" t="str">
        <f>IF(J1019="","",LEFT('ATP Fills'!I1019,4))</f>
        <v/>
      </c>
      <c r="L1019" t="str">
        <f>IF(A1019="","",IF('ATP Fills'!G1019="LME",'ATP Fills'!I1019,""))</f>
        <v/>
      </c>
      <c r="M1019" t="str">
        <f t="shared" si="15"/>
        <v/>
      </c>
    </row>
    <row r="1020" spans="1:13">
      <c r="A1020" t="str">
        <f>IF('ATP Fills'!A1020="","",IF('ATP Fills'!Q1020="PHILLIPSG",'ATP Fills'!F1020,""))</f>
        <v/>
      </c>
      <c r="B1020" t="str">
        <f>IF(A1020="","",'ATP Fills'!L1020)</f>
        <v/>
      </c>
      <c r="C1020" t="str">
        <f>IF(A1020="","",'ATP Fills'!M1020)</f>
        <v/>
      </c>
      <c r="D1020" t="str">
        <f>IF(A1020="","",'ATP Fills'!B1020)</f>
        <v/>
      </c>
      <c r="E1020" s="3" t="str">
        <f>IF(A1020="","",IF(DATE(LEFT(D1020,4),MID(D1020,5,2),RIGHT(D1020,2))=Helper1!$P$1,Helper1!$P$1,""))</f>
        <v/>
      </c>
      <c r="F1020" s="3" t="str">
        <f>IF(A1020="","",'ATP Fills'!G1020)</f>
        <v/>
      </c>
      <c r="G1020" t="str">
        <f>IF(A1020="","",'ATP Fills'!H1020)</f>
        <v/>
      </c>
      <c r="H1020" t="str">
        <f>IF(A1020="","",VLOOKUP(G1020,表3_3[],2,0))</f>
        <v/>
      </c>
      <c r="I1020" t="str">
        <f>IF(A1020="","",VLOOKUP(G1020,表3_3[],3,0))</f>
        <v/>
      </c>
      <c r="J1020" t="str">
        <f>IF(A1020="","",IF('ATP Fills'!I1020="3M","",VLOOKUP(RIGHT('ATP Fills'!I1020,2),Helper1!$O$36:$P$48,2,0)))</f>
        <v/>
      </c>
      <c r="K1020" t="str">
        <f>IF(J1020="","",LEFT('ATP Fills'!I1020,4))</f>
        <v/>
      </c>
      <c r="L1020" t="str">
        <f>IF(A1020="","",IF('ATP Fills'!G1020="LME",'ATP Fills'!I1020,""))</f>
        <v/>
      </c>
      <c r="M1020" t="str">
        <f t="shared" si="15"/>
        <v/>
      </c>
    </row>
    <row r="1021" spans="1:13">
      <c r="A1021" t="str">
        <f>IF('ATP Fills'!A1021="","",IF('ATP Fills'!Q1021="PHILLIPSG",'ATP Fills'!F1021,""))</f>
        <v/>
      </c>
      <c r="B1021" t="str">
        <f>IF(A1021="","",'ATP Fills'!L1021)</f>
        <v/>
      </c>
      <c r="C1021" t="str">
        <f>IF(A1021="","",'ATP Fills'!M1021)</f>
        <v/>
      </c>
      <c r="D1021" t="str">
        <f>IF(A1021="","",'ATP Fills'!B1021)</f>
        <v/>
      </c>
      <c r="E1021" s="3" t="str">
        <f>IF(A1021="","",IF(DATE(LEFT(D1021,4),MID(D1021,5,2),RIGHT(D1021,2))=Helper1!$P$1,Helper1!$P$1,""))</f>
        <v/>
      </c>
      <c r="F1021" s="3" t="str">
        <f>IF(A1021="","",'ATP Fills'!G1021)</f>
        <v/>
      </c>
      <c r="G1021" t="str">
        <f>IF(A1021="","",'ATP Fills'!H1021)</f>
        <v/>
      </c>
      <c r="H1021" t="str">
        <f>IF(A1021="","",VLOOKUP(G1021,表3_3[],2,0))</f>
        <v/>
      </c>
      <c r="I1021" t="str">
        <f>IF(A1021="","",VLOOKUP(G1021,表3_3[],3,0))</f>
        <v/>
      </c>
      <c r="J1021" t="str">
        <f>IF(A1021="","",IF('ATP Fills'!I1021="3M","",VLOOKUP(RIGHT('ATP Fills'!I1021,2),Helper1!$O$36:$P$48,2,0)))</f>
        <v/>
      </c>
      <c r="K1021" t="str">
        <f>IF(J1021="","",LEFT('ATP Fills'!I1021,4))</f>
        <v/>
      </c>
      <c r="L1021" t="str">
        <f>IF(A1021="","",IF('ATP Fills'!G1021="LME",'ATP Fills'!I1021,""))</f>
        <v/>
      </c>
      <c r="M1021" t="str">
        <f t="shared" si="15"/>
        <v/>
      </c>
    </row>
    <row r="1022" spans="1:13">
      <c r="A1022" t="str">
        <f>IF('ATP Fills'!A1022="","",IF('ATP Fills'!Q1022="PHILLIPSG",'ATP Fills'!F1022,""))</f>
        <v/>
      </c>
      <c r="B1022" t="str">
        <f>IF(A1022="","",'ATP Fills'!L1022)</f>
        <v/>
      </c>
      <c r="C1022" t="str">
        <f>IF(A1022="","",'ATP Fills'!M1022)</f>
        <v/>
      </c>
      <c r="D1022" t="str">
        <f>IF(A1022="","",'ATP Fills'!B1022)</f>
        <v/>
      </c>
      <c r="E1022" s="3" t="str">
        <f>IF(A1022="","",IF(DATE(LEFT(D1022,4),MID(D1022,5,2),RIGHT(D1022,2))=Helper1!$P$1,Helper1!$P$1,""))</f>
        <v/>
      </c>
      <c r="F1022" s="3" t="str">
        <f>IF(A1022="","",'ATP Fills'!G1022)</f>
        <v/>
      </c>
      <c r="G1022" t="str">
        <f>IF(A1022="","",'ATP Fills'!H1022)</f>
        <v/>
      </c>
      <c r="H1022" t="str">
        <f>IF(A1022="","",VLOOKUP(G1022,表3_3[],2,0))</f>
        <v/>
      </c>
      <c r="I1022" t="str">
        <f>IF(A1022="","",VLOOKUP(G1022,表3_3[],3,0))</f>
        <v/>
      </c>
      <c r="J1022" t="str">
        <f>IF(A1022="","",IF('ATP Fills'!I1022="3M","",VLOOKUP(RIGHT('ATP Fills'!I1022,2),Helper1!$O$36:$P$48,2,0)))</f>
        <v/>
      </c>
      <c r="K1022" t="str">
        <f>IF(J1022="","",LEFT('ATP Fills'!I1022,4))</f>
        <v/>
      </c>
      <c r="L1022" t="str">
        <f>IF(A1022="","",IF('ATP Fills'!G1022="LME",'ATP Fills'!I1022,""))</f>
        <v/>
      </c>
      <c r="M1022" t="str">
        <f t="shared" si="15"/>
        <v/>
      </c>
    </row>
    <row r="1023" spans="1:13">
      <c r="A1023" t="str">
        <f>IF('ATP Fills'!A1023="","",IF('ATP Fills'!Q1023="PHILLIPSG",'ATP Fills'!F1023,""))</f>
        <v/>
      </c>
      <c r="B1023" t="str">
        <f>IF(A1023="","",'ATP Fills'!L1023)</f>
        <v/>
      </c>
      <c r="C1023" t="str">
        <f>IF(A1023="","",'ATP Fills'!M1023)</f>
        <v/>
      </c>
      <c r="D1023" t="str">
        <f>IF(A1023="","",'ATP Fills'!B1023)</f>
        <v/>
      </c>
      <c r="E1023" s="3" t="str">
        <f>IF(A1023="","",IF(DATE(LEFT(D1023,4),MID(D1023,5,2),RIGHT(D1023,2))=Helper1!$P$1,Helper1!$P$1,""))</f>
        <v/>
      </c>
      <c r="F1023" s="3" t="str">
        <f>IF(A1023="","",'ATP Fills'!G1023)</f>
        <v/>
      </c>
      <c r="G1023" t="str">
        <f>IF(A1023="","",'ATP Fills'!H1023)</f>
        <v/>
      </c>
      <c r="H1023" t="str">
        <f>IF(A1023="","",VLOOKUP(G1023,表3_3[],2,0))</f>
        <v/>
      </c>
      <c r="I1023" t="str">
        <f>IF(A1023="","",VLOOKUP(G1023,表3_3[],3,0))</f>
        <v/>
      </c>
      <c r="J1023" t="str">
        <f>IF(A1023="","",IF('ATP Fills'!I1023="3M","",VLOOKUP(RIGHT('ATP Fills'!I1023,2),Helper1!$O$36:$P$48,2,0)))</f>
        <v/>
      </c>
      <c r="K1023" t="str">
        <f>IF(J1023="","",LEFT('ATP Fills'!I1023,4))</f>
        <v/>
      </c>
      <c r="L1023" t="str">
        <f>IF(A1023="","",IF('ATP Fills'!G1023="LME",'ATP Fills'!I1023,""))</f>
        <v/>
      </c>
      <c r="M1023" t="str">
        <f t="shared" si="15"/>
        <v/>
      </c>
    </row>
    <row r="1024" spans="1:13">
      <c r="A1024" t="str">
        <f>IF('ATP Fills'!A1024="","",IF('ATP Fills'!Q1024="PHILLIPSG",'ATP Fills'!F1024,""))</f>
        <v/>
      </c>
      <c r="B1024" t="str">
        <f>IF(A1024="","",'ATP Fills'!L1024)</f>
        <v/>
      </c>
      <c r="C1024" t="str">
        <f>IF(A1024="","",'ATP Fills'!M1024)</f>
        <v/>
      </c>
      <c r="D1024" t="str">
        <f>IF(A1024="","",'ATP Fills'!B1024)</f>
        <v/>
      </c>
      <c r="E1024" s="3" t="str">
        <f>IF(A1024="","",IF(DATE(LEFT(D1024,4),MID(D1024,5,2),RIGHT(D1024,2))=Helper1!$P$1,Helper1!$P$1,""))</f>
        <v/>
      </c>
      <c r="F1024" s="3" t="str">
        <f>IF(A1024="","",'ATP Fills'!G1024)</f>
        <v/>
      </c>
      <c r="G1024" t="str">
        <f>IF(A1024="","",'ATP Fills'!H1024)</f>
        <v/>
      </c>
      <c r="H1024" t="str">
        <f>IF(A1024="","",VLOOKUP(G1024,表3_3[],2,0))</f>
        <v/>
      </c>
      <c r="I1024" t="str">
        <f>IF(A1024="","",VLOOKUP(G1024,表3_3[],3,0))</f>
        <v/>
      </c>
      <c r="J1024" t="str">
        <f>IF(A1024="","",IF('ATP Fills'!I1024="3M","",VLOOKUP(RIGHT('ATP Fills'!I1024,2),Helper1!$O$36:$P$48,2,0)))</f>
        <v/>
      </c>
      <c r="K1024" t="str">
        <f>IF(J1024="","",LEFT('ATP Fills'!I1024,4))</f>
        <v/>
      </c>
      <c r="L1024" t="str">
        <f>IF(A1024="","",IF('ATP Fills'!G1024="LME",'ATP Fills'!I1024,""))</f>
        <v/>
      </c>
      <c r="M1024" t="str">
        <f t="shared" si="15"/>
        <v/>
      </c>
    </row>
    <row r="1025" spans="1:13">
      <c r="A1025" t="str">
        <f>IF('ATP Fills'!A1025="","",IF('ATP Fills'!Q1025="PHILLIPSG",'ATP Fills'!F1025,""))</f>
        <v/>
      </c>
      <c r="B1025" t="str">
        <f>IF(A1025="","",'ATP Fills'!L1025)</f>
        <v/>
      </c>
      <c r="C1025" t="str">
        <f>IF(A1025="","",'ATP Fills'!M1025)</f>
        <v/>
      </c>
      <c r="D1025" t="str">
        <f>IF(A1025="","",'ATP Fills'!B1025)</f>
        <v/>
      </c>
      <c r="E1025" s="3" t="str">
        <f>IF(A1025="","",IF(DATE(LEFT(D1025,4),MID(D1025,5,2),RIGHT(D1025,2))=Helper1!$P$1,Helper1!$P$1,""))</f>
        <v/>
      </c>
      <c r="F1025" s="3" t="str">
        <f>IF(A1025="","",'ATP Fills'!G1025)</f>
        <v/>
      </c>
      <c r="G1025" t="str">
        <f>IF(A1025="","",'ATP Fills'!H1025)</f>
        <v/>
      </c>
      <c r="H1025" t="str">
        <f>IF(A1025="","",VLOOKUP(G1025,表3_3[],2,0))</f>
        <v/>
      </c>
      <c r="I1025" t="str">
        <f>IF(A1025="","",VLOOKUP(G1025,表3_3[],3,0))</f>
        <v/>
      </c>
      <c r="J1025" t="str">
        <f>IF(A1025="","",IF('ATP Fills'!I1025="3M","",VLOOKUP(RIGHT('ATP Fills'!I1025,2),Helper1!$O$36:$P$48,2,0)))</f>
        <v/>
      </c>
      <c r="K1025" t="str">
        <f>IF(J1025="","",LEFT('ATP Fills'!I1025,4))</f>
        <v/>
      </c>
      <c r="L1025" t="str">
        <f>IF(A1025="","",IF('ATP Fills'!G1025="LME",'ATP Fills'!I1025,""))</f>
        <v/>
      </c>
      <c r="M1025" t="str">
        <f t="shared" si="15"/>
        <v/>
      </c>
    </row>
    <row r="1026" spans="1:13">
      <c r="A1026" t="str">
        <f>IF('ATP Fills'!A1026="","",IF('ATP Fills'!Q1026="PHILLIPSG",'ATP Fills'!F1026,""))</f>
        <v/>
      </c>
      <c r="B1026" t="str">
        <f>IF(A1026="","",'ATP Fills'!L1026)</f>
        <v/>
      </c>
      <c r="C1026" t="str">
        <f>IF(A1026="","",'ATP Fills'!M1026)</f>
        <v/>
      </c>
      <c r="D1026" t="str">
        <f>IF(A1026="","",'ATP Fills'!B1026)</f>
        <v/>
      </c>
      <c r="E1026" s="3" t="str">
        <f>IF(A1026="","",IF(DATE(LEFT(D1026,4),MID(D1026,5,2),RIGHT(D1026,2))=Helper1!$P$1,Helper1!$P$1,""))</f>
        <v/>
      </c>
      <c r="F1026" s="3" t="str">
        <f>IF(A1026="","",'ATP Fills'!G1026)</f>
        <v/>
      </c>
      <c r="G1026" t="str">
        <f>IF(A1026="","",'ATP Fills'!H1026)</f>
        <v/>
      </c>
      <c r="H1026" t="str">
        <f>IF(A1026="","",VLOOKUP(G1026,表3_3[],2,0))</f>
        <v/>
      </c>
      <c r="I1026" t="str">
        <f>IF(A1026="","",VLOOKUP(G1026,表3_3[],3,0))</f>
        <v/>
      </c>
      <c r="J1026" t="str">
        <f>IF(A1026="","",IF('ATP Fills'!I1026="3M","",VLOOKUP(RIGHT('ATP Fills'!I1026,2),Helper1!$O$36:$P$48,2,0)))</f>
        <v/>
      </c>
      <c r="K1026" t="str">
        <f>IF(J1026="","",LEFT('ATP Fills'!I1026,4))</f>
        <v/>
      </c>
      <c r="L1026" t="str">
        <f>IF(A1026="","",IF('ATP Fills'!G1026="LME",'ATP Fills'!I1026,""))</f>
        <v/>
      </c>
      <c r="M1026" t="str">
        <f t="shared" si="15"/>
        <v/>
      </c>
    </row>
    <row r="1027" spans="1:13">
      <c r="A1027" t="str">
        <f>IF('ATP Fills'!A1027="","",IF('ATP Fills'!Q1027="PHILLIPSG",'ATP Fills'!F1027,""))</f>
        <v/>
      </c>
      <c r="B1027" t="str">
        <f>IF(A1027="","",'ATP Fills'!L1027)</f>
        <v/>
      </c>
      <c r="C1027" t="str">
        <f>IF(A1027="","",'ATP Fills'!M1027)</f>
        <v/>
      </c>
      <c r="D1027" t="str">
        <f>IF(A1027="","",'ATP Fills'!B1027)</f>
        <v/>
      </c>
      <c r="E1027" s="3" t="str">
        <f>IF(A1027="","",IF(DATE(LEFT(D1027,4),MID(D1027,5,2),RIGHT(D1027,2))=Helper1!$P$1,Helper1!$P$1,""))</f>
        <v/>
      </c>
      <c r="F1027" s="3" t="str">
        <f>IF(A1027="","",'ATP Fills'!G1027)</f>
        <v/>
      </c>
      <c r="G1027" t="str">
        <f>IF(A1027="","",'ATP Fills'!H1027)</f>
        <v/>
      </c>
      <c r="H1027" t="str">
        <f>IF(A1027="","",VLOOKUP(G1027,表3_3[],2,0))</f>
        <v/>
      </c>
      <c r="I1027" t="str">
        <f>IF(A1027="","",VLOOKUP(G1027,表3_3[],3,0))</f>
        <v/>
      </c>
      <c r="J1027" t="str">
        <f>IF(A1027="","",IF('ATP Fills'!I1027="3M","",VLOOKUP(RIGHT('ATP Fills'!I1027,2),Helper1!$O$36:$P$48,2,0)))</f>
        <v/>
      </c>
      <c r="K1027" t="str">
        <f>IF(J1027="","",LEFT('ATP Fills'!I1027,4))</f>
        <v/>
      </c>
      <c r="L1027" t="str">
        <f>IF(A1027="","",IF('ATP Fills'!G1027="LME",'ATP Fills'!I1027,""))</f>
        <v/>
      </c>
      <c r="M1027" t="str">
        <f t="shared" ref="M1027:M1090" si="16">IF(A1027="","",IF(F1027="LME",F1027&amp;"-"&amp;I1027&amp;"-"&amp;L1027,J1027&amp;"-"&amp;K1027&amp;"-"&amp;I1027))</f>
        <v/>
      </c>
    </row>
    <row r="1028" spans="1:13">
      <c r="A1028" t="str">
        <f>IF('ATP Fills'!A1028="","",IF('ATP Fills'!Q1028="PHILLIPSG",'ATP Fills'!F1028,""))</f>
        <v/>
      </c>
      <c r="B1028" t="str">
        <f>IF(A1028="","",'ATP Fills'!L1028)</f>
        <v/>
      </c>
      <c r="C1028" t="str">
        <f>IF(A1028="","",'ATP Fills'!M1028)</f>
        <v/>
      </c>
      <c r="D1028" t="str">
        <f>IF(A1028="","",'ATP Fills'!B1028)</f>
        <v/>
      </c>
      <c r="E1028" s="3" t="str">
        <f>IF(A1028="","",IF(DATE(LEFT(D1028,4),MID(D1028,5,2),RIGHT(D1028,2))=Helper1!$P$1,Helper1!$P$1,""))</f>
        <v/>
      </c>
      <c r="F1028" s="3" t="str">
        <f>IF(A1028="","",'ATP Fills'!G1028)</f>
        <v/>
      </c>
      <c r="G1028" t="str">
        <f>IF(A1028="","",'ATP Fills'!H1028)</f>
        <v/>
      </c>
      <c r="H1028" t="str">
        <f>IF(A1028="","",VLOOKUP(G1028,表3_3[],2,0))</f>
        <v/>
      </c>
      <c r="I1028" t="str">
        <f>IF(A1028="","",VLOOKUP(G1028,表3_3[],3,0))</f>
        <v/>
      </c>
      <c r="J1028" t="str">
        <f>IF(A1028="","",IF('ATP Fills'!I1028="3M","",VLOOKUP(RIGHT('ATP Fills'!I1028,2),Helper1!$O$36:$P$48,2,0)))</f>
        <v/>
      </c>
      <c r="K1028" t="str">
        <f>IF(J1028="","",LEFT('ATP Fills'!I1028,4))</f>
        <v/>
      </c>
      <c r="L1028" t="str">
        <f>IF(A1028="","",IF('ATP Fills'!G1028="LME",'ATP Fills'!I1028,""))</f>
        <v/>
      </c>
      <c r="M1028" t="str">
        <f t="shared" si="16"/>
        <v/>
      </c>
    </row>
    <row r="1029" spans="1:13">
      <c r="A1029" t="str">
        <f>IF('ATP Fills'!A1029="","",IF('ATP Fills'!Q1029="PHILLIPSG",'ATP Fills'!F1029,""))</f>
        <v/>
      </c>
      <c r="B1029" t="str">
        <f>IF(A1029="","",'ATP Fills'!L1029)</f>
        <v/>
      </c>
      <c r="C1029" t="str">
        <f>IF(A1029="","",'ATP Fills'!M1029)</f>
        <v/>
      </c>
      <c r="D1029" t="str">
        <f>IF(A1029="","",'ATP Fills'!B1029)</f>
        <v/>
      </c>
      <c r="E1029" s="3" t="str">
        <f>IF(A1029="","",IF(DATE(LEFT(D1029,4),MID(D1029,5,2),RIGHT(D1029,2))=Helper1!$P$1,Helper1!$P$1,""))</f>
        <v/>
      </c>
      <c r="F1029" s="3" t="str">
        <f>IF(A1029="","",'ATP Fills'!G1029)</f>
        <v/>
      </c>
      <c r="G1029" t="str">
        <f>IF(A1029="","",'ATP Fills'!H1029)</f>
        <v/>
      </c>
      <c r="H1029" t="str">
        <f>IF(A1029="","",VLOOKUP(G1029,表3_3[],2,0))</f>
        <v/>
      </c>
      <c r="I1029" t="str">
        <f>IF(A1029="","",VLOOKUP(G1029,表3_3[],3,0))</f>
        <v/>
      </c>
      <c r="J1029" t="str">
        <f>IF(A1029="","",IF('ATP Fills'!I1029="3M","",VLOOKUP(RIGHT('ATP Fills'!I1029,2),Helper1!$O$36:$P$48,2,0)))</f>
        <v/>
      </c>
      <c r="K1029" t="str">
        <f>IF(J1029="","",LEFT('ATP Fills'!I1029,4))</f>
        <v/>
      </c>
      <c r="L1029" t="str">
        <f>IF(A1029="","",IF('ATP Fills'!G1029="LME",'ATP Fills'!I1029,""))</f>
        <v/>
      </c>
      <c r="M1029" t="str">
        <f t="shared" si="16"/>
        <v/>
      </c>
    </row>
    <row r="1030" spans="1:13">
      <c r="A1030" t="str">
        <f>IF('ATP Fills'!A1030="","",IF('ATP Fills'!Q1030="PHILLIPSG",'ATP Fills'!F1030,""))</f>
        <v/>
      </c>
      <c r="B1030" t="str">
        <f>IF(A1030="","",'ATP Fills'!L1030)</f>
        <v/>
      </c>
      <c r="C1030" t="str">
        <f>IF(A1030="","",'ATP Fills'!M1030)</f>
        <v/>
      </c>
      <c r="D1030" t="str">
        <f>IF(A1030="","",'ATP Fills'!B1030)</f>
        <v/>
      </c>
      <c r="E1030" s="3" t="str">
        <f>IF(A1030="","",IF(DATE(LEFT(D1030,4),MID(D1030,5,2),RIGHT(D1030,2))=Helper1!$P$1,Helper1!$P$1,""))</f>
        <v/>
      </c>
      <c r="F1030" s="3" t="str">
        <f>IF(A1030="","",'ATP Fills'!G1030)</f>
        <v/>
      </c>
      <c r="G1030" t="str">
        <f>IF(A1030="","",'ATP Fills'!H1030)</f>
        <v/>
      </c>
      <c r="H1030" t="str">
        <f>IF(A1030="","",VLOOKUP(G1030,表3_3[],2,0))</f>
        <v/>
      </c>
      <c r="I1030" t="str">
        <f>IF(A1030="","",VLOOKUP(G1030,表3_3[],3,0))</f>
        <v/>
      </c>
      <c r="J1030" t="str">
        <f>IF(A1030="","",IF('ATP Fills'!I1030="3M","",VLOOKUP(RIGHT('ATP Fills'!I1030,2),Helper1!$O$36:$P$48,2,0)))</f>
        <v/>
      </c>
      <c r="K1030" t="str">
        <f>IF(J1030="","",LEFT('ATP Fills'!I1030,4))</f>
        <v/>
      </c>
      <c r="L1030" t="str">
        <f>IF(A1030="","",IF('ATP Fills'!G1030="LME",'ATP Fills'!I1030,""))</f>
        <v/>
      </c>
      <c r="M1030" t="str">
        <f t="shared" si="16"/>
        <v/>
      </c>
    </row>
    <row r="1031" spans="1:13">
      <c r="A1031" t="str">
        <f>IF('ATP Fills'!A1031="","",IF('ATP Fills'!Q1031="PHILLIPSG",'ATP Fills'!F1031,""))</f>
        <v/>
      </c>
      <c r="B1031" t="str">
        <f>IF(A1031="","",'ATP Fills'!L1031)</f>
        <v/>
      </c>
      <c r="C1031" t="str">
        <f>IF(A1031="","",'ATP Fills'!M1031)</f>
        <v/>
      </c>
      <c r="D1031" t="str">
        <f>IF(A1031="","",'ATP Fills'!B1031)</f>
        <v/>
      </c>
      <c r="E1031" s="3" t="str">
        <f>IF(A1031="","",IF(DATE(LEFT(D1031,4),MID(D1031,5,2),RIGHT(D1031,2))=Helper1!$P$1,Helper1!$P$1,""))</f>
        <v/>
      </c>
      <c r="F1031" s="3" t="str">
        <f>IF(A1031="","",'ATP Fills'!G1031)</f>
        <v/>
      </c>
      <c r="G1031" t="str">
        <f>IF(A1031="","",'ATP Fills'!H1031)</f>
        <v/>
      </c>
      <c r="H1031" t="str">
        <f>IF(A1031="","",VLOOKUP(G1031,表3_3[],2,0))</f>
        <v/>
      </c>
      <c r="I1031" t="str">
        <f>IF(A1031="","",VLOOKUP(G1031,表3_3[],3,0))</f>
        <v/>
      </c>
      <c r="J1031" t="str">
        <f>IF(A1031="","",IF('ATP Fills'!I1031="3M","",VLOOKUP(RIGHT('ATP Fills'!I1031,2),Helper1!$O$36:$P$48,2,0)))</f>
        <v/>
      </c>
      <c r="K1031" t="str">
        <f>IF(J1031="","",LEFT('ATP Fills'!I1031,4))</f>
        <v/>
      </c>
      <c r="L1031" t="str">
        <f>IF(A1031="","",IF('ATP Fills'!G1031="LME",'ATP Fills'!I1031,""))</f>
        <v/>
      </c>
      <c r="M1031" t="str">
        <f t="shared" si="16"/>
        <v/>
      </c>
    </row>
    <row r="1032" spans="1:13">
      <c r="A1032" t="str">
        <f>IF('ATP Fills'!A1032="","",IF('ATP Fills'!Q1032="PHILLIPSG",'ATP Fills'!F1032,""))</f>
        <v/>
      </c>
      <c r="B1032" t="str">
        <f>IF(A1032="","",'ATP Fills'!L1032)</f>
        <v/>
      </c>
      <c r="C1032" t="str">
        <f>IF(A1032="","",'ATP Fills'!M1032)</f>
        <v/>
      </c>
      <c r="D1032" t="str">
        <f>IF(A1032="","",'ATP Fills'!B1032)</f>
        <v/>
      </c>
      <c r="E1032" s="3" t="str">
        <f>IF(A1032="","",IF(DATE(LEFT(D1032,4),MID(D1032,5,2),RIGHT(D1032,2))=Helper1!$P$1,Helper1!$P$1,""))</f>
        <v/>
      </c>
      <c r="F1032" s="3" t="str">
        <f>IF(A1032="","",'ATP Fills'!G1032)</f>
        <v/>
      </c>
      <c r="G1032" t="str">
        <f>IF(A1032="","",'ATP Fills'!H1032)</f>
        <v/>
      </c>
      <c r="H1032" t="str">
        <f>IF(A1032="","",VLOOKUP(G1032,表3_3[],2,0))</f>
        <v/>
      </c>
      <c r="I1032" t="str">
        <f>IF(A1032="","",VLOOKUP(G1032,表3_3[],3,0))</f>
        <v/>
      </c>
      <c r="J1032" t="str">
        <f>IF(A1032="","",IF('ATP Fills'!I1032="3M","",VLOOKUP(RIGHT('ATP Fills'!I1032,2),Helper1!$O$36:$P$48,2,0)))</f>
        <v/>
      </c>
      <c r="K1032" t="str">
        <f>IF(J1032="","",LEFT('ATP Fills'!I1032,4))</f>
        <v/>
      </c>
      <c r="L1032" t="str">
        <f>IF(A1032="","",IF('ATP Fills'!G1032="LME",'ATP Fills'!I1032,""))</f>
        <v/>
      </c>
      <c r="M1032" t="str">
        <f t="shared" si="16"/>
        <v/>
      </c>
    </row>
    <row r="1033" spans="1:13">
      <c r="A1033" t="str">
        <f>IF('ATP Fills'!A1033="","",IF('ATP Fills'!Q1033="PHILLIPSG",'ATP Fills'!F1033,""))</f>
        <v/>
      </c>
      <c r="B1033" t="str">
        <f>IF(A1033="","",'ATP Fills'!L1033)</f>
        <v/>
      </c>
      <c r="C1033" t="str">
        <f>IF(A1033="","",'ATP Fills'!M1033)</f>
        <v/>
      </c>
      <c r="D1033" t="str">
        <f>IF(A1033="","",'ATP Fills'!B1033)</f>
        <v/>
      </c>
      <c r="E1033" s="3" t="str">
        <f>IF(A1033="","",IF(DATE(LEFT(D1033,4),MID(D1033,5,2),RIGHT(D1033,2))=Helper1!$P$1,Helper1!$P$1,""))</f>
        <v/>
      </c>
      <c r="F1033" s="3" t="str">
        <f>IF(A1033="","",'ATP Fills'!G1033)</f>
        <v/>
      </c>
      <c r="G1033" t="str">
        <f>IF(A1033="","",'ATP Fills'!H1033)</f>
        <v/>
      </c>
      <c r="H1033" t="str">
        <f>IF(A1033="","",VLOOKUP(G1033,表3_3[],2,0))</f>
        <v/>
      </c>
      <c r="I1033" t="str">
        <f>IF(A1033="","",VLOOKUP(G1033,表3_3[],3,0))</f>
        <v/>
      </c>
      <c r="J1033" t="str">
        <f>IF(A1033="","",IF('ATP Fills'!I1033="3M","",VLOOKUP(RIGHT('ATP Fills'!I1033,2),Helper1!$O$36:$P$48,2,0)))</f>
        <v/>
      </c>
      <c r="K1033" t="str">
        <f>IF(J1033="","",LEFT('ATP Fills'!I1033,4))</f>
        <v/>
      </c>
      <c r="L1033" t="str">
        <f>IF(A1033="","",IF('ATP Fills'!G1033="LME",'ATP Fills'!I1033,""))</f>
        <v/>
      </c>
      <c r="M1033" t="str">
        <f t="shared" si="16"/>
        <v/>
      </c>
    </row>
    <row r="1034" spans="1:13">
      <c r="A1034" t="str">
        <f>IF('ATP Fills'!A1034="","",IF('ATP Fills'!Q1034="PHILLIPSG",'ATP Fills'!F1034,""))</f>
        <v/>
      </c>
      <c r="B1034" t="str">
        <f>IF(A1034="","",'ATP Fills'!L1034)</f>
        <v/>
      </c>
      <c r="C1034" t="str">
        <f>IF(A1034="","",'ATP Fills'!M1034)</f>
        <v/>
      </c>
      <c r="D1034" t="str">
        <f>IF(A1034="","",'ATP Fills'!B1034)</f>
        <v/>
      </c>
      <c r="E1034" s="3" t="str">
        <f>IF(A1034="","",IF(DATE(LEFT(D1034,4),MID(D1034,5,2),RIGHT(D1034,2))=Helper1!$P$1,Helper1!$P$1,""))</f>
        <v/>
      </c>
      <c r="F1034" s="3" t="str">
        <f>IF(A1034="","",'ATP Fills'!G1034)</f>
        <v/>
      </c>
      <c r="G1034" t="str">
        <f>IF(A1034="","",'ATP Fills'!H1034)</f>
        <v/>
      </c>
      <c r="H1034" t="str">
        <f>IF(A1034="","",VLOOKUP(G1034,表3_3[],2,0))</f>
        <v/>
      </c>
      <c r="I1034" t="str">
        <f>IF(A1034="","",VLOOKUP(G1034,表3_3[],3,0))</f>
        <v/>
      </c>
      <c r="J1034" t="str">
        <f>IF(A1034="","",IF('ATP Fills'!I1034="3M","",VLOOKUP(RIGHT('ATP Fills'!I1034,2),Helper1!$O$36:$P$48,2,0)))</f>
        <v/>
      </c>
      <c r="K1034" t="str">
        <f>IF(J1034="","",LEFT('ATP Fills'!I1034,4))</f>
        <v/>
      </c>
      <c r="L1034" t="str">
        <f>IF(A1034="","",IF('ATP Fills'!G1034="LME",'ATP Fills'!I1034,""))</f>
        <v/>
      </c>
      <c r="M1034" t="str">
        <f t="shared" si="16"/>
        <v/>
      </c>
    </row>
    <row r="1035" spans="1:13">
      <c r="A1035" t="str">
        <f>IF('ATP Fills'!A1035="","",IF('ATP Fills'!Q1035="PHILLIPSG",'ATP Fills'!F1035,""))</f>
        <v/>
      </c>
      <c r="B1035" t="str">
        <f>IF(A1035="","",'ATP Fills'!L1035)</f>
        <v/>
      </c>
      <c r="C1035" t="str">
        <f>IF(A1035="","",'ATP Fills'!M1035)</f>
        <v/>
      </c>
      <c r="D1035" t="str">
        <f>IF(A1035="","",'ATP Fills'!B1035)</f>
        <v/>
      </c>
      <c r="E1035" s="3" t="str">
        <f>IF(A1035="","",IF(DATE(LEFT(D1035,4),MID(D1035,5,2),RIGHT(D1035,2))=Helper1!$P$1,Helper1!$P$1,""))</f>
        <v/>
      </c>
      <c r="F1035" s="3" t="str">
        <f>IF(A1035="","",'ATP Fills'!G1035)</f>
        <v/>
      </c>
      <c r="G1035" t="str">
        <f>IF(A1035="","",'ATP Fills'!H1035)</f>
        <v/>
      </c>
      <c r="H1035" t="str">
        <f>IF(A1035="","",VLOOKUP(G1035,表3_3[],2,0))</f>
        <v/>
      </c>
      <c r="I1035" t="str">
        <f>IF(A1035="","",VLOOKUP(G1035,表3_3[],3,0))</f>
        <v/>
      </c>
      <c r="J1035" t="str">
        <f>IF(A1035="","",IF('ATP Fills'!I1035="3M","",VLOOKUP(RIGHT('ATP Fills'!I1035,2),Helper1!$O$36:$P$48,2,0)))</f>
        <v/>
      </c>
      <c r="K1035" t="str">
        <f>IF(J1035="","",LEFT('ATP Fills'!I1035,4))</f>
        <v/>
      </c>
      <c r="L1035" t="str">
        <f>IF(A1035="","",IF('ATP Fills'!G1035="LME",'ATP Fills'!I1035,""))</f>
        <v/>
      </c>
      <c r="M1035" t="str">
        <f t="shared" si="16"/>
        <v/>
      </c>
    </row>
    <row r="1036" spans="1:13">
      <c r="A1036" t="str">
        <f>IF('ATP Fills'!A1036="","",IF('ATP Fills'!Q1036="PHILLIPSG",'ATP Fills'!F1036,""))</f>
        <v/>
      </c>
      <c r="B1036" t="str">
        <f>IF(A1036="","",'ATP Fills'!L1036)</f>
        <v/>
      </c>
      <c r="C1036" t="str">
        <f>IF(A1036="","",'ATP Fills'!M1036)</f>
        <v/>
      </c>
      <c r="D1036" t="str">
        <f>IF(A1036="","",'ATP Fills'!B1036)</f>
        <v/>
      </c>
      <c r="E1036" s="3" t="str">
        <f>IF(A1036="","",IF(DATE(LEFT(D1036,4),MID(D1036,5,2),RIGHT(D1036,2))=Helper1!$P$1,Helper1!$P$1,""))</f>
        <v/>
      </c>
      <c r="F1036" s="3" t="str">
        <f>IF(A1036="","",'ATP Fills'!G1036)</f>
        <v/>
      </c>
      <c r="G1036" t="str">
        <f>IF(A1036="","",'ATP Fills'!H1036)</f>
        <v/>
      </c>
      <c r="H1036" t="str">
        <f>IF(A1036="","",VLOOKUP(G1036,表3_3[],2,0))</f>
        <v/>
      </c>
      <c r="I1036" t="str">
        <f>IF(A1036="","",VLOOKUP(G1036,表3_3[],3,0))</f>
        <v/>
      </c>
      <c r="J1036" t="str">
        <f>IF(A1036="","",IF('ATP Fills'!I1036="3M","",VLOOKUP(RIGHT('ATP Fills'!I1036,2),Helper1!$O$36:$P$48,2,0)))</f>
        <v/>
      </c>
      <c r="K1036" t="str">
        <f>IF(J1036="","",LEFT('ATP Fills'!I1036,4))</f>
        <v/>
      </c>
      <c r="L1036" t="str">
        <f>IF(A1036="","",IF('ATP Fills'!G1036="LME",'ATP Fills'!I1036,""))</f>
        <v/>
      </c>
      <c r="M1036" t="str">
        <f t="shared" si="16"/>
        <v/>
      </c>
    </row>
    <row r="1037" spans="1:13">
      <c r="A1037" t="str">
        <f>IF('ATP Fills'!A1037="","",IF('ATP Fills'!Q1037="PHILLIPSG",'ATP Fills'!F1037,""))</f>
        <v/>
      </c>
      <c r="B1037" t="str">
        <f>IF(A1037="","",'ATP Fills'!L1037)</f>
        <v/>
      </c>
      <c r="C1037" t="str">
        <f>IF(A1037="","",'ATP Fills'!M1037)</f>
        <v/>
      </c>
      <c r="D1037" t="str">
        <f>IF(A1037="","",'ATP Fills'!B1037)</f>
        <v/>
      </c>
      <c r="E1037" s="3" t="str">
        <f>IF(A1037="","",IF(DATE(LEFT(D1037,4),MID(D1037,5,2),RIGHT(D1037,2))=Helper1!$P$1,Helper1!$P$1,""))</f>
        <v/>
      </c>
      <c r="F1037" s="3" t="str">
        <f>IF(A1037="","",'ATP Fills'!G1037)</f>
        <v/>
      </c>
      <c r="G1037" t="str">
        <f>IF(A1037="","",'ATP Fills'!H1037)</f>
        <v/>
      </c>
      <c r="H1037" t="str">
        <f>IF(A1037="","",VLOOKUP(G1037,表3_3[],2,0))</f>
        <v/>
      </c>
      <c r="I1037" t="str">
        <f>IF(A1037="","",VLOOKUP(G1037,表3_3[],3,0))</f>
        <v/>
      </c>
      <c r="J1037" t="str">
        <f>IF(A1037="","",IF('ATP Fills'!I1037="3M","",VLOOKUP(RIGHT('ATP Fills'!I1037,2),Helper1!$O$36:$P$48,2,0)))</f>
        <v/>
      </c>
      <c r="K1037" t="str">
        <f>IF(J1037="","",LEFT('ATP Fills'!I1037,4))</f>
        <v/>
      </c>
      <c r="L1037" t="str">
        <f>IF(A1037="","",IF('ATP Fills'!G1037="LME",'ATP Fills'!I1037,""))</f>
        <v/>
      </c>
      <c r="M1037" t="str">
        <f t="shared" si="16"/>
        <v/>
      </c>
    </row>
    <row r="1038" spans="1:13">
      <c r="A1038" t="str">
        <f>IF('ATP Fills'!A1038="","",IF('ATP Fills'!Q1038="PHILLIPSG",'ATP Fills'!F1038,""))</f>
        <v/>
      </c>
      <c r="B1038" t="str">
        <f>IF(A1038="","",'ATP Fills'!L1038)</f>
        <v/>
      </c>
      <c r="C1038" t="str">
        <f>IF(A1038="","",'ATP Fills'!M1038)</f>
        <v/>
      </c>
      <c r="D1038" t="str">
        <f>IF(A1038="","",'ATP Fills'!B1038)</f>
        <v/>
      </c>
      <c r="E1038" s="3" t="str">
        <f>IF(A1038="","",IF(DATE(LEFT(D1038,4),MID(D1038,5,2),RIGHT(D1038,2))=Helper1!$P$1,Helper1!$P$1,""))</f>
        <v/>
      </c>
      <c r="F1038" s="3" t="str">
        <f>IF(A1038="","",'ATP Fills'!G1038)</f>
        <v/>
      </c>
      <c r="G1038" t="str">
        <f>IF(A1038="","",'ATP Fills'!H1038)</f>
        <v/>
      </c>
      <c r="H1038" t="str">
        <f>IF(A1038="","",VLOOKUP(G1038,表3_3[],2,0))</f>
        <v/>
      </c>
      <c r="I1038" t="str">
        <f>IF(A1038="","",VLOOKUP(G1038,表3_3[],3,0))</f>
        <v/>
      </c>
      <c r="J1038" t="str">
        <f>IF(A1038="","",IF('ATP Fills'!I1038="3M","",VLOOKUP(RIGHT('ATP Fills'!I1038,2),Helper1!$O$36:$P$48,2,0)))</f>
        <v/>
      </c>
      <c r="K1038" t="str">
        <f>IF(J1038="","",LEFT('ATP Fills'!I1038,4))</f>
        <v/>
      </c>
      <c r="L1038" t="str">
        <f>IF(A1038="","",IF('ATP Fills'!G1038="LME",'ATP Fills'!I1038,""))</f>
        <v/>
      </c>
      <c r="M1038" t="str">
        <f t="shared" si="16"/>
        <v/>
      </c>
    </row>
    <row r="1039" spans="1:13">
      <c r="A1039" t="str">
        <f>IF('ATP Fills'!A1039="","",IF('ATP Fills'!Q1039="PHILLIPSG",'ATP Fills'!F1039,""))</f>
        <v/>
      </c>
      <c r="B1039" t="str">
        <f>IF(A1039="","",'ATP Fills'!L1039)</f>
        <v/>
      </c>
      <c r="C1039" t="str">
        <f>IF(A1039="","",'ATP Fills'!M1039)</f>
        <v/>
      </c>
      <c r="D1039" t="str">
        <f>IF(A1039="","",'ATP Fills'!B1039)</f>
        <v/>
      </c>
      <c r="E1039" s="3" t="str">
        <f>IF(A1039="","",IF(DATE(LEFT(D1039,4),MID(D1039,5,2),RIGHT(D1039,2))=Helper1!$P$1,Helper1!$P$1,""))</f>
        <v/>
      </c>
      <c r="F1039" s="3" t="str">
        <f>IF(A1039="","",'ATP Fills'!G1039)</f>
        <v/>
      </c>
      <c r="G1039" t="str">
        <f>IF(A1039="","",'ATP Fills'!H1039)</f>
        <v/>
      </c>
      <c r="H1039" t="str">
        <f>IF(A1039="","",VLOOKUP(G1039,表3_3[],2,0))</f>
        <v/>
      </c>
      <c r="I1039" t="str">
        <f>IF(A1039="","",VLOOKUP(G1039,表3_3[],3,0))</f>
        <v/>
      </c>
      <c r="J1039" t="str">
        <f>IF(A1039="","",IF('ATP Fills'!I1039="3M","",VLOOKUP(RIGHT('ATP Fills'!I1039,2),Helper1!$O$36:$P$48,2,0)))</f>
        <v/>
      </c>
      <c r="K1039" t="str">
        <f>IF(J1039="","",LEFT('ATP Fills'!I1039,4))</f>
        <v/>
      </c>
      <c r="L1039" t="str">
        <f>IF(A1039="","",IF('ATP Fills'!G1039="LME",'ATP Fills'!I1039,""))</f>
        <v/>
      </c>
      <c r="M1039" t="str">
        <f t="shared" si="16"/>
        <v/>
      </c>
    </row>
    <row r="1040" spans="1:13">
      <c r="A1040" t="str">
        <f>IF('ATP Fills'!A1040="","",IF('ATP Fills'!Q1040="PHILLIPSG",'ATP Fills'!F1040,""))</f>
        <v/>
      </c>
      <c r="B1040" t="str">
        <f>IF(A1040="","",'ATP Fills'!L1040)</f>
        <v/>
      </c>
      <c r="C1040" t="str">
        <f>IF(A1040="","",'ATP Fills'!M1040)</f>
        <v/>
      </c>
      <c r="D1040" t="str">
        <f>IF(A1040="","",'ATP Fills'!B1040)</f>
        <v/>
      </c>
      <c r="E1040" s="3" t="str">
        <f>IF(A1040="","",IF(DATE(LEFT(D1040,4),MID(D1040,5,2),RIGHT(D1040,2))=Helper1!$P$1,Helper1!$P$1,""))</f>
        <v/>
      </c>
      <c r="F1040" s="3" t="str">
        <f>IF(A1040="","",'ATP Fills'!G1040)</f>
        <v/>
      </c>
      <c r="G1040" t="str">
        <f>IF(A1040="","",'ATP Fills'!H1040)</f>
        <v/>
      </c>
      <c r="H1040" t="str">
        <f>IF(A1040="","",VLOOKUP(G1040,表3_3[],2,0))</f>
        <v/>
      </c>
      <c r="I1040" t="str">
        <f>IF(A1040="","",VLOOKUP(G1040,表3_3[],3,0))</f>
        <v/>
      </c>
      <c r="J1040" t="str">
        <f>IF(A1040="","",IF('ATP Fills'!I1040="3M","",VLOOKUP(RIGHT('ATP Fills'!I1040,2),Helper1!$O$36:$P$48,2,0)))</f>
        <v/>
      </c>
      <c r="K1040" t="str">
        <f>IF(J1040="","",LEFT('ATP Fills'!I1040,4))</f>
        <v/>
      </c>
      <c r="L1040" t="str">
        <f>IF(A1040="","",IF('ATP Fills'!G1040="LME",'ATP Fills'!I1040,""))</f>
        <v/>
      </c>
      <c r="M1040" t="str">
        <f t="shared" si="16"/>
        <v/>
      </c>
    </row>
    <row r="1041" spans="1:13">
      <c r="A1041" t="str">
        <f>IF('ATP Fills'!A1041="","",IF('ATP Fills'!Q1041="PHILLIPSG",'ATP Fills'!F1041,""))</f>
        <v/>
      </c>
      <c r="B1041" t="str">
        <f>IF(A1041="","",'ATP Fills'!L1041)</f>
        <v/>
      </c>
      <c r="C1041" t="str">
        <f>IF(A1041="","",'ATP Fills'!M1041)</f>
        <v/>
      </c>
      <c r="D1041" t="str">
        <f>IF(A1041="","",'ATP Fills'!B1041)</f>
        <v/>
      </c>
      <c r="E1041" s="3" t="str">
        <f>IF(A1041="","",IF(DATE(LEFT(D1041,4),MID(D1041,5,2),RIGHT(D1041,2))=Helper1!$P$1,Helper1!$P$1,""))</f>
        <v/>
      </c>
      <c r="F1041" s="3" t="str">
        <f>IF(A1041="","",'ATP Fills'!G1041)</f>
        <v/>
      </c>
      <c r="G1041" t="str">
        <f>IF(A1041="","",'ATP Fills'!H1041)</f>
        <v/>
      </c>
      <c r="H1041" t="str">
        <f>IF(A1041="","",VLOOKUP(G1041,表3_3[],2,0))</f>
        <v/>
      </c>
      <c r="I1041" t="str">
        <f>IF(A1041="","",VLOOKUP(G1041,表3_3[],3,0))</f>
        <v/>
      </c>
      <c r="J1041" t="str">
        <f>IF(A1041="","",IF('ATP Fills'!I1041="3M","",VLOOKUP(RIGHT('ATP Fills'!I1041,2),Helper1!$O$36:$P$48,2,0)))</f>
        <v/>
      </c>
      <c r="K1041" t="str">
        <f>IF(J1041="","",LEFT('ATP Fills'!I1041,4))</f>
        <v/>
      </c>
      <c r="L1041" t="str">
        <f>IF(A1041="","",IF('ATP Fills'!G1041="LME",'ATP Fills'!I1041,""))</f>
        <v/>
      </c>
      <c r="M1041" t="str">
        <f t="shared" si="16"/>
        <v/>
      </c>
    </row>
    <row r="1042" spans="1:13">
      <c r="A1042" t="str">
        <f>IF('ATP Fills'!A1042="","",IF('ATP Fills'!Q1042="PHILLIPSG",'ATP Fills'!F1042,""))</f>
        <v/>
      </c>
      <c r="B1042" t="str">
        <f>IF(A1042="","",'ATP Fills'!L1042)</f>
        <v/>
      </c>
      <c r="C1042" t="str">
        <f>IF(A1042="","",'ATP Fills'!M1042)</f>
        <v/>
      </c>
      <c r="D1042" t="str">
        <f>IF(A1042="","",'ATP Fills'!B1042)</f>
        <v/>
      </c>
      <c r="E1042" s="3" t="str">
        <f>IF(A1042="","",IF(DATE(LEFT(D1042,4),MID(D1042,5,2),RIGHT(D1042,2))=Helper1!$P$1,Helper1!$P$1,""))</f>
        <v/>
      </c>
      <c r="F1042" s="3" t="str">
        <f>IF(A1042="","",'ATP Fills'!G1042)</f>
        <v/>
      </c>
      <c r="G1042" t="str">
        <f>IF(A1042="","",'ATP Fills'!H1042)</f>
        <v/>
      </c>
      <c r="H1042" t="str">
        <f>IF(A1042="","",VLOOKUP(G1042,表3_3[],2,0))</f>
        <v/>
      </c>
      <c r="I1042" t="str">
        <f>IF(A1042="","",VLOOKUP(G1042,表3_3[],3,0))</f>
        <v/>
      </c>
      <c r="J1042" t="str">
        <f>IF(A1042="","",IF('ATP Fills'!I1042="3M","",VLOOKUP(RIGHT('ATP Fills'!I1042,2),Helper1!$O$36:$P$48,2,0)))</f>
        <v/>
      </c>
      <c r="K1042" t="str">
        <f>IF(J1042="","",LEFT('ATP Fills'!I1042,4))</f>
        <v/>
      </c>
      <c r="L1042" t="str">
        <f>IF(A1042="","",IF('ATP Fills'!G1042="LME",'ATP Fills'!I1042,""))</f>
        <v/>
      </c>
      <c r="M1042" t="str">
        <f t="shared" si="16"/>
        <v/>
      </c>
    </row>
    <row r="1043" spans="1:13">
      <c r="A1043" t="str">
        <f>IF('ATP Fills'!A1043="","",IF('ATP Fills'!Q1043="PHILLIPSG",'ATP Fills'!F1043,""))</f>
        <v/>
      </c>
      <c r="B1043" t="str">
        <f>IF(A1043="","",'ATP Fills'!L1043)</f>
        <v/>
      </c>
      <c r="C1043" t="str">
        <f>IF(A1043="","",'ATP Fills'!M1043)</f>
        <v/>
      </c>
      <c r="D1043" t="str">
        <f>IF(A1043="","",'ATP Fills'!B1043)</f>
        <v/>
      </c>
      <c r="E1043" s="3" t="str">
        <f>IF(A1043="","",IF(DATE(LEFT(D1043,4),MID(D1043,5,2),RIGHT(D1043,2))=Helper1!$P$1,Helper1!$P$1,""))</f>
        <v/>
      </c>
      <c r="F1043" s="3" t="str">
        <f>IF(A1043="","",'ATP Fills'!G1043)</f>
        <v/>
      </c>
      <c r="G1043" t="str">
        <f>IF(A1043="","",'ATP Fills'!H1043)</f>
        <v/>
      </c>
      <c r="H1043" t="str">
        <f>IF(A1043="","",VLOOKUP(G1043,表3_3[],2,0))</f>
        <v/>
      </c>
      <c r="I1043" t="str">
        <f>IF(A1043="","",VLOOKUP(G1043,表3_3[],3,0))</f>
        <v/>
      </c>
      <c r="J1043" t="str">
        <f>IF(A1043="","",IF('ATP Fills'!I1043="3M","",VLOOKUP(RIGHT('ATP Fills'!I1043,2),Helper1!$O$36:$P$48,2,0)))</f>
        <v/>
      </c>
      <c r="K1043" t="str">
        <f>IF(J1043="","",LEFT('ATP Fills'!I1043,4))</f>
        <v/>
      </c>
      <c r="L1043" t="str">
        <f>IF(A1043="","",IF('ATP Fills'!G1043="LME",'ATP Fills'!I1043,""))</f>
        <v/>
      </c>
      <c r="M1043" t="str">
        <f t="shared" si="16"/>
        <v/>
      </c>
    </row>
    <row r="1044" spans="1:13">
      <c r="A1044" t="str">
        <f>IF('ATP Fills'!A1044="","",IF('ATP Fills'!Q1044="PHILLIPSG",'ATP Fills'!F1044,""))</f>
        <v/>
      </c>
      <c r="B1044" t="str">
        <f>IF(A1044="","",'ATP Fills'!L1044)</f>
        <v/>
      </c>
      <c r="C1044" t="str">
        <f>IF(A1044="","",'ATP Fills'!M1044)</f>
        <v/>
      </c>
      <c r="D1044" t="str">
        <f>IF(A1044="","",'ATP Fills'!B1044)</f>
        <v/>
      </c>
      <c r="E1044" s="3" t="str">
        <f>IF(A1044="","",IF(DATE(LEFT(D1044,4),MID(D1044,5,2),RIGHT(D1044,2))=Helper1!$P$1,Helper1!$P$1,""))</f>
        <v/>
      </c>
      <c r="F1044" s="3" t="str">
        <f>IF(A1044="","",'ATP Fills'!G1044)</f>
        <v/>
      </c>
      <c r="G1044" t="str">
        <f>IF(A1044="","",'ATP Fills'!H1044)</f>
        <v/>
      </c>
      <c r="H1044" t="str">
        <f>IF(A1044="","",VLOOKUP(G1044,表3_3[],2,0))</f>
        <v/>
      </c>
      <c r="I1044" t="str">
        <f>IF(A1044="","",VLOOKUP(G1044,表3_3[],3,0))</f>
        <v/>
      </c>
      <c r="J1044" t="str">
        <f>IF(A1044="","",IF('ATP Fills'!I1044="3M","",VLOOKUP(RIGHT('ATP Fills'!I1044,2),Helper1!$O$36:$P$48,2,0)))</f>
        <v/>
      </c>
      <c r="K1044" t="str">
        <f>IF(J1044="","",LEFT('ATP Fills'!I1044,4))</f>
        <v/>
      </c>
      <c r="L1044" t="str">
        <f>IF(A1044="","",IF('ATP Fills'!G1044="LME",'ATP Fills'!I1044,""))</f>
        <v/>
      </c>
      <c r="M1044" t="str">
        <f t="shared" si="16"/>
        <v/>
      </c>
    </row>
    <row r="1045" spans="1:13">
      <c r="A1045" t="str">
        <f>IF('ATP Fills'!A1045="","",IF('ATP Fills'!Q1045="PHILLIPSG",'ATP Fills'!F1045,""))</f>
        <v/>
      </c>
      <c r="B1045" t="str">
        <f>IF(A1045="","",'ATP Fills'!L1045)</f>
        <v/>
      </c>
      <c r="C1045" t="str">
        <f>IF(A1045="","",'ATP Fills'!M1045)</f>
        <v/>
      </c>
      <c r="D1045" t="str">
        <f>IF(A1045="","",'ATP Fills'!B1045)</f>
        <v/>
      </c>
      <c r="E1045" s="3" t="str">
        <f>IF(A1045="","",IF(DATE(LEFT(D1045,4),MID(D1045,5,2),RIGHT(D1045,2))=Helper1!$P$1,Helper1!$P$1,""))</f>
        <v/>
      </c>
      <c r="F1045" s="3" t="str">
        <f>IF(A1045="","",'ATP Fills'!G1045)</f>
        <v/>
      </c>
      <c r="G1045" t="str">
        <f>IF(A1045="","",'ATP Fills'!H1045)</f>
        <v/>
      </c>
      <c r="H1045" t="str">
        <f>IF(A1045="","",VLOOKUP(G1045,表3_3[],2,0))</f>
        <v/>
      </c>
      <c r="I1045" t="str">
        <f>IF(A1045="","",VLOOKUP(G1045,表3_3[],3,0))</f>
        <v/>
      </c>
      <c r="J1045" t="str">
        <f>IF(A1045="","",IF('ATP Fills'!I1045="3M","",VLOOKUP(RIGHT('ATP Fills'!I1045,2),Helper1!$O$36:$P$48,2,0)))</f>
        <v/>
      </c>
      <c r="K1045" t="str">
        <f>IF(J1045="","",LEFT('ATP Fills'!I1045,4))</f>
        <v/>
      </c>
      <c r="L1045" t="str">
        <f>IF(A1045="","",IF('ATP Fills'!G1045="LME",'ATP Fills'!I1045,""))</f>
        <v/>
      </c>
      <c r="M1045" t="str">
        <f t="shared" si="16"/>
        <v/>
      </c>
    </row>
    <row r="1046" spans="1:13">
      <c r="A1046" t="str">
        <f>IF('ATP Fills'!A1046="","",IF('ATP Fills'!Q1046="PHILLIPSG",'ATP Fills'!F1046,""))</f>
        <v/>
      </c>
      <c r="B1046" t="str">
        <f>IF(A1046="","",'ATP Fills'!L1046)</f>
        <v/>
      </c>
      <c r="C1046" t="str">
        <f>IF(A1046="","",'ATP Fills'!M1046)</f>
        <v/>
      </c>
      <c r="D1046" t="str">
        <f>IF(A1046="","",'ATP Fills'!B1046)</f>
        <v/>
      </c>
      <c r="E1046" s="3" t="str">
        <f>IF(A1046="","",IF(DATE(LEFT(D1046,4),MID(D1046,5,2),RIGHT(D1046,2))=Helper1!$P$1,Helper1!$P$1,""))</f>
        <v/>
      </c>
      <c r="F1046" s="3" t="str">
        <f>IF(A1046="","",'ATP Fills'!G1046)</f>
        <v/>
      </c>
      <c r="G1046" t="str">
        <f>IF(A1046="","",'ATP Fills'!H1046)</f>
        <v/>
      </c>
      <c r="H1046" t="str">
        <f>IF(A1046="","",VLOOKUP(G1046,表3_3[],2,0))</f>
        <v/>
      </c>
      <c r="I1046" t="str">
        <f>IF(A1046="","",VLOOKUP(G1046,表3_3[],3,0))</f>
        <v/>
      </c>
      <c r="J1046" t="str">
        <f>IF(A1046="","",IF('ATP Fills'!I1046="3M","",VLOOKUP(RIGHT('ATP Fills'!I1046,2),Helper1!$O$36:$P$48,2,0)))</f>
        <v/>
      </c>
      <c r="K1046" t="str">
        <f>IF(J1046="","",LEFT('ATP Fills'!I1046,4))</f>
        <v/>
      </c>
      <c r="L1046" t="str">
        <f>IF(A1046="","",IF('ATP Fills'!G1046="LME",'ATP Fills'!I1046,""))</f>
        <v/>
      </c>
      <c r="M1046" t="str">
        <f t="shared" si="16"/>
        <v/>
      </c>
    </row>
    <row r="1047" spans="1:13">
      <c r="A1047" t="str">
        <f>IF('ATP Fills'!A1047="","",IF('ATP Fills'!Q1047="PHILLIPSG",'ATP Fills'!F1047,""))</f>
        <v/>
      </c>
      <c r="B1047" t="str">
        <f>IF(A1047="","",'ATP Fills'!L1047)</f>
        <v/>
      </c>
      <c r="C1047" t="str">
        <f>IF(A1047="","",'ATP Fills'!M1047)</f>
        <v/>
      </c>
      <c r="D1047" t="str">
        <f>IF(A1047="","",'ATP Fills'!B1047)</f>
        <v/>
      </c>
      <c r="E1047" s="3" t="str">
        <f>IF(A1047="","",IF(DATE(LEFT(D1047,4),MID(D1047,5,2),RIGHT(D1047,2))=Helper1!$P$1,Helper1!$P$1,""))</f>
        <v/>
      </c>
      <c r="F1047" s="3" t="str">
        <f>IF(A1047="","",'ATP Fills'!G1047)</f>
        <v/>
      </c>
      <c r="G1047" t="str">
        <f>IF(A1047="","",'ATP Fills'!H1047)</f>
        <v/>
      </c>
      <c r="H1047" t="str">
        <f>IF(A1047="","",VLOOKUP(G1047,表3_3[],2,0))</f>
        <v/>
      </c>
      <c r="I1047" t="str">
        <f>IF(A1047="","",VLOOKUP(G1047,表3_3[],3,0))</f>
        <v/>
      </c>
      <c r="J1047" t="str">
        <f>IF(A1047="","",IF('ATP Fills'!I1047="3M","",VLOOKUP(RIGHT('ATP Fills'!I1047,2),Helper1!$O$36:$P$48,2,0)))</f>
        <v/>
      </c>
      <c r="K1047" t="str">
        <f>IF(J1047="","",LEFT('ATP Fills'!I1047,4))</f>
        <v/>
      </c>
      <c r="L1047" t="str">
        <f>IF(A1047="","",IF('ATP Fills'!G1047="LME",'ATP Fills'!I1047,""))</f>
        <v/>
      </c>
      <c r="M1047" t="str">
        <f t="shared" si="16"/>
        <v/>
      </c>
    </row>
    <row r="1048" spans="1:13">
      <c r="A1048" t="str">
        <f>IF('ATP Fills'!A1048="","",IF('ATP Fills'!Q1048="PHILLIPSG",'ATP Fills'!F1048,""))</f>
        <v/>
      </c>
      <c r="B1048" t="str">
        <f>IF(A1048="","",'ATP Fills'!L1048)</f>
        <v/>
      </c>
      <c r="C1048" t="str">
        <f>IF(A1048="","",'ATP Fills'!M1048)</f>
        <v/>
      </c>
      <c r="D1048" t="str">
        <f>IF(A1048="","",'ATP Fills'!B1048)</f>
        <v/>
      </c>
      <c r="E1048" s="3" t="str">
        <f>IF(A1048="","",IF(DATE(LEFT(D1048,4),MID(D1048,5,2),RIGHT(D1048,2))=Helper1!$P$1,Helper1!$P$1,""))</f>
        <v/>
      </c>
      <c r="F1048" s="3" t="str">
        <f>IF(A1048="","",'ATP Fills'!G1048)</f>
        <v/>
      </c>
      <c r="G1048" t="str">
        <f>IF(A1048="","",'ATP Fills'!H1048)</f>
        <v/>
      </c>
      <c r="H1048" t="str">
        <f>IF(A1048="","",VLOOKUP(G1048,表3_3[],2,0))</f>
        <v/>
      </c>
      <c r="I1048" t="str">
        <f>IF(A1048="","",VLOOKUP(G1048,表3_3[],3,0))</f>
        <v/>
      </c>
      <c r="J1048" t="str">
        <f>IF(A1048="","",IF('ATP Fills'!I1048="3M","",VLOOKUP(RIGHT('ATP Fills'!I1048,2),Helper1!$O$36:$P$48,2,0)))</f>
        <v/>
      </c>
      <c r="K1048" t="str">
        <f>IF(J1048="","",LEFT('ATP Fills'!I1048,4))</f>
        <v/>
      </c>
      <c r="L1048" t="str">
        <f>IF(A1048="","",IF('ATP Fills'!G1048="LME",'ATP Fills'!I1048,""))</f>
        <v/>
      </c>
      <c r="M1048" t="str">
        <f t="shared" si="16"/>
        <v/>
      </c>
    </row>
    <row r="1049" spans="1:13">
      <c r="A1049" t="str">
        <f>IF('ATP Fills'!A1049="","",IF('ATP Fills'!Q1049="PHILLIPSG",'ATP Fills'!F1049,""))</f>
        <v/>
      </c>
      <c r="B1049" t="str">
        <f>IF(A1049="","",'ATP Fills'!L1049)</f>
        <v/>
      </c>
      <c r="C1049" t="str">
        <f>IF(A1049="","",'ATP Fills'!M1049)</f>
        <v/>
      </c>
      <c r="D1049" t="str">
        <f>IF(A1049="","",'ATP Fills'!B1049)</f>
        <v/>
      </c>
      <c r="E1049" s="3" t="str">
        <f>IF(A1049="","",IF(DATE(LEFT(D1049,4),MID(D1049,5,2),RIGHT(D1049,2))=Helper1!$P$1,Helper1!$P$1,""))</f>
        <v/>
      </c>
      <c r="F1049" s="3" t="str">
        <f>IF(A1049="","",'ATP Fills'!G1049)</f>
        <v/>
      </c>
      <c r="G1049" t="str">
        <f>IF(A1049="","",'ATP Fills'!H1049)</f>
        <v/>
      </c>
      <c r="H1049" t="str">
        <f>IF(A1049="","",VLOOKUP(G1049,表3_3[],2,0))</f>
        <v/>
      </c>
      <c r="I1049" t="str">
        <f>IF(A1049="","",VLOOKUP(G1049,表3_3[],3,0))</f>
        <v/>
      </c>
      <c r="J1049" t="str">
        <f>IF(A1049="","",IF('ATP Fills'!I1049="3M","",VLOOKUP(RIGHT('ATP Fills'!I1049,2),Helper1!$O$36:$P$48,2,0)))</f>
        <v/>
      </c>
      <c r="K1049" t="str">
        <f>IF(J1049="","",LEFT('ATP Fills'!I1049,4))</f>
        <v/>
      </c>
      <c r="L1049" t="str">
        <f>IF(A1049="","",IF('ATP Fills'!G1049="LME",'ATP Fills'!I1049,""))</f>
        <v/>
      </c>
      <c r="M1049" t="str">
        <f t="shared" si="16"/>
        <v/>
      </c>
    </row>
    <row r="1050" spans="1:13">
      <c r="A1050" t="str">
        <f>IF('ATP Fills'!A1050="","",IF('ATP Fills'!Q1050="PHILLIPSG",'ATP Fills'!F1050,""))</f>
        <v/>
      </c>
      <c r="B1050" t="str">
        <f>IF(A1050="","",'ATP Fills'!L1050)</f>
        <v/>
      </c>
      <c r="C1050" t="str">
        <f>IF(A1050="","",'ATP Fills'!M1050)</f>
        <v/>
      </c>
      <c r="D1050" t="str">
        <f>IF(A1050="","",'ATP Fills'!B1050)</f>
        <v/>
      </c>
      <c r="E1050" s="3" t="str">
        <f>IF(A1050="","",IF(DATE(LEFT(D1050,4),MID(D1050,5,2),RIGHT(D1050,2))=Helper1!$P$1,Helper1!$P$1,""))</f>
        <v/>
      </c>
      <c r="F1050" s="3" t="str">
        <f>IF(A1050="","",'ATP Fills'!G1050)</f>
        <v/>
      </c>
      <c r="G1050" t="str">
        <f>IF(A1050="","",'ATP Fills'!H1050)</f>
        <v/>
      </c>
      <c r="H1050" t="str">
        <f>IF(A1050="","",VLOOKUP(G1050,表3_3[],2,0))</f>
        <v/>
      </c>
      <c r="I1050" t="str">
        <f>IF(A1050="","",VLOOKUP(G1050,表3_3[],3,0))</f>
        <v/>
      </c>
      <c r="J1050" t="str">
        <f>IF(A1050="","",IF('ATP Fills'!I1050="3M","",VLOOKUP(RIGHT('ATP Fills'!I1050,2),Helper1!$O$36:$P$48,2,0)))</f>
        <v/>
      </c>
      <c r="K1050" t="str">
        <f>IF(J1050="","",LEFT('ATP Fills'!I1050,4))</f>
        <v/>
      </c>
      <c r="L1050" t="str">
        <f>IF(A1050="","",IF('ATP Fills'!G1050="LME",'ATP Fills'!I1050,""))</f>
        <v/>
      </c>
      <c r="M1050" t="str">
        <f t="shared" si="16"/>
        <v/>
      </c>
    </row>
    <row r="1051" spans="1:13">
      <c r="A1051" t="str">
        <f>IF('ATP Fills'!A1051="","",IF('ATP Fills'!Q1051="PHILLIPSG",'ATP Fills'!F1051,""))</f>
        <v/>
      </c>
      <c r="B1051" t="str">
        <f>IF(A1051="","",'ATP Fills'!L1051)</f>
        <v/>
      </c>
      <c r="C1051" t="str">
        <f>IF(A1051="","",'ATP Fills'!M1051)</f>
        <v/>
      </c>
      <c r="D1051" t="str">
        <f>IF(A1051="","",'ATP Fills'!B1051)</f>
        <v/>
      </c>
      <c r="E1051" s="3" t="str">
        <f>IF(A1051="","",IF(DATE(LEFT(D1051,4),MID(D1051,5,2),RIGHT(D1051,2))=Helper1!$P$1,Helper1!$P$1,""))</f>
        <v/>
      </c>
      <c r="F1051" s="3" t="str">
        <f>IF(A1051="","",'ATP Fills'!G1051)</f>
        <v/>
      </c>
      <c r="G1051" t="str">
        <f>IF(A1051="","",'ATP Fills'!H1051)</f>
        <v/>
      </c>
      <c r="H1051" t="str">
        <f>IF(A1051="","",VLOOKUP(G1051,表3_3[],2,0))</f>
        <v/>
      </c>
      <c r="I1051" t="str">
        <f>IF(A1051="","",VLOOKUP(G1051,表3_3[],3,0))</f>
        <v/>
      </c>
      <c r="J1051" t="str">
        <f>IF(A1051="","",IF('ATP Fills'!I1051="3M","",VLOOKUP(RIGHT('ATP Fills'!I1051,2),Helper1!$O$36:$P$48,2,0)))</f>
        <v/>
      </c>
      <c r="K1051" t="str">
        <f>IF(J1051="","",LEFT('ATP Fills'!I1051,4))</f>
        <v/>
      </c>
      <c r="L1051" t="str">
        <f>IF(A1051="","",IF('ATP Fills'!G1051="LME",'ATP Fills'!I1051,""))</f>
        <v/>
      </c>
      <c r="M1051" t="str">
        <f t="shared" si="16"/>
        <v/>
      </c>
    </row>
    <row r="1052" spans="1:13">
      <c r="A1052" t="str">
        <f>IF('ATP Fills'!A1052="","",IF('ATP Fills'!Q1052="PHILLIPSG",'ATP Fills'!F1052,""))</f>
        <v/>
      </c>
      <c r="B1052" t="str">
        <f>IF(A1052="","",'ATP Fills'!L1052)</f>
        <v/>
      </c>
      <c r="C1052" t="str">
        <f>IF(A1052="","",'ATP Fills'!M1052)</f>
        <v/>
      </c>
      <c r="D1052" t="str">
        <f>IF(A1052="","",'ATP Fills'!B1052)</f>
        <v/>
      </c>
      <c r="E1052" s="3" t="str">
        <f>IF(A1052="","",IF(DATE(LEFT(D1052,4),MID(D1052,5,2),RIGHT(D1052,2))=Helper1!$P$1,Helper1!$P$1,""))</f>
        <v/>
      </c>
      <c r="F1052" s="3" t="str">
        <f>IF(A1052="","",'ATP Fills'!G1052)</f>
        <v/>
      </c>
      <c r="G1052" t="str">
        <f>IF(A1052="","",'ATP Fills'!H1052)</f>
        <v/>
      </c>
      <c r="H1052" t="str">
        <f>IF(A1052="","",VLOOKUP(G1052,表3_3[],2,0))</f>
        <v/>
      </c>
      <c r="I1052" t="str">
        <f>IF(A1052="","",VLOOKUP(G1052,表3_3[],3,0))</f>
        <v/>
      </c>
      <c r="J1052" t="str">
        <f>IF(A1052="","",IF('ATP Fills'!I1052="3M","",VLOOKUP(RIGHT('ATP Fills'!I1052,2),Helper1!$O$36:$P$48,2,0)))</f>
        <v/>
      </c>
      <c r="K1052" t="str">
        <f>IF(J1052="","",LEFT('ATP Fills'!I1052,4))</f>
        <v/>
      </c>
      <c r="L1052" t="str">
        <f>IF(A1052="","",IF('ATP Fills'!G1052="LME",'ATP Fills'!I1052,""))</f>
        <v/>
      </c>
      <c r="M1052" t="str">
        <f t="shared" si="16"/>
        <v/>
      </c>
    </row>
    <row r="1053" spans="1:13">
      <c r="A1053" t="str">
        <f>IF('ATP Fills'!A1053="","",IF('ATP Fills'!Q1053="PHILLIPSG",'ATP Fills'!F1053,""))</f>
        <v/>
      </c>
      <c r="B1053" t="str">
        <f>IF(A1053="","",'ATP Fills'!L1053)</f>
        <v/>
      </c>
      <c r="C1053" t="str">
        <f>IF(A1053="","",'ATP Fills'!M1053)</f>
        <v/>
      </c>
      <c r="D1053" t="str">
        <f>IF(A1053="","",'ATP Fills'!B1053)</f>
        <v/>
      </c>
      <c r="E1053" s="3" t="str">
        <f>IF(A1053="","",IF(DATE(LEFT(D1053,4),MID(D1053,5,2),RIGHT(D1053,2))=Helper1!$P$1,Helper1!$P$1,""))</f>
        <v/>
      </c>
      <c r="F1053" s="3" t="str">
        <f>IF(A1053="","",'ATP Fills'!G1053)</f>
        <v/>
      </c>
      <c r="G1053" t="str">
        <f>IF(A1053="","",'ATP Fills'!H1053)</f>
        <v/>
      </c>
      <c r="H1053" t="str">
        <f>IF(A1053="","",VLOOKUP(G1053,表3_3[],2,0))</f>
        <v/>
      </c>
      <c r="I1053" t="str">
        <f>IF(A1053="","",VLOOKUP(G1053,表3_3[],3,0))</f>
        <v/>
      </c>
      <c r="J1053" t="str">
        <f>IF(A1053="","",IF('ATP Fills'!I1053="3M","",VLOOKUP(RIGHT('ATP Fills'!I1053,2),Helper1!$O$36:$P$48,2,0)))</f>
        <v/>
      </c>
      <c r="K1053" t="str">
        <f>IF(J1053="","",LEFT('ATP Fills'!I1053,4))</f>
        <v/>
      </c>
      <c r="L1053" t="str">
        <f>IF(A1053="","",IF('ATP Fills'!G1053="LME",'ATP Fills'!I1053,""))</f>
        <v/>
      </c>
      <c r="M1053" t="str">
        <f t="shared" si="16"/>
        <v/>
      </c>
    </row>
    <row r="1054" spans="1:13">
      <c r="A1054" t="str">
        <f>IF('ATP Fills'!A1054="","",IF('ATP Fills'!Q1054="PHILLIPSG",'ATP Fills'!F1054,""))</f>
        <v/>
      </c>
      <c r="B1054" t="str">
        <f>IF(A1054="","",'ATP Fills'!L1054)</f>
        <v/>
      </c>
      <c r="C1054" t="str">
        <f>IF(A1054="","",'ATP Fills'!M1054)</f>
        <v/>
      </c>
      <c r="D1054" t="str">
        <f>IF(A1054="","",'ATP Fills'!B1054)</f>
        <v/>
      </c>
      <c r="E1054" s="3" t="str">
        <f>IF(A1054="","",IF(DATE(LEFT(D1054,4),MID(D1054,5,2),RIGHT(D1054,2))=Helper1!$P$1,Helper1!$P$1,""))</f>
        <v/>
      </c>
      <c r="F1054" s="3" t="str">
        <f>IF(A1054="","",'ATP Fills'!G1054)</f>
        <v/>
      </c>
      <c r="G1054" t="str">
        <f>IF(A1054="","",'ATP Fills'!H1054)</f>
        <v/>
      </c>
      <c r="H1054" t="str">
        <f>IF(A1054="","",VLOOKUP(G1054,表3_3[],2,0))</f>
        <v/>
      </c>
      <c r="I1054" t="str">
        <f>IF(A1054="","",VLOOKUP(G1054,表3_3[],3,0))</f>
        <v/>
      </c>
      <c r="J1054" t="str">
        <f>IF(A1054="","",IF('ATP Fills'!I1054="3M","",VLOOKUP(RIGHT('ATP Fills'!I1054,2),Helper1!$O$36:$P$48,2,0)))</f>
        <v/>
      </c>
      <c r="K1054" t="str">
        <f>IF(J1054="","",LEFT('ATP Fills'!I1054,4))</f>
        <v/>
      </c>
      <c r="L1054" t="str">
        <f>IF(A1054="","",IF('ATP Fills'!G1054="LME",'ATP Fills'!I1054,""))</f>
        <v/>
      </c>
      <c r="M1054" t="str">
        <f t="shared" si="16"/>
        <v/>
      </c>
    </row>
    <row r="1055" spans="1:13">
      <c r="A1055" t="str">
        <f>IF('ATP Fills'!A1055="","",IF('ATP Fills'!Q1055="PHILLIPSG",'ATP Fills'!F1055,""))</f>
        <v/>
      </c>
      <c r="B1055" t="str">
        <f>IF(A1055="","",'ATP Fills'!L1055)</f>
        <v/>
      </c>
      <c r="C1055" t="str">
        <f>IF(A1055="","",'ATP Fills'!M1055)</f>
        <v/>
      </c>
      <c r="D1055" t="str">
        <f>IF(A1055="","",'ATP Fills'!B1055)</f>
        <v/>
      </c>
      <c r="E1055" s="3" t="str">
        <f>IF(A1055="","",IF(DATE(LEFT(D1055,4),MID(D1055,5,2),RIGHT(D1055,2))=Helper1!$P$1,Helper1!$P$1,""))</f>
        <v/>
      </c>
      <c r="F1055" s="3" t="str">
        <f>IF(A1055="","",'ATP Fills'!G1055)</f>
        <v/>
      </c>
      <c r="G1055" t="str">
        <f>IF(A1055="","",'ATP Fills'!H1055)</f>
        <v/>
      </c>
      <c r="H1055" t="str">
        <f>IF(A1055="","",VLOOKUP(G1055,表3_3[],2,0))</f>
        <v/>
      </c>
      <c r="I1055" t="str">
        <f>IF(A1055="","",VLOOKUP(G1055,表3_3[],3,0))</f>
        <v/>
      </c>
      <c r="J1055" t="str">
        <f>IF(A1055="","",IF('ATP Fills'!I1055="3M","",VLOOKUP(RIGHT('ATP Fills'!I1055,2),Helper1!$O$36:$P$48,2,0)))</f>
        <v/>
      </c>
      <c r="K1055" t="str">
        <f>IF(J1055="","",LEFT('ATP Fills'!I1055,4))</f>
        <v/>
      </c>
      <c r="L1055" t="str">
        <f>IF(A1055="","",IF('ATP Fills'!G1055="LME",'ATP Fills'!I1055,""))</f>
        <v/>
      </c>
      <c r="M1055" t="str">
        <f t="shared" si="16"/>
        <v/>
      </c>
    </row>
    <row r="1056" spans="1:13">
      <c r="A1056" t="str">
        <f>IF('ATP Fills'!A1056="","",IF('ATP Fills'!Q1056="PHILLIPSG",'ATP Fills'!F1056,""))</f>
        <v/>
      </c>
      <c r="B1056" t="str">
        <f>IF(A1056="","",'ATP Fills'!L1056)</f>
        <v/>
      </c>
      <c r="C1056" t="str">
        <f>IF(A1056="","",'ATP Fills'!M1056)</f>
        <v/>
      </c>
      <c r="D1056" t="str">
        <f>IF(A1056="","",'ATP Fills'!B1056)</f>
        <v/>
      </c>
      <c r="E1056" s="3" t="str">
        <f>IF(A1056="","",IF(DATE(LEFT(D1056,4),MID(D1056,5,2),RIGHT(D1056,2))=Helper1!$P$1,Helper1!$P$1,""))</f>
        <v/>
      </c>
      <c r="F1056" s="3" t="str">
        <f>IF(A1056="","",'ATP Fills'!G1056)</f>
        <v/>
      </c>
      <c r="G1056" t="str">
        <f>IF(A1056="","",'ATP Fills'!H1056)</f>
        <v/>
      </c>
      <c r="H1056" t="str">
        <f>IF(A1056="","",VLOOKUP(G1056,表3_3[],2,0))</f>
        <v/>
      </c>
      <c r="I1056" t="str">
        <f>IF(A1056="","",VLOOKUP(G1056,表3_3[],3,0))</f>
        <v/>
      </c>
      <c r="J1056" t="str">
        <f>IF(A1056="","",IF('ATP Fills'!I1056="3M","",VLOOKUP(RIGHT('ATP Fills'!I1056,2),Helper1!$O$36:$P$48,2,0)))</f>
        <v/>
      </c>
      <c r="K1056" t="str">
        <f>IF(J1056="","",LEFT('ATP Fills'!I1056,4))</f>
        <v/>
      </c>
      <c r="L1056" t="str">
        <f>IF(A1056="","",IF('ATP Fills'!G1056="LME",'ATP Fills'!I1056,""))</f>
        <v/>
      </c>
      <c r="M1056" t="str">
        <f t="shared" si="16"/>
        <v/>
      </c>
    </row>
    <row r="1057" spans="1:13">
      <c r="A1057" t="str">
        <f>IF('ATP Fills'!A1057="","",IF('ATP Fills'!Q1057="PHILLIPSG",'ATP Fills'!F1057,""))</f>
        <v/>
      </c>
      <c r="B1057" t="str">
        <f>IF(A1057="","",'ATP Fills'!L1057)</f>
        <v/>
      </c>
      <c r="C1057" t="str">
        <f>IF(A1057="","",'ATP Fills'!M1057)</f>
        <v/>
      </c>
      <c r="D1057" t="str">
        <f>IF(A1057="","",'ATP Fills'!B1057)</f>
        <v/>
      </c>
      <c r="E1057" s="3" t="str">
        <f>IF(A1057="","",IF(DATE(LEFT(D1057,4),MID(D1057,5,2),RIGHT(D1057,2))=Helper1!$P$1,Helper1!$P$1,""))</f>
        <v/>
      </c>
      <c r="F1057" s="3" t="str">
        <f>IF(A1057="","",'ATP Fills'!G1057)</f>
        <v/>
      </c>
      <c r="G1057" t="str">
        <f>IF(A1057="","",'ATP Fills'!H1057)</f>
        <v/>
      </c>
      <c r="H1057" t="str">
        <f>IF(A1057="","",VLOOKUP(G1057,表3_3[],2,0))</f>
        <v/>
      </c>
      <c r="I1057" t="str">
        <f>IF(A1057="","",VLOOKUP(G1057,表3_3[],3,0))</f>
        <v/>
      </c>
      <c r="J1057" t="str">
        <f>IF(A1057="","",IF('ATP Fills'!I1057="3M","",VLOOKUP(RIGHT('ATP Fills'!I1057,2),Helper1!$O$36:$P$48,2,0)))</f>
        <v/>
      </c>
      <c r="K1057" t="str">
        <f>IF(J1057="","",LEFT('ATP Fills'!I1057,4))</f>
        <v/>
      </c>
      <c r="L1057" t="str">
        <f>IF(A1057="","",IF('ATP Fills'!G1057="LME",'ATP Fills'!I1057,""))</f>
        <v/>
      </c>
      <c r="M1057" t="str">
        <f t="shared" si="16"/>
        <v/>
      </c>
    </row>
    <row r="1058" spans="1:13">
      <c r="A1058" t="str">
        <f>IF('ATP Fills'!A1058="","",IF('ATP Fills'!Q1058="PHILLIPSG",'ATP Fills'!F1058,""))</f>
        <v/>
      </c>
      <c r="B1058" t="str">
        <f>IF(A1058="","",'ATP Fills'!L1058)</f>
        <v/>
      </c>
      <c r="C1058" t="str">
        <f>IF(A1058="","",'ATP Fills'!M1058)</f>
        <v/>
      </c>
      <c r="D1058" t="str">
        <f>IF(A1058="","",'ATP Fills'!B1058)</f>
        <v/>
      </c>
      <c r="E1058" s="3" t="str">
        <f>IF(A1058="","",IF(DATE(LEFT(D1058,4),MID(D1058,5,2),RIGHT(D1058,2))=Helper1!$P$1,Helper1!$P$1,""))</f>
        <v/>
      </c>
      <c r="F1058" s="3" t="str">
        <f>IF(A1058="","",'ATP Fills'!G1058)</f>
        <v/>
      </c>
      <c r="G1058" t="str">
        <f>IF(A1058="","",'ATP Fills'!H1058)</f>
        <v/>
      </c>
      <c r="H1058" t="str">
        <f>IF(A1058="","",VLOOKUP(G1058,表3_3[],2,0))</f>
        <v/>
      </c>
      <c r="I1058" t="str">
        <f>IF(A1058="","",VLOOKUP(G1058,表3_3[],3,0))</f>
        <v/>
      </c>
      <c r="J1058" t="str">
        <f>IF(A1058="","",IF('ATP Fills'!I1058="3M","",VLOOKUP(RIGHT('ATP Fills'!I1058,2),Helper1!$O$36:$P$48,2,0)))</f>
        <v/>
      </c>
      <c r="K1058" t="str">
        <f>IF(J1058="","",LEFT('ATP Fills'!I1058,4))</f>
        <v/>
      </c>
      <c r="L1058" t="str">
        <f>IF(A1058="","",IF('ATP Fills'!G1058="LME",'ATP Fills'!I1058,""))</f>
        <v/>
      </c>
      <c r="M1058" t="str">
        <f t="shared" si="16"/>
        <v/>
      </c>
    </row>
    <row r="1059" spans="1:13">
      <c r="A1059" t="str">
        <f>IF('ATP Fills'!A1059="","",IF('ATP Fills'!Q1059="PHILLIPSG",'ATP Fills'!F1059,""))</f>
        <v/>
      </c>
      <c r="B1059" t="str">
        <f>IF(A1059="","",'ATP Fills'!L1059)</f>
        <v/>
      </c>
      <c r="C1059" t="str">
        <f>IF(A1059="","",'ATP Fills'!M1059)</f>
        <v/>
      </c>
      <c r="D1059" t="str">
        <f>IF(A1059="","",'ATP Fills'!B1059)</f>
        <v/>
      </c>
      <c r="E1059" s="3" t="str">
        <f>IF(A1059="","",IF(DATE(LEFT(D1059,4),MID(D1059,5,2),RIGHT(D1059,2))=Helper1!$P$1,Helper1!$P$1,""))</f>
        <v/>
      </c>
      <c r="F1059" s="3" t="str">
        <f>IF(A1059="","",'ATP Fills'!G1059)</f>
        <v/>
      </c>
      <c r="G1059" t="str">
        <f>IF(A1059="","",'ATP Fills'!H1059)</f>
        <v/>
      </c>
      <c r="H1059" t="str">
        <f>IF(A1059="","",VLOOKUP(G1059,表3_3[],2,0))</f>
        <v/>
      </c>
      <c r="I1059" t="str">
        <f>IF(A1059="","",VLOOKUP(G1059,表3_3[],3,0))</f>
        <v/>
      </c>
      <c r="J1059" t="str">
        <f>IF(A1059="","",IF('ATP Fills'!I1059="3M","",VLOOKUP(RIGHT('ATP Fills'!I1059,2),Helper1!$O$36:$P$48,2,0)))</f>
        <v/>
      </c>
      <c r="K1059" t="str">
        <f>IF(J1059="","",LEFT('ATP Fills'!I1059,4))</f>
        <v/>
      </c>
      <c r="L1059" t="str">
        <f>IF(A1059="","",IF('ATP Fills'!G1059="LME",'ATP Fills'!I1059,""))</f>
        <v/>
      </c>
      <c r="M1059" t="str">
        <f t="shared" si="16"/>
        <v/>
      </c>
    </row>
    <row r="1060" spans="1:13">
      <c r="A1060" t="str">
        <f>IF('ATP Fills'!A1060="","",IF('ATP Fills'!Q1060="PHILLIPSG",'ATP Fills'!F1060,""))</f>
        <v/>
      </c>
      <c r="B1060" t="str">
        <f>IF(A1060="","",'ATP Fills'!L1060)</f>
        <v/>
      </c>
      <c r="C1060" t="str">
        <f>IF(A1060="","",'ATP Fills'!M1060)</f>
        <v/>
      </c>
      <c r="D1060" t="str">
        <f>IF(A1060="","",'ATP Fills'!B1060)</f>
        <v/>
      </c>
      <c r="E1060" s="3" t="str">
        <f>IF(A1060="","",IF(DATE(LEFT(D1060,4),MID(D1060,5,2),RIGHT(D1060,2))=Helper1!$P$1,Helper1!$P$1,""))</f>
        <v/>
      </c>
      <c r="F1060" s="3" t="str">
        <f>IF(A1060="","",'ATP Fills'!G1060)</f>
        <v/>
      </c>
      <c r="G1060" t="str">
        <f>IF(A1060="","",'ATP Fills'!H1060)</f>
        <v/>
      </c>
      <c r="H1060" t="str">
        <f>IF(A1060="","",VLOOKUP(G1060,表3_3[],2,0))</f>
        <v/>
      </c>
      <c r="I1060" t="str">
        <f>IF(A1060="","",VLOOKUP(G1060,表3_3[],3,0))</f>
        <v/>
      </c>
      <c r="J1060" t="str">
        <f>IF(A1060="","",IF('ATP Fills'!I1060="3M","",VLOOKUP(RIGHT('ATP Fills'!I1060,2),Helper1!$O$36:$P$48,2,0)))</f>
        <v/>
      </c>
      <c r="K1060" t="str">
        <f>IF(J1060="","",LEFT('ATP Fills'!I1060,4))</f>
        <v/>
      </c>
      <c r="L1060" t="str">
        <f>IF(A1060="","",IF('ATP Fills'!G1060="LME",'ATP Fills'!I1060,""))</f>
        <v/>
      </c>
      <c r="M1060" t="str">
        <f t="shared" si="16"/>
        <v/>
      </c>
    </row>
    <row r="1061" spans="1:13">
      <c r="A1061" t="str">
        <f>IF('ATP Fills'!A1061="","",IF('ATP Fills'!Q1061="PHILLIPSG",'ATP Fills'!F1061,""))</f>
        <v/>
      </c>
      <c r="B1061" t="str">
        <f>IF(A1061="","",'ATP Fills'!L1061)</f>
        <v/>
      </c>
      <c r="C1061" t="str">
        <f>IF(A1061="","",'ATP Fills'!M1061)</f>
        <v/>
      </c>
      <c r="D1061" t="str">
        <f>IF(A1061="","",'ATP Fills'!B1061)</f>
        <v/>
      </c>
      <c r="E1061" s="3" t="str">
        <f>IF(A1061="","",IF(DATE(LEFT(D1061,4),MID(D1061,5,2),RIGHT(D1061,2))=Helper1!$P$1,Helper1!$P$1,""))</f>
        <v/>
      </c>
      <c r="F1061" s="3" t="str">
        <f>IF(A1061="","",'ATP Fills'!G1061)</f>
        <v/>
      </c>
      <c r="G1061" t="str">
        <f>IF(A1061="","",'ATP Fills'!H1061)</f>
        <v/>
      </c>
      <c r="H1061" t="str">
        <f>IF(A1061="","",VLOOKUP(G1061,表3_3[],2,0))</f>
        <v/>
      </c>
      <c r="I1061" t="str">
        <f>IF(A1061="","",VLOOKUP(G1061,表3_3[],3,0))</f>
        <v/>
      </c>
      <c r="J1061" t="str">
        <f>IF(A1061="","",IF('ATP Fills'!I1061="3M","",VLOOKUP(RIGHT('ATP Fills'!I1061,2),Helper1!$O$36:$P$48,2,0)))</f>
        <v/>
      </c>
      <c r="K1061" t="str">
        <f>IF(J1061="","",LEFT('ATP Fills'!I1061,4))</f>
        <v/>
      </c>
      <c r="L1061" t="str">
        <f>IF(A1061="","",IF('ATP Fills'!G1061="LME",'ATP Fills'!I1061,""))</f>
        <v/>
      </c>
      <c r="M1061" t="str">
        <f t="shared" si="16"/>
        <v/>
      </c>
    </row>
    <row r="1062" spans="1:13">
      <c r="A1062" t="str">
        <f>IF('ATP Fills'!A1062="","",IF('ATP Fills'!Q1062="PHILLIPSG",'ATP Fills'!F1062,""))</f>
        <v/>
      </c>
      <c r="B1062" t="str">
        <f>IF(A1062="","",'ATP Fills'!L1062)</f>
        <v/>
      </c>
      <c r="C1062" t="str">
        <f>IF(A1062="","",'ATP Fills'!M1062)</f>
        <v/>
      </c>
      <c r="D1062" t="str">
        <f>IF(A1062="","",'ATP Fills'!B1062)</f>
        <v/>
      </c>
      <c r="E1062" s="3" t="str">
        <f>IF(A1062="","",IF(DATE(LEFT(D1062,4),MID(D1062,5,2),RIGHT(D1062,2))=Helper1!$P$1,Helper1!$P$1,""))</f>
        <v/>
      </c>
      <c r="F1062" s="3" t="str">
        <f>IF(A1062="","",'ATP Fills'!G1062)</f>
        <v/>
      </c>
      <c r="G1062" t="str">
        <f>IF(A1062="","",'ATP Fills'!H1062)</f>
        <v/>
      </c>
      <c r="H1062" t="str">
        <f>IF(A1062="","",VLOOKUP(G1062,表3_3[],2,0))</f>
        <v/>
      </c>
      <c r="I1062" t="str">
        <f>IF(A1062="","",VLOOKUP(G1062,表3_3[],3,0))</f>
        <v/>
      </c>
      <c r="J1062" t="str">
        <f>IF(A1062="","",IF('ATP Fills'!I1062="3M","",VLOOKUP(RIGHT('ATP Fills'!I1062,2),Helper1!$O$36:$P$48,2,0)))</f>
        <v/>
      </c>
      <c r="K1062" t="str">
        <f>IF(J1062="","",LEFT('ATP Fills'!I1062,4))</f>
        <v/>
      </c>
      <c r="L1062" t="str">
        <f>IF(A1062="","",IF('ATP Fills'!G1062="LME",'ATP Fills'!I1062,""))</f>
        <v/>
      </c>
      <c r="M1062" t="str">
        <f t="shared" si="16"/>
        <v/>
      </c>
    </row>
    <row r="1063" spans="1:13">
      <c r="A1063" t="str">
        <f>IF('ATP Fills'!A1063="","",IF('ATP Fills'!Q1063="PHILLIPSG",'ATP Fills'!F1063,""))</f>
        <v/>
      </c>
      <c r="B1063" t="str">
        <f>IF(A1063="","",'ATP Fills'!L1063)</f>
        <v/>
      </c>
      <c r="C1063" t="str">
        <f>IF(A1063="","",'ATP Fills'!M1063)</f>
        <v/>
      </c>
      <c r="D1063" t="str">
        <f>IF(A1063="","",'ATP Fills'!B1063)</f>
        <v/>
      </c>
      <c r="E1063" s="3" t="str">
        <f>IF(A1063="","",IF(DATE(LEFT(D1063,4),MID(D1063,5,2),RIGHT(D1063,2))=Helper1!$P$1,Helper1!$P$1,""))</f>
        <v/>
      </c>
      <c r="F1063" s="3" t="str">
        <f>IF(A1063="","",'ATP Fills'!G1063)</f>
        <v/>
      </c>
      <c r="G1063" t="str">
        <f>IF(A1063="","",'ATP Fills'!H1063)</f>
        <v/>
      </c>
      <c r="H1063" t="str">
        <f>IF(A1063="","",VLOOKUP(G1063,表3_3[],2,0))</f>
        <v/>
      </c>
      <c r="I1063" t="str">
        <f>IF(A1063="","",VLOOKUP(G1063,表3_3[],3,0))</f>
        <v/>
      </c>
      <c r="J1063" t="str">
        <f>IF(A1063="","",IF('ATP Fills'!I1063="3M","",VLOOKUP(RIGHT('ATP Fills'!I1063,2),Helper1!$O$36:$P$48,2,0)))</f>
        <v/>
      </c>
      <c r="K1063" t="str">
        <f>IF(J1063="","",LEFT('ATP Fills'!I1063,4))</f>
        <v/>
      </c>
      <c r="L1063" t="str">
        <f>IF(A1063="","",IF('ATP Fills'!G1063="LME",'ATP Fills'!I1063,""))</f>
        <v/>
      </c>
      <c r="M1063" t="str">
        <f t="shared" si="16"/>
        <v/>
      </c>
    </row>
    <row r="1064" spans="1:13">
      <c r="A1064" t="str">
        <f>IF('ATP Fills'!A1064="","",IF('ATP Fills'!Q1064="PHILLIPSG",'ATP Fills'!F1064,""))</f>
        <v/>
      </c>
      <c r="B1064" t="str">
        <f>IF(A1064="","",'ATP Fills'!L1064)</f>
        <v/>
      </c>
      <c r="C1064" t="str">
        <f>IF(A1064="","",'ATP Fills'!M1064)</f>
        <v/>
      </c>
      <c r="D1064" t="str">
        <f>IF(A1064="","",'ATP Fills'!B1064)</f>
        <v/>
      </c>
      <c r="E1064" s="3" t="str">
        <f>IF(A1064="","",IF(DATE(LEFT(D1064,4),MID(D1064,5,2),RIGHT(D1064,2))=Helper1!$P$1,Helper1!$P$1,""))</f>
        <v/>
      </c>
      <c r="F1064" s="3" t="str">
        <f>IF(A1064="","",'ATP Fills'!G1064)</f>
        <v/>
      </c>
      <c r="G1064" t="str">
        <f>IF(A1064="","",'ATP Fills'!H1064)</f>
        <v/>
      </c>
      <c r="H1064" t="str">
        <f>IF(A1064="","",VLOOKUP(G1064,表3_3[],2,0))</f>
        <v/>
      </c>
      <c r="I1064" t="str">
        <f>IF(A1064="","",VLOOKUP(G1064,表3_3[],3,0))</f>
        <v/>
      </c>
      <c r="J1064" t="str">
        <f>IF(A1064="","",IF('ATP Fills'!I1064="3M","",VLOOKUP(RIGHT('ATP Fills'!I1064,2),Helper1!$O$36:$P$48,2,0)))</f>
        <v/>
      </c>
      <c r="K1064" t="str">
        <f>IF(J1064="","",LEFT('ATP Fills'!I1064,4))</f>
        <v/>
      </c>
      <c r="L1064" t="str">
        <f>IF(A1064="","",IF('ATP Fills'!G1064="LME",'ATP Fills'!I1064,""))</f>
        <v/>
      </c>
      <c r="M1064" t="str">
        <f t="shared" si="16"/>
        <v/>
      </c>
    </row>
    <row r="1065" spans="1:13">
      <c r="A1065" t="str">
        <f>IF('ATP Fills'!A1065="","",IF('ATP Fills'!Q1065="PHILLIPSG",'ATP Fills'!F1065,""))</f>
        <v/>
      </c>
      <c r="B1065" t="str">
        <f>IF(A1065="","",'ATP Fills'!L1065)</f>
        <v/>
      </c>
      <c r="C1065" t="str">
        <f>IF(A1065="","",'ATP Fills'!M1065)</f>
        <v/>
      </c>
      <c r="D1065" t="str">
        <f>IF(A1065="","",'ATP Fills'!B1065)</f>
        <v/>
      </c>
      <c r="E1065" s="3" t="str">
        <f>IF(A1065="","",IF(DATE(LEFT(D1065,4),MID(D1065,5,2),RIGHT(D1065,2))=Helper1!$P$1,Helper1!$P$1,""))</f>
        <v/>
      </c>
      <c r="F1065" s="3" t="str">
        <f>IF(A1065="","",'ATP Fills'!G1065)</f>
        <v/>
      </c>
      <c r="G1065" t="str">
        <f>IF(A1065="","",'ATP Fills'!H1065)</f>
        <v/>
      </c>
      <c r="H1065" t="str">
        <f>IF(A1065="","",VLOOKUP(G1065,表3_3[],2,0))</f>
        <v/>
      </c>
      <c r="I1065" t="str">
        <f>IF(A1065="","",VLOOKUP(G1065,表3_3[],3,0))</f>
        <v/>
      </c>
      <c r="J1065" t="str">
        <f>IF(A1065="","",IF('ATP Fills'!I1065="3M","",VLOOKUP(RIGHT('ATP Fills'!I1065,2),Helper1!$O$36:$P$48,2,0)))</f>
        <v/>
      </c>
      <c r="K1065" t="str">
        <f>IF(J1065="","",LEFT('ATP Fills'!I1065,4))</f>
        <v/>
      </c>
      <c r="L1065" t="str">
        <f>IF(A1065="","",IF('ATP Fills'!G1065="LME",'ATP Fills'!I1065,""))</f>
        <v/>
      </c>
      <c r="M1065" t="str">
        <f t="shared" si="16"/>
        <v/>
      </c>
    </row>
    <row r="1066" spans="1:13">
      <c r="A1066" t="str">
        <f>IF('ATP Fills'!A1066="","",IF('ATP Fills'!Q1066="PHILLIPSG",'ATP Fills'!F1066,""))</f>
        <v/>
      </c>
      <c r="B1066" t="str">
        <f>IF(A1066="","",'ATP Fills'!L1066)</f>
        <v/>
      </c>
      <c r="C1066" t="str">
        <f>IF(A1066="","",'ATP Fills'!M1066)</f>
        <v/>
      </c>
      <c r="D1066" t="str">
        <f>IF(A1066="","",'ATP Fills'!B1066)</f>
        <v/>
      </c>
      <c r="E1066" s="3" t="str">
        <f>IF(A1066="","",IF(DATE(LEFT(D1066,4),MID(D1066,5,2),RIGHT(D1066,2))=Helper1!$P$1,Helper1!$P$1,""))</f>
        <v/>
      </c>
      <c r="F1066" s="3" t="str">
        <f>IF(A1066="","",'ATP Fills'!G1066)</f>
        <v/>
      </c>
      <c r="G1066" t="str">
        <f>IF(A1066="","",'ATP Fills'!H1066)</f>
        <v/>
      </c>
      <c r="H1066" t="str">
        <f>IF(A1066="","",VLOOKUP(G1066,表3_3[],2,0))</f>
        <v/>
      </c>
      <c r="I1066" t="str">
        <f>IF(A1066="","",VLOOKUP(G1066,表3_3[],3,0))</f>
        <v/>
      </c>
      <c r="J1066" t="str">
        <f>IF(A1066="","",IF('ATP Fills'!I1066="3M","",VLOOKUP(RIGHT('ATP Fills'!I1066,2),Helper1!$O$36:$P$48,2,0)))</f>
        <v/>
      </c>
      <c r="K1066" t="str">
        <f>IF(J1066="","",LEFT('ATP Fills'!I1066,4))</f>
        <v/>
      </c>
      <c r="L1066" t="str">
        <f>IF(A1066="","",IF('ATP Fills'!G1066="LME",'ATP Fills'!I1066,""))</f>
        <v/>
      </c>
      <c r="M1066" t="str">
        <f t="shared" si="16"/>
        <v/>
      </c>
    </row>
    <row r="1067" spans="1:13">
      <c r="A1067" t="str">
        <f>IF('ATP Fills'!A1067="","",IF('ATP Fills'!Q1067="PHILLIPSG",'ATP Fills'!F1067,""))</f>
        <v/>
      </c>
      <c r="B1067" t="str">
        <f>IF(A1067="","",'ATP Fills'!L1067)</f>
        <v/>
      </c>
      <c r="C1067" t="str">
        <f>IF(A1067="","",'ATP Fills'!M1067)</f>
        <v/>
      </c>
      <c r="D1067" t="str">
        <f>IF(A1067="","",'ATP Fills'!B1067)</f>
        <v/>
      </c>
      <c r="E1067" s="3" t="str">
        <f>IF(A1067="","",IF(DATE(LEFT(D1067,4),MID(D1067,5,2),RIGHT(D1067,2))=Helper1!$P$1,Helper1!$P$1,""))</f>
        <v/>
      </c>
      <c r="F1067" s="3" t="str">
        <f>IF(A1067="","",'ATP Fills'!G1067)</f>
        <v/>
      </c>
      <c r="G1067" t="str">
        <f>IF(A1067="","",'ATP Fills'!H1067)</f>
        <v/>
      </c>
      <c r="H1067" t="str">
        <f>IF(A1067="","",VLOOKUP(G1067,表3_3[],2,0))</f>
        <v/>
      </c>
      <c r="I1067" t="str">
        <f>IF(A1067="","",VLOOKUP(G1067,表3_3[],3,0))</f>
        <v/>
      </c>
      <c r="J1067" t="str">
        <f>IF(A1067="","",IF('ATP Fills'!I1067="3M","",VLOOKUP(RIGHT('ATP Fills'!I1067,2),Helper1!$O$36:$P$48,2,0)))</f>
        <v/>
      </c>
      <c r="K1067" t="str">
        <f>IF(J1067="","",LEFT('ATP Fills'!I1067,4))</f>
        <v/>
      </c>
      <c r="L1067" t="str">
        <f>IF(A1067="","",IF('ATP Fills'!G1067="LME",'ATP Fills'!I1067,""))</f>
        <v/>
      </c>
      <c r="M1067" t="str">
        <f t="shared" si="16"/>
        <v/>
      </c>
    </row>
    <row r="1068" spans="1:13">
      <c r="A1068" t="str">
        <f>IF('ATP Fills'!A1068="","",IF('ATP Fills'!Q1068="PHILLIPSG",'ATP Fills'!F1068,""))</f>
        <v/>
      </c>
      <c r="B1068" t="str">
        <f>IF(A1068="","",'ATP Fills'!L1068)</f>
        <v/>
      </c>
      <c r="C1068" t="str">
        <f>IF(A1068="","",'ATP Fills'!M1068)</f>
        <v/>
      </c>
      <c r="D1068" t="str">
        <f>IF(A1068="","",'ATP Fills'!B1068)</f>
        <v/>
      </c>
      <c r="E1068" s="3" t="str">
        <f>IF(A1068="","",IF(DATE(LEFT(D1068,4),MID(D1068,5,2),RIGHT(D1068,2))=Helper1!$P$1,Helper1!$P$1,""))</f>
        <v/>
      </c>
      <c r="F1068" s="3" t="str">
        <f>IF(A1068="","",'ATP Fills'!G1068)</f>
        <v/>
      </c>
      <c r="G1068" t="str">
        <f>IF(A1068="","",'ATP Fills'!H1068)</f>
        <v/>
      </c>
      <c r="H1068" t="str">
        <f>IF(A1068="","",VLOOKUP(G1068,表3_3[],2,0))</f>
        <v/>
      </c>
      <c r="I1068" t="str">
        <f>IF(A1068="","",VLOOKUP(G1068,表3_3[],3,0))</f>
        <v/>
      </c>
      <c r="J1068" t="str">
        <f>IF(A1068="","",IF('ATP Fills'!I1068="3M","",VLOOKUP(RIGHT('ATP Fills'!I1068,2),Helper1!$O$36:$P$48,2,0)))</f>
        <v/>
      </c>
      <c r="K1068" t="str">
        <f>IF(J1068="","",LEFT('ATP Fills'!I1068,4))</f>
        <v/>
      </c>
      <c r="L1068" t="str">
        <f>IF(A1068="","",IF('ATP Fills'!G1068="LME",'ATP Fills'!I1068,""))</f>
        <v/>
      </c>
      <c r="M1068" t="str">
        <f t="shared" si="16"/>
        <v/>
      </c>
    </row>
    <row r="1069" spans="1:13">
      <c r="A1069" t="str">
        <f>IF('ATP Fills'!A1069="","",IF('ATP Fills'!Q1069="PHILLIPSG",'ATP Fills'!F1069,""))</f>
        <v/>
      </c>
      <c r="B1069" t="str">
        <f>IF(A1069="","",'ATP Fills'!L1069)</f>
        <v/>
      </c>
      <c r="C1069" t="str">
        <f>IF(A1069="","",'ATP Fills'!M1069)</f>
        <v/>
      </c>
      <c r="D1069" t="str">
        <f>IF(A1069="","",'ATP Fills'!B1069)</f>
        <v/>
      </c>
      <c r="E1069" s="3" t="str">
        <f>IF(A1069="","",IF(DATE(LEFT(D1069,4),MID(D1069,5,2),RIGHT(D1069,2))=Helper1!$P$1,Helper1!$P$1,""))</f>
        <v/>
      </c>
      <c r="F1069" s="3" t="str">
        <f>IF(A1069="","",'ATP Fills'!G1069)</f>
        <v/>
      </c>
      <c r="G1069" t="str">
        <f>IF(A1069="","",'ATP Fills'!H1069)</f>
        <v/>
      </c>
      <c r="H1069" t="str">
        <f>IF(A1069="","",VLOOKUP(G1069,表3_3[],2,0))</f>
        <v/>
      </c>
      <c r="I1069" t="str">
        <f>IF(A1069="","",VLOOKUP(G1069,表3_3[],3,0))</f>
        <v/>
      </c>
      <c r="J1069" t="str">
        <f>IF(A1069="","",IF('ATP Fills'!I1069="3M","",VLOOKUP(RIGHT('ATP Fills'!I1069,2),Helper1!$O$36:$P$48,2,0)))</f>
        <v/>
      </c>
      <c r="K1069" t="str">
        <f>IF(J1069="","",LEFT('ATP Fills'!I1069,4))</f>
        <v/>
      </c>
      <c r="L1069" t="str">
        <f>IF(A1069="","",IF('ATP Fills'!G1069="LME",'ATP Fills'!I1069,""))</f>
        <v/>
      </c>
      <c r="M1069" t="str">
        <f t="shared" si="16"/>
        <v/>
      </c>
    </row>
    <row r="1070" spans="1:13">
      <c r="A1070" t="str">
        <f>IF('ATP Fills'!A1070="","",IF('ATP Fills'!Q1070="PHILLIPSG",'ATP Fills'!F1070,""))</f>
        <v/>
      </c>
      <c r="B1070" t="str">
        <f>IF(A1070="","",'ATP Fills'!L1070)</f>
        <v/>
      </c>
      <c r="C1070" t="str">
        <f>IF(A1070="","",'ATP Fills'!M1070)</f>
        <v/>
      </c>
      <c r="D1070" t="str">
        <f>IF(A1070="","",'ATP Fills'!B1070)</f>
        <v/>
      </c>
      <c r="E1070" s="3" t="str">
        <f>IF(A1070="","",IF(DATE(LEFT(D1070,4),MID(D1070,5,2),RIGHT(D1070,2))=Helper1!$P$1,Helper1!$P$1,""))</f>
        <v/>
      </c>
      <c r="F1070" s="3" t="str">
        <f>IF(A1070="","",'ATP Fills'!G1070)</f>
        <v/>
      </c>
      <c r="G1070" t="str">
        <f>IF(A1070="","",'ATP Fills'!H1070)</f>
        <v/>
      </c>
      <c r="H1070" t="str">
        <f>IF(A1070="","",VLOOKUP(G1070,表3_3[],2,0))</f>
        <v/>
      </c>
      <c r="I1070" t="str">
        <f>IF(A1070="","",VLOOKUP(G1070,表3_3[],3,0))</f>
        <v/>
      </c>
      <c r="J1070" t="str">
        <f>IF(A1070="","",IF('ATP Fills'!I1070="3M","",VLOOKUP(RIGHT('ATP Fills'!I1070,2),Helper1!$O$36:$P$48,2,0)))</f>
        <v/>
      </c>
      <c r="K1070" t="str">
        <f>IF(J1070="","",LEFT('ATP Fills'!I1070,4))</f>
        <v/>
      </c>
      <c r="L1070" t="str">
        <f>IF(A1070="","",IF('ATP Fills'!G1070="LME",'ATP Fills'!I1070,""))</f>
        <v/>
      </c>
      <c r="M1070" t="str">
        <f t="shared" si="16"/>
        <v/>
      </c>
    </row>
    <row r="1071" spans="1:13">
      <c r="A1071" t="str">
        <f>IF('ATP Fills'!A1071="","",IF('ATP Fills'!Q1071="PHILLIPSG",'ATP Fills'!F1071,""))</f>
        <v/>
      </c>
      <c r="B1071" t="str">
        <f>IF(A1071="","",'ATP Fills'!L1071)</f>
        <v/>
      </c>
      <c r="C1071" t="str">
        <f>IF(A1071="","",'ATP Fills'!M1071)</f>
        <v/>
      </c>
      <c r="D1071" t="str">
        <f>IF(A1071="","",'ATP Fills'!B1071)</f>
        <v/>
      </c>
      <c r="E1071" s="3" t="str">
        <f>IF(A1071="","",IF(DATE(LEFT(D1071,4),MID(D1071,5,2),RIGHT(D1071,2))=Helper1!$P$1,Helper1!$P$1,""))</f>
        <v/>
      </c>
      <c r="F1071" s="3" t="str">
        <f>IF(A1071="","",'ATP Fills'!G1071)</f>
        <v/>
      </c>
      <c r="G1071" t="str">
        <f>IF(A1071="","",'ATP Fills'!H1071)</f>
        <v/>
      </c>
      <c r="H1071" t="str">
        <f>IF(A1071="","",VLOOKUP(G1071,表3_3[],2,0))</f>
        <v/>
      </c>
      <c r="I1071" t="str">
        <f>IF(A1071="","",VLOOKUP(G1071,表3_3[],3,0))</f>
        <v/>
      </c>
      <c r="J1071" t="str">
        <f>IF(A1071="","",IF('ATP Fills'!I1071="3M","",VLOOKUP(RIGHT('ATP Fills'!I1071,2),Helper1!$O$36:$P$48,2,0)))</f>
        <v/>
      </c>
      <c r="K1071" t="str">
        <f>IF(J1071="","",LEFT('ATP Fills'!I1071,4))</f>
        <v/>
      </c>
      <c r="L1071" t="str">
        <f>IF(A1071="","",IF('ATP Fills'!G1071="LME",'ATP Fills'!I1071,""))</f>
        <v/>
      </c>
      <c r="M1071" t="str">
        <f t="shared" si="16"/>
        <v/>
      </c>
    </row>
    <row r="1072" spans="1:13">
      <c r="A1072" t="str">
        <f>IF('ATP Fills'!A1072="","",IF('ATP Fills'!Q1072="PHILLIPSG",'ATP Fills'!F1072,""))</f>
        <v/>
      </c>
      <c r="B1072" t="str">
        <f>IF(A1072="","",'ATP Fills'!L1072)</f>
        <v/>
      </c>
      <c r="C1072" t="str">
        <f>IF(A1072="","",'ATP Fills'!M1072)</f>
        <v/>
      </c>
      <c r="D1072" t="str">
        <f>IF(A1072="","",'ATP Fills'!B1072)</f>
        <v/>
      </c>
      <c r="E1072" s="3" t="str">
        <f>IF(A1072="","",IF(DATE(LEFT(D1072,4),MID(D1072,5,2),RIGHT(D1072,2))=Helper1!$P$1,Helper1!$P$1,""))</f>
        <v/>
      </c>
      <c r="F1072" s="3" t="str">
        <f>IF(A1072="","",'ATP Fills'!G1072)</f>
        <v/>
      </c>
      <c r="G1072" t="str">
        <f>IF(A1072="","",'ATP Fills'!H1072)</f>
        <v/>
      </c>
      <c r="H1072" t="str">
        <f>IF(A1072="","",VLOOKUP(G1072,表3_3[],2,0))</f>
        <v/>
      </c>
      <c r="I1072" t="str">
        <f>IF(A1072="","",VLOOKUP(G1072,表3_3[],3,0))</f>
        <v/>
      </c>
      <c r="J1072" t="str">
        <f>IF(A1072="","",IF('ATP Fills'!I1072="3M","",VLOOKUP(RIGHT('ATP Fills'!I1072,2),Helper1!$O$36:$P$48,2,0)))</f>
        <v/>
      </c>
      <c r="K1072" t="str">
        <f>IF(J1072="","",LEFT('ATP Fills'!I1072,4))</f>
        <v/>
      </c>
      <c r="L1072" t="str">
        <f>IF(A1072="","",IF('ATP Fills'!G1072="LME",'ATP Fills'!I1072,""))</f>
        <v/>
      </c>
      <c r="M1072" t="str">
        <f t="shared" si="16"/>
        <v/>
      </c>
    </row>
    <row r="1073" spans="1:13">
      <c r="A1073" t="str">
        <f>IF('ATP Fills'!A1073="","",IF('ATP Fills'!Q1073="PHILLIPSG",'ATP Fills'!F1073,""))</f>
        <v/>
      </c>
      <c r="B1073" t="str">
        <f>IF(A1073="","",'ATP Fills'!L1073)</f>
        <v/>
      </c>
      <c r="C1073" t="str">
        <f>IF(A1073="","",'ATP Fills'!M1073)</f>
        <v/>
      </c>
      <c r="D1073" t="str">
        <f>IF(A1073="","",'ATP Fills'!B1073)</f>
        <v/>
      </c>
      <c r="E1073" s="3" t="str">
        <f>IF(A1073="","",IF(DATE(LEFT(D1073,4),MID(D1073,5,2),RIGHT(D1073,2))=Helper1!$P$1,Helper1!$P$1,""))</f>
        <v/>
      </c>
      <c r="F1073" s="3" t="str">
        <f>IF(A1073="","",'ATP Fills'!G1073)</f>
        <v/>
      </c>
      <c r="G1073" t="str">
        <f>IF(A1073="","",'ATP Fills'!H1073)</f>
        <v/>
      </c>
      <c r="H1073" t="str">
        <f>IF(A1073="","",VLOOKUP(G1073,表3_3[],2,0))</f>
        <v/>
      </c>
      <c r="I1073" t="str">
        <f>IF(A1073="","",VLOOKUP(G1073,表3_3[],3,0))</f>
        <v/>
      </c>
      <c r="J1073" t="str">
        <f>IF(A1073="","",IF('ATP Fills'!I1073="3M","",VLOOKUP(RIGHT('ATP Fills'!I1073,2),Helper1!$O$36:$P$48,2,0)))</f>
        <v/>
      </c>
      <c r="K1073" t="str">
        <f>IF(J1073="","",LEFT('ATP Fills'!I1073,4))</f>
        <v/>
      </c>
      <c r="L1073" t="str">
        <f>IF(A1073="","",IF('ATP Fills'!G1073="LME",'ATP Fills'!I1073,""))</f>
        <v/>
      </c>
      <c r="M1073" t="str">
        <f t="shared" si="16"/>
        <v/>
      </c>
    </row>
    <row r="1074" spans="1:13">
      <c r="A1074" t="str">
        <f>IF('ATP Fills'!A1074="","",IF('ATP Fills'!Q1074="PHILLIPSG",'ATP Fills'!F1074,""))</f>
        <v/>
      </c>
      <c r="B1074" t="str">
        <f>IF(A1074="","",'ATP Fills'!L1074)</f>
        <v/>
      </c>
      <c r="C1074" t="str">
        <f>IF(A1074="","",'ATP Fills'!M1074)</f>
        <v/>
      </c>
      <c r="D1074" t="str">
        <f>IF(A1074="","",'ATP Fills'!B1074)</f>
        <v/>
      </c>
      <c r="E1074" s="3" t="str">
        <f>IF(A1074="","",IF(DATE(LEFT(D1074,4),MID(D1074,5,2),RIGHT(D1074,2))=Helper1!$P$1,Helper1!$P$1,""))</f>
        <v/>
      </c>
      <c r="F1074" s="3" t="str">
        <f>IF(A1074="","",'ATP Fills'!G1074)</f>
        <v/>
      </c>
      <c r="G1074" t="str">
        <f>IF(A1074="","",'ATP Fills'!H1074)</f>
        <v/>
      </c>
      <c r="H1074" t="str">
        <f>IF(A1074="","",VLOOKUP(G1074,表3_3[],2,0))</f>
        <v/>
      </c>
      <c r="I1074" t="str">
        <f>IF(A1074="","",VLOOKUP(G1074,表3_3[],3,0))</f>
        <v/>
      </c>
      <c r="J1074" t="str">
        <f>IF(A1074="","",IF('ATP Fills'!I1074="3M","",VLOOKUP(RIGHT('ATP Fills'!I1074,2),Helper1!$O$36:$P$48,2,0)))</f>
        <v/>
      </c>
      <c r="K1074" t="str">
        <f>IF(J1074="","",LEFT('ATP Fills'!I1074,4))</f>
        <v/>
      </c>
      <c r="L1074" t="str">
        <f>IF(A1074="","",IF('ATP Fills'!G1074="LME",'ATP Fills'!I1074,""))</f>
        <v/>
      </c>
      <c r="M1074" t="str">
        <f t="shared" si="16"/>
        <v/>
      </c>
    </row>
    <row r="1075" spans="1:13">
      <c r="A1075" t="str">
        <f>IF('ATP Fills'!A1075="","",IF('ATP Fills'!Q1075="PHILLIPSG",'ATP Fills'!F1075,""))</f>
        <v/>
      </c>
      <c r="B1075" t="str">
        <f>IF(A1075="","",'ATP Fills'!L1075)</f>
        <v/>
      </c>
      <c r="C1075" t="str">
        <f>IF(A1075="","",'ATP Fills'!M1075)</f>
        <v/>
      </c>
      <c r="D1075" t="str">
        <f>IF(A1075="","",'ATP Fills'!B1075)</f>
        <v/>
      </c>
      <c r="E1075" s="3" t="str">
        <f>IF(A1075="","",IF(DATE(LEFT(D1075,4),MID(D1075,5,2),RIGHT(D1075,2))=Helper1!$P$1,Helper1!$P$1,""))</f>
        <v/>
      </c>
      <c r="F1075" s="3" t="str">
        <f>IF(A1075="","",'ATP Fills'!G1075)</f>
        <v/>
      </c>
      <c r="G1075" t="str">
        <f>IF(A1075="","",'ATP Fills'!H1075)</f>
        <v/>
      </c>
      <c r="H1075" t="str">
        <f>IF(A1075="","",VLOOKUP(G1075,表3_3[],2,0))</f>
        <v/>
      </c>
      <c r="I1075" t="str">
        <f>IF(A1075="","",VLOOKUP(G1075,表3_3[],3,0))</f>
        <v/>
      </c>
      <c r="J1075" t="str">
        <f>IF(A1075="","",IF('ATP Fills'!I1075="3M","",VLOOKUP(RIGHT('ATP Fills'!I1075,2),Helper1!$O$36:$P$48,2,0)))</f>
        <v/>
      </c>
      <c r="K1075" t="str">
        <f>IF(J1075="","",LEFT('ATP Fills'!I1075,4))</f>
        <v/>
      </c>
      <c r="L1075" t="str">
        <f>IF(A1075="","",IF('ATP Fills'!G1075="LME",'ATP Fills'!I1075,""))</f>
        <v/>
      </c>
      <c r="M1075" t="str">
        <f t="shared" si="16"/>
        <v/>
      </c>
    </row>
    <row r="1076" spans="1:13">
      <c r="A1076" t="str">
        <f>IF('ATP Fills'!A1076="","",IF('ATP Fills'!Q1076="PHILLIPSG",'ATP Fills'!F1076,""))</f>
        <v/>
      </c>
      <c r="B1076" t="str">
        <f>IF(A1076="","",'ATP Fills'!L1076)</f>
        <v/>
      </c>
      <c r="C1076" t="str">
        <f>IF(A1076="","",'ATP Fills'!M1076)</f>
        <v/>
      </c>
      <c r="D1076" t="str">
        <f>IF(A1076="","",'ATP Fills'!B1076)</f>
        <v/>
      </c>
      <c r="E1076" s="3" t="str">
        <f>IF(A1076="","",IF(DATE(LEFT(D1076,4),MID(D1076,5,2),RIGHT(D1076,2))=Helper1!$P$1,Helper1!$P$1,""))</f>
        <v/>
      </c>
      <c r="F1076" s="3" t="str">
        <f>IF(A1076="","",'ATP Fills'!G1076)</f>
        <v/>
      </c>
      <c r="G1076" t="str">
        <f>IF(A1076="","",'ATP Fills'!H1076)</f>
        <v/>
      </c>
      <c r="H1076" t="str">
        <f>IF(A1076="","",VLOOKUP(G1076,表3_3[],2,0))</f>
        <v/>
      </c>
      <c r="I1076" t="str">
        <f>IF(A1076="","",VLOOKUP(G1076,表3_3[],3,0))</f>
        <v/>
      </c>
      <c r="J1076" t="str">
        <f>IF(A1076="","",IF('ATP Fills'!I1076="3M","",VLOOKUP(RIGHT('ATP Fills'!I1076,2),Helper1!$O$36:$P$48,2,0)))</f>
        <v/>
      </c>
      <c r="K1076" t="str">
        <f>IF(J1076="","",LEFT('ATP Fills'!I1076,4))</f>
        <v/>
      </c>
      <c r="L1076" t="str">
        <f>IF(A1076="","",IF('ATP Fills'!G1076="LME",'ATP Fills'!I1076,""))</f>
        <v/>
      </c>
      <c r="M1076" t="str">
        <f t="shared" si="16"/>
        <v/>
      </c>
    </row>
    <row r="1077" spans="1:13">
      <c r="A1077" t="str">
        <f>IF('ATP Fills'!A1077="","",IF('ATP Fills'!Q1077="PHILLIPSG",'ATP Fills'!F1077,""))</f>
        <v/>
      </c>
      <c r="B1077" t="str">
        <f>IF(A1077="","",'ATP Fills'!L1077)</f>
        <v/>
      </c>
      <c r="C1077" t="str">
        <f>IF(A1077="","",'ATP Fills'!M1077)</f>
        <v/>
      </c>
      <c r="D1077" t="str">
        <f>IF(A1077="","",'ATP Fills'!B1077)</f>
        <v/>
      </c>
      <c r="E1077" s="3" t="str">
        <f>IF(A1077="","",IF(DATE(LEFT(D1077,4),MID(D1077,5,2),RIGHT(D1077,2))=Helper1!$P$1,Helper1!$P$1,""))</f>
        <v/>
      </c>
      <c r="F1077" s="3" t="str">
        <f>IF(A1077="","",'ATP Fills'!G1077)</f>
        <v/>
      </c>
      <c r="G1077" t="str">
        <f>IF(A1077="","",'ATP Fills'!H1077)</f>
        <v/>
      </c>
      <c r="H1077" t="str">
        <f>IF(A1077="","",VLOOKUP(G1077,表3_3[],2,0))</f>
        <v/>
      </c>
      <c r="I1077" t="str">
        <f>IF(A1077="","",VLOOKUP(G1077,表3_3[],3,0))</f>
        <v/>
      </c>
      <c r="J1077" t="str">
        <f>IF(A1077="","",IF('ATP Fills'!I1077="3M","",VLOOKUP(RIGHT('ATP Fills'!I1077,2),Helper1!$O$36:$P$48,2,0)))</f>
        <v/>
      </c>
      <c r="K1077" t="str">
        <f>IF(J1077="","",LEFT('ATP Fills'!I1077,4))</f>
        <v/>
      </c>
      <c r="L1077" t="str">
        <f>IF(A1077="","",IF('ATP Fills'!G1077="LME",'ATP Fills'!I1077,""))</f>
        <v/>
      </c>
      <c r="M1077" t="str">
        <f t="shared" si="16"/>
        <v/>
      </c>
    </row>
    <row r="1078" spans="1:13">
      <c r="A1078" t="str">
        <f>IF('ATP Fills'!A1078="","",IF('ATP Fills'!Q1078="PHILLIPSG",'ATP Fills'!F1078,""))</f>
        <v/>
      </c>
      <c r="B1078" t="str">
        <f>IF(A1078="","",'ATP Fills'!L1078)</f>
        <v/>
      </c>
      <c r="C1078" t="str">
        <f>IF(A1078="","",'ATP Fills'!M1078)</f>
        <v/>
      </c>
      <c r="D1078" t="str">
        <f>IF(A1078="","",'ATP Fills'!B1078)</f>
        <v/>
      </c>
      <c r="E1078" s="3" t="str">
        <f>IF(A1078="","",IF(DATE(LEFT(D1078,4),MID(D1078,5,2),RIGHT(D1078,2))=Helper1!$P$1,Helper1!$P$1,""))</f>
        <v/>
      </c>
      <c r="F1078" s="3" t="str">
        <f>IF(A1078="","",'ATP Fills'!G1078)</f>
        <v/>
      </c>
      <c r="G1078" t="str">
        <f>IF(A1078="","",'ATP Fills'!H1078)</f>
        <v/>
      </c>
      <c r="H1078" t="str">
        <f>IF(A1078="","",VLOOKUP(G1078,表3_3[],2,0))</f>
        <v/>
      </c>
      <c r="I1078" t="str">
        <f>IF(A1078="","",VLOOKUP(G1078,表3_3[],3,0))</f>
        <v/>
      </c>
      <c r="J1078" t="str">
        <f>IF(A1078="","",IF('ATP Fills'!I1078="3M","",VLOOKUP(RIGHT('ATP Fills'!I1078,2),Helper1!$O$36:$P$48,2,0)))</f>
        <v/>
      </c>
      <c r="K1078" t="str">
        <f>IF(J1078="","",LEFT('ATP Fills'!I1078,4))</f>
        <v/>
      </c>
      <c r="L1078" t="str">
        <f>IF(A1078="","",IF('ATP Fills'!G1078="LME",'ATP Fills'!I1078,""))</f>
        <v/>
      </c>
      <c r="M1078" t="str">
        <f t="shared" si="16"/>
        <v/>
      </c>
    </row>
    <row r="1079" spans="1:13">
      <c r="A1079" t="str">
        <f>IF('ATP Fills'!A1079="","",IF('ATP Fills'!Q1079="PHILLIPSG",'ATP Fills'!F1079,""))</f>
        <v/>
      </c>
      <c r="B1079" t="str">
        <f>IF(A1079="","",'ATP Fills'!L1079)</f>
        <v/>
      </c>
      <c r="C1079" t="str">
        <f>IF(A1079="","",'ATP Fills'!M1079)</f>
        <v/>
      </c>
      <c r="D1079" t="str">
        <f>IF(A1079="","",'ATP Fills'!B1079)</f>
        <v/>
      </c>
      <c r="E1079" s="3" t="str">
        <f>IF(A1079="","",IF(DATE(LEFT(D1079,4),MID(D1079,5,2),RIGHT(D1079,2))=Helper1!$P$1,Helper1!$P$1,""))</f>
        <v/>
      </c>
      <c r="F1079" s="3" t="str">
        <f>IF(A1079="","",'ATP Fills'!G1079)</f>
        <v/>
      </c>
      <c r="G1079" t="str">
        <f>IF(A1079="","",'ATP Fills'!H1079)</f>
        <v/>
      </c>
      <c r="H1079" t="str">
        <f>IF(A1079="","",VLOOKUP(G1079,表3_3[],2,0))</f>
        <v/>
      </c>
      <c r="I1079" t="str">
        <f>IF(A1079="","",VLOOKUP(G1079,表3_3[],3,0))</f>
        <v/>
      </c>
      <c r="J1079" t="str">
        <f>IF(A1079="","",IF('ATP Fills'!I1079="3M","",VLOOKUP(RIGHT('ATP Fills'!I1079,2),Helper1!$O$36:$P$48,2,0)))</f>
        <v/>
      </c>
      <c r="K1079" t="str">
        <f>IF(J1079="","",LEFT('ATP Fills'!I1079,4))</f>
        <v/>
      </c>
      <c r="L1079" t="str">
        <f>IF(A1079="","",IF('ATP Fills'!G1079="LME",'ATP Fills'!I1079,""))</f>
        <v/>
      </c>
      <c r="M1079" t="str">
        <f t="shared" si="16"/>
        <v/>
      </c>
    </row>
    <row r="1080" spans="1:13">
      <c r="A1080" t="str">
        <f>IF('ATP Fills'!A1080="","",IF('ATP Fills'!Q1080="PHILLIPSG",'ATP Fills'!F1080,""))</f>
        <v/>
      </c>
      <c r="B1080" t="str">
        <f>IF(A1080="","",'ATP Fills'!L1080)</f>
        <v/>
      </c>
      <c r="C1080" t="str">
        <f>IF(A1080="","",'ATP Fills'!M1080)</f>
        <v/>
      </c>
      <c r="D1080" t="str">
        <f>IF(A1080="","",'ATP Fills'!B1080)</f>
        <v/>
      </c>
      <c r="E1080" s="3" t="str">
        <f>IF(A1080="","",IF(DATE(LEFT(D1080,4),MID(D1080,5,2),RIGHT(D1080,2))=Helper1!$P$1,Helper1!$P$1,""))</f>
        <v/>
      </c>
      <c r="F1080" s="3" t="str">
        <f>IF(A1080="","",'ATP Fills'!G1080)</f>
        <v/>
      </c>
      <c r="G1080" t="str">
        <f>IF(A1080="","",'ATP Fills'!H1080)</f>
        <v/>
      </c>
      <c r="H1080" t="str">
        <f>IF(A1080="","",VLOOKUP(G1080,表3_3[],2,0))</f>
        <v/>
      </c>
      <c r="I1080" t="str">
        <f>IF(A1080="","",VLOOKUP(G1080,表3_3[],3,0))</f>
        <v/>
      </c>
      <c r="J1080" t="str">
        <f>IF(A1080="","",IF('ATP Fills'!I1080="3M","",VLOOKUP(RIGHT('ATP Fills'!I1080,2),Helper1!$O$36:$P$48,2,0)))</f>
        <v/>
      </c>
      <c r="K1080" t="str">
        <f>IF(J1080="","",LEFT('ATP Fills'!I1080,4))</f>
        <v/>
      </c>
      <c r="L1080" t="str">
        <f>IF(A1080="","",IF('ATP Fills'!G1080="LME",'ATP Fills'!I1080,""))</f>
        <v/>
      </c>
      <c r="M1080" t="str">
        <f t="shared" si="16"/>
        <v/>
      </c>
    </row>
    <row r="1081" spans="1:13">
      <c r="A1081" t="str">
        <f>IF('ATP Fills'!A1081="","",IF('ATP Fills'!Q1081="PHILLIPSG",'ATP Fills'!F1081,""))</f>
        <v/>
      </c>
      <c r="B1081" t="str">
        <f>IF(A1081="","",'ATP Fills'!L1081)</f>
        <v/>
      </c>
      <c r="C1081" t="str">
        <f>IF(A1081="","",'ATP Fills'!M1081)</f>
        <v/>
      </c>
      <c r="D1081" t="str">
        <f>IF(A1081="","",'ATP Fills'!B1081)</f>
        <v/>
      </c>
      <c r="E1081" s="3" t="str">
        <f>IF(A1081="","",IF(DATE(LEFT(D1081,4),MID(D1081,5,2),RIGHT(D1081,2))=Helper1!$P$1,Helper1!$P$1,""))</f>
        <v/>
      </c>
      <c r="F1081" s="3" t="str">
        <f>IF(A1081="","",'ATP Fills'!G1081)</f>
        <v/>
      </c>
      <c r="G1081" t="str">
        <f>IF(A1081="","",'ATP Fills'!H1081)</f>
        <v/>
      </c>
      <c r="H1081" t="str">
        <f>IF(A1081="","",VLOOKUP(G1081,表3_3[],2,0))</f>
        <v/>
      </c>
      <c r="I1081" t="str">
        <f>IF(A1081="","",VLOOKUP(G1081,表3_3[],3,0))</f>
        <v/>
      </c>
      <c r="J1081" t="str">
        <f>IF(A1081="","",IF('ATP Fills'!I1081="3M","",VLOOKUP(RIGHT('ATP Fills'!I1081,2),Helper1!$O$36:$P$48,2,0)))</f>
        <v/>
      </c>
      <c r="K1081" t="str">
        <f>IF(J1081="","",LEFT('ATP Fills'!I1081,4))</f>
        <v/>
      </c>
      <c r="L1081" t="str">
        <f>IF(A1081="","",IF('ATP Fills'!G1081="LME",'ATP Fills'!I1081,""))</f>
        <v/>
      </c>
      <c r="M1081" t="str">
        <f t="shared" si="16"/>
        <v/>
      </c>
    </row>
    <row r="1082" spans="1:13">
      <c r="A1082" t="str">
        <f>IF('ATP Fills'!A1082="","",IF('ATP Fills'!Q1082="PHILLIPSG",'ATP Fills'!F1082,""))</f>
        <v/>
      </c>
      <c r="B1082" t="str">
        <f>IF(A1082="","",'ATP Fills'!L1082)</f>
        <v/>
      </c>
      <c r="C1082" t="str">
        <f>IF(A1082="","",'ATP Fills'!M1082)</f>
        <v/>
      </c>
      <c r="D1082" t="str">
        <f>IF(A1082="","",'ATP Fills'!B1082)</f>
        <v/>
      </c>
      <c r="E1082" s="3" t="str">
        <f>IF(A1082="","",IF(DATE(LEFT(D1082,4),MID(D1082,5,2),RIGHT(D1082,2))=Helper1!$P$1,Helper1!$P$1,""))</f>
        <v/>
      </c>
      <c r="F1082" s="3" t="str">
        <f>IF(A1082="","",'ATP Fills'!G1082)</f>
        <v/>
      </c>
      <c r="G1082" t="str">
        <f>IF(A1082="","",'ATP Fills'!H1082)</f>
        <v/>
      </c>
      <c r="H1082" t="str">
        <f>IF(A1082="","",VLOOKUP(G1082,表3_3[],2,0))</f>
        <v/>
      </c>
      <c r="I1082" t="str">
        <f>IF(A1082="","",VLOOKUP(G1082,表3_3[],3,0))</f>
        <v/>
      </c>
      <c r="J1082" t="str">
        <f>IF(A1082="","",IF('ATP Fills'!I1082="3M","",VLOOKUP(RIGHT('ATP Fills'!I1082,2),Helper1!$O$36:$P$48,2,0)))</f>
        <v/>
      </c>
      <c r="K1082" t="str">
        <f>IF(J1082="","",LEFT('ATP Fills'!I1082,4))</f>
        <v/>
      </c>
      <c r="L1082" t="str">
        <f>IF(A1082="","",IF('ATP Fills'!G1082="LME",'ATP Fills'!I1082,""))</f>
        <v/>
      </c>
      <c r="M1082" t="str">
        <f t="shared" si="16"/>
        <v/>
      </c>
    </row>
    <row r="1083" spans="1:13">
      <c r="A1083" t="str">
        <f>IF('ATP Fills'!A1083="","",IF('ATP Fills'!Q1083="PHILLIPSG",'ATP Fills'!F1083,""))</f>
        <v/>
      </c>
      <c r="B1083" t="str">
        <f>IF(A1083="","",'ATP Fills'!L1083)</f>
        <v/>
      </c>
      <c r="C1083" t="str">
        <f>IF(A1083="","",'ATP Fills'!M1083)</f>
        <v/>
      </c>
      <c r="D1083" t="str">
        <f>IF(A1083="","",'ATP Fills'!B1083)</f>
        <v/>
      </c>
      <c r="E1083" s="3" t="str">
        <f>IF(A1083="","",IF(DATE(LEFT(D1083,4),MID(D1083,5,2),RIGHT(D1083,2))=Helper1!$P$1,Helper1!$P$1,""))</f>
        <v/>
      </c>
      <c r="F1083" s="3" t="str">
        <f>IF(A1083="","",'ATP Fills'!G1083)</f>
        <v/>
      </c>
      <c r="G1083" t="str">
        <f>IF(A1083="","",'ATP Fills'!H1083)</f>
        <v/>
      </c>
      <c r="H1083" t="str">
        <f>IF(A1083="","",VLOOKUP(G1083,表3_3[],2,0))</f>
        <v/>
      </c>
      <c r="I1083" t="str">
        <f>IF(A1083="","",VLOOKUP(G1083,表3_3[],3,0))</f>
        <v/>
      </c>
      <c r="J1083" t="str">
        <f>IF(A1083="","",IF('ATP Fills'!I1083="3M","",VLOOKUP(RIGHT('ATP Fills'!I1083,2),Helper1!$O$36:$P$48,2,0)))</f>
        <v/>
      </c>
      <c r="K1083" t="str">
        <f>IF(J1083="","",LEFT('ATP Fills'!I1083,4))</f>
        <v/>
      </c>
      <c r="L1083" t="str">
        <f>IF(A1083="","",IF('ATP Fills'!G1083="LME",'ATP Fills'!I1083,""))</f>
        <v/>
      </c>
      <c r="M1083" t="str">
        <f t="shared" si="16"/>
        <v/>
      </c>
    </row>
    <row r="1084" spans="1:13">
      <c r="A1084" t="str">
        <f>IF('ATP Fills'!A1084="","",IF('ATP Fills'!Q1084="PHILLIPSG",'ATP Fills'!F1084,""))</f>
        <v/>
      </c>
      <c r="B1084" t="str">
        <f>IF(A1084="","",'ATP Fills'!L1084)</f>
        <v/>
      </c>
      <c r="C1084" t="str">
        <f>IF(A1084="","",'ATP Fills'!M1084)</f>
        <v/>
      </c>
      <c r="D1084" t="str">
        <f>IF(A1084="","",'ATP Fills'!B1084)</f>
        <v/>
      </c>
      <c r="E1084" s="3" t="str">
        <f>IF(A1084="","",IF(DATE(LEFT(D1084,4),MID(D1084,5,2),RIGHT(D1084,2))=Helper1!$P$1,Helper1!$P$1,""))</f>
        <v/>
      </c>
      <c r="F1084" s="3" t="str">
        <f>IF(A1084="","",'ATP Fills'!G1084)</f>
        <v/>
      </c>
      <c r="G1084" t="str">
        <f>IF(A1084="","",'ATP Fills'!H1084)</f>
        <v/>
      </c>
      <c r="H1084" t="str">
        <f>IF(A1084="","",VLOOKUP(G1084,表3_3[],2,0))</f>
        <v/>
      </c>
      <c r="I1084" t="str">
        <f>IF(A1084="","",VLOOKUP(G1084,表3_3[],3,0))</f>
        <v/>
      </c>
      <c r="J1084" t="str">
        <f>IF(A1084="","",IF('ATP Fills'!I1084="3M","",VLOOKUP(RIGHT('ATP Fills'!I1084,2),Helper1!$O$36:$P$48,2,0)))</f>
        <v/>
      </c>
      <c r="K1084" t="str">
        <f>IF(J1084="","",LEFT('ATP Fills'!I1084,4))</f>
        <v/>
      </c>
      <c r="L1084" t="str">
        <f>IF(A1084="","",IF('ATP Fills'!G1084="LME",'ATP Fills'!I1084,""))</f>
        <v/>
      </c>
      <c r="M1084" t="str">
        <f t="shared" si="16"/>
        <v/>
      </c>
    </row>
    <row r="1085" spans="1:13">
      <c r="A1085" t="str">
        <f>IF('ATP Fills'!A1085="","",IF('ATP Fills'!Q1085="PHILLIPSG",'ATP Fills'!F1085,""))</f>
        <v/>
      </c>
      <c r="B1085" t="str">
        <f>IF(A1085="","",'ATP Fills'!L1085)</f>
        <v/>
      </c>
      <c r="C1085" t="str">
        <f>IF(A1085="","",'ATP Fills'!M1085)</f>
        <v/>
      </c>
      <c r="D1085" t="str">
        <f>IF(A1085="","",'ATP Fills'!B1085)</f>
        <v/>
      </c>
      <c r="E1085" s="3" t="str">
        <f>IF(A1085="","",IF(DATE(LEFT(D1085,4),MID(D1085,5,2),RIGHT(D1085,2))=Helper1!$P$1,Helper1!$P$1,""))</f>
        <v/>
      </c>
      <c r="F1085" s="3" t="str">
        <f>IF(A1085="","",'ATP Fills'!G1085)</f>
        <v/>
      </c>
      <c r="G1085" t="str">
        <f>IF(A1085="","",'ATP Fills'!H1085)</f>
        <v/>
      </c>
      <c r="H1085" t="str">
        <f>IF(A1085="","",VLOOKUP(G1085,表3_3[],2,0))</f>
        <v/>
      </c>
      <c r="I1085" t="str">
        <f>IF(A1085="","",VLOOKUP(G1085,表3_3[],3,0))</f>
        <v/>
      </c>
      <c r="J1085" t="str">
        <f>IF(A1085="","",IF('ATP Fills'!I1085="3M","",VLOOKUP(RIGHT('ATP Fills'!I1085,2),Helper1!$O$36:$P$48,2,0)))</f>
        <v/>
      </c>
      <c r="K1085" t="str">
        <f>IF(J1085="","",LEFT('ATP Fills'!I1085,4))</f>
        <v/>
      </c>
      <c r="L1085" t="str">
        <f>IF(A1085="","",IF('ATP Fills'!G1085="LME",'ATP Fills'!I1085,""))</f>
        <v/>
      </c>
      <c r="M1085" t="str">
        <f t="shared" si="16"/>
        <v/>
      </c>
    </row>
    <row r="1086" spans="1:13">
      <c r="A1086" t="str">
        <f>IF('ATP Fills'!A1086="","",IF('ATP Fills'!Q1086="PHILLIPSG",'ATP Fills'!F1086,""))</f>
        <v/>
      </c>
      <c r="B1086" t="str">
        <f>IF(A1086="","",'ATP Fills'!L1086)</f>
        <v/>
      </c>
      <c r="C1086" t="str">
        <f>IF(A1086="","",'ATP Fills'!M1086)</f>
        <v/>
      </c>
      <c r="D1086" t="str">
        <f>IF(A1086="","",'ATP Fills'!B1086)</f>
        <v/>
      </c>
      <c r="E1086" s="3" t="str">
        <f>IF(A1086="","",IF(DATE(LEFT(D1086,4),MID(D1086,5,2),RIGHT(D1086,2))=Helper1!$P$1,Helper1!$P$1,""))</f>
        <v/>
      </c>
      <c r="F1086" s="3" t="str">
        <f>IF(A1086="","",'ATP Fills'!G1086)</f>
        <v/>
      </c>
      <c r="G1086" t="str">
        <f>IF(A1086="","",'ATP Fills'!H1086)</f>
        <v/>
      </c>
      <c r="H1086" t="str">
        <f>IF(A1086="","",VLOOKUP(G1086,表3_3[],2,0))</f>
        <v/>
      </c>
      <c r="I1086" t="str">
        <f>IF(A1086="","",VLOOKUP(G1086,表3_3[],3,0))</f>
        <v/>
      </c>
      <c r="J1086" t="str">
        <f>IF(A1086="","",IF('ATP Fills'!I1086="3M","",VLOOKUP(RIGHT('ATP Fills'!I1086,2),Helper1!$O$36:$P$48,2,0)))</f>
        <v/>
      </c>
      <c r="K1086" t="str">
        <f>IF(J1086="","",LEFT('ATP Fills'!I1086,4))</f>
        <v/>
      </c>
      <c r="L1086" t="str">
        <f>IF(A1086="","",IF('ATP Fills'!G1086="LME",'ATP Fills'!I1086,""))</f>
        <v/>
      </c>
      <c r="M1086" t="str">
        <f t="shared" si="16"/>
        <v/>
      </c>
    </row>
    <row r="1087" spans="1:13">
      <c r="A1087" t="str">
        <f>IF('ATP Fills'!A1087="","",IF('ATP Fills'!Q1087="PHILLIPSG",'ATP Fills'!F1087,""))</f>
        <v/>
      </c>
      <c r="B1087" t="str">
        <f>IF(A1087="","",'ATP Fills'!L1087)</f>
        <v/>
      </c>
      <c r="C1087" t="str">
        <f>IF(A1087="","",'ATP Fills'!M1087)</f>
        <v/>
      </c>
      <c r="D1087" t="str">
        <f>IF(A1087="","",'ATP Fills'!B1087)</f>
        <v/>
      </c>
      <c r="E1087" s="3" t="str">
        <f>IF(A1087="","",IF(DATE(LEFT(D1087,4),MID(D1087,5,2),RIGHT(D1087,2))=Helper1!$P$1,Helper1!$P$1,""))</f>
        <v/>
      </c>
      <c r="F1087" s="3" t="str">
        <f>IF(A1087="","",'ATP Fills'!G1087)</f>
        <v/>
      </c>
      <c r="G1087" t="str">
        <f>IF(A1087="","",'ATP Fills'!H1087)</f>
        <v/>
      </c>
      <c r="H1087" t="str">
        <f>IF(A1087="","",VLOOKUP(G1087,表3_3[],2,0))</f>
        <v/>
      </c>
      <c r="I1087" t="str">
        <f>IF(A1087="","",VLOOKUP(G1087,表3_3[],3,0))</f>
        <v/>
      </c>
      <c r="J1087" t="str">
        <f>IF(A1087="","",IF('ATP Fills'!I1087="3M","",VLOOKUP(RIGHT('ATP Fills'!I1087,2),Helper1!$O$36:$P$48,2,0)))</f>
        <v/>
      </c>
      <c r="K1087" t="str">
        <f>IF(J1087="","",LEFT('ATP Fills'!I1087,4))</f>
        <v/>
      </c>
      <c r="L1087" t="str">
        <f>IF(A1087="","",IF('ATP Fills'!G1087="LME",'ATP Fills'!I1087,""))</f>
        <v/>
      </c>
      <c r="M1087" t="str">
        <f t="shared" si="16"/>
        <v/>
      </c>
    </row>
    <row r="1088" spans="1:13">
      <c r="A1088" t="str">
        <f>IF('ATP Fills'!A1088="","",IF('ATP Fills'!Q1088="PHILLIPSG",'ATP Fills'!F1088,""))</f>
        <v/>
      </c>
      <c r="B1088" t="str">
        <f>IF(A1088="","",'ATP Fills'!L1088)</f>
        <v/>
      </c>
      <c r="C1088" t="str">
        <f>IF(A1088="","",'ATP Fills'!M1088)</f>
        <v/>
      </c>
      <c r="D1088" t="str">
        <f>IF(A1088="","",'ATP Fills'!B1088)</f>
        <v/>
      </c>
      <c r="E1088" s="3" t="str">
        <f>IF(A1088="","",IF(DATE(LEFT(D1088,4),MID(D1088,5,2),RIGHT(D1088,2))=Helper1!$P$1,Helper1!$P$1,""))</f>
        <v/>
      </c>
      <c r="F1088" s="3" t="str">
        <f>IF(A1088="","",'ATP Fills'!G1088)</f>
        <v/>
      </c>
      <c r="G1088" t="str">
        <f>IF(A1088="","",'ATP Fills'!H1088)</f>
        <v/>
      </c>
      <c r="H1088" t="str">
        <f>IF(A1088="","",VLOOKUP(G1088,表3_3[],2,0))</f>
        <v/>
      </c>
      <c r="I1088" t="str">
        <f>IF(A1088="","",VLOOKUP(G1088,表3_3[],3,0))</f>
        <v/>
      </c>
      <c r="J1088" t="str">
        <f>IF(A1088="","",IF('ATP Fills'!I1088="3M","",VLOOKUP(RIGHT('ATP Fills'!I1088,2),Helper1!$O$36:$P$48,2,0)))</f>
        <v/>
      </c>
      <c r="K1088" t="str">
        <f>IF(J1088="","",LEFT('ATP Fills'!I1088,4))</f>
        <v/>
      </c>
      <c r="L1088" t="str">
        <f>IF(A1088="","",IF('ATP Fills'!G1088="LME",'ATP Fills'!I1088,""))</f>
        <v/>
      </c>
      <c r="M1088" t="str">
        <f t="shared" si="16"/>
        <v/>
      </c>
    </row>
    <row r="1089" spans="1:13">
      <c r="A1089" t="str">
        <f>IF('ATP Fills'!A1089="","",IF('ATP Fills'!Q1089="PHILLIPSG",'ATP Fills'!F1089,""))</f>
        <v/>
      </c>
      <c r="B1089" t="str">
        <f>IF(A1089="","",'ATP Fills'!L1089)</f>
        <v/>
      </c>
      <c r="C1089" t="str">
        <f>IF(A1089="","",'ATP Fills'!M1089)</f>
        <v/>
      </c>
      <c r="D1089" t="str">
        <f>IF(A1089="","",'ATP Fills'!B1089)</f>
        <v/>
      </c>
      <c r="E1089" s="3" t="str">
        <f>IF(A1089="","",IF(DATE(LEFT(D1089,4),MID(D1089,5,2),RIGHT(D1089,2))=Helper1!$P$1,Helper1!$P$1,""))</f>
        <v/>
      </c>
      <c r="F1089" s="3" t="str">
        <f>IF(A1089="","",'ATP Fills'!G1089)</f>
        <v/>
      </c>
      <c r="G1089" t="str">
        <f>IF(A1089="","",'ATP Fills'!H1089)</f>
        <v/>
      </c>
      <c r="H1089" t="str">
        <f>IF(A1089="","",VLOOKUP(G1089,表3_3[],2,0))</f>
        <v/>
      </c>
      <c r="I1089" t="str">
        <f>IF(A1089="","",VLOOKUP(G1089,表3_3[],3,0))</f>
        <v/>
      </c>
      <c r="J1089" t="str">
        <f>IF(A1089="","",IF('ATP Fills'!I1089="3M","",VLOOKUP(RIGHT('ATP Fills'!I1089,2),Helper1!$O$36:$P$48,2,0)))</f>
        <v/>
      </c>
      <c r="K1089" t="str">
        <f>IF(J1089="","",LEFT('ATP Fills'!I1089,4))</f>
        <v/>
      </c>
      <c r="L1089" t="str">
        <f>IF(A1089="","",IF('ATP Fills'!G1089="LME",'ATP Fills'!I1089,""))</f>
        <v/>
      </c>
      <c r="M1089" t="str">
        <f t="shared" si="16"/>
        <v/>
      </c>
    </row>
    <row r="1090" spans="1:13">
      <c r="A1090" t="str">
        <f>IF('ATP Fills'!A1090="","",IF('ATP Fills'!Q1090="PHILLIPSG",'ATP Fills'!F1090,""))</f>
        <v/>
      </c>
      <c r="B1090" t="str">
        <f>IF(A1090="","",'ATP Fills'!L1090)</f>
        <v/>
      </c>
      <c r="C1090" t="str">
        <f>IF(A1090="","",'ATP Fills'!M1090)</f>
        <v/>
      </c>
      <c r="D1090" t="str">
        <f>IF(A1090="","",'ATP Fills'!B1090)</f>
        <v/>
      </c>
      <c r="E1090" s="3" t="str">
        <f>IF(A1090="","",IF(DATE(LEFT(D1090,4),MID(D1090,5,2),RIGHT(D1090,2))=Helper1!$P$1,Helper1!$P$1,""))</f>
        <v/>
      </c>
      <c r="F1090" s="3" t="str">
        <f>IF(A1090="","",'ATP Fills'!G1090)</f>
        <v/>
      </c>
      <c r="G1090" t="str">
        <f>IF(A1090="","",'ATP Fills'!H1090)</f>
        <v/>
      </c>
      <c r="H1090" t="str">
        <f>IF(A1090="","",VLOOKUP(G1090,表3_3[],2,0))</f>
        <v/>
      </c>
      <c r="I1090" t="str">
        <f>IF(A1090="","",VLOOKUP(G1090,表3_3[],3,0))</f>
        <v/>
      </c>
      <c r="J1090" t="str">
        <f>IF(A1090="","",IF('ATP Fills'!I1090="3M","",VLOOKUP(RIGHT('ATP Fills'!I1090,2),Helper1!$O$36:$P$48,2,0)))</f>
        <v/>
      </c>
      <c r="K1090" t="str">
        <f>IF(J1090="","",LEFT('ATP Fills'!I1090,4))</f>
        <v/>
      </c>
      <c r="L1090" t="str">
        <f>IF(A1090="","",IF('ATP Fills'!G1090="LME",'ATP Fills'!I1090,""))</f>
        <v/>
      </c>
      <c r="M1090" t="str">
        <f t="shared" si="16"/>
        <v/>
      </c>
    </row>
    <row r="1091" spans="1:13">
      <c r="A1091" t="str">
        <f>IF('ATP Fills'!A1091="","",IF('ATP Fills'!Q1091="PHILLIPSG",'ATP Fills'!F1091,""))</f>
        <v/>
      </c>
      <c r="B1091" t="str">
        <f>IF(A1091="","",'ATP Fills'!L1091)</f>
        <v/>
      </c>
      <c r="C1091" t="str">
        <f>IF(A1091="","",'ATP Fills'!M1091)</f>
        <v/>
      </c>
      <c r="D1091" t="str">
        <f>IF(A1091="","",'ATP Fills'!B1091)</f>
        <v/>
      </c>
      <c r="E1091" s="3" t="str">
        <f>IF(A1091="","",IF(DATE(LEFT(D1091,4),MID(D1091,5,2),RIGHT(D1091,2))=Helper1!$P$1,Helper1!$P$1,""))</f>
        <v/>
      </c>
      <c r="F1091" s="3" t="str">
        <f>IF(A1091="","",'ATP Fills'!G1091)</f>
        <v/>
      </c>
      <c r="G1091" t="str">
        <f>IF(A1091="","",'ATP Fills'!H1091)</f>
        <v/>
      </c>
      <c r="H1091" t="str">
        <f>IF(A1091="","",VLOOKUP(G1091,表3_3[],2,0))</f>
        <v/>
      </c>
      <c r="I1091" t="str">
        <f>IF(A1091="","",VLOOKUP(G1091,表3_3[],3,0))</f>
        <v/>
      </c>
      <c r="J1091" t="str">
        <f>IF(A1091="","",IF('ATP Fills'!I1091="3M","",VLOOKUP(RIGHT('ATP Fills'!I1091,2),Helper1!$O$36:$P$48,2,0)))</f>
        <v/>
      </c>
      <c r="K1091" t="str">
        <f>IF(J1091="","",LEFT('ATP Fills'!I1091,4))</f>
        <v/>
      </c>
      <c r="L1091" t="str">
        <f>IF(A1091="","",IF('ATP Fills'!G1091="LME",'ATP Fills'!I1091,""))</f>
        <v/>
      </c>
      <c r="M1091" t="str">
        <f t="shared" ref="M1091:M1154" si="17">IF(A1091="","",IF(F1091="LME",F1091&amp;"-"&amp;I1091&amp;"-"&amp;L1091,J1091&amp;"-"&amp;K1091&amp;"-"&amp;I1091))</f>
        <v/>
      </c>
    </row>
    <row r="1092" spans="1:13">
      <c r="A1092" t="str">
        <f>IF('ATP Fills'!A1092="","",IF('ATP Fills'!Q1092="PHILLIPSG",'ATP Fills'!F1092,""))</f>
        <v/>
      </c>
      <c r="B1092" t="str">
        <f>IF(A1092="","",'ATP Fills'!L1092)</f>
        <v/>
      </c>
      <c r="C1092" t="str">
        <f>IF(A1092="","",'ATP Fills'!M1092)</f>
        <v/>
      </c>
      <c r="D1092" t="str">
        <f>IF(A1092="","",'ATP Fills'!B1092)</f>
        <v/>
      </c>
      <c r="E1092" s="3" t="str">
        <f>IF(A1092="","",IF(DATE(LEFT(D1092,4),MID(D1092,5,2),RIGHT(D1092,2))=Helper1!$P$1,Helper1!$P$1,""))</f>
        <v/>
      </c>
      <c r="F1092" s="3" t="str">
        <f>IF(A1092="","",'ATP Fills'!G1092)</f>
        <v/>
      </c>
      <c r="G1092" t="str">
        <f>IF(A1092="","",'ATP Fills'!H1092)</f>
        <v/>
      </c>
      <c r="H1092" t="str">
        <f>IF(A1092="","",VLOOKUP(G1092,表3_3[],2,0))</f>
        <v/>
      </c>
      <c r="I1092" t="str">
        <f>IF(A1092="","",VLOOKUP(G1092,表3_3[],3,0))</f>
        <v/>
      </c>
      <c r="J1092" t="str">
        <f>IF(A1092="","",IF('ATP Fills'!I1092="3M","",VLOOKUP(RIGHT('ATP Fills'!I1092,2),Helper1!$O$36:$P$48,2,0)))</f>
        <v/>
      </c>
      <c r="K1092" t="str">
        <f>IF(J1092="","",LEFT('ATP Fills'!I1092,4))</f>
        <v/>
      </c>
      <c r="L1092" t="str">
        <f>IF(A1092="","",IF('ATP Fills'!G1092="LME",'ATP Fills'!I1092,""))</f>
        <v/>
      </c>
      <c r="M1092" t="str">
        <f t="shared" si="17"/>
        <v/>
      </c>
    </row>
    <row r="1093" spans="1:13">
      <c r="A1093" t="str">
        <f>IF('ATP Fills'!A1093="","",IF('ATP Fills'!Q1093="PHILLIPSG",'ATP Fills'!F1093,""))</f>
        <v/>
      </c>
      <c r="B1093" t="str">
        <f>IF(A1093="","",'ATP Fills'!L1093)</f>
        <v/>
      </c>
      <c r="C1093" t="str">
        <f>IF(A1093="","",'ATP Fills'!M1093)</f>
        <v/>
      </c>
      <c r="D1093" t="str">
        <f>IF(A1093="","",'ATP Fills'!B1093)</f>
        <v/>
      </c>
      <c r="E1093" s="3" t="str">
        <f>IF(A1093="","",IF(DATE(LEFT(D1093,4),MID(D1093,5,2),RIGHT(D1093,2))=Helper1!$P$1,Helper1!$P$1,""))</f>
        <v/>
      </c>
      <c r="F1093" s="3" t="str">
        <f>IF(A1093="","",'ATP Fills'!G1093)</f>
        <v/>
      </c>
      <c r="G1093" t="str">
        <f>IF(A1093="","",'ATP Fills'!H1093)</f>
        <v/>
      </c>
      <c r="H1093" t="str">
        <f>IF(A1093="","",VLOOKUP(G1093,表3_3[],2,0))</f>
        <v/>
      </c>
      <c r="I1093" t="str">
        <f>IF(A1093="","",VLOOKUP(G1093,表3_3[],3,0))</f>
        <v/>
      </c>
      <c r="J1093" t="str">
        <f>IF(A1093="","",IF('ATP Fills'!I1093="3M","",VLOOKUP(RIGHT('ATP Fills'!I1093,2),Helper1!$O$36:$P$48,2,0)))</f>
        <v/>
      </c>
      <c r="K1093" t="str">
        <f>IF(J1093="","",LEFT('ATP Fills'!I1093,4))</f>
        <v/>
      </c>
      <c r="L1093" t="str">
        <f>IF(A1093="","",IF('ATP Fills'!G1093="LME",'ATP Fills'!I1093,""))</f>
        <v/>
      </c>
      <c r="M1093" t="str">
        <f t="shared" si="17"/>
        <v/>
      </c>
    </row>
    <row r="1094" spans="1:13">
      <c r="A1094" t="str">
        <f>IF('ATP Fills'!A1094="","",IF('ATP Fills'!Q1094="PHILLIPSG",'ATP Fills'!F1094,""))</f>
        <v/>
      </c>
      <c r="B1094" t="str">
        <f>IF(A1094="","",'ATP Fills'!L1094)</f>
        <v/>
      </c>
      <c r="C1094" t="str">
        <f>IF(A1094="","",'ATP Fills'!M1094)</f>
        <v/>
      </c>
      <c r="D1094" t="str">
        <f>IF(A1094="","",'ATP Fills'!B1094)</f>
        <v/>
      </c>
      <c r="E1094" s="3" t="str">
        <f>IF(A1094="","",IF(DATE(LEFT(D1094,4),MID(D1094,5,2),RIGHT(D1094,2))=Helper1!$P$1,Helper1!$P$1,""))</f>
        <v/>
      </c>
      <c r="F1094" s="3" t="str">
        <f>IF(A1094="","",'ATP Fills'!G1094)</f>
        <v/>
      </c>
      <c r="G1094" t="str">
        <f>IF(A1094="","",'ATP Fills'!H1094)</f>
        <v/>
      </c>
      <c r="H1094" t="str">
        <f>IF(A1094="","",VLOOKUP(G1094,表3_3[],2,0))</f>
        <v/>
      </c>
      <c r="I1094" t="str">
        <f>IF(A1094="","",VLOOKUP(G1094,表3_3[],3,0))</f>
        <v/>
      </c>
      <c r="J1094" t="str">
        <f>IF(A1094="","",IF('ATP Fills'!I1094="3M","",VLOOKUP(RIGHT('ATP Fills'!I1094,2),Helper1!$O$36:$P$48,2,0)))</f>
        <v/>
      </c>
      <c r="K1094" t="str">
        <f>IF(J1094="","",LEFT('ATP Fills'!I1094,4))</f>
        <v/>
      </c>
      <c r="L1094" t="str">
        <f>IF(A1094="","",IF('ATP Fills'!G1094="LME",'ATP Fills'!I1094,""))</f>
        <v/>
      </c>
      <c r="M1094" t="str">
        <f t="shared" si="17"/>
        <v/>
      </c>
    </row>
    <row r="1095" spans="1:13">
      <c r="A1095" t="str">
        <f>IF('ATP Fills'!A1095="","",IF('ATP Fills'!Q1095="PHILLIPSG",'ATP Fills'!F1095,""))</f>
        <v/>
      </c>
      <c r="B1095" t="str">
        <f>IF(A1095="","",'ATP Fills'!L1095)</f>
        <v/>
      </c>
      <c r="C1095" t="str">
        <f>IF(A1095="","",'ATP Fills'!M1095)</f>
        <v/>
      </c>
      <c r="D1095" t="str">
        <f>IF(A1095="","",'ATP Fills'!B1095)</f>
        <v/>
      </c>
      <c r="E1095" s="3" t="str">
        <f>IF(A1095="","",IF(DATE(LEFT(D1095,4),MID(D1095,5,2),RIGHT(D1095,2))=Helper1!$P$1,Helper1!$P$1,""))</f>
        <v/>
      </c>
      <c r="F1095" s="3" t="str">
        <f>IF(A1095="","",'ATP Fills'!G1095)</f>
        <v/>
      </c>
      <c r="G1095" t="str">
        <f>IF(A1095="","",'ATP Fills'!H1095)</f>
        <v/>
      </c>
      <c r="H1095" t="str">
        <f>IF(A1095="","",VLOOKUP(G1095,表3_3[],2,0))</f>
        <v/>
      </c>
      <c r="I1095" t="str">
        <f>IF(A1095="","",VLOOKUP(G1095,表3_3[],3,0))</f>
        <v/>
      </c>
      <c r="J1095" t="str">
        <f>IF(A1095="","",IF('ATP Fills'!I1095="3M","",VLOOKUP(RIGHT('ATP Fills'!I1095,2),Helper1!$O$36:$P$48,2,0)))</f>
        <v/>
      </c>
      <c r="K1095" t="str">
        <f>IF(J1095="","",LEFT('ATP Fills'!I1095,4))</f>
        <v/>
      </c>
      <c r="L1095" t="str">
        <f>IF(A1095="","",IF('ATP Fills'!G1095="LME",'ATP Fills'!I1095,""))</f>
        <v/>
      </c>
      <c r="M1095" t="str">
        <f t="shared" si="17"/>
        <v/>
      </c>
    </row>
    <row r="1096" spans="1:13">
      <c r="A1096" t="str">
        <f>IF('ATP Fills'!A1096="","",IF('ATP Fills'!Q1096="PHILLIPSG",'ATP Fills'!F1096,""))</f>
        <v/>
      </c>
      <c r="B1096" t="str">
        <f>IF(A1096="","",'ATP Fills'!L1096)</f>
        <v/>
      </c>
      <c r="C1096" t="str">
        <f>IF(A1096="","",'ATP Fills'!M1096)</f>
        <v/>
      </c>
      <c r="D1096" t="str">
        <f>IF(A1096="","",'ATP Fills'!B1096)</f>
        <v/>
      </c>
      <c r="E1096" s="3" t="str">
        <f>IF(A1096="","",IF(DATE(LEFT(D1096,4),MID(D1096,5,2),RIGHT(D1096,2))=Helper1!$P$1,Helper1!$P$1,""))</f>
        <v/>
      </c>
      <c r="F1096" s="3" t="str">
        <f>IF(A1096="","",'ATP Fills'!G1096)</f>
        <v/>
      </c>
      <c r="G1096" t="str">
        <f>IF(A1096="","",'ATP Fills'!H1096)</f>
        <v/>
      </c>
      <c r="H1096" t="str">
        <f>IF(A1096="","",VLOOKUP(G1096,表3_3[],2,0))</f>
        <v/>
      </c>
      <c r="I1096" t="str">
        <f>IF(A1096="","",VLOOKUP(G1096,表3_3[],3,0))</f>
        <v/>
      </c>
      <c r="J1096" t="str">
        <f>IF(A1096="","",IF('ATP Fills'!I1096="3M","",VLOOKUP(RIGHT('ATP Fills'!I1096,2),Helper1!$O$36:$P$48,2,0)))</f>
        <v/>
      </c>
      <c r="K1096" t="str">
        <f>IF(J1096="","",LEFT('ATP Fills'!I1096,4))</f>
        <v/>
      </c>
      <c r="L1096" t="str">
        <f>IF(A1096="","",IF('ATP Fills'!G1096="LME",'ATP Fills'!I1096,""))</f>
        <v/>
      </c>
      <c r="M1096" t="str">
        <f t="shared" si="17"/>
        <v/>
      </c>
    </row>
    <row r="1097" spans="1:13">
      <c r="A1097" t="str">
        <f>IF('ATP Fills'!A1097="","",IF('ATP Fills'!Q1097="PHILLIPSG",'ATP Fills'!F1097,""))</f>
        <v/>
      </c>
      <c r="B1097" t="str">
        <f>IF(A1097="","",'ATP Fills'!L1097)</f>
        <v/>
      </c>
      <c r="C1097" t="str">
        <f>IF(A1097="","",'ATP Fills'!M1097)</f>
        <v/>
      </c>
      <c r="D1097" t="str">
        <f>IF(A1097="","",'ATP Fills'!B1097)</f>
        <v/>
      </c>
      <c r="E1097" s="3" t="str">
        <f>IF(A1097="","",IF(DATE(LEFT(D1097,4),MID(D1097,5,2),RIGHT(D1097,2))=Helper1!$P$1,Helper1!$P$1,""))</f>
        <v/>
      </c>
      <c r="F1097" s="3" t="str">
        <f>IF(A1097="","",'ATP Fills'!G1097)</f>
        <v/>
      </c>
      <c r="G1097" t="str">
        <f>IF(A1097="","",'ATP Fills'!H1097)</f>
        <v/>
      </c>
      <c r="H1097" t="str">
        <f>IF(A1097="","",VLOOKUP(G1097,表3_3[],2,0))</f>
        <v/>
      </c>
      <c r="I1097" t="str">
        <f>IF(A1097="","",VLOOKUP(G1097,表3_3[],3,0))</f>
        <v/>
      </c>
      <c r="J1097" t="str">
        <f>IF(A1097="","",IF('ATP Fills'!I1097="3M","",VLOOKUP(RIGHT('ATP Fills'!I1097,2),Helper1!$O$36:$P$48,2,0)))</f>
        <v/>
      </c>
      <c r="K1097" t="str">
        <f>IF(J1097="","",LEFT('ATP Fills'!I1097,4))</f>
        <v/>
      </c>
      <c r="L1097" t="str">
        <f>IF(A1097="","",IF('ATP Fills'!G1097="LME",'ATP Fills'!I1097,""))</f>
        <v/>
      </c>
      <c r="M1097" t="str">
        <f t="shared" si="17"/>
        <v/>
      </c>
    </row>
    <row r="1098" spans="1:13">
      <c r="A1098" t="str">
        <f>IF('ATP Fills'!A1098="","",IF('ATP Fills'!Q1098="PHILLIPSG",'ATP Fills'!F1098,""))</f>
        <v/>
      </c>
      <c r="B1098" t="str">
        <f>IF(A1098="","",'ATP Fills'!L1098)</f>
        <v/>
      </c>
      <c r="C1098" t="str">
        <f>IF(A1098="","",'ATP Fills'!M1098)</f>
        <v/>
      </c>
      <c r="D1098" t="str">
        <f>IF(A1098="","",'ATP Fills'!B1098)</f>
        <v/>
      </c>
      <c r="E1098" s="3" t="str">
        <f>IF(A1098="","",IF(DATE(LEFT(D1098,4),MID(D1098,5,2),RIGHT(D1098,2))=Helper1!$P$1,Helper1!$P$1,""))</f>
        <v/>
      </c>
      <c r="F1098" s="3" t="str">
        <f>IF(A1098="","",'ATP Fills'!G1098)</f>
        <v/>
      </c>
      <c r="G1098" t="str">
        <f>IF(A1098="","",'ATP Fills'!H1098)</f>
        <v/>
      </c>
      <c r="H1098" t="str">
        <f>IF(A1098="","",VLOOKUP(G1098,表3_3[],2,0))</f>
        <v/>
      </c>
      <c r="I1098" t="str">
        <f>IF(A1098="","",VLOOKUP(G1098,表3_3[],3,0))</f>
        <v/>
      </c>
      <c r="J1098" t="str">
        <f>IF(A1098="","",IF('ATP Fills'!I1098="3M","",VLOOKUP(RIGHT('ATP Fills'!I1098,2),Helper1!$O$36:$P$48,2,0)))</f>
        <v/>
      </c>
      <c r="K1098" t="str">
        <f>IF(J1098="","",LEFT('ATP Fills'!I1098,4))</f>
        <v/>
      </c>
      <c r="L1098" t="str">
        <f>IF(A1098="","",IF('ATP Fills'!G1098="LME",'ATP Fills'!I1098,""))</f>
        <v/>
      </c>
      <c r="M1098" t="str">
        <f t="shared" si="17"/>
        <v/>
      </c>
    </row>
    <row r="1099" spans="1:13">
      <c r="A1099" t="str">
        <f>IF('ATP Fills'!A1099="","",IF('ATP Fills'!Q1099="PHILLIPSG",'ATP Fills'!F1099,""))</f>
        <v/>
      </c>
      <c r="B1099" t="str">
        <f>IF(A1099="","",'ATP Fills'!L1099)</f>
        <v/>
      </c>
      <c r="C1099" t="str">
        <f>IF(A1099="","",'ATP Fills'!M1099)</f>
        <v/>
      </c>
      <c r="D1099" t="str">
        <f>IF(A1099="","",'ATP Fills'!B1099)</f>
        <v/>
      </c>
      <c r="E1099" s="3" t="str">
        <f>IF(A1099="","",IF(DATE(LEFT(D1099,4),MID(D1099,5,2),RIGHT(D1099,2))=Helper1!$P$1,Helper1!$P$1,""))</f>
        <v/>
      </c>
      <c r="F1099" s="3" t="str">
        <f>IF(A1099="","",'ATP Fills'!G1099)</f>
        <v/>
      </c>
      <c r="G1099" t="str">
        <f>IF(A1099="","",'ATP Fills'!H1099)</f>
        <v/>
      </c>
      <c r="H1099" t="str">
        <f>IF(A1099="","",VLOOKUP(G1099,表3_3[],2,0))</f>
        <v/>
      </c>
      <c r="I1099" t="str">
        <f>IF(A1099="","",VLOOKUP(G1099,表3_3[],3,0))</f>
        <v/>
      </c>
      <c r="J1099" t="str">
        <f>IF(A1099="","",IF('ATP Fills'!I1099="3M","",VLOOKUP(RIGHT('ATP Fills'!I1099,2),Helper1!$O$36:$P$48,2,0)))</f>
        <v/>
      </c>
      <c r="K1099" t="str">
        <f>IF(J1099="","",LEFT('ATP Fills'!I1099,4))</f>
        <v/>
      </c>
      <c r="L1099" t="str">
        <f>IF(A1099="","",IF('ATP Fills'!G1099="LME",'ATP Fills'!I1099,""))</f>
        <v/>
      </c>
      <c r="M1099" t="str">
        <f t="shared" si="17"/>
        <v/>
      </c>
    </row>
    <row r="1100" spans="1:13">
      <c r="A1100" t="str">
        <f>IF('ATP Fills'!A1100="","",IF('ATP Fills'!Q1100="PHILLIPSG",'ATP Fills'!F1100,""))</f>
        <v/>
      </c>
      <c r="B1100" t="str">
        <f>IF(A1100="","",'ATP Fills'!L1100)</f>
        <v/>
      </c>
      <c r="C1100" t="str">
        <f>IF(A1100="","",'ATP Fills'!M1100)</f>
        <v/>
      </c>
      <c r="D1100" t="str">
        <f>IF(A1100="","",'ATP Fills'!B1100)</f>
        <v/>
      </c>
      <c r="E1100" s="3" t="str">
        <f>IF(A1100="","",IF(DATE(LEFT(D1100,4),MID(D1100,5,2),RIGHT(D1100,2))=Helper1!$P$1,Helper1!$P$1,""))</f>
        <v/>
      </c>
      <c r="F1100" s="3" t="str">
        <f>IF(A1100="","",'ATP Fills'!G1100)</f>
        <v/>
      </c>
      <c r="G1100" t="str">
        <f>IF(A1100="","",'ATP Fills'!H1100)</f>
        <v/>
      </c>
      <c r="H1100" t="str">
        <f>IF(A1100="","",VLOOKUP(G1100,表3_3[],2,0))</f>
        <v/>
      </c>
      <c r="I1100" t="str">
        <f>IF(A1100="","",VLOOKUP(G1100,表3_3[],3,0))</f>
        <v/>
      </c>
      <c r="J1100" t="str">
        <f>IF(A1100="","",IF('ATP Fills'!I1100="3M","",VLOOKUP(RIGHT('ATP Fills'!I1100,2),Helper1!$O$36:$P$48,2,0)))</f>
        <v/>
      </c>
      <c r="K1100" t="str">
        <f>IF(J1100="","",LEFT('ATP Fills'!I1100,4))</f>
        <v/>
      </c>
      <c r="L1100" t="str">
        <f>IF(A1100="","",IF('ATP Fills'!G1100="LME",'ATP Fills'!I1100,""))</f>
        <v/>
      </c>
      <c r="M1100" t="str">
        <f t="shared" si="17"/>
        <v/>
      </c>
    </row>
    <row r="1101" spans="1:13">
      <c r="A1101" t="str">
        <f>IF('ATP Fills'!A1101="","",IF('ATP Fills'!Q1101="PHILLIPSG",'ATP Fills'!F1101,""))</f>
        <v/>
      </c>
      <c r="B1101" t="str">
        <f>IF(A1101="","",'ATP Fills'!L1101)</f>
        <v/>
      </c>
      <c r="C1101" t="str">
        <f>IF(A1101="","",'ATP Fills'!M1101)</f>
        <v/>
      </c>
      <c r="D1101" t="str">
        <f>IF(A1101="","",'ATP Fills'!B1101)</f>
        <v/>
      </c>
      <c r="E1101" s="3" t="str">
        <f>IF(A1101="","",IF(DATE(LEFT(D1101,4),MID(D1101,5,2),RIGHT(D1101,2))=Helper1!$P$1,Helper1!$P$1,""))</f>
        <v/>
      </c>
      <c r="F1101" s="3" t="str">
        <f>IF(A1101="","",'ATP Fills'!G1101)</f>
        <v/>
      </c>
      <c r="G1101" t="str">
        <f>IF(A1101="","",'ATP Fills'!H1101)</f>
        <v/>
      </c>
      <c r="H1101" t="str">
        <f>IF(A1101="","",VLOOKUP(G1101,表3_3[],2,0))</f>
        <v/>
      </c>
      <c r="I1101" t="str">
        <f>IF(A1101="","",VLOOKUP(G1101,表3_3[],3,0))</f>
        <v/>
      </c>
      <c r="J1101" t="str">
        <f>IF(A1101="","",IF('ATP Fills'!I1101="3M","",VLOOKUP(RIGHT('ATP Fills'!I1101,2),Helper1!$O$36:$P$48,2,0)))</f>
        <v/>
      </c>
      <c r="K1101" t="str">
        <f>IF(J1101="","",LEFT('ATP Fills'!I1101,4))</f>
        <v/>
      </c>
      <c r="L1101" t="str">
        <f>IF(A1101="","",IF('ATP Fills'!G1101="LME",'ATP Fills'!I1101,""))</f>
        <v/>
      </c>
      <c r="M1101" t="str">
        <f t="shared" si="17"/>
        <v/>
      </c>
    </row>
    <row r="1102" spans="1:13">
      <c r="A1102" t="str">
        <f>IF('ATP Fills'!A1102="","",IF('ATP Fills'!Q1102="PHILLIPSG",'ATP Fills'!F1102,""))</f>
        <v/>
      </c>
      <c r="B1102" t="str">
        <f>IF(A1102="","",'ATP Fills'!L1102)</f>
        <v/>
      </c>
      <c r="C1102" t="str">
        <f>IF(A1102="","",'ATP Fills'!M1102)</f>
        <v/>
      </c>
      <c r="D1102" t="str">
        <f>IF(A1102="","",'ATP Fills'!B1102)</f>
        <v/>
      </c>
      <c r="E1102" s="3" t="str">
        <f>IF(A1102="","",IF(DATE(LEFT(D1102,4),MID(D1102,5,2),RIGHT(D1102,2))=Helper1!$P$1,Helper1!$P$1,""))</f>
        <v/>
      </c>
      <c r="F1102" s="3" t="str">
        <f>IF(A1102="","",'ATP Fills'!G1102)</f>
        <v/>
      </c>
      <c r="G1102" t="str">
        <f>IF(A1102="","",'ATP Fills'!H1102)</f>
        <v/>
      </c>
      <c r="H1102" t="str">
        <f>IF(A1102="","",VLOOKUP(G1102,表3_3[],2,0))</f>
        <v/>
      </c>
      <c r="I1102" t="str">
        <f>IF(A1102="","",VLOOKUP(G1102,表3_3[],3,0))</f>
        <v/>
      </c>
      <c r="J1102" t="str">
        <f>IF(A1102="","",IF('ATP Fills'!I1102="3M","",VLOOKUP(RIGHT('ATP Fills'!I1102,2),Helper1!$O$36:$P$48,2,0)))</f>
        <v/>
      </c>
      <c r="K1102" t="str">
        <f>IF(J1102="","",LEFT('ATP Fills'!I1102,4))</f>
        <v/>
      </c>
      <c r="L1102" t="str">
        <f>IF(A1102="","",IF('ATP Fills'!G1102="LME",'ATP Fills'!I1102,""))</f>
        <v/>
      </c>
      <c r="M1102" t="str">
        <f t="shared" si="17"/>
        <v/>
      </c>
    </row>
    <row r="1103" spans="1:13">
      <c r="A1103" t="str">
        <f>IF('ATP Fills'!A1103="","",IF('ATP Fills'!Q1103="PHILLIPSG",'ATP Fills'!F1103,""))</f>
        <v/>
      </c>
      <c r="B1103" t="str">
        <f>IF(A1103="","",'ATP Fills'!L1103)</f>
        <v/>
      </c>
      <c r="C1103" t="str">
        <f>IF(A1103="","",'ATP Fills'!M1103)</f>
        <v/>
      </c>
      <c r="D1103" t="str">
        <f>IF(A1103="","",'ATP Fills'!B1103)</f>
        <v/>
      </c>
      <c r="E1103" s="3" t="str">
        <f>IF(A1103="","",IF(DATE(LEFT(D1103,4),MID(D1103,5,2),RIGHT(D1103,2))=Helper1!$P$1,Helper1!$P$1,""))</f>
        <v/>
      </c>
      <c r="F1103" s="3" t="str">
        <f>IF(A1103="","",'ATP Fills'!G1103)</f>
        <v/>
      </c>
      <c r="G1103" t="str">
        <f>IF(A1103="","",'ATP Fills'!H1103)</f>
        <v/>
      </c>
      <c r="H1103" t="str">
        <f>IF(A1103="","",VLOOKUP(G1103,表3_3[],2,0))</f>
        <v/>
      </c>
      <c r="I1103" t="str">
        <f>IF(A1103="","",VLOOKUP(G1103,表3_3[],3,0))</f>
        <v/>
      </c>
      <c r="J1103" t="str">
        <f>IF(A1103="","",IF('ATP Fills'!I1103="3M","",VLOOKUP(RIGHT('ATP Fills'!I1103,2),Helper1!$O$36:$P$48,2,0)))</f>
        <v/>
      </c>
      <c r="K1103" t="str">
        <f>IF(J1103="","",LEFT('ATP Fills'!I1103,4))</f>
        <v/>
      </c>
      <c r="L1103" t="str">
        <f>IF(A1103="","",IF('ATP Fills'!G1103="LME",'ATP Fills'!I1103,""))</f>
        <v/>
      </c>
      <c r="M1103" t="str">
        <f t="shared" si="17"/>
        <v/>
      </c>
    </row>
    <row r="1104" spans="1:13">
      <c r="A1104" t="str">
        <f>IF('ATP Fills'!A1104="","",IF('ATP Fills'!Q1104="PHILLIPSG",'ATP Fills'!F1104,""))</f>
        <v/>
      </c>
      <c r="B1104" t="str">
        <f>IF(A1104="","",'ATP Fills'!L1104)</f>
        <v/>
      </c>
      <c r="C1104" t="str">
        <f>IF(A1104="","",'ATP Fills'!M1104)</f>
        <v/>
      </c>
      <c r="D1104" t="str">
        <f>IF(A1104="","",'ATP Fills'!B1104)</f>
        <v/>
      </c>
      <c r="E1104" s="3" t="str">
        <f>IF(A1104="","",IF(DATE(LEFT(D1104,4),MID(D1104,5,2),RIGHT(D1104,2))=Helper1!$P$1,Helper1!$P$1,""))</f>
        <v/>
      </c>
      <c r="F1104" s="3" t="str">
        <f>IF(A1104="","",'ATP Fills'!G1104)</f>
        <v/>
      </c>
      <c r="G1104" t="str">
        <f>IF(A1104="","",'ATP Fills'!H1104)</f>
        <v/>
      </c>
      <c r="H1104" t="str">
        <f>IF(A1104="","",VLOOKUP(G1104,表3_3[],2,0))</f>
        <v/>
      </c>
      <c r="I1104" t="str">
        <f>IF(A1104="","",VLOOKUP(G1104,表3_3[],3,0))</f>
        <v/>
      </c>
      <c r="J1104" t="str">
        <f>IF(A1104="","",IF('ATP Fills'!I1104="3M","",VLOOKUP(RIGHT('ATP Fills'!I1104,2),Helper1!$O$36:$P$48,2,0)))</f>
        <v/>
      </c>
      <c r="K1104" t="str">
        <f>IF(J1104="","",LEFT('ATP Fills'!I1104,4))</f>
        <v/>
      </c>
      <c r="L1104" t="str">
        <f>IF(A1104="","",IF('ATP Fills'!G1104="LME",'ATP Fills'!I1104,""))</f>
        <v/>
      </c>
      <c r="M1104" t="str">
        <f t="shared" si="17"/>
        <v/>
      </c>
    </row>
    <row r="1105" spans="1:13">
      <c r="A1105" t="str">
        <f>IF('ATP Fills'!A1105="","",IF('ATP Fills'!Q1105="PHILLIPSG",'ATP Fills'!F1105,""))</f>
        <v/>
      </c>
      <c r="B1105" t="str">
        <f>IF(A1105="","",'ATP Fills'!L1105)</f>
        <v/>
      </c>
      <c r="C1105" t="str">
        <f>IF(A1105="","",'ATP Fills'!M1105)</f>
        <v/>
      </c>
      <c r="D1105" t="str">
        <f>IF(A1105="","",'ATP Fills'!B1105)</f>
        <v/>
      </c>
      <c r="E1105" s="3" t="str">
        <f>IF(A1105="","",IF(DATE(LEFT(D1105,4),MID(D1105,5,2),RIGHT(D1105,2))=Helper1!$P$1,Helper1!$P$1,""))</f>
        <v/>
      </c>
      <c r="F1105" s="3" t="str">
        <f>IF(A1105="","",'ATP Fills'!G1105)</f>
        <v/>
      </c>
      <c r="G1105" t="str">
        <f>IF(A1105="","",'ATP Fills'!H1105)</f>
        <v/>
      </c>
      <c r="H1105" t="str">
        <f>IF(A1105="","",VLOOKUP(G1105,表3_3[],2,0))</f>
        <v/>
      </c>
      <c r="I1105" t="str">
        <f>IF(A1105="","",VLOOKUP(G1105,表3_3[],3,0))</f>
        <v/>
      </c>
      <c r="J1105" t="str">
        <f>IF(A1105="","",IF('ATP Fills'!I1105="3M","",VLOOKUP(RIGHT('ATP Fills'!I1105,2),Helper1!$O$36:$P$48,2,0)))</f>
        <v/>
      </c>
      <c r="K1105" t="str">
        <f>IF(J1105="","",LEFT('ATP Fills'!I1105,4))</f>
        <v/>
      </c>
      <c r="L1105" t="str">
        <f>IF(A1105="","",IF('ATP Fills'!G1105="LME",'ATP Fills'!I1105,""))</f>
        <v/>
      </c>
      <c r="M1105" t="str">
        <f t="shared" si="17"/>
        <v/>
      </c>
    </row>
    <row r="1106" spans="1:13">
      <c r="A1106" t="str">
        <f>IF('ATP Fills'!A1106="","",IF('ATP Fills'!Q1106="PHILLIPSG",'ATP Fills'!F1106,""))</f>
        <v/>
      </c>
      <c r="B1106" t="str">
        <f>IF(A1106="","",'ATP Fills'!L1106)</f>
        <v/>
      </c>
      <c r="C1106" t="str">
        <f>IF(A1106="","",'ATP Fills'!M1106)</f>
        <v/>
      </c>
      <c r="D1106" t="str">
        <f>IF(A1106="","",'ATP Fills'!B1106)</f>
        <v/>
      </c>
      <c r="E1106" s="3" t="str">
        <f>IF(A1106="","",IF(DATE(LEFT(D1106,4),MID(D1106,5,2),RIGHT(D1106,2))=Helper1!$P$1,Helper1!$P$1,""))</f>
        <v/>
      </c>
      <c r="F1106" s="3" t="str">
        <f>IF(A1106="","",'ATP Fills'!G1106)</f>
        <v/>
      </c>
      <c r="G1106" t="str">
        <f>IF(A1106="","",'ATP Fills'!H1106)</f>
        <v/>
      </c>
      <c r="H1106" t="str">
        <f>IF(A1106="","",VLOOKUP(G1106,表3_3[],2,0))</f>
        <v/>
      </c>
      <c r="I1106" t="str">
        <f>IF(A1106="","",VLOOKUP(G1106,表3_3[],3,0))</f>
        <v/>
      </c>
      <c r="J1106" t="str">
        <f>IF(A1106="","",IF('ATP Fills'!I1106="3M","",VLOOKUP(RIGHT('ATP Fills'!I1106,2),Helper1!$O$36:$P$48,2,0)))</f>
        <v/>
      </c>
      <c r="K1106" t="str">
        <f>IF(J1106="","",LEFT('ATP Fills'!I1106,4))</f>
        <v/>
      </c>
      <c r="L1106" t="str">
        <f>IF(A1106="","",IF('ATP Fills'!G1106="LME",'ATP Fills'!I1106,""))</f>
        <v/>
      </c>
      <c r="M1106" t="str">
        <f t="shared" si="17"/>
        <v/>
      </c>
    </row>
    <row r="1107" spans="1:13">
      <c r="A1107" t="str">
        <f>IF('ATP Fills'!A1107="","",IF('ATP Fills'!Q1107="PHILLIPSG",'ATP Fills'!F1107,""))</f>
        <v/>
      </c>
      <c r="B1107" t="str">
        <f>IF(A1107="","",'ATP Fills'!L1107)</f>
        <v/>
      </c>
      <c r="C1107" t="str">
        <f>IF(A1107="","",'ATP Fills'!M1107)</f>
        <v/>
      </c>
      <c r="D1107" t="str">
        <f>IF(A1107="","",'ATP Fills'!B1107)</f>
        <v/>
      </c>
      <c r="E1107" s="3" t="str">
        <f>IF(A1107="","",IF(DATE(LEFT(D1107,4),MID(D1107,5,2),RIGHT(D1107,2))=Helper1!$P$1,Helper1!$P$1,""))</f>
        <v/>
      </c>
      <c r="F1107" s="3" t="str">
        <f>IF(A1107="","",'ATP Fills'!G1107)</f>
        <v/>
      </c>
      <c r="G1107" t="str">
        <f>IF(A1107="","",'ATP Fills'!H1107)</f>
        <v/>
      </c>
      <c r="H1107" t="str">
        <f>IF(A1107="","",VLOOKUP(G1107,表3_3[],2,0))</f>
        <v/>
      </c>
      <c r="I1107" t="str">
        <f>IF(A1107="","",VLOOKUP(G1107,表3_3[],3,0))</f>
        <v/>
      </c>
      <c r="J1107" t="str">
        <f>IF(A1107="","",IF('ATP Fills'!I1107="3M","",VLOOKUP(RIGHT('ATP Fills'!I1107,2),Helper1!$O$36:$P$48,2,0)))</f>
        <v/>
      </c>
      <c r="K1107" t="str">
        <f>IF(J1107="","",LEFT('ATP Fills'!I1107,4))</f>
        <v/>
      </c>
      <c r="L1107" t="str">
        <f>IF(A1107="","",IF('ATP Fills'!G1107="LME",'ATP Fills'!I1107,""))</f>
        <v/>
      </c>
      <c r="M1107" t="str">
        <f t="shared" si="17"/>
        <v/>
      </c>
    </row>
    <row r="1108" spans="1:13">
      <c r="A1108" t="str">
        <f>IF('ATP Fills'!A1108="","",IF('ATP Fills'!Q1108="PHILLIPSG",'ATP Fills'!F1108,""))</f>
        <v/>
      </c>
      <c r="B1108" t="str">
        <f>IF(A1108="","",'ATP Fills'!L1108)</f>
        <v/>
      </c>
      <c r="C1108" t="str">
        <f>IF(A1108="","",'ATP Fills'!M1108)</f>
        <v/>
      </c>
      <c r="D1108" t="str">
        <f>IF(A1108="","",'ATP Fills'!B1108)</f>
        <v/>
      </c>
      <c r="E1108" s="3" t="str">
        <f>IF(A1108="","",IF(DATE(LEFT(D1108,4),MID(D1108,5,2),RIGHT(D1108,2))=Helper1!$P$1,Helper1!$P$1,""))</f>
        <v/>
      </c>
      <c r="F1108" s="3" t="str">
        <f>IF(A1108="","",'ATP Fills'!G1108)</f>
        <v/>
      </c>
      <c r="G1108" t="str">
        <f>IF(A1108="","",'ATP Fills'!H1108)</f>
        <v/>
      </c>
      <c r="H1108" t="str">
        <f>IF(A1108="","",VLOOKUP(G1108,表3_3[],2,0))</f>
        <v/>
      </c>
      <c r="I1108" t="str">
        <f>IF(A1108="","",VLOOKUP(G1108,表3_3[],3,0))</f>
        <v/>
      </c>
      <c r="J1108" t="str">
        <f>IF(A1108="","",IF('ATP Fills'!I1108="3M","",VLOOKUP(RIGHT('ATP Fills'!I1108,2),Helper1!$O$36:$P$48,2,0)))</f>
        <v/>
      </c>
      <c r="K1108" t="str">
        <f>IF(J1108="","",LEFT('ATP Fills'!I1108,4))</f>
        <v/>
      </c>
      <c r="L1108" t="str">
        <f>IF(A1108="","",IF('ATP Fills'!G1108="LME",'ATP Fills'!I1108,""))</f>
        <v/>
      </c>
      <c r="M1108" t="str">
        <f t="shared" si="17"/>
        <v/>
      </c>
    </row>
    <row r="1109" spans="1:13">
      <c r="A1109" t="str">
        <f>IF('ATP Fills'!A1109="","",IF('ATP Fills'!Q1109="PHILLIPSG",'ATP Fills'!F1109,""))</f>
        <v/>
      </c>
      <c r="B1109" t="str">
        <f>IF(A1109="","",'ATP Fills'!L1109)</f>
        <v/>
      </c>
      <c r="C1109" t="str">
        <f>IF(A1109="","",'ATP Fills'!M1109)</f>
        <v/>
      </c>
      <c r="D1109" t="str">
        <f>IF(A1109="","",'ATP Fills'!B1109)</f>
        <v/>
      </c>
      <c r="E1109" s="3" t="str">
        <f>IF(A1109="","",IF(DATE(LEFT(D1109,4),MID(D1109,5,2),RIGHT(D1109,2))=Helper1!$P$1,Helper1!$P$1,""))</f>
        <v/>
      </c>
      <c r="F1109" s="3" t="str">
        <f>IF(A1109="","",'ATP Fills'!G1109)</f>
        <v/>
      </c>
      <c r="G1109" t="str">
        <f>IF(A1109="","",'ATP Fills'!H1109)</f>
        <v/>
      </c>
      <c r="H1109" t="str">
        <f>IF(A1109="","",VLOOKUP(G1109,表3_3[],2,0))</f>
        <v/>
      </c>
      <c r="I1109" t="str">
        <f>IF(A1109="","",VLOOKUP(G1109,表3_3[],3,0))</f>
        <v/>
      </c>
      <c r="J1109" t="str">
        <f>IF(A1109="","",IF('ATP Fills'!I1109="3M","",VLOOKUP(RIGHT('ATP Fills'!I1109,2),Helper1!$O$36:$P$48,2,0)))</f>
        <v/>
      </c>
      <c r="K1109" t="str">
        <f>IF(J1109="","",LEFT('ATP Fills'!I1109,4))</f>
        <v/>
      </c>
      <c r="L1109" t="str">
        <f>IF(A1109="","",IF('ATP Fills'!G1109="LME",'ATP Fills'!I1109,""))</f>
        <v/>
      </c>
      <c r="M1109" t="str">
        <f t="shared" si="17"/>
        <v/>
      </c>
    </row>
    <row r="1110" spans="1:13">
      <c r="A1110" t="str">
        <f>IF('ATP Fills'!A1110="","",IF('ATP Fills'!Q1110="PHILLIPSG",'ATP Fills'!F1110,""))</f>
        <v/>
      </c>
      <c r="B1110" t="str">
        <f>IF(A1110="","",'ATP Fills'!L1110)</f>
        <v/>
      </c>
      <c r="C1110" t="str">
        <f>IF(A1110="","",'ATP Fills'!M1110)</f>
        <v/>
      </c>
      <c r="D1110" t="str">
        <f>IF(A1110="","",'ATP Fills'!B1110)</f>
        <v/>
      </c>
      <c r="E1110" s="3" t="str">
        <f>IF(A1110="","",IF(DATE(LEFT(D1110,4),MID(D1110,5,2),RIGHT(D1110,2))=Helper1!$P$1,Helper1!$P$1,""))</f>
        <v/>
      </c>
      <c r="F1110" s="3" t="str">
        <f>IF(A1110="","",'ATP Fills'!G1110)</f>
        <v/>
      </c>
      <c r="G1110" t="str">
        <f>IF(A1110="","",'ATP Fills'!H1110)</f>
        <v/>
      </c>
      <c r="H1110" t="str">
        <f>IF(A1110="","",VLOOKUP(G1110,表3_3[],2,0))</f>
        <v/>
      </c>
      <c r="I1110" t="str">
        <f>IF(A1110="","",VLOOKUP(G1110,表3_3[],3,0))</f>
        <v/>
      </c>
      <c r="J1110" t="str">
        <f>IF(A1110="","",IF('ATP Fills'!I1110="3M","",VLOOKUP(RIGHT('ATP Fills'!I1110,2),Helper1!$O$36:$P$48,2,0)))</f>
        <v/>
      </c>
      <c r="K1110" t="str">
        <f>IF(J1110="","",LEFT('ATP Fills'!I1110,4))</f>
        <v/>
      </c>
      <c r="L1110" t="str">
        <f>IF(A1110="","",IF('ATP Fills'!G1110="LME",'ATP Fills'!I1110,""))</f>
        <v/>
      </c>
      <c r="M1110" t="str">
        <f t="shared" si="17"/>
        <v/>
      </c>
    </row>
    <row r="1111" spans="1:13">
      <c r="A1111" t="str">
        <f>IF('ATP Fills'!A1111="","",IF('ATP Fills'!Q1111="PHILLIPSG",'ATP Fills'!F1111,""))</f>
        <v/>
      </c>
      <c r="B1111" t="str">
        <f>IF(A1111="","",'ATP Fills'!L1111)</f>
        <v/>
      </c>
      <c r="C1111" t="str">
        <f>IF(A1111="","",'ATP Fills'!M1111)</f>
        <v/>
      </c>
      <c r="D1111" t="str">
        <f>IF(A1111="","",'ATP Fills'!B1111)</f>
        <v/>
      </c>
      <c r="E1111" s="3" t="str">
        <f>IF(A1111="","",IF(DATE(LEFT(D1111,4),MID(D1111,5,2),RIGHT(D1111,2))=Helper1!$P$1,Helper1!$P$1,""))</f>
        <v/>
      </c>
      <c r="F1111" s="3" t="str">
        <f>IF(A1111="","",'ATP Fills'!G1111)</f>
        <v/>
      </c>
      <c r="G1111" t="str">
        <f>IF(A1111="","",'ATP Fills'!H1111)</f>
        <v/>
      </c>
      <c r="H1111" t="str">
        <f>IF(A1111="","",VLOOKUP(G1111,表3_3[],2,0))</f>
        <v/>
      </c>
      <c r="I1111" t="str">
        <f>IF(A1111="","",VLOOKUP(G1111,表3_3[],3,0))</f>
        <v/>
      </c>
      <c r="J1111" t="str">
        <f>IF(A1111="","",IF('ATP Fills'!I1111="3M","",VLOOKUP(RIGHT('ATP Fills'!I1111,2),Helper1!$O$36:$P$48,2,0)))</f>
        <v/>
      </c>
      <c r="K1111" t="str">
        <f>IF(J1111="","",LEFT('ATP Fills'!I1111,4))</f>
        <v/>
      </c>
      <c r="L1111" t="str">
        <f>IF(A1111="","",IF('ATP Fills'!G1111="LME",'ATP Fills'!I1111,""))</f>
        <v/>
      </c>
      <c r="M1111" t="str">
        <f t="shared" si="17"/>
        <v/>
      </c>
    </row>
    <row r="1112" spans="1:13">
      <c r="A1112" t="str">
        <f>IF('ATP Fills'!A1112="","",IF('ATP Fills'!Q1112="PHILLIPSG",'ATP Fills'!F1112,""))</f>
        <v/>
      </c>
      <c r="B1112" t="str">
        <f>IF(A1112="","",'ATP Fills'!L1112)</f>
        <v/>
      </c>
      <c r="C1112" t="str">
        <f>IF(A1112="","",'ATP Fills'!M1112)</f>
        <v/>
      </c>
      <c r="D1112" t="str">
        <f>IF(A1112="","",'ATP Fills'!B1112)</f>
        <v/>
      </c>
      <c r="E1112" s="3" t="str">
        <f>IF(A1112="","",IF(DATE(LEFT(D1112,4),MID(D1112,5,2),RIGHT(D1112,2))=Helper1!$P$1,Helper1!$P$1,""))</f>
        <v/>
      </c>
      <c r="F1112" s="3" t="str">
        <f>IF(A1112="","",'ATP Fills'!G1112)</f>
        <v/>
      </c>
      <c r="G1112" t="str">
        <f>IF(A1112="","",'ATP Fills'!H1112)</f>
        <v/>
      </c>
      <c r="H1112" t="str">
        <f>IF(A1112="","",VLOOKUP(G1112,表3_3[],2,0))</f>
        <v/>
      </c>
      <c r="I1112" t="str">
        <f>IF(A1112="","",VLOOKUP(G1112,表3_3[],3,0))</f>
        <v/>
      </c>
      <c r="J1112" t="str">
        <f>IF(A1112="","",IF('ATP Fills'!I1112="3M","",VLOOKUP(RIGHT('ATP Fills'!I1112,2),Helper1!$O$36:$P$48,2,0)))</f>
        <v/>
      </c>
      <c r="K1112" t="str">
        <f>IF(J1112="","",LEFT('ATP Fills'!I1112,4))</f>
        <v/>
      </c>
      <c r="L1112" t="str">
        <f>IF(A1112="","",IF('ATP Fills'!G1112="LME",'ATP Fills'!I1112,""))</f>
        <v/>
      </c>
      <c r="M1112" t="str">
        <f t="shared" si="17"/>
        <v/>
      </c>
    </row>
    <row r="1113" spans="1:13">
      <c r="A1113" t="str">
        <f>IF('ATP Fills'!A1113="","",IF('ATP Fills'!Q1113="PHILLIPSG",'ATP Fills'!F1113,""))</f>
        <v/>
      </c>
      <c r="B1113" t="str">
        <f>IF(A1113="","",'ATP Fills'!L1113)</f>
        <v/>
      </c>
      <c r="C1113" t="str">
        <f>IF(A1113="","",'ATP Fills'!M1113)</f>
        <v/>
      </c>
      <c r="D1113" t="str">
        <f>IF(A1113="","",'ATP Fills'!B1113)</f>
        <v/>
      </c>
      <c r="E1113" s="3" t="str">
        <f>IF(A1113="","",IF(DATE(LEFT(D1113,4),MID(D1113,5,2),RIGHT(D1113,2))=Helper1!$P$1,Helper1!$P$1,""))</f>
        <v/>
      </c>
      <c r="F1113" s="3" t="str">
        <f>IF(A1113="","",'ATP Fills'!G1113)</f>
        <v/>
      </c>
      <c r="G1113" t="str">
        <f>IF(A1113="","",'ATP Fills'!H1113)</f>
        <v/>
      </c>
      <c r="H1113" t="str">
        <f>IF(A1113="","",VLOOKUP(G1113,表3_3[],2,0))</f>
        <v/>
      </c>
      <c r="I1113" t="str">
        <f>IF(A1113="","",VLOOKUP(G1113,表3_3[],3,0))</f>
        <v/>
      </c>
      <c r="J1113" t="str">
        <f>IF(A1113="","",IF('ATP Fills'!I1113="3M","",VLOOKUP(RIGHT('ATP Fills'!I1113,2),Helper1!$O$36:$P$48,2,0)))</f>
        <v/>
      </c>
      <c r="K1113" t="str">
        <f>IF(J1113="","",LEFT('ATP Fills'!I1113,4))</f>
        <v/>
      </c>
      <c r="L1113" t="str">
        <f>IF(A1113="","",IF('ATP Fills'!G1113="LME",'ATP Fills'!I1113,""))</f>
        <v/>
      </c>
      <c r="M1113" t="str">
        <f t="shared" si="17"/>
        <v/>
      </c>
    </row>
    <row r="1114" spans="1:13">
      <c r="A1114" t="str">
        <f>IF('ATP Fills'!A1114="","",IF('ATP Fills'!Q1114="PHILLIPSG",'ATP Fills'!F1114,""))</f>
        <v/>
      </c>
      <c r="B1114" t="str">
        <f>IF(A1114="","",'ATP Fills'!L1114)</f>
        <v/>
      </c>
      <c r="C1114" t="str">
        <f>IF(A1114="","",'ATP Fills'!M1114)</f>
        <v/>
      </c>
      <c r="D1114" t="str">
        <f>IF(A1114="","",'ATP Fills'!B1114)</f>
        <v/>
      </c>
      <c r="E1114" s="3" t="str">
        <f>IF(A1114="","",IF(DATE(LEFT(D1114,4),MID(D1114,5,2),RIGHT(D1114,2))=Helper1!$P$1,Helper1!$P$1,""))</f>
        <v/>
      </c>
      <c r="F1114" s="3" t="str">
        <f>IF(A1114="","",'ATP Fills'!G1114)</f>
        <v/>
      </c>
      <c r="G1114" t="str">
        <f>IF(A1114="","",'ATP Fills'!H1114)</f>
        <v/>
      </c>
      <c r="H1114" t="str">
        <f>IF(A1114="","",VLOOKUP(G1114,表3_3[],2,0))</f>
        <v/>
      </c>
      <c r="I1114" t="str">
        <f>IF(A1114="","",VLOOKUP(G1114,表3_3[],3,0))</f>
        <v/>
      </c>
      <c r="J1114" t="str">
        <f>IF(A1114="","",IF('ATP Fills'!I1114="3M","",VLOOKUP(RIGHT('ATP Fills'!I1114,2),Helper1!$O$36:$P$48,2,0)))</f>
        <v/>
      </c>
      <c r="K1114" t="str">
        <f>IF(J1114="","",LEFT('ATP Fills'!I1114,4))</f>
        <v/>
      </c>
      <c r="L1114" t="str">
        <f>IF(A1114="","",IF('ATP Fills'!G1114="LME",'ATP Fills'!I1114,""))</f>
        <v/>
      </c>
      <c r="M1114" t="str">
        <f t="shared" si="17"/>
        <v/>
      </c>
    </row>
    <row r="1115" spans="1:13">
      <c r="A1115" t="str">
        <f>IF('ATP Fills'!A1115="","",IF('ATP Fills'!Q1115="PHILLIPSG",'ATP Fills'!F1115,""))</f>
        <v/>
      </c>
      <c r="B1115" t="str">
        <f>IF(A1115="","",'ATP Fills'!L1115)</f>
        <v/>
      </c>
      <c r="C1115" t="str">
        <f>IF(A1115="","",'ATP Fills'!M1115)</f>
        <v/>
      </c>
      <c r="D1115" t="str">
        <f>IF(A1115="","",'ATP Fills'!B1115)</f>
        <v/>
      </c>
      <c r="E1115" s="3" t="str">
        <f>IF(A1115="","",IF(DATE(LEFT(D1115,4),MID(D1115,5,2),RIGHT(D1115,2))=Helper1!$P$1,Helper1!$P$1,""))</f>
        <v/>
      </c>
      <c r="F1115" s="3" t="str">
        <f>IF(A1115="","",'ATP Fills'!G1115)</f>
        <v/>
      </c>
      <c r="G1115" t="str">
        <f>IF(A1115="","",'ATP Fills'!H1115)</f>
        <v/>
      </c>
      <c r="H1115" t="str">
        <f>IF(A1115="","",VLOOKUP(G1115,表3_3[],2,0))</f>
        <v/>
      </c>
      <c r="I1115" t="str">
        <f>IF(A1115="","",VLOOKUP(G1115,表3_3[],3,0))</f>
        <v/>
      </c>
      <c r="J1115" t="str">
        <f>IF(A1115="","",IF('ATP Fills'!I1115="3M","",VLOOKUP(RIGHT('ATP Fills'!I1115,2),Helper1!$O$36:$P$48,2,0)))</f>
        <v/>
      </c>
      <c r="K1115" t="str">
        <f>IF(J1115="","",LEFT('ATP Fills'!I1115,4))</f>
        <v/>
      </c>
      <c r="L1115" t="str">
        <f>IF(A1115="","",IF('ATP Fills'!G1115="LME",'ATP Fills'!I1115,""))</f>
        <v/>
      </c>
      <c r="M1115" t="str">
        <f t="shared" si="17"/>
        <v/>
      </c>
    </row>
    <row r="1116" spans="1:13">
      <c r="A1116" t="str">
        <f>IF('ATP Fills'!A1116="","",IF('ATP Fills'!Q1116="PHILLIPSG",'ATP Fills'!F1116,""))</f>
        <v/>
      </c>
      <c r="B1116" t="str">
        <f>IF(A1116="","",'ATP Fills'!L1116)</f>
        <v/>
      </c>
      <c r="C1116" t="str">
        <f>IF(A1116="","",'ATP Fills'!M1116)</f>
        <v/>
      </c>
      <c r="D1116" t="str">
        <f>IF(A1116="","",'ATP Fills'!B1116)</f>
        <v/>
      </c>
      <c r="E1116" s="3" t="str">
        <f>IF(A1116="","",IF(DATE(LEFT(D1116,4),MID(D1116,5,2),RIGHT(D1116,2))=Helper1!$P$1,Helper1!$P$1,""))</f>
        <v/>
      </c>
      <c r="F1116" s="3" t="str">
        <f>IF(A1116="","",'ATP Fills'!G1116)</f>
        <v/>
      </c>
      <c r="G1116" t="str">
        <f>IF(A1116="","",'ATP Fills'!H1116)</f>
        <v/>
      </c>
      <c r="H1116" t="str">
        <f>IF(A1116="","",VLOOKUP(G1116,表3_3[],2,0))</f>
        <v/>
      </c>
      <c r="I1116" t="str">
        <f>IF(A1116="","",VLOOKUP(G1116,表3_3[],3,0))</f>
        <v/>
      </c>
      <c r="J1116" t="str">
        <f>IF(A1116="","",IF('ATP Fills'!I1116="3M","",VLOOKUP(RIGHT('ATP Fills'!I1116,2),Helper1!$O$36:$P$48,2,0)))</f>
        <v/>
      </c>
      <c r="K1116" t="str">
        <f>IF(J1116="","",LEFT('ATP Fills'!I1116,4))</f>
        <v/>
      </c>
      <c r="L1116" t="str">
        <f>IF(A1116="","",IF('ATP Fills'!G1116="LME",'ATP Fills'!I1116,""))</f>
        <v/>
      </c>
      <c r="M1116" t="str">
        <f t="shared" si="17"/>
        <v/>
      </c>
    </row>
    <row r="1117" spans="1:13">
      <c r="A1117" t="str">
        <f>IF('ATP Fills'!A1117="","",IF('ATP Fills'!Q1117="PHILLIPSG",'ATP Fills'!F1117,""))</f>
        <v/>
      </c>
      <c r="B1117" t="str">
        <f>IF(A1117="","",'ATP Fills'!L1117)</f>
        <v/>
      </c>
      <c r="C1117" t="str">
        <f>IF(A1117="","",'ATP Fills'!M1117)</f>
        <v/>
      </c>
      <c r="D1117" t="str">
        <f>IF(A1117="","",'ATP Fills'!B1117)</f>
        <v/>
      </c>
      <c r="E1117" s="3" t="str">
        <f>IF(A1117="","",IF(DATE(LEFT(D1117,4),MID(D1117,5,2),RIGHT(D1117,2))=Helper1!$P$1,Helper1!$P$1,""))</f>
        <v/>
      </c>
      <c r="F1117" s="3" t="str">
        <f>IF(A1117="","",'ATP Fills'!G1117)</f>
        <v/>
      </c>
      <c r="G1117" t="str">
        <f>IF(A1117="","",'ATP Fills'!H1117)</f>
        <v/>
      </c>
      <c r="H1117" t="str">
        <f>IF(A1117="","",VLOOKUP(G1117,表3_3[],2,0))</f>
        <v/>
      </c>
      <c r="I1117" t="str">
        <f>IF(A1117="","",VLOOKUP(G1117,表3_3[],3,0))</f>
        <v/>
      </c>
      <c r="J1117" t="str">
        <f>IF(A1117="","",IF('ATP Fills'!I1117="3M","",VLOOKUP(RIGHT('ATP Fills'!I1117,2),Helper1!$O$36:$P$48,2,0)))</f>
        <v/>
      </c>
      <c r="K1117" t="str">
        <f>IF(J1117="","",LEFT('ATP Fills'!I1117,4))</f>
        <v/>
      </c>
      <c r="L1117" t="str">
        <f>IF(A1117="","",IF('ATP Fills'!G1117="LME",'ATP Fills'!I1117,""))</f>
        <v/>
      </c>
      <c r="M1117" t="str">
        <f t="shared" si="17"/>
        <v/>
      </c>
    </row>
    <row r="1118" spans="1:13">
      <c r="A1118" t="str">
        <f>IF('ATP Fills'!A1118="","",IF('ATP Fills'!Q1118="PHILLIPSG",'ATP Fills'!F1118,""))</f>
        <v/>
      </c>
      <c r="B1118" t="str">
        <f>IF(A1118="","",'ATP Fills'!L1118)</f>
        <v/>
      </c>
      <c r="C1118" t="str">
        <f>IF(A1118="","",'ATP Fills'!M1118)</f>
        <v/>
      </c>
      <c r="D1118" t="str">
        <f>IF(A1118="","",'ATP Fills'!B1118)</f>
        <v/>
      </c>
      <c r="E1118" s="3" t="str">
        <f>IF(A1118="","",IF(DATE(LEFT(D1118,4),MID(D1118,5,2),RIGHT(D1118,2))=Helper1!$P$1,Helper1!$P$1,""))</f>
        <v/>
      </c>
      <c r="F1118" s="3" t="str">
        <f>IF(A1118="","",'ATP Fills'!G1118)</f>
        <v/>
      </c>
      <c r="G1118" t="str">
        <f>IF(A1118="","",'ATP Fills'!H1118)</f>
        <v/>
      </c>
      <c r="H1118" t="str">
        <f>IF(A1118="","",VLOOKUP(G1118,表3_3[],2,0))</f>
        <v/>
      </c>
      <c r="I1118" t="str">
        <f>IF(A1118="","",VLOOKUP(G1118,表3_3[],3,0))</f>
        <v/>
      </c>
      <c r="J1118" t="str">
        <f>IF(A1118="","",IF('ATP Fills'!I1118="3M","",VLOOKUP(RIGHT('ATP Fills'!I1118,2),Helper1!$O$36:$P$48,2,0)))</f>
        <v/>
      </c>
      <c r="K1118" t="str">
        <f>IF(J1118="","",LEFT('ATP Fills'!I1118,4))</f>
        <v/>
      </c>
      <c r="L1118" t="str">
        <f>IF(A1118="","",IF('ATP Fills'!G1118="LME",'ATP Fills'!I1118,""))</f>
        <v/>
      </c>
      <c r="M1118" t="str">
        <f t="shared" si="17"/>
        <v/>
      </c>
    </row>
    <row r="1119" spans="1:13">
      <c r="A1119" t="str">
        <f>IF('ATP Fills'!A1119="","",IF('ATP Fills'!Q1119="PHILLIPSG",'ATP Fills'!F1119,""))</f>
        <v/>
      </c>
      <c r="B1119" t="str">
        <f>IF(A1119="","",'ATP Fills'!L1119)</f>
        <v/>
      </c>
      <c r="C1119" t="str">
        <f>IF(A1119="","",'ATP Fills'!M1119)</f>
        <v/>
      </c>
      <c r="D1119" t="str">
        <f>IF(A1119="","",'ATP Fills'!B1119)</f>
        <v/>
      </c>
      <c r="E1119" s="3" t="str">
        <f>IF(A1119="","",IF(DATE(LEFT(D1119,4),MID(D1119,5,2),RIGHT(D1119,2))=Helper1!$P$1,Helper1!$P$1,""))</f>
        <v/>
      </c>
      <c r="F1119" s="3" t="str">
        <f>IF(A1119="","",'ATP Fills'!G1119)</f>
        <v/>
      </c>
      <c r="G1119" t="str">
        <f>IF(A1119="","",'ATP Fills'!H1119)</f>
        <v/>
      </c>
      <c r="H1119" t="str">
        <f>IF(A1119="","",VLOOKUP(G1119,表3_3[],2,0))</f>
        <v/>
      </c>
      <c r="I1119" t="str">
        <f>IF(A1119="","",VLOOKUP(G1119,表3_3[],3,0))</f>
        <v/>
      </c>
      <c r="J1119" t="str">
        <f>IF(A1119="","",IF('ATP Fills'!I1119="3M","",VLOOKUP(RIGHT('ATP Fills'!I1119,2),Helper1!$O$36:$P$48,2,0)))</f>
        <v/>
      </c>
      <c r="K1119" t="str">
        <f>IF(J1119="","",LEFT('ATP Fills'!I1119,4))</f>
        <v/>
      </c>
      <c r="L1119" t="str">
        <f>IF(A1119="","",IF('ATP Fills'!G1119="LME",'ATP Fills'!I1119,""))</f>
        <v/>
      </c>
      <c r="M1119" t="str">
        <f t="shared" si="17"/>
        <v/>
      </c>
    </row>
    <row r="1120" spans="1:13">
      <c r="A1120" t="str">
        <f>IF('ATP Fills'!A1120="","",IF('ATP Fills'!Q1120="PHILLIPSG",'ATP Fills'!F1120,""))</f>
        <v/>
      </c>
      <c r="B1120" t="str">
        <f>IF(A1120="","",'ATP Fills'!L1120)</f>
        <v/>
      </c>
      <c r="C1120" t="str">
        <f>IF(A1120="","",'ATP Fills'!M1120)</f>
        <v/>
      </c>
      <c r="D1120" t="str">
        <f>IF(A1120="","",'ATP Fills'!B1120)</f>
        <v/>
      </c>
      <c r="E1120" s="3" t="str">
        <f>IF(A1120="","",IF(DATE(LEFT(D1120,4),MID(D1120,5,2),RIGHT(D1120,2))=Helper1!$P$1,Helper1!$P$1,""))</f>
        <v/>
      </c>
      <c r="F1120" s="3" t="str">
        <f>IF(A1120="","",'ATP Fills'!G1120)</f>
        <v/>
      </c>
      <c r="G1120" t="str">
        <f>IF(A1120="","",'ATP Fills'!H1120)</f>
        <v/>
      </c>
      <c r="H1120" t="str">
        <f>IF(A1120="","",VLOOKUP(G1120,表3_3[],2,0))</f>
        <v/>
      </c>
      <c r="I1120" t="str">
        <f>IF(A1120="","",VLOOKUP(G1120,表3_3[],3,0))</f>
        <v/>
      </c>
      <c r="J1120" t="str">
        <f>IF(A1120="","",IF('ATP Fills'!I1120="3M","",VLOOKUP(RIGHT('ATP Fills'!I1120,2),Helper1!$O$36:$P$48,2,0)))</f>
        <v/>
      </c>
      <c r="K1120" t="str">
        <f>IF(J1120="","",LEFT('ATP Fills'!I1120,4))</f>
        <v/>
      </c>
      <c r="L1120" t="str">
        <f>IF(A1120="","",IF('ATP Fills'!G1120="LME",'ATP Fills'!I1120,""))</f>
        <v/>
      </c>
      <c r="M1120" t="str">
        <f t="shared" si="17"/>
        <v/>
      </c>
    </row>
    <row r="1121" spans="1:13">
      <c r="A1121" t="str">
        <f>IF('ATP Fills'!A1121="","",IF('ATP Fills'!Q1121="PHILLIPSG",'ATP Fills'!F1121,""))</f>
        <v/>
      </c>
      <c r="B1121" t="str">
        <f>IF(A1121="","",'ATP Fills'!L1121)</f>
        <v/>
      </c>
      <c r="C1121" t="str">
        <f>IF(A1121="","",'ATP Fills'!M1121)</f>
        <v/>
      </c>
      <c r="D1121" t="str">
        <f>IF(A1121="","",'ATP Fills'!B1121)</f>
        <v/>
      </c>
      <c r="E1121" s="3" t="str">
        <f>IF(A1121="","",IF(DATE(LEFT(D1121,4),MID(D1121,5,2),RIGHT(D1121,2))=Helper1!$P$1,Helper1!$P$1,""))</f>
        <v/>
      </c>
      <c r="F1121" s="3" t="str">
        <f>IF(A1121="","",'ATP Fills'!G1121)</f>
        <v/>
      </c>
      <c r="G1121" t="str">
        <f>IF(A1121="","",'ATP Fills'!H1121)</f>
        <v/>
      </c>
      <c r="H1121" t="str">
        <f>IF(A1121="","",VLOOKUP(G1121,表3_3[],2,0))</f>
        <v/>
      </c>
      <c r="I1121" t="str">
        <f>IF(A1121="","",VLOOKUP(G1121,表3_3[],3,0))</f>
        <v/>
      </c>
      <c r="J1121" t="str">
        <f>IF(A1121="","",IF('ATP Fills'!I1121="3M","",VLOOKUP(RIGHT('ATP Fills'!I1121,2),Helper1!$O$36:$P$48,2,0)))</f>
        <v/>
      </c>
      <c r="K1121" t="str">
        <f>IF(J1121="","",LEFT('ATP Fills'!I1121,4))</f>
        <v/>
      </c>
      <c r="L1121" t="str">
        <f>IF(A1121="","",IF('ATP Fills'!G1121="LME",'ATP Fills'!I1121,""))</f>
        <v/>
      </c>
      <c r="M1121" t="str">
        <f t="shared" si="17"/>
        <v/>
      </c>
    </row>
    <row r="1122" spans="1:13">
      <c r="A1122" t="str">
        <f>IF('ATP Fills'!A1122="","",IF('ATP Fills'!Q1122="PHILLIPSG",'ATP Fills'!F1122,""))</f>
        <v/>
      </c>
      <c r="B1122" t="str">
        <f>IF(A1122="","",'ATP Fills'!L1122)</f>
        <v/>
      </c>
      <c r="C1122" t="str">
        <f>IF(A1122="","",'ATP Fills'!M1122)</f>
        <v/>
      </c>
      <c r="D1122" t="str">
        <f>IF(A1122="","",'ATP Fills'!B1122)</f>
        <v/>
      </c>
      <c r="E1122" s="3" t="str">
        <f>IF(A1122="","",IF(DATE(LEFT(D1122,4),MID(D1122,5,2),RIGHT(D1122,2))=Helper1!$P$1,Helper1!$P$1,""))</f>
        <v/>
      </c>
      <c r="F1122" s="3" t="str">
        <f>IF(A1122="","",'ATP Fills'!G1122)</f>
        <v/>
      </c>
      <c r="G1122" t="str">
        <f>IF(A1122="","",'ATP Fills'!H1122)</f>
        <v/>
      </c>
      <c r="H1122" t="str">
        <f>IF(A1122="","",VLOOKUP(G1122,表3_3[],2,0))</f>
        <v/>
      </c>
      <c r="I1122" t="str">
        <f>IF(A1122="","",VLOOKUP(G1122,表3_3[],3,0))</f>
        <v/>
      </c>
      <c r="J1122" t="str">
        <f>IF(A1122="","",IF('ATP Fills'!I1122="3M","",VLOOKUP(RIGHT('ATP Fills'!I1122,2),Helper1!$O$36:$P$48,2,0)))</f>
        <v/>
      </c>
      <c r="K1122" t="str">
        <f>IF(J1122="","",LEFT('ATP Fills'!I1122,4))</f>
        <v/>
      </c>
      <c r="L1122" t="str">
        <f>IF(A1122="","",IF('ATP Fills'!G1122="LME",'ATP Fills'!I1122,""))</f>
        <v/>
      </c>
      <c r="M1122" t="str">
        <f t="shared" si="17"/>
        <v/>
      </c>
    </row>
    <row r="1123" spans="1:13">
      <c r="A1123" t="str">
        <f>IF('ATP Fills'!A1123="","",IF('ATP Fills'!Q1123="PHILLIPSG",'ATP Fills'!F1123,""))</f>
        <v/>
      </c>
      <c r="B1123" t="str">
        <f>IF(A1123="","",'ATP Fills'!L1123)</f>
        <v/>
      </c>
      <c r="C1123" t="str">
        <f>IF(A1123="","",'ATP Fills'!M1123)</f>
        <v/>
      </c>
      <c r="D1123" t="str">
        <f>IF(A1123="","",'ATP Fills'!B1123)</f>
        <v/>
      </c>
      <c r="E1123" s="3" t="str">
        <f>IF(A1123="","",IF(DATE(LEFT(D1123,4),MID(D1123,5,2),RIGHT(D1123,2))=Helper1!$P$1,Helper1!$P$1,""))</f>
        <v/>
      </c>
      <c r="F1123" s="3" t="str">
        <f>IF(A1123="","",'ATP Fills'!G1123)</f>
        <v/>
      </c>
      <c r="G1123" t="str">
        <f>IF(A1123="","",'ATP Fills'!H1123)</f>
        <v/>
      </c>
      <c r="H1123" t="str">
        <f>IF(A1123="","",VLOOKUP(G1123,表3_3[],2,0))</f>
        <v/>
      </c>
      <c r="I1123" t="str">
        <f>IF(A1123="","",VLOOKUP(G1123,表3_3[],3,0))</f>
        <v/>
      </c>
      <c r="J1123" t="str">
        <f>IF(A1123="","",IF('ATP Fills'!I1123="3M","",VLOOKUP(RIGHT('ATP Fills'!I1123,2),Helper1!$O$36:$P$48,2,0)))</f>
        <v/>
      </c>
      <c r="K1123" t="str">
        <f>IF(J1123="","",LEFT('ATP Fills'!I1123,4))</f>
        <v/>
      </c>
      <c r="L1123" t="str">
        <f>IF(A1123="","",IF('ATP Fills'!G1123="LME",'ATP Fills'!I1123,""))</f>
        <v/>
      </c>
      <c r="M1123" t="str">
        <f t="shared" si="17"/>
        <v/>
      </c>
    </row>
    <row r="1124" spans="1:13">
      <c r="A1124" t="str">
        <f>IF('ATP Fills'!A1124="","",IF('ATP Fills'!Q1124="PHILLIPSG",'ATP Fills'!F1124,""))</f>
        <v/>
      </c>
      <c r="B1124" t="str">
        <f>IF(A1124="","",'ATP Fills'!L1124)</f>
        <v/>
      </c>
      <c r="C1124" t="str">
        <f>IF(A1124="","",'ATP Fills'!M1124)</f>
        <v/>
      </c>
      <c r="D1124" t="str">
        <f>IF(A1124="","",'ATP Fills'!B1124)</f>
        <v/>
      </c>
      <c r="E1124" s="3" t="str">
        <f>IF(A1124="","",IF(DATE(LEFT(D1124,4),MID(D1124,5,2),RIGHT(D1124,2))=Helper1!$P$1,Helper1!$P$1,""))</f>
        <v/>
      </c>
      <c r="F1124" s="3" t="str">
        <f>IF(A1124="","",'ATP Fills'!G1124)</f>
        <v/>
      </c>
      <c r="G1124" t="str">
        <f>IF(A1124="","",'ATP Fills'!H1124)</f>
        <v/>
      </c>
      <c r="H1124" t="str">
        <f>IF(A1124="","",VLOOKUP(G1124,表3_3[],2,0))</f>
        <v/>
      </c>
      <c r="I1124" t="str">
        <f>IF(A1124="","",VLOOKUP(G1124,表3_3[],3,0))</f>
        <v/>
      </c>
      <c r="J1124" t="str">
        <f>IF(A1124="","",IF('ATP Fills'!I1124="3M","",VLOOKUP(RIGHT('ATP Fills'!I1124,2),Helper1!$O$36:$P$48,2,0)))</f>
        <v/>
      </c>
      <c r="K1124" t="str">
        <f>IF(J1124="","",LEFT('ATP Fills'!I1124,4))</f>
        <v/>
      </c>
      <c r="L1124" t="str">
        <f>IF(A1124="","",IF('ATP Fills'!G1124="LME",'ATP Fills'!I1124,""))</f>
        <v/>
      </c>
      <c r="M1124" t="str">
        <f t="shared" si="17"/>
        <v/>
      </c>
    </row>
    <row r="1125" spans="1:13">
      <c r="A1125" t="str">
        <f>IF('ATP Fills'!A1125="","",IF('ATP Fills'!Q1125="PHILLIPSG",'ATP Fills'!F1125,""))</f>
        <v/>
      </c>
      <c r="B1125" t="str">
        <f>IF(A1125="","",'ATP Fills'!L1125)</f>
        <v/>
      </c>
      <c r="C1125" t="str">
        <f>IF(A1125="","",'ATP Fills'!M1125)</f>
        <v/>
      </c>
      <c r="D1125" t="str">
        <f>IF(A1125="","",'ATP Fills'!B1125)</f>
        <v/>
      </c>
      <c r="E1125" s="3" t="str">
        <f>IF(A1125="","",IF(DATE(LEFT(D1125,4),MID(D1125,5,2),RIGHT(D1125,2))=Helper1!$P$1,Helper1!$P$1,""))</f>
        <v/>
      </c>
      <c r="F1125" s="3" t="str">
        <f>IF(A1125="","",'ATP Fills'!G1125)</f>
        <v/>
      </c>
      <c r="G1125" t="str">
        <f>IF(A1125="","",'ATP Fills'!H1125)</f>
        <v/>
      </c>
      <c r="H1125" t="str">
        <f>IF(A1125="","",VLOOKUP(G1125,表3_3[],2,0))</f>
        <v/>
      </c>
      <c r="I1125" t="str">
        <f>IF(A1125="","",VLOOKUP(G1125,表3_3[],3,0))</f>
        <v/>
      </c>
      <c r="J1125" t="str">
        <f>IF(A1125="","",IF('ATP Fills'!I1125="3M","",VLOOKUP(RIGHT('ATP Fills'!I1125,2),Helper1!$O$36:$P$48,2,0)))</f>
        <v/>
      </c>
      <c r="K1125" t="str">
        <f>IF(J1125="","",LEFT('ATP Fills'!I1125,4))</f>
        <v/>
      </c>
      <c r="L1125" t="str">
        <f>IF(A1125="","",IF('ATP Fills'!G1125="LME",'ATP Fills'!I1125,""))</f>
        <v/>
      </c>
      <c r="M1125" t="str">
        <f t="shared" si="17"/>
        <v/>
      </c>
    </row>
    <row r="1126" spans="1:13">
      <c r="A1126" t="str">
        <f>IF('ATP Fills'!A1126="","",IF('ATP Fills'!Q1126="PHILLIPSG",'ATP Fills'!F1126,""))</f>
        <v/>
      </c>
      <c r="B1126" t="str">
        <f>IF(A1126="","",'ATP Fills'!L1126)</f>
        <v/>
      </c>
      <c r="C1126" t="str">
        <f>IF(A1126="","",'ATP Fills'!M1126)</f>
        <v/>
      </c>
      <c r="D1126" t="str">
        <f>IF(A1126="","",'ATP Fills'!B1126)</f>
        <v/>
      </c>
      <c r="E1126" s="3" t="str">
        <f>IF(A1126="","",IF(DATE(LEFT(D1126,4),MID(D1126,5,2),RIGHT(D1126,2))=Helper1!$P$1,Helper1!$P$1,""))</f>
        <v/>
      </c>
      <c r="F1126" s="3" t="str">
        <f>IF(A1126="","",'ATP Fills'!G1126)</f>
        <v/>
      </c>
      <c r="G1126" t="str">
        <f>IF(A1126="","",'ATP Fills'!H1126)</f>
        <v/>
      </c>
      <c r="H1126" t="str">
        <f>IF(A1126="","",VLOOKUP(G1126,表3_3[],2,0))</f>
        <v/>
      </c>
      <c r="I1126" t="str">
        <f>IF(A1126="","",VLOOKUP(G1126,表3_3[],3,0))</f>
        <v/>
      </c>
      <c r="J1126" t="str">
        <f>IF(A1126="","",IF('ATP Fills'!I1126="3M","",VLOOKUP(RIGHT('ATP Fills'!I1126,2),Helper1!$O$36:$P$48,2,0)))</f>
        <v/>
      </c>
      <c r="K1126" t="str">
        <f>IF(J1126="","",LEFT('ATP Fills'!I1126,4))</f>
        <v/>
      </c>
      <c r="L1126" t="str">
        <f>IF(A1126="","",IF('ATP Fills'!G1126="LME",'ATP Fills'!I1126,""))</f>
        <v/>
      </c>
      <c r="M1126" t="str">
        <f t="shared" si="17"/>
        <v/>
      </c>
    </row>
    <row r="1127" spans="1:13">
      <c r="A1127" t="str">
        <f>IF('ATP Fills'!A1127="","",IF('ATP Fills'!Q1127="PHILLIPSG",'ATP Fills'!F1127,""))</f>
        <v/>
      </c>
      <c r="B1127" t="str">
        <f>IF(A1127="","",'ATP Fills'!L1127)</f>
        <v/>
      </c>
      <c r="C1127" t="str">
        <f>IF(A1127="","",'ATP Fills'!M1127)</f>
        <v/>
      </c>
      <c r="D1127" t="str">
        <f>IF(A1127="","",'ATP Fills'!B1127)</f>
        <v/>
      </c>
      <c r="E1127" s="3" t="str">
        <f>IF(A1127="","",IF(DATE(LEFT(D1127,4),MID(D1127,5,2),RIGHT(D1127,2))=Helper1!$P$1,Helper1!$P$1,""))</f>
        <v/>
      </c>
      <c r="F1127" s="3" t="str">
        <f>IF(A1127="","",'ATP Fills'!G1127)</f>
        <v/>
      </c>
      <c r="G1127" t="str">
        <f>IF(A1127="","",'ATP Fills'!H1127)</f>
        <v/>
      </c>
      <c r="H1127" t="str">
        <f>IF(A1127="","",VLOOKUP(G1127,表3_3[],2,0))</f>
        <v/>
      </c>
      <c r="I1127" t="str">
        <f>IF(A1127="","",VLOOKUP(G1127,表3_3[],3,0))</f>
        <v/>
      </c>
      <c r="J1127" t="str">
        <f>IF(A1127="","",IF('ATP Fills'!I1127="3M","",VLOOKUP(RIGHT('ATP Fills'!I1127,2),Helper1!$O$36:$P$48,2,0)))</f>
        <v/>
      </c>
      <c r="K1127" t="str">
        <f>IF(J1127="","",LEFT('ATP Fills'!I1127,4))</f>
        <v/>
      </c>
      <c r="L1127" t="str">
        <f>IF(A1127="","",IF('ATP Fills'!G1127="LME",'ATP Fills'!I1127,""))</f>
        <v/>
      </c>
      <c r="M1127" t="str">
        <f t="shared" si="17"/>
        <v/>
      </c>
    </row>
    <row r="1128" spans="1:13">
      <c r="A1128" t="str">
        <f>IF('ATP Fills'!A1128="","",IF('ATP Fills'!Q1128="PHILLIPSG",'ATP Fills'!F1128,""))</f>
        <v/>
      </c>
      <c r="B1128" t="str">
        <f>IF(A1128="","",'ATP Fills'!L1128)</f>
        <v/>
      </c>
      <c r="C1128" t="str">
        <f>IF(A1128="","",'ATP Fills'!M1128)</f>
        <v/>
      </c>
      <c r="D1128" t="str">
        <f>IF(A1128="","",'ATP Fills'!B1128)</f>
        <v/>
      </c>
      <c r="E1128" s="3" t="str">
        <f>IF(A1128="","",IF(DATE(LEFT(D1128,4),MID(D1128,5,2),RIGHT(D1128,2))=Helper1!$P$1,Helper1!$P$1,""))</f>
        <v/>
      </c>
      <c r="F1128" s="3" t="str">
        <f>IF(A1128="","",'ATP Fills'!G1128)</f>
        <v/>
      </c>
      <c r="G1128" t="str">
        <f>IF(A1128="","",'ATP Fills'!H1128)</f>
        <v/>
      </c>
      <c r="H1128" t="str">
        <f>IF(A1128="","",VLOOKUP(G1128,表3_3[],2,0))</f>
        <v/>
      </c>
      <c r="I1128" t="str">
        <f>IF(A1128="","",VLOOKUP(G1128,表3_3[],3,0))</f>
        <v/>
      </c>
      <c r="J1128" t="str">
        <f>IF(A1128="","",IF('ATP Fills'!I1128="3M","",VLOOKUP(RIGHT('ATP Fills'!I1128,2),Helper1!$O$36:$P$48,2,0)))</f>
        <v/>
      </c>
      <c r="K1128" t="str">
        <f>IF(J1128="","",LEFT('ATP Fills'!I1128,4))</f>
        <v/>
      </c>
      <c r="L1128" t="str">
        <f>IF(A1128="","",IF('ATP Fills'!G1128="LME",'ATP Fills'!I1128,""))</f>
        <v/>
      </c>
      <c r="M1128" t="str">
        <f t="shared" si="17"/>
        <v/>
      </c>
    </row>
    <row r="1129" spans="1:13">
      <c r="A1129" t="str">
        <f>IF('ATP Fills'!A1129="","",IF('ATP Fills'!Q1129="PHILLIPSG",'ATP Fills'!F1129,""))</f>
        <v/>
      </c>
      <c r="B1129" t="str">
        <f>IF(A1129="","",'ATP Fills'!L1129)</f>
        <v/>
      </c>
      <c r="C1129" t="str">
        <f>IF(A1129="","",'ATP Fills'!M1129)</f>
        <v/>
      </c>
      <c r="D1129" t="str">
        <f>IF(A1129="","",'ATP Fills'!B1129)</f>
        <v/>
      </c>
      <c r="E1129" s="3" t="str">
        <f>IF(A1129="","",IF(DATE(LEFT(D1129,4),MID(D1129,5,2),RIGHT(D1129,2))=Helper1!$P$1,Helper1!$P$1,""))</f>
        <v/>
      </c>
      <c r="F1129" s="3" t="str">
        <f>IF(A1129="","",'ATP Fills'!G1129)</f>
        <v/>
      </c>
      <c r="G1129" t="str">
        <f>IF(A1129="","",'ATP Fills'!H1129)</f>
        <v/>
      </c>
      <c r="H1129" t="str">
        <f>IF(A1129="","",VLOOKUP(G1129,表3_3[],2,0))</f>
        <v/>
      </c>
      <c r="I1129" t="str">
        <f>IF(A1129="","",VLOOKUP(G1129,表3_3[],3,0))</f>
        <v/>
      </c>
      <c r="J1129" t="str">
        <f>IF(A1129="","",IF('ATP Fills'!I1129="3M","",VLOOKUP(RIGHT('ATP Fills'!I1129,2),Helper1!$O$36:$P$48,2,0)))</f>
        <v/>
      </c>
      <c r="K1129" t="str">
        <f>IF(J1129="","",LEFT('ATP Fills'!I1129,4))</f>
        <v/>
      </c>
      <c r="L1129" t="str">
        <f>IF(A1129="","",IF('ATP Fills'!G1129="LME",'ATP Fills'!I1129,""))</f>
        <v/>
      </c>
      <c r="M1129" t="str">
        <f t="shared" si="17"/>
        <v/>
      </c>
    </row>
    <row r="1130" spans="1:13">
      <c r="A1130" t="str">
        <f>IF('ATP Fills'!A1130="","",IF('ATP Fills'!Q1130="PHILLIPSG",'ATP Fills'!F1130,""))</f>
        <v/>
      </c>
      <c r="B1130" t="str">
        <f>IF(A1130="","",'ATP Fills'!L1130)</f>
        <v/>
      </c>
      <c r="C1130" t="str">
        <f>IF(A1130="","",'ATP Fills'!M1130)</f>
        <v/>
      </c>
      <c r="D1130" t="str">
        <f>IF(A1130="","",'ATP Fills'!B1130)</f>
        <v/>
      </c>
      <c r="E1130" s="3" t="str">
        <f>IF(A1130="","",IF(DATE(LEFT(D1130,4),MID(D1130,5,2),RIGHT(D1130,2))=Helper1!$P$1,Helper1!$P$1,""))</f>
        <v/>
      </c>
      <c r="F1130" s="3" t="str">
        <f>IF(A1130="","",'ATP Fills'!G1130)</f>
        <v/>
      </c>
      <c r="G1130" t="str">
        <f>IF(A1130="","",'ATP Fills'!H1130)</f>
        <v/>
      </c>
      <c r="H1130" t="str">
        <f>IF(A1130="","",VLOOKUP(G1130,表3_3[],2,0))</f>
        <v/>
      </c>
      <c r="I1130" t="str">
        <f>IF(A1130="","",VLOOKUP(G1130,表3_3[],3,0))</f>
        <v/>
      </c>
      <c r="J1130" t="str">
        <f>IF(A1130="","",IF('ATP Fills'!I1130="3M","",VLOOKUP(RIGHT('ATP Fills'!I1130,2),Helper1!$O$36:$P$48,2,0)))</f>
        <v/>
      </c>
      <c r="K1130" t="str">
        <f>IF(J1130="","",LEFT('ATP Fills'!I1130,4))</f>
        <v/>
      </c>
      <c r="L1130" t="str">
        <f>IF(A1130="","",IF('ATP Fills'!G1130="LME",'ATP Fills'!I1130,""))</f>
        <v/>
      </c>
      <c r="M1130" t="str">
        <f t="shared" si="17"/>
        <v/>
      </c>
    </row>
    <row r="1131" spans="1:13">
      <c r="A1131" t="str">
        <f>IF('ATP Fills'!A1131="","",IF('ATP Fills'!Q1131="PHILLIPSG",'ATP Fills'!F1131,""))</f>
        <v/>
      </c>
      <c r="B1131" t="str">
        <f>IF(A1131="","",'ATP Fills'!L1131)</f>
        <v/>
      </c>
      <c r="C1131" t="str">
        <f>IF(A1131="","",'ATP Fills'!M1131)</f>
        <v/>
      </c>
      <c r="D1131" t="str">
        <f>IF(A1131="","",'ATP Fills'!B1131)</f>
        <v/>
      </c>
      <c r="E1131" s="3" t="str">
        <f>IF(A1131="","",IF(DATE(LEFT(D1131,4),MID(D1131,5,2),RIGHT(D1131,2))=Helper1!$P$1,Helper1!$P$1,""))</f>
        <v/>
      </c>
      <c r="F1131" s="3" t="str">
        <f>IF(A1131="","",'ATP Fills'!G1131)</f>
        <v/>
      </c>
      <c r="G1131" t="str">
        <f>IF(A1131="","",'ATP Fills'!H1131)</f>
        <v/>
      </c>
      <c r="H1131" t="str">
        <f>IF(A1131="","",VLOOKUP(G1131,表3_3[],2,0))</f>
        <v/>
      </c>
      <c r="I1131" t="str">
        <f>IF(A1131="","",VLOOKUP(G1131,表3_3[],3,0))</f>
        <v/>
      </c>
      <c r="J1131" t="str">
        <f>IF(A1131="","",IF('ATP Fills'!I1131="3M","",VLOOKUP(RIGHT('ATP Fills'!I1131,2),Helper1!$O$36:$P$48,2,0)))</f>
        <v/>
      </c>
      <c r="K1131" t="str">
        <f>IF(J1131="","",LEFT('ATP Fills'!I1131,4))</f>
        <v/>
      </c>
      <c r="L1131" t="str">
        <f>IF(A1131="","",IF('ATP Fills'!G1131="LME",'ATP Fills'!I1131,""))</f>
        <v/>
      </c>
      <c r="M1131" t="str">
        <f t="shared" si="17"/>
        <v/>
      </c>
    </row>
    <row r="1132" spans="1:13">
      <c r="A1132" t="str">
        <f>IF('ATP Fills'!A1132="","",IF('ATP Fills'!Q1132="PHILLIPSG",'ATP Fills'!F1132,""))</f>
        <v/>
      </c>
      <c r="B1132" t="str">
        <f>IF(A1132="","",'ATP Fills'!L1132)</f>
        <v/>
      </c>
      <c r="C1132" t="str">
        <f>IF(A1132="","",'ATP Fills'!M1132)</f>
        <v/>
      </c>
      <c r="D1132" t="str">
        <f>IF(A1132="","",'ATP Fills'!B1132)</f>
        <v/>
      </c>
      <c r="E1132" s="3" t="str">
        <f>IF(A1132="","",IF(DATE(LEFT(D1132,4),MID(D1132,5,2),RIGHT(D1132,2))=Helper1!$P$1,Helper1!$P$1,""))</f>
        <v/>
      </c>
      <c r="F1132" s="3" t="str">
        <f>IF(A1132="","",'ATP Fills'!G1132)</f>
        <v/>
      </c>
      <c r="G1132" t="str">
        <f>IF(A1132="","",'ATP Fills'!H1132)</f>
        <v/>
      </c>
      <c r="H1132" t="str">
        <f>IF(A1132="","",VLOOKUP(G1132,表3_3[],2,0))</f>
        <v/>
      </c>
      <c r="I1132" t="str">
        <f>IF(A1132="","",VLOOKUP(G1132,表3_3[],3,0))</f>
        <v/>
      </c>
      <c r="J1132" t="str">
        <f>IF(A1132="","",IF('ATP Fills'!I1132="3M","",VLOOKUP(RIGHT('ATP Fills'!I1132,2),Helper1!$O$36:$P$48,2,0)))</f>
        <v/>
      </c>
      <c r="K1132" t="str">
        <f>IF(J1132="","",LEFT('ATP Fills'!I1132,4))</f>
        <v/>
      </c>
      <c r="L1132" t="str">
        <f>IF(A1132="","",IF('ATP Fills'!G1132="LME",'ATP Fills'!I1132,""))</f>
        <v/>
      </c>
      <c r="M1132" t="str">
        <f t="shared" si="17"/>
        <v/>
      </c>
    </row>
    <row r="1133" spans="1:13">
      <c r="A1133" t="str">
        <f>IF('ATP Fills'!A1133="","",IF('ATP Fills'!Q1133="PHILLIPSG",'ATP Fills'!F1133,""))</f>
        <v/>
      </c>
      <c r="B1133" t="str">
        <f>IF(A1133="","",'ATP Fills'!L1133)</f>
        <v/>
      </c>
      <c r="C1133" t="str">
        <f>IF(A1133="","",'ATP Fills'!M1133)</f>
        <v/>
      </c>
      <c r="D1133" t="str">
        <f>IF(A1133="","",'ATP Fills'!B1133)</f>
        <v/>
      </c>
      <c r="E1133" s="3" t="str">
        <f>IF(A1133="","",IF(DATE(LEFT(D1133,4),MID(D1133,5,2),RIGHT(D1133,2))=Helper1!$P$1,Helper1!$P$1,""))</f>
        <v/>
      </c>
      <c r="F1133" s="3" t="str">
        <f>IF(A1133="","",'ATP Fills'!G1133)</f>
        <v/>
      </c>
      <c r="G1133" t="str">
        <f>IF(A1133="","",'ATP Fills'!H1133)</f>
        <v/>
      </c>
      <c r="H1133" t="str">
        <f>IF(A1133="","",VLOOKUP(G1133,表3_3[],2,0))</f>
        <v/>
      </c>
      <c r="I1133" t="str">
        <f>IF(A1133="","",VLOOKUP(G1133,表3_3[],3,0))</f>
        <v/>
      </c>
      <c r="J1133" t="str">
        <f>IF(A1133="","",IF('ATP Fills'!I1133="3M","",VLOOKUP(RIGHT('ATP Fills'!I1133,2),Helper1!$O$36:$P$48,2,0)))</f>
        <v/>
      </c>
      <c r="K1133" t="str">
        <f>IF(J1133="","",LEFT('ATP Fills'!I1133,4))</f>
        <v/>
      </c>
      <c r="L1133" t="str">
        <f>IF(A1133="","",IF('ATP Fills'!G1133="LME",'ATP Fills'!I1133,""))</f>
        <v/>
      </c>
      <c r="M1133" t="str">
        <f t="shared" si="17"/>
        <v/>
      </c>
    </row>
    <row r="1134" spans="1:13">
      <c r="A1134" t="str">
        <f>IF('ATP Fills'!A1134="","",IF('ATP Fills'!Q1134="PHILLIPSG",'ATP Fills'!F1134,""))</f>
        <v/>
      </c>
      <c r="B1134" t="str">
        <f>IF(A1134="","",'ATP Fills'!L1134)</f>
        <v/>
      </c>
      <c r="C1134" t="str">
        <f>IF(A1134="","",'ATP Fills'!M1134)</f>
        <v/>
      </c>
      <c r="D1134" t="str">
        <f>IF(A1134="","",'ATP Fills'!B1134)</f>
        <v/>
      </c>
      <c r="E1134" s="3" t="str">
        <f>IF(A1134="","",IF(DATE(LEFT(D1134,4),MID(D1134,5,2),RIGHT(D1134,2))=Helper1!$P$1,Helper1!$P$1,""))</f>
        <v/>
      </c>
      <c r="F1134" s="3" t="str">
        <f>IF(A1134="","",'ATP Fills'!G1134)</f>
        <v/>
      </c>
      <c r="G1134" t="str">
        <f>IF(A1134="","",'ATP Fills'!H1134)</f>
        <v/>
      </c>
      <c r="H1134" t="str">
        <f>IF(A1134="","",VLOOKUP(G1134,表3_3[],2,0))</f>
        <v/>
      </c>
      <c r="I1134" t="str">
        <f>IF(A1134="","",VLOOKUP(G1134,表3_3[],3,0))</f>
        <v/>
      </c>
      <c r="J1134" t="str">
        <f>IF(A1134="","",IF('ATP Fills'!I1134="3M","",VLOOKUP(RIGHT('ATP Fills'!I1134,2),Helper1!$O$36:$P$48,2,0)))</f>
        <v/>
      </c>
      <c r="K1134" t="str">
        <f>IF(J1134="","",LEFT('ATP Fills'!I1134,4))</f>
        <v/>
      </c>
      <c r="L1134" t="str">
        <f>IF(A1134="","",IF('ATP Fills'!G1134="LME",'ATP Fills'!I1134,""))</f>
        <v/>
      </c>
      <c r="M1134" t="str">
        <f t="shared" si="17"/>
        <v/>
      </c>
    </row>
    <row r="1135" spans="1:13">
      <c r="A1135" t="str">
        <f>IF('ATP Fills'!A1135="","",IF('ATP Fills'!Q1135="PHILLIPSG",'ATP Fills'!F1135,""))</f>
        <v/>
      </c>
      <c r="B1135" t="str">
        <f>IF(A1135="","",'ATP Fills'!L1135)</f>
        <v/>
      </c>
      <c r="C1135" t="str">
        <f>IF(A1135="","",'ATP Fills'!M1135)</f>
        <v/>
      </c>
      <c r="D1135" t="str">
        <f>IF(A1135="","",'ATP Fills'!B1135)</f>
        <v/>
      </c>
      <c r="E1135" s="3" t="str">
        <f>IF(A1135="","",IF(DATE(LEFT(D1135,4),MID(D1135,5,2),RIGHT(D1135,2))=Helper1!$P$1,Helper1!$P$1,""))</f>
        <v/>
      </c>
      <c r="F1135" s="3" t="str">
        <f>IF(A1135="","",'ATP Fills'!G1135)</f>
        <v/>
      </c>
      <c r="G1135" t="str">
        <f>IF(A1135="","",'ATP Fills'!H1135)</f>
        <v/>
      </c>
      <c r="H1135" t="str">
        <f>IF(A1135="","",VLOOKUP(G1135,表3_3[],2,0))</f>
        <v/>
      </c>
      <c r="I1135" t="str">
        <f>IF(A1135="","",VLOOKUP(G1135,表3_3[],3,0))</f>
        <v/>
      </c>
      <c r="J1135" t="str">
        <f>IF(A1135="","",IF('ATP Fills'!I1135="3M","",VLOOKUP(RIGHT('ATP Fills'!I1135,2),Helper1!$O$36:$P$48,2,0)))</f>
        <v/>
      </c>
      <c r="K1135" t="str">
        <f>IF(J1135="","",LEFT('ATP Fills'!I1135,4))</f>
        <v/>
      </c>
      <c r="L1135" t="str">
        <f>IF(A1135="","",IF('ATP Fills'!G1135="LME",'ATP Fills'!I1135,""))</f>
        <v/>
      </c>
      <c r="M1135" t="str">
        <f t="shared" si="17"/>
        <v/>
      </c>
    </row>
    <row r="1136" spans="1:13">
      <c r="A1136" t="str">
        <f>IF('ATP Fills'!A1136="","",IF('ATP Fills'!Q1136="PHILLIPSG",'ATP Fills'!F1136,""))</f>
        <v/>
      </c>
      <c r="B1136" t="str">
        <f>IF(A1136="","",'ATP Fills'!L1136)</f>
        <v/>
      </c>
      <c r="C1136" t="str">
        <f>IF(A1136="","",'ATP Fills'!M1136)</f>
        <v/>
      </c>
      <c r="D1136" t="str">
        <f>IF(A1136="","",'ATP Fills'!B1136)</f>
        <v/>
      </c>
      <c r="E1136" s="3" t="str">
        <f>IF(A1136="","",IF(DATE(LEFT(D1136,4),MID(D1136,5,2),RIGHT(D1136,2))=Helper1!$P$1,Helper1!$P$1,""))</f>
        <v/>
      </c>
      <c r="F1136" s="3" t="str">
        <f>IF(A1136="","",'ATP Fills'!G1136)</f>
        <v/>
      </c>
      <c r="G1136" t="str">
        <f>IF(A1136="","",'ATP Fills'!H1136)</f>
        <v/>
      </c>
      <c r="H1136" t="str">
        <f>IF(A1136="","",VLOOKUP(G1136,表3_3[],2,0))</f>
        <v/>
      </c>
      <c r="I1136" t="str">
        <f>IF(A1136="","",VLOOKUP(G1136,表3_3[],3,0))</f>
        <v/>
      </c>
      <c r="J1136" t="str">
        <f>IF(A1136="","",IF('ATP Fills'!I1136="3M","",VLOOKUP(RIGHT('ATP Fills'!I1136,2),Helper1!$O$36:$P$48,2,0)))</f>
        <v/>
      </c>
      <c r="K1136" t="str">
        <f>IF(J1136="","",LEFT('ATP Fills'!I1136,4))</f>
        <v/>
      </c>
      <c r="L1136" t="str">
        <f>IF(A1136="","",IF('ATP Fills'!G1136="LME",'ATP Fills'!I1136,""))</f>
        <v/>
      </c>
      <c r="M1136" t="str">
        <f t="shared" si="17"/>
        <v/>
      </c>
    </row>
    <row r="1137" spans="1:13">
      <c r="A1137" t="str">
        <f>IF('ATP Fills'!A1137="","",IF('ATP Fills'!Q1137="PHILLIPSG",'ATP Fills'!F1137,""))</f>
        <v/>
      </c>
      <c r="B1137" t="str">
        <f>IF(A1137="","",'ATP Fills'!L1137)</f>
        <v/>
      </c>
      <c r="C1137" t="str">
        <f>IF(A1137="","",'ATP Fills'!M1137)</f>
        <v/>
      </c>
      <c r="D1137" t="str">
        <f>IF(A1137="","",'ATP Fills'!B1137)</f>
        <v/>
      </c>
      <c r="E1137" s="3" t="str">
        <f>IF(A1137="","",IF(DATE(LEFT(D1137,4),MID(D1137,5,2),RIGHT(D1137,2))=Helper1!$P$1,Helper1!$P$1,""))</f>
        <v/>
      </c>
      <c r="F1137" s="3" t="str">
        <f>IF(A1137="","",'ATP Fills'!G1137)</f>
        <v/>
      </c>
      <c r="G1137" t="str">
        <f>IF(A1137="","",'ATP Fills'!H1137)</f>
        <v/>
      </c>
      <c r="H1137" t="str">
        <f>IF(A1137="","",VLOOKUP(G1137,表3_3[],2,0))</f>
        <v/>
      </c>
      <c r="I1137" t="str">
        <f>IF(A1137="","",VLOOKUP(G1137,表3_3[],3,0))</f>
        <v/>
      </c>
      <c r="J1137" t="str">
        <f>IF(A1137="","",IF('ATP Fills'!I1137="3M","",VLOOKUP(RIGHT('ATP Fills'!I1137,2),Helper1!$O$36:$P$48,2,0)))</f>
        <v/>
      </c>
      <c r="K1137" t="str">
        <f>IF(J1137="","",LEFT('ATP Fills'!I1137,4))</f>
        <v/>
      </c>
      <c r="L1137" t="str">
        <f>IF(A1137="","",IF('ATP Fills'!G1137="LME",'ATP Fills'!I1137,""))</f>
        <v/>
      </c>
      <c r="M1137" t="str">
        <f t="shared" si="17"/>
        <v/>
      </c>
    </row>
    <row r="1138" spans="1:13">
      <c r="A1138" t="str">
        <f>IF('ATP Fills'!A1138="","",IF('ATP Fills'!Q1138="PHILLIPSG",'ATP Fills'!F1138,""))</f>
        <v/>
      </c>
      <c r="B1138" t="str">
        <f>IF(A1138="","",'ATP Fills'!L1138)</f>
        <v/>
      </c>
      <c r="C1138" t="str">
        <f>IF(A1138="","",'ATP Fills'!M1138)</f>
        <v/>
      </c>
      <c r="D1138" t="str">
        <f>IF(A1138="","",'ATP Fills'!B1138)</f>
        <v/>
      </c>
      <c r="E1138" s="3" t="str">
        <f>IF(A1138="","",IF(DATE(LEFT(D1138,4),MID(D1138,5,2),RIGHT(D1138,2))=Helper1!$P$1,Helper1!$P$1,""))</f>
        <v/>
      </c>
      <c r="F1138" s="3" t="str">
        <f>IF(A1138="","",'ATP Fills'!G1138)</f>
        <v/>
      </c>
      <c r="G1138" t="str">
        <f>IF(A1138="","",'ATP Fills'!H1138)</f>
        <v/>
      </c>
      <c r="H1138" t="str">
        <f>IF(A1138="","",VLOOKUP(G1138,表3_3[],2,0))</f>
        <v/>
      </c>
      <c r="I1138" t="str">
        <f>IF(A1138="","",VLOOKUP(G1138,表3_3[],3,0))</f>
        <v/>
      </c>
      <c r="J1138" t="str">
        <f>IF(A1138="","",IF('ATP Fills'!I1138="3M","",VLOOKUP(RIGHT('ATP Fills'!I1138,2),Helper1!$O$36:$P$48,2,0)))</f>
        <v/>
      </c>
      <c r="K1138" t="str">
        <f>IF(J1138="","",LEFT('ATP Fills'!I1138,4))</f>
        <v/>
      </c>
      <c r="L1138" t="str">
        <f>IF(A1138="","",IF('ATP Fills'!G1138="LME",'ATP Fills'!I1138,""))</f>
        <v/>
      </c>
      <c r="M1138" t="str">
        <f t="shared" si="17"/>
        <v/>
      </c>
    </row>
    <row r="1139" spans="1:13">
      <c r="A1139" t="str">
        <f>IF('ATP Fills'!A1139="","",IF('ATP Fills'!Q1139="PHILLIPSG",'ATP Fills'!F1139,""))</f>
        <v/>
      </c>
      <c r="B1139" t="str">
        <f>IF(A1139="","",'ATP Fills'!L1139)</f>
        <v/>
      </c>
      <c r="C1139" t="str">
        <f>IF(A1139="","",'ATP Fills'!M1139)</f>
        <v/>
      </c>
      <c r="D1139" t="str">
        <f>IF(A1139="","",'ATP Fills'!B1139)</f>
        <v/>
      </c>
      <c r="E1139" s="3" t="str">
        <f>IF(A1139="","",IF(DATE(LEFT(D1139,4),MID(D1139,5,2),RIGHT(D1139,2))=Helper1!$P$1,Helper1!$P$1,""))</f>
        <v/>
      </c>
      <c r="F1139" s="3" t="str">
        <f>IF(A1139="","",'ATP Fills'!G1139)</f>
        <v/>
      </c>
      <c r="G1139" t="str">
        <f>IF(A1139="","",'ATP Fills'!H1139)</f>
        <v/>
      </c>
      <c r="H1139" t="str">
        <f>IF(A1139="","",VLOOKUP(G1139,表3_3[],2,0))</f>
        <v/>
      </c>
      <c r="I1139" t="str">
        <f>IF(A1139="","",VLOOKUP(G1139,表3_3[],3,0))</f>
        <v/>
      </c>
      <c r="J1139" t="str">
        <f>IF(A1139="","",IF('ATP Fills'!I1139="3M","",VLOOKUP(RIGHT('ATP Fills'!I1139,2),Helper1!$O$36:$P$48,2,0)))</f>
        <v/>
      </c>
      <c r="K1139" t="str">
        <f>IF(J1139="","",LEFT('ATP Fills'!I1139,4))</f>
        <v/>
      </c>
      <c r="L1139" t="str">
        <f>IF(A1139="","",IF('ATP Fills'!G1139="LME",'ATP Fills'!I1139,""))</f>
        <v/>
      </c>
      <c r="M1139" t="str">
        <f t="shared" si="17"/>
        <v/>
      </c>
    </row>
    <row r="1140" spans="1:13">
      <c r="A1140" t="str">
        <f>IF('ATP Fills'!A1140="","",IF('ATP Fills'!Q1140="PHILLIPSG",'ATP Fills'!F1140,""))</f>
        <v/>
      </c>
      <c r="B1140" t="str">
        <f>IF(A1140="","",'ATP Fills'!L1140)</f>
        <v/>
      </c>
      <c r="C1140" t="str">
        <f>IF(A1140="","",'ATP Fills'!M1140)</f>
        <v/>
      </c>
      <c r="D1140" t="str">
        <f>IF(A1140="","",'ATP Fills'!B1140)</f>
        <v/>
      </c>
      <c r="E1140" s="3" t="str">
        <f>IF(A1140="","",IF(DATE(LEFT(D1140,4),MID(D1140,5,2),RIGHT(D1140,2))=Helper1!$P$1,Helper1!$P$1,""))</f>
        <v/>
      </c>
      <c r="F1140" s="3" t="str">
        <f>IF(A1140="","",'ATP Fills'!G1140)</f>
        <v/>
      </c>
      <c r="G1140" t="str">
        <f>IF(A1140="","",'ATP Fills'!H1140)</f>
        <v/>
      </c>
      <c r="H1140" t="str">
        <f>IF(A1140="","",VLOOKUP(G1140,表3_3[],2,0))</f>
        <v/>
      </c>
      <c r="I1140" t="str">
        <f>IF(A1140="","",VLOOKUP(G1140,表3_3[],3,0))</f>
        <v/>
      </c>
      <c r="J1140" t="str">
        <f>IF(A1140="","",IF('ATP Fills'!I1140="3M","",VLOOKUP(RIGHT('ATP Fills'!I1140,2),Helper1!$O$36:$P$48,2,0)))</f>
        <v/>
      </c>
      <c r="K1140" t="str">
        <f>IF(J1140="","",LEFT('ATP Fills'!I1140,4))</f>
        <v/>
      </c>
      <c r="L1140" t="str">
        <f>IF(A1140="","",IF('ATP Fills'!G1140="LME",'ATP Fills'!I1140,""))</f>
        <v/>
      </c>
      <c r="M1140" t="str">
        <f t="shared" si="17"/>
        <v/>
      </c>
    </row>
    <row r="1141" spans="1:13">
      <c r="A1141" t="str">
        <f>IF('ATP Fills'!A1141="","",IF('ATP Fills'!Q1141="PHILLIPSG",'ATP Fills'!F1141,""))</f>
        <v/>
      </c>
      <c r="B1141" t="str">
        <f>IF(A1141="","",'ATP Fills'!L1141)</f>
        <v/>
      </c>
      <c r="C1141" t="str">
        <f>IF(A1141="","",'ATP Fills'!M1141)</f>
        <v/>
      </c>
      <c r="D1141" t="str">
        <f>IF(A1141="","",'ATP Fills'!B1141)</f>
        <v/>
      </c>
      <c r="E1141" s="3" t="str">
        <f>IF(A1141="","",IF(DATE(LEFT(D1141,4),MID(D1141,5,2),RIGHT(D1141,2))=Helper1!$P$1,Helper1!$P$1,""))</f>
        <v/>
      </c>
      <c r="F1141" s="3" t="str">
        <f>IF(A1141="","",'ATP Fills'!G1141)</f>
        <v/>
      </c>
      <c r="G1141" t="str">
        <f>IF(A1141="","",'ATP Fills'!H1141)</f>
        <v/>
      </c>
      <c r="H1141" t="str">
        <f>IF(A1141="","",VLOOKUP(G1141,表3_3[],2,0))</f>
        <v/>
      </c>
      <c r="I1141" t="str">
        <f>IF(A1141="","",VLOOKUP(G1141,表3_3[],3,0))</f>
        <v/>
      </c>
      <c r="J1141" t="str">
        <f>IF(A1141="","",IF('ATP Fills'!I1141="3M","",VLOOKUP(RIGHT('ATP Fills'!I1141,2),Helper1!$O$36:$P$48,2,0)))</f>
        <v/>
      </c>
      <c r="K1141" t="str">
        <f>IF(J1141="","",LEFT('ATP Fills'!I1141,4))</f>
        <v/>
      </c>
      <c r="L1141" t="str">
        <f>IF(A1141="","",IF('ATP Fills'!G1141="LME",'ATP Fills'!I1141,""))</f>
        <v/>
      </c>
      <c r="M1141" t="str">
        <f t="shared" si="17"/>
        <v/>
      </c>
    </row>
    <row r="1142" spans="1:13">
      <c r="A1142" t="str">
        <f>IF('ATP Fills'!A1142="","",IF('ATP Fills'!Q1142="PHILLIPSG",'ATP Fills'!F1142,""))</f>
        <v/>
      </c>
      <c r="B1142" t="str">
        <f>IF(A1142="","",'ATP Fills'!L1142)</f>
        <v/>
      </c>
      <c r="C1142" t="str">
        <f>IF(A1142="","",'ATP Fills'!M1142)</f>
        <v/>
      </c>
      <c r="D1142" t="str">
        <f>IF(A1142="","",'ATP Fills'!B1142)</f>
        <v/>
      </c>
      <c r="E1142" s="3" t="str">
        <f>IF(A1142="","",IF(DATE(LEFT(D1142,4),MID(D1142,5,2),RIGHT(D1142,2))=Helper1!$P$1,Helper1!$P$1,""))</f>
        <v/>
      </c>
      <c r="F1142" s="3" t="str">
        <f>IF(A1142="","",'ATP Fills'!G1142)</f>
        <v/>
      </c>
      <c r="G1142" t="str">
        <f>IF(A1142="","",'ATP Fills'!H1142)</f>
        <v/>
      </c>
      <c r="H1142" t="str">
        <f>IF(A1142="","",VLOOKUP(G1142,表3_3[],2,0))</f>
        <v/>
      </c>
      <c r="I1142" t="str">
        <f>IF(A1142="","",VLOOKUP(G1142,表3_3[],3,0))</f>
        <v/>
      </c>
      <c r="J1142" t="str">
        <f>IF(A1142="","",IF('ATP Fills'!I1142="3M","",VLOOKUP(RIGHT('ATP Fills'!I1142,2),Helper1!$O$36:$P$48,2,0)))</f>
        <v/>
      </c>
      <c r="K1142" t="str">
        <f>IF(J1142="","",LEFT('ATP Fills'!I1142,4))</f>
        <v/>
      </c>
      <c r="L1142" t="str">
        <f>IF(A1142="","",IF('ATP Fills'!G1142="LME",'ATP Fills'!I1142,""))</f>
        <v/>
      </c>
      <c r="M1142" t="str">
        <f t="shared" si="17"/>
        <v/>
      </c>
    </row>
    <row r="1143" spans="1:13">
      <c r="A1143" t="str">
        <f>IF('ATP Fills'!A1143="","",IF('ATP Fills'!Q1143="PHILLIPSG",'ATP Fills'!F1143,""))</f>
        <v/>
      </c>
      <c r="B1143" t="str">
        <f>IF(A1143="","",'ATP Fills'!L1143)</f>
        <v/>
      </c>
      <c r="C1143" t="str">
        <f>IF(A1143="","",'ATP Fills'!M1143)</f>
        <v/>
      </c>
      <c r="D1143" t="str">
        <f>IF(A1143="","",'ATP Fills'!B1143)</f>
        <v/>
      </c>
      <c r="E1143" s="3" t="str">
        <f>IF(A1143="","",IF(DATE(LEFT(D1143,4),MID(D1143,5,2),RIGHT(D1143,2))=Helper1!$P$1,Helper1!$P$1,""))</f>
        <v/>
      </c>
      <c r="F1143" s="3" t="str">
        <f>IF(A1143="","",'ATP Fills'!G1143)</f>
        <v/>
      </c>
      <c r="G1143" t="str">
        <f>IF(A1143="","",'ATP Fills'!H1143)</f>
        <v/>
      </c>
      <c r="H1143" t="str">
        <f>IF(A1143="","",VLOOKUP(G1143,表3_3[],2,0))</f>
        <v/>
      </c>
      <c r="I1143" t="str">
        <f>IF(A1143="","",VLOOKUP(G1143,表3_3[],3,0))</f>
        <v/>
      </c>
      <c r="J1143" t="str">
        <f>IF(A1143="","",IF('ATP Fills'!I1143="3M","",VLOOKUP(RIGHT('ATP Fills'!I1143,2),Helper1!$O$36:$P$48,2,0)))</f>
        <v/>
      </c>
      <c r="K1143" t="str">
        <f>IF(J1143="","",LEFT('ATP Fills'!I1143,4))</f>
        <v/>
      </c>
      <c r="L1143" t="str">
        <f>IF(A1143="","",IF('ATP Fills'!G1143="LME",'ATP Fills'!I1143,""))</f>
        <v/>
      </c>
      <c r="M1143" t="str">
        <f t="shared" si="17"/>
        <v/>
      </c>
    </row>
    <row r="1144" spans="1:13">
      <c r="A1144" t="str">
        <f>IF('ATP Fills'!A1144="","",IF('ATP Fills'!Q1144="PHILLIPSG",'ATP Fills'!F1144,""))</f>
        <v/>
      </c>
      <c r="B1144" t="str">
        <f>IF(A1144="","",'ATP Fills'!L1144)</f>
        <v/>
      </c>
      <c r="C1144" t="str">
        <f>IF(A1144="","",'ATP Fills'!M1144)</f>
        <v/>
      </c>
      <c r="D1144" t="str">
        <f>IF(A1144="","",'ATP Fills'!B1144)</f>
        <v/>
      </c>
      <c r="E1144" s="3" t="str">
        <f>IF(A1144="","",IF(DATE(LEFT(D1144,4),MID(D1144,5,2),RIGHT(D1144,2))=Helper1!$P$1,Helper1!$P$1,""))</f>
        <v/>
      </c>
      <c r="F1144" s="3" t="str">
        <f>IF(A1144="","",'ATP Fills'!G1144)</f>
        <v/>
      </c>
      <c r="G1144" t="str">
        <f>IF(A1144="","",'ATP Fills'!H1144)</f>
        <v/>
      </c>
      <c r="H1144" t="str">
        <f>IF(A1144="","",VLOOKUP(G1144,表3_3[],2,0))</f>
        <v/>
      </c>
      <c r="I1144" t="str">
        <f>IF(A1144="","",VLOOKUP(G1144,表3_3[],3,0))</f>
        <v/>
      </c>
      <c r="J1144" t="str">
        <f>IF(A1144="","",IF('ATP Fills'!I1144="3M","",VLOOKUP(RIGHT('ATP Fills'!I1144,2),Helper1!$O$36:$P$48,2,0)))</f>
        <v/>
      </c>
      <c r="K1144" t="str">
        <f>IF(J1144="","",LEFT('ATP Fills'!I1144,4))</f>
        <v/>
      </c>
      <c r="L1144" t="str">
        <f>IF(A1144="","",IF('ATP Fills'!G1144="LME",'ATP Fills'!I1144,""))</f>
        <v/>
      </c>
      <c r="M1144" t="str">
        <f t="shared" si="17"/>
        <v/>
      </c>
    </row>
    <row r="1145" spans="1:13">
      <c r="A1145" t="str">
        <f>IF('ATP Fills'!A1145="","",IF('ATP Fills'!Q1145="PHILLIPSG",'ATP Fills'!F1145,""))</f>
        <v/>
      </c>
      <c r="B1145" t="str">
        <f>IF(A1145="","",'ATP Fills'!L1145)</f>
        <v/>
      </c>
      <c r="C1145" t="str">
        <f>IF(A1145="","",'ATP Fills'!M1145)</f>
        <v/>
      </c>
      <c r="D1145" t="str">
        <f>IF(A1145="","",'ATP Fills'!B1145)</f>
        <v/>
      </c>
      <c r="E1145" s="3" t="str">
        <f>IF(A1145="","",IF(DATE(LEFT(D1145,4),MID(D1145,5,2),RIGHT(D1145,2))=Helper1!$P$1,Helper1!$P$1,""))</f>
        <v/>
      </c>
      <c r="F1145" s="3" t="str">
        <f>IF(A1145="","",'ATP Fills'!G1145)</f>
        <v/>
      </c>
      <c r="G1145" t="str">
        <f>IF(A1145="","",'ATP Fills'!H1145)</f>
        <v/>
      </c>
      <c r="H1145" t="str">
        <f>IF(A1145="","",VLOOKUP(G1145,表3_3[],2,0))</f>
        <v/>
      </c>
      <c r="I1145" t="str">
        <f>IF(A1145="","",VLOOKUP(G1145,表3_3[],3,0))</f>
        <v/>
      </c>
      <c r="J1145" t="str">
        <f>IF(A1145="","",IF('ATP Fills'!I1145="3M","",VLOOKUP(RIGHT('ATP Fills'!I1145,2),Helper1!$O$36:$P$48,2,0)))</f>
        <v/>
      </c>
      <c r="K1145" t="str">
        <f>IF(J1145="","",LEFT('ATP Fills'!I1145,4))</f>
        <v/>
      </c>
      <c r="L1145" t="str">
        <f>IF(A1145="","",IF('ATP Fills'!G1145="LME",'ATP Fills'!I1145,""))</f>
        <v/>
      </c>
      <c r="M1145" t="str">
        <f t="shared" si="17"/>
        <v/>
      </c>
    </row>
    <row r="1146" spans="1:13">
      <c r="A1146" t="str">
        <f>IF('ATP Fills'!A1146="","",IF('ATP Fills'!Q1146="PHILLIPSG",'ATP Fills'!F1146,""))</f>
        <v/>
      </c>
      <c r="B1146" t="str">
        <f>IF(A1146="","",'ATP Fills'!L1146)</f>
        <v/>
      </c>
      <c r="C1146" t="str">
        <f>IF(A1146="","",'ATP Fills'!M1146)</f>
        <v/>
      </c>
      <c r="D1146" t="str">
        <f>IF(A1146="","",'ATP Fills'!B1146)</f>
        <v/>
      </c>
      <c r="E1146" s="3" t="str">
        <f>IF(A1146="","",IF(DATE(LEFT(D1146,4),MID(D1146,5,2),RIGHT(D1146,2))=Helper1!$P$1,Helper1!$P$1,""))</f>
        <v/>
      </c>
      <c r="F1146" s="3" t="str">
        <f>IF(A1146="","",'ATP Fills'!G1146)</f>
        <v/>
      </c>
      <c r="G1146" t="str">
        <f>IF(A1146="","",'ATP Fills'!H1146)</f>
        <v/>
      </c>
      <c r="H1146" t="str">
        <f>IF(A1146="","",VLOOKUP(G1146,表3_3[],2,0))</f>
        <v/>
      </c>
      <c r="I1146" t="str">
        <f>IF(A1146="","",VLOOKUP(G1146,表3_3[],3,0))</f>
        <v/>
      </c>
      <c r="J1146" t="str">
        <f>IF(A1146="","",IF('ATP Fills'!I1146="3M","",VLOOKUP(RIGHT('ATP Fills'!I1146,2),Helper1!$O$36:$P$48,2,0)))</f>
        <v/>
      </c>
      <c r="K1146" t="str">
        <f>IF(J1146="","",LEFT('ATP Fills'!I1146,4))</f>
        <v/>
      </c>
      <c r="L1146" t="str">
        <f>IF(A1146="","",IF('ATP Fills'!G1146="LME",'ATP Fills'!I1146,""))</f>
        <v/>
      </c>
      <c r="M1146" t="str">
        <f t="shared" si="17"/>
        <v/>
      </c>
    </row>
    <row r="1147" spans="1:13">
      <c r="A1147" t="str">
        <f>IF('ATP Fills'!A1147="","",IF('ATP Fills'!Q1147="PHILLIPSG",'ATP Fills'!F1147,""))</f>
        <v/>
      </c>
      <c r="B1147" t="str">
        <f>IF(A1147="","",'ATP Fills'!L1147)</f>
        <v/>
      </c>
      <c r="C1147" t="str">
        <f>IF(A1147="","",'ATP Fills'!M1147)</f>
        <v/>
      </c>
      <c r="D1147" t="str">
        <f>IF(A1147="","",'ATP Fills'!B1147)</f>
        <v/>
      </c>
      <c r="E1147" s="3" t="str">
        <f>IF(A1147="","",IF(DATE(LEFT(D1147,4),MID(D1147,5,2),RIGHT(D1147,2))=Helper1!$P$1,Helper1!$P$1,""))</f>
        <v/>
      </c>
      <c r="F1147" s="3" t="str">
        <f>IF(A1147="","",'ATP Fills'!G1147)</f>
        <v/>
      </c>
      <c r="G1147" t="str">
        <f>IF(A1147="","",'ATP Fills'!H1147)</f>
        <v/>
      </c>
      <c r="H1147" t="str">
        <f>IF(A1147="","",VLOOKUP(G1147,表3_3[],2,0))</f>
        <v/>
      </c>
      <c r="I1147" t="str">
        <f>IF(A1147="","",VLOOKUP(G1147,表3_3[],3,0))</f>
        <v/>
      </c>
      <c r="J1147" t="str">
        <f>IF(A1147="","",IF('ATP Fills'!I1147="3M","",VLOOKUP(RIGHT('ATP Fills'!I1147,2),Helper1!$O$36:$P$48,2,0)))</f>
        <v/>
      </c>
      <c r="K1147" t="str">
        <f>IF(J1147="","",LEFT('ATP Fills'!I1147,4))</f>
        <v/>
      </c>
      <c r="L1147" t="str">
        <f>IF(A1147="","",IF('ATP Fills'!G1147="LME",'ATP Fills'!I1147,""))</f>
        <v/>
      </c>
      <c r="M1147" t="str">
        <f t="shared" si="17"/>
        <v/>
      </c>
    </row>
    <row r="1148" spans="1:13">
      <c r="A1148" t="str">
        <f>IF('ATP Fills'!A1148="","",IF('ATP Fills'!Q1148="PHILLIPSG",'ATP Fills'!F1148,""))</f>
        <v/>
      </c>
      <c r="B1148" t="str">
        <f>IF(A1148="","",'ATP Fills'!L1148)</f>
        <v/>
      </c>
      <c r="C1148" t="str">
        <f>IF(A1148="","",'ATP Fills'!M1148)</f>
        <v/>
      </c>
      <c r="D1148" t="str">
        <f>IF(A1148="","",'ATP Fills'!B1148)</f>
        <v/>
      </c>
      <c r="E1148" s="3" t="str">
        <f>IF(A1148="","",IF(DATE(LEFT(D1148,4),MID(D1148,5,2),RIGHT(D1148,2))=Helper1!$P$1,Helper1!$P$1,""))</f>
        <v/>
      </c>
      <c r="F1148" s="3" t="str">
        <f>IF(A1148="","",'ATP Fills'!G1148)</f>
        <v/>
      </c>
      <c r="G1148" t="str">
        <f>IF(A1148="","",'ATP Fills'!H1148)</f>
        <v/>
      </c>
      <c r="H1148" t="str">
        <f>IF(A1148="","",VLOOKUP(G1148,表3_3[],2,0))</f>
        <v/>
      </c>
      <c r="I1148" t="str">
        <f>IF(A1148="","",VLOOKUP(G1148,表3_3[],3,0))</f>
        <v/>
      </c>
      <c r="J1148" t="str">
        <f>IF(A1148="","",IF('ATP Fills'!I1148="3M","",VLOOKUP(RIGHT('ATP Fills'!I1148,2),Helper1!$O$36:$P$48,2,0)))</f>
        <v/>
      </c>
      <c r="K1148" t="str">
        <f>IF(J1148="","",LEFT('ATP Fills'!I1148,4))</f>
        <v/>
      </c>
      <c r="L1148" t="str">
        <f>IF(A1148="","",IF('ATP Fills'!G1148="LME",'ATP Fills'!I1148,""))</f>
        <v/>
      </c>
      <c r="M1148" t="str">
        <f t="shared" si="17"/>
        <v/>
      </c>
    </row>
    <row r="1149" spans="1:13">
      <c r="A1149" t="str">
        <f>IF('ATP Fills'!A1149="","",IF('ATP Fills'!Q1149="PHILLIPSG",'ATP Fills'!F1149,""))</f>
        <v/>
      </c>
      <c r="B1149" t="str">
        <f>IF(A1149="","",'ATP Fills'!L1149)</f>
        <v/>
      </c>
      <c r="C1149" t="str">
        <f>IF(A1149="","",'ATP Fills'!M1149)</f>
        <v/>
      </c>
      <c r="D1149" t="str">
        <f>IF(A1149="","",'ATP Fills'!B1149)</f>
        <v/>
      </c>
      <c r="E1149" s="3" t="str">
        <f>IF(A1149="","",IF(DATE(LEFT(D1149,4),MID(D1149,5,2),RIGHT(D1149,2))=Helper1!$P$1,Helper1!$P$1,""))</f>
        <v/>
      </c>
      <c r="F1149" s="3" t="str">
        <f>IF(A1149="","",'ATP Fills'!G1149)</f>
        <v/>
      </c>
      <c r="G1149" t="str">
        <f>IF(A1149="","",'ATP Fills'!H1149)</f>
        <v/>
      </c>
      <c r="H1149" t="str">
        <f>IF(A1149="","",VLOOKUP(G1149,表3_3[],2,0))</f>
        <v/>
      </c>
      <c r="I1149" t="str">
        <f>IF(A1149="","",VLOOKUP(G1149,表3_3[],3,0))</f>
        <v/>
      </c>
      <c r="J1149" t="str">
        <f>IF(A1149="","",IF('ATP Fills'!I1149="3M","",VLOOKUP(RIGHT('ATP Fills'!I1149,2),Helper1!$O$36:$P$48,2,0)))</f>
        <v/>
      </c>
      <c r="K1149" t="str">
        <f>IF(J1149="","",LEFT('ATP Fills'!I1149,4))</f>
        <v/>
      </c>
      <c r="L1149" t="str">
        <f>IF(A1149="","",IF('ATP Fills'!G1149="LME",'ATP Fills'!I1149,""))</f>
        <v/>
      </c>
      <c r="M1149" t="str">
        <f t="shared" si="17"/>
        <v/>
      </c>
    </row>
    <row r="1150" spans="1:13">
      <c r="A1150" t="str">
        <f>IF('ATP Fills'!A1150="","",IF('ATP Fills'!Q1150="PHILLIPSG",'ATP Fills'!F1150,""))</f>
        <v/>
      </c>
      <c r="B1150" t="str">
        <f>IF(A1150="","",'ATP Fills'!L1150)</f>
        <v/>
      </c>
      <c r="C1150" t="str">
        <f>IF(A1150="","",'ATP Fills'!M1150)</f>
        <v/>
      </c>
      <c r="D1150" t="str">
        <f>IF(A1150="","",'ATP Fills'!B1150)</f>
        <v/>
      </c>
      <c r="E1150" s="3" t="str">
        <f>IF(A1150="","",IF(DATE(LEFT(D1150,4),MID(D1150,5,2),RIGHT(D1150,2))=Helper1!$P$1,Helper1!$P$1,""))</f>
        <v/>
      </c>
      <c r="F1150" s="3" t="str">
        <f>IF(A1150="","",'ATP Fills'!G1150)</f>
        <v/>
      </c>
      <c r="G1150" t="str">
        <f>IF(A1150="","",'ATP Fills'!H1150)</f>
        <v/>
      </c>
      <c r="H1150" t="str">
        <f>IF(A1150="","",VLOOKUP(G1150,表3_3[],2,0))</f>
        <v/>
      </c>
      <c r="I1150" t="str">
        <f>IF(A1150="","",VLOOKUP(G1150,表3_3[],3,0))</f>
        <v/>
      </c>
      <c r="J1150" t="str">
        <f>IF(A1150="","",IF('ATP Fills'!I1150="3M","",VLOOKUP(RIGHT('ATP Fills'!I1150,2),Helper1!$O$36:$P$48,2,0)))</f>
        <v/>
      </c>
      <c r="K1150" t="str">
        <f>IF(J1150="","",LEFT('ATP Fills'!I1150,4))</f>
        <v/>
      </c>
      <c r="L1150" t="str">
        <f>IF(A1150="","",IF('ATP Fills'!G1150="LME",'ATP Fills'!I1150,""))</f>
        <v/>
      </c>
      <c r="M1150" t="str">
        <f t="shared" si="17"/>
        <v/>
      </c>
    </row>
    <row r="1151" spans="1:13">
      <c r="A1151" t="str">
        <f>IF('ATP Fills'!A1151="","",IF('ATP Fills'!Q1151="PHILLIPSG",'ATP Fills'!F1151,""))</f>
        <v/>
      </c>
      <c r="B1151" t="str">
        <f>IF(A1151="","",'ATP Fills'!L1151)</f>
        <v/>
      </c>
      <c r="C1151" t="str">
        <f>IF(A1151="","",'ATP Fills'!M1151)</f>
        <v/>
      </c>
      <c r="D1151" t="str">
        <f>IF(A1151="","",'ATP Fills'!B1151)</f>
        <v/>
      </c>
      <c r="E1151" s="3" t="str">
        <f>IF(A1151="","",IF(DATE(LEFT(D1151,4),MID(D1151,5,2),RIGHT(D1151,2))=Helper1!$P$1,Helper1!$P$1,""))</f>
        <v/>
      </c>
      <c r="F1151" s="3" t="str">
        <f>IF(A1151="","",'ATP Fills'!G1151)</f>
        <v/>
      </c>
      <c r="G1151" t="str">
        <f>IF(A1151="","",'ATP Fills'!H1151)</f>
        <v/>
      </c>
      <c r="H1151" t="str">
        <f>IF(A1151="","",VLOOKUP(G1151,表3_3[],2,0))</f>
        <v/>
      </c>
      <c r="I1151" t="str">
        <f>IF(A1151="","",VLOOKUP(G1151,表3_3[],3,0))</f>
        <v/>
      </c>
      <c r="J1151" t="str">
        <f>IF(A1151="","",IF('ATP Fills'!I1151="3M","",VLOOKUP(RIGHT('ATP Fills'!I1151,2),Helper1!$O$36:$P$48,2,0)))</f>
        <v/>
      </c>
      <c r="K1151" t="str">
        <f>IF(J1151="","",LEFT('ATP Fills'!I1151,4))</f>
        <v/>
      </c>
      <c r="L1151" t="str">
        <f>IF(A1151="","",IF('ATP Fills'!G1151="LME",'ATP Fills'!I1151,""))</f>
        <v/>
      </c>
      <c r="M1151" t="str">
        <f t="shared" si="17"/>
        <v/>
      </c>
    </row>
    <row r="1152" spans="1:13">
      <c r="A1152" t="str">
        <f>IF('ATP Fills'!A1152="","",IF('ATP Fills'!Q1152="PHILLIPSG",'ATP Fills'!F1152,""))</f>
        <v/>
      </c>
      <c r="B1152" t="str">
        <f>IF(A1152="","",'ATP Fills'!L1152)</f>
        <v/>
      </c>
      <c r="C1152" t="str">
        <f>IF(A1152="","",'ATP Fills'!M1152)</f>
        <v/>
      </c>
      <c r="D1152" t="str">
        <f>IF(A1152="","",'ATP Fills'!B1152)</f>
        <v/>
      </c>
      <c r="E1152" s="3" t="str">
        <f>IF(A1152="","",IF(DATE(LEFT(D1152,4),MID(D1152,5,2),RIGHT(D1152,2))=Helper1!$P$1,Helper1!$P$1,""))</f>
        <v/>
      </c>
      <c r="F1152" s="3" t="str">
        <f>IF(A1152="","",'ATP Fills'!G1152)</f>
        <v/>
      </c>
      <c r="G1152" t="str">
        <f>IF(A1152="","",'ATP Fills'!H1152)</f>
        <v/>
      </c>
      <c r="H1152" t="str">
        <f>IF(A1152="","",VLOOKUP(G1152,表3_3[],2,0))</f>
        <v/>
      </c>
      <c r="I1152" t="str">
        <f>IF(A1152="","",VLOOKUP(G1152,表3_3[],3,0))</f>
        <v/>
      </c>
      <c r="J1152" t="str">
        <f>IF(A1152="","",IF('ATP Fills'!I1152="3M","",VLOOKUP(RIGHT('ATP Fills'!I1152,2),Helper1!$O$36:$P$48,2,0)))</f>
        <v/>
      </c>
      <c r="K1152" t="str">
        <f>IF(J1152="","",LEFT('ATP Fills'!I1152,4))</f>
        <v/>
      </c>
      <c r="L1152" t="str">
        <f>IF(A1152="","",IF('ATP Fills'!G1152="LME",'ATP Fills'!I1152,""))</f>
        <v/>
      </c>
      <c r="M1152" t="str">
        <f t="shared" si="17"/>
        <v/>
      </c>
    </row>
    <row r="1153" spans="1:13">
      <c r="A1153" t="str">
        <f>IF('ATP Fills'!A1153="","",IF('ATP Fills'!Q1153="PHILLIPSG",'ATP Fills'!F1153,""))</f>
        <v/>
      </c>
      <c r="B1153" t="str">
        <f>IF(A1153="","",'ATP Fills'!L1153)</f>
        <v/>
      </c>
      <c r="C1153" t="str">
        <f>IF(A1153="","",'ATP Fills'!M1153)</f>
        <v/>
      </c>
      <c r="D1153" t="str">
        <f>IF(A1153="","",'ATP Fills'!B1153)</f>
        <v/>
      </c>
      <c r="E1153" s="3" t="str">
        <f>IF(A1153="","",IF(DATE(LEFT(D1153,4),MID(D1153,5,2),RIGHT(D1153,2))=Helper1!$P$1,Helper1!$P$1,""))</f>
        <v/>
      </c>
      <c r="F1153" s="3" t="str">
        <f>IF(A1153="","",'ATP Fills'!G1153)</f>
        <v/>
      </c>
      <c r="G1153" t="str">
        <f>IF(A1153="","",'ATP Fills'!H1153)</f>
        <v/>
      </c>
      <c r="H1153" t="str">
        <f>IF(A1153="","",VLOOKUP(G1153,表3_3[],2,0))</f>
        <v/>
      </c>
      <c r="I1153" t="str">
        <f>IF(A1153="","",VLOOKUP(G1153,表3_3[],3,0))</f>
        <v/>
      </c>
      <c r="J1153" t="str">
        <f>IF(A1153="","",IF('ATP Fills'!I1153="3M","",VLOOKUP(RIGHT('ATP Fills'!I1153,2),Helper1!$O$36:$P$48,2,0)))</f>
        <v/>
      </c>
      <c r="K1153" t="str">
        <f>IF(J1153="","",LEFT('ATP Fills'!I1153,4))</f>
        <v/>
      </c>
      <c r="L1153" t="str">
        <f>IF(A1153="","",IF('ATP Fills'!G1153="LME",'ATP Fills'!I1153,""))</f>
        <v/>
      </c>
      <c r="M1153" t="str">
        <f t="shared" si="17"/>
        <v/>
      </c>
    </row>
    <row r="1154" spans="1:13">
      <c r="A1154" t="str">
        <f>IF('ATP Fills'!A1154="","",IF('ATP Fills'!Q1154="PHILLIPSG",'ATP Fills'!F1154,""))</f>
        <v/>
      </c>
      <c r="B1154" t="str">
        <f>IF(A1154="","",'ATP Fills'!L1154)</f>
        <v/>
      </c>
      <c r="C1154" t="str">
        <f>IF(A1154="","",'ATP Fills'!M1154)</f>
        <v/>
      </c>
      <c r="D1154" t="str">
        <f>IF(A1154="","",'ATP Fills'!B1154)</f>
        <v/>
      </c>
      <c r="E1154" s="3" t="str">
        <f>IF(A1154="","",IF(DATE(LEFT(D1154,4),MID(D1154,5,2),RIGHT(D1154,2))=Helper1!$P$1,Helper1!$P$1,""))</f>
        <v/>
      </c>
      <c r="F1154" s="3" t="str">
        <f>IF(A1154="","",'ATP Fills'!G1154)</f>
        <v/>
      </c>
      <c r="G1154" t="str">
        <f>IF(A1154="","",'ATP Fills'!H1154)</f>
        <v/>
      </c>
      <c r="H1154" t="str">
        <f>IF(A1154="","",VLOOKUP(G1154,表3_3[],2,0))</f>
        <v/>
      </c>
      <c r="I1154" t="str">
        <f>IF(A1154="","",VLOOKUP(G1154,表3_3[],3,0))</f>
        <v/>
      </c>
      <c r="J1154" t="str">
        <f>IF(A1154="","",IF('ATP Fills'!I1154="3M","",VLOOKUP(RIGHT('ATP Fills'!I1154,2),Helper1!$O$36:$P$48,2,0)))</f>
        <v/>
      </c>
      <c r="K1154" t="str">
        <f>IF(J1154="","",LEFT('ATP Fills'!I1154,4))</f>
        <v/>
      </c>
      <c r="L1154" t="str">
        <f>IF(A1154="","",IF('ATP Fills'!G1154="LME",'ATP Fills'!I1154,""))</f>
        <v/>
      </c>
      <c r="M1154" t="str">
        <f t="shared" si="17"/>
        <v/>
      </c>
    </row>
    <row r="1155" spans="1:13">
      <c r="A1155" t="str">
        <f>IF('ATP Fills'!A1155="","",IF('ATP Fills'!Q1155="PHILLIPSG",'ATP Fills'!F1155,""))</f>
        <v/>
      </c>
      <c r="B1155" t="str">
        <f>IF(A1155="","",'ATP Fills'!L1155)</f>
        <v/>
      </c>
      <c r="C1155" t="str">
        <f>IF(A1155="","",'ATP Fills'!M1155)</f>
        <v/>
      </c>
      <c r="D1155" t="str">
        <f>IF(A1155="","",'ATP Fills'!B1155)</f>
        <v/>
      </c>
      <c r="E1155" s="3" t="str">
        <f>IF(A1155="","",IF(DATE(LEFT(D1155,4),MID(D1155,5,2),RIGHT(D1155,2))=Helper1!$P$1,Helper1!$P$1,""))</f>
        <v/>
      </c>
      <c r="F1155" s="3" t="str">
        <f>IF(A1155="","",'ATP Fills'!G1155)</f>
        <v/>
      </c>
      <c r="G1155" t="str">
        <f>IF(A1155="","",'ATP Fills'!H1155)</f>
        <v/>
      </c>
      <c r="H1155" t="str">
        <f>IF(A1155="","",VLOOKUP(G1155,表3_3[],2,0))</f>
        <v/>
      </c>
      <c r="I1155" t="str">
        <f>IF(A1155="","",VLOOKUP(G1155,表3_3[],3,0))</f>
        <v/>
      </c>
      <c r="J1155" t="str">
        <f>IF(A1155="","",IF('ATP Fills'!I1155="3M","",VLOOKUP(RIGHT('ATP Fills'!I1155,2),Helper1!$O$36:$P$48,2,0)))</f>
        <v/>
      </c>
      <c r="K1155" t="str">
        <f>IF(J1155="","",LEFT('ATP Fills'!I1155,4))</f>
        <v/>
      </c>
      <c r="L1155" t="str">
        <f>IF(A1155="","",IF('ATP Fills'!G1155="LME",'ATP Fills'!I1155,""))</f>
        <v/>
      </c>
      <c r="M1155" t="str">
        <f t="shared" ref="M1155:M1218" si="18">IF(A1155="","",IF(F1155="LME",F1155&amp;"-"&amp;I1155&amp;"-"&amp;L1155,J1155&amp;"-"&amp;K1155&amp;"-"&amp;I1155))</f>
        <v/>
      </c>
    </row>
    <row r="1156" spans="1:13">
      <c r="A1156" t="str">
        <f>IF('ATP Fills'!A1156="","",IF('ATP Fills'!Q1156="PHILLIPSG",'ATP Fills'!F1156,""))</f>
        <v/>
      </c>
      <c r="B1156" t="str">
        <f>IF(A1156="","",'ATP Fills'!L1156)</f>
        <v/>
      </c>
      <c r="C1156" t="str">
        <f>IF(A1156="","",'ATP Fills'!M1156)</f>
        <v/>
      </c>
      <c r="D1156" t="str">
        <f>IF(A1156="","",'ATP Fills'!B1156)</f>
        <v/>
      </c>
      <c r="E1156" s="3" t="str">
        <f>IF(A1156="","",IF(DATE(LEFT(D1156,4),MID(D1156,5,2),RIGHT(D1156,2))=Helper1!$P$1,Helper1!$P$1,""))</f>
        <v/>
      </c>
      <c r="F1156" s="3" t="str">
        <f>IF(A1156="","",'ATP Fills'!G1156)</f>
        <v/>
      </c>
      <c r="G1156" t="str">
        <f>IF(A1156="","",'ATP Fills'!H1156)</f>
        <v/>
      </c>
      <c r="H1156" t="str">
        <f>IF(A1156="","",VLOOKUP(G1156,表3_3[],2,0))</f>
        <v/>
      </c>
      <c r="I1156" t="str">
        <f>IF(A1156="","",VLOOKUP(G1156,表3_3[],3,0))</f>
        <v/>
      </c>
      <c r="J1156" t="str">
        <f>IF(A1156="","",IF('ATP Fills'!I1156="3M","",VLOOKUP(RIGHT('ATP Fills'!I1156,2),Helper1!$O$36:$P$48,2,0)))</f>
        <v/>
      </c>
      <c r="K1156" t="str">
        <f>IF(J1156="","",LEFT('ATP Fills'!I1156,4))</f>
        <v/>
      </c>
      <c r="L1156" t="str">
        <f>IF(A1156="","",IF('ATP Fills'!G1156="LME",'ATP Fills'!I1156,""))</f>
        <v/>
      </c>
      <c r="M1156" t="str">
        <f t="shared" si="18"/>
        <v/>
      </c>
    </row>
    <row r="1157" spans="1:13">
      <c r="A1157" t="str">
        <f>IF('ATP Fills'!A1157="","",IF('ATP Fills'!Q1157="PHILLIPSG",'ATP Fills'!F1157,""))</f>
        <v/>
      </c>
      <c r="B1157" t="str">
        <f>IF(A1157="","",'ATP Fills'!L1157)</f>
        <v/>
      </c>
      <c r="C1157" t="str">
        <f>IF(A1157="","",'ATP Fills'!M1157)</f>
        <v/>
      </c>
      <c r="D1157" t="str">
        <f>IF(A1157="","",'ATP Fills'!B1157)</f>
        <v/>
      </c>
      <c r="E1157" s="3" t="str">
        <f>IF(A1157="","",IF(DATE(LEFT(D1157,4),MID(D1157,5,2),RIGHT(D1157,2))=Helper1!$P$1,Helper1!$P$1,""))</f>
        <v/>
      </c>
      <c r="F1157" s="3" t="str">
        <f>IF(A1157="","",'ATP Fills'!G1157)</f>
        <v/>
      </c>
      <c r="G1157" t="str">
        <f>IF(A1157="","",'ATP Fills'!H1157)</f>
        <v/>
      </c>
      <c r="H1157" t="str">
        <f>IF(A1157="","",VLOOKUP(G1157,表3_3[],2,0))</f>
        <v/>
      </c>
      <c r="I1157" t="str">
        <f>IF(A1157="","",VLOOKUP(G1157,表3_3[],3,0))</f>
        <v/>
      </c>
      <c r="J1157" t="str">
        <f>IF(A1157="","",IF('ATP Fills'!I1157="3M","",VLOOKUP(RIGHT('ATP Fills'!I1157,2),Helper1!$O$36:$P$48,2,0)))</f>
        <v/>
      </c>
      <c r="K1157" t="str">
        <f>IF(J1157="","",LEFT('ATP Fills'!I1157,4))</f>
        <v/>
      </c>
      <c r="L1157" t="str">
        <f>IF(A1157="","",IF('ATP Fills'!G1157="LME",'ATP Fills'!I1157,""))</f>
        <v/>
      </c>
      <c r="M1157" t="str">
        <f t="shared" si="18"/>
        <v/>
      </c>
    </row>
    <row r="1158" spans="1:13">
      <c r="A1158" t="str">
        <f>IF('ATP Fills'!A1158="","",IF('ATP Fills'!Q1158="PHILLIPSG",'ATP Fills'!F1158,""))</f>
        <v/>
      </c>
      <c r="B1158" t="str">
        <f>IF(A1158="","",'ATP Fills'!L1158)</f>
        <v/>
      </c>
      <c r="C1158" t="str">
        <f>IF(A1158="","",'ATP Fills'!M1158)</f>
        <v/>
      </c>
      <c r="D1158" t="str">
        <f>IF(A1158="","",'ATP Fills'!B1158)</f>
        <v/>
      </c>
      <c r="E1158" s="3" t="str">
        <f>IF(A1158="","",IF(DATE(LEFT(D1158,4),MID(D1158,5,2),RIGHT(D1158,2))=Helper1!$P$1,Helper1!$P$1,""))</f>
        <v/>
      </c>
      <c r="F1158" s="3" t="str">
        <f>IF(A1158="","",'ATP Fills'!G1158)</f>
        <v/>
      </c>
      <c r="G1158" t="str">
        <f>IF(A1158="","",'ATP Fills'!H1158)</f>
        <v/>
      </c>
      <c r="H1158" t="str">
        <f>IF(A1158="","",VLOOKUP(G1158,表3_3[],2,0))</f>
        <v/>
      </c>
      <c r="I1158" t="str">
        <f>IF(A1158="","",VLOOKUP(G1158,表3_3[],3,0))</f>
        <v/>
      </c>
      <c r="J1158" t="str">
        <f>IF(A1158="","",IF('ATP Fills'!I1158="3M","",VLOOKUP(RIGHT('ATP Fills'!I1158,2),Helper1!$O$36:$P$48,2,0)))</f>
        <v/>
      </c>
      <c r="K1158" t="str">
        <f>IF(J1158="","",LEFT('ATP Fills'!I1158,4))</f>
        <v/>
      </c>
      <c r="L1158" t="str">
        <f>IF(A1158="","",IF('ATP Fills'!G1158="LME",'ATP Fills'!I1158,""))</f>
        <v/>
      </c>
      <c r="M1158" t="str">
        <f t="shared" si="18"/>
        <v/>
      </c>
    </row>
    <row r="1159" spans="1:13">
      <c r="A1159" t="str">
        <f>IF('ATP Fills'!A1159="","",IF('ATP Fills'!Q1159="PHILLIPSG",'ATP Fills'!F1159,""))</f>
        <v/>
      </c>
      <c r="B1159" t="str">
        <f>IF(A1159="","",'ATP Fills'!L1159)</f>
        <v/>
      </c>
      <c r="C1159" t="str">
        <f>IF(A1159="","",'ATP Fills'!M1159)</f>
        <v/>
      </c>
      <c r="D1159" t="str">
        <f>IF(A1159="","",'ATP Fills'!B1159)</f>
        <v/>
      </c>
      <c r="E1159" s="3" t="str">
        <f>IF(A1159="","",IF(DATE(LEFT(D1159,4),MID(D1159,5,2),RIGHT(D1159,2))=Helper1!$P$1,Helper1!$P$1,""))</f>
        <v/>
      </c>
      <c r="F1159" s="3" t="str">
        <f>IF(A1159="","",'ATP Fills'!G1159)</f>
        <v/>
      </c>
      <c r="G1159" t="str">
        <f>IF(A1159="","",'ATP Fills'!H1159)</f>
        <v/>
      </c>
      <c r="H1159" t="str">
        <f>IF(A1159="","",VLOOKUP(G1159,表3_3[],2,0))</f>
        <v/>
      </c>
      <c r="I1159" t="str">
        <f>IF(A1159="","",VLOOKUP(G1159,表3_3[],3,0))</f>
        <v/>
      </c>
      <c r="J1159" t="str">
        <f>IF(A1159="","",IF('ATP Fills'!I1159="3M","",VLOOKUP(RIGHT('ATP Fills'!I1159,2),Helper1!$O$36:$P$48,2,0)))</f>
        <v/>
      </c>
      <c r="K1159" t="str">
        <f>IF(J1159="","",LEFT('ATP Fills'!I1159,4))</f>
        <v/>
      </c>
      <c r="L1159" t="str">
        <f>IF(A1159="","",IF('ATP Fills'!G1159="LME",'ATP Fills'!I1159,""))</f>
        <v/>
      </c>
      <c r="M1159" t="str">
        <f t="shared" si="18"/>
        <v/>
      </c>
    </row>
    <row r="1160" spans="1:13">
      <c r="A1160" t="str">
        <f>IF('ATP Fills'!A1160="","",IF('ATP Fills'!Q1160="PHILLIPSG",'ATP Fills'!F1160,""))</f>
        <v/>
      </c>
      <c r="B1160" t="str">
        <f>IF(A1160="","",'ATP Fills'!L1160)</f>
        <v/>
      </c>
      <c r="C1160" t="str">
        <f>IF(A1160="","",'ATP Fills'!M1160)</f>
        <v/>
      </c>
      <c r="D1160" t="str">
        <f>IF(A1160="","",'ATP Fills'!B1160)</f>
        <v/>
      </c>
      <c r="E1160" s="3" t="str">
        <f>IF(A1160="","",IF(DATE(LEFT(D1160,4),MID(D1160,5,2),RIGHT(D1160,2))=Helper1!$P$1,Helper1!$P$1,""))</f>
        <v/>
      </c>
      <c r="F1160" s="3" t="str">
        <f>IF(A1160="","",'ATP Fills'!G1160)</f>
        <v/>
      </c>
      <c r="G1160" t="str">
        <f>IF(A1160="","",'ATP Fills'!H1160)</f>
        <v/>
      </c>
      <c r="H1160" t="str">
        <f>IF(A1160="","",VLOOKUP(G1160,表3_3[],2,0))</f>
        <v/>
      </c>
      <c r="I1160" t="str">
        <f>IF(A1160="","",VLOOKUP(G1160,表3_3[],3,0))</f>
        <v/>
      </c>
      <c r="J1160" t="str">
        <f>IF(A1160="","",IF('ATP Fills'!I1160="3M","",VLOOKUP(RIGHT('ATP Fills'!I1160,2),Helper1!$O$36:$P$48,2,0)))</f>
        <v/>
      </c>
      <c r="K1160" t="str">
        <f>IF(J1160="","",LEFT('ATP Fills'!I1160,4))</f>
        <v/>
      </c>
      <c r="L1160" t="str">
        <f>IF(A1160="","",IF('ATP Fills'!G1160="LME",'ATP Fills'!I1160,""))</f>
        <v/>
      </c>
      <c r="M1160" t="str">
        <f t="shared" si="18"/>
        <v/>
      </c>
    </row>
    <row r="1161" spans="1:13">
      <c r="A1161" t="str">
        <f>IF('ATP Fills'!A1161="","",IF('ATP Fills'!Q1161="PHILLIPSG",'ATP Fills'!F1161,""))</f>
        <v/>
      </c>
      <c r="B1161" t="str">
        <f>IF(A1161="","",'ATP Fills'!L1161)</f>
        <v/>
      </c>
      <c r="C1161" t="str">
        <f>IF(A1161="","",'ATP Fills'!M1161)</f>
        <v/>
      </c>
      <c r="D1161" t="str">
        <f>IF(A1161="","",'ATP Fills'!B1161)</f>
        <v/>
      </c>
      <c r="E1161" s="3" t="str">
        <f>IF(A1161="","",IF(DATE(LEFT(D1161,4),MID(D1161,5,2),RIGHT(D1161,2))=Helper1!$P$1,Helper1!$P$1,""))</f>
        <v/>
      </c>
      <c r="F1161" s="3" t="str">
        <f>IF(A1161="","",'ATP Fills'!G1161)</f>
        <v/>
      </c>
      <c r="G1161" t="str">
        <f>IF(A1161="","",'ATP Fills'!H1161)</f>
        <v/>
      </c>
      <c r="H1161" t="str">
        <f>IF(A1161="","",VLOOKUP(G1161,表3_3[],2,0))</f>
        <v/>
      </c>
      <c r="I1161" t="str">
        <f>IF(A1161="","",VLOOKUP(G1161,表3_3[],3,0))</f>
        <v/>
      </c>
      <c r="J1161" t="str">
        <f>IF(A1161="","",IF('ATP Fills'!I1161="3M","",VLOOKUP(RIGHT('ATP Fills'!I1161,2),Helper1!$O$36:$P$48,2,0)))</f>
        <v/>
      </c>
      <c r="K1161" t="str">
        <f>IF(J1161="","",LEFT('ATP Fills'!I1161,4))</f>
        <v/>
      </c>
      <c r="L1161" t="str">
        <f>IF(A1161="","",IF('ATP Fills'!G1161="LME",'ATP Fills'!I1161,""))</f>
        <v/>
      </c>
      <c r="M1161" t="str">
        <f t="shared" si="18"/>
        <v/>
      </c>
    </row>
    <row r="1162" spans="1:13">
      <c r="A1162" t="str">
        <f>IF('ATP Fills'!A1162="","",IF('ATP Fills'!Q1162="PHILLIPSG",'ATP Fills'!F1162,""))</f>
        <v/>
      </c>
      <c r="B1162" t="str">
        <f>IF(A1162="","",'ATP Fills'!L1162)</f>
        <v/>
      </c>
      <c r="C1162" t="str">
        <f>IF(A1162="","",'ATP Fills'!M1162)</f>
        <v/>
      </c>
      <c r="D1162" t="str">
        <f>IF(A1162="","",'ATP Fills'!B1162)</f>
        <v/>
      </c>
      <c r="E1162" s="3" t="str">
        <f>IF(A1162="","",IF(DATE(LEFT(D1162,4),MID(D1162,5,2),RIGHT(D1162,2))=Helper1!$P$1,Helper1!$P$1,""))</f>
        <v/>
      </c>
      <c r="F1162" s="3" t="str">
        <f>IF(A1162="","",'ATP Fills'!G1162)</f>
        <v/>
      </c>
      <c r="G1162" t="str">
        <f>IF(A1162="","",'ATP Fills'!H1162)</f>
        <v/>
      </c>
      <c r="H1162" t="str">
        <f>IF(A1162="","",VLOOKUP(G1162,表3_3[],2,0))</f>
        <v/>
      </c>
      <c r="I1162" t="str">
        <f>IF(A1162="","",VLOOKUP(G1162,表3_3[],3,0))</f>
        <v/>
      </c>
      <c r="J1162" t="str">
        <f>IF(A1162="","",IF('ATP Fills'!I1162="3M","",VLOOKUP(RIGHT('ATP Fills'!I1162,2),Helper1!$O$36:$P$48,2,0)))</f>
        <v/>
      </c>
      <c r="K1162" t="str">
        <f>IF(J1162="","",LEFT('ATP Fills'!I1162,4))</f>
        <v/>
      </c>
      <c r="L1162" t="str">
        <f>IF(A1162="","",IF('ATP Fills'!G1162="LME",'ATP Fills'!I1162,""))</f>
        <v/>
      </c>
      <c r="M1162" t="str">
        <f t="shared" si="18"/>
        <v/>
      </c>
    </row>
    <row r="1163" spans="1:13">
      <c r="A1163" t="str">
        <f>IF('ATP Fills'!A1163="","",IF('ATP Fills'!Q1163="PHILLIPSG",'ATP Fills'!F1163,""))</f>
        <v/>
      </c>
      <c r="B1163" t="str">
        <f>IF(A1163="","",'ATP Fills'!L1163)</f>
        <v/>
      </c>
      <c r="C1163" t="str">
        <f>IF(A1163="","",'ATP Fills'!M1163)</f>
        <v/>
      </c>
      <c r="D1163" t="str">
        <f>IF(A1163="","",'ATP Fills'!B1163)</f>
        <v/>
      </c>
      <c r="E1163" s="3" t="str">
        <f>IF(A1163="","",IF(DATE(LEFT(D1163,4),MID(D1163,5,2),RIGHT(D1163,2))=Helper1!$P$1,Helper1!$P$1,""))</f>
        <v/>
      </c>
      <c r="F1163" s="3" t="str">
        <f>IF(A1163="","",'ATP Fills'!G1163)</f>
        <v/>
      </c>
      <c r="G1163" t="str">
        <f>IF(A1163="","",'ATP Fills'!H1163)</f>
        <v/>
      </c>
      <c r="H1163" t="str">
        <f>IF(A1163="","",VLOOKUP(G1163,表3_3[],2,0))</f>
        <v/>
      </c>
      <c r="I1163" t="str">
        <f>IF(A1163="","",VLOOKUP(G1163,表3_3[],3,0))</f>
        <v/>
      </c>
      <c r="J1163" t="str">
        <f>IF(A1163="","",IF('ATP Fills'!I1163="3M","",VLOOKUP(RIGHT('ATP Fills'!I1163,2),Helper1!$O$36:$P$48,2,0)))</f>
        <v/>
      </c>
      <c r="K1163" t="str">
        <f>IF(J1163="","",LEFT('ATP Fills'!I1163,4))</f>
        <v/>
      </c>
      <c r="L1163" t="str">
        <f>IF(A1163="","",IF('ATP Fills'!G1163="LME",'ATP Fills'!I1163,""))</f>
        <v/>
      </c>
      <c r="M1163" t="str">
        <f t="shared" si="18"/>
        <v/>
      </c>
    </row>
    <row r="1164" spans="1:13">
      <c r="A1164" t="str">
        <f>IF('ATP Fills'!A1164="","",IF('ATP Fills'!Q1164="PHILLIPSG",'ATP Fills'!F1164,""))</f>
        <v/>
      </c>
      <c r="B1164" t="str">
        <f>IF(A1164="","",'ATP Fills'!L1164)</f>
        <v/>
      </c>
      <c r="C1164" t="str">
        <f>IF(A1164="","",'ATP Fills'!M1164)</f>
        <v/>
      </c>
      <c r="D1164" t="str">
        <f>IF(A1164="","",'ATP Fills'!B1164)</f>
        <v/>
      </c>
      <c r="E1164" s="3" t="str">
        <f>IF(A1164="","",IF(DATE(LEFT(D1164,4),MID(D1164,5,2),RIGHT(D1164,2))=Helper1!$P$1,Helper1!$P$1,""))</f>
        <v/>
      </c>
      <c r="F1164" s="3" t="str">
        <f>IF(A1164="","",'ATP Fills'!G1164)</f>
        <v/>
      </c>
      <c r="G1164" t="str">
        <f>IF(A1164="","",'ATP Fills'!H1164)</f>
        <v/>
      </c>
      <c r="H1164" t="str">
        <f>IF(A1164="","",VLOOKUP(G1164,表3_3[],2,0))</f>
        <v/>
      </c>
      <c r="I1164" t="str">
        <f>IF(A1164="","",VLOOKUP(G1164,表3_3[],3,0))</f>
        <v/>
      </c>
      <c r="J1164" t="str">
        <f>IF(A1164="","",IF('ATP Fills'!I1164="3M","",VLOOKUP(RIGHT('ATP Fills'!I1164,2),Helper1!$O$36:$P$48,2,0)))</f>
        <v/>
      </c>
      <c r="K1164" t="str">
        <f>IF(J1164="","",LEFT('ATP Fills'!I1164,4))</f>
        <v/>
      </c>
      <c r="L1164" t="str">
        <f>IF(A1164="","",IF('ATP Fills'!G1164="LME",'ATP Fills'!I1164,""))</f>
        <v/>
      </c>
      <c r="M1164" t="str">
        <f t="shared" si="18"/>
        <v/>
      </c>
    </row>
    <row r="1165" spans="1:13">
      <c r="A1165" t="str">
        <f>IF('ATP Fills'!A1165="","",IF('ATP Fills'!Q1165="PHILLIPSG",'ATP Fills'!F1165,""))</f>
        <v/>
      </c>
      <c r="B1165" t="str">
        <f>IF(A1165="","",'ATP Fills'!L1165)</f>
        <v/>
      </c>
      <c r="C1165" t="str">
        <f>IF(A1165="","",'ATP Fills'!M1165)</f>
        <v/>
      </c>
      <c r="D1165" t="str">
        <f>IF(A1165="","",'ATP Fills'!B1165)</f>
        <v/>
      </c>
      <c r="E1165" s="3" t="str">
        <f>IF(A1165="","",IF(DATE(LEFT(D1165,4),MID(D1165,5,2),RIGHT(D1165,2))=Helper1!$P$1,Helper1!$P$1,""))</f>
        <v/>
      </c>
      <c r="F1165" s="3" t="str">
        <f>IF(A1165="","",'ATP Fills'!G1165)</f>
        <v/>
      </c>
      <c r="G1165" t="str">
        <f>IF(A1165="","",'ATP Fills'!H1165)</f>
        <v/>
      </c>
      <c r="H1165" t="str">
        <f>IF(A1165="","",VLOOKUP(G1165,表3_3[],2,0))</f>
        <v/>
      </c>
      <c r="I1165" t="str">
        <f>IF(A1165="","",VLOOKUP(G1165,表3_3[],3,0))</f>
        <v/>
      </c>
      <c r="J1165" t="str">
        <f>IF(A1165="","",IF('ATP Fills'!I1165="3M","",VLOOKUP(RIGHT('ATP Fills'!I1165,2),Helper1!$O$36:$P$48,2,0)))</f>
        <v/>
      </c>
      <c r="K1165" t="str">
        <f>IF(J1165="","",LEFT('ATP Fills'!I1165,4))</f>
        <v/>
      </c>
      <c r="L1165" t="str">
        <f>IF(A1165="","",IF('ATP Fills'!G1165="LME",'ATP Fills'!I1165,""))</f>
        <v/>
      </c>
      <c r="M1165" t="str">
        <f t="shared" si="18"/>
        <v/>
      </c>
    </row>
    <row r="1166" spans="1:13">
      <c r="A1166" t="str">
        <f>IF('ATP Fills'!A1166="","",IF('ATP Fills'!Q1166="PHILLIPSG",'ATP Fills'!F1166,""))</f>
        <v/>
      </c>
      <c r="B1166" t="str">
        <f>IF(A1166="","",'ATP Fills'!L1166)</f>
        <v/>
      </c>
      <c r="C1166" t="str">
        <f>IF(A1166="","",'ATP Fills'!M1166)</f>
        <v/>
      </c>
      <c r="D1166" t="str">
        <f>IF(A1166="","",'ATP Fills'!B1166)</f>
        <v/>
      </c>
      <c r="E1166" s="3" t="str">
        <f>IF(A1166="","",IF(DATE(LEFT(D1166,4),MID(D1166,5,2),RIGHT(D1166,2))=Helper1!$P$1,Helper1!$P$1,""))</f>
        <v/>
      </c>
      <c r="F1166" s="3" t="str">
        <f>IF(A1166="","",'ATP Fills'!G1166)</f>
        <v/>
      </c>
      <c r="G1166" t="str">
        <f>IF(A1166="","",'ATP Fills'!H1166)</f>
        <v/>
      </c>
      <c r="H1166" t="str">
        <f>IF(A1166="","",VLOOKUP(G1166,表3_3[],2,0))</f>
        <v/>
      </c>
      <c r="I1166" t="str">
        <f>IF(A1166="","",VLOOKUP(G1166,表3_3[],3,0))</f>
        <v/>
      </c>
      <c r="J1166" t="str">
        <f>IF(A1166="","",IF('ATP Fills'!I1166="3M","",VLOOKUP(RIGHT('ATP Fills'!I1166,2),Helper1!$O$36:$P$48,2,0)))</f>
        <v/>
      </c>
      <c r="K1166" t="str">
        <f>IF(J1166="","",LEFT('ATP Fills'!I1166,4))</f>
        <v/>
      </c>
      <c r="L1166" t="str">
        <f>IF(A1166="","",IF('ATP Fills'!G1166="LME",'ATP Fills'!I1166,""))</f>
        <v/>
      </c>
      <c r="M1166" t="str">
        <f t="shared" si="18"/>
        <v/>
      </c>
    </row>
    <row r="1167" spans="1:13">
      <c r="A1167" t="str">
        <f>IF('ATP Fills'!A1167="","",IF('ATP Fills'!Q1167="PHILLIPSG",'ATP Fills'!F1167,""))</f>
        <v/>
      </c>
      <c r="B1167" t="str">
        <f>IF(A1167="","",'ATP Fills'!L1167)</f>
        <v/>
      </c>
      <c r="C1167" t="str">
        <f>IF(A1167="","",'ATP Fills'!M1167)</f>
        <v/>
      </c>
      <c r="D1167" t="str">
        <f>IF(A1167="","",'ATP Fills'!B1167)</f>
        <v/>
      </c>
      <c r="E1167" s="3" t="str">
        <f>IF(A1167="","",IF(DATE(LEFT(D1167,4),MID(D1167,5,2),RIGHT(D1167,2))=Helper1!$P$1,Helper1!$P$1,""))</f>
        <v/>
      </c>
      <c r="F1167" s="3" t="str">
        <f>IF(A1167="","",'ATP Fills'!G1167)</f>
        <v/>
      </c>
      <c r="G1167" t="str">
        <f>IF(A1167="","",'ATP Fills'!H1167)</f>
        <v/>
      </c>
      <c r="H1167" t="str">
        <f>IF(A1167="","",VLOOKUP(G1167,表3_3[],2,0))</f>
        <v/>
      </c>
      <c r="I1167" t="str">
        <f>IF(A1167="","",VLOOKUP(G1167,表3_3[],3,0))</f>
        <v/>
      </c>
      <c r="J1167" t="str">
        <f>IF(A1167="","",IF('ATP Fills'!I1167="3M","",VLOOKUP(RIGHT('ATP Fills'!I1167,2),Helper1!$O$36:$P$48,2,0)))</f>
        <v/>
      </c>
      <c r="K1167" t="str">
        <f>IF(J1167="","",LEFT('ATP Fills'!I1167,4))</f>
        <v/>
      </c>
      <c r="L1167" t="str">
        <f>IF(A1167="","",IF('ATP Fills'!G1167="LME",'ATP Fills'!I1167,""))</f>
        <v/>
      </c>
      <c r="M1167" t="str">
        <f t="shared" si="18"/>
        <v/>
      </c>
    </row>
    <row r="1168" spans="1:13">
      <c r="A1168" t="str">
        <f>IF('ATP Fills'!A1168="","",IF('ATP Fills'!Q1168="PHILLIPSG",'ATP Fills'!F1168,""))</f>
        <v/>
      </c>
      <c r="B1168" t="str">
        <f>IF(A1168="","",'ATP Fills'!L1168)</f>
        <v/>
      </c>
      <c r="C1168" t="str">
        <f>IF(A1168="","",'ATP Fills'!M1168)</f>
        <v/>
      </c>
      <c r="D1168" t="str">
        <f>IF(A1168="","",'ATP Fills'!B1168)</f>
        <v/>
      </c>
      <c r="E1168" s="3" t="str">
        <f>IF(A1168="","",IF(DATE(LEFT(D1168,4),MID(D1168,5,2),RIGHT(D1168,2))=Helper1!$P$1,Helper1!$P$1,""))</f>
        <v/>
      </c>
      <c r="F1168" s="3" t="str">
        <f>IF(A1168="","",'ATP Fills'!G1168)</f>
        <v/>
      </c>
      <c r="G1168" t="str">
        <f>IF(A1168="","",'ATP Fills'!H1168)</f>
        <v/>
      </c>
      <c r="H1168" t="str">
        <f>IF(A1168="","",VLOOKUP(G1168,表3_3[],2,0))</f>
        <v/>
      </c>
      <c r="I1168" t="str">
        <f>IF(A1168="","",VLOOKUP(G1168,表3_3[],3,0))</f>
        <v/>
      </c>
      <c r="J1168" t="str">
        <f>IF(A1168="","",IF('ATP Fills'!I1168="3M","",VLOOKUP(RIGHT('ATP Fills'!I1168,2),Helper1!$O$36:$P$48,2,0)))</f>
        <v/>
      </c>
      <c r="K1168" t="str">
        <f>IF(J1168="","",LEFT('ATP Fills'!I1168,4))</f>
        <v/>
      </c>
      <c r="L1168" t="str">
        <f>IF(A1168="","",IF('ATP Fills'!G1168="LME",'ATP Fills'!I1168,""))</f>
        <v/>
      </c>
      <c r="M1168" t="str">
        <f t="shared" si="18"/>
        <v/>
      </c>
    </row>
    <row r="1169" spans="1:13">
      <c r="A1169" t="str">
        <f>IF('ATP Fills'!A1169="","",IF('ATP Fills'!Q1169="PHILLIPSG",'ATP Fills'!F1169,""))</f>
        <v/>
      </c>
      <c r="B1169" t="str">
        <f>IF(A1169="","",'ATP Fills'!L1169)</f>
        <v/>
      </c>
      <c r="C1169" t="str">
        <f>IF(A1169="","",'ATP Fills'!M1169)</f>
        <v/>
      </c>
      <c r="D1169" t="str">
        <f>IF(A1169="","",'ATP Fills'!B1169)</f>
        <v/>
      </c>
      <c r="E1169" s="3" t="str">
        <f>IF(A1169="","",IF(DATE(LEFT(D1169,4),MID(D1169,5,2),RIGHT(D1169,2))=Helper1!$P$1,Helper1!$P$1,""))</f>
        <v/>
      </c>
      <c r="F1169" s="3" t="str">
        <f>IF(A1169="","",'ATP Fills'!G1169)</f>
        <v/>
      </c>
      <c r="G1169" t="str">
        <f>IF(A1169="","",'ATP Fills'!H1169)</f>
        <v/>
      </c>
      <c r="H1169" t="str">
        <f>IF(A1169="","",VLOOKUP(G1169,表3_3[],2,0))</f>
        <v/>
      </c>
      <c r="I1169" t="str">
        <f>IF(A1169="","",VLOOKUP(G1169,表3_3[],3,0))</f>
        <v/>
      </c>
      <c r="J1169" t="str">
        <f>IF(A1169="","",IF('ATP Fills'!I1169="3M","",VLOOKUP(RIGHT('ATP Fills'!I1169,2),Helper1!$O$36:$P$48,2,0)))</f>
        <v/>
      </c>
      <c r="K1169" t="str">
        <f>IF(J1169="","",LEFT('ATP Fills'!I1169,4))</f>
        <v/>
      </c>
      <c r="L1169" t="str">
        <f>IF(A1169="","",IF('ATP Fills'!G1169="LME",'ATP Fills'!I1169,""))</f>
        <v/>
      </c>
      <c r="M1169" t="str">
        <f t="shared" si="18"/>
        <v/>
      </c>
    </row>
    <row r="1170" spans="1:13">
      <c r="A1170" t="str">
        <f>IF('ATP Fills'!A1170="","",IF('ATP Fills'!Q1170="PHILLIPSG",'ATP Fills'!F1170,""))</f>
        <v/>
      </c>
      <c r="B1170" t="str">
        <f>IF(A1170="","",'ATP Fills'!L1170)</f>
        <v/>
      </c>
      <c r="C1170" t="str">
        <f>IF(A1170="","",'ATP Fills'!M1170)</f>
        <v/>
      </c>
      <c r="D1170" t="str">
        <f>IF(A1170="","",'ATP Fills'!B1170)</f>
        <v/>
      </c>
      <c r="E1170" s="3" t="str">
        <f>IF(A1170="","",IF(DATE(LEFT(D1170,4),MID(D1170,5,2),RIGHT(D1170,2))=Helper1!$P$1,Helper1!$P$1,""))</f>
        <v/>
      </c>
      <c r="F1170" s="3" t="str">
        <f>IF(A1170="","",'ATP Fills'!G1170)</f>
        <v/>
      </c>
      <c r="G1170" t="str">
        <f>IF(A1170="","",'ATP Fills'!H1170)</f>
        <v/>
      </c>
      <c r="H1170" t="str">
        <f>IF(A1170="","",VLOOKUP(G1170,表3_3[],2,0))</f>
        <v/>
      </c>
      <c r="I1170" t="str">
        <f>IF(A1170="","",VLOOKUP(G1170,表3_3[],3,0))</f>
        <v/>
      </c>
      <c r="J1170" t="str">
        <f>IF(A1170="","",IF('ATP Fills'!I1170="3M","",VLOOKUP(RIGHT('ATP Fills'!I1170,2),Helper1!$O$36:$P$48,2,0)))</f>
        <v/>
      </c>
      <c r="K1170" t="str">
        <f>IF(J1170="","",LEFT('ATP Fills'!I1170,4))</f>
        <v/>
      </c>
      <c r="L1170" t="str">
        <f>IF(A1170="","",IF('ATP Fills'!G1170="LME",'ATP Fills'!I1170,""))</f>
        <v/>
      </c>
      <c r="M1170" t="str">
        <f t="shared" si="18"/>
        <v/>
      </c>
    </row>
    <row r="1171" spans="1:13">
      <c r="A1171" t="str">
        <f>IF('ATP Fills'!A1171="","",IF('ATP Fills'!Q1171="PHILLIPSG",'ATP Fills'!F1171,""))</f>
        <v/>
      </c>
      <c r="B1171" t="str">
        <f>IF(A1171="","",'ATP Fills'!L1171)</f>
        <v/>
      </c>
      <c r="C1171" t="str">
        <f>IF(A1171="","",'ATP Fills'!M1171)</f>
        <v/>
      </c>
      <c r="D1171" t="str">
        <f>IF(A1171="","",'ATP Fills'!B1171)</f>
        <v/>
      </c>
      <c r="E1171" s="3" t="str">
        <f>IF(A1171="","",IF(DATE(LEFT(D1171,4),MID(D1171,5,2),RIGHT(D1171,2))=Helper1!$P$1,Helper1!$P$1,""))</f>
        <v/>
      </c>
      <c r="F1171" s="3" t="str">
        <f>IF(A1171="","",'ATP Fills'!G1171)</f>
        <v/>
      </c>
      <c r="G1171" t="str">
        <f>IF(A1171="","",'ATP Fills'!H1171)</f>
        <v/>
      </c>
      <c r="H1171" t="str">
        <f>IF(A1171="","",VLOOKUP(G1171,表3_3[],2,0))</f>
        <v/>
      </c>
      <c r="I1171" t="str">
        <f>IF(A1171="","",VLOOKUP(G1171,表3_3[],3,0))</f>
        <v/>
      </c>
      <c r="J1171" t="str">
        <f>IF(A1171="","",IF('ATP Fills'!I1171="3M","",VLOOKUP(RIGHT('ATP Fills'!I1171,2),Helper1!$O$36:$P$48,2,0)))</f>
        <v/>
      </c>
      <c r="K1171" t="str">
        <f>IF(J1171="","",LEFT('ATP Fills'!I1171,4))</f>
        <v/>
      </c>
      <c r="L1171" t="str">
        <f>IF(A1171="","",IF('ATP Fills'!G1171="LME",'ATP Fills'!I1171,""))</f>
        <v/>
      </c>
      <c r="M1171" t="str">
        <f t="shared" si="18"/>
        <v/>
      </c>
    </row>
    <row r="1172" spans="1:13">
      <c r="A1172" t="str">
        <f>IF('ATP Fills'!A1172="","",IF('ATP Fills'!Q1172="PHILLIPSG",'ATP Fills'!F1172,""))</f>
        <v/>
      </c>
      <c r="B1172" t="str">
        <f>IF(A1172="","",'ATP Fills'!L1172)</f>
        <v/>
      </c>
      <c r="C1172" t="str">
        <f>IF(A1172="","",'ATP Fills'!M1172)</f>
        <v/>
      </c>
      <c r="D1172" t="str">
        <f>IF(A1172="","",'ATP Fills'!B1172)</f>
        <v/>
      </c>
      <c r="E1172" s="3" t="str">
        <f>IF(A1172="","",IF(DATE(LEFT(D1172,4),MID(D1172,5,2),RIGHT(D1172,2))=Helper1!$P$1,Helper1!$P$1,""))</f>
        <v/>
      </c>
      <c r="F1172" s="3" t="str">
        <f>IF(A1172="","",'ATP Fills'!G1172)</f>
        <v/>
      </c>
      <c r="G1172" t="str">
        <f>IF(A1172="","",'ATP Fills'!H1172)</f>
        <v/>
      </c>
      <c r="H1172" t="str">
        <f>IF(A1172="","",VLOOKUP(G1172,表3_3[],2,0))</f>
        <v/>
      </c>
      <c r="I1172" t="str">
        <f>IF(A1172="","",VLOOKUP(G1172,表3_3[],3,0))</f>
        <v/>
      </c>
      <c r="J1172" t="str">
        <f>IF(A1172="","",IF('ATP Fills'!I1172="3M","",VLOOKUP(RIGHT('ATP Fills'!I1172,2),Helper1!$O$36:$P$48,2,0)))</f>
        <v/>
      </c>
      <c r="K1172" t="str">
        <f>IF(J1172="","",LEFT('ATP Fills'!I1172,4))</f>
        <v/>
      </c>
      <c r="L1172" t="str">
        <f>IF(A1172="","",IF('ATP Fills'!G1172="LME",'ATP Fills'!I1172,""))</f>
        <v/>
      </c>
      <c r="M1172" t="str">
        <f t="shared" si="18"/>
        <v/>
      </c>
    </row>
    <row r="1173" spans="1:13">
      <c r="A1173" t="str">
        <f>IF('ATP Fills'!A1173="","",IF('ATP Fills'!Q1173="PHILLIPSG",'ATP Fills'!F1173,""))</f>
        <v/>
      </c>
      <c r="B1173" t="str">
        <f>IF(A1173="","",'ATP Fills'!L1173)</f>
        <v/>
      </c>
      <c r="C1173" t="str">
        <f>IF(A1173="","",'ATP Fills'!M1173)</f>
        <v/>
      </c>
      <c r="D1173" t="str">
        <f>IF(A1173="","",'ATP Fills'!B1173)</f>
        <v/>
      </c>
      <c r="E1173" s="3" t="str">
        <f>IF(A1173="","",IF(DATE(LEFT(D1173,4),MID(D1173,5,2),RIGHT(D1173,2))=Helper1!$P$1,Helper1!$P$1,""))</f>
        <v/>
      </c>
      <c r="F1173" s="3" t="str">
        <f>IF(A1173="","",'ATP Fills'!G1173)</f>
        <v/>
      </c>
      <c r="G1173" t="str">
        <f>IF(A1173="","",'ATP Fills'!H1173)</f>
        <v/>
      </c>
      <c r="H1173" t="str">
        <f>IF(A1173="","",VLOOKUP(G1173,表3_3[],2,0))</f>
        <v/>
      </c>
      <c r="I1173" t="str">
        <f>IF(A1173="","",VLOOKUP(G1173,表3_3[],3,0))</f>
        <v/>
      </c>
      <c r="J1173" t="str">
        <f>IF(A1173="","",IF('ATP Fills'!I1173="3M","",VLOOKUP(RIGHT('ATP Fills'!I1173,2),Helper1!$O$36:$P$48,2,0)))</f>
        <v/>
      </c>
      <c r="K1173" t="str">
        <f>IF(J1173="","",LEFT('ATP Fills'!I1173,4))</f>
        <v/>
      </c>
      <c r="L1173" t="str">
        <f>IF(A1173="","",IF('ATP Fills'!G1173="LME",'ATP Fills'!I1173,""))</f>
        <v/>
      </c>
      <c r="M1173" t="str">
        <f t="shared" si="18"/>
        <v/>
      </c>
    </row>
    <row r="1174" spans="1:13">
      <c r="A1174" t="str">
        <f>IF('ATP Fills'!A1174="","",IF('ATP Fills'!Q1174="PHILLIPSG",'ATP Fills'!F1174,""))</f>
        <v/>
      </c>
      <c r="B1174" t="str">
        <f>IF(A1174="","",'ATP Fills'!L1174)</f>
        <v/>
      </c>
      <c r="C1174" t="str">
        <f>IF(A1174="","",'ATP Fills'!M1174)</f>
        <v/>
      </c>
      <c r="D1174" t="str">
        <f>IF(A1174="","",'ATP Fills'!B1174)</f>
        <v/>
      </c>
      <c r="E1174" s="3" t="str">
        <f>IF(A1174="","",IF(DATE(LEFT(D1174,4),MID(D1174,5,2),RIGHT(D1174,2))=Helper1!$P$1,Helper1!$P$1,""))</f>
        <v/>
      </c>
      <c r="F1174" s="3" t="str">
        <f>IF(A1174="","",'ATP Fills'!G1174)</f>
        <v/>
      </c>
      <c r="G1174" t="str">
        <f>IF(A1174="","",'ATP Fills'!H1174)</f>
        <v/>
      </c>
      <c r="H1174" t="str">
        <f>IF(A1174="","",VLOOKUP(G1174,表3_3[],2,0))</f>
        <v/>
      </c>
      <c r="I1174" t="str">
        <f>IF(A1174="","",VLOOKUP(G1174,表3_3[],3,0))</f>
        <v/>
      </c>
      <c r="J1174" t="str">
        <f>IF(A1174="","",IF('ATP Fills'!I1174="3M","",VLOOKUP(RIGHT('ATP Fills'!I1174,2),Helper1!$O$36:$P$48,2,0)))</f>
        <v/>
      </c>
      <c r="K1174" t="str">
        <f>IF(J1174="","",LEFT('ATP Fills'!I1174,4))</f>
        <v/>
      </c>
      <c r="L1174" t="str">
        <f>IF(A1174="","",IF('ATP Fills'!G1174="LME",'ATP Fills'!I1174,""))</f>
        <v/>
      </c>
      <c r="M1174" t="str">
        <f t="shared" si="18"/>
        <v/>
      </c>
    </row>
    <row r="1175" spans="1:13">
      <c r="A1175" t="str">
        <f>IF('ATP Fills'!A1175="","",IF('ATP Fills'!Q1175="PHILLIPSG",'ATP Fills'!F1175,""))</f>
        <v/>
      </c>
      <c r="B1175" t="str">
        <f>IF(A1175="","",'ATP Fills'!L1175)</f>
        <v/>
      </c>
      <c r="C1175" t="str">
        <f>IF(A1175="","",'ATP Fills'!M1175)</f>
        <v/>
      </c>
      <c r="D1175" t="str">
        <f>IF(A1175="","",'ATP Fills'!B1175)</f>
        <v/>
      </c>
      <c r="E1175" s="3" t="str">
        <f>IF(A1175="","",IF(DATE(LEFT(D1175,4),MID(D1175,5,2),RIGHT(D1175,2))=Helper1!$P$1,Helper1!$P$1,""))</f>
        <v/>
      </c>
      <c r="F1175" s="3" t="str">
        <f>IF(A1175="","",'ATP Fills'!G1175)</f>
        <v/>
      </c>
      <c r="G1175" t="str">
        <f>IF(A1175="","",'ATP Fills'!H1175)</f>
        <v/>
      </c>
      <c r="H1175" t="str">
        <f>IF(A1175="","",VLOOKUP(G1175,表3_3[],2,0))</f>
        <v/>
      </c>
      <c r="I1175" t="str">
        <f>IF(A1175="","",VLOOKUP(G1175,表3_3[],3,0))</f>
        <v/>
      </c>
      <c r="J1175" t="str">
        <f>IF(A1175="","",IF('ATP Fills'!I1175="3M","",VLOOKUP(RIGHT('ATP Fills'!I1175,2),Helper1!$O$36:$P$48,2,0)))</f>
        <v/>
      </c>
      <c r="K1175" t="str">
        <f>IF(J1175="","",LEFT('ATP Fills'!I1175,4))</f>
        <v/>
      </c>
      <c r="L1175" t="str">
        <f>IF(A1175="","",IF('ATP Fills'!G1175="LME",'ATP Fills'!I1175,""))</f>
        <v/>
      </c>
      <c r="M1175" t="str">
        <f t="shared" si="18"/>
        <v/>
      </c>
    </row>
    <row r="1176" spans="1:13">
      <c r="A1176" t="str">
        <f>IF('ATP Fills'!A1176="","",IF('ATP Fills'!Q1176="PHILLIPSG",'ATP Fills'!F1176,""))</f>
        <v/>
      </c>
      <c r="B1176" t="str">
        <f>IF(A1176="","",'ATP Fills'!L1176)</f>
        <v/>
      </c>
      <c r="C1176" t="str">
        <f>IF(A1176="","",'ATP Fills'!M1176)</f>
        <v/>
      </c>
      <c r="D1176" t="str">
        <f>IF(A1176="","",'ATP Fills'!B1176)</f>
        <v/>
      </c>
      <c r="E1176" s="3" t="str">
        <f>IF(A1176="","",IF(DATE(LEFT(D1176,4),MID(D1176,5,2),RIGHT(D1176,2))=Helper1!$P$1,Helper1!$P$1,""))</f>
        <v/>
      </c>
      <c r="F1176" s="3" t="str">
        <f>IF(A1176="","",'ATP Fills'!G1176)</f>
        <v/>
      </c>
      <c r="G1176" t="str">
        <f>IF(A1176="","",'ATP Fills'!H1176)</f>
        <v/>
      </c>
      <c r="H1176" t="str">
        <f>IF(A1176="","",VLOOKUP(G1176,表3_3[],2,0))</f>
        <v/>
      </c>
      <c r="I1176" t="str">
        <f>IF(A1176="","",VLOOKUP(G1176,表3_3[],3,0))</f>
        <v/>
      </c>
      <c r="J1176" t="str">
        <f>IF(A1176="","",IF('ATP Fills'!I1176="3M","",VLOOKUP(RIGHT('ATP Fills'!I1176,2),Helper1!$O$36:$P$48,2,0)))</f>
        <v/>
      </c>
      <c r="K1176" t="str">
        <f>IF(J1176="","",LEFT('ATP Fills'!I1176,4))</f>
        <v/>
      </c>
      <c r="L1176" t="str">
        <f>IF(A1176="","",IF('ATP Fills'!G1176="LME",'ATP Fills'!I1176,""))</f>
        <v/>
      </c>
      <c r="M1176" t="str">
        <f t="shared" si="18"/>
        <v/>
      </c>
    </row>
    <row r="1177" spans="1:13">
      <c r="A1177" t="str">
        <f>IF('ATP Fills'!A1177="","",IF('ATP Fills'!Q1177="PHILLIPSG",'ATP Fills'!F1177,""))</f>
        <v/>
      </c>
      <c r="B1177" t="str">
        <f>IF(A1177="","",'ATP Fills'!L1177)</f>
        <v/>
      </c>
      <c r="C1177" t="str">
        <f>IF(A1177="","",'ATP Fills'!M1177)</f>
        <v/>
      </c>
      <c r="D1177" t="str">
        <f>IF(A1177="","",'ATP Fills'!B1177)</f>
        <v/>
      </c>
      <c r="E1177" s="3" t="str">
        <f>IF(A1177="","",IF(DATE(LEFT(D1177,4),MID(D1177,5,2),RIGHT(D1177,2))=Helper1!$P$1,Helper1!$P$1,""))</f>
        <v/>
      </c>
      <c r="F1177" s="3" t="str">
        <f>IF(A1177="","",'ATP Fills'!G1177)</f>
        <v/>
      </c>
      <c r="G1177" t="str">
        <f>IF(A1177="","",'ATP Fills'!H1177)</f>
        <v/>
      </c>
      <c r="H1177" t="str">
        <f>IF(A1177="","",VLOOKUP(G1177,表3_3[],2,0))</f>
        <v/>
      </c>
      <c r="I1177" t="str">
        <f>IF(A1177="","",VLOOKUP(G1177,表3_3[],3,0))</f>
        <v/>
      </c>
      <c r="J1177" t="str">
        <f>IF(A1177="","",IF('ATP Fills'!I1177="3M","",VLOOKUP(RIGHT('ATP Fills'!I1177,2),Helper1!$O$36:$P$48,2,0)))</f>
        <v/>
      </c>
      <c r="K1177" t="str">
        <f>IF(J1177="","",LEFT('ATP Fills'!I1177,4))</f>
        <v/>
      </c>
      <c r="L1177" t="str">
        <f>IF(A1177="","",IF('ATP Fills'!G1177="LME",'ATP Fills'!I1177,""))</f>
        <v/>
      </c>
      <c r="M1177" t="str">
        <f t="shared" si="18"/>
        <v/>
      </c>
    </row>
    <row r="1178" spans="1:13">
      <c r="A1178" t="str">
        <f>IF('ATP Fills'!A1178="","",IF('ATP Fills'!Q1178="PHILLIPSG",'ATP Fills'!F1178,""))</f>
        <v/>
      </c>
      <c r="B1178" t="str">
        <f>IF(A1178="","",'ATP Fills'!L1178)</f>
        <v/>
      </c>
      <c r="C1178" t="str">
        <f>IF(A1178="","",'ATP Fills'!M1178)</f>
        <v/>
      </c>
      <c r="D1178" t="str">
        <f>IF(A1178="","",'ATP Fills'!B1178)</f>
        <v/>
      </c>
      <c r="E1178" s="3" t="str">
        <f>IF(A1178="","",IF(DATE(LEFT(D1178,4),MID(D1178,5,2),RIGHT(D1178,2))=Helper1!$P$1,Helper1!$P$1,""))</f>
        <v/>
      </c>
      <c r="F1178" s="3" t="str">
        <f>IF(A1178="","",'ATP Fills'!G1178)</f>
        <v/>
      </c>
      <c r="G1178" t="str">
        <f>IF(A1178="","",'ATP Fills'!H1178)</f>
        <v/>
      </c>
      <c r="H1178" t="str">
        <f>IF(A1178="","",VLOOKUP(G1178,表3_3[],2,0))</f>
        <v/>
      </c>
      <c r="I1178" t="str">
        <f>IF(A1178="","",VLOOKUP(G1178,表3_3[],3,0))</f>
        <v/>
      </c>
      <c r="J1178" t="str">
        <f>IF(A1178="","",IF('ATP Fills'!I1178="3M","",VLOOKUP(RIGHT('ATP Fills'!I1178,2),Helper1!$O$36:$P$48,2,0)))</f>
        <v/>
      </c>
      <c r="K1178" t="str">
        <f>IF(J1178="","",LEFT('ATP Fills'!I1178,4))</f>
        <v/>
      </c>
      <c r="L1178" t="str">
        <f>IF(A1178="","",IF('ATP Fills'!G1178="LME",'ATP Fills'!I1178,""))</f>
        <v/>
      </c>
      <c r="M1178" t="str">
        <f t="shared" si="18"/>
        <v/>
      </c>
    </row>
    <row r="1179" spans="1:13">
      <c r="A1179" t="str">
        <f>IF('ATP Fills'!A1179="","",IF('ATP Fills'!Q1179="PHILLIPSG",'ATP Fills'!F1179,""))</f>
        <v/>
      </c>
      <c r="B1179" t="str">
        <f>IF(A1179="","",'ATP Fills'!L1179)</f>
        <v/>
      </c>
      <c r="C1179" t="str">
        <f>IF(A1179="","",'ATP Fills'!M1179)</f>
        <v/>
      </c>
      <c r="D1179" t="str">
        <f>IF(A1179="","",'ATP Fills'!B1179)</f>
        <v/>
      </c>
      <c r="E1179" s="3" t="str">
        <f>IF(A1179="","",IF(DATE(LEFT(D1179,4),MID(D1179,5,2),RIGHT(D1179,2))=Helper1!$P$1,Helper1!$P$1,""))</f>
        <v/>
      </c>
      <c r="F1179" s="3" t="str">
        <f>IF(A1179="","",'ATP Fills'!G1179)</f>
        <v/>
      </c>
      <c r="G1179" t="str">
        <f>IF(A1179="","",'ATP Fills'!H1179)</f>
        <v/>
      </c>
      <c r="H1179" t="str">
        <f>IF(A1179="","",VLOOKUP(G1179,表3_3[],2,0))</f>
        <v/>
      </c>
      <c r="I1179" t="str">
        <f>IF(A1179="","",VLOOKUP(G1179,表3_3[],3,0))</f>
        <v/>
      </c>
      <c r="J1179" t="str">
        <f>IF(A1179="","",IF('ATP Fills'!I1179="3M","",VLOOKUP(RIGHT('ATP Fills'!I1179,2),Helper1!$O$36:$P$48,2,0)))</f>
        <v/>
      </c>
      <c r="K1179" t="str">
        <f>IF(J1179="","",LEFT('ATP Fills'!I1179,4))</f>
        <v/>
      </c>
      <c r="L1179" t="str">
        <f>IF(A1179="","",IF('ATP Fills'!G1179="LME",'ATP Fills'!I1179,""))</f>
        <v/>
      </c>
      <c r="M1179" t="str">
        <f t="shared" si="18"/>
        <v/>
      </c>
    </row>
    <row r="1180" spans="1:13">
      <c r="A1180" t="str">
        <f>IF('ATP Fills'!A1180="","",IF('ATP Fills'!Q1180="PHILLIPSG",'ATP Fills'!F1180,""))</f>
        <v/>
      </c>
      <c r="B1180" t="str">
        <f>IF(A1180="","",'ATP Fills'!L1180)</f>
        <v/>
      </c>
      <c r="C1180" t="str">
        <f>IF(A1180="","",'ATP Fills'!M1180)</f>
        <v/>
      </c>
      <c r="D1180" t="str">
        <f>IF(A1180="","",'ATP Fills'!B1180)</f>
        <v/>
      </c>
      <c r="E1180" s="3" t="str">
        <f>IF(A1180="","",IF(DATE(LEFT(D1180,4),MID(D1180,5,2),RIGHT(D1180,2))=Helper1!$P$1,Helper1!$P$1,""))</f>
        <v/>
      </c>
      <c r="F1180" s="3" t="str">
        <f>IF(A1180="","",'ATP Fills'!G1180)</f>
        <v/>
      </c>
      <c r="G1180" t="str">
        <f>IF(A1180="","",'ATP Fills'!H1180)</f>
        <v/>
      </c>
      <c r="H1180" t="str">
        <f>IF(A1180="","",VLOOKUP(G1180,表3_3[],2,0))</f>
        <v/>
      </c>
      <c r="I1180" t="str">
        <f>IF(A1180="","",VLOOKUP(G1180,表3_3[],3,0))</f>
        <v/>
      </c>
      <c r="J1180" t="str">
        <f>IF(A1180="","",IF('ATP Fills'!I1180="3M","",VLOOKUP(RIGHT('ATP Fills'!I1180,2),Helper1!$O$36:$P$48,2,0)))</f>
        <v/>
      </c>
      <c r="K1180" t="str">
        <f>IF(J1180="","",LEFT('ATP Fills'!I1180,4))</f>
        <v/>
      </c>
      <c r="L1180" t="str">
        <f>IF(A1180="","",IF('ATP Fills'!G1180="LME",'ATP Fills'!I1180,""))</f>
        <v/>
      </c>
      <c r="M1180" t="str">
        <f t="shared" si="18"/>
        <v/>
      </c>
    </row>
    <row r="1181" spans="1:13">
      <c r="A1181" t="str">
        <f>IF('ATP Fills'!A1181="","",IF('ATP Fills'!Q1181="PHILLIPSG",'ATP Fills'!F1181,""))</f>
        <v/>
      </c>
      <c r="B1181" t="str">
        <f>IF(A1181="","",'ATP Fills'!L1181)</f>
        <v/>
      </c>
      <c r="C1181" t="str">
        <f>IF(A1181="","",'ATP Fills'!M1181)</f>
        <v/>
      </c>
      <c r="D1181" t="str">
        <f>IF(A1181="","",'ATP Fills'!B1181)</f>
        <v/>
      </c>
      <c r="E1181" s="3" t="str">
        <f>IF(A1181="","",IF(DATE(LEFT(D1181,4),MID(D1181,5,2),RIGHT(D1181,2))=Helper1!$P$1,Helper1!$P$1,""))</f>
        <v/>
      </c>
      <c r="F1181" s="3" t="str">
        <f>IF(A1181="","",'ATP Fills'!G1181)</f>
        <v/>
      </c>
      <c r="G1181" t="str">
        <f>IF(A1181="","",'ATP Fills'!H1181)</f>
        <v/>
      </c>
      <c r="H1181" t="str">
        <f>IF(A1181="","",VLOOKUP(G1181,表3_3[],2,0))</f>
        <v/>
      </c>
      <c r="I1181" t="str">
        <f>IF(A1181="","",VLOOKUP(G1181,表3_3[],3,0))</f>
        <v/>
      </c>
      <c r="J1181" t="str">
        <f>IF(A1181="","",IF('ATP Fills'!I1181="3M","",VLOOKUP(RIGHT('ATP Fills'!I1181,2),Helper1!$O$36:$P$48,2,0)))</f>
        <v/>
      </c>
      <c r="K1181" t="str">
        <f>IF(J1181="","",LEFT('ATP Fills'!I1181,4))</f>
        <v/>
      </c>
      <c r="L1181" t="str">
        <f>IF(A1181="","",IF('ATP Fills'!G1181="LME",'ATP Fills'!I1181,""))</f>
        <v/>
      </c>
      <c r="M1181" t="str">
        <f t="shared" si="18"/>
        <v/>
      </c>
    </row>
    <row r="1182" spans="1:13">
      <c r="A1182" t="str">
        <f>IF('ATP Fills'!A1182="","",IF('ATP Fills'!Q1182="PHILLIPSG",'ATP Fills'!F1182,""))</f>
        <v/>
      </c>
      <c r="B1182" t="str">
        <f>IF(A1182="","",'ATP Fills'!L1182)</f>
        <v/>
      </c>
      <c r="C1182" t="str">
        <f>IF(A1182="","",'ATP Fills'!M1182)</f>
        <v/>
      </c>
      <c r="D1182" t="str">
        <f>IF(A1182="","",'ATP Fills'!B1182)</f>
        <v/>
      </c>
      <c r="E1182" s="3" t="str">
        <f>IF(A1182="","",IF(DATE(LEFT(D1182,4),MID(D1182,5,2),RIGHT(D1182,2))=Helper1!$P$1,Helper1!$P$1,""))</f>
        <v/>
      </c>
      <c r="F1182" s="3" t="str">
        <f>IF(A1182="","",'ATP Fills'!G1182)</f>
        <v/>
      </c>
      <c r="G1182" t="str">
        <f>IF(A1182="","",'ATP Fills'!H1182)</f>
        <v/>
      </c>
      <c r="H1182" t="str">
        <f>IF(A1182="","",VLOOKUP(G1182,表3_3[],2,0))</f>
        <v/>
      </c>
      <c r="I1182" t="str">
        <f>IF(A1182="","",VLOOKUP(G1182,表3_3[],3,0))</f>
        <v/>
      </c>
      <c r="J1182" t="str">
        <f>IF(A1182="","",IF('ATP Fills'!I1182="3M","",VLOOKUP(RIGHT('ATP Fills'!I1182,2),Helper1!$O$36:$P$48,2,0)))</f>
        <v/>
      </c>
      <c r="K1182" t="str">
        <f>IF(J1182="","",LEFT('ATP Fills'!I1182,4))</f>
        <v/>
      </c>
      <c r="L1182" t="str">
        <f>IF(A1182="","",IF('ATP Fills'!G1182="LME",'ATP Fills'!I1182,""))</f>
        <v/>
      </c>
      <c r="M1182" t="str">
        <f t="shared" si="18"/>
        <v/>
      </c>
    </row>
    <row r="1183" spans="1:13">
      <c r="A1183" t="str">
        <f>IF('ATP Fills'!A1183="","",IF('ATP Fills'!Q1183="PHILLIPSG",'ATP Fills'!F1183,""))</f>
        <v/>
      </c>
      <c r="B1183" t="str">
        <f>IF(A1183="","",'ATP Fills'!L1183)</f>
        <v/>
      </c>
      <c r="C1183" t="str">
        <f>IF(A1183="","",'ATP Fills'!M1183)</f>
        <v/>
      </c>
      <c r="D1183" t="str">
        <f>IF(A1183="","",'ATP Fills'!B1183)</f>
        <v/>
      </c>
      <c r="E1183" s="3" t="str">
        <f>IF(A1183="","",IF(DATE(LEFT(D1183,4),MID(D1183,5,2),RIGHT(D1183,2))=Helper1!$P$1,Helper1!$P$1,""))</f>
        <v/>
      </c>
      <c r="F1183" s="3" t="str">
        <f>IF(A1183="","",'ATP Fills'!G1183)</f>
        <v/>
      </c>
      <c r="G1183" t="str">
        <f>IF(A1183="","",'ATP Fills'!H1183)</f>
        <v/>
      </c>
      <c r="H1183" t="str">
        <f>IF(A1183="","",VLOOKUP(G1183,表3_3[],2,0))</f>
        <v/>
      </c>
      <c r="I1183" t="str">
        <f>IF(A1183="","",VLOOKUP(G1183,表3_3[],3,0))</f>
        <v/>
      </c>
      <c r="J1183" t="str">
        <f>IF(A1183="","",IF('ATP Fills'!I1183="3M","",VLOOKUP(RIGHT('ATP Fills'!I1183,2),Helper1!$O$36:$P$48,2,0)))</f>
        <v/>
      </c>
      <c r="K1183" t="str">
        <f>IF(J1183="","",LEFT('ATP Fills'!I1183,4))</f>
        <v/>
      </c>
      <c r="L1183" t="str">
        <f>IF(A1183="","",IF('ATP Fills'!G1183="LME",'ATP Fills'!I1183,""))</f>
        <v/>
      </c>
      <c r="M1183" t="str">
        <f t="shared" si="18"/>
        <v/>
      </c>
    </row>
    <row r="1184" spans="1:13">
      <c r="A1184" t="str">
        <f>IF('ATP Fills'!A1184="","",IF('ATP Fills'!Q1184="PHILLIPSG",'ATP Fills'!F1184,""))</f>
        <v/>
      </c>
      <c r="B1184" t="str">
        <f>IF(A1184="","",'ATP Fills'!L1184)</f>
        <v/>
      </c>
      <c r="C1184" t="str">
        <f>IF(A1184="","",'ATP Fills'!M1184)</f>
        <v/>
      </c>
      <c r="D1184" t="str">
        <f>IF(A1184="","",'ATP Fills'!B1184)</f>
        <v/>
      </c>
      <c r="E1184" s="3" t="str">
        <f>IF(A1184="","",IF(DATE(LEFT(D1184,4),MID(D1184,5,2),RIGHT(D1184,2))=Helper1!$P$1,Helper1!$P$1,""))</f>
        <v/>
      </c>
      <c r="F1184" s="3" t="str">
        <f>IF(A1184="","",'ATP Fills'!G1184)</f>
        <v/>
      </c>
      <c r="G1184" t="str">
        <f>IF(A1184="","",'ATP Fills'!H1184)</f>
        <v/>
      </c>
      <c r="H1184" t="str">
        <f>IF(A1184="","",VLOOKUP(G1184,表3_3[],2,0))</f>
        <v/>
      </c>
      <c r="I1184" t="str">
        <f>IF(A1184="","",VLOOKUP(G1184,表3_3[],3,0))</f>
        <v/>
      </c>
      <c r="J1184" t="str">
        <f>IF(A1184="","",IF('ATP Fills'!I1184="3M","",VLOOKUP(RIGHT('ATP Fills'!I1184,2),Helper1!$O$36:$P$48,2,0)))</f>
        <v/>
      </c>
      <c r="K1184" t="str">
        <f>IF(J1184="","",LEFT('ATP Fills'!I1184,4))</f>
        <v/>
      </c>
      <c r="L1184" t="str">
        <f>IF(A1184="","",IF('ATP Fills'!G1184="LME",'ATP Fills'!I1184,""))</f>
        <v/>
      </c>
      <c r="M1184" t="str">
        <f t="shared" si="18"/>
        <v/>
      </c>
    </row>
    <row r="1185" spans="1:13">
      <c r="A1185" t="str">
        <f>IF('ATP Fills'!A1185="","",IF('ATP Fills'!Q1185="PHILLIPSG",'ATP Fills'!F1185,""))</f>
        <v/>
      </c>
      <c r="B1185" t="str">
        <f>IF(A1185="","",'ATP Fills'!L1185)</f>
        <v/>
      </c>
      <c r="C1185" t="str">
        <f>IF(A1185="","",'ATP Fills'!M1185)</f>
        <v/>
      </c>
      <c r="D1185" t="str">
        <f>IF(A1185="","",'ATP Fills'!B1185)</f>
        <v/>
      </c>
      <c r="E1185" s="3" t="str">
        <f>IF(A1185="","",IF(DATE(LEFT(D1185,4),MID(D1185,5,2),RIGHT(D1185,2))=Helper1!$P$1,Helper1!$P$1,""))</f>
        <v/>
      </c>
      <c r="F1185" s="3" t="str">
        <f>IF(A1185="","",'ATP Fills'!G1185)</f>
        <v/>
      </c>
      <c r="G1185" t="str">
        <f>IF(A1185="","",'ATP Fills'!H1185)</f>
        <v/>
      </c>
      <c r="H1185" t="str">
        <f>IF(A1185="","",VLOOKUP(G1185,表3_3[],2,0))</f>
        <v/>
      </c>
      <c r="I1185" t="str">
        <f>IF(A1185="","",VLOOKUP(G1185,表3_3[],3,0))</f>
        <v/>
      </c>
      <c r="J1185" t="str">
        <f>IF(A1185="","",IF('ATP Fills'!I1185="3M","",VLOOKUP(RIGHT('ATP Fills'!I1185,2),Helper1!$O$36:$P$48,2,0)))</f>
        <v/>
      </c>
      <c r="K1185" t="str">
        <f>IF(J1185="","",LEFT('ATP Fills'!I1185,4))</f>
        <v/>
      </c>
      <c r="L1185" t="str">
        <f>IF(A1185="","",IF('ATP Fills'!G1185="LME",'ATP Fills'!I1185,""))</f>
        <v/>
      </c>
      <c r="M1185" t="str">
        <f t="shared" si="18"/>
        <v/>
      </c>
    </row>
    <row r="1186" spans="1:13">
      <c r="A1186" t="str">
        <f>IF('ATP Fills'!A1186="","",IF('ATP Fills'!Q1186="PHILLIPSG",'ATP Fills'!F1186,""))</f>
        <v/>
      </c>
      <c r="B1186" t="str">
        <f>IF(A1186="","",'ATP Fills'!L1186)</f>
        <v/>
      </c>
      <c r="C1186" t="str">
        <f>IF(A1186="","",'ATP Fills'!M1186)</f>
        <v/>
      </c>
      <c r="D1186" t="str">
        <f>IF(A1186="","",'ATP Fills'!B1186)</f>
        <v/>
      </c>
      <c r="E1186" s="3" t="str">
        <f>IF(A1186="","",IF(DATE(LEFT(D1186,4),MID(D1186,5,2),RIGHT(D1186,2))=Helper1!$P$1,Helper1!$P$1,""))</f>
        <v/>
      </c>
      <c r="F1186" s="3" t="str">
        <f>IF(A1186="","",'ATP Fills'!G1186)</f>
        <v/>
      </c>
      <c r="G1186" t="str">
        <f>IF(A1186="","",'ATP Fills'!H1186)</f>
        <v/>
      </c>
      <c r="H1186" t="str">
        <f>IF(A1186="","",VLOOKUP(G1186,表3_3[],2,0))</f>
        <v/>
      </c>
      <c r="I1186" t="str">
        <f>IF(A1186="","",VLOOKUP(G1186,表3_3[],3,0))</f>
        <v/>
      </c>
      <c r="J1186" t="str">
        <f>IF(A1186="","",IF('ATP Fills'!I1186="3M","",VLOOKUP(RIGHT('ATP Fills'!I1186,2),Helper1!$O$36:$P$48,2,0)))</f>
        <v/>
      </c>
      <c r="K1186" t="str">
        <f>IF(J1186="","",LEFT('ATP Fills'!I1186,4))</f>
        <v/>
      </c>
      <c r="L1186" t="str">
        <f>IF(A1186="","",IF('ATP Fills'!G1186="LME",'ATP Fills'!I1186,""))</f>
        <v/>
      </c>
      <c r="M1186" t="str">
        <f t="shared" si="18"/>
        <v/>
      </c>
    </row>
    <row r="1187" spans="1:13">
      <c r="A1187" t="str">
        <f>IF('ATP Fills'!A1187="","",IF('ATP Fills'!Q1187="PHILLIPSG",'ATP Fills'!F1187,""))</f>
        <v/>
      </c>
      <c r="B1187" t="str">
        <f>IF(A1187="","",'ATP Fills'!L1187)</f>
        <v/>
      </c>
      <c r="C1187" t="str">
        <f>IF(A1187="","",'ATP Fills'!M1187)</f>
        <v/>
      </c>
      <c r="D1187" t="str">
        <f>IF(A1187="","",'ATP Fills'!B1187)</f>
        <v/>
      </c>
      <c r="E1187" s="3" t="str">
        <f>IF(A1187="","",IF(DATE(LEFT(D1187,4),MID(D1187,5,2),RIGHT(D1187,2))=Helper1!$P$1,Helper1!$P$1,""))</f>
        <v/>
      </c>
      <c r="F1187" s="3" t="str">
        <f>IF(A1187="","",'ATP Fills'!G1187)</f>
        <v/>
      </c>
      <c r="G1187" t="str">
        <f>IF(A1187="","",'ATP Fills'!H1187)</f>
        <v/>
      </c>
      <c r="H1187" t="str">
        <f>IF(A1187="","",VLOOKUP(G1187,表3_3[],2,0))</f>
        <v/>
      </c>
      <c r="I1187" t="str">
        <f>IF(A1187="","",VLOOKUP(G1187,表3_3[],3,0))</f>
        <v/>
      </c>
      <c r="J1187" t="str">
        <f>IF(A1187="","",IF('ATP Fills'!I1187="3M","",VLOOKUP(RIGHT('ATP Fills'!I1187,2),Helper1!$O$36:$P$48,2,0)))</f>
        <v/>
      </c>
      <c r="K1187" t="str">
        <f>IF(J1187="","",LEFT('ATP Fills'!I1187,4))</f>
        <v/>
      </c>
      <c r="L1187" t="str">
        <f>IF(A1187="","",IF('ATP Fills'!G1187="LME",'ATP Fills'!I1187,""))</f>
        <v/>
      </c>
      <c r="M1187" t="str">
        <f t="shared" si="18"/>
        <v/>
      </c>
    </row>
    <row r="1188" spans="1:13">
      <c r="A1188" t="str">
        <f>IF('ATP Fills'!A1188="","",IF('ATP Fills'!Q1188="PHILLIPSG",'ATP Fills'!F1188,""))</f>
        <v/>
      </c>
      <c r="B1188" t="str">
        <f>IF(A1188="","",'ATP Fills'!L1188)</f>
        <v/>
      </c>
      <c r="C1188" t="str">
        <f>IF(A1188="","",'ATP Fills'!M1188)</f>
        <v/>
      </c>
      <c r="D1188" t="str">
        <f>IF(A1188="","",'ATP Fills'!B1188)</f>
        <v/>
      </c>
      <c r="E1188" s="3" t="str">
        <f>IF(A1188="","",IF(DATE(LEFT(D1188,4),MID(D1188,5,2),RIGHT(D1188,2))=Helper1!$P$1,Helper1!$P$1,""))</f>
        <v/>
      </c>
      <c r="F1188" s="3" t="str">
        <f>IF(A1188="","",'ATP Fills'!G1188)</f>
        <v/>
      </c>
      <c r="G1188" t="str">
        <f>IF(A1188="","",'ATP Fills'!H1188)</f>
        <v/>
      </c>
      <c r="H1188" t="str">
        <f>IF(A1188="","",VLOOKUP(G1188,表3_3[],2,0))</f>
        <v/>
      </c>
      <c r="I1188" t="str">
        <f>IF(A1188="","",VLOOKUP(G1188,表3_3[],3,0))</f>
        <v/>
      </c>
      <c r="J1188" t="str">
        <f>IF(A1188="","",IF('ATP Fills'!I1188="3M","",VLOOKUP(RIGHT('ATP Fills'!I1188,2),Helper1!$O$36:$P$48,2,0)))</f>
        <v/>
      </c>
      <c r="K1188" t="str">
        <f>IF(J1188="","",LEFT('ATP Fills'!I1188,4))</f>
        <v/>
      </c>
      <c r="L1188" t="str">
        <f>IF(A1188="","",IF('ATP Fills'!G1188="LME",'ATP Fills'!I1188,""))</f>
        <v/>
      </c>
      <c r="M1188" t="str">
        <f t="shared" si="18"/>
        <v/>
      </c>
    </row>
    <row r="1189" spans="1:13">
      <c r="A1189" t="str">
        <f>IF('ATP Fills'!A1189="","",IF('ATP Fills'!Q1189="PHILLIPSG",'ATP Fills'!F1189,""))</f>
        <v/>
      </c>
      <c r="B1189" t="str">
        <f>IF(A1189="","",'ATP Fills'!L1189)</f>
        <v/>
      </c>
      <c r="C1189" t="str">
        <f>IF(A1189="","",'ATP Fills'!M1189)</f>
        <v/>
      </c>
      <c r="D1189" t="str">
        <f>IF(A1189="","",'ATP Fills'!B1189)</f>
        <v/>
      </c>
      <c r="E1189" s="3" t="str">
        <f>IF(A1189="","",IF(DATE(LEFT(D1189,4),MID(D1189,5,2),RIGHT(D1189,2))=Helper1!$P$1,Helper1!$P$1,""))</f>
        <v/>
      </c>
      <c r="F1189" s="3" t="str">
        <f>IF(A1189="","",'ATP Fills'!G1189)</f>
        <v/>
      </c>
      <c r="G1189" t="str">
        <f>IF(A1189="","",'ATP Fills'!H1189)</f>
        <v/>
      </c>
      <c r="H1189" t="str">
        <f>IF(A1189="","",VLOOKUP(G1189,表3_3[],2,0))</f>
        <v/>
      </c>
      <c r="I1189" t="str">
        <f>IF(A1189="","",VLOOKUP(G1189,表3_3[],3,0))</f>
        <v/>
      </c>
      <c r="J1189" t="str">
        <f>IF(A1189="","",IF('ATP Fills'!I1189="3M","",VLOOKUP(RIGHT('ATP Fills'!I1189,2),Helper1!$O$36:$P$48,2,0)))</f>
        <v/>
      </c>
      <c r="K1189" t="str">
        <f>IF(J1189="","",LEFT('ATP Fills'!I1189,4))</f>
        <v/>
      </c>
      <c r="L1189" t="str">
        <f>IF(A1189="","",IF('ATP Fills'!G1189="LME",'ATP Fills'!I1189,""))</f>
        <v/>
      </c>
      <c r="M1189" t="str">
        <f t="shared" si="18"/>
        <v/>
      </c>
    </row>
    <row r="1190" spans="1:13">
      <c r="A1190" t="str">
        <f>IF('ATP Fills'!A1190="","",IF('ATP Fills'!Q1190="PHILLIPSG",'ATP Fills'!F1190,""))</f>
        <v/>
      </c>
      <c r="B1190" t="str">
        <f>IF(A1190="","",'ATP Fills'!L1190)</f>
        <v/>
      </c>
      <c r="C1190" t="str">
        <f>IF(A1190="","",'ATP Fills'!M1190)</f>
        <v/>
      </c>
      <c r="D1190" t="str">
        <f>IF(A1190="","",'ATP Fills'!B1190)</f>
        <v/>
      </c>
      <c r="E1190" s="3" t="str">
        <f>IF(A1190="","",IF(DATE(LEFT(D1190,4),MID(D1190,5,2),RIGHT(D1190,2))=Helper1!$P$1,Helper1!$P$1,""))</f>
        <v/>
      </c>
      <c r="F1190" s="3" t="str">
        <f>IF(A1190="","",'ATP Fills'!G1190)</f>
        <v/>
      </c>
      <c r="G1190" t="str">
        <f>IF(A1190="","",'ATP Fills'!H1190)</f>
        <v/>
      </c>
      <c r="H1190" t="str">
        <f>IF(A1190="","",VLOOKUP(G1190,表3_3[],2,0))</f>
        <v/>
      </c>
      <c r="I1190" t="str">
        <f>IF(A1190="","",VLOOKUP(G1190,表3_3[],3,0))</f>
        <v/>
      </c>
      <c r="J1190" t="str">
        <f>IF(A1190="","",IF('ATP Fills'!I1190="3M","",VLOOKUP(RIGHT('ATP Fills'!I1190,2),Helper1!$O$36:$P$48,2,0)))</f>
        <v/>
      </c>
      <c r="K1190" t="str">
        <f>IF(J1190="","",LEFT('ATP Fills'!I1190,4))</f>
        <v/>
      </c>
      <c r="L1190" t="str">
        <f>IF(A1190="","",IF('ATP Fills'!G1190="LME",'ATP Fills'!I1190,""))</f>
        <v/>
      </c>
      <c r="M1190" t="str">
        <f t="shared" si="18"/>
        <v/>
      </c>
    </row>
    <row r="1191" spans="1:13">
      <c r="A1191" t="str">
        <f>IF('ATP Fills'!A1191="","",IF('ATP Fills'!Q1191="PHILLIPSG",'ATP Fills'!F1191,""))</f>
        <v/>
      </c>
      <c r="B1191" t="str">
        <f>IF(A1191="","",'ATP Fills'!L1191)</f>
        <v/>
      </c>
      <c r="C1191" t="str">
        <f>IF(A1191="","",'ATP Fills'!M1191)</f>
        <v/>
      </c>
      <c r="D1191" t="str">
        <f>IF(A1191="","",'ATP Fills'!B1191)</f>
        <v/>
      </c>
      <c r="E1191" s="3" t="str">
        <f>IF(A1191="","",IF(DATE(LEFT(D1191,4),MID(D1191,5,2),RIGHT(D1191,2))=Helper1!$P$1,Helper1!$P$1,""))</f>
        <v/>
      </c>
      <c r="F1191" s="3" t="str">
        <f>IF(A1191="","",'ATP Fills'!G1191)</f>
        <v/>
      </c>
      <c r="G1191" t="str">
        <f>IF(A1191="","",'ATP Fills'!H1191)</f>
        <v/>
      </c>
      <c r="H1191" t="str">
        <f>IF(A1191="","",VLOOKUP(G1191,表3_3[],2,0))</f>
        <v/>
      </c>
      <c r="I1191" t="str">
        <f>IF(A1191="","",VLOOKUP(G1191,表3_3[],3,0))</f>
        <v/>
      </c>
      <c r="J1191" t="str">
        <f>IF(A1191="","",IF('ATP Fills'!I1191="3M","",VLOOKUP(RIGHT('ATP Fills'!I1191,2),Helper1!$O$36:$P$48,2,0)))</f>
        <v/>
      </c>
      <c r="K1191" t="str">
        <f>IF(J1191="","",LEFT('ATP Fills'!I1191,4))</f>
        <v/>
      </c>
      <c r="L1191" t="str">
        <f>IF(A1191="","",IF('ATP Fills'!G1191="LME",'ATP Fills'!I1191,""))</f>
        <v/>
      </c>
      <c r="M1191" t="str">
        <f t="shared" si="18"/>
        <v/>
      </c>
    </row>
    <row r="1192" spans="1:13">
      <c r="A1192" t="str">
        <f>IF('ATP Fills'!A1192="","",IF('ATP Fills'!Q1192="PHILLIPSG",'ATP Fills'!F1192,""))</f>
        <v/>
      </c>
      <c r="B1192" t="str">
        <f>IF(A1192="","",'ATP Fills'!L1192)</f>
        <v/>
      </c>
      <c r="C1192" t="str">
        <f>IF(A1192="","",'ATP Fills'!M1192)</f>
        <v/>
      </c>
      <c r="D1192" t="str">
        <f>IF(A1192="","",'ATP Fills'!B1192)</f>
        <v/>
      </c>
      <c r="E1192" s="3" t="str">
        <f>IF(A1192="","",IF(DATE(LEFT(D1192,4),MID(D1192,5,2),RIGHT(D1192,2))=Helper1!$P$1,Helper1!$P$1,""))</f>
        <v/>
      </c>
      <c r="F1192" s="3" t="str">
        <f>IF(A1192="","",'ATP Fills'!G1192)</f>
        <v/>
      </c>
      <c r="G1192" t="str">
        <f>IF(A1192="","",'ATP Fills'!H1192)</f>
        <v/>
      </c>
      <c r="H1192" t="str">
        <f>IF(A1192="","",VLOOKUP(G1192,表3_3[],2,0))</f>
        <v/>
      </c>
      <c r="I1192" t="str">
        <f>IF(A1192="","",VLOOKUP(G1192,表3_3[],3,0))</f>
        <v/>
      </c>
      <c r="J1192" t="str">
        <f>IF(A1192="","",IF('ATP Fills'!I1192="3M","",VLOOKUP(RIGHT('ATP Fills'!I1192,2),Helper1!$O$36:$P$48,2,0)))</f>
        <v/>
      </c>
      <c r="K1192" t="str">
        <f>IF(J1192="","",LEFT('ATP Fills'!I1192,4))</f>
        <v/>
      </c>
      <c r="L1192" t="str">
        <f>IF(A1192="","",IF('ATP Fills'!G1192="LME",'ATP Fills'!I1192,""))</f>
        <v/>
      </c>
      <c r="M1192" t="str">
        <f t="shared" si="18"/>
        <v/>
      </c>
    </row>
    <row r="1193" spans="1:13">
      <c r="A1193" t="str">
        <f>IF('ATP Fills'!A1193="","",IF('ATP Fills'!Q1193="PHILLIPSG",'ATP Fills'!F1193,""))</f>
        <v/>
      </c>
      <c r="B1193" t="str">
        <f>IF(A1193="","",'ATP Fills'!L1193)</f>
        <v/>
      </c>
      <c r="C1193" t="str">
        <f>IF(A1193="","",'ATP Fills'!M1193)</f>
        <v/>
      </c>
      <c r="D1193" t="str">
        <f>IF(A1193="","",'ATP Fills'!B1193)</f>
        <v/>
      </c>
      <c r="E1193" s="3" t="str">
        <f>IF(A1193="","",IF(DATE(LEFT(D1193,4),MID(D1193,5,2),RIGHT(D1193,2))=Helper1!$P$1,Helper1!$P$1,""))</f>
        <v/>
      </c>
      <c r="F1193" s="3" t="str">
        <f>IF(A1193="","",'ATP Fills'!G1193)</f>
        <v/>
      </c>
      <c r="G1193" t="str">
        <f>IF(A1193="","",'ATP Fills'!H1193)</f>
        <v/>
      </c>
      <c r="H1193" t="str">
        <f>IF(A1193="","",VLOOKUP(G1193,表3_3[],2,0))</f>
        <v/>
      </c>
      <c r="I1193" t="str">
        <f>IF(A1193="","",VLOOKUP(G1193,表3_3[],3,0))</f>
        <v/>
      </c>
      <c r="J1193" t="str">
        <f>IF(A1193="","",IF('ATP Fills'!I1193="3M","",VLOOKUP(RIGHT('ATP Fills'!I1193,2),Helper1!$O$36:$P$48,2,0)))</f>
        <v/>
      </c>
      <c r="K1193" t="str">
        <f>IF(J1193="","",LEFT('ATP Fills'!I1193,4))</f>
        <v/>
      </c>
      <c r="L1193" t="str">
        <f>IF(A1193="","",IF('ATP Fills'!G1193="LME",'ATP Fills'!I1193,""))</f>
        <v/>
      </c>
      <c r="M1193" t="str">
        <f t="shared" si="18"/>
        <v/>
      </c>
    </row>
    <row r="1194" spans="1:13">
      <c r="A1194" t="str">
        <f>IF('ATP Fills'!A1194="","",IF('ATP Fills'!Q1194="PHILLIPSG",'ATP Fills'!F1194,""))</f>
        <v/>
      </c>
      <c r="B1194" t="str">
        <f>IF(A1194="","",'ATP Fills'!L1194)</f>
        <v/>
      </c>
      <c r="C1194" t="str">
        <f>IF(A1194="","",'ATP Fills'!M1194)</f>
        <v/>
      </c>
      <c r="D1194" t="str">
        <f>IF(A1194="","",'ATP Fills'!B1194)</f>
        <v/>
      </c>
      <c r="E1194" s="3" t="str">
        <f>IF(A1194="","",IF(DATE(LEFT(D1194,4),MID(D1194,5,2),RIGHT(D1194,2))=Helper1!$P$1,Helper1!$P$1,""))</f>
        <v/>
      </c>
      <c r="F1194" s="3" t="str">
        <f>IF(A1194="","",'ATP Fills'!G1194)</f>
        <v/>
      </c>
      <c r="G1194" t="str">
        <f>IF(A1194="","",'ATP Fills'!H1194)</f>
        <v/>
      </c>
      <c r="H1194" t="str">
        <f>IF(A1194="","",VLOOKUP(G1194,表3_3[],2,0))</f>
        <v/>
      </c>
      <c r="I1194" t="str">
        <f>IF(A1194="","",VLOOKUP(G1194,表3_3[],3,0))</f>
        <v/>
      </c>
      <c r="J1194" t="str">
        <f>IF(A1194="","",IF('ATP Fills'!I1194="3M","",VLOOKUP(RIGHT('ATP Fills'!I1194,2),Helper1!$O$36:$P$48,2,0)))</f>
        <v/>
      </c>
      <c r="K1194" t="str">
        <f>IF(J1194="","",LEFT('ATP Fills'!I1194,4))</f>
        <v/>
      </c>
      <c r="L1194" t="str">
        <f>IF(A1194="","",IF('ATP Fills'!G1194="LME",'ATP Fills'!I1194,""))</f>
        <v/>
      </c>
      <c r="M1194" t="str">
        <f t="shared" si="18"/>
        <v/>
      </c>
    </row>
    <row r="1195" spans="1:13">
      <c r="A1195" t="str">
        <f>IF('ATP Fills'!A1195="","",IF('ATP Fills'!Q1195="PHILLIPSG",'ATP Fills'!F1195,""))</f>
        <v/>
      </c>
      <c r="B1195" t="str">
        <f>IF(A1195="","",'ATP Fills'!L1195)</f>
        <v/>
      </c>
      <c r="C1195" t="str">
        <f>IF(A1195="","",'ATP Fills'!M1195)</f>
        <v/>
      </c>
      <c r="D1195" t="str">
        <f>IF(A1195="","",'ATP Fills'!B1195)</f>
        <v/>
      </c>
      <c r="E1195" s="3" t="str">
        <f>IF(A1195="","",IF(DATE(LEFT(D1195,4),MID(D1195,5,2),RIGHT(D1195,2))=Helper1!$P$1,Helper1!$P$1,""))</f>
        <v/>
      </c>
      <c r="F1195" s="3" t="str">
        <f>IF(A1195="","",'ATP Fills'!G1195)</f>
        <v/>
      </c>
      <c r="G1195" t="str">
        <f>IF(A1195="","",'ATP Fills'!H1195)</f>
        <v/>
      </c>
      <c r="H1195" t="str">
        <f>IF(A1195="","",VLOOKUP(G1195,表3_3[],2,0))</f>
        <v/>
      </c>
      <c r="I1195" t="str">
        <f>IF(A1195="","",VLOOKUP(G1195,表3_3[],3,0))</f>
        <v/>
      </c>
      <c r="J1195" t="str">
        <f>IF(A1195="","",IF('ATP Fills'!I1195="3M","",VLOOKUP(RIGHT('ATP Fills'!I1195,2),Helper1!$O$36:$P$48,2,0)))</f>
        <v/>
      </c>
      <c r="K1195" t="str">
        <f>IF(J1195="","",LEFT('ATP Fills'!I1195,4))</f>
        <v/>
      </c>
      <c r="L1195" t="str">
        <f>IF(A1195="","",IF('ATP Fills'!G1195="LME",'ATP Fills'!I1195,""))</f>
        <v/>
      </c>
      <c r="M1195" t="str">
        <f t="shared" si="18"/>
        <v/>
      </c>
    </row>
    <row r="1196" spans="1:13">
      <c r="A1196" t="str">
        <f>IF('ATP Fills'!A1196="","",IF('ATP Fills'!Q1196="PHILLIPSG",'ATP Fills'!F1196,""))</f>
        <v/>
      </c>
      <c r="B1196" t="str">
        <f>IF(A1196="","",'ATP Fills'!L1196)</f>
        <v/>
      </c>
      <c r="C1196" t="str">
        <f>IF(A1196="","",'ATP Fills'!M1196)</f>
        <v/>
      </c>
      <c r="D1196" t="str">
        <f>IF(A1196="","",'ATP Fills'!B1196)</f>
        <v/>
      </c>
      <c r="E1196" s="3" t="str">
        <f>IF(A1196="","",IF(DATE(LEFT(D1196,4),MID(D1196,5,2),RIGHT(D1196,2))=Helper1!$P$1,Helper1!$P$1,""))</f>
        <v/>
      </c>
      <c r="F1196" s="3" t="str">
        <f>IF(A1196="","",'ATP Fills'!G1196)</f>
        <v/>
      </c>
      <c r="G1196" t="str">
        <f>IF(A1196="","",'ATP Fills'!H1196)</f>
        <v/>
      </c>
      <c r="H1196" t="str">
        <f>IF(A1196="","",VLOOKUP(G1196,表3_3[],2,0))</f>
        <v/>
      </c>
      <c r="I1196" t="str">
        <f>IF(A1196="","",VLOOKUP(G1196,表3_3[],3,0))</f>
        <v/>
      </c>
      <c r="J1196" t="str">
        <f>IF(A1196="","",IF('ATP Fills'!I1196="3M","",VLOOKUP(RIGHT('ATP Fills'!I1196,2),Helper1!$O$36:$P$48,2,0)))</f>
        <v/>
      </c>
      <c r="K1196" t="str">
        <f>IF(J1196="","",LEFT('ATP Fills'!I1196,4))</f>
        <v/>
      </c>
      <c r="L1196" t="str">
        <f>IF(A1196="","",IF('ATP Fills'!G1196="LME",'ATP Fills'!I1196,""))</f>
        <v/>
      </c>
      <c r="M1196" t="str">
        <f t="shared" si="18"/>
        <v/>
      </c>
    </row>
    <row r="1197" spans="1:13">
      <c r="A1197" t="str">
        <f>IF('ATP Fills'!A1197="","",IF('ATP Fills'!Q1197="PHILLIPSG",'ATP Fills'!F1197,""))</f>
        <v/>
      </c>
      <c r="B1197" t="str">
        <f>IF(A1197="","",'ATP Fills'!L1197)</f>
        <v/>
      </c>
      <c r="C1197" t="str">
        <f>IF(A1197="","",'ATP Fills'!M1197)</f>
        <v/>
      </c>
      <c r="D1197" t="str">
        <f>IF(A1197="","",'ATP Fills'!B1197)</f>
        <v/>
      </c>
      <c r="E1197" s="3" t="str">
        <f>IF(A1197="","",IF(DATE(LEFT(D1197,4),MID(D1197,5,2),RIGHT(D1197,2))=Helper1!$P$1,Helper1!$P$1,""))</f>
        <v/>
      </c>
      <c r="F1197" s="3" t="str">
        <f>IF(A1197="","",'ATP Fills'!G1197)</f>
        <v/>
      </c>
      <c r="G1197" t="str">
        <f>IF(A1197="","",'ATP Fills'!H1197)</f>
        <v/>
      </c>
      <c r="H1197" t="str">
        <f>IF(A1197="","",VLOOKUP(G1197,表3_3[],2,0))</f>
        <v/>
      </c>
      <c r="I1197" t="str">
        <f>IF(A1197="","",VLOOKUP(G1197,表3_3[],3,0))</f>
        <v/>
      </c>
      <c r="J1197" t="str">
        <f>IF(A1197="","",IF('ATP Fills'!I1197="3M","",VLOOKUP(RIGHT('ATP Fills'!I1197,2),Helper1!$O$36:$P$48,2,0)))</f>
        <v/>
      </c>
      <c r="K1197" t="str">
        <f>IF(J1197="","",LEFT('ATP Fills'!I1197,4))</f>
        <v/>
      </c>
      <c r="L1197" t="str">
        <f>IF(A1197="","",IF('ATP Fills'!G1197="LME",'ATP Fills'!I1197,""))</f>
        <v/>
      </c>
      <c r="M1197" t="str">
        <f t="shared" si="18"/>
        <v/>
      </c>
    </row>
    <row r="1198" spans="1:13">
      <c r="A1198" t="str">
        <f>IF('ATP Fills'!A1198="","",IF('ATP Fills'!Q1198="PHILLIPSG",'ATP Fills'!F1198,""))</f>
        <v/>
      </c>
      <c r="B1198" t="str">
        <f>IF(A1198="","",'ATP Fills'!L1198)</f>
        <v/>
      </c>
      <c r="C1198" t="str">
        <f>IF(A1198="","",'ATP Fills'!M1198)</f>
        <v/>
      </c>
      <c r="D1198" t="str">
        <f>IF(A1198="","",'ATP Fills'!B1198)</f>
        <v/>
      </c>
      <c r="E1198" s="3" t="str">
        <f>IF(A1198="","",IF(DATE(LEFT(D1198,4),MID(D1198,5,2),RIGHT(D1198,2))=Helper1!$P$1,Helper1!$P$1,""))</f>
        <v/>
      </c>
      <c r="F1198" s="3" t="str">
        <f>IF(A1198="","",'ATP Fills'!G1198)</f>
        <v/>
      </c>
      <c r="G1198" t="str">
        <f>IF(A1198="","",'ATP Fills'!H1198)</f>
        <v/>
      </c>
      <c r="H1198" t="str">
        <f>IF(A1198="","",VLOOKUP(G1198,表3_3[],2,0))</f>
        <v/>
      </c>
      <c r="I1198" t="str">
        <f>IF(A1198="","",VLOOKUP(G1198,表3_3[],3,0))</f>
        <v/>
      </c>
      <c r="J1198" t="str">
        <f>IF(A1198="","",IF('ATP Fills'!I1198="3M","",VLOOKUP(RIGHT('ATP Fills'!I1198,2),Helper1!$O$36:$P$48,2,0)))</f>
        <v/>
      </c>
      <c r="K1198" t="str">
        <f>IF(J1198="","",LEFT('ATP Fills'!I1198,4))</f>
        <v/>
      </c>
      <c r="L1198" t="str">
        <f>IF(A1198="","",IF('ATP Fills'!G1198="LME",'ATP Fills'!I1198,""))</f>
        <v/>
      </c>
      <c r="M1198" t="str">
        <f t="shared" si="18"/>
        <v/>
      </c>
    </row>
    <row r="1199" spans="1:13">
      <c r="A1199" t="str">
        <f>IF('ATP Fills'!A1199="","",IF('ATP Fills'!Q1199="PHILLIPSG",'ATP Fills'!F1199,""))</f>
        <v/>
      </c>
      <c r="B1199" t="str">
        <f>IF(A1199="","",'ATP Fills'!L1199)</f>
        <v/>
      </c>
      <c r="C1199" t="str">
        <f>IF(A1199="","",'ATP Fills'!M1199)</f>
        <v/>
      </c>
      <c r="D1199" t="str">
        <f>IF(A1199="","",'ATP Fills'!B1199)</f>
        <v/>
      </c>
      <c r="E1199" s="3" t="str">
        <f>IF(A1199="","",IF(DATE(LEFT(D1199,4),MID(D1199,5,2),RIGHT(D1199,2))=Helper1!$P$1,Helper1!$P$1,""))</f>
        <v/>
      </c>
      <c r="F1199" s="3" t="str">
        <f>IF(A1199="","",'ATP Fills'!G1199)</f>
        <v/>
      </c>
      <c r="G1199" t="str">
        <f>IF(A1199="","",'ATP Fills'!H1199)</f>
        <v/>
      </c>
      <c r="H1199" t="str">
        <f>IF(A1199="","",VLOOKUP(G1199,表3_3[],2,0))</f>
        <v/>
      </c>
      <c r="I1199" t="str">
        <f>IF(A1199="","",VLOOKUP(G1199,表3_3[],3,0))</f>
        <v/>
      </c>
      <c r="J1199" t="str">
        <f>IF(A1199="","",IF('ATP Fills'!I1199="3M","",VLOOKUP(RIGHT('ATP Fills'!I1199,2),Helper1!$O$36:$P$48,2,0)))</f>
        <v/>
      </c>
      <c r="K1199" t="str">
        <f>IF(J1199="","",LEFT('ATP Fills'!I1199,4))</f>
        <v/>
      </c>
      <c r="L1199" t="str">
        <f>IF(A1199="","",IF('ATP Fills'!G1199="LME",'ATP Fills'!I1199,""))</f>
        <v/>
      </c>
      <c r="M1199" t="str">
        <f t="shared" si="18"/>
        <v/>
      </c>
    </row>
    <row r="1200" spans="1:13">
      <c r="A1200" t="str">
        <f>IF('ATP Fills'!A1200="","",IF('ATP Fills'!Q1200="PHILLIPSG",'ATP Fills'!F1200,""))</f>
        <v/>
      </c>
      <c r="B1200" t="str">
        <f>IF(A1200="","",'ATP Fills'!L1200)</f>
        <v/>
      </c>
      <c r="C1200" t="str">
        <f>IF(A1200="","",'ATP Fills'!M1200)</f>
        <v/>
      </c>
      <c r="D1200" t="str">
        <f>IF(A1200="","",'ATP Fills'!B1200)</f>
        <v/>
      </c>
      <c r="E1200" s="3" t="str">
        <f>IF(A1200="","",IF(DATE(LEFT(D1200,4),MID(D1200,5,2),RIGHT(D1200,2))=Helper1!$P$1,Helper1!$P$1,""))</f>
        <v/>
      </c>
      <c r="F1200" s="3" t="str">
        <f>IF(A1200="","",'ATP Fills'!G1200)</f>
        <v/>
      </c>
      <c r="G1200" t="str">
        <f>IF(A1200="","",'ATP Fills'!H1200)</f>
        <v/>
      </c>
      <c r="H1200" t="str">
        <f>IF(A1200="","",VLOOKUP(G1200,表3_3[],2,0))</f>
        <v/>
      </c>
      <c r="I1200" t="str">
        <f>IF(A1200="","",VLOOKUP(G1200,表3_3[],3,0))</f>
        <v/>
      </c>
      <c r="J1200" t="str">
        <f>IF(A1200="","",IF('ATP Fills'!I1200="3M","",VLOOKUP(RIGHT('ATP Fills'!I1200,2),Helper1!$O$36:$P$48,2,0)))</f>
        <v/>
      </c>
      <c r="K1200" t="str">
        <f>IF(J1200="","",LEFT('ATP Fills'!I1200,4))</f>
        <v/>
      </c>
      <c r="L1200" t="str">
        <f>IF(A1200="","",IF('ATP Fills'!G1200="LME",'ATP Fills'!I1200,""))</f>
        <v/>
      </c>
      <c r="M1200" t="str">
        <f t="shared" si="18"/>
        <v/>
      </c>
    </row>
    <row r="1201" spans="1:13">
      <c r="A1201" t="str">
        <f>IF('ATP Fills'!A1201="","",IF('ATP Fills'!Q1201="PHILLIPSG",'ATP Fills'!F1201,""))</f>
        <v/>
      </c>
      <c r="B1201" t="str">
        <f>IF(A1201="","",'ATP Fills'!L1201)</f>
        <v/>
      </c>
      <c r="C1201" t="str">
        <f>IF(A1201="","",'ATP Fills'!M1201)</f>
        <v/>
      </c>
      <c r="D1201" t="str">
        <f>IF(A1201="","",'ATP Fills'!B1201)</f>
        <v/>
      </c>
      <c r="E1201" s="3" t="str">
        <f>IF(A1201="","",IF(DATE(LEFT(D1201,4),MID(D1201,5,2),RIGHT(D1201,2))=Helper1!$P$1,Helper1!$P$1,""))</f>
        <v/>
      </c>
      <c r="F1201" s="3" t="str">
        <f>IF(A1201="","",'ATP Fills'!G1201)</f>
        <v/>
      </c>
      <c r="G1201" t="str">
        <f>IF(A1201="","",'ATP Fills'!H1201)</f>
        <v/>
      </c>
      <c r="H1201" t="str">
        <f>IF(A1201="","",VLOOKUP(G1201,表3_3[],2,0))</f>
        <v/>
      </c>
      <c r="I1201" t="str">
        <f>IF(A1201="","",VLOOKUP(G1201,表3_3[],3,0))</f>
        <v/>
      </c>
      <c r="J1201" t="str">
        <f>IF(A1201="","",IF('ATP Fills'!I1201="3M","",VLOOKUP(RIGHT('ATP Fills'!I1201,2),Helper1!$O$36:$P$48,2,0)))</f>
        <v/>
      </c>
      <c r="K1201" t="str">
        <f>IF(J1201="","",LEFT('ATP Fills'!I1201,4))</f>
        <v/>
      </c>
      <c r="L1201" t="str">
        <f>IF(A1201="","",IF('ATP Fills'!G1201="LME",'ATP Fills'!I1201,""))</f>
        <v/>
      </c>
      <c r="M1201" t="str">
        <f t="shared" si="18"/>
        <v/>
      </c>
    </row>
    <row r="1202" spans="1:13">
      <c r="A1202" t="str">
        <f>IF('ATP Fills'!A1202="","",IF('ATP Fills'!Q1202="PHILLIPSG",'ATP Fills'!F1202,""))</f>
        <v/>
      </c>
      <c r="B1202" t="str">
        <f>IF(A1202="","",'ATP Fills'!L1202)</f>
        <v/>
      </c>
      <c r="C1202" t="str">
        <f>IF(A1202="","",'ATP Fills'!M1202)</f>
        <v/>
      </c>
      <c r="D1202" t="str">
        <f>IF(A1202="","",'ATP Fills'!B1202)</f>
        <v/>
      </c>
      <c r="E1202" s="3" t="str">
        <f>IF(A1202="","",IF(DATE(LEFT(D1202,4),MID(D1202,5,2),RIGHT(D1202,2))=Helper1!$P$1,Helper1!$P$1,""))</f>
        <v/>
      </c>
      <c r="F1202" s="3" t="str">
        <f>IF(A1202="","",'ATP Fills'!G1202)</f>
        <v/>
      </c>
      <c r="G1202" t="str">
        <f>IF(A1202="","",'ATP Fills'!H1202)</f>
        <v/>
      </c>
      <c r="H1202" t="str">
        <f>IF(A1202="","",VLOOKUP(G1202,表3_3[],2,0))</f>
        <v/>
      </c>
      <c r="I1202" t="str">
        <f>IF(A1202="","",VLOOKUP(G1202,表3_3[],3,0))</f>
        <v/>
      </c>
      <c r="J1202" t="str">
        <f>IF(A1202="","",IF('ATP Fills'!I1202="3M","",VLOOKUP(RIGHT('ATP Fills'!I1202,2),Helper1!$O$36:$P$48,2,0)))</f>
        <v/>
      </c>
      <c r="K1202" t="str">
        <f>IF(J1202="","",LEFT('ATP Fills'!I1202,4))</f>
        <v/>
      </c>
      <c r="L1202" t="str">
        <f>IF(A1202="","",IF('ATP Fills'!G1202="LME",'ATP Fills'!I1202,""))</f>
        <v/>
      </c>
      <c r="M1202" t="str">
        <f t="shared" si="18"/>
        <v/>
      </c>
    </row>
    <row r="1203" spans="1:13">
      <c r="A1203" t="str">
        <f>IF('ATP Fills'!A1203="","",IF('ATP Fills'!Q1203="PHILLIPSG",'ATP Fills'!F1203,""))</f>
        <v/>
      </c>
      <c r="B1203" t="str">
        <f>IF(A1203="","",'ATP Fills'!L1203)</f>
        <v/>
      </c>
      <c r="C1203" t="str">
        <f>IF(A1203="","",'ATP Fills'!M1203)</f>
        <v/>
      </c>
      <c r="D1203" t="str">
        <f>IF(A1203="","",'ATP Fills'!B1203)</f>
        <v/>
      </c>
      <c r="E1203" s="3" t="str">
        <f>IF(A1203="","",IF(DATE(LEFT(D1203,4),MID(D1203,5,2),RIGHT(D1203,2))=Helper1!$P$1,Helper1!$P$1,""))</f>
        <v/>
      </c>
      <c r="F1203" s="3" t="str">
        <f>IF(A1203="","",'ATP Fills'!G1203)</f>
        <v/>
      </c>
      <c r="G1203" t="str">
        <f>IF(A1203="","",'ATP Fills'!H1203)</f>
        <v/>
      </c>
      <c r="H1203" t="str">
        <f>IF(A1203="","",VLOOKUP(G1203,表3_3[],2,0))</f>
        <v/>
      </c>
      <c r="I1203" t="str">
        <f>IF(A1203="","",VLOOKUP(G1203,表3_3[],3,0))</f>
        <v/>
      </c>
      <c r="J1203" t="str">
        <f>IF(A1203="","",IF('ATP Fills'!I1203="3M","",VLOOKUP(RIGHT('ATP Fills'!I1203,2),Helper1!$O$36:$P$48,2,0)))</f>
        <v/>
      </c>
      <c r="K1203" t="str">
        <f>IF(J1203="","",LEFT('ATP Fills'!I1203,4))</f>
        <v/>
      </c>
      <c r="L1203" t="str">
        <f>IF(A1203="","",IF('ATP Fills'!G1203="LME",'ATP Fills'!I1203,""))</f>
        <v/>
      </c>
      <c r="M1203" t="str">
        <f t="shared" si="18"/>
        <v/>
      </c>
    </row>
    <row r="1204" spans="1:13">
      <c r="A1204" t="str">
        <f>IF('ATP Fills'!A1204="","",IF('ATP Fills'!Q1204="PHILLIPSG",'ATP Fills'!F1204,""))</f>
        <v/>
      </c>
      <c r="B1204" t="str">
        <f>IF(A1204="","",'ATP Fills'!L1204)</f>
        <v/>
      </c>
      <c r="C1204" t="str">
        <f>IF(A1204="","",'ATP Fills'!M1204)</f>
        <v/>
      </c>
      <c r="D1204" t="str">
        <f>IF(A1204="","",'ATP Fills'!B1204)</f>
        <v/>
      </c>
      <c r="E1204" s="3" t="str">
        <f>IF(A1204="","",IF(DATE(LEFT(D1204,4),MID(D1204,5,2),RIGHT(D1204,2))=Helper1!$P$1,Helper1!$P$1,""))</f>
        <v/>
      </c>
      <c r="F1204" s="3" t="str">
        <f>IF(A1204="","",'ATP Fills'!G1204)</f>
        <v/>
      </c>
      <c r="G1204" t="str">
        <f>IF(A1204="","",'ATP Fills'!H1204)</f>
        <v/>
      </c>
      <c r="H1204" t="str">
        <f>IF(A1204="","",VLOOKUP(G1204,表3_3[],2,0))</f>
        <v/>
      </c>
      <c r="I1204" t="str">
        <f>IF(A1204="","",VLOOKUP(G1204,表3_3[],3,0))</f>
        <v/>
      </c>
      <c r="J1204" t="str">
        <f>IF(A1204="","",IF('ATP Fills'!I1204="3M","",VLOOKUP(RIGHT('ATP Fills'!I1204,2),Helper1!$O$36:$P$48,2,0)))</f>
        <v/>
      </c>
      <c r="K1204" t="str">
        <f>IF(J1204="","",LEFT('ATP Fills'!I1204,4))</f>
        <v/>
      </c>
      <c r="L1204" t="str">
        <f>IF(A1204="","",IF('ATP Fills'!G1204="LME",'ATP Fills'!I1204,""))</f>
        <v/>
      </c>
      <c r="M1204" t="str">
        <f t="shared" si="18"/>
        <v/>
      </c>
    </row>
    <row r="1205" spans="1:13">
      <c r="A1205" t="str">
        <f>IF('ATP Fills'!A1205="","",IF('ATP Fills'!Q1205="PHILLIPSG",'ATP Fills'!F1205,""))</f>
        <v/>
      </c>
      <c r="B1205" t="str">
        <f>IF(A1205="","",'ATP Fills'!L1205)</f>
        <v/>
      </c>
      <c r="C1205" t="str">
        <f>IF(A1205="","",'ATP Fills'!M1205)</f>
        <v/>
      </c>
      <c r="D1205" t="str">
        <f>IF(A1205="","",'ATP Fills'!B1205)</f>
        <v/>
      </c>
      <c r="E1205" s="3" t="str">
        <f>IF(A1205="","",IF(DATE(LEFT(D1205,4),MID(D1205,5,2),RIGHT(D1205,2))=Helper1!$P$1,Helper1!$P$1,""))</f>
        <v/>
      </c>
      <c r="F1205" s="3" t="str">
        <f>IF(A1205="","",'ATP Fills'!G1205)</f>
        <v/>
      </c>
      <c r="G1205" t="str">
        <f>IF(A1205="","",'ATP Fills'!H1205)</f>
        <v/>
      </c>
      <c r="H1205" t="str">
        <f>IF(A1205="","",VLOOKUP(G1205,表3_3[],2,0))</f>
        <v/>
      </c>
      <c r="I1205" t="str">
        <f>IF(A1205="","",VLOOKUP(G1205,表3_3[],3,0))</f>
        <v/>
      </c>
      <c r="J1205" t="str">
        <f>IF(A1205="","",IF('ATP Fills'!I1205="3M","",VLOOKUP(RIGHT('ATP Fills'!I1205,2),Helper1!$O$36:$P$48,2,0)))</f>
        <v/>
      </c>
      <c r="K1205" t="str">
        <f>IF(J1205="","",LEFT('ATP Fills'!I1205,4))</f>
        <v/>
      </c>
      <c r="L1205" t="str">
        <f>IF(A1205="","",IF('ATP Fills'!G1205="LME",'ATP Fills'!I1205,""))</f>
        <v/>
      </c>
      <c r="M1205" t="str">
        <f t="shared" si="18"/>
        <v/>
      </c>
    </row>
    <row r="1206" spans="1:13">
      <c r="A1206" t="str">
        <f>IF('ATP Fills'!A1206="","",IF('ATP Fills'!Q1206="PHILLIPSG",'ATP Fills'!F1206,""))</f>
        <v/>
      </c>
      <c r="B1206" t="str">
        <f>IF(A1206="","",'ATP Fills'!L1206)</f>
        <v/>
      </c>
      <c r="C1206" t="str">
        <f>IF(A1206="","",'ATP Fills'!M1206)</f>
        <v/>
      </c>
      <c r="D1206" t="str">
        <f>IF(A1206="","",'ATP Fills'!B1206)</f>
        <v/>
      </c>
      <c r="E1206" s="3" t="str">
        <f>IF(A1206="","",IF(DATE(LEFT(D1206,4),MID(D1206,5,2),RIGHT(D1206,2))=Helper1!$P$1,Helper1!$P$1,""))</f>
        <v/>
      </c>
      <c r="F1206" s="3" t="str">
        <f>IF(A1206="","",'ATP Fills'!G1206)</f>
        <v/>
      </c>
      <c r="G1206" t="str">
        <f>IF(A1206="","",'ATP Fills'!H1206)</f>
        <v/>
      </c>
      <c r="H1206" t="str">
        <f>IF(A1206="","",VLOOKUP(G1206,表3_3[],2,0))</f>
        <v/>
      </c>
      <c r="I1206" t="str">
        <f>IF(A1206="","",VLOOKUP(G1206,表3_3[],3,0))</f>
        <v/>
      </c>
      <c r="J1206" t="str">
        <f>IF(A1206="","",IF('ATP Fills'!I1206="3M","",VLOOKUP(RIGHT('ATP Fills'!I1206,2),Helper1!$O$36:$P$48,2,0)))</f>
        <v/>
      </c>
      <c r="K1206" t="str">
        <f>IF(J1206="","",LEFT('ATP Fills'!I1206,4))</f>
        <v/>
      </c>
      <c r="L1206" t="str">
        <f>IF(A1206="","",IF('ATP Fills'!G1206="LME",'ATP Fills'!I1206,""))</f>
        <v/>
      </c>
      <c r="M1206" t="str">
        <f t="shared" si="18"/>
        <v/>
      </c>
    </row>
    <row r="1207" spans="1:13">
      <c r="A1207" t="str">
        <f>IF('ATP Fills'!A1207="","",IF('ATP Fills'!Q1207="PHILLIPSG",'ATP Fills'!F1207,""))</f>
        <v/>
      </c>
      <c r="B1207" t="str">
        <f>IF(A1207="","",'ATP Fills'!L1207)</f>
        <v/>
      </c>
      <c r="C1207" t="str">
        <f>IF(A1207="","",'ATP Fills'!M1207)</f>
        <v/>
      </c>
      <c r="D1207" t="str">
        <f>IF(A1207="","",'ATP Fills'!B1207)</f>
        <v/>
      </c>
      <c r="E1207" s="3" t="str">
        <f>IF(A1207="","",IF(DATE(LEFT(D1207,4),MID(D1207,5,2),RIGHT(D1207,2))=Helper1!$P$1,Helper1!$P$1,""))</f>
        <v/>
      </c>
      <c r="F1207" s="3" t="str">
        <f>IF(A1207="","",'ATP Fills'!G1207)</f>
        <v/>
      </c>
      <c r="G1207" t="str">
        <f>IF(A1207="","",'ATP Fills'!H1207)</f>
        <v/>
      </c>
      <c r="H1207" t="str">
        <f>IF(A1207="","",VLOOKUP(G1207,表3_3[],2,0))</f>
        <v/>
      </c>
      <c r="I1207" t="str">
        <f>IF(A1207="","",VLOOKUP(G1207,表3_3[],3,0))</f>
        <v/>
      </c>
      <c r="J1207" t="str">
        <f>IF(A1207="","",IF('ATP Fills'!I1207="3M","",VLOOKUP(RIGHT('ATP Fills'!I1207,2),Helper1!$O$36:$P$48,2,0)))</f>
        <v/>
      </c>
      <c r="K1207" t="str">
        <f>IF(J1207="","",LEFT('ATP Fills'!I1207,4))</f>
        <v/>
      </c>
      <c r="L1207" t="str">
        <f>IF(A1207="","",IF('ATP Fills'!G1207="LME",'ATP Fills'!I1207,""))</f>
        <v/>
      </c>
      <c r="M1207" t="str">
        <f t="shared" si="18"/>
        <v/>
      </c>
    </row>
    <row r="1208" spans="1:13">
      <c r="A1208" t="str">
        <f>IF('ATP Fills'!A1208="","",IF('ATP Fills'!Q1208="PHILLIPSG",'ATP Fills'!F1208,""))</f>
        <v/>
      </c>
      <c r="B1208" t="str">
        <f>IF(A1208="","",'ATP Fills'!L1208)</f>
        <v/>
      </c>
      <c r="C1208" t="str">
        <f>IF(A1208="","",'ATP Fills'!M1208)</f>
        <v/>
      </c>
      <c r="D1208" t="str">
        <f>IF(A1208="","",'ATP Fills'!B1208)</f>
        <v/>
      </c>
      <c r="E1208" s="3" t="str">
        <f>IF(A1208="","",IF(DATE(LEFT(D1208,4),MID(D1208,5,2),RIGHT(D1208,2))=Helper1!$P$1,Helper1!$P$1,""))</f>
        <v/>
      </c>
      <c r="F1208" s="3" t="str">
        <f>IF(A1208="","",'ATP Fills'!G1208)</f>
        <v/>
      </c>
      <c r="G1208" t="str">
        <f>IF(A1208="","",'ATP Fills'!H1208)</f>
        <v/>
      </c>
      <c r="H1208" t="str">
        <f>IF(A1208="","",VLOOKUP(G1208,表3_3[],2,0))</f>
        <v/>
      </c>
      <c r="I1208" t="str">
        <f>IF(A1208="","",VLOOKUP(G1208,表3_3[],3,0))</f>
        <v/>
      </c>
      <c r="J1208" t="str">
        <f>IF(A1208="","",IF('ATP Fills'!I1208="3M","",VLOOKUP(RIGHT('ATP Fills'!I1208,2),Helper1!$O$36:$P$48,2,0)))</f>
        <v/>
      </c>
      <c r="K1208" t="str">
        <f>IF(J1208="","",LEFT('ATP Fills'!I1208,4))</f>
        <v/>
      </c>
      <c r="L1208" t="str">
        <f>IF(A1208="","",IF('ATP Fills'!G1208="LME",'ATP Fills'!I1208,""))</f>
        <v/>
      </c>
      <c r="M1208" t="str">
        <f t="shared" si="18"/>
        <v/>
      </c>
    </row>
    <row r="1209" spans="1:13">
      <c r="A1209" t="str">
        <f>IF('ATP Fills'!A1209="","",IF('ATP Fills'!Q1209="PHILLIPSG",'ATP Fills'!F1209,""))</f>
        <v/>
      </c>
      <c r="B1209" t="str">
        <f>IF(A1209="","",'ATP Fills'!L1209)</f>
        <v/>
      </c>
      <c r="C1209" t="str">
        <f>IF(A1209="","",'ATP Fills'!M1209)</f>
        <v/>
      </c>
      <c r="D1209" t="str">
        <f>IF(A1209="","",'ATP Fills'!B1209)</f>
        <v/>
      </c>
      <c r="E1209" s="3" t="str">
        <f>IF(A1209="","",IF(DATE(LEFT(D1209,4),MID(D1209,5,2),RIGHT(D1209,2))=Helper1!$P$1,Helper1!$P$1,""))</f>
        <v/>
      </c>
      <c r="F1209" s="3" t="str">
        <f>IF(A1209="","",'ATP Fills'!G1209)</f>
        <v/>
      </c>
      <c r="G1209" t="str">
        <f>IF(A1209="","",'ATP Fills'!H1209)</f>
        <v/>
      </c>
      <c r="H1209" t="str">
        <f>IF(A1209="","",VLOOKUP(G1209,表3_3[],2,0))</f>
        <v/>
      </c>
      <c r="I1209" t="str">
        <f>IF(A1209="","",VLOOKUP(G1209,表3_3[],3,0))</f>
        <v/>
      </c>
      <c r="J1209" t="str">
        <f>IF(A1209="","",IF('ATP Fills'!I1209="3M","",VLOOKUP(RIGHT('ATP Fills'!I1209,2),Helper1!$O$36:$P$48,2,0)))</f>
        <v/>
      </c>
      <c r="K1209" t="str">
        <f>IF(J1209="","",LEFT('ATP Fills'!I1209,4))</f>
        <v/>
      </c>
      <c r="L1209" t="str">
        <f>IF(A1209="","",IF('ATP Fills'!G1209="LME",'ATP Fills'!I1209,""))</f>
        <v/>
      </c>
      <c r="M1209" t="str">
        <f t="shared" si="18"/>
        <v/>
      </c>
    </row>
    <row r="1210" spans="1:13">
      <c r="A1210" t="str">
        <f>IF('ATP Fills'!A1210="","",IF('ATP Fills'!Q1210="PHILLIPSG",'ATP Fills'!F1210,""))</f>
        <v/>
      </c>
      <c r="B1210" t="str">
        <f>IF(A1210="","",'ATP Fills'!L1210)</f>
        <v/>
      </c>
      <c r="C1210" t="str">
        <f>IF(A1210="","",'ATP Fills'!M1210)</f>
        <v/>
      </c>
      <c r="D1210" t="str">
        <f>IF(A1210="","",'ATP Fills'!B1210)</f>
        <v/>
      </c>
      <c r="E1210" s="3" t="str">
        <f>IF(A1210="","",IF(DATE(LEFT(D1210,4),MID(D1210,5,2),RIGHT(D1210,2))=Helper1!$P$1,Helper1!$P$1,""))</f>
        <v/>
      </c>
      <c r="F1210" s="3" t="str">
        <f>IF(A1210="","",'ATP Fills'!G1210)</f>
        <v/>
      </c>
      <c r="G1210" t="str">
        <f>IF(A1210="","",'ATP Fills'!H1210)</f>
        <v/>
      </c>
      <c r="H1210" t="str">
        <f>IF(A1210="","",VLOOKUP(G1210,表3_3[],2,0))</f>
        <v/>
      </c>
      <c r="I1210" t="str">
        <f>IF(A1210="","",VLOOKUP(G1210,表3_3[],3,0))</f>
        <v/>
      </c>
      <c r="J1210" t="str">
        <f>IF(A1210="","",IF('ATP Fills'!I1210="3M","",VLOOKUP(RIGHT('ATP Fills'!I1210,2),Helper1!$O$36:$P$48,2,0)))</f>
        <v/>
      </c>
      <c r="K1210" t="str">
        <f>IF(J1210="","",LEFT('ATP Fills'!I1210,4))</f>
        <v/>
      </c>
      <c r="L1210" t="str">
        <f>IF(A1210="","",IF('ATP Fills'!G1210="LME",'ATP Fills'!I1210,""))</f>
        <v/>
      </c>
      <c r="M1210" t="str">
        <f t="shared" si="18"/>
        <v/>
      </c>
    </row>
    <row r="1211" spans="1:13">
      <c r="A1211" t="str">
        <f>IF('ATP Fills'!A1211="","",IF('ATP Fills'!Q1211="PHILLIPSG",'ATP Fills'!F1211,""))</f>
        <v/>
      </c>
      <c r="B1211" t="str">
        <f>IF(A1211="","",'ATP Fills'!L1211)</f>
        <v/>
      </c>
      <c r="C1211" t="str">
        <f>IF(A1211="","",'ATP Fills'!M1211)</f>
        <v/>
      </c>
      <c r="D1211" t="str">
        <f>IF(A1211="","",'ATP Fills'!B1211)</f>
        <v/>
      </c>
      <c r="E1211" s="3" t="str">
        <f>IF(A1211="","",IF(DATE(LEFT(D1211,4),MID(D1211,5,2),RIGHT(D1211,2))=Helper1!$P$1,Helper1!$P$1,""))</f>
        <v/>
      </c>
      <c r="F1211" s="3" t="str">
        <f>IF(A1211="","",'ATP Fills'!G1211)</f>
        <v/>
      </c>
      <c r="G1211" t="str">
        <f>IF(A1211="","",'ATP Fills'!H1211)</f>
        <v/>
      </c>
      <c r="H1211" t="str">
        <f>IF(A1211="","",VLOOKUP(G1211,表3_3[],2,0))</f>
        <v/>
      </c>
      <c r="I1211" t="str">
        <f>IF(A1211="","",VLOOKUP(G1211,表3_3[],3,0))</f>
        <v/>
      </c>
      <c r="J1211" t="str">
        <f>IF(A1211="","",IF('ATP Fills'!I1211="3M","",VLOOKUP(RIGHT('ATP Fills'!I1211,2),Helper1!$O$36:$P$48,2,0)))</f>
        <v/>
      </c>
      <c r="K1211" t="str">
        <f>IF(J1211="","",LEFT('ATP Fills'!I1211,4))</f>
        <v/>
      </c>
      <c r="L1211" t="str">
        <f>IF(A1211="","",IF('ATP Fills'!G1211="LME",'ATP Fills'!I1211,""))</f>
        <v/>
      </c>
      <c r="M1211" t="str">
        <f t="shared" si="18"/>
        <v/>
      </c>
    </row>
    <row r="1212" spans="1:13">
      <c r="A1212" t="str">
        <f>IF('ATP Fills'!A1212="","",IF('ATP Fills'!Q1212="PHILLIPSG",'ATP Fills'!F1212,""))</f>
        <v/>
      </c>
      <c r="B1212" t="str">
        <f>IF(A1212="","",'ATP Fills'!L1212)</f>
        <v/>
      </c>
      <c r="C1212" t="str">
        <f>IF(A1212="","",'ATP Fills'!M1212)</f>
        <v/>
      </c>
      <c r="D1212" t="str">
        <f>IF(A1212="","",'ATP Fills'!B1212)</f>
        <v/>
      </c>
      <c r="E1212" s="3" t="str">
        <f>IF(A1212="","",IF(DATE(LEFT(D1212,4),MID(D1212,5,2),RIGHT(D1212,2))=Helper1!$P$1,Helper1!$P$1,""))</f>
        <v/>
      </c>
      <c r="F1212" s="3" t="str">
        <f>IF(A1212="","",'ATP Fills'!G1212)</f>
        <v/>
      </c>
      <c r="G1212" t="str">
        <f>IF(A1212="","",'ATP Fills'!H1212)</f>
        <v/>
      </c>
      <c r="H1212" t="str">
        <f>IF(A1212="","",VLOOKUP(G1212,表3_3[],2,0))</f>
        <v/>
      </c>
      <c r="I1212" t="str">
        <f>IF(A1212="","",VLOOKUP(G1212,表3_3[],3,0))</f>
        <v/>
      </c>
      <c r="J1212" t="str">
        <f>IF(A1212="","",IF('ATP Fills'!I1212="3M","",VLOOKUP(RIGHT('ATP Fills'!I1212,2),Helper1!$O$36:$P$48,2,0)))</f>
        <v/>
      </c>
      <c r="K1212" t="str">
        <f>IF(J1212="","",LEFT('ATP Fills'!I1212,4))</f>
        <v/>
      </c>
      <c r="L1212" t="str">
        <f>IF(A1212="","",IF('ATP Fills'!G1212="LME",'ATP Fills'!I1212,""))</f>
        <v/>
      </c>
      <c r="M1212" t="str">
        <f t="shared" si="18"/>
        <v/>
      </c>
    </row>
    <row r="1213" spans="1:13">
      <c r="A1213" t="str">
        <f>IF('ATP Fills'!A1213="","",IF('ATP Fills'!Q1213="PHILLIPSG",'ATP Fills'!F1213,""))</f>
        <v/>
      </c>
      <c r="B1213" t="str">
        <f>IF(A1213="","",'ATP Fills'!L1213)</f>
        <v/>
      </c>
      <c r="C1213" t="str">
        <f>IF(A1213="","",'ATP Fills'!M1213)</f>
        <v/>
      </c>
      <c r="D1213" t="str">
        <f>IF(A1213="","",'ATP Fills'!B1213)</f>
        <v/>
      </c>
      <c r="E1213" s="3" t="str">
        <f>IF(A1213="","",IF(DATE(LEFT(D1213,4),MID(D1213,5,2),RIGHT(D1213,2))=Helper1!$P$1,Helper1!$P$1,""))</f>
        <v/>
      </c>
      <c r="F1213" s="3" t="str">
        <f>IF(A1213="","",'ATP Fills'!G1213)</f>
        <v/>
      </c>
      <c r="G1213" t="str">
        <f>IF(A1213="","",'ATP Fills'!H1213)</f>
        <v/>
      </c>
      <c r="H1213" t="str">
        <f>IF(A1213="","",VLOOKUP(G1213,表3_3[],2,0))</f>
        <v/>
      </c>
      <c r="I1213" t="str">
        <f>IF(A1213="","",VLOOKUP(G1213,表3_3[],3,0))</f>
        <v/>
      </c>
      <c r="J1213" t="str">
        <f>IF(A1213="","",IF('ATP Fills'!I1213="3M","",VLOOKUP(RIGHT('ATP Fills'!I1213,2),Helper1!$O$36:$P$48,2,0)))</f>
        <v/>
      </c>
      <c r="K1213" t="str">
        <f>IF(J1213="","",LEFT('ATP Fills'!I1213,4))</f>
        <v/>
      </c>
      <c r="L1213" t="str">
        <f>IF(A1213="","",IF('ATP Fills'!G1213="LME",'ATP Fills'!I1213,""))</f>
        <v/>
      </c>
      <c r="M1213" t="str">
        <f t="shared" si="18"/>
        <v/>
      </c>
    </row>
    <row r="1214" spans="1:13">
      <c r="A1214" t="str">
        <f>IF('ATP Fills'!A1214="","",IF('ATP Fills'!Q1214="PHILLIPSG",'ATP Fills'!F1214,""))</f>
        <v/>
      </c>
      <c r="B1214" t="str">
        <f>IF(A1214="","",'ATP Fills'!L1214)</f>
        <v/>
      </c>
      <c r="C1214" t="str">
        <f>IF(A1214="","",'ATP Fills'!M1214)</f>
        <v/>
      </c>
      <c r="D1214" t="str">
        <f>IF(A1214="","",'ATP Fills'!B1214)</f>
        <v/>
      </c>
      <c r="E1214" s="3" t="str">
        <f>IF(A1214="","",IF(DATE(LEFT(D1214,4),MID(D1214,5,2),RIGHT(D1214,2))=Helper1!$P$1,Helper1!$P$1,""))</f>
        <v/>
      </c>
      <c r="F1214" s="3" t="str">
        <f>IF(A1214="","",'ATP Fills'!G1214)</f>
        <v/>
      </c>
      <c r="G1214" t="str">
        <f>IF(A1214="","",'ATP Fills'!H1214)</f>
        <v/>
      </c>
      <c r="H1214" t="str">
        <f>IF(A1214="","",VLOOKUP(G1214,表3_3[],2,0))</f>
        <v/>
      </c>
      <c r="I1214" t="str">
        <f>IF(A1214="","",VLOOKUP(G1214,表3_3[],3,0))</f>
        <v/>
      </c>
      <c r="J1214" t="str">
        <f>IF(A1214="","",IF('ATP Fills'!I1214="3M","",VLOOKUP(RIGHT('ATP Fills'!I1214,2),Helper1!$O$36:$P$48,2,0)))</f>
        <v/>
      </c>
      <c r="K1214" t="str">
        <f>IF(J1214="","",LEFT('ATP Fills'!I1214,4))</f>
        <v/>
      </c>
      <c r="L1214" t="str">
        <f>IF(A1214="","",IF('ATP Fills'!G1214="LME",'ATP Fills'!I1214,""))</f>
        <v/>
      </c>
      <c r="M1214" t="str">
        <f t="shared" si="18"/>
        <v/>
      </c>
    </row>
    <row r="1215" spans="1:13">
      <c r="A1215" t="str">
        <f>IF('ATP Fills'!A1215="","",IF('ATP Fills'!Q1215="PHILLIPSG",'ATP Fills'!F1215,""))</f>
        <v/>
      </c>
      <c r="B1215" t="str">
        <f>IF(A1215="","",'ATP Fills'!L1215)</f>
        <v/>
      </c>
      <c r="C1215" t="str">
        <f>IF(A1215="","",'ATP Fills'!M1215)</f>
        <v/>
      </c>
      <c r="D1215" t="str">
        <f>IF(A1215="","",'ATP Fills'!B1215)</f>
        <v/>
      </c>
      <c r="E1215" s="3" t="str">
        <f>IF(A1215="","",IF(DATE(LEFT(D1215,4),MID(D1215,5,2),RIGHT(D1215,2))=Helper1!$P$1,Helper1!$P$1,""))</f>
        <v/>
      </c>
      <c r="F1215" s="3" t="str">
        <f>IF(A1215="","",'ATP Fills'!G1215)</f>
        <v/>
      </c>
      <c r="G1215" t="str">
        <f>IF(A1215="","",'ATP Fills'!H1215)</f>
        <v/>
      </c>
      <c r="H1215" t="str">
        <f>IF(A1215="","",VLOOKUP(G1215,表3_3[],2,0))</f>
        <v/>
      </c>
      <c r="I1215" t="str">
        <f>IF(A1215="","",VLOOKUP(G1215,表3_3[],3,0))</f>
        <v/>
      </c>
      <c r="J1215" t="str">
        <f>IF(A1215="","",IF('ATP Fills'!I1215="3M","",VLOOKUP(RIGHT('ATP Fills'!I1215,2),Helper1!$O$36:$P$48,2,0)))</f>
        <v/>
      </c>
      <c r="K1215" t="str">
        <f>IF(J1215="","",LEFT('ATP Fills'!I1215,4))</f>
        <v/>
      </c>
      <c r="L1215" t="str">
        <f>IF(A1215="","",IF('ATP Fills'!G1215="LME",'ATP Fills'!I1215,""))</f>
        <v/>
      </c>
      <c r="M1215" t="str">
        <f t="shared" si="18"/>
        <v/>
      </c>
    </row>
    <row r="1216" spans="1:13">
      <c r="A1216" t="str">
        <f>IF('ATP Fills'!A1216="","",IF('ATP Fills'!Q1216="PHILLIPSG",'ATP Fills'!F1216,""))</f>
        <v/>
      </c>
      <c r="B1216" t="str">
        <f>IF(A1216="","",'ATP Fills'!L1216)</f>
        <v/>
      </c>
      <c r="C1216" t="str">
        <f>IF(A1216="","",'ATP Fills'!M1216)</f>
        <v/>
      </c>
      <c r="D1216" t="str">
        <f>IF(A1216="","",'ATP Fills'!B1216)</f>
        <v/>
      </c>
      <c r="E1216" s="3" t="str">
        <f>IF(A1216="","",IF(DATE(LEFT(D1216,4),MID(D1216,5,2),RIGHT(D1216,2))=Helper1!$P$1,Helper1!$P$1,""))</f>
        <v/>
      </c>
      <c r="F1216" s="3" t="str">
        <f>IF(A1216="","",'ATP Fills'!G1216)</f>
        <v/>
      </c>
      <c r="G1216" t="str">
        <f>IF(A1216="","",'ATP Fills'!H1216)</f>
        <v/>
      </c>
      <c r="H1216" t="str">
        <f>IF(A1216="","",VLOOKUP(G1216,表3_3[],2,0))</f>
        <v/>
      </c>
      <c r="I1216" t="str">
        <f>IF(A1216="","",VLOOKUP(G1216,表3_3[],3,0))</f>
        <v/>
      </c>
      <c r="J1216" t="str">
        <f>IF(A1216="","",IF('ATP Fills'!I1216="3M","",VLOOKUP(RIGHT('ATP Fills'!I1216,2),Helper1!$O$36:$P$48,2,0)))</f>
        <v/>
      </c>
      <c r="K1216" t="str">
        <f>IF(J1216="","",LEFT('ATP Fills'!I1216,4))</f>
        <v/>
      </c>
      <c r="L1216" t="str">
        <f>IF(A1216="","",IF('ATP Fills'!G1216="LME",'ATP Fills'!I1216,""))</f>
        <v/>
      </c>
      <c r="M1216" t="str">
        <f t="shared" si="18"/>
        <v/>
      </c>
    </row>
    <row r="1217" spans="1:13">
      <c r="A1217" t="str">
        <f>IF('ATP Fills'!A1217="","",IF('ATP Fills'!Q1217="PHILLIPSG",'ATP Fills'!F1217,""))</f>
        <v/>
      </c>
      <c r="B1217" t="str">
        <f>IF(A1217="","",'ATP Fills'!L1217)</f>
        <v/>
      </c>
      <c r="C1217" t="str">
        <f>IF(A1217="","",'ATP Fills'!M1217)</f>
        <v/>
      </c>
      <c r="D1217" t="str">
        <f>IF(A1217="","",'ATP Fills'!B1217)</f>
        <v/>
      </c>
      <c r="E1217" s="3" t="str">
        <f>IF(A1217="","",IF(DATE(LEFT(D1217,4),MID(D1217,5,2),RIGHT(D1217,2))=Helper1!$P$1,Helper1!$P$1,""))</f>
        <v/>
      </c>
      <c r="F1217" s="3" t="str">
        <f>IF(A1217="","",'ATP Fills'!G1217)</f>
        <v/>
      </c>
      <c r="G1217" t="str">
        <f>IF(A1217="","",'ATP Fills'!H1217)</f>
        <v/>
      </c>
      <c r="H1217" t="str">
        <f>IF(A1217="","",VLOOKUP(G1217,表3_3[],2,0))</f>
        <v/>
      </c>
      <c r="I1217" t="str">
        <f>IF(A1217="","",VLOOKUP(G1217,表3_3[],3,0))</f>
        <v/>
      </c>
      <c r="J1217" t="str">
        <f>IF(A1217="","",IF('ATP Fills'!I1217="3M","",VLOOKUP(RIGHT('ATP Fills'!I1217,2),Helper1!$O$36:$P$48,2,0)))</f>
        <v/>
      </c>
      <c r="K1217" t="str">
        <f>IF(J1217="","",LEFT('ATP Fills'!I1217,4))</f>
        <v/>
      </c>
      <c r="L1217" t="str">
        <f>IF(A1217="","",IF('ATP Fills'!G1217="LME",'ATP Fills'!I1217,""))</f>
        <v/>
      </c>
      <c r="M1217" t="str">
        <f t="shared" si="18"/>
        <v/>
      </c>
    </row>
    <row r="1218" spans="1:13">
      <c r="A1218" t="str">
        <f>IF('ATP Fills'!A1218="","",IF('ATP Fills'!Q1218="PHILLIPSG",'ATP Fills'!F1218,""))</f>
        <v/>
      </c>
      <c r="B1218" t="str">
        <f>IF(A1218="","",'ATP Fills'!L1218)</f>
        <v/>
      </c>
      <c r="C1218" t="str">
        <f>IF(A1218="","",'ATP Fills'!M1218)</f>
        <v/>
      </c>
      <c r="D1218" t="str">
        <f>IF(A1218="","",'ATP Fills'!B1218)</f>
        <v/>
      </c>
      <c r="E1218" s="3" t="str">
        <f>IF(A1218="","",IF(DATE(LEFT(D1218,4),MID(D1218,5,2),RIGHT(D1218,2))=Helper1!$P$1,Helper1!$P$1,""))</f>
        <v/>
      </c>
      <c r="F1218" s="3" t="str">
        <f>IF(A1218="","",'ATP Fills'!G1218)</f>
        <v/>
      </c>
      <c r="G1218" t="str">
        <f>IF(A1218="","",'ATP Fills'!H1218)</f>
        <v/>
      </c>
      <c r="H1218" t="str">
        <f>IF(A1218="","",VLOOKUP(G1218,表3_3[],2,0))</f>
        <v/>
      </c>
      <c r="I1218" t="str">
        <f>IF(A1218="","",VLOOKUP(G1218,表3_3[],3,0))</f>
        <v/>
      </c>
      <c r="J1218" t="str">
        <f>IF(A1218="","",IF('ATP Fills'!I1218="3M","",VLOOKUP(RIGHT('ATP Fills'!I1218,2),Helper1!$O$36:$P$48,2,0)))</f>
        <v/>
      </c>
      <c r="K1218" t="str">
        <f>IF(J1218="","",LEFT('ATP Fills'!I1218,4))</f>
        <v/>
      </c>
      <c r="L1218" t="str">
        <f>IF(A1218="","",IF('ATP Fills'!G1218="LME",'ATP Fills'!I1218,""))</f>
        <v/>
      </c>
      <c r="M1218" t="str">
        <f t="shared" si="18"/>
        <v/>
      </c>
    </row>
    <row r="1219" spans="1:13">
      <c r="A1219" t="str">
        <f>IF('ATP Fills'!A1219="","",IF('ATP Fills'!Q1219="PHILLIPSG",'ATP Fills'!F1219,""))</f>
        <v/>
      </c>
      <c r="B1219" t="str">
        <f>IF(A1219="","",'ATP Fills'!L1219)</f>
        <v/>
      </c>
      <c r="C1219" t="str">
        <f>IF(A1219="","",'ATP Fills'!M1219)</f>
        <v/>
      </c>
      <c r="D1219" t="str">
        <f>IF(A1219="","",'ATP Fills'!B1219)</f>
        <v/>
      </c>
      <c r="E1219" s="3" t="str">
        <f>IF(A1219="","",IF(DATE(LEFT(D1219,4),MID(D1219,5,2),RIGHT(D1219,2))=Helper1!$P$1,Helper1!$P$1,""))</f>
        <v/>
      </c>
      <c r="F1219" s="3" t="str">
        <f>IF(A1219="","",'ATP Fills'!G1219)</f>
        <v/>
      </c>
      <c r="G1219" t="str">
        <f>IF(A1219="","",'ATP Fills'!H1219)</f>
        <v/>
      </c>
      <c r="H1219" t="str">
        <f>IF(A1219="","",VLOOKUP(G1219,表3_3[],2,0))</f>
        <v/>
      </c>
      <c r="I1219" t="str">
        <f>IF(A1219="","",VLOOKUP(G1219,表3_3[],3,0))</f>
        <v/>
      </c>
      <c r="J1219" t="str">
        <f>IF(A1219="","",IF('ATP Fills'!I1219="3M","",VLOOKUP(RIGHT('ATP Fills'!I1219,2),Helper1!$O$36:$P$48,2,0)))</f>
        <v/>
      </c>
      <c r="K1219" t="str">
        <f>IF(J1219="","",LEFT('ATP Fills'!I1219,4))</f>
        <v/>
      </c>
      <c r="L1219" t="str">
        <f>IF(A1219="","",IF('ATP Fills'!G1219="LME",'ATP Fills'!I1219,""))</f>
        <v/>
      </c>
      <c r="M1219" t="str">
        <f t="shared" ref="M1219:M1282" si="19">IF(A1219="","",IF(F1219="LME",F1219&amp;"-"&amp;I1219&amp;"-"&amp;L1219,J1219&amp;"-"&amp;K1219&amp;"-"&amp;I1219))</f>
        <v/>
      </c>
    </row>
    <row r="1220" spans="1:13">
      <c r="A1220" t="str">
        <f>IF('ATP Fills'!A1220="","",IF('ATP Fills'!Q1220="PHILLIPSG",'ATP Fills'!F1220,""))</f>
        <v/>
      </c>
      <c r="B1220" t="str">
        <f>IF(A1220="","",'ATP Fills'!L1220)</f>
        <v/>
      </c>
      <c r="C1220" t="str">
        <f>IF(A1220="","",'ATP Fills'!M1220)</f>
        <v/>
      </c>
      <c r="D1220" t="str">
        <f>IF(A1220="","",'ATP Fills'!B1220)</f>
        <v/>
      </c>
      <c r="E1220" s="3" t="str">
        <f>IF(A1220="","",IF(DATE(LEFT(D1220,4),MID(D1220,5,2),RIGHT(D1220,2))=Helper1!$P$1,Helper1!$P$1,""))</f>
        <v/>
      </c>
      <c r="F1220" s="3" t="str">
        <f>IF(A1220="","",'ATP Fills'!G1220)</f>
        <v/>
      </c>
      <c r="G1220" t="str">
        <f>IF(A1220="","",'ATP Fills'!H1220)</f>
        <v/>
      </c>
      <c r="H1220" t="str">
        <f>IF(A1220="","",VLOOKUP(G1220,表3_3[],2,0))</f>
        <v/>
      </c>
      <c r="I1220" t="str">
        <f>IF(A1220="","",VLOOKUP(G1220,表3_3[],3,0))</f>
        <v/>
      </c>
      <c r="J1220" t="str">
        <f>IF(A1220="","",IF('ATP Fills'!I1220="3M","",VLOOKUP(RIGHT('ATP Fills'!I1220,2),Helper1!$O$36:$P$48,2,0)))</f>
        <v/>
      </c>
      <c r="K1220" t="str">
        <f>IF(J1220="","",LEFT('ATP Fills'!I1220,4))</f>
        <v/>
      </c>
      <c r="L1220" t="str">
        <f>IF(A1220="","",IF('ATP Fills'!G1220="LME",'ATP Fills'!I1220,""))</f>
        <v/>
      </c>
      <c r="M1220" t="str">
        <f t="shared" si="19"/>
        <v/>
      </c>
    </row>
    <row r="1221" spans="1:13">
      <c r="A1221" t="str">
        <f>IF('ATP Fills'!A1221="","",IF('ATP Fills'!Q1221="PHILLIPSG",'ATP Fills'!F1221,""))</f>
        <v/>
      </c>
      <c r="B1221" t="str">
        <f>IF(A1221="","",'ATP Fills'!L1221)</f>
        <v/>
      </c>
      <c r="C1221" t="str">
        <f>IF(A1221="","",'ATP Fills'!M1221)</f>
        <v/>
      </c>
      <c r="D1221" t="str">
        <f>IF(A1221="","",'ATP Fills'!B1221)</f>
        <v/>
      </c>
      <c r="E1221" s="3" t="str">
        <f>IF(A1221="","",IF(DATE(LEFT(D1221,4),MID(D1221,5,2),RIGHT(D1221,2))=Helper1!$P$1,Helper1!$P$1,""))</f>
        <v/>
      </c>
      <c r="F1221" s="3" t="str">
        <f>IF(A1221="","",'ATP Fills'!G1221)</f>
        <v/>
      </c>
      <c r="G1221" t="str">
        <f>IF(A1221="","",'ATP Fills'!H1221)</f>
        <v/>
      </c>
      <c r="H1221" t="str">
        <f>IF(A1221="","",VLOOKUP(G1221,表3_3[],2,0))</f>
        <v/>
      </c>
      <c r="I1221" t="str">
        <f>IF(A1221="","",VLOOKUP(G1221,表3_3[],3,0))</f>
        <v/>
      </c>
      <c r="J1221" t="str">
        <f>IF(A1221="","",IF('ATP Fills'!I1221="3M","",VLOOKUP(RIGHT('ATP Fills'!I1221,2),Helper1!$O$36:$P$48,2,0)))</f>
        <v/>
      </c>
      <c r="K1221" t="str">
        <f>IF(J1221="","",LEFT('ATP Fills'!I1221,4))</f>
        <v/>
      </c>
      <c r="L1221" t="str">
        <f>IF(A1221="","",IF('ATP Fills'!G1221="LME",'ATP Fills'!I1221,""))</f>
        <v/>
      </c>
      <c r="M1221" t="str">
        <f t="shared" si="19"/>
        <v/>
      </c>
    </row>
    <row r="1222" spans="1:13">
      <c r="A1222" t="str">
        <f>IF('ATP Fills'!A1222="","",IF('ATP Fills'!Q1222="PHILLIPSG",'ATP Fills'!F1222,""))</f>
        <v/>
      </c>
      <c r="B1222" t="str">
        <f>IF(A1222="","",'ATP Fills'!L1222)</f>
        <v/>
      </c>
      <c r="C1222" t="str">
        <f>IF(A1222="","",'ATP Fills'!M1222)</f>
        <v/>
      </c>
      <c r="D1222" t="str">
        <f>IF(A1222="","",'ATP Fills'!B1222)</f>
        <v/>
      </c>
      <c r="E1222" s="3" t="str">
        <f>IF(A1222="","",IF(DATE(LEFT(D1222,4),MID(D1222,5,2),RIGHT(D1222,2))=Helper1!$P$1,Helper1!$P$1,""))</f>
        <v/>
      </c>
      <c r="F1222" s="3" t="str">
        <f>IF(A1222="","",'ATP Fills'!G1222)</f>
        <v/>
      </c>
      <c r="G1222" t="str">
        <f>IF(A1222="","",'ATP Fills'!H1222)</f>
        <v/>
      </c>
      <c r="H1222" t="str">
        <f>IF(A1222="","",VLOOKUP(G1222,表3_3[],2,0))</f>
        <v/>
      </c>
      <c r="I1222" t="str">
        <f>IF(A1222="","",VLOOKUP(G1222,表3_3[],3,0))</f>
        <v/>
      </c>
      <c r="J1222" t="str">
        <f>IF(A1222="","",IF('ATP Fills'!I1222="3M","",VLOOKUP(RIGHT('ATP Fills'!I1222,2),Helper1!$O$36:$P$48,2,0)))</f>
        <v/>
      </c>
      <c r="K1222" t="str">
        <f>IF(J1222="","",LEFT('ATP Fills'!I1222,4))</f>
        <v/>
      </c>
      <c r="L1222" t="str">
        <f>IF(A1222="","",IF('ATP Fills'!G1222="LME",'ATP Fills'!I1222,""))</f>
        <v/>
      </c>
      <c r="M1222" t="str">
        <f t="shared" si="19"/>
        <v/>
      </c>
    </row>
    <row r="1223" spans="1:13">
      <c r="A1223" t="str">
        <f>IF('ATP Fills'!A1223="","",IF('ATP Fills'!Q1223="PHILLIPSG",'ATP Fills'!F1223,""))</f>
        <v/>
      </c>
      <c r="B1223" t="str">
        <f>IF(A1223="","",'ATP Fills'!L1223)</f>
        <v/>
      </c>
      <c r="C1223" t="str">
        <f>IF(A1223="","",'ATP Fills'!M1223)</f>
        <v/>
      </c>
      <c r="D1223" t="str">
        <f>IF(A1223="","",'ATP Fills'!B1223)</f>
        <v/>
      </c>
      <c r="E1223" s="3" t="str">
        <f>IF(A1223="","",IF(DATE(LEFT(D1223,4),MID(D1223,5,2),RIGHT(D1223,2))=Helper1!$P$1,Helper1!$P$1,""))</f>
        <v/>
      </c>
      <c r="F1223" s="3" t="str">
        <f>IF(A1223="","",'ATP Fills'!G1223)</f>
        <v/>
      </c>
      <c r="G1223" t="str">
        <f>IF(A1223="","",'ATP Fills'!H1223)</f>
        <v/>
      </c>
      <c r="H1223" t="str">
        <f>IF(A1223="","",VLOOKUP(G1223,表3_3[],2,0))</f>
        <v/>
      </c>
      <c r="I1223" t="str">
        <f>IF(A1223="","",VLOOKUP(G1223,表3_3[],3,0))</f>
        <v/>
      </c>
      <c r="J1223" t="str">
        <f>IF(A1223="","",IF('ATP Fills'!I1223="3M","",VLOOKUP(RIGHT('ATP Fills'!I1223,2),Helper1!$O$36:$P$48,2,0)))</f>
        <v/>
      </c>
      <c r="K1223" t="str">
        <f>IF(J1223="","",LEFT('ATP Fills'!I1223,4))</f>
        <v/>
      </c>
      <c r="L1223" t="str">
        <f>IF(A1223="","",IF('ATP Fills'!G1223="LME",'ATP Fills'!I1223,""))</f>
        <v/>
      </c>
      <c r="M1223" t="str">
        <f t="shared" si="19"/>
        <v/>
      </c>
    </row>
    <row r="1224" spans="1:13">
      <c r="A1224" t="str">
        <f>IF('ATP Fills'!A1224="","",IF('ATP Fills'!Q1224="PHILLIPSG",'ATP Fills'!F1224,""))</f>
        <v/>
      </c>
      <c r="B1224" t="str">
        <f>IF(A1224="","",'ATP Fills'!L1224)</f>
        <v/>
      </c>
      <c r="C1224" t="str">
        <f>IF(A1224="","",'ATP Fills'!M1224)</f>
        <v/>
      </c>
      <c r="D1224" t="str">
        <f>IF(A1224="","",'ATP Fills'!B1224)</f>
        <v/>
      </c>
      <c r="E1224" s="3" t="str">
        <f>IF(A1224="","",IF(DATE(LEFT(D1224,4),MID(D1224,5,2),RIGHT(D1224,2))=Helper1!$P$1,Helper1!$P$1,""))</f>
        <v/>
      </c>
      <c r="F1224" s="3" t="str">
        <f>IF(A1224="","",'ATP Fills'!G1224)</f>
        <v/>
      </c>
      <c r="G1224" t="str">
        <f>IF(A1224="","",'ATP Fills'!H1224)</f>
        <v/>
      </c>
      <c r="H1224" t="str">
        <f>IF(A1224="","",VLOOKUP(G1224,表3_3[],2,0))</f>
        <v/>
      </c>
      <c r="I1224" t="str">
        <f>IF(A1224="","",VLOOKUP(G1224,表3_3[],3,0))</f>
        <v/>
      </c>
      <c r="J1224" t="str">
        <f>IF(A1224="","",IF('ATP Fills'!I1224="3M","",VLOOKUP(RIGHT('ATP Fills'!I1224,2),Helper1!$O$36:$P$48,2,0)))</f>
        <v/>
      </c>
      <c r="K1224" t="str">
        <f>IF(J1224="","",LEFT('ATP Fills'!I1224,4))</f>
        <v/>
      </c>
      <c r="L1224" t="str">
        <f>IF(A1224="","",IF('ATP Fills'!G1224="LME",'ATP Fills'!I1224,""))</f>
        <v/>
      </c>
      <c r="M1224" t="str">
        <f t="shared" si="19"/>
        <v/>
      </c>
    </row>
    <row r="1225" spans="1:13">
      <c r="A1225" t="str">
        <f>IF('ATP Fills'!A1225="","",IF('ATP Fills'!Q1225="PHILLIPSG",'ATP Fills'!F1225,""))</f>
        <v/>
      </c>
      <c r="B1225" t="str">
        <f>IF(A1225="","",'ATP Fills'!L1225)</f>
        <v/>
      </c>
      <c r="C1225" t="str">
        <f>IF(A1225="","",'ATP Fills'!M1225)</f>
        <v/>
      </c>
      <c r="D1225" t="str">
        <f>IF(A1225="","",'ATP Fills'!B1225)</f>
        <v/>
      </c>
      <c r="E1225" s="3" t="str">
        <f>IF(A1225="","",IF(DATE(LEFT(D1225,4),MID(D1225,5,2),RIGHT(D1225,2))=Helper1!$P$1,Helper1!$P$1,""))</f>
        <v/>
      </c>
      <c r="F1225" s="3" t="str">
        <f>IF(A1225="","",'ATP Fills'!G1225)</f>
        <v/>
      </c>
      <c r="G1225" t="str">
        <f>IF(A1225="","",'ATP Fills'!H1225)</f>
        <v/>
      </c>
      <c r="H1225" t="str">
        <f>IF(A1225="","",VLOOKUP(G1225,表3_3[],2,0))</f>
        <v/>
      </c>
      <c r="I1225" t="str">
        <f>IF(A1225="","",VLOOKUP(G1225,表3_3[],3,0))</f>
        <v/>
      </c>
      <c r="J1225" t="str">
        <f>IF(A1225="","",IF('ATP Fills'!I1225="3M","",VLOOKUP(RIGHT('ATP Fills'!I1225,2),Helper1!$O$36:$P$48,2,0)))</f>
        <v/>
      </c>
      <c r="K1225" t="str">
        <f>IF(J1225="","",LEFT('ATP Fills'!I1225,4))</f>
        <v/>
      </c>
      <c r="L1225" t="str">
        <f>IF(A1225="","",IF('ATP Fills'!G1225="LME",'ATP Fills'!I1225,""))</f>
        <v/>
      </c>
      <c r="M1225" t="str">
        <f t="shared" si="19"/>
        <v/>
      </c>
    </row>
    <row r="1226" spans="1:13">
      <c r="A1226" t="str">
        <f>IF('ATP Fills'!A1226="","",IF('ATP Fills'!Q1226="PHILLIPSG",'ATP Fills'!F1226,""))</f>
        <v/>
      </c>
      <c r="B1226" t="str">
        <f>IF(A1226="","",'ATP Fills'!L1226)</f>
        <v/>
      </c>
      <c r="C1226" t="str">
        <f>IF(A1226="","",'ATP Fills'!M1226)</f>
        <v/>
      </c>
      <c r="D1226" t="str">
        <f>IF(A1226="","",'ATP Fills'!B1226)</f>
        <v/>
      </c>
      <c r="E1226" s="3" t="str">
        <f>IF(A1226="","",IF(DATE(LEFT(D1226,4),MID(D1226,5,2),RIGHT(D1226,2))=Helper1!$P$1,Helper1!$P$1,""))</f>
        <v/>
      </c>
      <c r="F1226" s="3" t="str">
        <f>IF(A1226="","",'ATP Fills'!G1226)</f>
        <v/>
      </c>
      <c r="G1226" t="str">
        <f>IF(A1226="","",'ATP Fills'!H1226)</f>
        <v/>
      </c>
      <c r="H1226" t="str">
        <f>IF(A1226="","",VLOOKUP(G1226,表3_3[],2,0))</f>
        <v/>
      </c>
      <c r="I1226" t="str">
        <f>IF(A1226="","",VLOOKUP(G1226,表3_3[],3,0))</f>
        <v/>
      </c>
      <c r="J1226" t="str">
        <f>IF(A1226="","",IF('ATP Fills'!I1226="3M","",VLOOKUP(RIGHT('ATP Fills'!I1226,2),Helper1!$O$36:$P$48,2,0)))</f>
        <v/>
      </c>
      <c r="K1226" t="str">
        <f>IF(J1226="","",LEFT('ATP Fills'!I1226,4))</f>
        <v/>
      </c>
      <c r="L1226" t="str">
        <f>IF(A1226="","",IF('ATP Fills'!G1226="LME",'ATP Fills'!I1226,""))</f>
        <v/>
      </c>
      <c r="M1226" t="str">
        <f t="shared" si="19"/>
        <v/>
      </c>
    </row>
    <row r="1227" spans="1:13">
      <c r="A1227" t="str">
        <f>IF('ATP Fills'!A1227="","",IF('ATP Fills'!Q1227="PHILLIPSG",'ATP Fills'!F1227,""))</f>
        <v/>
      </c>
      <c r="B1227" t="str">
        <f>IF(A1227="","",'ATP Fills'!L1227)</f>
        <v/>
      </c>
      <c r="C1227" t="str">
        <f>IF(A1227="","",'ATP Fills'!M1227)</f>
        <v/>
      </c>
      <c r="D1227" t="str">
        <f>IF(A1227="","",'ATP Fills'!B1227)</f>
        <v/>
      </c>
      <c r="E1227" s="3" t="str">
        <f>IF(A1227="","",IF(DATE(LEFT(D1227,4),MID(D1227,5,2),RIGHT(D1227,2))=Helper1!$P$1,Helper1!$P$1,""))</f>
        <v/>
      </c>
      <c r="F1227" s="3" t="str">
        <f>IF(A1227="","",'ATP Fills'!G1227)</f>
        <v/>
      </c>
      <c r="G1227" t="str">
        <f>IF(A1227="","",'ATP Fills'!H1227)</f>
        <v/>
      </c>
      <c r="H1227" t="str">
        <f>IF(A1227="","",VLOOKUP(G1227,表3_3[],2,0))</f>
        <v/>
      </c>
      <c r="I1227" t="str">
        <f>IF(A1227="","",VLOOKUP(G1227,表3_3[],3,0))</f>
        <v/>
      </c>
      <c r="J1227" t="str">
        <f>IF(A1227="","",IF('ATP Fills'!I1227="3M","",VLOOKUP(RIGHT('ATP Fills'!I1227,2),Helper1!$O$36:$P$48,2,0)))</f>
        <v/>
      </c>
      <c r="K1227" t="str">
        <f>IF(J1227="","",LEFT('ATP Fills'!I1227,4))</f>
        <v/>
      </c>
      <c r="L1227" t="str">
        <f>IF(A1227="","",IF('ATP Fills'!G1227="LME",'ATP Fills'!I1227,""))</f>
        <v/>
      </c>
      <c r="M1227" t="str">
        <f t="shared" si="19"/>
        <v/>
      </c>
    </row>
    <row r="1228" spans="1:13">
      <c r="A1228" t="str">
        <f>IF('ATP Fills'!A1228="","",IF('ATP Fills'!Q1228="PHILLIPSG",'ATP Fills'!F1228,""))</f>
        <v/>
      </c>
      <c r="B1228" t="str">
        <f>IF(A1228="","",'ATP Fills'!L1228)</f>
        <v/>
      </c>
      <c r="C1228" t="str">
        <f>IF(A1228="","",'ATP Fills'!M1228)</f>
        <v/>
      </c>
      <c r="D1228" t="str">
        <f>IF(A1228="","",'ATP Fills'!B1228)</f>
        <v/>
      </c>
      <c r="E1228" s="3" t="str">
        <f>IF(A1228="","",IF(DATE(LEFT(D1228,4),MID(D1228,5,2),RIGHT(D1228,2))=Helper1!$P$1,Helper1!$P$1,""))</f>
        <v/>
      </c>
      <c r="F1228" s="3" t="str">
        <f>IF(A1228="","",'ATP Fills'!G1228)</f>
        <v/>
      </c>
      <c r="G1228" t="str">
        <f>IF(A1228="","",'ATP Fills'!H1228)</f>
        <v/>
      </c>
      <c r="H1228" t="str">
        <f>IF(A1228="","",VLOOKUP(G1228,表3_3[],2,0))</f>
        <v/>
      </c>
      <c r="I1228" t="str">
        <f>IF(A1228="","",VLOOKUP(G1228,表3_3[],3,0))</f>
        <v/>
      </c>
      <c r="J1228" t="str">
        <f>IF(A1228="","",IF('ATP Fills'!I1228="3M","",VLOOKUP(RIGHT('ATP Fills'!I1228,2),Helper1!$O$36:$P$48,2,0)))</f>
        <v/>
      </c>
      <c r="K1228" t="str">
        <f>IF(J1228="","",LEFT('ATP Fills'!I1228,4))</f>
        <v/>
      </c>
      <c r="L1228" t="str">
        <f>IF(A1228="","",IF('ATP Fills'!G1228="LME",'ATP Fills'!I1228,""))</f>
        <v/>
      </c>
      <c r="M1228" t="str">
        <f t="shared" si="19"/>
        <v/>
      </c>
    </row>
    <row r="1229" spans="1:13">
      <c r="A1229" t="str">
        <f>IF('ATP Fills'!A1229="","",IF('ATP Fills'!Q1229="PHILLIPSG",'ATP Fills'!F1229,""))</f>
        <v/>
      </c>
      <c r="B1229" t="str">
        <f>IF(A1229="","",'ATP Fills'!L1229)</f>
        <v/>
      </c>
      <c r="C1229" t="str">
        <f>IF(A1229="","",'ATP Fills'!M1229)</f>
        <v/>
      </c>
      <c r="D1229" t="str">
        <f>IF(A1229="","",'ATP Fills'!B1229)</f>
        <v/>
      </c>
      <c r="E1229" s="3" t="str">
        <f>IF(A1229="","",IF(DATE(LEFT(D1229,4),MID(D1229,5,2),RIGHT(D1229,2))=Helper1!$P$1,Helper1!$P$1,""))</f>
        <v/>
      </c>
      <c r="F1229" s="3" t="str">
        <f>IF(A1229="","",'ATP Fills'!G1229)</f>
        <v/>
      </c>
      <c r="G1229" t="str">
        <f>IF(A1229="","",'ATP Fills'!H1229)</f>
        <v/>
      </c>
      <c r="H1229" t="str">
        <f>IF(A1229="","",VLOOKUP(G1229,表3_3[],2,0))</f>
        <v/>
      </c>
      <c r="I1229" t="str">
        <f>IF(A1229="","",VLOOKUP(G1229,表3_3[],3,0))</f>
        <v/>
      </c>
      <c r="J1229" t="str">
        <f>IF(A1229="","",IF('ATP Fills'!I1229="3M","",VLOOKUP(RIGHT('ATP Fills'!I1229,2),Helper1!$O$36:$P$48,2,0)))</f>
        <v/>
      </c>
      <c r="K1229" t="str">
        <f>IF(J1229="","",LEFT('ATP Fills'!I1229,4))</f>
        <v/>
      </c>
      <c r="L1229" t="str">
        <f>IF(A1229="","",IF('ATP Fills'!G1229="LME",'ATP Fills'!I1229,""))</f>
        <v/>
      </c>
      <c r="M1229" t="str">
        <f t="shared" si="19"/>
        <v/>
      </c>
    </row>
    <row r="1230" spans="1:13">
      <c r="A1230" t="str">
        <f>IF('ATP Fills'!A1230="","",IF('ATP Fills'!Q1230="PHILLIPSG",'ATP Fills'!F1230,""))</f>
        <v/>
      </c>
      <c r="B1230" t="str">
        <f>IF(A1230="","",'ATP Fills'!L1230)</f>
        <v/>
      </c>
      <c r="C1230" t="str">
        <f>IF(A1230="","",'ATP Fills'!M1230)</f>
        <v/>
      </c>
      <c r="D1230" t="str">
        <f>IF(A1230="","",'ATP Fills'!B1230)</f>
        <v/>
      </c>
      <c r="E1230" s="3" t="str">
        <f>IF(A1230="","",IF(DATE(LEFT(D1230,4),MID(D1230,5,2),RIGHT(D1230,2))=Helper1!$P$1,Helper1!$P$1,""))</f>
        <v/>
      </c>
      <c r="F1230" s="3" t="str">
        <f>IF(A1230="","",'ATP Fills'!G1230)</f>
        <v/>
      </c>
      <c r="G1230" t="str">
        <f>IF(A1230="","",'ATP Fills'!H1230)</f>
        <v/>
      </c>
      <c r="H1230" t="str">
        <f>IF(A1230="","",VLOOKUP(G1230,表3_3[],2,0))</f>
        <v/>
      </c>
      <c r="I1230" t="str">
        <f>IF(A1230="","",VLOOKUP(G1230,表3_3[],3,0))</f>
        <v/>
      </c>
      <c r="J1230" t="str">
        <f>IF(A1230="","",IF('ATP Fills'!I1230="3M","",VLOOKUP(RIGHT('ATP Fills'!I1230,2),Helper1!$O$36:$P$48,2,0)))</f>
        <v/>
      </c>
      <c r="K1230" t="str">
        <f>IF(J1230="","",LEFT('ATP Fills'!I1230,4))</f>
        <v/>
      </c>
      <c r="L1230" t="str">
        <f>IF(A1230="","",IF('ATP Fills'!G1230="LME",'ATP Fills'!I1230,""))</f>
        <v/>
      </c>
      <c r="M1230" t="str">
        <f t="shared" si="19"/>
        <v/>
      </c>
    </row>
    <row r="1231" spans="1:13">
      <c r="A1231" t="str">
        <f>IF('ATP Fills'!A1231="","",IF('ATP Fills'!Q1231="PHILLIPSG",'ATP Fills'!F1231,""))</f>
        <v/>
      </c>
      <c r="B1231" t="str">
        <f>IF(A1231="","",'ATP Fills'!L1231)</f>
        <v/>
      </c>
      <c r="C1231" t="str">
        <f>IF(A1231="","",'ATP Fills'!M1231)</f>
        <v/>
      </c>
      <c r="D1231" t="str">
        <f>IF(A1231="","",'ATP Fills'!B1231)</f>
        <v/>
      </c>
      <c r="E1231" s="3" t="str">
        <f>IF(A1231="","",IF(DATE(LEFT(D1231,4),MID(D1231,5,2),RIGHT(D1231,2))=Helper1!$P$1,Helper1!$P$1,""))</f>
        <v/>
      </c>
      <c r="F1231" s="3" t="str">
        <f>IF(A1231="","",'ATP Fills'!G1231)</f>
        <v/>
      </c>
      <c r="G1231" t="str">
        <f>IF(A1231="","",'ATP Fills'!H1231)</f>
        <v/>
      </c>
      <c r="H1231" t="str">
        <f>IF(A1231="","",VLOOKUP(G1231,表3_3[],2,0))</f>
        <v/>
      </c>
      <c r="I1231" t="str">
        <f>IF(A1231="","",VLOOKUP(G1231,表3_3[],3,0))</f>
        <v/>
      </c>
      <c r="J1231" t="str">
        <f>IF(A1231="","",IF('ATP Fills'!I1231="3M","",VLOOKUP(RIGHT('ATP Fills'!I1231,2),Helper1!$O$36:$P$48,2,0)))</f>
        <v/>
      </c>
      <c r="K1231" t="str">
        <f>IF(J1231="","",LEFT('ATP Fills'!I1231,4))</f>
        <v/>
      </c>
      <c r="L1231" t="str">
        <f>IF(A1231="","",IF('ATP Fills'!G1231="LME",'ATP Fills'!I1231,""))</f>
        <v/>
      </c>
      <c r="M1231" t="str">
        <f t="shared" si="19"/>
        <v/>
      </c>
    </row>
    <row r="1232" spans="1:13">
      <c r="A1232" t="str">
        <f>IF('ATP Fills'!A1232="","",IF('ATP Fills'!Q1232="PHILLIPSG",'ATP Fills'!F1232,""))</f>
        <v/>
      </c>
      <c r="B1232" t="str">
        <f>IF(A1232="","",'ATP Fills'!L1232)</f>
        <v/>
      </c>
      <c r="C1232" t="str">
        <f>IF(A1232="","",'ATP Fills'!M1232)</f>
        <v/>
      </c>
      <c r="D1232" t="str">
        <f>IF(A1232="","",'ATP Fills'!B1232)</f>
        <v/>
      </c>
      <c r="E1232" s="3" t="str">
        <f>IF(A1232="","",IF(DATE(LEFT(D1232,4),MID(D1232,5,2),RIGHT(D1232,2))=Helper1!$P$1,Helper1!$P$1,""))</f>
        <v/>
      </c>
      <c r="F1232" s="3" t="str">
        <f>IF(A1232="","",'ATP Fills'!G1232)</f>
        <v/>
      </c>
      <c r="G1232" t="str">
        <f>IF(A1232="","",'ATP Fills'!H1232)</f>
        <v/>
      </c>
      <c r="H1232" t="str">
        <f>IF(A1232="","",VLOOKUP(G1232,表3_3[],2,0))</f>
        <v/>
      </c>
      <c r="I1232" t="str">
        <f>IF(A1232="","",VLOOKUP(G1232,表3_3[],3,0))</f>
        <v/>
      </c>
      <c r="J1232" t="str">
        <f>IF(A1232="","",IF('ATP Fills'!I1232="3M","",VLOOKUP(RIGHT('ATP Fills'!I1232,2),Helper1!$O$36:$P$48,2,0)))</f>
        <v/>
      </c>
      <c r="K1232" t="str">
        <f>IF(J1232="","",LEFT('ATP Fills'!I1232,4))</f>
        <v/>
      </c>
      <c r="L1232" t="str">
        <f>IF(A1232="","",IF('ATP Fills'!G1232="LME",'ATP Fills'!I1232,""))</f>
        <v/>
      </c>
      <c r="M1232" t="str">
        <f t="shared" si="19"/>
        <v/>
      </c>
    </row>
    <row r="1233" spans="1:13">
      <c r="A1233" t="str">
        <f>IF('ATP Fills'!A1233="","",IF('ATP Fills'!Q1233="PHILLIPSG",'ATP Fills'!F1233,""))</f>
        <v/>
      </c>
      <c r="B1233" t="str">
        <f>IF(A1233="","",'ATP Fills'!L1233)</f>
        <v/>
      </c>
      <c r="C1233" t="str">
        <f>IF(A1233="","",'ATP Fills'!M1233)</f>
        <v/>
      </c>
      <c r="D1233" t="str">
        <f>IF(A1233="","",'ATP Fills'!B1233)</f>
        <v/>
      </c>
      <c r="E1233" s="3" t="str">
        <f>IF(A1233="","",IF(DATE(LEFT(D1233,4),MID(D1233,5,2),RIGHT(D1233,2))=Helper1!$P$1,Helper1!$P$1,""))</f>
        <v/>
      </c>
      <c r="F1233" s="3" t="str">
        <f>IF(A1233="","",'ATP Fills'!G1233)</f>
        <v/>
      </c>
      <c r="G1233" t="str">
        <f>IF(A1233="","",'ATP Fills'!H1233)</f>
        <v/>
      </c>
      <c r="H1233" t="str">
        <f>IF(A1233="","",VLOOKUP(G1233,表3_3[],2,0))</f>
        <v/>
      </c>
      <c r="I1233" t="str">
        <f>IF(A1233="","",VLOOKUP(G1233,表3_3[],3,0))</f>
        <v/>
      </c>
      <c r="J1233" t="str">
        <f>IF(A1233="","",IF('ATP Fills'!I1233="3M","",VLOOKUP(RIGHT('ATP Fills'!I1233,2),Helper1!$O$36:$P$48,2,0)))</f>
        <v/>
      </c>
      <c r="K1233" t="str">
        <f>IF(J1233="","",LEFT('ATP Fills'!I1233,4))</f>
        <v/>
      </c>
      <c r="L1233" t="str">
        <f>IF(A1233="","",IF('ATP Fills'!G1233="LME",'ATP Fills'!I1233,""))</f>
        <v/>
      </c>
      <c r="M1233" t="str">
        <f t="shared" si="19"/>
        <v/>
      </c>
    </row>
    <row r="1234" spans="1:13">
      <c r="A1234" t="str">
        <f>IF('ATP Fills'!A1234="","",IF('ATP Fills'!Q1234="PHILLIPSG",'ATP Fills'!F1234,""))</f>
        <v/>
      </c>
      <c r="B1234" t="str">
        <f>IF(A1234="","",'ATP Fills'!L1234)</f>
        <v/>
      </c>
      <c r="C1234" t="str">
        <f>IF(A1234="","",'ATP Fills'!M1234)</f>
        <v/>
      </c>
      <c r="D1234" t="str">
        <f>IF(A1234="","",'ATP Fills'!B1234)</f>
        <v/>
      </c>
      <c r="E1234" s="3" t="str">
        <f>IF(A1234="","",IF(DATE(LEFT(D1234,4),MID(D1234,5,2),RIGHT(D1234,2))=Helper1!$P$1,Helper1!$P$1,""))</f>
        <v/>
      </c>
      <c r="F1234" s="3" t="str">
        <f>IF(A1234="","",'ATP Fills'!G1234)</f>
        <v/>
      </c>
      <c r="G1234" t="str">
        <f>IF(A1234="","",'ATP Fills'!H1234)</f>
        <v/>
      </c>
      <c r="H1234" t="str">
        <f>IF(A1234="","",VLOOKUP(G1234,表3_3[],2,0))</f>
        <v/>
      </c>
      <c r="I1234" t="str">
        <f>IF(A1234="","",VLOOKUP(G1234,表3_3[],3,0))</f>
        <v/>
      </c>
      <c r="J1234" t="str">
        <f>IF(A1234="","",IF('ATP Fills'!I1234="3M","",VLOOKUP(RIGHT('ATP Fills'!I1234,2),Helper1!$O$36:$P$48,2,0)))</f>
        <v/>
      </c>
      <c r="K1234" t="str">
        <f>IF(J1234="","",LEFT('ATP Fills'!I1234,4))</f>
        <v/>
      </c>
      <c r="L1234" t="str">
        <f>IF(A1234="","",IF('ATP Fills'!G1234="LME",'ATP Fills'!I1234,""))</f>
        <v/>
      </c>
      <c r="M1234" t="str">
        <f t="shared" si="19"/>
        <v/>
      </c>
    </row>
    <row r="1235" spans="1:13">
      <c r="A1235" t="str">
        <f>IF('ATP Fills'!A1235="","",IF('ATP Fills'!Q1235="PHILLIPSG",'ATP Fills'!F1235,""))</f>
        <v/>
      </c>
      <c r="B1235" t="str">
        <f>IF(A1235="","",'ATP Fills'!L1235)</f>
        <v/>
      </c>
      <c r="C1235" t="str">
        <f>IF(A1235="","",'ATP Fills'!M1235)</f>
        <v/>
      </c>
      <c r="D1235" t="str">
        <f>IF(A1235="","",'ATP Fills'!B1235)</f>
        <v/>
      </c>
      <c r="E1235" s="3" t="str">
        <f>IF(A1235="","",IF(DATE(LEFT(D1235,4),MID(D1235,5,2),RIGHT(D1235,2))=Helper1!$P$1,Helper1!$P$1,""))</f>
        <v/>
      </c>
      <c r="F1235" s="3" t="str">
        <f>IF(A1235="","",'ATP Fills'!G1235)</f>
        <v/>
      </c>
      <c r="G1235" t="str">
        <f>IF(A1235="","",'ATP Fills'!H1235)</f>
        <v/>
      </c>
      <c r="H1235" t="str">
        <f>IF(A1235="","",VLOOKUP(G1235,表3_3[],2,0))</f>
        <v/>
      </c>
      <c r="I1235" t="str">
        <f>IF(A1235="","",VLOOKUP(G1235,表3_3[],3,0))</f>
        <v/>
      </c>
      <c r="J1235" t="str">
        <f>IF(A1235="","",IF('ATP Fills'!I1235="3M","",VLOOKUP(RIGHT('ATP Fills'!I1235,2),Helper1!$O$36:$P$48,2,0)))</f>
        <v/>
      </c>
      <c r="K1235" t="str">
        <f>IF(J1235="","",LEFT('ATP Fills'!I1235,4))</f>
        <v/>
      </c>
      <c r="L1235" t="str">
        <f>IF(A1235="","",IF('ATP Fills'!G1235="LME",'ATP Fills'!I1235,""))</f>
        <v/>
      </c>
      <c r="M1235" t="str">
        <f t="shared" si="19"/>
        <v/>
      </c>
    </row>
    <row r="1236" spans="1:13">
      <c r="A1236" t="str">
        <f>IF('ATP Fills'!A1236="","",IF('ATP Fills'!Q1236="PHILLIPSG",'ATP Fills'!F1236,""))</f>
        <v/>
      </c>
      <c r="B1236" t="str">
        <f>IF(A1236="","",'ATP Fills'!L1236)</f>
        <v/>
      </c>
      <c r="C1236" t="str">
        <f>IF(A1236="","",'ATP Fills'!M1236)</f>
        <v/>
      </c>
      <c r="D1236" t="str">
        <f>IF(A1236="","",'ATP Fills'!B1236)</f>
        <v/>
      </c>
      <c r="E1236" s="3" t="str">
        <f>IF(A1236="","",IF(DATE(LEFT(D1236,4),MID(D1236,5,2),RIGHT(D1236,2))=Helper1!$P$1,Helper1!$P$1,""))</f>
        <v/>
      </c>
      <c r="F1236" s="3" t="str">
        <f>IF(A1236="","",'ATP Fills'!G1236)</f>
        <v/>
      </c>
      <c r="G1236" t="str">
        <f>IF(A1236="","",'ATP Fills'!H1236)</f>
        <v/>
      </c>
      <c r="H1236" t="str">
        <f>IF(A1236="","",VLOOKUP(G1236,表3_3[],2,0))</f>
        <v/>
      </c>
      <c r="I1236" t="str">
        <f>IF(A1236="","",VLOOKUP(G1236,表3_3[],3,0))</f>
        <v/>
      </c>
      <c r="J1236" t="str">
        <f>IF(A1236="","",IF('ATP Fills'!I1236="3M","",VLOOKUP(RIGHT('ATP Fills'!I1236,2),Helper1!$O$36:$P$48,2,0)))</f>
        <v/>
      </c>
      <c r="K1236" t="str">
        <f>IF(J1236="","",LEFT('ATP Fills'!I1236,4))</f>
        <v/>
      </c>
      <c r="L1236" t="str">
        <f>IF(A1236="","",IF('ATP Fills'!G1236="LME",'ATP Fills'!I1236,""))</f>
        <v/>
      </c>
      <c r="M1236" t="str">
        <f t="shared" si="19"/>
        <v/>
      </c>
    </row>
    <row r="1237" spans="1:13">
      <c r="A1237" t="str">
        <f>IF('ATP Fills'!A1237="","",IF('ATP Fills'!Q1237="PHILLIPSG",'ATP Fills'!F1237,""))</f>
        <v/>
      </c>
      <c r="B1237" t="str">
        <f>IF(A1237="","",'ATP Fills'!L1237)</f>
        <v/>
      </c>
      <c r="C1237" t="str">
        <f>IF(A1237="","",'ATP Fills'!M1237)</f>
        <v/>
      </c>
      <c r="D1237" t="str">
        <f>IF(A1237="","",'ATP Fills'!B1237)</f>
        <v/>
      </c>
      <c r="E1237" s="3" t="str">
        <f>IF(A1237="","",IF(DATE(LEFT(D1237,4),MID(D1237,5,2),RIGHT(D1237,2))=Helper1!$P$1,Helper1!$P$1,""))</f>
        <v/>
      </c>
      <c r="F1237" s="3" t="str">
        <f>IF(A1237="","",'ATP Fills'!G1237)</f>
        <v/>
      </c>
      <c r="G1237" t="str">
        <f>IF(A1237="","",'ATP Fills'!H1237)</f>
        <v/>
      </c>
      <c r="H1237" t="str">
        <f>IF(A1237="","",VLOOKUP(G1237,表3_3[],2,0))</f>
        <v/>
      </c>
      <c r="I1237" t="str">
        <f>IF(A1237="","",VLOOKUP(G1237,表3_3[],3,0))</f>
        <v/>
      </c>
      <c r="J1237" t="str">
        <f>IF(A1237="","",IF('ATP Fills'!I1237="3M","",VLOOKUP(RIGHT('ATP Fills'!I1237,2),Helper1!$O$36:$P$48,2,0)))</f>
        <v/>
      </c>
      <c r="K1237" t="str">
        <f>IF(J1237="","",LEFT('ATP Fills'!I1237,4))</f>
        <v/>
      </c>
      <c r="L1237" t="str">
        <f>IF(A1237="","",IF('ATP Fills'!G1237="LME",'ATP Fills'!I1237,""))</f>
        <v/>
      </c>
      <c r="M1237" t="str">
        <f t="shared" si="19"/>
        <v/>
      </c>
    </row>
    <row r="1238" spans="1:13">
      <c r="A1238" t="str">
        <f>IF('ATP Fills'!A1238="","",IF('ATP Fills'!Q1238="PHILLIPSG",'ATP Fills'!F1238,""))</f>
        <v/>
      </c>
      <c r="B1238" t="str">
        <f>IF(A1238="","",'ATP Fills'!L1238)</f>
        <v/>
      </c>
      <c r="C1238" t="str">
        <f>IF(A1238="","",'ATP Fills'!M1238)</f>
        <v/>
      </c>
      <c r="D1238" t="str">
        <f>IF(A1238="","",'ATP Fills'!B1238)</f>
        <v/>
      </c>
      <c r="E1238" s="3" t="str">
        <f>IF(A1238="","",IF(DATE(LEFT(D1238,4),MID(D1238,5,2),RIGHT(D1238,2))=Helper1!$P$1,Helper1!$P$1,""))</f>
        <v/>
      </c>
      <c r="F1238" s="3" t="str">
        <f>IF(A1238="","",'ATP Fills'!G1238)</f>
        <v/>
      </c>
      <c r="G1238" t="str">
        <f>IF(A1238="","",'ATP Fills'!H1238)</f>
        <v/>
      </c>
      <c r="H1238" t="str">
        <f>IF(A1238="","",VLOOKUP(G1238,表3_3[],2,0))</f>
        <v/>
      </c>
      <c r="I1238" t="str">
        <f>IF(A1238="","",VLOOKUP(G1238,表3_3[],3,0))</f>
        <v/>
      </c>
      <c r="J1238" t="str">
        <f>IF(A1238="","",IF('ATP Fills'!I1238="3M","",VLOOKUP(RIGHT('ATP Fills'!I1238,2),Helper1!$O$36:$P$48,2,0)))</f>
        <v/>
      </c>
      <c r="K1238" t="str">
        <f>IF(J1238="","",LEFT('ATP Fills'!I1238,4))</f>
        <v/>
      </c>
      <c r="L1238" t="str">
        <f>IF(A1238="","",IF('ATP Fills'!G1238="LME",'ATP Fills'!I1238,""))</f>
        <v/>
      </c>
      <c r="M1238" t="str">
        <f t="shared" si="19"/>
        <v/>
      </c>
    </row>
    <row r="1239" spans="1:13">
      <c r="A1239" t="str">
        <f>IF('ATP Fills'!A1239="","",IF('ATP Fills'!Q1239="PHILLIPSG",'ATP Fills'!F1239,""))</f>
        <v/>
      </c>
      <c r="B1239" t="str">
        <f>IF(A1239="","",'ATP Fills'!L1239)</f>
        <v/>
      </c>
      <c r="C1239" t="str">
        <f>IF(A1239="","",'ATP Fills'!M1239)</f>
        <v/>
      </c>
      <c r="D1239" t="str">
        <f>IF(A1239="","",'ATP Fills'!B1239)</f>
        <v/>
      </c>
      <c r="E1239" s="3" t="str">
        <f>IF(A1239="","",IF(DATE(LEFT(D1239,4),MID(D1239,5,2),RIGHT(D1239,2))=Helper1!$P$1,Helper1!$P$1,""))</f>
        <v/>
      </c>
      <c r="F1239" s="3" t="str">
        <f>IF(A1239="","",'ATP Fills'!G1239)</f>
        <v/>
      </c>
      <c r="G1239" t="str">
        <f>IF(A1239="","",'ATP Fills'!H1239)</f>
        <v/>
      </c>
      <c r="H1239" t="str">
        <f>IF(A1239="","",VLOOKUP(G1239,表3_3[],2,0))</f>
        <v/>
      </c>
      <c r="I1239" t="str">
        <f>IF(A1239="","",VLOOKUP(G1239,表3_3[],3,0))</f>
        <v/>
      </c>
      <c r="J1239" t="str">
        <f>IF(A1239="","",IF('ATP Fills'!I1239="3M","",VLOOKUP(RIGHT('ATP Fills'!I1239,2),Helper1!$O$36:$P$48,2,0)))</f>
        <v/>
      </c>
      <c r="K1239" t="str">
        <f>IF(J1239="","",LEFT('ATP Fills'!I1239,4))</f>
        <v/>
      </c>
      <c r="L1239" t="str">
        <f>IF(A1239="","",IF('ATP Fills'!G1239="LME",'ATP Fills'!I1239,""))</f>
        <v/>
      </c>
      <c r="M1239" t="str">
        <f t="shared" si="19"/>
        <v/>
      </c>
    </row>
    <row r="1240" spans="1:13">
      <c r="A1240" t="str">
        <f>IF('ATP Fills'!A1240="","",IF('ATP Fills'!Q1240="PHILLIPSG",'ATP Fills'!F1240,""))</f>
        <v/>
      </c>
      <c r="B1240" t="str">
        <f>IF(A1240="","",'ATP Fills'!L1240)</f>
        <v/>
      </c>
      <c r="C1240" t="str">
        <f>IF(A1240="","",'ATP Fills'!M1240)</f>
        <v/>
      </c>
      <c r="D1240" t="str">
        <f>IF(A1240="","",'ATP Fills'!B1240)</f>
        <v/>
      </c>
      <c r="E1240" s="3" t="str">
        <f>IF(A1240="","",IF(DATE(LEFT(D1240,4),MID(D1240,5,2),RIGHT(D1240,2))=Helper1!$P$1,Helper1!$P$1,""))</f>
        <v/>
      </c>
      <c r="F1240" s="3" t="str">
        <f>IF(A1240="","",'ATP Fills'!G1240)</f>
        <v/>
      </c>
      <c r="G1240" t="str">
        <f>IF(A1240="","",'ATP Fills'!H1240)</f>
        <v/>
      </c>
      <c r="H1240" t="str">
        <f>IF(A1240="","",VLOOKUP(G1240,表3_3[],2,0))</f>
        <v/>
      </c>
      <c r="I1240" t="str">
        <f>IF(A1240="","",VLOOKUP(G1240,表3_3[],3,0))</f>
        <v/>
      </c>
      <c r="J1240" t="str">
        <f>IF(A1240="","",IF('ATP Fills'!I1240="3M","",VLOOKUP(RIGHT('ATP Fills'!I1240,2),Helper1!$O$36:$P$48,2,0)))</f>
        <v/>
      </c>
      <c r="K1240" t="str">
        <f>IF(J1240="","",LEFT('ATP Fills'!I1240,4))</f>
        <v/>
      </c>
      <c r="L1240" t="str">
        <f>IF(A1240="","",IF('ATP Fills'!G1240="LME",'ATP Fills'!I1240,""))</f>
        <v/>
      </c>
      <c r="M1240" t="str">
        <f t="shared" si="19"/>
        <v/>
      </c>
    </row>
    <row r="1241" spans="1:13">
      <c r="A1241" t="str">
        <f>IF('ATP Fills'!A1241="","",IF('ATP Fills'!Q1241="PHILLIPSG",'ATP Fills'!F1241,""))</f>
        <v/>
      </c>
      <c r="B1241" t="str">
        <f>IF(A1241="","",'ATP Fills'!L1241)</f>
        <v/>
      </c>
      <c r="C1241" t="str">
        <f>IF(A1241="","",'ATP Fills'!M1241)</f>
        <v/>
      </c>
      <c r="D1241" t="str">
        <f>IF(A1241="","",'ATP Fills'!B1241)</f>
        <v/>
      </c>
      <c r="E1241" s="3" t="str">
        <f>IF(A1241="","",IF(DATE(LEFT(D1241,4),MID(D1241,5,2),RIGHT(D1241,2))=Helper1!$P$1,Helper1!$P$1,""))</f>
        <v/>
      </c>
      <c r="F1241" s="3" t="str">
        <f>IF(A1241="","",'ATP Fills'!G1241)</f>
        <v/>
      </c>
      <c r="G1241" t="str">
        <f>IF(A1241="","",'ATP Fills'!H1241)</f>
        <v/>
      </c>
      <c r="H1241" t="str">
        <f>IF(A1241="","",VLOOKUP(G1241,表3_3[],2,0))</f>
        <v/>
      </c>
      <c r="I1241" t="str">
        <f>IF(A1241="","",VLOOKUP(G1241,表3_3[],3,0))</f>
        <v/>
      </c>
      <c r="J1241" t="str">
        <f>IF(A1241="","",IF('ATP Fills'!I1241="3M","",VLOOKUP(RIGHT('ATP Fills'!I1241,2),Helper1!$O$36:$P$48,2,0)))</f>
        <v/>
      </c>
      <c r="K1241" t="str">
        <f>IF(J1241="","",LEFT('ATP Fills'!I1241,4))</f>
        <v/>
      </c>
      <c r="L1241" t="str">
        <f>IF(A1241="","",IF('ATP Fills'!G1241="LME",'ATP Fills'!I1241,""))</f>
        <v/>
      </c>
      <c r="M1241" t="str">
        <f t="shared" si="19"/>
        <v/>
      </c>
    </row>
    <row r="1242" spans="1:13">
      <c r="A1242" t="str">
        <f>IF('ATP Fills'!A1242="","",IF('ATP Fills'!Q1242="PHILLIPSG",'ATP Fills'!F1242,""))</f>
        <v/>
      </c>
      <c r="B1242" t="str">
        <f>IF(A1242="","",'ATP Fills'!L1242)</f>
        <v/>
      </c>
      <c r="C1242" t="str">
        <f>IF(A1242="","",'ATP Fills'!M1242)</f>
        <v/>
      </c>
      <c r="D1242" t="str">
        <f>IF(A1242="","",'ATP Fills'!B1242)</f>
        <v/>
      </c>
      <c r="E1242" s="3" t="str">
        <f>IF(A1242="","",IF(DATE(LEFT(D1242,4),MID(D1242,5,2),RIGHT(D1242,2))=Helper1!$P$1,Helper1!$P$1,""))</f>
        <v/>
      </c>
      <c r="F1242" s="3" t="str">
        <f>IF(A1242="","",'ATP Fills'!G1242)</f>
        <v/>
      </c>
      <c r="G1242" t="str">
        <f>IF(A1242="","",'ATP Fills'!H1242)</f>
        <v/>
      </c>
      <c r="H1242" t="str">
        <f>IF(A1242="","",VLOOKUP(G1242,表3_3[],2,0))</f>
        <v/>
      </c>
      <c r="I1242" t="str">
        <f>IF(A1242="","",VLOOKUP(G1242,表3_3[],3,0))</f>
        <v/>
      </c>
      <c r="J1242" t="str">
        <f>IF(A1242="","",IF('ATP Fills'!I1242="3M","",VLOOKUP(RIGHT('ATP Fills'!I1242,2),Helper1!$O$36:$P$48,2,0)))</f>
        <v/>
      </c>
      <c r="K1242" t="str">
        <f>IF(J1242="","",LEFT('ATP Fills'!I1242,4))</f>
        <v/>
      </c>
      <c r="L1242" t="str">
        <f>IF(A1242="","",IF('ATP Fills'!G1242="LME",'ATP Fills'!I1242,""))</f>
        <v/>
      </c>
      <c r="M1242" t="str">
        <f t="shared" si="19"/>
        <v/>
      </c>
    </row>
    <row r="1243" spans="1:13">
      <c r="A1243" t="str">
        <f>IF('ATP Fills'!A1243="","",IF('ATP Fills'!Q1243="PHILLIPSG",'ATP Fills'!F1243,""))</f>
        <v/>
      </c>
      <c r="B1243" t="str">
        <f>IF(A1243="","",'ATP Fills'!L1243)</f>
        <v/>
      </c>
      <c r="C1243" t="str">
        <f>IF(A1243="","",'ATP Fills'!M1243)</f>
        <v/>
      </c>
      <c r="D1243" t="str">
        <f>IF(A1243="","",'ATP Fills'!B1243)</f>
        <v/>
      </c>
      <c r="E1243" s="3" t="str">
        <f>IF(A1243="","",IF(DATE(LEFT(D1243,4),MID(D1243,5,2),RIGHT(D1243,2))=Helper1!$P$1,Helper1!$P$1,""))</f>
        <v/>
      </c>
      <c r="F1243" s="3" t="str">
        <f>IF(A1243="","",'ATP Fills'!G1243)</f>
        <v/>
      </c>
      <c r="G1243" t="str">
        <f>IF(A1243="","",'ATP Fills'!H1243)</f>
        <v/>
      </c>
      <c r="H1243" t="str">
        <f>IF(A1243="","",VLOOKUP(G1243,表3_3[],2,0))</f>
        <v/>
      </c>
      <c r="I1243" t="str">
        <f>IF(A1243="","",VLOOKUP(G1243,表3_3[],3,0))</f>
        <v/>
      </c>
      <c r="J1243" t="str">
        <f>IF(A1243="","",IF('ATP Fills'!I1243="3M","",VLOOKUP(RIGHT('ATP Fills'!I1243,2),Helper1!$O$36:$P$48,2,0)))</f>
        <v/>
      </c>
      <c r="K1243" t="str">
        <f>IF(J1243="","",LEFT('ATP Fills'!I1243,4))</f>
        <v/>
      </c>
      <c r="L1243" t="str">
        <f>IF(A1243="","",IF('ATP Fills'!G1243="LME",'ATP Fills'!I1243,""))</f>
        <v/>
      </c>
      <c r="M1243" t="str">
        <f t="shared" si="19"/>
        <v/>
      </c>
    </row>
    <row r="1244" spans="1:13">
      <c r="A1244" t="str">
        <f>IF('ATP Fills'!A1244="","",IF('ATP Fills'!Q1244="PHILLIPSG",'ATP Fills'!F1244,""))</f>
        <v/>
      </c>
      <c r="B1244" t="str">
        <f>IF(A1244="","",'ATP Fills'!L1244)</f>
        <v/>
      </c>
      <c r="C1244" t="str">
        <f>IF(A1244="","",'ATP Fills'!M1244)</f>
        <v/>
      </c>
      <c r="D1244" t="str">
        <f>IF(A1244="","",'ATP Fills'!B1244)</f>
        <v/>
      </c>
      <c r="E1244" s="3" t="str">
        <f>IF(A1244="","",IF(DATE(LEFT(D1244,4),MID(D1244,5,2),RIGHT(D1244,2))=Helper1!$P$1,Helper1!$P$1,""))</f>
        <v/>
      </c>
      <c r="F1244" s="3" t="str">
        <f>IF(A1244="","",'ATP Fills'!G1244)</f>
        <v/>
      </c>
      <c r="G1244" t="str">
        <f>IF(A1244="","",'ATP Fills'!H1244)</f>
        <v/>
      </c>
      <c r="H1244" t="str">
        <f>IF(A1244="","",VLOOKUP(G1244,表3_3[],2,0))</f>
        <v/>
      </c>
      <c r="I1244" t="str">
        <f>IF(A1244="","",VLOOKUP(G1244,表3_3[],3,0))</f>
        <v/>
      </c>
      <c r="J1244" t="str">
        <f>IF(A1244="","",IF('ATP Fills'!I1244="3M","",VLOOKUP(RIGHT('ATP Fills'!I1244,2),Helper1!$O$36:$P$48,2,0)))</f>
        <v/>
      </c>
      <c r="K1244" t="str">
        <f>IF(J1244="","",LEFT('ATP Fills'!I1244,4))</f>
        <v/>
      </c>
      <c r="L1244" t="str">
        <f>IF(A1244="","",IF('ATP Fills'!G1244="LME",'ATP Fills'!I1244,""))</f>
        <v/>
      </c>
      <c r="M1244" t="str">
        <f t="shared" si="19"/>
        <v/>
      </c>
    </row>
    <row r="1245" spans="1:13">
      <c r="A1245" t="str">
        <f>IF('ATP Fills'!A1245="","",IF('ATP Fills'!Q1245="PHILLIPSG",'ATP Fills'!F1245,""))</f>
        <v/>
      </c>
      <c r="B1245" t="str">
        <f>IF(A1245="","",'ATP Fills'!L1245)</f>
        <v/>
      </c>
      <c r="C1245" t="str">
        <f>IF(A1245="","",'ATP Fills'!M1245)</f>
        <v/>
      </c>
      <c r="D1245" t="str">
        <f>IF(A1245="","",'ATP Fills'!B1245)</f>
        <v/>
      </c>
      <c r="E1245" s="3" t="str">
        <f>IF(A1245="","",IF(DATE(LEFT(D1245,4),MID(D1245,5,2),RIGHT(D1245,2))=Helper1!$P$1,Helper1!$P$1,""))</f>
        <v/>
      </c>
      <c r="F1245" s="3" t="str">
        <f>IF(A1245="","",'ATP Fills'!G1245)</f>
        <v/>
      </c>
      <c r="G1245" t="str">
        <f>IF(A1245="","",'ATP Fills'!H1245)</f>
        <v/>
      </c>
      <c r="H1245" t="str">
        <f>IF(A1245="","",VLOOKUP(G1245,表3_3[],2,0))</f>
        <v/>
      </c>
      <c r="I1245" t="str">
        <f>IF(A1245="","",VLOOKUP(G1245,表3_3[],3,0))</f>
        <v/>
      </c>
      <c r="J1245" t="str">
        <f>IF(A1245="","",IF('ATP Fills'!I1245="3M","",VLOOKUP(RIGHT('ATP Fills'!I1245,2),Helper1!$O$36:$P$48,2,0)))</f>
        <v/>
      </c>
      <c r="K1245" t="str">
        <f>IF(J1245="","",LEFT('ATP Fills'!I1245,4))</f>
        <v/>
      </c>
      <c r="L1245" t="str">
        <f>IF(A1245="","",IF('ATP Fills'!G1245="LME",'ATP Fills'!I1245,""))</f>
        <v/>
      </c>
      <c r="M1245" t="str">
        <f t="shared" si="19"/>
        <v/>
      </c>
    </row>
    <row r="1246" spans="1:13">
      <c r="A1246" t="str">
        <f>IF('ATP Fills'!A1246="","",IF('ATP Fills'!Q1246="PHILLIPSG",'ATP Fills'!F1246,""))</f>
        <v/>
      </c>
      <c r="B1246" t="str">
        <f>IF(A1246="","",'ATP Fills'!L1246)</f>
        <v/>
      </c>
      <c r="C1246" t="str">
        <f>IF(A1246="","",'ATP Fills'!M1246)</f>
        <v/>
      </c>
      <c r="D1246" t="str">
        <f>IF(A1246="","",'ATP Fills'!B1246)</f>
        <v/>
      </c>
      <c r="E1246" s="3" t="str">
        <f>IF(A1246="","",IF(DATE(LEFT(D1246,4),MID(D1246,5,2),RIGHT(D1246,2))=Helper1!$P$1,Helper1!$P$1,""))</f>
        <v/>
      </c>
      <c r="F1246" s="3" t="str">
        <f>IF(A1246="","",'ATP Fills'!G1246)</f>
        <v/>
      </c>
      <c r="G1246" t="str">
        <f>IF(A1246="","",'ATP Fills'!H1246)</f>
        <v/>
      </c>
      <c r="H1246" t="str">
        <f>IF(A1246="","",VLOOKUP(G1246,表3_3[],2,0))</f>
        <v/>
      </c>
      <c r="I1246" t="str">
        <f>IF(A1246="","",VLOOKUP(G1246,表3_3[],3,0))</f>
        <v/>
      </c>
      <c r="J1246" t="str">
        <f>IF(A1246="","",IF('ATP Fills'!I1246="3M","",VLOOKUP(RIGHT('ATP Fills'!I1246,2),Helper1!$O$36:$P$48,2,0)))</f>
        <v/>
      </c>
      <c r="K1246" t="str">
        <f>IF(J1246="","",LEFT('ATP Fills'!I1246,4))</f>
        <v/>
      </c>
      <c r="L1246" t="str">
        <f>IF(A1246="","",IF('ATP Fills'!G1246="LME",'ATP Fills'!I1246,""))</f>
        <v/>
      </c>
      <c r="M1246" t="str">
        <f t="shared" si="19"/>
        <v/>
      </c>
    </row>
    <row r="1247" spans="1:13">
      <c r="A1247" t="str">
        <f>IF('ATP Fills'!A1247="","",IF('ATP Fills'!Q1247="PHILLIPSG",'ATP Fills'!F1247,""))</f>
        <v/>
      </c>
      <c r="B1247" t="str">
        <f>IF(A1247="","",'ATP Fills'!L1247)</f>
        <v/>
      </c>
      <c r="C1247" t="str">
        <f>IF(A1247="","",'ATP Fills'!M1247)</f>
        <v/>
      </c>
      <c r="D1247" t="str">
        <f>IF(A1247="","",'ATP Fills'!B1247)</f>
        <v/>
      </c>
      <c r="E1247" s="3" t="str">
        <f>IF(A1247="","",IF(DATE(LEFT(D1247,4),MID(D1247,5,2),RIGHT(D1247,2))=Helper1!$P$1,Helper1!$P$1,""))</f>
        <v/>
      </c>
      <c r="F1247" s="3" t="str">
        <f>IF(A1247="","",'ATP Fills'!G1247)</f>
        <v/>
      </c>
      <c r="G1247" t="str">
        <f>IF(A1247="","",'ATP Fills'!H1247)</f>
        <v/>
      </c>
      <c r="H1247" t="str">
        <f>IF(A1247="","",VLOOKUP(G1247,表3_3[],2,0))</f>
        <v/>
      </c>
      <c r="I1247" t="str">
        <f>IF(A1247="","",VLOOKUP(G1247,表3_3[],3,0))</f>
        <v/>
      </c>
      <c r="J1247" t="str">
        <f>IF(A1247="","",IF('ATP Fills'!I1247="3M","",VLOOKUP(RIGHT('ATP Fills'!I1247,2),Helper1!$O$36:$P$48,2,0)))</f>
        <v/>
      </c>
      <c r="K1247" t="str">
        <f>IF(J1247="","",LEFT('ATP Fills'!I1247,4))</f>
        <v/>
      </c>
      <c r="L1247" t="str">
        <f>IF(A1247="","",IF('ATP Fills'!G1247="LME",'ATP Fills'!I1247,""))</f>
        <v/>
      </c>
      <c r="M1247" t="str">
        <f t="shared" si="19"/>
        <v/>
      </c>
    </row>
    <row r="1248" spans="1:13">
      <c r="A1248" t="str">
        <f>IF('ATP Fills'!A1248="","",IF('ATP Fills'!Q1248="PHILLIPSG",'ATP Fills'!F1248,""))</f>
        <v/>
      </c>
      <c r="B1248" t="str">
        <f>IF(A1248="","",'ATP Fills'!L1248)</f>
        <v/>
      </c>
      <c r="C1248" t="str">
        <f>IF(A1248="","",'ATP Fills'!M1248)</f>
        <v/>
      </c>
      <c r="D1248" t="str">
        <f>IF(A1248="","",'ATP Fills'!B1248)</f>
        <v/>
      </c>
      <c r="E1248" s="3" t="str">
        <f>IF(A1248="","",IF(DATE(LEFT(D1248,4),MID(D1248,5,2),RIGHT(D1248,2))=Helper1!$P$1,Helper1!$P$1,""))</f>
        <v/>
      </c>
      <c r="F1248" s="3" t="str">
        <f>IF(A1248="","",'ATP Fills'!G1248)</f>
        <v/>
      </c>
      <c r="G1248" t="str">
        <f>IF(A1248="","",'ATP Fills'!H1248)</f>
        <v/>
      </c>
      <c r="H1248" t="str">
        <f>IF(A1248="","",VLOOKUP(G1248,表3_3[],2,0))</f>
        <v/>
      </c>
      <c r="I1248" t="str">
        <f>IF(A1248="","",VLOOKUP(G1248,表3_3[],3,0))</f>
        <v/>
      </c>
      <c r="J1248" t="str">
        <f>IF(A1248="","",IF('ATP Fills'!I1248="3M","",VLOOKUP(RIGHT('ATP Fills'!I1248,2),Helper1!$O$36:$P$48,2,0)))</f>
        <v/>
      </c>
      <c r="K1248" t="str">
        <f>IF(J1248="","",LEFT('ATP Fills'!I1248,4))</f>
        <v/>
      </c>
      <c r="L1248" t="str">
        <f>IF(A1248="","",IF('ATP Fills'!G1248="LME",'ATP Fills'!I1248,""))</f>
        <v/>
      </c>
      <c r="M1248" t="str">
        <f t="shared" si="19"/>
        <v/>
      </c>
    </row>
    <row r="1249" spans="1:13">
      <c r="A1249" t="str">
        <f>IF('ATP Fills'!A1249="","",IF('ATP Fills'!Q1249="PHILLIPSG",'ATP Fills'!F1249,""))</f>
        <v/>
      </c>
      <c r="B1249" t="str">
        <f>IF(A1249="","",'ATP Fills'!L1249)</f>
        <v/>
      </c>
      <c r="C1249" t="str">
        <f>IF(A1249="","",'ATP Fills'!M1249)</f>
        <v/>
      </c>
      <c r="D1249" t="str">
        <f>IF(A1249="","",'ATP Fills'!B1249)</f>
        <v/>
      </c>
      <c r="E1249" s="3" t="str">
        <f>IF(A1249="","",IF(DATE(LEFT(D1249,4),MID(D1249,5,2),RIGHT(D1249,2))=Helper1!$P$1,Helper1!$P$1,""))</f>
        <v/>
      </c>
      <c r="F1249" s="3" t="str">
        <f>IF(A1249="","",'ATP Fills'!G1249)</f>
        <v/>
      </c>
      <c r="G1249" t="str">
        <f>IF(A1249="","",'ATP Fills'!H1249)</f>
        <v/>
      </c>
      <c r="H1249" t="str">
        <f>IF(A1249="","",VLOOKUP(G1249,表3_3[],2,0))</f>
        <v/>
      </c>
      <c r="I1249" t="str">
        <f>IF(A1249="","",VLOOKUP(G1249,表3_3[],3,0))</f>
        <v/>
      </c>
      <c r="J1249" t="str">
        <f>IF(A1249="","",IF('ATP Fills'!I1249="3M","",VLOOKUP(RIGHT('ATP Fills'!I1249,2),Helper1!$O$36:$P$48,2,0)))</f>
        <v/>
      </c>
      <c r="K1249" t="str">
        <f>IF(J1249="","",LEFT('ATP Fills'!I1249,4))</f>
        <v/>
      </c>
      <c r="L1249" t="str">
        <f>IF(A1249="","",IF('ATP Fills'!G1249="LME",'ATP Fills'!I1249,""))</f>
        <v/>
      </c>
      <c r="M1249" t="str">
        <f t="shared" si="19"/>
        <v/>
      </c>
    </row>
    <row r="1250" spans="1:13">
      <c r="A1250" t="str">
        <f>IF('ATP Fills'!A1250="","",IF('ATP Fills'!Q1250="PHILLIPSG",'ATP Fills'!F1250,""))</f>
        <v/>
      </c>
      <c r="B1250" t="str">
        <f>IF(A1250="","",'ATP Fills'!L1250)</f>
        <v/>
      </c>
      <c r="C1250" t="str">
        <f>IF(A1250="","",'ATP Fills'!M1250)</f>
        <v/>
      </c>
      <c r="D1250" t="str">
        <f>IF(A1250="","",'ATP Fills'!B1250)</f>
        <v/>
      </c>
      <c r="E1250" s="3" t="str">
        <f>IF(A1250="","",IF(DATE(LEFT(D1250,4),MID(D1250,5,2),RIGHT(D1250,2))=Helper1!$P$1,Helper1!$P$1,""))</f>
        <v/>
      </c>
      <c r="F1250" s="3" t="str">
        <f>IF(A1250="","",'ATP Fills'!G1250)</f>
        <v/>
      </c>
      <c r="G1250" t="str">
        <f>IF(A1250="","",'ATP Fills'!H1250)</f>
        <v/>
      </c>
      <c r="H1250" t="str">
        <f>IF(A1250="","",VLOOKUP(G1250,表3_3[],2,0))</f>
        <v/>
      </c>
      <c r="I1250" t="str">
        <f>IF(A1250="","",VLOOKUP(G1250,表3_3[],3,0))</f>
        <v/>
      </c>
      <c r="J1250" t="str">
        <f>IF(A1250="","",IF('ATP Fills'!I1250="3M","",VLOOKUP(RIGHT('ATP Fills'!I1250,2),Helper1!$O$36:$P$48,2,0)))</f>
        <v/>
      </c>
      <c r="K1250" t="str">
        <f>IF(J1250="","",LEFT('ATP Fills'!I1250,4))</f>
        <v/>
      </c>
      <c r="L1250" t="str">
        <f>IF(A1250="","",IF('ATP Fills'!G1250="LME",'ATP Fills'!I1250,""))</f>
        <v/>
      </c>
      <c r="M1250" t="str">
        <f t="shared" si="19"/>
        <v/>
      </c>
    </row>
    <row r="1251" spans="1:13">
      <c r="A1251" t="str">
        <f>IF('ATP Fills'!A1251="","",IF('ATP Fills'!Q1251="PHILLIPSG",'ATP Fills'!F1251,""))</f>
        <v/>
      </c>
      <c r="B1251" t="str">
        <f>IF(A1251="","",'ATP Fills'!L1251)</f>
        <v/>
      </c>
      <c r="C1251" t="str">
        <f>IF(A1251="","",'ATP Fills'!M1251)</f>
        <v/>
      </c>
      <c r="D1251" t="str">
        <f>IF(A1251="","",'ATP Fills'!B1251)</f>
        <v/>
      </c>
      <c r="E1251" s="3" t="str">
        <f>IF(A1251="","",IF(DATE(LEFT(D1251,4),MID(D1251,5,2),RIGHT(D1251,2))=Helper1!$P$1,Helper1!$P$1,""))</f>
        <v/>
      </c>
      <c r="F1251" s="3" t="str">
        <f>IF(A1251="","",'ATP Fills'!G1251)</f>
        <v/>
      </c>
      <c r="G1251" t="str">
        <f>IF(A1251="","",'ATP Fills'!H1251)</f>
        <v/>
      </c>
      <c r="H1251" t="str">
        <f>IF(A1251="","",VLOOKUP(G1251,表3_3[],2,0))</f>
        <v/>
      </c>
      <c r="I1251" t="str">
        <f>IF(A1251="","",VLOOKUP(G1251,表3_3[],3,0))</f>
        <v/>
      </c>
      <c r="J1251" t="str">
        <f>IF(A1251="","",IF('ATP Fills'!I1251="3M","",VLOOKUP(RIGHT('ATP Fills'!I1251,2),Helper1!$O$36:$P$48,2,0)))</f>
        <v/>
      </c>
      <c r="K1251" t="str">
        <f>IF(J1251="","",LEFT('ATP Fills'!I1251,4))</f>
        <v/>
      </c>
      <c r="L1251" t="str">
        <f>IF(A1251="","",IF('ATP Fills'!G1251="LME",'ATP Fills'!I1251,""))</f>
        <v/>
      </c>
      <c r="M1251" t="str">
        <f t="shared" si="19"/>
        <v/>
      </c>
    </row>
    <row r="1252" spans="1:13">
      <c r="A1252" t="str">
        <f>IF('ATP Fills'!A1252="","",IF('ATP Fills'!Q1252="PHILLIPSG",'ATP Fills'!F1252,""))</f>
        <v/>
      </c>
      <c r="B1252" t="str">
        <f>IF(A1252="","",'ATP Fills'!L1252)</f>
        <v/>
      </c>
      <c r="C1252" t="str">
        <f>IF(A1252="","",'ATP Fills'!M1252)</f>
        <v/>
      </c>
      <c r="D1252" t="str">
        <f>IF(A1252="","",'ATP Fills'!B1252)</f>
        <v/>
      </c>
      <c r="E1252" s="3" t="str">
        <f>IF(A1252="","",IF(DATE(LEFT(D1252,4),MID(D1252,5,2),RIGHT(D1252,2))=Helper1!$P$1,Helper1!$P$1,""))</f>
        <v/>
      </c>
      <c r="F1252" s="3" t="str">
        <f>IF(A1252="","",'ATP Fills'!G1252)</f>
        <v/>
      </c>
      <c r="G1252" t="str">
        <f>IF(A1252="","",'ATP Fills'!H1252)</f>
        <v/>
      </c>
      <c r="H1252" t="str">
        <f>IF(A1252="","",VLOOKUP(G1252,表3_3[],2,0))</f>
        <v/>
      </c>
      <c r="I1252" t="str">
        <f>IF(A1252="","",VLOOKUP(G1252,表3_3[],3,0))</f>
        <v/>
      </c>
      <c r="J1252" t="str">
        <f>IF(A1252="","",IF('ATP Fills'!I1252="3M","",VLOOKUP(RIGHT('ATP Fills'!I1252,2),Helper1!$O$36:$P$48,2,0)))</f>
        <v/>
      </c>
      <c r="K1252" t="str">
        <f>IF(J1252="","",LEFT('ATP Fills'!I1252,4))</f>
        <v/>
      </c>
      <c r="L1252" t="str">
        <f>IF(A1252="","",IF('ATP Fills'!G1252="LME",'ATP Fills'!I1252,""))</f>
        <v/>
      </c>
      <c r="M1252" t="str">
        <f t="shared" si="19"/>
        <v/>
      </c>
    </row>
    <row r="1253" spans="1:13">
      <c r="A1253" t="str">
        <f>IF('ATP Fills'!A1253="","",IF('ATP Fills'!Q1253="PHILLIPSG",'ATP Fills'!F1253,""))</f>
        <v/>
      </c>
      <c r="B1253" t="str">
        <f>IF(A1253="","",'ATP Fills'!L1253)</f>
        <v/>
      </c>
      <c r="C1253" t="str">
        <f>IF(A1253="","",'ATP Fills'!M1253)</f>
        <v/>
      </c>
      <c r="D1253" t="str">
        <f>IF(A1253="","",'ATP Fills'!B1253)</f>
        <v/>
      </c>
      <c r="E1253" s="3" t="str">
        <f>IF(A1253="","",IF(DATE(LEFT(D1253,4),MID(D1253,5,2),RIGHT(D1253,2))=Helper1!$P$1,Helper1!$P$1,""))</f>
        <v/>
      </c>
      <c r="F1253" s="3" t="str">
        <f>IF(A1253="","",'ATP Fills'!G1253)</f>
        <v/>
      </c>
      <c r="G1253" t="str">
        <f>IF(A1253="","",'ATP Fills'!H1253)</f>
        <v/>
      </c>
      <c r="H1253" t="str">
        <f>IF(A1253="","",VLOOKUP(G1253,表3_3[],2,0))</f>
        <v/>
      </c>
      <c r="I1253" t="str">
        <f>IF(A1253="","",VLOOKUP(G1253,表3_3[],3,0))</f>
        <v/>
      </c>
      <c r="J1253" t="str">
        <f>IF(A1253="","",IF('ATP Fills'!I1253="3M","",VLOOKUP(RIGHT('ATP Fills'!I1253,2),Helper1!$O$36:$P$48,2,0)))</f>
        <v/>
      </c>
      <c r="K1253" t="str">
        <f>IF(J1253="","",LEFT('ATP Fills'!I1253,4))</f>
        <v/>
      </c>
      <c r="L1253" t="str">
        <f>IF(A1253="","",IF('ATP Fills'!G1253="LME",'ATP Fills'!I1253,""))</f>
        <v/>
      </c>
      <c r="M1253" t="str">
        <f t="shared" si="19"/>
        <v/>
      </c>
    </row>
    <row r="1254" spans="1:13">
      <c r="A1254" t="str">
        <f>IF('ATP Fills'!A1254="","",IF('ATP Fills'!Q1254="PHILLIPSG",'ATP Fills'!F1254,""))</f>
        <v/>
      </c>
      <c r="B1254" t="str">
        <f>IF(A1254="","",'ATP Fills'!L1254)</f>
        <v/>
      </c>
      <c r="C1254" t="str">
        <f>IF(A1254="","",'ATP Fills'!M1254)</f>
        <v/>
      </c>
      <c r="D1254" t="str">
        <f>IF(A1254="","",'ATP Fills'!B1254)</f>
        <v/>
      </c>
      <c r="E1254" s="3" t="str">
        <f>IF(A1254="","",IF(DATE(LEFT(D1254,4),MID(D1254,5,2),RIGHT(D1254,2))=Helper1!$P$1,Helper1!$P$1,""))</f>
        <v/>
      </c>
      <c r="F1254" s="3" t="str">
        <f>IF(A1254="","",'ATP Fills'!G1254)</f>
        <v/>
      </c>
      <c r="G1254" t="str">
        <f>IF(A1254="","",'ATP Fills'!H1254)</f>
        <v/>
      </c>
      <c r="H1254" t="str">
        <f>IF(A1254="","",VLOOKUP(G1254,表3_3[],2,0))</f>
        <v/>
      </c>
      <c r="I1254" t="str">
        <f>IF(A1254="","",VLOOKUP(G1254,表3_3[],3,0))</f>
        <v/>
      </c>
      <c r="J1254" t="str">
        <f>IF(A1254="","",IF('ATP Fills'!I1254="3M","",VLOOKUP(RIGHT('ATP Fills'!I1254,2),Helper1!$O$36:$P$48,2,0)))</f>
        <v/>
      </c>
      <c r="K1254" t="str">
        <f>IF(J1254="","",LEFT('ATP Fills'!I1254,4))</f>
        <v/>
      </c>
      <c r="L1254" t="str">
        <f>IF(A1254="","",IF('ATP Fills'!G1254="LME",'ATP Fills'!I1254,""))</f>
        <v/>
      </c>
      <c r="M1254" t="str">
        <f t="shared" si="19"/>
        <v/>
      </c>
    </row>
    <row r="1255" spans="1:13">
      <c r="A1255" t="str">
        <f>IF('ATP Fills'!A1255="","",IF('ATP Fills'!Q1255="PHILLIPSG",'ATP Fills'!F1255,""))</f>
        <v/>
      </c>
      <c r="B1255" t="str">
        <f>IF(A1255="","",'ATP Fills'!L1255)</f>
        <v/>
      </c>
      <c r="C1255" t="str">
        <f>IF(A1255="","",'ATP Fills'!M1255)</f>
        <v/>
      </c>
      <c r="D1255" t="str">
        <f>IF(A1255="","",'ATP Fills'!B1255)</f>
        <v/>
      </c>
      <c r="E1255" s="3" t="str">
        <f>IF(A1255="","",IF(DATE(LEFT(D1255,4),MID(D1255,5,2),RIGHT(D1255,2))=Helper1!$P$1,Helper1!$P$1,""))</f>
        <v/>
      </c>
      <c r="F1255" s="3" t="str">
        <f>IF(A1255="","",'ATP Fills'!G1255)</f>
        <v/>
      </c>
      <c r="G1255" t="str">
        <f>IF(A1255="","",'ATP Fills'!H1255)</f>
        <v/>
      </c>
      <c r="H1255" t="str">
        <f>IF(A1255="","",VLOOKUP(G1255,表3_3[],2,0))</f>
        <v/>
      </c>
      <c r="I1255" t="str">
        <f>IF(A1255="","",VLOOKUP(G1255,表3_3[],3,0))</f>
        <v/>
      </c>
      <c r="J1255" t="str">
        <f>IF(A1255="","",IF('ATP Fills'!I1255="3M","",VLOOKUP(RIGHT('ATP Fills'!I1255,2),Helper1!$O$36:$P$48,2,0)))</f>
        <v/>
      </c>
      <c r="K1255" t="str">
        <f>IF(J1255="","",LEFT('ATP Fills'!I1255,4))</f>
        <v/>
      </c>
      <c r="L1255" t="str">
        <f>IF(A1255="","",IF('ATP Fills'!G1255="LME",'ATP Fills'!I1255,""))</f>
        <v/>
      </c>
      <c r="M1255" t="str">
        <f t="shared" si="19"/>
        <v/>
      </c>
    </row>
    <row r="1256" spans="1:13">
      <c r="A1256" t="str">
        <f>IF('ATP Fills'!A1256="","",IF('ATP Fills'!Q1256="PHILLIPSG",'ATP Fills'!F1256,""))</f>
        <v/>
      </c>
      <c r="B1256" t="str">
        <f>IF(A1256="","",'ATP Fills'!L1256)</f>
        <v/>
      </c>
      <c r="C1256" t="str">
        <f>IF(A1256="","",'ATP Fills'!M1256)</f>
        <v/>
      </c>
      <c r="D1256" t="str">
        <f>IF(A1256="","",'ATP Fills'!B1256)</f>
        <v/>
      </c>
      <c r="E1256" s="3" t="str">
        <f>IF(A1256="","",IF(DATE(LEFT(D1256,4),MID(D1256,5,2),RIGHT(D1256,2))=Helper1!$P$1,Helper1!$P$1,""))</f>
        <v/>
      </c>
      <c r="F1256" s="3" t="str">
        <f>IF(A1256="","",'ATP Fills'!G1256)</f>
        <v/>
      </c>
      <c r="G1256" t="str">
        <f>IF(A1256="","",'ATP Fills'!H1256)</f>
        <v/>
      </c>
      <c r="H1256" t="str">
        <f>IF(A1256="","",VLOOKUP(G1256,表3_3[],2,0))</f>
        <v/>
      </c>
      <c r="I1256" t="str">
        <f>IF(A1256="","",VLOOKUP(G1256,表3_3[],3,0))</f>
        <v/>
      </c>
      <c r="J1256" t="str">
        <f>IF(A1256="","",IF('ATP Fills'!I1256="3M","",VLOOKUP(RIGHT('ATP Fills'!I1256,2),Helper1!$O$36:$P$48,2,0)))</f>
        <v/>
      </c>
      <c r="K1256" t="str">
        <f>IF(J1256="","",LEFT('ATP Fills'!I1256,4))</f>
        <v/>
      </c>
      <c r="L1256" t="str">
        <f>IF(A1256="","",IF('ATP Fills'!G1256="LME",'ATP Fills'!I1256,""))</f>
        <v/>
      </c>
      <c r="M1256" t="str">
        <f t="shared" si="19"/>
        <v/>
      </c>
    </row>
    <row r="1257" spans="1:13">
      <c r="A1257" t="str">
        <f>IF('ATP Fills'!A1257="","",IF('ATP Fills'!Q1257="PHILLIPSG",'ATP Fills'!F1257,""))</f>
        <v/>
      </c>
      <c r="B1257" t="str">
        <f>IF(A1257="","",'ATP Fills'!L1257)</f>
        <v/>
      </c>
      <c r="C1257" t="str">
        <f>IF(A1257="","",'ATP Fills'!M1257)</f>
        <v/>
      </c>
      <c r="D1257" t="str">
        <f>IF(A1257="","",'ATP Fills'!B1257)</f>
        <v/>
      </c>
      <c r="E1257" s="3" t="str">
        <f>IF(A1257="","",IF(DATE(LEFT(D1257,4),MID(D1257,5,2),RIGHT(D1257,2))=Helper1!$P$1,Helper1!$P$1,""))</f>
        <v/>
      </c>
      <c r="F1257" s="3" t="str">
        <f>IF(A1257="","",'ATP Fills'!G1257)</f>
        <v/>
      </c>
      <c r="G1257" t="str">
        <f>IF(A1257="","",'ATP Fills'!H1257)</f>
        <v/>
      </c>
      <c r="H1257" t="str">
        <f>IF(A1257="","",VLOOKUP(G1257,表3_3[],2,0))</f>
        <v/>
      </c>
      <c r="I1257" t="str">
        <f>IF(A1257="","",VLOOKUP(G1257,表3_3[],3,0))</f>
        <v/>
      </c>
      <c r="J1257" t="str">
        <f>IF(A1257="","",IF('ATP Fills'!I1257="3M","",VLOOKUP(RIGHT('ATP Fills'!I1257,2),Helper1!$O$36:$P$48,2,0)))</f>
        <v/>
      </c>
      <c r="K1257" t="str">
        <f>IF(J1257="","",LEFT('ATP Fills'!I1257,4))</f>
        <v/>
      </c>
      <c r="L1257" t="str">
        <f>IF(A1257="","",IF('ATP Fills'!G1257="LME",'ATP Fills'!I1257,""))</f>
        <v/>
      </c>
      <c r="M1257" t="str">
        <f t="shared" si="19"/>
        <v/>
      </c>
    </row>
    <row r="1258" spans="1:13">
      <c r="A1258" t="str">
        <f>IF('ATP Fills'!A1258="","",IF('ATP Fills'!Q1258="PHILLIPSG",'ATP Fills'!F1258,""))</f>
        <v/>
      </c>
      <c r="B1258" t="str">
        <f>IF(A1258="","",'ATP Fills'!L1258)</f>
        <v/>
      </c>
      <c r="C1258" t="str">
        <f>IF(A1258="","",'ATP Fills'!M1258)</f>
        <v/>
      </c>
      <c r="D1258" t="str">
        <f>IF(A1258="","",'ATP Fills'!B1258)</f>
        <v/>
      </c>
      <c r="E1258" s="3" t="str">
        <f>IF(A1258="","",IF(DATE(LEFT(D1258,4),MID(D1258,5,2),RIGHT(D1258,2))=Helper1!$P$1,Helper1!$P$1,""))</f>
        <v/>
      </c>
      <c r="F1258" s="3" t="str">
        <f>IF(A1258="","",'ATP Fills'!G1258)</f>
        <v/>
      </c>
      <c r="G1258" t="str">
        <f>IF(A1258="","",'ATP Fills'!H1258)</f>
        <v/>
      </c>
      <c r="H1258" t="str">
        <f>IF(A1258="","",VLOOKUP(G1258,表3_3[],2,0))</f>
        <v/>
      </c>
      <c r="I1258" t="str">
        <f>IF(A1258="","",VLOOKUP(G1258,表3_3[],3,0))</f>
        <v/>
      </c>
      <c r="J1258" t="str">
        <f>IF(A1258="","",IF('ATP Fills'!I1258="3M","",VLOOKUP(RIGHT('ATP Fills'!I1258,2),Helper1!$O$36:$P$48,2,0)))</f>
        <v/>
      </c>
      <c r="K1258" t="str">
        <f>IF(J1258="","",LEFT('ATP Fills'!I1258,4))</f>
        <v/>
      </c>
      <c r="L1258" t="str">
        <f>IF(A1258="","",IF('ATP Fills'!G1258="LME",'ATP Fills'!I1258,""))</f>
        <v/>
      </c>
      <c r="M1258" t="str">
        <f t="shared" si="19"/>
        <v/>
      </c>
    </row>
    <row r="1259" spans="1:13">
      <c r="A1259" t="str">
        <f>IF('ATP Fills'!A1259="","",IF('ATP Fills'!Q1259="PHILLIPSG",'ATP Fills'!F1259,""))</f>
        <v/>
      </c>
      <c r="B1259" t="str">
        <f>IF(A1259="","",'ATP Fills'!L1259)</f>
        <v/>
      </c>
      <c r="C1259" t="str">
        <f>IF(A1259="","",'ATP Fills'!M1259)</f>
        <v/>
      </c>
      <c r="D1259" t="str">
        <f>IF(A1259="","",'ATP Fills'!B1259)</f>
        <v/>
      </c>
      <c r="E1259" s="3" t="str">
        <f>IF(A1259="","",IF(DATE(LEFT(D1259,4),MID(D1259,5,2),RIGHT(D1259,2))=Helper1!$P$1,Helper1!$P$1,""))</f>
        <v/>
      </c>
      <c r="F1259" s="3" t="str">
        <f>IF(A1259="","",'ATP Fills'!G1259)</f>
        <v/>
      </c>
      <c r="G1259" t="str">
        <f>IF(A1259="","",'ATP Fills'!H1259)</f>
        <v/>
      </c>
      <c r="H1259" t="str">
        <f>IF(A1259="","",VLOOKUP(G1259,表3_3[],2,0))</f>
        <v/>
      </c>
      <c r="I1259" t="str">
        <f>IF(A1259="","",VLOOKUP(G1259,表3_3[],3,0))</f>
        <v/>
      </c>
      <c r="J1259" t="str">
        <f>IF(A1259="","",IF('ATP Fills'!I1259="3M","",VLOOKUP(RIGHT('ATP Fills'!I1259,2),Helper1!$O$36:$P$48,2,0)))</f>
        <v/>
      </c>
      <c r="K1259" t="str">
        <f>IF(J1259="","",LEFT('ATP Fills'!I1259,4))</f>
        <v/>
      </c>
      <c r="L1259" t="str">
        <f>IF(A1259="","",IF('ATP Fills'!G1259="LME",'ATP Fills'!I1259,""))</f>
        <v/>
      </c>
      <c r="M1259" t="str">
        <f t="shared" si="19"/>
        <v/>
      </c>
    </row>
    <row r="1260" spans="1:13">
      <c r="A1260" t="str">
        <f>IF('ATP Fills'!A1260="","",IF('ATP Fills'!Q1260="PHILLIPSG",'ATP Fills'!F1260,""))</f>
        <v/>
      </c>
      <c r="B1260" t="str">
        <f>IF(A1260="","",'ATP Fills'!L1260)</f>
        <v/>
      </c>
      <c r="C1260" t="str">
        <f>IF(A1260="","",'ATP Fills'!M1260)</f>
        <v/>
      </c>
      <c r="D1260" t="str">
        <f>IF(A1260="","",'ATP Fills'!B1260)</f>
        <v/>
      </c>
      <c r="E1260" s="3" t="str">
        <f>IF(A1260="","",IF(DATE(LEFT(D1260,4),MID(D1260,5,2),RIGHT(D1260,2))=Helper1!$P$1,Helper1!$P$1,""))</f>
        <v/>
      </c>
      <c r="F1260" s="3" t="str">
        <f>IF(A1260="","",'ATP Fills'!G1260)</f>
        <v/>
      </c>
      <c r="G1260" t="str">
        <f>IF(A1260="","",'ATP Fills'!H1260)</f>
        <v/>
      </c>
      <c r="H1260" t="str">
        <f>IF(A1260="","",VLOOKUP(G1260,表3_3[],2,0))</f>
        <v/>
      </c>
      <c r="I1260" t="str">
        <f>IF(A1260="","",VLOOKUP(G1260,表3_3[],3,0))</f>
        <v/>
      </c>
      <c r="J1260" t="str">
        <f>IF(A1260="","",IF('ATP Fills'!I1260="3M","",VLOOKUP(RIGHT('ATP Fills'!I1260,2),Helper1!$O$36:$P$48,2,0)))</f>
        <v/>
      </c>
      <c r="K1260" t="str">
        <f>IF(J1260="","",LEFT('ATP Fills'!I1260,4))</f>
        <v/>
      </c>
      <c r="L1260" t="str">
        <f>IF(A1260="","",IF('ATP Fills'!G1260="LME",'ATP Fills'!I1260,""))</f>
        <v/>
      </c>
      <c r="M1260" t="str">
        <f t="shared" si="19"/>
        <v/>
      </c>
    </row>
    <row r="1261" spans="1:13">
      <c r="A1261" t="str">
        <f>IF('ATP Fills'!A1261="","",IF('ATP Fills'!Q1261="PHILLIPSG",'ATP Fills'!F1261,""))</f>
        <v/>
      </c>
      <c r="B1261" t="str">
        <f>IF(A1261="","",'ATP Fills'!L1261)</f>
        <v/>
      </c>
      <c r="C1261" t="str">
        <f>IF(A1261="","",'ATP Fills'!M1261)</f>
        <v/>
      </c>
      <c r="D1261" t="str">
        <f>IF(A1261="","",'ATP Fills'!B1261)</f>
        <v/>
      </c>
      <c r="E1261" s="3" t="str">
        <f>IF(A1261="","",IF(DATE(LEFT(D1261,4),MID(D1261,5,2),RIGHT(D1261,2))=Helper1!$P$1,Helper1!$P$1,""))</f>
        <v/>
      </c>
      <c r="F1261" s="3" t="str">
        <f>IF(A1261="","",'ATP Fills'!G1261)</f>
        <v/>
      </c>
      <c r="G1261" t="str">
        <f>IF(A1261="","",'ATP Fills'!H1261)</f>
        <v/>
      </c>
      <c r="H1261" t="str">
        <f>IF(A1261="","",VLOOKUP(G1261,表3_3[],2,0))</f>
        <v/>
      </c>
      <c r="I1261" t="str">
        <f>IF(A1261="","",VLOOKUP(G1261,表3_3[],3,0))</f>
        <v/>
      </c>
      <c r="J1261" t="str">
        <f>IF(A1261="","",IF('ATP Fills'!I1261="3M","",VLOOKUP(RIGHT('ATP Fills'!I1261,2),Helper1!$O$36:$P$48,2,0)))</f>
        <v/>
      </c>
      <c r="K1261" t="str">
        <f>IF(J1261="","",LEFT('ATP Fills'!I1261,4))</f>
        <v/>
      </c>
      <c r="L1261" t="str">
        <f>IF(A1261="","",IF('ATP Fills'!G1261="LME",'ATP Fills'!I1261,""))</f>
        <v/>
      </c>
      <c r="M1261" t="str">
        <f t="shared" si="19"/>
        <v/>
      </c>
    </row>
    <row r="1262" spans="1:13">
      <c r="A1262" t="str">
        <f>IF('ATP Fills'!A1262="","",IF('ATP Fills'!Q1262="PHILLIPSG",'ATP Fills'!F1262,""))</f>
        <v/>
      </c>
      <c r="B1262" t="str">
        <f>IF(A1262="","",'ATP Fills'!L1262)</f>
        <v/>
      </c>
      <c r="C1262" t="str">
        <f>IF(A1262="","",'ATP Fills'!M1262)</f>
        <v/>
      </c>
      <c r="D1262" t="str">
        <f>IF(A1262="","",'ATP Fills'!B1262)</f>
        <v/>
      </c>
      <c r="E1262" s="3" t="str">
        <f>IF(A1262="","",IF(DATE(LEFT(D1262,4),MID(D1262,5,2),RIGHT(D1262,2))=Helper1!$P$1,Helper1!$P$1,""))</f>
        <v/>
      </c>
      <c r="F1262" s="3" t="str">
        <f>IF(A1262="","",'ATP Fills'!G1262)</f>
        <v/>
      </c>
      <c r="G1262" t="str">
        <f>IF(A1262="","",'ATP Fills'!H1262)</f>
        <v/>
      </c>
      <c r="H1262" t="str">
        <f>IF(A1262="","",VLOOKUP(G1262,表3_3[],2,0))</f>
        <v/>
      </c>
      <c r="I1262" t="str">
        <f>IF(A1262="","",VLOOKUP(G1262,表3_3[],3,0))</f>
        <v/>
      </c>
      <c r="J1262" t="str">
        <f>IF(A1262="","",IF('ATP Fills'!I1262="3M","",VLOOKUP(RIGHT('ATP Fills'!I1262,2),Helper1!$O$36:$P$48,2,0)))</f>
        <v/>
      </c>
      <c r="K1262" t="str">
        <f>IF(J1262="","",LEFT('ATP Fills'!I1262,4))</f>
        <v/>
      </c>
      <c r="L1262" t="str">
        <f>IF(A1262="","",IF('ATP Fills'!G1262="LME",'ATP Fills'!I1262,""))</f>
        <v/>
      </c>
      <c r="M1262" t="str">
        <f t="shared" si="19"/>
        <v/>
      </c>
    </row>
    <row r="1263" spans="1:13">
      <c r="A1263" t="str">
        <f>IF('ATP Fills'!A1263="","",IF('ATP Fills'!Q1263="PHILLIPSG",'ATP Fills'!F1263,""))</f>
        <v/>
      </c>
      <c r="B1263" t="str">
        <f>IF(A1263="","",'ATP Fills'!L1263)</f>
        <v/>
      </c>
      <c r="C1263" t="str">
        <f>IF(A1263="","",'ATP Fills'!M1263)</f>
        <v/>
      </c>
      <c r="D1263" t="str">
        <f>IF(A1263="","",'ATP Fills'!B1263)</f>
        <v/>
      </c>
      <c r="E1263" s="3" t="str">
        <f>IF(A1263="","",IF(DATE(LEFT(D1263,4),MID(D1263,5,2),RIGHT(D1263,2))=Helper1!$P$1,Helper1!$P$1,""))</f>
        <v/>
      </c>
      <c r="F1263" s="3" t="str">
        <f>IF(A1263="","",'ATP Fills'!G1263)</f>
        <v/>
      </c>
      <c r="G1263" t="str">
        <f>IF(A1263="","",'ATP Fills'!H1263)</f>
        <v/>
      </c>
      <c r="H1263" t="str">
        <f>IF(A1263="","",VLOOKUP(G1263,表3_3[],2,0))</f>
        <v/>
      </c>
      <c r="I1263" t="str">
        <f>IF(A1263="","",VLOOKUP(G1263,表3_3[],3,0))</f>
        <v/>
      </c>
      <c r="J1263" t="str">
        <f>IF(A1263="","",IF('ATP Fills'!I1263="3M","",VLOOKUP(RIGHT('ATP Fills'!I1263,2),Helper1!$O$36:$P$48,2,0)))</f>
        <v/>
      </c>
      <c r="K1263" t="str">
        <f>IF(J1263="","",LEFT('ATP Fills'!I1263,4))</f>
        <v/>
      </c>
      <c r="L1263" t="str">
        <f>IF(A1263="","",IF('ATP Fills'!G1263="LME",'ATP Fills'!I1263,""))</f>
        <v/>
      </c>
      <c r="M1263" t="str">
        <f t="shared" si="19"/>
        <v/>
      </c>
    </row>
    <row r="1264" spans="1:13">
      <c r="A1264" t="str">
        <f>IF('ATP Fills'!A1264="","",IF('ATP Fills'!Q1264="PHILLIPSG",'ATP Fills'!F1264,""))</f>
        <v/>
      </c>
      <c r="B1264" t="str">
        <f>IF(A1264="","",'ATP Fills'!L1264)</f>
        <v/>
      </c>
      <c r="C1264" t="str">
        <f>IF(A1264="","",'ATP Fills'!M1264)</f>
        <v/>
      </c>
      <c r="D1264" t="str">
        <f>IF(A1264="","",'ATP Fills'!B1264)</f>
        <v/>
      </c>
      <c r="E1264" s="3" t="str">
        <f>IF(A1264="","",IF(DATE(LEFT(D1264,4),MID(D1264,5,2),RIGHT(D1264,2))=Helper1!$P$1,Helper1!$P$1,""))</f>
        <v/>
      </c>
      <c r="F1264" s="3" t="str">
        <f>IF(A1264="","",'ATP Fills'!G1264)</f>
        <v/>
      </c>
      <c r="G1264" t="str">
        <f>IF(A1264="","",'ATP Fills'!H1264)</f>
        <v/>
      </c>
      <c r="H1264" t="str">
        <f>IF(A1264="","",VLOOKUP(G1264,表3_3[],2,0))</f>
        <v/>
      </c>
      <c r="I1264" t="str">
        <f>IF(A1264="","",VLOOKUP(G1264,表3_3[],3,0))</f>
        <v/>
      </c>
      <c r="J1264" t="str">
        <f>IF(A1264="","",IF('ATP Fills'!I1264="3M","",VLOOKUP(RIGHT('ATP Fills'!I1264,2),Helper1!$O$36:$P$48,2,0)))</f>
        <v/>
      </c>
      <c r="K1264" t="str">
        <f>IF(J1264="","",LEFT('ATP Fills'!I1264,4))</f>
        <v/>
      </c>
      <c r="L1264" t="str">
        <f>IF(A1264="","",IF('ATP Fills'!G1264="LME",'ATP Fills'!I1264,""))</f>
        <v/>
      </c>
      <c r="M1264" t="str">
        <f t="shared" si="19"/>
        <v/>
      </c>
    </row>
    <row r="1265" spans="1:13">
      <c r="A1265" t="str">
        <f>IF('ATP Fills'!A1265="","",IF('ATP Fills'!Q1265="PHILLIPSG",'ATP Fills'!F1265,""))</f>
        <v/>
      </c>
      <c r="B1265" t="str">
        <f>IF(A1265="","",'ATP Fills'!L1265)</f>
        <v/>
      </c>
      <c r="C1265" t="str">
        <f>IF(A1265="","",'ATP Fills'!M1265)</f>
        <v/>
      </c>
      <c r="D1265" t="str">
        <f>IF(A1265="","",'ATP Fills'!B1265)</f>
        <v/>
      </c>
      <c r="E1265" s="3" t="str">
        <f>IF(A1265="","",IF(DATE(LEFT(D1265,4),MID(D1265,5,2),RIGHT(D1265,2))=Helper1!$P$1,Helper1!$P$1,""))</f>
        <v/>
      </c>
      <c r="F1265" s="3" t="str">
        <f>IF(A1265="","",'ATP Fills'!G1265)</f>
        <v/>
      </c>
      <c r="G1265" t="str">
        <f>IF(A1265="","",'ATP Fills'!H1265)</f>
        <v/>
      </c>
      <c r="H1265" t="str">
        <f>IF(A1265="","",VLOOKUP(G1265,表3_3[],2,0))</f>
        <v/>
      </c>
      <c r="I1265" t="str">
        <f>IF(A1265="","",VLOOKUP(G1265,表3_3[],3,0))</f>
        <v/>
      </c>
      <c r="J1265" t="str">
        <f>IF(A1265="","",IF('ATP Fills'!I1265="3M","",VLOOKUP(RIGHT('ATP Fills'!I1265,2),Helper1!$O$36:$P$48,2,0)))</f>
        <v/>
      </c>
      <c r="K1265" t="str">
        <f>IF(J1265="","",LEFT('ATP Fills'!I1265,4))</f>
        <v/>
      </c>
      <c r="L1265" t="str">
        <f>IF(A1265="","",IF('ATP Fills'!G1265="LME",'ATP Fills'!I1265,""))</f>
        <v/>
      </c>
      <c r="M1265" t="str">
        <f t="shared" si="19"/>
        <v/>
      </c>
    </row>
    <row r="1266" spans="1:13">
      <c r="A1266" t="str">
        <f>IF('ATP Fills'!A1266="","",IF('ATP Fills'!Q1266="PHILLIPSG",'ATP Fills'!F1266,""))</f>
        <v/>
      </c>
      <c r="B1266" t="str">
        <f>IF(A1266="","",'ATP Fills'!L1266)</f>
        <v/>
      </c>
      <c r="C1266" t="str">
        <f>IF(A1266="","",'ATP Fills'!M1266)</f>
        <v/>
      </c>
      <c r="D1266" t="str">
        <f>IF(A1266="","",'ATP Fills'!B1266)</f>
        <v/>
      </c>
      <c r="E1266" s="3" t="str">
        <f>IF(A1266="","",IF(DATE(LEFT(D1266,4),MID(D1266,5,2),RIGHT(D1266,2))=Helper1!$P$1,Helper1!$P$1,""))</f>
        <v/>
      </c>
      <c r="F1266" s="3" t="str">
        <f>IF(A1266="","",'ATP Fills'!G1266)</f>
        <v/>
      </c>
      <c r="G1266" t="str">
        <f>IF(A1266="","",'ATP Fills'!H1266)</f>
        <v/>
      </c>
      <c r="H1266" t="str">
        <f>IF(A1266="","",VLOOKUP(G1266,表3_3[],2,0))</f>
        <v/>
      </c>
      <c r="I1266" t="str">
        <f>IF(A1266="","",VLOOKUP(G1266,表3_3[],3,0))</f>
        <v/>
      </c>
      <c r="J1266" t="str">
        <f>IF(A1266="","",IF('ATP Fills'!I1266="3M","",VLOOKUP(RIGHT('ATP Fills'!I1266,2),Helper1!$O$36:$P$48,2,0)))</f>
        <v/>
      </c>
      <c r="K1266" t="str">
        <f>IF(J1266="","",LEFT('ATP Fills'!I1266,4))</f>
        <v/>
      </c>
      <c r="L1266" t="str">
        <f>IF(A1266="","",IF('ATP Fills'!G1266="LME",'ATP Fills'!I1266,""))</f>
        <v/>
      </c>
      <c r="M1266" t="str">
        <f t="shared" si="19"/>
        <v/>
      </c>
    </row>
    <row r="1267" spans="1:13">
      <c r="A1267" t="str">
        <f>IF('ATP Fills'!A1267="","",IF('ATP Fills'!Q1267="PHILLIPSG",'ATP Fills'!F1267,""))</f>
        <v/>
      </c>
      <c r="B1267" t="str">
        <f>IF(A1267="","",'ATP Fills'!L1267)</f>
        <v/>
      </c>
      <c r="C1267" t="str">
        <f>IF(A1267="","",'ATP Fills'!M1267)</f>
        <v/>
      </c>
      <c r="D1267" t="str">
        <f>IF(A1267="","",'ATP Fills'!B1267)</f>
        <v/>
      </c>
      <c r="E1267" s="3" t="str">
        <f>IF(A1267="","",IF(DATE(LEFT(D1267,4),MID(D1267,5,2),RIGHT(D1267,2))=Helper1!$P$1,Helper1!$P$1,""))</f>
        <v/>
      </c>
      <c r="F1267" s="3" t="str">
        <f>IF(A1267="","",'ATP Fills'!G1267)</f>
        <v/>
      </c>
      <c r="G1267" t="str">
        <f>IF(A1267="","",'ATP Fills'!H1267)</f>
        <v/>
      </c>
      <c r="H1267" t="str">
        <f>IF(A1267="","",VLOOKUP(G1267,表3_3[],2,0))</f>
        <v/>
      </c>
      <c r="I1267" t="str">
        <f>IF(A1267="","",VLOOKUP(G1267,表3_3[],3,0))</f>
        <v/>
      </c>
      <c r="J1267" t="str">
        <f>IF(A1267="","",IF('ATP Fills'!I1267="3M","",VLOOKUP(RIGHT('ATP Fills'!I1267,2),Helper1!$O$36:$P$48,2,0)))</f>
        <v/>
      </c>
      <c r="K1267" t="str">
        <f>IF(J1267="","",LEFT('ATP Fills'!I1267,4))</f>
        <v/>
      </c>
      <c r="L1267" t="str">
        <f>IF(A1267="","",IF('ATP Fills'!G1267="LME",'ATP Fills'!I1267,""))</f>
        <v/>
      </c>
      <c r="M1267" t="str">
        <f t="shared" si="19"/>
        <v/>
      </c>
    </row>
    <row r="1268" spans="1:13">
      <c r="A1268" t="str">
        <f>IF('ATP Fills'!A1268="","",IF('ATP Fills'!Q1268="PHILLIPSG",'ATP Fills'!F1268,""))</f>
        <v/>
      </c>
      <c r="B1268" t="str">
        <f>IF(A1268="","",'ATP Fills'!L1268)</f>
        <v/>
      </c>
      <c r="C1268" t="str">
        <f>IF(A1268="","",'ATP Fills'!M1268)</f>
        <v/>
      </c>
      <c r="D1268" t="str">
        <f>IF(A1268="","",'ATP Fills'!B1268)</f>
        <v/>
      </c>
      <c r="E1268" s="3" t="str">
        <f>IF(A1268="","",IF(DATE(LEFT(D1268,4),MID(D1268,5,2),RIGHT(D1268,2))=Helper1!$P$1,Helper1!$P$1,""))</f>
        <v/>
      </c>
      <c r="F1268" s="3" t="str">
        <f>IF(A1268="","",'ATP Fills'!G1268)</f>
        <v/>
      </c>
      <c r="G1268" t="str">
        <f>IF(A1268="","",'ATP Fills'!H1268)</f>
        <v/>
      </c>
      <c r="H1268" t="str">
        <f>IF(A1268="","",VLOOKUP(G1268,表3_3[],2,0))</f>
        <v/>
      </c>
      <c r="I1268" t="str">
        <f>IF(A1268="","",VLOOKUP(G1268,表3_3[],3,0))</f>
        <v/>
      </c>
      <c r="J1268" t="str">
        <f>IF(A1268="","",IF('ATP Fills'!I1268="3M","",VLOOKUP(RIGHT('ATP Fills'!I1268,2),Helper1!$O$36:$P$48,2,0)))</f>
        <v/>
      </c>
      <c r="K1268" t="str">
        <f>IF(J1268="","",LEFT('ATP Fills'!I1268,4))</f>
        <v/>
      </c>
      <c r="L1268" t="str">
        <f>IF(A1268="","",IF('ATP Fills'!G1268="LME",'ATP Fills'!I1268,""))</f>
        <v/>
      </c>
      <c r="M1268" t="str">
        <f t="shared" si="19"/>
        <v/>
      </c>
    </row>
    <row r="1269" spans="1:13">
      <c r="A1269" t="str">
        <f>IF('ATP Fills'!A1269="","",IF('ATP Fills'!Q1269="PHILLIPSG",'ATP Fills'!F1269,""))</f>
        <v/>
      </c>
      <c r="B1269" t="str">
        <f>IF(A1269="","",'ATP Fills'!L1269)</f>
        <v/>
      </c>
      <c r="C1269" t="str">
        <f>IF(A1269="","",'ATP Fills'!M1269)</f>
        <v/>
      </c>
      <c r="D1269" t="str">
        <f>IF(A1269="","",'ATP Fills'!B1269)</f>
        <v/>
      </c>
      <c r="E1269" s="3" t="str">
        <f>IF(A1269="","",IF(DATE(LEFT(D1269,4),MID(D1269,5,2),RIGHT(D1269,2))=Helper1!$P$1,Helper1!$P$1,""))</f>
        <v/>
      </c>
      <c r="F1269" s="3" t="str">
        <f>IF(A1269="","",'ATP Fills'!G1269)</f>
        <v/>
      </c>
      <c r="G1269" t="str">
        <f>IF(A1269="","",'ATP Fills'!H1269)</f>
        <v/>
      </c>
      <c r="H1269" t="str">
        <f>IF(A1269="","",VLOOKUP(G1269,表3_3[],2,0))</f>
        <v/>
      </c>
      <c r="I1269" t="str">
        <f>IF(A1269="","",VLOOKUP(G1269,表3_3[],3,0))</f>
        <v/>
      </c>
      <c r="J1269" t="str">
        <f>IF(A1269="","",IF('ATP Fills'!I1269="3M","",VLOOKUP(RIGHT('ATP Fills'!I1269,2),Helper1!$O$36:$P$48,2,0)))</f>
        <v/>
      </c>
      <c r="K1269" t="str">
        <f>IF(J1269="","",LEFT('ATP Fills'!I1269,4))</f>
        <v/>
      </c>
      <c r="L1269" t="str">
        <f>IF(A1269="","",IF('ATP Fills'!G1269="LME",'ATP Fills'!I1269,""))</f>
        <v/>
      </c>
      <c r="M1269" t="str">
        <f t="shared" si="19"/>
        <v/>
      </c>
    </row>
    <row r="1270" spans="1:13">
      <c r="A1270" t="str">
        <f>IF('ATP Fills'!A1270="","",IF('ATP Fills'!Q1270="PHILLIPSG",'ATP Fills'!F1270,""))</f>
        <v/>
      </c>
      <c r="B1270" t="str">
        <f>IF(A1270="","",'ATP Fills'!L1270)</f>
        <v/>
      </c>
      <c r="C1270" t="str">
        <f>IF(A1270="","",'ATP Fills'!M1270)</f>
        <v/>
      </c>
      <c r="D1270" t="str">
        <f>IF(A1270="","",'ATP Fills'!B1270)</f>
        <v/>
      </c>
      <c r="E1270" s="3" t="str">
        <f>IF(A1270="","",IF(DATE(LEFT(D1270,4),MID(D1270,5,2),RIGHT(D1270,2))=Helper1!$P$1,Helper1!$P$1,""))</f>
        <v/>
      </c>
      <c r="F1270" s="3" t="str">
        <f>IF(A1270="","",'ATP Fills'!G1270)</f>
        <v/>
      </c>
      <c r="G1270" t="str">
        <f>IF(A1270="","",'ATP Fills'!H1270)</f>
        <v/>
      </c>
      <c r="H1270" t="str">
        <f>IF(A1270="","",VLOOKUP(G1270,表3_3[],2,0))</f>
        <v/>
      </c>
      <c r="I1270" t="str">
        <f>IF(A1270="","",VLOOKUP(G1270,表3_3[],3,0))</f>
        <v/>
      </c>
      <c r="J1270" t="str">
        <f>IF(A1270="","",IF('ATP Fills'!I1270="3M","",VLOOKUP(RIGHT('ATP Fills'!I1270,2),Helper1!$O$36:$P$48,2,0)))</f>
        <v/>
      </c>
      <c r="K1270" t="str">
        <f>IF(J1270="","",LEFT('ATP Fills'!I1270,4))</f>
        <v/>
      </c>
      <c r="L1270" t="str">
        <f>IF(A1270="","",IF('ATP Fills'!G1270="LME",'ATP Fills'!I1270,""))</f>
        <v/>
      </c>
      <c r="M1270" t="str">
        <f t="shared" si="19"/>
        <v/>
      </c>
    </row>
    <row r="1271" spans="1:13">
      <c r="A1271" t="str">
        <f>IF('ATP Fills'!A1271="","",IF('ATP Fills'!Q1271="PHILLIPSG",'ATP Fills'!F1271,""))</f>
        <v/>
      </c>
      <c r="B1271" t="str">
        <f>IF(A1271="","",'ATP Fills'!L1271)</f>
        <v/>
      </c>
      <c r="C1271" t="str">
        <f>IF(A1271="","",'ATP Fills'!M1271)</f>
        <v/>
      </c>
      <c r="D1271" t="str">
        <f>IF(A1271="","",'ATP Fills'!B1271)</f>
        <v/>
      </c>
      <c r="E1271" s="3" t="str">
        <f>IF(A1271="","",IF(DATE(LEFT(D1271,4),MID(D1271,5,2),RIGHT(D1271,2))=Helper1!$P$1,Helper1!$P$1,""))</f>
        <v/>
      </c>
      <c r="F1271" s="3" t="str">
        <f>IF(A1271="","",'ATP Fills'!G1271)</f>
        <v/>
      </c>
      <c r="G1271" t="str">
        <f>IF(A1271="","",'ATP Fills'!H1271)</f>
        <v/>
      </c>
      <c r="H1271" t="str">
        <f>IF(A1271="","",VLOOKUP(G1271,表3_3[],2,0))</f>
        <v/>
      </c>
      <c r="I1271" t="str">
        <f>IF(A1271="","",VLOOKUP(G1271,表3_3[],3,0))</f>
        <v/>
      </c>
      <c r="J1271" t="str">
        <f>IF(A1271="","",IF('ATP Fills'!I1271="3M","",VLOOKUP(RIGHT('ATP Fills'!I1271,2),Helper1!$O$36:$P$48,2,0)))</f>
        <v/>
      </c>
      <c r="K1271" t="str">
        <f>IF(J1271="","",LEFT('ATP Fills'!I1271,4))</f>
        <v/>
      </c>
      <c r="L1271" t="str">
        <f>IF(A1271="","",IF('ATP Fills'!G1271="LME",'ATP Fills'!I1271,""))</f>
        <v/>
      </c>
      <c r="M1271" t="str">
        <f t="shared" si="19"/>
        <v/>
      </c>
    </row>
    <row r="1272" spans="1:13">
      <c r="A1272" t="str">
        <f>IF('ATP Fills'!A1272="","",IF('ATP Fills'!Q1272="PHILLIPSG",'ATP Fills'!F1272,""))</f>
        <v/>
      </c>
      <c r="B1272" t="str">
        <f>IF(A1272="","",'ATP Fills'!L1272)</f>
        <v/>
      </c>
      <c r="C1272" t="str">
        <f>IF(A1272="","",'ATP Fills'!M1272)</f>
        <v/>
      </c>
      <c r="D1272" t="str">
        <f>IF(A1272="","",'ATP Fills'!B1272)</f>
        <v/>
      </c>
      <c r="E1272" s="3" t="str">
        <f>IF(A1272="","",IF(DATE(LEFT(D1272,4),MID(D1272,5,2),RIGHT(D1272,2))=Helper1!$P$1,Helper1!$P$1,""))</f>
        <v/>
      </c>
      <c r="F1272" s="3" t="str">
        <f>IF(A1272="","",'ATP Fills'!G1272)</f>
        <v/>
      </c>
      <c r="G1272" t="str">
        <f>IF(A1272="","",'ATP Fills'!H1272)</f>
        <v/>
      </c>
      <c r="H1272" t="str">
        <f>IF(A1272="","",VLOOKUP(G1272,表3_3[],2,0))</f>
        <v/>
      </c>
      <c r="I1272" t="str">
        <f>IF(A1272="","",VLOOKUP(G1272,表3_3[],3,0))</f>
        <v/>
      </c>
      <c r="J1272" t="str">
        <f>IF(A1272="","",IF('ATP Fills'!I1272="3M","",VLOOKUP(RIGHT('ATP Fills'!I1272,2),Helper1!$O$36:$P$48,2,0)))</f>
        <v/>
      </c>
      <c r="K1272" t="str">
        <f>IF(J1272="","",LEFT('ATP Fills'!I1272,4))</f>
        <v/>
      </c>
      <c r="L1272" t="str">
        <f>IF(A1272="","",IF('ATP Fills'!G1272="LME",'ATP Fills'!I1272,""))</f>
        <v/>
      </c>
      <c r="M1272" t="str">
        <f t="shared" si="19"/>
        <v/>
      </c>
    </row>
    <row r="1273" spans="1:13">
      <c r="A1273" t="str">
        <f>IF('ATP Fills'!A1273="","",IF('ATP Fills'!Q1273="PHILLIPSG",'ATP Fills'!F1273,""))</f>
        <v/>
      </c>
      <c r="B1273" t="str">
        <f>IF(A1273="","",'ATP Fills'!L1273)</f>
        <v/>
      </c>
      <c r="C1273" t="str">
        <f>IF(A1273="","",'ATP Fills'!M1273)</f>
        <v/>
      </c>
      <c r="D1273" t="str">
        <f>IF(A1273="","",'ATP Fills'!B1273)</f>
        <v/>
      </c>
      <c r="E1273" s="3" t="str">
        <f>IF(A1273="","",IF(DATE(LEFT(D1273,4),MID(D1273,5,2),RIGHT(D1273,2))=Helper1!$P$1,Helper1!$P$1,""))</f>
        <v/>
      </c>
      <c r="F1273" s="3" t="str">
        <f>IF(A1273="","",'ATP Fills'!G1273)</f>
        <v/>
      </c>
      <c r="G1273" t="str">
        <f>IF(A1273="","",'ATP Fills'!H1273)</f>
        <v/>
      </c>
      <c r="H1273" t="str">
        <f>IF(A1273="","",VLOOKUP(G1273,表3_3[],2,0))</f>
        <v/>
      </c>
      <c r="I1273" t="str">
        <f>IF(A1273="","",VLOOKUP(G1273,表3_3[],3,0))</f>
        <v/>
      </c>
      <c r="J1273" t="str">
        <f>IF(A1273="","",IF('ATP Fills'!I1273="3M","",VLOOKUP(RIGHT('ATP Fills'!I1273,2),Helper1!$O$36:$P$48,2,0)))</f>
        <v/>
      </c>
      <c r="K1273" t="str">
        <f>IF(J1273="","",LEFT('ATP Fills'!I1273,4))</f>
        <v/>
      </c>
      <c r="L1273" t="str">
        <f>IF(A1273="","",IF('ATP Fills'!G1273="LME",'ATP Fills'!I1273,""))</f>
        <v/>
      </c>
      <c r="M1273" t="str">
        <f t="shared" si="19"/>
        <v/>
      </c>
    </row>
    <row r="1274" spans="1:13">
      <c r="A1274" t="str">
        <f>IF('ATP Fills'!A1274="","",IF('ATP Fills'!Q1274="PHILLIPSG",'ATP Fills'!F1274,""))</f>
        <v/>
      </c>
      <c r="B1274" t="str">
        <f>IF(A1274="","",'ATP Fills'!L1274)</f>
        <v/>
      </c>
      <c r="C1274" t="str">
        <f>IF(A1274="","",'ATP Fills'!M1274)</f>
        <v/>
      </c>
      <c r="D1274" t="str">
        <f>IF(A1274="","",'ATP Fills'!B1274)</f>
        <v/>
      </c>
      <c r="E1274" s="3" t="str">
        <f>IF(A1274="","",IF(DATE(LEFT(D1274,4),MID(D1274,5,2),RIGHT(D1274,2))=Helper1!$P$1,Helper1!$P$1,""))</f>
        <v/>
      </c>
      <c r="F1274" s="3" t="str">
        <f>IF(A1274="","",'ATP Fills'!G1274)</f>
        <v/>
      </c>
      <c r="G1274" t="str">
        <f>IF(A1274="","",'ATP Fills'!H1274)</f>
        <v/>
      </c>
      <c r="H1274" t="str">
        <f>IF(A1274="","",VLOOKUP(G1274,表3_3[],2,0))</f>
        <v/>
      </c>
      <c r="I1274" t="str">
        <f>IF(A1274="","",VLOOKUP(G1274,表3_3[],3,0))</f>
        <v/>
      </c>
      <c r="J1274" t="str">
        <f>IF(A1274="","",IF('ATP Fills'!I1274="3M","",VLOOKUP(RIGHT('ATP Fills'!I1274,2),Helper1!$O$36:$P$48,2,0)))</f>
        <v/>
      </c>
      <c r="K1274" t="str">
        <f>IF(J1274="","",LEFT('ATP Fills'!I1274,4))</f>
        <v/>
      </c>
      <c r="L1274" t="str">
        <f>IF(A1274="","",IF('ATP Fills'!G1274="LME",'ATP Fills'!I1274,""))</f>
        <v/>
      </c>
      <c r="M1274" t="str">
        <f t="shared" si="19"/>
        <v/>
      </c>
    </row>
    <row r="1275" spans="1:13">
      <c r="A1275" t="str">
        <f>IF('ATP Fills'!A1275="","",IF('ATP Fills'!Q1275="PHILLIPSG",'ATP Fills'!F1275,""))</f>
        <v/>
      </c>
      <c r="B1275" t="str">
        <f>IF(A1275="","",'ATP Fills'!L1275)</f>
        <v/>
      </c>
      <c r="C1275" t="str">
        <f>IF(A1275="","",'ATP Fills'!M1275)</f>
        <v/>
      </c>
      <c r="D1275" t="str">
        <f>IF(A1275="","",'ATP Fills'!B1275)</f>
        <v/>
      </c>
      <c r="E1275" s="3" t="str">
        <f>IF(A1275="","",IF(DATE(LEFT(D1275,4),MID(D1275,5,2),RIGHT(D1275,2))=Helper1!$P$1,Helper1!$P$1,""))</f>
        <v/>
      </c>
      <c r="F1275" s="3" t="str">
        <f>IF(A1275="","",'ATP Fills'!G1275)</f>
        <v/>
      </c>
      <c r="G1275" t="str">
        <f>IF(A1275="","",'ATP Fills'!H1275)</f>
        <v/>
      </c>
      <c r="H1275" t="str">
        <f>IF(A1275="","",VLOOKUP(G1275,表3_3[],2,0))</f>
        <v/>
      </c>
      <c r="I1275" t="str">
        <f>IF(A1275="","",VLOOKUP(G1275,表3_3[],3,0))</f>
        <v/>
      </c>
      <c r="J1275" t="str">
        <f>IF(A1275="","",IF('ATP Fills'!I1275="3M","",VLOOKUP(RIGHT('ATP Fills'!I1275,2),Helper1!$O$36:$P$48,2,0)))</f>
        <v/>
      </c>
      <c r="K1275" t="str">
        <f>IF(J1275="","",LEFT('ATP Fills'!I1275,4))</f>
        <v/>
      </c>
      <c r="L1275" t="str">
        <f>IF(A1275="","",IF('ATP Fills'!G1275="LME",'ATP Fills'!I1275,""))</f>
        <v/>
      </c>
      <c r="M1275" t="str">
        <f t="shared" si="19"/>
        <v/>
      </c>
    </row>
    <row r="1276" spans="1:13">
      <c r="A1276" t="str">
        <f>IF('ATP Fills'!A1276="","",IF('ATP Fills'!Q1276="PHILLIPSG",'ATP Fills'!F1276,""))</f>
        <v/>
      </c>
      <c r="B1276" t="str">
        <f>IF(A1276="","",'ATP Fills'!L1276)</f>
        <v/>
      </c>
      <c r="C1276" t="str">
        <f>IF(A1276="","",'ATP Fills'!M1276)</f>
        <v/>
      </c>
      <c r="D1276" t="str">
        <f>IF(A1276="","",'ATP Fills'!B1276)</f>
        <v/>
      </c>
      <c r="E1276" s="3" t="str">
        <f>IF(A1276="","",IF(DATE(LEFT(D1276,4),MID(D1276,5,2),RIGHT(D1276,2))=Helper1!$P$1,Helper1!$P$1,""))</f>
        <v/>
      </c>
      <c r="F1276" s="3" t="str">
        <f>IF(A1276="","",'ATP Fills'!G1276)</f>
        <v/>
      </c>
      <c r="G1276" t="str">
        <f>IF(A1276="","",'ATP Fills'!H1276)</f>
        <v/>
      </c>
      <c r="H1276" t="str">
        <f>IF(A1276="","",VLOOKUP(G1276,表3_3[],2,0))</f>
        <v/>
      </c>
      <c r="I1276" t="str">
        <f>IF(A1276="","",VLOOKUP(G1276,表3_3[],3,0))</f>
        <v/>
      </c>
      <c r="J1276" t="str">
        <f>IF(A1276="","",IF('ATP Fills'!I1276="3M","",VLOOKUP(RIGHT('ATP Fills'!I1276,2),Helper1!$O$36:$P$48,2,0)))</f>
        <v/>
      </c>
      <c r="K1276" t="str">
        <f>IF(J1276="","",LEFT('ATP Fills'!I1276,4))</f>
        <v/>
      </c>
      <c r="L1276" t="str">
        <f>IF(A1276="","",IF('ATP Fills'!G1276="LME",'ATP Fills'!I1276,""))</f>
        <v/>
      </c>
      <c r="M1276" t="str">
        <f t="shared" si="19"/>
        <v/>
      </c>
    </row>
    <row r="1277" spans="1:13">
      <c r="A1277" t="str">
        <f>IF('ATP Fills'!A1277="","",IF('ATP Fills'!Q1277="PHILLIPSG",'ATP Fills'!F1277,""))</f>
        <v/>
      </c>
      <c r="B1277" t="str">
        <f>IF(A1277="","",'ATP Fills'!L1277)</f>
        <v/>
      </c>
      <c r="C1277" t="str">
        <f>IF(A1277="","",'ATP Fills'!M1277)</f>
        <v/>
      </c>
      <c r="D1277" t="str">
        <f>IF(A1277="","",'ATP Fills'!B1277)</f>
        <v/>
      </c>
      <c r="E1277" s="3" t="str">
        <f>IF(A1277="","",IF(DATE(LEFT(D1277,4),MID(D1277,5,2),RIGHT(D1277,2))=Helper1!$P$1,Helper1!$P$1,""))</f>
        <v/>
      </c>
      <c r="F1277" s="3" t="str">
        <f>IF(A1277="","",'ATP Fills'!G1277)</f>
        <v/>
      </c>
      <c r="G1277" t="str">
        <f>IF(A1277="","",'ATP Fills'!H1277)</f>
        <v/>
      </c>
      <c r="H1277" t="str">
        <f>IF(A1277="","",VLOOKUP(G1277,表3_3[],2,0))</f>
        <v/>
      </c>
      <c r="I1277" t="str">
        <f>IF(A1277="","",VLOOKUP(G1277,表3_3[],3,0))</f>
        <v/>
      </c>
      <c r="J1277" t="str">
        <f>IF(A1277="","",IF('ATP Fills'!I1277="3M","",VLOOKUP(RIGHT('ATP Fills'!I1277,2),Helper1!$O$36:$P$48,2,0)))</f>
        <v/>
      </c>
      <c r="K1277" t="str">
        <f>IF(J1277="","",LEFT('ATP Fills'!I1277,4))</f>
        <v/>
      </c>
      <c r="L1277" t="str">
        <f>IF(A1277="","",IF('ATP Fills'!G1277="LME",'ATP Fills'!I1277,""))</f>
        <v/>
      </c>
      <c r="M1277" t="str">
        <f t="shared" si="19"/>
        <v/>
      </c>
    </row>
    <row r="1278" spans="1:13">
      <c r="A1278" t="str">
        <f>IF('ATP Fills'!A1278="","",IF('ATP Fills'!Q1278="PHILLIPSG",'ATP Fills'!F1278,""))</f>
        <v/>
      </c>
      <c r="B1278" t="str">
        <f>IF(A1278="","",'ATP Fills'!L1278)</f>
        <v/>
      </c>
      <c r="C1278" t="str">
        <f>IF(A1278="","",'ATP Fills'!M1278)</f>
        <v/>
      </c>
      <c r="D1278" t="str">
        <f>IF(A1278="","",'ATP Fills'!B1278)</f>
        <v/>
      </c>
      <c r="E1278" s="3" t="str">
        <f>IF(A1278="","",IF(DATE(LEFT(D1278,4),MID(D1278,5,2),RIGHT(D1278,2))=Helper1!$P$1,Helper1!$P$1,""))</f>
        <v/>
      </c>
      <c r="F1278" s="3" t="str">
        <f>IF(A1278="","",'ATP Fills'!G1278)</f>
        <v/>
      </c>
      <c r="G1278" t="str">
        <f>IF(A1278="","",'ATP Fills'!H1278)</f>
        <v/>
      </c>
      <c r="H1278" t="str">
        <f>IF(A1278="","",VLOOKUP(G1278,表3_3[],2,0))</f>
        <v/>
      </c>
      <c r="I1278" t="str">
        <f>IF(A1278="","",VLOOKUP(G1278,表3_3[],3,0))</f>
        <v/>
      </c>
      <c r="J1278" t="str">
        <f>IF(A1278="","",IF('ATP Fills'!I1278="3M","",VLOOKUP(RIGHT('ATP Fills'!I1278,2),Helper1!$O$36:$P$48,2,0)))</f>
        <v/>
      </c>
      <c r="K1278" t="str">
        <f>IF(J1278="","",LEFT('ATP Fills'!I1278,4))</f>
        <v/>
      </c>
      <c r="L1278" t="str">
        <f>IF(A1278="","",IF('ATP Fills'!G1278="LME",'ATP Fills'!I1278,""))</f>
        <v/>
      </c>
      <c r="M1278" t="str">
        <f t="shared" si="19"/>
        <v/>
      </c>
    </row>
    <row r="1279" spans="1:13">
      <c r="A1279" t="str">
        <f>IF('ATP Fills'!A1279="","",IF('ATP Fills'!Q1279="PHILLIPSG",'ATP Fills'!F1279,""))</f>
        <v/>
      </c>
      <c r="B1279" t="str">
        <f>IF(A1279="","",'ATP Fills'!L1279)</f>
        <v/>
      </c>
      <c r="C1279" t="str">
        <f>IF(A1279="","",'ATP Fills'!M1279)</f>
        <v/>
      </c>
      <c r="D1279" t="str">
        <f>IF(A1279="","",'ATP Fills'!B1279)</f>
        <v/>
      </c>
      <c r="E1279" s="3" t="str">
        <f>IF(A1279="","",IF(DATE(LEFT(D1279,4),MID(D1279,5,2),RIGHT(D1279,2))=Helper1!$P$1,Helper1!$P$1,""))</f>
        <v/>
      </c>
      <c r="F1279" s="3" t="str">
        <f>IF(A1279="","",'ATP Fills'!G1279)</f>
        <v/>
      </c>
      <c r="G1279" t="str">
        <f>IF(A1279="","",'ATP Fills'!H1279)</f>
        <v/>
      </c>
      <c r="H1279" t="str">
        <f>IF(A1279="","",VLOOKUP(G1279,表3_3[],2,0))</f>
        <v/>
      </c>
      <c r="I1279" t="str">
        <f>IF(A1279="","",VLOOKUP(G1279,表3_3[],3,0))</f>
        <v/>
      </c>
      <c r="J1279" t="str">
        <f>IF(A1279="","",IF('ATP Fills'!I1279="3M","",VLOOKUP(RIGHT('ATP Fills'!I1279,2),Helper1!$O$36:$P$48,2,0)))</f>
        <v/>
      </c>
      <c r="K1279" t="str">
        <f>IF(J1279="","",LEFT('ATP Fills'!I1279,4))</f>
        <v/>
      </c>
      <c r="L1279" t="str">
        <f>IF(A1279="","",IF('ATP Fills'!G1279="LME",'ATP Fills'!I1279,""))</f>
        <v/>
      </c>
      <c r="M1279" t="str">
        <f t="shared" si="19"/>
        <v/>
      </c>
    </row>
    <row r="1280" spans="1:13">
      <c r="A1280" t="str">
        <f>IF('ATP Fills'!A1280="","",IF('ATP Fills'!Q1280="PHILLIPSG",'ATP Fills'!F1280,""))</f>
        <v/>
      </c>
      <c r="B1280" t="str">
        <f>IF(A1280="","",'ATP Fills'!L1280)</f>
        <v/>
      </c>
      <c r="C1280" t="str">
        <f>IF(A1280="","",'ATP Fills'!M1280)</f>
        <v/>
      </c>
      <c r="D1280" t="str">
        <f>IF(A1280="","",'ATP Fills'!B1280)</f>
        <v/>
      </c>
      <c r="E1280" s="3" t="str">
        <f>IF(A1280="","",IF(DATE(LEFT(D1280,4),MID(D1280,5,2),RIGHT(D1280,2))=Helper1!$P$1,Helper1!$P$1,""))</f>
        <v/>
      </c>
      <c r="F1280" s="3" t="str">
        <f>IF(A1280="","",'ATP Fills'!G1280)</f>
        <v/>
      </c>
      <c r="G1280" t="str">
        <f>IF(A1280="","",'ATP Fills'!H1280)</f>
        <v/>
      </c>
      <c r="H1280" t="str">
        <f>IF(A1280="","",VLOOKUP(G1280,表3_3[],2,0))</f>
        <v/>
      </c>
      <c r="I1280" t="str">
        <f>IF(A1280="","",VLOOKUP(G1280,表3_3[],3,0))</f>
        <v/>
      </c>
      <c r="J1280" t="str">
        <f>IF(A1280="","",IF('ATP Fills'!I1280="3M","",VLOOKUP(RIGHT('ATP Fills'!I1280,2),Helper1!$O$36:$P$48,2,0)))</f>
        <v/>
      </c>
      <c r="K1280" t="str">
        <f>IF(J1280="","",LEFT('ATP Fills'!I1280,4))</f>
        <v/>
      </c>
      <c r="L1280" t="str">
        <f>IF(A1280="","",IF('ATP Fills'!G1280="LME",'ATP Fills'!I1280,""))</f>
        <v/>
      </c>
      <c r="M1280" t="str">
        <f t="shared" si="19"/>
        <v/>
      </c>
    </row>
    <row r="1281" spans="1:13">
      <c r="A1281" t="str">
        <f>IF('ATP Fills'!A1281="","",IF('ATP Fills'!Q1281="PHILLIPSG",'ATP Fills'!F1281,""))</f>
        <v/>
      </c>
      <c r="B1281" t="str">
        <f>IF(A1281="","",'ATP Fills'!L1281)</f>
        <v/>
      </c>
      <c r="C1281" t="str">
        <f>IF(A1281="","",'ATP Fills'!M1281)</f>
        <v/>
      </c>
      <c r="D1281" t="str">
        <f>IF(A1281="","",'ATP Fills'!B1281)</f>
        <v/>
      </c>
      <c r="E1281" s="3" t="str">
        <f>IF(A1281="","",IF(DATE(LEFT(D1281,4),MID(D1281,5,2),RIGHT(D1281,2))=Helper1!$P$1,Helper1!$P$1,""))</f>
        <v/>
      </c>
      <c r="F1281" s="3" t="str">
        <f>IF(A1281="","",'ATP Fills'!G1281)</f>
        <v/>
      </c>
      <c r="G1281" t="str">
        <f>IF(A1281="","",'ATP Fills'!H1281)</f>
        <v/>
      </c>
      <c r="H1281" t="str">
        <f>IF(A1281="","",VLOOKUP(G1281,表3_3[],2,0))</f>
        <v/>
      </c>
      <c r="I1281" t="str">
        <f>IF(A1281="","",VLOOKUP(G1281,表3_3[],3,0))</f>
        <v/>
      </c>
      <c r="J1281" t="str">
        <f>IF(A1281="","",IF('ATP Fills'!I1281="3M","",VLOOKUP(RIGHT('ATP Fills'!I1281,2),Helper1!$O$36:$P$48,2,0)))</f>
        <v/>
      </c>
      <c r="K1281" t="str">
        <f>IF(J1281="","",LEFT('ATP Fills'!I1281,4))</f>
        <v/>
      </c>
      <c r="L1281" t="str">
        <f>IF(A1281="","",IF('ATP Fills'!G1281="LME",'ATP Fills'!I1281,""))</f>
        <v/>
      </c>
      <c r="M1281" t="str">
        <f t="shared" si="19"/>
        <v/>
      </c>
    </row>
    <row r="1282" spans="1:13">
      <c r="A1282" t="str">
        <f>IF('ATP Fills'!A1282="","",IF('ATP Fills'!Q1282="PHILLIPSG",'ATP Fills'!F1282,""))</f>
        <v/>
      </c>
      <c r="B1282" t="str">
        <f>IF(A1282="","",'ATP Fills'!L1282)</f>
        <v/>
      </c>
      <c r="C1282" t="str">
        <f>IF(A1282="","",'ATP Fills'!M1282)</f>
        <v/>
      </c>
      <c r="D1282" t="str">
        <f>IF(A1282="","",'ATP Fills'!B1282)</f>
        <v/>
      </c>
      <c r="E1282" s="3" t="str">
        <f>IF(A1282="","",IF(DATE(LEFT(D1282,4),MID(D1282,5,2),RIGHT(D1282,2))=Helper1!$P$1,Helper1!$P$1,""))</f>
        <v/>
      </c>
      <c r="F1282" s="3" t="str">
        <f>IF(A1282="","",'ATP Fills'!G1282)</f>
        <v/>
      </c>
      <c r="G1282" t="str">
        <f>IF(A1282="","",'ATP Fills'!H1282)</f>
        <v/>
      </c>
      <c r="H1282" t="str">
        <f>IF(A1282="","",VLOOKUP(G1282,表3_3[],2,0))</f>
        <v/>
      </c>
      <c r="I1282" t="str">
        <f>IF(A1282="","",VLOOKUP(G1282,表3_3[],3,0))</f>
        <v/>
      </c>
      <c r="J1282" t="str">
        <f>IF(A1282="","",IF('ATP Fills'!I1282="3M","",VLOOKUP(RIGHT('ATP Fills'!I1282,2),Helper1!$O$36:$P$48,2,0)))</f>
        <v/>
      </c>
      <c r="K1282" t="str">
        <f>IF(J1282="","",LEFT('ATP Fills'!I1282,4))</f>
        <v/>
      </c>
      <c r="L1282" t="str">
        <f>IF(A1282="","",IF('ATP Fills'!G1282="LME",'ATP Fills'!I1282,""))</f>
        <v/>
      </c>
      <c r="M1282" t="str">
        <f t="shared" si="19"/>
        <v/>
      </c>
    </row>
    <row r="1283" spans="1:13">
      <c r="A1283" t="str">
        <f>IF('ATP Fills'!A1283="","",IF('ATP Fills'!Q1283="PHILLIPSG",'ATP Fills'!F1283,""))</f>
        <v/>
      </c>
      <c r="B1283" t="str">
        <f>IF(A1283="","",'ATP Fills'!L1283)</f>
        <v/>
      </c>
      <c r="C1283" t="str">
        <f>IF(A1283="","",'ATP Fills'!M1283)</f>
        <v/>
      </c>
      <c r="D1283" t="str">
        <f>IF(A1283="","",'ATP Fills'!B1283)</f>
        <v/>
      </c>
      <c r="E1283" s="3" t="str">
        <f>IF(A1283="","",IF(DATE(LEFT(D1283,4),MID(D1283,5,2),RIGHT(D1283,2))=Helper1!$P$1,Helper1!$P$1,""))</f>
        <v/>
      </c>
      <c r="F1283" s="3" t="str">
        <f>IF(A1283="","",'ATP Fills'!G1283)</f>
        <v/>
      </c>
      <c r="G1283" t="str">
        <f>IF(A1283="","",'ATP Fills'!H1283)</f>
        <v/>
      </c>
      <c r="H1283" t="str">
        <f>IF(A1283="","",VLOOKUP(G1283,表3_3[],2,0))</f>
        <v/>
      </c>
      <c r="I1283" t="str">
        <f>IF(A1283="","",VLOOKUP(G1283,表3_3[],3,0))</f>
        <v/>
      </c>
      <c r="J1283" t="str">
        <f>IF(A1283="","",IF('ATP Fills'!I1283="3M","",VLOOKUP(RIGHT('ATP Fills'!I1283,2),Helper1!$O$36:$P$48,2,0)))</f>
        <v/>
      </c>
      <c r="K1283" t="str">
        <f>IF(J1283="","",LEFT('ATP Fills'!I1283,4))</f>
        <v/>
      </c>
      <c r="L1283" t="str">
        <f>IF(A1283="","",IF('ATP Fills'!G1283="LME",'ATP Fills'!I1283,""))</f>
        <v/>
      </c>
      <c r="M1283" t="str">
        <f t="shared" ref="M1283:M1346" si="20">IF(A1283="","",IF(F1283="LME",F1283&amp;"-"&amp;I1283&amp;"-"&amp;L1283,J1283&amp;"-"&amp;K1283&amp;"-"&amp;I1283))</f>
        <v/>
      </c>
    </row>
    <row r="1284" spans="1:13">
      <c r="A1284" t="str">
        <f>IF('ATP Fills'!A1284="","",IF('ATP Fills'!Q1284="PHILLIPSG",'ATP Fills'!F1284,""))</f>
        <v/>
      </c>
      <c r="B1284" t="str">
        <f>IF(A1284="","",'ATP Fills'!L1284)</f>
        <v/>
      </c>
      <c r="C1284" t="str">
        <f>IF(A1284="","",'ATP Fills'!M1284)</f>
        <v/>
      </c>
      <c r="D1284" t="str">
        <f>IF(A1284="","",'ATP Fills'!B1284)</f>
        <v/>
      </c>
      <c r="E1284" s="3" t="str">
        <f>IF(A1284="","",IF(DATE(LEFT(D1284,4),MID(D1284,5,2),RIGHT(D1284,2))=Helper1!$P$1,Helper1!$P$1,""))</f>
        <v/>
      </c>
      <c r="F1284" s="3" t="str">
        <f>IF(A1284="","",'ATP Fills'!G1284)</f>
        <v/>
      </c>
      <c r="G1284" t="str">
        <f>IF(A1284="","",'ATP Fills'!H1284)</f>
        <v/>
      </c>
      <c r="H1284" t="str">
        <f>IF(A1284="","",VLOOKUP(G1284,表3_3[],2,0))</f>
        <v/>
      </c>
      <c r="I1284" t="str">
        <f>IF(A1284="","",VLOOKUP(G1284,表3_3[],3,0))</f>
        <v/>
      </c>
      <c r="J1284" t="str">
        <f>IF(A1284="","",IF('ATP Fills'!I1284="3M","",VLOOKUP(RIGHT('ATP Fills'!I1284,2),Helper1!$O$36:$P$48,2,0)))</f>
        <v/>
      </c>
      <c r="K1284" t="str">
        <f>IF(J1284="","",LEFT('ATP Fills'!I1284,4))</f>
        <v/>
      </c>
      <c r="L1284" t="str">
        <f>IF(A1284="","",IF('ATP Fills'!G1284="LME",'ATP Fills'!I1284,""))</f>
        <v/>
      </c>
      <c r="M1284" t="str">
        <f t="shared" si="20"/>
        <v/>
      </c>
    </row>
    <row r="1285" spans="1:13">
      <c r="A1285" t="str">
        <f>IF('ATP Fills'!A1285="","",IF('ATP Fills'!Q1285="PHILLIPSG",'ATP Fills'!F1285,""))</f>
        <v/>
      </c>
      <c r="B1285" t="str">
        <f>IF(A1285="","",'ATP Fills'!L1285)</f>
        <v/>
      </c>
      <c r="C1285" t="str">
        <f>IF(A1285="","",'ATP Fills'!M1285)</f>
        <v/>
      </c>
      <c r="D1285" t="str">
        <f>IF(A1285="","",'ATP Fills'!B1285)</f>
        <v/>
      </c>
      <c r="E1285" s="3" t="str">
        <f>IF(A1285="","",IF(DATE(LEFT(D1285,4),MID(D1285,5,2),RIGHT(D1285,2))=Helper1!$P$1,Helper1!$P$1,""))</f>
        <v/>
      </c>
      <c r="F1285" s="3" t="str">
        <f>IF(A1285="","",'ATP Fills'!G1285)</f>
        <v/>
      </c>
      <c r="G1285" t="str">
        <f>IF(A1285="","",'ATP Fills'!H1285)</f>
        <v/>
      </c>
      <c r="H1285" t="str">
        <f>IF(A1285="","",VLOOKUP(G1285,表3_3[],2,0))</f>
        <v/>
      </c>
      <c r="I1285" t="str">
        <f>IF(A1285="","",VLOOKUP(G1285,表3_3[],3,0))</f>
        <v/>
      </c>
      <c r="J1285" t="str">
        <f>IF(A1285="","",IF('ATP Fills'!I1285="3M","",VLOOKUP(RIGHT('ATP Fills'!I1285,2),Helper1!$O$36:$P$48,2,0)))</f>
        <v/>
      </c>
      <c r="K1285" t="str">
        <f>IF(J1285="","",LEFT('ATP Fills'!I1285,4))</f>
        <v/>
      </c>
      <c r="L1285" t="str">
        <f>IF(A1285="","",IF('ATP Fills'!G1285="LME",'ATP Fills'!I1285,""))</f>
        <v/>
      </c>
      <c r="M1285" t="str">
        <f t="shared" si="20"/>
        <v/>
      </c>
    </row>
    <row r="1286" spans="1:13">
      <c r="A1286" t="str">
        <f>IF('ATP Fills'!A1286="","",IF('ATP Fills'!Q1286="PHILLIPSG",'ATP Fills'!F1286,""))</f>
        <v/>
      </c>
      <c r="B1286" t="str">
        <f>IF(A1286="","",'ATP Fills'!L1286)</f>
        <v/>
      </c>
      <c r="C1286" t="str">
        <f>IF(A1286="","",'ATP Fills'!M1286)</f>
        <v/>
      </c>
      <c r="D1286" t="str">
        <f>IF(A1286="","",'ATP Fills'!B1286)</f>
        <v/>
      </c>
      <c r="E1286" s="3" t="str">
        <f>IF(A1286="","",IF(DATE(LEFT(D1286,4),MID(D1286,5,2),RIGHT(D1286,2))=Helper1!$P$1,Helper1!$P$1,""))</f>
        <v/>
      </c>
      <c r="F1286" s="3" t="str">
        <f>IF(A1286="","",'ATP Fills'!G1286)</f>
        <v/>
      </c>
      <c r="G1286" t="str">
        <f>IF(A1286="","",'ATP Fills'!H1286)</f>
        <v/>
      </c>
      <c r="H1286" t="str">
        <f>IF(A1286="","",VLOOKUP(G1286,表3_3[],2,0))</f>
        <v/>
      </c>
      <c r="I1286" t="str">
        <f>IF(A1286="","",VLOOKUP(G1286,表3_3[],3,0))</f>
        <v/>
      </c>
      <c r="J1286" t="str">
        <f>IF(A1286="","",IF('ATP Fills'!I1286="3M","",VLOOKUP(RIGHT('ATP Fills'!I1286,2),Helper1!$O$36:$P$48,2,0)))</f>
        <v/>
      </c>
      <c r="K1286" t="str">
        <f>IF(J1286="","",LEFT('ATP Fills'!I1286,4))</f>
        <v/>
      </c>
      <c r="L1286" t="str">
        <f>IF(A1286="","",IF('ATP Fills'!G1286="LME",'ATP Fills'!I1286,""))</f>
        <v/>
      </c>
      <c r="M1286" t="str">
        <f t="shared" si="20"/>
        <v/>
      </c>
    </row>
    <row r="1287" spans="1:13">
      <c r="A1287" t="str">
        <f>IF('ATP Fills'!A1287="","",IF('ATP Fills'!Q1287="PHILLIPSG",'ATP Fills'!F1287,""))</f>
        <v/>
      </c>
      <c r="B1287" t="str">
        <f>IF(A1287="","",'ATP Fills'!L1287)</f>
        <v/>
      </c>
      <c r="C1287" t="str">
        <f>IF(A1287="","",'ATP Fills'!M1287)</f>
        <v/>
      </c>
      <c r="D1287" t="str">
        <f>IF(A1287="","",'ATP Fills'!B1287)</f>
        <v/>
      </c>
      <c r="E1287" s="3" t="str">
        <f>IF(A1287="","",IF(DATE(LEFT(D1287,4),MID(D1287,5,2),RIGHT(D1287,2))=Helper1!$P$1,Helper1!$P$1,""))</f>
        <v/>
      </c>
      <c r="F1287" s="3" t="str">
        <f>IF(A1287="","",'ATP Fills'!G1287)</f>
        <v/>
      </c>
      <c r="G1287" t="str">
        <f>IF(A1287="","",'ATP Fills'!H1287)</f>
        <v/>
      </c>
      <c r="H1287" t="str">
        <f>IF(A1287="","",VLOOKUP(G1287,表3_3[],2,0))</f>
        <v/>
      </c>
      <c r="I1287" t="str">
        <f>IF(A1287="","",VLOOKUP(G1287,表3_3[],3,0))</f>
        <v/>
      </c>
      <c r="J1287" t="str">
        <f>IF(A1287="","",IF('ATP Fills'!I1287="3M","",VLOOKUP(RIGHT('ATP Fills'!I1287,2),Helper1!$O$36:$P$48,2,0)))</f>
        <v/>
      </c>
      <c r="K1287" t="str">
        <f>IF(J1287="","",LEFT('ATP Fills'!I1287,4))</f>
        <v/>
      </c>
      <c r="L1287" t="str">
        <f>IF(A1287="","",IF('ATP Fills'!G1287="LME",'ATP Fills'!I1287,""))</f>
        <v/>
      </c>
      <c r="M1287" t="str">
        <f t="shared" si="20"/>
        <v/>
      </c>
    </row>
    <row r="1288" spans="1:13">
      <c r="A1288" t="str">
        <f>IF('ATP Fills'!A1288="","",IF('ATP Fills'!Q1288="PHILLIPSG",'ATP Fills'!F1288,""))</f>
        <v/>
      </c>
      <c r="B1288" t="str">
        <f>IF(A1288="","",'ATP Fills'!L1288)</f>
        <v/>
      </c>
      <c r="C1288" t="str">
        <f>IF(A1288="","",'ATP Fills'!M1288)</f>
        <v/>
      </c>
      <c r="D1288" t="str">
        <f>IF(A1288="","",'ATP Fills'!B1288)</f>
        <v/>
      </c>
      <c r="E1288" s="3" t="str">
        <f>IF(A1288="","",IF(DATE(LEFT(D1288,4),MID(D1288,5,2),RIGHT(D1288,2))=Helper1!$P$1,Helper1!$P$1,""))</f>
        <v/>
      </c>
      <c r="F1288" s="3" t="str">
        <f>IF(A1288="","",'ATP Fills'!G1288)</f>
        <v/>
      </c>
      <c r="G1288" t="str">
        <f>IF(A1288="","",'ATP Fills'!H1288)</f>
        <v/>
      </c>
      <c r="H1288" t="str">
        <f>IF(A1288="","",VLOOKUP(G1288,表3_3[],2,0))</f>
        <v/>
      </c>
      <c r="I1288" t="str">
        <f>IF(A1288="","",VLOOKUP(G1288,表3_3[],3,0))</f>
        <v/>
      </c>
      <c r="J1288" t="str">
        <f>IF(A1288="","",IF('ATP Fills'!I1288="3M","",VLOOKUP(RIGHT('ATP Fills'!I1288,2),Helper1!$O$36:$P$48,2,0)))</f>
        <v/>
      </c>
      <c r="K1288" t="str">
        <f>IF(J1288="","",LEFT('ATP Fills'!I1288,4))</f>
        <v/>
      </c>
      <c r="L1288" t="str">
        <f>IF(A1288="","",IF('ATP Fills'!G1288="LME",'ATP Fills'!I1288,""))</f>
        <v/>
      </c>
      <c r="M1288" t="str">
        <f t="shared" si="20"/>
        <v/>
      </c>
    </row>
    <row r="1289" spans="1:13">
      <c r="A1289" t="str">
        <f>IF('ATP Fills'!A1289="","",IF('ATP Fills'!Q1289="PHILLIPSG",'ATP Fills'!F1289,""))</f>
        <v/>
      </c>
      <c r="B1289" t="str">
        <f>IF(A1289="","",'ATP Fills'!L1289)</f>
        <v/>
      </c>
      <c r="C1289" t="str">
        <f>IF(A1289="","",'ATP Fills'!M1289)</f>
        <v/>
      </c>
      <c r="D1289" t="str">
        <f>IF(A1289="","",'ATP Fills'!B1289)</f>
        <v/>
      </c>
      <c r="E1289" s="3" t="str">
        <f>IF(A1289="","",IF(DATE(LEFT(D1289,4),MID(D1289,5,2),RIGHT(D1289,2))=Helper1!$P$1,Helper1!$P$1,""))</f>
        <v/>
      </c>
      <c r="F1289" s="3" t="str">
        <f>IF(A1289="","",'ATP Fills'!G1289)</f>
        <v/>
      </c>
      <c r="G1289" t="str">
        <f>IF(A1289="","",'ATP Fills'!H1289)</f>
        <v/>
      </c>
      <c r="H1289" t="str">
        <f>IF(A1289="","",VLOOKUP(G1289,表3_3[],2,0))</f>
        <v/>
      </c>
      <c r="I1289" t="str">
        <f>IF(A1289="","",VLOOKUP(G1289,表3_3[],3,0))</f>
        <v/>
      </c>
      <c r="J1289" t="str">
        <f>IF(A1289="","",IF('ATP Fills'!I1289="3M","",VLOOKUP(RIGHT('ATP Fills'!I1289,2),Helper1!$O$36:$P$48,2,0)))</f>
        <v/>
      </c>
      <c r="K1289" t="str">
        <f>IF(J1289="","",LEFT('ATP Fills'!I1289,4))</f>
        <v/>
      </c>
      <c r="L1289" t="str">
        <f>IF(A1289="","",IF('ATP Fills'!G1289="LME",'ATP Fills'!I1289,""))</f>
        <v/>
      </c>
      <c r="M1289" t="str">
        <f t="shared" si="20"/>
        <v/>
      </c>
    </row>
    <row r="1290" spans="1:13">
      <c r="A1290" t="str">
        <f>IF('ATP Fills'!A1290="","",IF('ATP Fills'!Q1290="PHILLIPSG",'ATP Fills'!F1290,""))</f>
        <v/>
      </c>
      <c r="B1290" t="str">
        <f>IF(A1290="","",'ATP Fills'!L1290)</f>
        <v/>
      </c>
      <c r="C1290" t="str">
        <f>IF(A1290="","",'ATP Fills'!M1290)</f>
        <v/>
      </c>
      <c r="D1290" t="str">
        <f>IF(A1290="","",'ATP Fills'!B1290)</f>
        <v/>
      </c>
      <c r="E1290" s="3" t="str">
        <f>IF(A1290="","",IF(DATE(LEFT(D1290,4),MID(D1290,5,2),RIGHT(D1290,2))=Helper1!$P$1,Helper1!$P$1,""))</f>
        <v/>
      </c>
      <c r="F1290" s="3" t="str">
        <f>IF(A1290="","",'ATP Fills'!G1290)</f>
        <v/>
      </c>
      <c r="G1290" t="str">
        <f>IF(A1290="","",'ATP Fills'!H1290)</f>
        <v/>
      </c>
      <c r="H1290" t="str">
        <f>IF(A1290="","",VLOOKUP(G1290,表3_3[],2,0))</f>
        <v/>
      </c>
      <c r="I1290" t="str">
        <f>IF(A1290="","",VLOOKUP(G1290,表3_3[],3,0))</f>
        <v/>
      </c>
      <c r="J1290" t="str">
        <f>IF(A1290="","",IF('ATP Fills'!I1290="3M","",VLOOKUP(RIGHT('ATP Fills'!I1290,2),Helper1!$O$36:$P$48,2,0)))</f>
        <v/>
      </c>
      <c r="K1290" t="str">
        <f>IF(J1290="","",LEFT('ATP Fills'!I1290,4))</f>
        <v/>
      </c>
      <c r="L1290" t="str">
        <f>IF(A1290="","",IF('ATP Fills'!G1290="LME",'ATP Fills'!I1290,""))</f>
        <v/>
      </c>
      <c r="M1290" t="str">
        <f t="shared" si="20"/>
        <v/>
      </c>
    </row>
    <row r="1291" spans="1:13">
      <c r="A1291" t="str">
        <f>IF('ATP Fills'!A1291="","",IF('ATP Fills'!Q1291="PHILLIPSG",'ATP Fills'!F1291,""))</f>
        <v/>
      </c>
      <c r="B1291" t="str">
        <f>IF(A1291="","",'ATP Fills'!L1291)</f>
        <v/>
      </c>
      <c r="C1291" t="str">
        <f>IF(A1291="","",'ATP Fills'!M1291)</f>
        <v/>
      </c>
      <c r="D1291" t="str">
        <f>IF(A1291="","",'ATP Fills'!B1291)</f>
        <v/>
      </c>
      <c r="E1291" s="3" t="str">
        <f>IF(A1291="","",IF(DATE(LEFT(D1291,4),MID(D1291,5,2),RIGHT(D1291,2))=Helper1!$P$1,Helper1!$P$1,""))</f>
        <v/>
      </c>
      <c r="F1291" s="3" t="str">
        <f>IF(A1291="","",'ATP Fills'!G1291)</f>
        <v/>
      </c>
      <c r="G1291" t="str">
        <f>IF(A1291="","",'ATP Fills'!H1291)</f>
        <v/>
      </c>
      <c r="H1291" t="str">
        <f>IF(A1291="","",VLOOKUP(G1291,表3_3[],2,0))</f>
        <v/>
      </c>
      <c r="I1291" t="str">
        <f>IF(A1291="","",VLOOKUP(G1291,表3_3[],3,0))</f>
        <v/>
      </c>
      <c r="J1291" t="str">
        <f>IF(A1291="","",IF('ATP Fills'!I1291="3M","",VLOOKUP(RIGHT('ATP Fills'!I1291,2),Helper1!$O$36:$P$48,2,0)))</f>
        <v/>
      </c>
      <c r="K1291" t="str">
        <f>IF(J1291="","",LEFT('ATP Fills'!I1291,4))</f>
        <v/>
      </c>
      <c r="L1291" t="str">
        <f>IF(A1291="","",IF('ATP Fills'!G1291="LME",'ATP Fills'!I1291,""))</f>
        <v/>
      </c>
      <c r="M1291" t="str">
        <f t="shared" si="20"/>
        <v/>
      </c>
    </row>
    <row r="1292" spans="1:13">
      <c r="A1292" t="str">
        <f>IF('ATP Fills'!A1292="","",IF('ATP Fills'!Q1292="PHILLIPSG",'ATP Fills'!F1292,""))</f>
        <v/>
      </c>
      <c r="B1292" t="str">
        <f>IF(A1292="","",'ATP Fills'!L1292)</f>
        <v/>
      </c>
      <c r="C1292" t="str">
        <f>IF(A1292="","",'ATP Fills'!M1292)</f>
        <v/>
      </c>
      <c r="D1292" t="str">
        <f>IF(A1292="","",'ATP Fills'!B1292)</f>
        <v/>
      </c>
      <c r="E1292" s="3" t="str">
        <f>IF(A1292="","",IF(DATE(LEFT(D1292,4),MID(D1292,5,2),RIGHT(D1292,2))=Helper1!$P$1,Helper1!$P$1,""))</f>
        <v/>
      </c>
      <c r="F1292" s="3" t="str">
        <f>IF(A1292="","",'ATP Fills'!G1292)</f>
        <v/>
      </c>
      <c r="G1292" t="str">
        <f>IF(A1292="","",'ATP Fills'!H1292)</f>
        <v/>
      </c>
      <c r="H1292" t="str">
        <f>IF(A1292="","",VLOOKUP(G1292,表3_3[],2,0))</f>
        <v/>
      </c>
      <c r="I1292" t="str">
        <f>IF(A1292="","",VLOOKUP(G1292,表3_3[],3,0))</f>
        <v/>
      </c>
      <c r="J1292" t="str">
        <f>IF(A1292="","",IF('ATP Fills'!I1292="3M","",VLOOKUP(RIGHT('ATP Fills'!I1292,2),Helper1!$O$36:$P$48,2,0)))</f>
        <v/>
      </c>
      <c r="K1292" t="str">
        <f>IF(J1292="","",LEFT('ATP Fills'!I1292,4))</f>
        <v/>
      </c>
      <c r="L1292" t="str">
        <f>IF(A1292="","",IF('ATP Fills'!G1292="LME",'ATP Fills'!I1292,""))</f>
        <v/>
      </c>
      <c r="M1292" t="str">
        <f t="shared" si="20"/>
        <v/>
      </c>
    </row>
    <row r="1293" spans="1:13">
      <c r="A1293" t="str">
        <f>IF('ATP Fills'!A1293="","",IF('ATP Fills'!Q1293="PHILLIPSG",'ATP Fills'!F1293,""))</f>
        <v/>
      </c>
      <c r="B1293" t="str">
        <f>IF(A1293="","",'ATP Fills'!L1293)</f>
        <v/>
      </c>
      <c r="C1293" t="str">
        <f>IF(A1293="","",'ATP Fills'!M1293)</f>
        <v/>
      </c>
      <c r="D1293" t="str">
        <f>IF(A1293="","",'ATP Fills'!B1293)</f>
        <v/>
      </c>
      <c r="E1293" s="3" t="str">
        <f>IF(A1293="","",IF(DATE(LEFT(D1293,4),MID(D1293,5,2),RIGHT(D1293,2))=Helper1!$P$1,Helper1!$P$1,""))</f>
        <v/>
      </c>
      <c r="F1293" s="3" t="str">
        <f>IF(A1293="","",'ATP Fills'!G1293)</f>
        <v/>
      </c>
      <c r="G1293" t="str">
        <f>IF(A1293="","",'ATP Fills'!H1293)</f>
        <v/>
      </c>
      <c r="H1293" t="str">
        <f>IF(A1293="","",VLOOKUP(G1293,表3_3[],2,0))</f>
        <v/>
      </c>
      <c r="I1293" t="str">
        <f>IF(A1293="","",VLOOKUP(G1293,表3_3[],3,0))</f>
        <v/>
      </c>
      <c r="J1293" t="str">
        <f>IF(A1293="","",IF('ATP Fills'!I1293="3M","",VLOOKUP(RIGHT('ATP Fills'!I1293,2),Helper1!$O$36:$P$48,2,0)))</f>
        <v/>
      </c>
      <c r="K1293" t="str">
        <f>IF(J1293="","",LEFT('ATP Fills'!I1293,4))</f>
        <v/>
      </c>
      <c r="L1293" t="str">
        <f>IF(A1293="","",IF('ATP Fills'!G1293="LME",'ATP Fills'!I1293,""))</f>
        <v/>
      </c>
      <c r="M1293" t="str">
        <f t="shared" si="20"/>
        <v/>
      </c>
    </row>
    <row r="1294" spans="1:13">
      <c r="A1294" t="str">
        <f>IF('ATP Fills'!A1294="","",IF('ATP Fills'!Q1294="PHILLIPSG",'ATP Fills'!F1294,""))</f>
        <v/>
      </c>
      <c r="B1294" t="str">
        <f>IF(A1294="","",'ATP Fills'!L1294)</f>
        <v/>
      </c>
      <c r="C1294" t="str">
        <f>IF(A1294="","",'ATP Fills'!M1294)</f>
        <v/>
      </c>
      <c r="D1294" t="str">
        <f>IF(A1294="","",'ATP Fills'!B1294)</f>
        <v/>
      </c>
      <c r="E1294" s="3" t="str">
        <f>IF(A1294="","",IF(DATE(LEFT(D1294,4),MID(D1294,5,2),RIGHT(D1294,2))=Helper1!$P$1,Helper1!$P$1,""))</f>
        <v/>
      </c>
      <c r="F1294" s="3" t="str">
        <f>IF(A1294="","",'ATP Fills'!G1294)</f>
        <v/>
      </c>
      <c r="G1294" t="str">
        <f>IF(A1294="","",'ATP Fills'!H1294)</f>
        <v/>
      </c>
      <c r="H1294" t="str">
        <f>IF(A1294="","",VLOOKUP(G1294,表3_3[],2,0))</f>
        <v/>
      </c>
      <c r="I1294" t="str">
        <f>IF(A1294="","",VLOOKUP(G1294,表3_3[],3,0))</f>
        <v/>
      </c>
      <c r="J1294" t="str">
        <f>IF(A1294="","",IF('ATP Fills'!I1294="3M","",VLOOKUP(RIGHT('ATP Fills'!I1294,2),Helper1!$O$36:$P$48,2,0)))</f>
        <v/>
      </c>
      <c r="K1294" t="str">
        <f>IF(J1294="","",LEFT('ATP Fills'!I1294,4))</f>
        <v/>
      </c>
      <c r="L1294" t="str">
        <f>IF(A1294="","",IF('ATP Fills'!G1294="LME",'ATP Fills'!I1294,""))</f>
        <v/>
      </c>
      <c r="M1294" t="str">
        <f t="shared" si="20"/>
        <v/>
      </c>
    </row>
    <row r="1295" spans="1:13">
      <c r="A1295" t="str">
        <f>IF('ATP Fills'!A1295="","",IF('ATP Fills'!Q1295="PHILLIPSG",'ATP Fills'!F1295,""))</f>
        <v/>
      </c>
      <c r="B1295" t="str">
        <f>IF(A1295="","",'ATP Fills'!L1295)</f>
        <v/>
      </c>
      <c r="C1295" t="str">
        <f>IF(A1295="","",'ATP Fills'!M1295)</f>
        <v/>
      </c>
      <c r="D1295" t="str">
        <f>IF(A1295="","",'ATP Fills'!B1295)</f>
        <v/>
      </c>
      <c r="E1295" s="3" t="str">
        <f>IF(A1295="","",IF(DATE(LEFT(D1295,4),MID(D1295,5,2),RIGHT(D1295,2))=Helper1!$P$1,Helper1!$P$1,""))</f>
        <v/>
      </c>
      <c r="F1295" s="3" t="str">
        <f>IF(A1295="","",'ATP Fills'!G1295)</f>
        <v/>
      </c>
      <c r="G1295" t="str">
        <f>IF(A1295="","",'ATP Fills'!H1295)</f>
        <v/>
      </c>
      <c r="H1295" t="str">
        <f>IF(A1295="","",VLOOKUP(G1295,表3_3[],2,0))</f>
        <v/>
      </c>
      <c r="I1295" t="str">
        <f>IF(A1295="","",VLOOKUP(G1295,表3_3[],3,0))</f>
        <v/>
      </c>
      <c r="J1295" t="str">
        <f>IF(A1295="","",IF('ATP Fills'!I1295="3M","",VLOOKUP(RIGHT('ATP Fills'!I1295,2),Helper1!$O$36:$P$48,2,0)))</f>
        <v/>
      </c>
      <c r="K1295" t="str">
        <f>IF(J1295="","",LEFT('ATP Fills'!I1295,4))</f>
        <v/>
      </c>
      <c r="L1295" t="str">
        <f>IF(A1295="","",IF('ATP Fills'!G1295="LME",'ATP Fills'!I1295,""))</f>
        <v/>
      </c>
      <c r="M1295" t="str">
        <f t="shared" si="20"/>
        <v/>
      </c>
    </row>
    <row r="1296" spans="1:13">
      <c r="A1296" t="str">
        <f>IF('ATP Fills'!A1296="","",IF('ATP Fills'!Q1296="PHILLIPSG",'ATP Fills'!F1296,""))</f>
        <v/>
      </c>
      <c r="B1296" t="str">
        <f>IF(A1296="","",'ATP Fills'!L1296)</f>
        <v/>
      </c>
      <c r="C1296" t="str">
        <f>IF(A1296="","",'ATP Fills'!M1296)</f>
        <v/>
      </c>
      <c r="D1296" t="str">
        <f>IF(A1296="","",'ATP Fills'!B1296)</f>
        <v/>
      </c>
      <c r="E1296" s="3" t="str">
        <f>IF(A1296="","",IF(DATE(LEFT(D1296,4),MID(D1296,5,2),RIGHT(D1296,2))=Helper1!$P$1,Helper1!$P$1,""))</f>
        <v/>
      </c>
      <c r="F1296" s="3" t="str">
        <f>IF(A1296="","",'ATP Fills'!G1296)</f>
        <v/>
      </c>
      <c r="G1296" t="str">
        <f>IF(A1296="","",'ATP Fills'!H1296)</f>
        <v/>
      </c>
      <c r="H1296" t="str">
        <f>IF(A1296="","",VLOOKUP(G1296,表3_3[],2,0))</f>
        <v/>
      </c>
      <c r="I1296" t="str">
        <f>IF(A1296="","",VLOOKUP(G1296,表3_3[],3,0))</f>
        <v/>
      </c>
      <c r="J1296" t="str">
        <f>IF(A1296="","",IF('ATP Fills'!I1296="3M","",VLOOKUP(RIGHT('ATP Fills'!I1296,2),Helper1!$O$36:$P$48,2,0)))</f>
        <v/>
      </c>
      <c r="K1296" t="str">
        <f>IF(J1296="","",LEFT('ATP Fills'!I1296,4))</f>
        <v/>
      </c>
      <c r="L1296" t="str">
        <f>IF(A1296="","",IF('ATP Fills'!G1296="LME",'ATP Fills'!I1296,""))</f>
        <v/>
      </c>
      <c r="M1296" t="str">
        <f t="shared" si="20"/>
        <v/>
      </c>
    </row>
    <row r="1297" spans="1:13">
      <c r="A1297" t="str">
        <f>IF('ATP Fills'!A1297="","",IF('ATP Fills'!Q1297="PHILLIPSG",'ATP Fills'!F1297,""))</f>
        <v/>
      </c>
      <c r="B1297" t="str">
        <f>IF(A1297="","",'ATP Fills'!L1297)</f>
        <v/>
      </c>
      <c r="C1297" t="str">
        <f>IF(A1297="","",'ATP Fills'!M1297)</f>
        <v/>
      </c>
      <c r="D1297" t="str">
        <f>IF(A1297="","",'ATP Fills'!B1297)</f>
        <v/>
      </c>
      <c r="E1297" s="3" t="str">
        <f>IF(A1297="","",IF(DATE(LEFT(D1297,4),MID(D1297,5,2),RIGHT(D1297,2))=Helper1!$P$1,Helper1!$P$1,""))</f>
        <v/>
      </c>
      <c r="F1297" s="3" t="str">
        <f>IF(A1297="","",'ATP Fills'!G1297)</f>
        <v/>
      </c>
      <c r="G1297" t="str">
        <f>IF(A1297="","",'ATP Fills'!H1297)</f>
        <v/>
      </c>
      <c r="H1297" t="str">
        <f>IF(A1297="","",VLOOKUP(G1297,表3_3[],2,0))</f>
        <v/>
      </c>
      <c r="I1297" t="str">
        <f>IF(A1297="","",VLOOKUP(G1297,表3_3[],3,0))</f>
        <v/>
      </c>
      <c r="J1297" t="str">
        <f>IF(A1297="","",IF('ATP Fills'!I1297="3M","",VLOOKUP(RIGHT('ATP Fills'!I1297,2),Helper1!$O$36:$P$48,2,0)))</f>
        <v/>
      </c>
      <c r="K1297" t="str">
        <f>IF(J1297="","",LEFT('ATP Fills'!I1297,4))</f>
        <v/>
      </c>
      <c r="L1297" t="str">
        <f>IF(A1297="","",IF('ATP Fills'!G1297="LME",'ATP Fills'!I1297,""))</f>
        <v/>
      </c>
      <c r="M1297" t="str">
        <f t="shared" si="20"/>
        <v/>
      </c>
    </row>
    <row r="1298" spans="1:13">
      <c r="A1298" t="str">
        <f>IF('ATP Fills'!A1298="","",IF('ATP Fills'!Q1298="PHILLIPSG",'ATP Fills'!F1298,""))</f>
        <v/>
      </c>
      <c r="B1298" t="str">
        <f>IF(A1298="","",'ATP Fills'!L1298)</f>
        <v/>
      </c>
      <c r="C1298" t="str">
        <f>IF(A1298="","",'ATP Fills'!M1298)</f>
        <v/>
      </c>
      <c r="D1298" t="str">
        <f>IF(A1298="","",'ATP Fills'!B1298)</f>
        <v/>
      </c>
      <c r="E1298" s="3" t="str">
        <f>IF(A1298="","",IF(DATE(LEFT(D1298,4),MID(D1298,5,2),RIGHT(D1298,2))=Helper1!$P$1,Helper1!$P$1,""))</f>
        <v/>
      </c>
      <c r="F1298" s="3" t="str">
        <f>IF(A1298="","",'ATP Fills'!G1298)</f>
        <v/>
      </c>
      <c r="G1298" t="str">
        <f>IF(A1298="","",'ATP Fills'!H1298)</f>
        <v/>
      </c>
      <c r="H1298" t="str">
        <f>IF(A1298="","",VLOOKUP(G1298,表3_3[],2,0))</f>
        <v/>
      </c>
      <c r="I1298" t="str">
        <f>IF(A1298="","",VLOOKUP(G1298,表3_3[],3,0))</f>
        <v/>
      </c>
      <c r="J1298" t="str">
        <f>IF(A1298="","",IF('ATP Fills'!I1298="3M","",VLOOKUP(RIGHT('ATP Fills'!I1298,2),Helper1!$O$36:$P$48,2,0)))</f>
        <v/>
      </c>
      <c r="K1298" t="str">
        <f>IF(J1298="","",LEFT('ATP Fills'!I1298,4))</f>
        <v/>
      </c>
      <c r="L1298" t="str">
        <f>IF(A1298="","",IF('ATP Fills'!G1298="LME",'ATP Fills'!I1298,""))</f>
        <v/>
      </c>
      <c r="M1298" t="str">
        <f t="shared" si="20"/>
        <v/>
      </c>
    </row>
    <row r="1299" spans="1:13">
      <c r="A1299" t="str">
        <f>IF('ATP Fills'!A1299="","",IF('ATP Fills'!Q1299="PHILLIPSG",'ATP Fills'!F1299,""))</f>
        <v/>
      </c>
      <c r="B1299" t="str">
        <f>IF(A1299="","",'ATP Fills'!L1299)</f>
        <v/>
      </c>
      <c r="C1299" t="str">
        <f>IF(A1299="","",'ATP Fills'!M1299)</f>
        <v/>
      </c>
      <c r="D1299" t="str">
        <f>IF(A1299="","",'ATP Fills'!B1299)</f>
        <v/>
      </c>
      <c r="E1299" s="3" t="str">
        <f>IF(A1299="","",IF(DATE(LEFT(D1299,4),MID(D1299,5,2),RIGHT(D1299,2))=Helper1!$P$1,Helper1!$P$1,""))</f>
        <v/>
      </c>
      <c r="F1299" s="3" t="str">
        <f>IF(A1299="","",'ATP Fills'!G1299)</f>
        <v/>
      </c>
      <c r="G1299" t="str">
        <f>IF(A1299="","",'ATP Fills'!H1299)</f>
        <v/>
      </c>
      <c r="H1299" t="str">
        <f>IF(A1299="","",VLOOKUP(G1299,表3_3[],2,0))</f>
        <v/>
      </c>
      <c r="I1299" t="str">
        <f>IF(A1299="","",VLOOKUP(G1299,表3_3[],3,0))</f>
        <v/>
      </c>
      <c r="J1299" t="str">
        <f>IF(A1299="","",IF('ATP Fills'!I1299="3M","",VLOOKUP(RIGHT('ATP Fills'!I1299,2),Helper1!$O$36:$P$48,2,0)))</f>
        <v/>
      </c>
      <c r="K1299" t="str">
        <f>IF(J1299="","",LEFT('ATP Fills'!I1299,4))</f>
        <v/>
      </c>
      <c r="L1299" t="str">
        <f>IF(A1299="","",IF('ATP Fills'!G1299="LME",'ATP Fills'!I1299,""))</f>
        <v/>
      </c>
      <c r="M1299" t="str">
        <f t="shared" si="20"/>
        <v/>
      </c>
    </row>
    <row r="1300" spans="1:13">
      <c r="A1300" t="str">
        <f>IF('ATP Fills'!A1300="","",IF('ATP Fills'!Q1300="PHILLIPSG",'ATP Fills'!F1300,""))</f>
        <v/>
      </c>
      <c r="B1300" t="str">
        <f>IF(A1300="","",'ATP Fills'!L1300)</f>
        <v/>
      </c>
      <c r="C1300" t="str">
        <f>IF(A1300="","",'ATP Fills'!M1300)</f>
        <v/>
      </c>
      <c r="D1300" t="str">
        <f>IF(A1300="","",'ATP Fills'!B1300)</f>
        <v/>
      </c>
      <c r="E1300" s="3" t="str">
        <f>IF(A1300="","",IF(DATE(LEFT(D1300,4),MID(D1300,5,2),RIGHT(D1300,2))=Helper1!$P$1,Helper1!$P$1,""))</f>
        <v/>
      </c>
      <c r="F1300" s="3" t="str">
        <f>IF(A1300="","",'ATP Fills'!G1300)</f>
        <v/>
      </c>
      <c r="G1300" t="str">
        <f>IF(A1300="","",'ATP Fills'!H1300)</f>
        <v/>
      </c>
      <c r="H1300" t="str">
        <f>IF(A1300="","",VLOOKUP(G1300,表3_3[],2,0))</f>
        <v/>
      </c>
      <c r="I1300" t="str">
        <f>IF(A1300="","",VLOOKUP(G1300,表3_3[],3,0))</f>
        <v/>
      </c>
      <c r="J1300" t="str">
        <f>IF(A1300="","",IF('ATP Fills'!I1300="3M","",VLOOKUP(RIGHT('ATP Fills'!I1300,2),Helper1!$O$36:$P$48,2,0)))</f>
        <v/>
      </c>
      <c r="K1300" t="str">
        <f>IF(J1300="","",LEFT('ATP Fills'!I1300,4))</f>
        <v/>
      </c>
      <c r="L1300" t="str">
        <f>IF(A1300="","",IF('ATP Fills'!G1300="LME",'ATP Fills'!I1300,""))</f>
        <v/>
      </c>
      <c r="M1300" t="str">
        <f t="shared" si="20"/>
        <v/>
      </c>
    </row>
    <row r="1301" spans="1:13">
      <c r="A1301" t="str">
        <f>IF('ATP Fills'!A1301="","",IF('ATP Fills'!Q1301="PHILLIPSG",'ATP Fills'!F1301,""))</f>
        <v/>
      </c>
      <c r="B1301" t="str">
        <f>IF(A1301="","",'ATP Fills'!L1301)</f>
        <v/>
      </c>
      <c r="C1301" t="str">
        <f>IF(A1301="","",'ATP Fills'!M1301)</f>
        <v/>
      </c>
      <c r="D1301" t="str">
        <f>IF(A1301="","",'ATP Fills'!B1301)</f>
        <v/>
      </c>
      <c r="E1301" s="3" t="str">
        <f>IF(A1301="","",IF(DATE(LEFT(D1301,4),MID(D1301,5,2),RIGHT(D1301,2))=Helper1!$P$1,Helper1!$P$1,""))</f>
        <v/>
      </c>
      <c r="F1301" s="3" t="str">
        <f>IF(A1301="","",'ATP Fills'!G1301)</f>
        <v/>
      </c>
      <c r="G1301" t="str">
        <f>IF(A1301="","",'ATP Fills'!H1301)</f>
        <v/>
      </c>
      <c r="H1301" t="str">
        <f>IF(A1301="","",VLOOKUP(G1301,表3_3[],2,0))</f>
        <v/>
      </c>
      <c r="I1301" t="str">
        <f>IF(A1301="","",VLOOKUP(G1301,表3_3[],3,0))</f>
        <v/>
      </c>
      <c r="J1301" t="str">
        <f>IF(A1301="","",IF('ATP Fills'!I1301="3M","",VLOOKUP(RIGHT('ATP Fills'!I1301,2),Helper1!$O$36:$P$48,2,0)))</f>
        <v/>
      </c>
      <c r="K1301" t="str">
        <f>IF(J1301="","",LEFT('ATP Fills'!I1301,4))</f>
        <v/>
      </c>
      <c r="L1301" t="str">
        <f>IF(A1301="","",IF('ATP Fills'!G1301="LME",'ATP Fills'!I1301,""))</f>
        <v/>
      </c>
      <c r="M1301" t="str">
        <f t="shared" si="20"/>
        <v/>
      </c>
    </row>
    <row r="1302" spans="1:13">
      <c r="A1302" t="str">
        <f>IF('ATP Fills'!A1302="","",IF('ATP Fills'!Q1302="PHILLIPSG",'ATP Fills'!F1302,""))</f>
        <v/>
      </c>
      <c r="B1302" t="str">
        <f>IF(A1302="","",'ATP Fills'!L1302)</f>
        <v/>
      </c>
      <c r="C1302" t="str">
        <f>IF(A1302="","",'ATP Fills'!M1302)</f>
        <v/>
      </c>
      <c r="D1302" t="str">
        <f>IF(A1302="","",'ATP Fills'!B1302)</f>
        <v/>
      </c>
      <c r="E1302" s="3" t="str">
        <f>IF(A1302="","",IF(DATE(LEFT(D1302,4),MID(D1302,5,2),RIGHT(D1302,2))=Helper1!$P$1,Helper1!$P$1,""))</f>
        <v/>
      </c>
      <c r="F1302" s="3" t="str">
        <f>IF(A1302="","",'ATP Fills'!G1302)</f>
        <v/>
      </c>
      <c r="G1302" t="str">
        <f>IF(A1302="","",'ATP Fills'!H1302)</f>
        <v/>
      </c>
      <c r="H1302" t="str">
        <f>IF(A1302="","",VLOOKUP(G1302,表3_3[],2,0))</f>
        <v/>
      </c>
      <c r="I1302" t="str">
        <f>IF(A1302="","",VLOOKUP(G1302,表3_3[],3,0))</f>
        <v/>
      </c>
      <c r="J1302" t="str">
        <f>IF(A1302="","",IF('ATP Fills'!I1302="3M","",VLOOKUP(RIGHT('ATP Fills'!I1302,2),Helper1!$O$36:$P$48,2,0)))</f>
        <v/>
      </c>
      <c r="K1302" t="str">
        <f>IF(J1302="","",LEFT('ATP Fills'!I1302,4))</f>
        <v/>
      </c>
      <c r="L1302" t="str">
        <f>IF(A1302="","",IF('ATP Fills'!G1302="LME",'ATP Fills'!I1302,""))</f>
        <v/>
      </c>
      <c r="M1302" t="str">
        <f t="shared" si="20"/>
        <v/>
      </c>
    </row>
    <row r="1303" spans="1:13">
      <c r="A1303" t="str">
        <f>IF('ATP Fills'!A1303="","",IF('ATP Fills'!Q1303="PHILLIPSG",'ATP Fills'!F1303,""))</f>
        <v/>
      </c>
      <c r="B1303" t="str">
        <f>IF(A1303="","",'ATP Fills'!L1303)</f>
        <v/>
      </c>
      <c r="C1303" t="str">
        <f>IF(A1303="","",'ATP Fills'!M1303)</f>
        <v/>
      </c>
      <c r="D1303" t="str">
        <f>IF(A1303="","",'ATP Fills'!B1303)</f>
        <v/>
      </c>
      <c r="E1303" s="3" t="str">
        <f>IF(A1303="","",IF(DATE(LEFT(D1303,4),MID(D1303,5,2),RIGHT(D1303,2))=Helper1!$P$1,Helper1!$P$1,""))</f>
        <v/>
      </c>
      <c r="F1303" s="3" t="str">
        <f>IF(A1303="","",'ATP Fills'!G1303)</f>
        <v/>
      </c>
      <c r="G1303" t="str">
        <f>IF(A1303="","",'ATP Fills'!H1303)</f>
        <v/>
      </c>
      <c r="H1303" t="str">
        <f>IF(A1303="","",VLOOKUP(G1303,表3_3[],2,0))</f>
        <v/>
      </c>
      <c r="I1303" t="str">
        <f>IF(A1303="","",VLOOKUP(G1303,表3_3[],3,0))</f>
        <v/>
      </c>
      <c r="J1303" t="str">
        <f>IF(A1303="","",IF('ATP Fills'!I1303="3M","",VLOOKUP(RIGHT('ATP Fills'!I1303,2),Helper1!$O$36:$P$48,2,0)))</f>
        <v/>
      </c>
      <c r="K1303" t="str">
        <f>IF(J1303="","",LEFT('ATP Fills'!I1303,4))</f>
        <v/>
      </c>
      <c r="L1303" t="str">
        <f>IF(A1303="","",IF('ATP Fills'!G1303="LME",'ATP Fills'!I1303,""))</f>
        <v/>
      </c>
      <c r="M1303" t="str">
        <f t="shared" si="20"/>
        <v/>
      </c>
    </row>
    <row r="1304" spans="1:13">
      <c r="A1304" t="str">
        <f>IF('ATP Fills'!A1304="","",IF('ATP Fills'!Q1304="PHILLIPSG",'ATP Fills'!F1304,""))</f>
        <v/>
      </c>
      <c r="B1304" t="str">
        <f>IF(A1304="","",'ATP Fills'!L1304)</f>
        <v/>
      </c>
      <c r="C1304" t="str">
        <f>IF(A1304="","",'ATP Fills'!M1304)</f>
        <v/>
      </c>
      <c r="D1304" t="str">
        <f>IF(A1304="","",'ATP Fills'!B1304)</f>
        <v/>
      </c>
      <c r="E1304" s="3" t="str">
        <f>IF(A1304="","",IF(DATE(LEFT(D1304,4),MID(D1304,5,2),RIGHT(D1304,2))=Helper1!$P$1,Helper1!$P$1,""))</f>
        <v/>
      </c>
      <c r="F1304" s="3" t="str">
        <f>IF(A1304="","",'ATP Fills'!G1304)</f>
        <v/>
      </c>
      <c r="G1304" t="str">
        <f>IF(A1304="","",'ATP Fills'!H1304)</f>
        <v/>
      </c>
      <c r="H1304" t="str">
        <f>IF(A1304="","",VLOOKUP(G1304,表3_3[],2,0))</f>
        <v/>
      </c>
      <c r="I1304" t="str">
        <f>IF(A1304="","",VLOOKUP(G1304,表3_3[],3,0))</f>
        <v/>
      </c>
      <c r="J1304" t="str">
        <f>IF(A1304="","",IF('ATP Fills'!I1304="3M","",VLOOKUP(RIGHT('ATP Fills'!I1304,2),Helper1!$O$36:$P$48,2,0)))</f>
        <v/>
      </c>
      <c r="K1304" t="str">
        <f>IF(J1304="","",LEFT('ATP Fills'!I1304,4))</f>
        <v/>
      </c>
      <c r="L1304" t="str">
        <f>IF(A1304="","",IF('ATP Fills'!G1304="LME",'ATP Fills'!I1304,""))</f>
        <v/>
      </c>
      <c r="M1304" t="str">
        <f t="shared" si="20"/>
        <v/>
      </c>
    </row>
    <row r="1305" spans="1:13">
      <c r="A1305" t="str">
        <f>IF('ATP Fills'!A1305="","",IF('ATP Fills'!Q1305="PHILLIPSG",'ATP Fills'!F1305,""))</f>
        <v/>
      </c>
      <c r="B1305" t="str">
        <f>IF(A1305="","",'ATP Fills'!L1305)</f>
        <v/>
      </c>
      <c r="C1305" t="str">
        <f>IF(A1305="","",'ATP Fills'!M1305)</f>
        <v/>
      </c>
      <c r="D1305" t="str">
        <f>IF(A1305="","",'ATP Fills'!B1305)</f>
        <v/>
      </c>
      <c r="E1305" s="3" t="str">
        <f>IF(A1305="","",IF(DATE(LEFT(D1305,4),MID(D1305,5,2),RIGHT(D1305,2))=Helper1!$P$1,Helper1!$P$1,""))</f>
        <v/>
      </c>
      <c r="F1305" s="3" t="str">
        <f>IF(A1305="","",'ATP Fills'!G1305)</f>
        <v/>
      </c>
      <c r="G1305" t="str">
        <f>IF(A1305="","",'ATP Fills'!H1305)</f>
        <v/>
      </c>
      <c r="H1305" t="str">
        <f>IF(A1305="","",VLOOKUP(G1305,表3_3[],2,0))</f>
        <v/>
      </c>
      <c r="I1305" t="str">
        <f>IF(A1305="","",VLOOKUP(G1305,表3_3[],3,0))</f>
        <v/>
      </c>
      <c r="J1305" t="str">
        <f>IF(A1305="","",IF('ATP Fills'!I1305="3M","",VLOOKUP(RIGHT('ATP Fills'!I1305,2),Helper1!$O$36:$P$48,2,0)))</f>
        <v/>
      </c>
      <c r="K1305" t="str">
        <f>IF(J1305="","",LEFT('ATP Fills'!I1305,4))</f>
        <v/>
      </c>
      <c r="L1305" t="str">
        <f>IF(A1305="","",IF('ATP Fills'!G1305="LME",'ATP Fills'!I1305,""))</f>
        <v/>
      </c>
      <c r="M1305" t="str">
        <f t="shared" si="20"/>
        <v/>
      </c>
    </row>
    <row r="1306" spans="1:13">
      <c r="A1306" t="str">
        <f>IF('ATP Fills'!A1306="","",IF('ATP Fills'!Q1306="PHILLIPSG",'ATP Fills'!F1306,""))</f>
        <v/>
      </c>
      <c r="B1306" t="str">
        <f>IF(A1306="","",'ATP Fills'!L1306)</f>
        <v/>
      </c>
      <c r="C1306" t="str">
        <f>IF(A1306="","",'ATP Fills'!M1306)</f>
        <v/>
      </c>
      <c r="D1306" t="str">
        <f>IF(A1306="","",'ATP Fills'!B1306)</f>
        <v/>
      </c>
      <c r="E1306" s="3" t="str">
        <f>IF(A1306="","",IF(DATE(LEFT(D1306,4),MID(D1306,5,2),RIGHT(D1306,2))=Helper1!$P$1,Helper1!$P$1,""))</f>
        <v/>
      </c>
      <c r="F1306" s="3" t="str">
        <f>IF(A1306="","",'ATP Fills'!G1306)</f>
        <v/>
      </c>
      <c r="G1306" t="str">
        <f>IF(A1306="","",'ATP Fills'!H1306)</f>
        <v/>
      </c>
      <c r="H1306" t="str">
        <f>IF(A1306="","",VLOOKUP(G1306,表3_3[],2,0))</f>
        <v/>
      </c>
      <c r="I1306" t="str">
        <f>IF(A1306="","",VLOOKUP(G1306,表3_3[],3,0))</f>
        <v/>
      </c>
      <c r="J1306" t="str">
        <f>IF(A1306="","",IF('ATP Fills'!I1306="3M","",VLOOKUP(RIGHT('ATP Fills'!I1306,2),Helper1!$O$36:$P$48,2,0)))</f>
        <v/>
      </c>
      <c r="K1306" t="str">
        <f>IF(J1306="","",LEFT('ATP Fills'!I1306,4))</f>
        <v/>
      </c>
      <c r="L1306" t="str">
        <f>IF(A1306="","",IF('ATP Fills'!G1306="LME",'ATP Fills'!I1306,""))</f>
        <v/>
      </c>
      <c r="M1306" t="str">
        <f t="shared" si="20"/>
        <v/>
      </c>
    </row>
    <row r="1307" spans="1:13">
      <c r="A1307" t="str">
        <f>IF('ATP Fills'!A1307="","",IF('ATP Fills'!Q1307="PHILLIPSG",'ATP Fills'!F1307,""))</f>
        <v/>
      </c>
      <c r="B1307" t="str">
        <f>IF(A1307="","",'ATP Fills'!L1307)</f>
        <v/>
      </c>
      <c r="C1307" t="str">
        <f>IF(A1307="","",'ATP Fills'!M1307)</f>
        <v/>
      </c>
      <c r="D1307" t="str">
        <f>IF(A1307="","",'ATP Fills'!B1307)</f>
        <v/>
      </c>
      <c r="E1307" s="3" t="str">
        <f>IF(A1307="","",IF(DATE(LEFT(D1307,4),MID(D1307,5,2),RIGHT(D1307,2))=Helper1!$P$1,Helper1!$P$1,""))</f>
        <v/>
      </c>
      <c r="F1307" s="3" t="str">
        <f>IF(A1307="","",'ATP Fills'!G1307)</f>
        <v/>
      </c>
      <c r="G1307" t="str">
        <f>IF(A1307="","",'ATP Fills'!H1307)</f>
        <v/>
      </c>
      <c r="H1307" t="str">
        <f>IF(A1307="","",VLOOKUP(G1307,表3_3[],2,0))</f>
        <v/>
      </c>
      <c r="I1307" t="str">
        <f>IF(A1307="","",VLOOKUP(G1307,表3_3[],3,0))</f>
        <v/>
      </c>
      <c r="J1307" t="str">
        <f>IF(A1307="","",IF('ATP Fills'!I1307="3M","",VLOOKUP(RIGHT('ATP Fills'!I1307,2),Helper1!$O$36:$P$48,2,0)))</f>
        <v/>
      </c>
      <c r="K1307" t="str">
        <f>IF(J1307="","",LEFT('ATP Fills'!I1307,4))</f>
        <v/>
      </c>
      <c r="L1307" t="str">
        <f>IF(A1307="","",IF('ATP Fills'!G1307="LME",'ATP Fills'!I1307,""))</f>
        <v/>
      </c>
      <c r="M1307" t="str">
        <f t="shared" si="20"/>
        <v/>
      </c>
    </row>
    <row r="1308" spans="1:13">
      <c r="A1308" t="str">
        <f>IF('ATP Fills'!A1308="","",IF('ATP Fills'!Q1308="PHILLIPSG",'ATP Fills'!F1308,""))</f>
        <v/>
      </c>
      <c r="B1308" t="str">
        <f>IF(A1308="","",'ATP Fills'!L1308)</f>
        <v/>
      </c>
      <c r="C1308" t="str">
        <f>IF(A1308="","",'ATP Fills'!M1308)</f>
        <v/>
      </c>
      <c r="D1308" t="str">
        <f>IF(A1308="","",'ATP Fills'!B1308)</f>
        <v/>
      </c>
      <c r="E1308" s="3" t="str">
        <f>IF(A1308="","",IF(DATE(LEFT(D1308,4),MID(D1308,5,2),RIGHT(D1308,2))=Helper1!$P$1,Helper1!$P$1,""))</f>
        <v/>
      </c>
      <c r="F1308" s="3" t="str">
        <f>IF(A1308="","",'ATP Fills'!G1308)</f>
        <v/>
      </c>
      <c r="G1308" t="str">
        <f>IF(A1308="","",'ATP Fills'!H1308)</f>
        <v/>
      </c>
      <c r="H1308" t="str">
        <f>IF(A1308="","",VLOOKUP(G1308,表3_3[],2,0))</f>
        <v/>
      </c>
      <c r="I1308" t="str">
        <f>IF(A1308="","",VLOOKUP(G1308,表3_3[],3,0))</f>
        <v/>
      </c>
      <c r="J1308" t="str">
        <f>IF(A1308="","",IF('ATP Fills'!I1308="3M","",VLOOKUP(RIGHT('ATP Fills'!I1308,2),Helper1!$O$36:$P$48,2,0)))</f>
        <v/>
      </c>
      <c r="K1308" t="str">
        <f>IF(J1308="","",LEFT('ATP Fills'!I1308,4))</f>
        <v/>
      </c>
      <c r="L1308" t="str">
        <f>IF(A1308="","",IF('ATP Fills'!G1308="LME",'ATP Fills'!I1308,""))</f>
        <v/>
      </c>
      <c r="M1308" t="str">
        <f t="shared" si="20"/>
        <v/>
      </c>
    </row>
    <row r="1309" spans="1:13">
      <c r="A1309" t="str">
        <f>IF('ATP Fills'!A1309="","",IF('ATP Fills'!Q1309="PHILLIPSG",'ATP Fills'!F1309,""))</f>
        <v/>
      </c>
      <c r="B1309" t="str">
        <f>IF(A1309="","",'ATP Fills'!L1309)</f>
        <v/>
      </c>
      <c r="C1309" t="str">
        <f>IF(A1309="","",'ATP Fills'!M1309)</f>
        <v/>
      </c>
      <c r="D1309" t="str">
        <f>IF(A1309="","",'ATP Fills'!B1309)</f>
        <v/>
      </c>
      <c r="E1309" s="3" t="str">
        <f>IF(A1309="","",IF(DATE(LEFT(D1309,4),MID(D1309,5,2),RIGHT(D1309,2))=Helper1!$P$1,Helper1!$P$1,""))</f>
        <v/>
      </c>
      <c r="F1309" s="3" t="str">
        <f>IF(A1309="","",'ATP Fills'!G1309)</f>
        <v/>
      </c>
      <c r="G1309" t="str">
        <f>IF(A1309="","",'ATP Fills'!H1309)</f>
        <v/>
      </c>
      <c r="H1309" t="str">
        <f>IF(A1309="","",VLOOKUP(G1309,表3_3[],2,0))</f>
        <v/>
      </c>
      <c r="I1309" t="str">
        <f>IF(A1309="","",VLOOKUP(G1309,表3_3[],3,0))</f>
        <v/>
      </c>
      <c r="J1309" t="str">
        <f>IF(A1309="","",IF('ATP Fills'!I1309="3M","",VLOOKUP(RIGHT('ATP Fills'!I1309,2),Helper1!$O$36:$P$48,2,0)))</f>
        <v/>
      </c>
      <c r="K1309" t="str">
        <f>IF(J1309="","",LEFT('ATP Fills'!I1309,4))</f>
        <v/>
      </c>
      <c r="L1309" t="str">
        <f>IF(A1309="","",IF('ATP Fills'!G1309="LME",'ATP Fills'!I1309,""))</f>
        <v/>
      </c>
      <c r="M1309" t="str">
        <f t="shared" si="20"/>
        <v/>
      </c>
    </row>
    <row r="1310" spans="1:13">
      <c r="A1310" t="str">
        <f>IF('ATP Fills'!A1310="","",IF('ATP Fills'!Q1310="PHILLIPSG",'ATP Fills'!F1310,""))</f>
        <v/>
      </c>
      <c r="B1310" t="str">
        <f>IF(A1310="","",'ATP Fills'!L1310)</f>
        <v/>
      </c>
      <c r="C1310" t="str">
        <f>IF(A1310="","",'ATP Fills'!M1310)</f>
        <v/>
      </c>
      <c r="D1310" t="str">
        <f>IF(A1310="","",'ATP Fills'!B1310)</f>
        <v/>
      </c>
      <c r="E1310" s="3" t="str">
        <f>IF(A1310="","",IF(DATE(LEFT(D1310,4),MID(D1310,5,2),RIGHT(D1310,2))=Helper1!$P$1,Helper1!$P$1,""))</f>
        <v/>
      </c>
      <c r="F1310" s="3" t="str">
        <f>IF(A1310="","",'ATP Fills'!G1310)</f>
        <v/>
      </c>
      <c r="G1310" t="str">
        <f>IF(A1310="","",'ATP Fills'!H1310)</f>
        <v/>
      </c>
      <c r="H1310" t="str">
        <f>IF(A1310="","",VLOOKUP(G1310,表3_3[],2,0))</f>
        <v/>
      </c>
      <c r="I1310" t="str">
        <f>IF(A1310="","",VLOOKUP(G1310,表3_3[],3,0))</f>
        <v/>
      </c>
      <c r="J1310" t="str">
        <f>IF(A1310="","",IF('ATP Fills'!I1310="3M","",VLOOKUP(RIGHT('ATP Fills'!I1310,2),Helper1!$O$36:$P$48,2,0)))</f>
        <v/>
      </c>
      <c r="K1310" t="str">
        <f>IF(J1310="","",LEFT('ATP Fills'!I1310,4))</f>
        <v/>
      </c>
      <c r="L1310" t="str">
        <f>IF(A1310="","",IF('ATP Fills'!G1310="LME",'ATP Fills'!I1310,""))</f>
        <v/>
      </c>
      <c r="M1310" t="str">
        <f t="shared" si="20"/>
        <v/>
      </c>
    </row>
    <row r="1311" spans="1:13">
      <c r="A1311" t="str">
        <f>IF('ATP Fills'!A1311="","",IF('ATP Fills'!Q1311="PHILLIPSG",'ATP Fills'!F1311,""))</f>
        <v/>
      </c>
      <c r="B1311" t="str">
        <f>IF(A1311="","",'ATP Fills'!L1311)</f>
        <v/>
      </c>
      <c r="C1311" t="str">
        <f>IF(A1311="","",'ATP Fills'!M1311)</f>
        <v/>
      </c>
      <c r="D1311" t="str">
        <f>IF(A1311="","",'ATP Fills'!B1311)</f>
        <v/>
      </c>
      <c r="E1311" s="3" t="str">
        <f>IF(A1311="","",IF(DATE(LEFT(D1311,4),MID(D1311,5,2),RIGHT(D1311,2))=Helper1!$P$1,Helper1!$P$1,""))</f>
        <v/>
      </c>
      <c r="F1311" s="3" t="str">
        <f>IF(A1311="","",'ATP Fills'!G1311)</f>
        <v/>
      </c>
      <c r="G1311" t="str">
        <f>IF(A1311="","",'ATP Fills'!H1311)</f>
        <v/>
      </c>
      <c r="H1311" t="str">
        <f>IF(A1311="","",VLOOKUP(G1311,表3_3[],2,0))</f>
        <v/>
      </c>
      <c r="I1311" t="str">
        <f>IF(A1311="","",VLOOKUP(G1311,表3_3[],3,0))</f>
        <v/>
      </c>
      <c r="J1311" t="str">
        <f>IF(A1311="","",IF('ATP Fills'!I1311="3M","",VLOOKUP(RIGHT('ATP Fills'!I1311,2),Helper1!$O$36:$P$48,2,0)))</f>
        <v/>
      </c>
      <c r="K1311" t="str">
        <f>IF(J1311="","",LEFT('ATP Fills'!I1311,4))</f>
        <v/>
      </c>
      <c r="L1311" t="str">
        <f>IF(A1311="","",IF('ATP Fills'!G1311="LME",'ATP Fills'!I1311,""))</f>
        <v/>
      </c>
      <c r="M1311" t="str">
        <f t="shared" si="20"/>
        <v/>
      </c>
    </row>
    <row r="1312" spans="1:13">
      <c r="A1312" t="str">
        <f>IF('ATP Fills'!A1312="","",IF('ATP Fills'!Q1312="PHILLIPSG",'ATP Fills'!F1312,""))</f>
        <v/>
      </c>
      <c r="B1312" t="str">
        <f>IF(A1312="","",'ATP Fills'!L1312)</f>
        <v/>
      </c>
      <c r="C1312" t="str">
        <f>IF(A1312="","",'ATP Fills'!M1312)</f>
        <v/>
      </c>
      <c r="D1312" t="str">
        <f>IF(A1312="","",'ATP Fills'!B1312)</f>
        <v/>
      </c>
      <c r="E1312" s="3" t="str">
        <f>IF(A1312="","",IF(DATE(LEFT(D1312,4),MID(D1312,5,2),RIGHT(D1312,2))=Helper1!$P$1,Helper1!$P$1,""))</f>
        <v/>
      </c>
      <c r="F1312" s="3" t="str">
        <f>IF(A1312="","",'ATP Fills'!G1312)</f>
        <v/>
      </c>
      <c r="G1312" t="str">
        <f>IF(A1312="","",'ATP Fills'!H1312)</f>
        <v/>
      </c>
      <c r="H1312" t="str">
        <f>IF(A1312="","",VLOOKUP(G1312,表3_3[],2,0))</f>
        <v/>
      </c>
      <c r="I1312" t="str">
        <f>IF(A1312="","",VLOOKUP(G1312,表3_3[],3,0))</f>
        <v/>
      </c>
      <c r="J1312" t="str">
        <f>IF(A1312="","",IF('ATP Fills'!I1312="3M","",VLOOKUP(RIGHT('ATP Fills'!I1312,2),Helper1!$O$36:$P$48,2,0)))</f>
        <v/>
      </c>
      <c r="K1312" t="str">
        <f>IF(J1312="","",LEFT('ATP Fills'!I1312,4))</f>
        <v/>
      </c>
      <c r="L1312" t="str">
        <f>IF(A1312="","",IF('ATP Fills'!G1312="LME",'ATP Fills'!I1312,""))</f>
        <v/>
      </c>
      <c r="M1312" t="str">
        <f t="shared" si="20"/>
        <v/>
      </c>
    </row>
    <row r="1313" spans="1:13">
      <c r="A1313" t="str">
        <f>IF('ATP Fills'!A1313="","",IF('ATP Fills'!Q1313="PHILLIPSG",'ATP Fills'!F1313,""))</f>
        <v/>
      </c>
      <c r="B1313" t="str">
        <f>IF(A1313="","",'ATP Fills'!L1313)</f>
        <v/>
      </c>
      <c r="C1313" t="str">
        <f>IF(A1313="","",'ATP Fills'!M1313)</f>
        <v/>
      </c>
      <c r="D1313" t="str">
        <f>IF(A1313="","",'ATP Fills'!B1313)</f>
        <v/>
      </c>
      <c r="E1313" s="3" t="str">
        <f>IF(A1313="","",IF(DATE(LEFT(D1313,4),MID(D1313,5,2),RIGHT(D1313,2))=Helper1!$P$1,Helper1!$P$1,""))</f>
        <v/>
      </c>
      <c r="F1313" s="3" t="str">
        <f>IF(A1313="","",'ATP Fills'!G1313)</f>
        <v/>
      </c>
      <c r="G1313" t="str">
        <f>IF(A1313="","",'ATP Fills'!H1313)</f>
        <v/>
      </c>
      <c r="H1313" t="str">
        <f>IF(A1313="","",VLOOKUP(G1313,表3_3[],2,0))</f>
        <v/>
      </c>
      <c r="I1313" t="str">
        <f>IF(A1313="","",VLOOKUP(G1313,表3_3[],3,0))</f>
        <v/>
      </c>
      <c r="J1313" t="str">
        <f>IF(A1313="","",IF('ATP Fills'!I1313="3M","",VLOOKUP(RIGHT('ATP Fills'!I1313,2),Helper1!$O$36:$P$48,2,0)))</f>
        <v/>
      </c>
      <c r="K1313" t="str">
        <f>IF(J1313="","",LEFT('ATP Fills'!I1313,4))</f>
        <v/>
      </c>
      <c r="L1313" t="str">
        <f>IF(A1313="","",IF('ATP Fills'!G1313="LME",'ATP Fills'!I1313,""))</f>
        <v/>
      </c>
      <c r="M1313" t="str">
        <f t="shared" si="20"/>
        <v/>
      </c>
    </row>
    <row r="1314" spans="1:13">
      <c r="A1314" t="str">
        <f>IF('ATP Fills'!A1314="","",IF('ATP Fills'!Q1314="PHILLIPSG",'ATP Fills'!F1314,""))</f>
        <v/>
      </c>
      <c r="B1314" t="str">
        <f>IF(A1314="","",'ATP Fills'!L1314)</f>
        <v/>
      </c>
      <c r="C1314" t="str">
        <f>IF(A1314="","",'ATP Fills'!M1314)</f>
        <v/>
      </c>
      <c r="D1314" t="str">
        <f>IF(A1314="","",'ATP Fills'!B1314)</f>
        <v/>
      </c>
      <c r="E1314" s="3" t="str">
        <f>IF(A1314="","",IF(DATE(LEFT(D1314,4),MID(D1314,5,2),RIGHT(D1314,2))=Helper1!$P$1,Helper1!$P$1,""))</f>
        <v/>
      </c>
      <c r="F1314" s="3" t="str">
        <f>IF(A1314="","",'ATP Fills'!G1314)</f>
        <v/>
      </c>
      <c r="G1314" t="str">
        <f>IF(A1314="","",'ATP Fills'!H1314)</f>
        <v/>
      </c>
      <c r="H1314" t="str">
        <f>IF(A1314="","",VLOOKUP(G1314,表3_3[],2,0))</f>
        <v/>
      </c>
      <c r="I1314" t="str">
        <f>IF(A1314="","",VLOOKUP(G1314,表3_3[],3,0))</f>
        <v/>
      </c>
      <c r="J1314" t="str">
        <f>IF(A1314="","",IF('ATP Fills'!I1314="3M","",VLOOKUP(RIGHT('ATP Fills'!I1314,2),Helper1!$O$36:$P$48,2,0)))</f>
        <v/>
      </c>
      <c r="K1314" t="str">
        <f>IF(J1314="","",LEFT('ATP Fills'!I1314,4))</f>
        <v/>
      </c>
      <c r="L1314" t="str">
        <f>IF(A1314="","",IF('ATP Fills'!G1314="LME",'ATP Fills'!I1314,""))</f>
        <v/>
      </c>
      <c r="M1314" t="str">
        <f t="shared" si="20"/>
        <v/>
      </c>
    </row>
    <row r="1315" spans="1:13">
      <c r="A1315" t="str">
        <f>IF('ATP Fills'!A1315="","",IF('ATP Fills'!Q1315="PHILLIPSG",'ATP Fills'!F1315,""))</f>
        <v/>
      </c>
      <c r="B1315" t="str">
        <f>IF(A1315="","",'ATP Fills'!L1315)</f>
        <v/>
      </c>
      <c r="C1315" t="str">
        <f>IF(A1315="","",'ATP Fills'!M1315)</f>
        <v/>
      </c>
      <c r="D1315" t="str">
        <f>IF(A1315="","",'ATP Fills'!B1315)</f>
        <v/>
      </c>
      <c r="E1315" s="3" t="str">
        <f>IF(A1315="","",IF(DATE(LEFT(D1315,4),MID(D1315,5,2),RIGHT(D1315,2))=Helper1!$P$1,Helper1!$P$1,""))</f>
        <v/>
      </c>
      <c r="F1315" s="3" t="str">
        <f>IF(A1315="","",'ATP Fills'!G1315)</f>
        <v/>
      </c>
      <c r="G1315" t="str">
        <f>IF(A1315="","",'ATP Fills'!H1315)</f>
        <v/>
      </c>
      <c r="H1315" t="str">
        <f>IF(A1315="","",VLOOKUP(G1315,表3_3[],2,0))</f>
        <v/>
      </c>
      <c r="I1315" t="str">
        <f>IF(A1315="","",VLOOKUP(G1315,表3_3[],3,0))</f>
        <v/>
      </c>
      <c r="J1315" t="str">
        <f>IF(A1315="","",IF('ATP Fills'!I1315="3M","",VLOOKUP(RIGHT('ATP Fills'!I1315,2),Helper1!$O$36:$P$48,2,0)))</f>
        <v/>
      </c>
      <c r="K1315" t="str">
        <f>IF(J1315="","",LEFT('ATP Fills'!I1315,4))</f>
        <v/>
      </c>
      <c r="L1315" t="str">
        <f>IF(A1315="","",IF('ATP Fills'!G1315="LME",'ATP Fills'!I1315,""))</f>
        <v/>
      </c>
      <c r="M1315" t="str">
        <f t="shared" si="20"/>
        <v/>
      </c>
    </row>
    <row r="1316" spans="1:13">
      <c r="A1316" t="str">
        <f>IF('ATP Fills'!A1316="","",IF('ATP Fills'!Q1316="PHILLIPSG",'ATP Fills'!F1316,""))</f>
        <v/>
      </c>
      <c r="B1316" t="str">
        <f>IF(A1316="","",'ATP Fills'!L1316)</f>
        <v/>
      </c>
      <c r="C1316" t="str">
        <f>IF(A1316="","",'ATP Fills'!M1316)</f>
        <v/>
      </c>
      <c r="D1316" t="str">
        <f>IF(A1316="","",'ATP Fills'!B1316)</f>
        <v/>
      </c>
      <c r="E1316" s="3" t="str">
        <f>IF(A1316="","",IF(DATE(LEFT(D1316,4),MID(D1316,5,2),RIGHT(D1316,2))=Helper1!$P$1,Helper1!$P$1,""))</f>
        <v/>
      </c>
      <c r="F1316" s="3" t="str">
        <f>IF(A1316="","",'ATP Fills'!G1316)</f>
        <v/>
      </c>
      <c r="G1316" t="str">
        <f>IF(A1316="","",'ATP Fills'!H1316)</f>
        <v/>
      </c>
      <c r="H1316" t="str">
        <f>IF(A1316="","",VLOOKUP(G1316,表3_3[],2,0))</f>
        <v/>
      </c>
      <c r="I1316" t="str">
        <f>IF(A1316="","",VLOOKUP(G1316,表3_3[],3,0))</f>
        <v/>
      </c>
      <c r="J1316" t="str">
        <f>IF(A1316="","",IF('ATP Fills'!I1316="3M","",VLOOKUP(RIGHT('ATP Fills'!I1316,2),Helper1!$O$36:$P$48,2,0)))</f>
        <v/>
      </c>
      <c r="K1316" t="str">
        <f>IF(J1316="","",LEFT('ATP Fills'!I1316,4))</f>
        <v/>
      </c>
      <c r="L1316" t="str">
        <f>IF(A1316="","",IF('ATP Fills'!G1316="LME",'ATP Fills'!I1316,""))</f>
        <v/>
      </c>
      <c r="M1316" t="str">
        <f t="shared" si="20"/>
        <v/>
      </c>
    </row>
    <row r="1317" spans="1:13">
      <c r="A1317" t="str">
        <f>IF('ATP Fills'!A1317="","",IF('ATP Fills'!Q1317="PHILLIPSG",'ATP Fills'!F1317,""))</f>
        <v/>
      </c>
      <c r="B1317" t="str">
        <f>IF(A1317="","",'ATP Fills'!L1317)</f>
        <v/>
      </c>
      <c r="C1317" t="str">
        <f>IF(A1317="","",'ATP Fills'!M1317)</f>
        <v/>
      </c>
      <c r="D1317" t="str">
        <f>IF(A1317="","",'ATP Fills'!B1317)</f>
        <v/>
      </c>
      <c r="E1317" s="3" t="str">
        <f>IF(A1317="","",IF(DATE(LEFT(D1317,4),MID(D1317,5,2),RIGHT(D1317,2))=Helper1!$P$1,Helper1!$P$1,""))</f>
        <v/>
      </c>
      <c r="F1317" s="3" t="str">
        <f>IF(A1317="","",'ATP Fills'!G1317)</f>
        <v/>
      </c>
      <c r="G1317" t="str">
        <f>IF(A1317="","",'ATP Fills'!H1317)</f>
        <v/>
      </c>
      <c r="H1317" t="str">
        <f>IF(A1317="","",VLOOKUP(G1317,表3_3[],2,0))</f>
        <v/>
      </c>
      <c r="I1317" t="str">
        <f>IF(A1317="","",VLOOKUP(G1317,表3_3[],3,0))</f>
        <v/>
      </c>
      <c r="J1317" t="str">
        <f>IF(A1317="","",IF('ATP Fills'!I1317="3M","",VLOOKUP(RIGHT('ATP Fills'!I1317,2),Helper1!$O$36:$P$48,2,0)))</f>
        <v/>
      </c>
      <c r="K1317" t="str">
        <f>IF(J1317="","",LEFT('ATP Fills'!I1317,4))</f>
        <v/>
      </c>
      <c r="L1317" t="str">
        <f>IF(A1317="","",IF('ATP Fills'!G1317="LME",'ATP Fills'!I1317,""))</f>
        <v/>
      </c>
      <c r="M1317" t="str">
        <f t="shared" si="20"/>
        <v/>
      </c>
    </row>
    <row r="1318" spans="1:13">
      <c r="A1318" t="str">
        <f>IF('ATP Fills'!A1318="","",IF('ATP Fills'!Q1318="PHILLIPSG",'ATP Fills'!F1318,""))</f>
        <v/>
      </c>
      <c r="B1318" t="str">
        <f>IF(A1318="","",'ATP Fills'!L1318)</f>
        <v/>
      </c>
      <c r="C1318" t="str">
        <f>IF(A1318="","",'ATP Fills'!M1318)</f>
        <v/>
      </c>
      <c r="D1318" t="str">
        <f>IF(A1318="","",'ATP Fills'!B1318)</f>
        <v/>
      </c>
      <c r="E1318" s="3" t="str">
        <f>IF(A1318="","",IF(DATE(LEFT(D1318,4),MID(D1318,5,2),RIGHT(D1318,2))=Helper1!$P$1,Helper1!$P$1,""))</f>
        <v/>
      </c>
      <c r="F1318" s="3" t="str">
        <f>IF(A1318="","",'ATP Fills'!G1318)</f>
        <v/>
      </c>
      <c r="G1318" t="str">
        <f>IF(A1318="","",'ATP Fills'!H1318)</f>
        <v/>
      </c>
      <c r="H1318" t="str">
        <f>IF(A1318="","",VLOOKUP(G1318,表3_3[],2,0))</f>
        <v/>
      </c>
      <c r="I1318" t="str">
        <f>IF(A1318="","",VLOOKUP(G1318,表3_3[],3,0))</f>
        <v/>
      </c>
      <c r="J1318" t="str">
        <f>IF(A1318="","",IF('ATP Fills'!I1318="3M","",VLOOKUP(RIGHT('ATP Fills'!I1318,2),Helper1!$O$36:$P$48,2,0)))</f>
        <v/>
      </c>
      <c r="K1318" t="str">
        <f>IF(J1318="","",LEFT('ATP Fills'!I1318,4))</f>
        <v/>
      </c>
      <c r="L1318" t="str">
        <f>IF(A1318="","",IF('ATP Fills'!G1318="LME",'ATP Fills'!I1318,""))</f>
        <v/>
      </c>
      <c r="M1318" t="str">
        <f t="shared" si="20"/>
        <v/>
      </c>
    </row>
    <row r="1319" spans="1:13">
      <c r="A1319" t="str">
        <f>IF('ATP Fills'!A1319="","",IF('ATP Fills'!Q1319="PHILLIPSG",'ATP Fills'!F1319,""))</f>
        <v/>
      </c>
      <c r="B1319" t="str">
        <f>IF(A1319="","",'ATP Fills'!L1319)</f>
        <v/>
      </c>
      <c r="C1319" t="str">
        <f>IF(A1319="","",'ATP Fills'!M1319)</f>
        <v/>
      </c>
      <c r="D1319" t="str">
        <f>IF(A1319="","",'ATP Fills'!B1319)</f>
        <v/>
      </c>
      <c r="E1319" s="3" t="str">
        <f>IF(A1319="","",IF(DATE(LEFT(D1319,4),MID(D1319,5,2),RIGHT(D1319,2))=Helper1!$P$1,Helper1!$P$1,""))</f>
        <v/>
      </c>
      <c r="F1319" s="3" t="str">
        <f>IF(A1319="","",'ATP Fills'!G1319)</f>
        <v/>
      </c>
      <c r="G1319" t="str">
        <f>IF(A1319="","",'ATP Fills'!H1319)</f>
        <v/>
      </c>
      <c r="H1319" t="str">
        <f>IF(A1319="","",VLOOKUP(G1319,表3_3[],2,0))</f>
        <v/>
      </c>
      <c r="I1319" t="str">
        <f>IF(A1319="","",VLOOKUP(G1319,表3_3[],3,0))</f>
        <v/>
      </c>
      <c r="J1319" t="str">
        <f>IF(A1319="","",IF('ATP Fills'!I1319="3M","",VLOOKUP(RIGHT('ATP Fills'!I1319,2),Helper1!$O$36:$P$48,2,0)))</f>
        <v/>
      </c>
      <c r="K1319" t="str">
        <f>IF(J1319="","",LEFT('ATP Fills'!I1319,4))</f>
        <v/>
      </c>
      <c r="L1319" t="str">
        <f>IF(A1319="","",IF('ATP Fills'!G1319="LME",'ATP Fills'!I1319,""))</f>
        <v/>
      </c>
      <c r="M1319" t="str">
        <f t="shared" si="20"/>
        <v/>
      </c>
    </row>
    <row r="1320" spans="1:13">
      <c r="A1320" t="str">
        <f>IF('ATP Fills'!A1320="","",IF('ATP Fills'!Q1320="PHILLIPSG",'ATP Fills'!F1320,""))</f>
        <v/>
      </c>
      <c r="B1320" t="str">
        <f>IF(A1320="","",'ATP Fills'!L1320)</f>
        <v/>
      </c>
      <c r="C1320" t="str">
        <f>IF(A1320="","",'ATP Fills'!M1320)</f>
        <v/>
      </c>
      <c r="D1320" t="str">
        <f>IF(A1320="","",'ATP Fills'!B1320)</f>
        <v/>
      </c>
      <c r="E1320" s="3" t="str">
        <f>IF(A1320="","",IF(DATE(LEFT(D1320,4),MID(D1320,5,2),RIGHT(D1320,2))=Helper1!$P$1,Helper1!$P$1,""))</f>
        <v/>
      </c>
      <c r="F1320" s="3" t="str">
        <f>IF(A1320="","",'ATP Fills'!G1320)</f>
        <v/>
      </c>
      <c r="G1320" t="str">
        <f>IF(A1320="","",'ATP Fills'!H1320)</f>
        <v/>
      </c>
      <c r="H1320" t="str">
        <f>IF(A1320="","",VLOOKUP(G1320,表3_3[],2,0))</f>
        <v/>
      </c>
      <c r="I1320" t="str">
        <f>IF(A1320="","",VLOOKUP(G1320,表3_3[],3,0))</f>
        <v/>
      </c>
      <c r="J1320" t="str">
        <f>IF(A1320="","",IF('ATP Fills'!I1320="3M","",VLOOKUP(RIGHT('ATP Fills'!I1320,2),Helper1!$O$36:$P$48,2,0)))</f>
        <v/>
      </c>
      <c r="K1320" t="str">
        <f>IF(J1320="","",LEFT('ATP Fills'!I1320,4))</f>
        <v/>
      </c>
      <c r="L1320" t="str">
        <f>IF(A1320="","",IF('ATP Fills'!G1320="LME",'ATP Fills'!I1320,""))</f>
        <v/>
      </c>
      <c r="M1320" t="str">
        <f t="shared" si="20"/>
        <v/>
      </c>
    </row>
    <row r="1321" spans="1:13">
      <c r="A1321" t="str">
        <f>IF('ATP Fills'!A1321="","",IF('ATP Fills'!Q1321="PHILLIPSG",'ATP Fills'!F1321,""))</f>
        <v/>
      </c>
      <c r="B1321" t="str">
        <f>IF(A1321="","",'ATP Fills'!L1321)</f>
        <v/>
      </c>
      <c r="C1321" t="str">
        <f>IF(A1321="","",'ATP Fills'!M1321)</f>
        <v/>
      </c>
      <c r="D1321" t="str">
        <f>IF(A1321="","",'ATP Fills'!B1321)</f>
        <v/>
      </c>
      <c r="E1321" s="3" t="str">
        <f>IF(A1321="","",IF(DATE(LEFT(D1321,4),MID(D1321,5,2),RIGHT(D1321,2))=Helper1!$P$1,Helper1!$P$1,""))</f>
        <v/>
      </c>
      <c r="F1321" s="3" t="str">
        <f>IF(A1321="","",'ATP Fills'!G1321)</f>
        <v/>
      </c>
      <c r="G1321" t="str">
        <f>IF(A1321="","",'ATP Fills'!H1321)</f>
        <v/>
      </c>
      <c r="H1321" t="str">
        <f>IF(A1321="","",VLOOKUP(G1321,表3_3[],2,0))</f>
        <v/>
      </c>
      <c r="I1321" t="str">
        <f>IF(A1321="","",VLOOKUP(G1321,表3_3[],3,0))</f>
        <v/>
      </c>
      <c r="J1321" t="str">
        <f>IF(A1321="","",IF('ATP Fills'!I1321="3M","",VLOOKUP(RIGHT('ATP Fills'!I1321,2),Helper1!$O$36:$P$48,2,0)))</f>
        <v/>
      </c>
      <c r="K1321" t="str">
        <f>IF(J1321="","",LEFT('ATP Fills'!I1321,4))</f>
        <v/>
      </c>
      <c r="L1321" t="str">
        <f>IF(A1321="","",IF('ATP Fills'!G1321="LME",'ATP Fills'!I1321,""))</f>
        <v/>
      </c>
      <c r="M1321" t="str">
        <f t="shared" si="20"/>
        <v/>
      </c>
    </row>
    <row r="1322" spans="1:13">
      <c r="A1322" t="str">
        <f>IF('ATP Fills'!A1322="","",IF('ATP Fills'!Q1322="PHILLIPSG",'ATP Fills'!F1322,""))</f>
        <v/>
      </c>
      <c r="B1322" t="str">
        <f>IF(A1322="","",'ATP Fills'!L1322)</f>
        <v/>
      </c>
      <c r="C1322" t="str">
        <f>IF(A1322="","",'ATP Fills'!M1322)</f>
        <v/>
      </c>
      <c r="D1322" t="str">
        <f>IF(A1322="","",'ATP Fills'!B1322)</f>
        <v/>
      </c>
      <c r="E1322" s="3" t="str">
        <f>IF(A1322="","",IF(DATE(LEFT(D1322,4),MID(D1322,5,2),RIGHT(D1322,2))=Helper1!$P$1,Helper1!$P$1,""))</f>
        <v/>
      </c>
      <c r="F1322" s="3" t="str">
        <f>IF(A1322="","",'ATP Fills'!G1322)</f>
        <v/>
      </c>
      <c r="G1322" t="str">
        <f>IF(A1322="","",'ATP Fills'!H1322)</f>
        <v/>
      </c>
      <c r="H1322" t="str">
        <f>IF(A1322="","",VLOOKUP(G1322,表3_3[],2,0))</f>
        <v/>
      </c>
      <c r="I1322" t="str">
        <f>IF(A1322="","",VLOOKUP(G1322,表3_3[],3,0))</f>
        <v/>
      </c>
      <c r="J1322" t="str">
        <f>IF(A1322="","",IF('ATP Fills'!I1322="3M","",VLOOKUP(RIGHT('ATP Fills'!I1322,2),Helper1!$O$36:$P$48,2,0)))</f>
        <v/>
      </c>
      <c r="K1322" t="str">
        <f>IF(J1322="","",LEFT('ATP Fills'!I1322,4))</f>
        <v/>
      </c>
      <c r="L1322" t="str">
        <f>IF(A1322="","",IF('ATP Fills'!G1322="LME",'ATP Fills'!I1322,""))</f>
        <v/>
      </c>
      <c r="M1322" t="str">
        <f t="shared" si="20"/>
        <v/>
      </c>
    </row>
    <row r="1323" spans="1:13">
      <c r="A1323" t="str">
        <f>IF('ATP Fills'!A1323="","",IF('ATP Fills'!Q1323="PHILLIPSG",'ATP Fills'!F1323,""))</f>
        <v/>
      </c>
      <c r="B1323" t="str">
        <f>IF(A1323="","",'ATP Fills'!L1323)</f>
        <v/>
      </c>
      <c r="C1323" t="str">
        <f>IF(A1323="","",'ATP Fills'!M1323)</f>
        <v/>
      </c>
      <c r="D1323" t="str">
        <f>IF(A1323="","",'ATP Fills'!B1323)</f>
        <v/>
      </c>
      <c r="E1323" s="3" t="str">
        <f>IF(A1323="","",IF(DATE(LEFT(D1323,4),MID(D1323,5,2),RIGHT(D1323,2))=Helper1!$P$1,Helper1!$P$1,""))</f>
        <v/>
      </c>
      <c r="F1323" s="3" t="str">
        <f>IF(A1323="","",'ATP Fills'!G1323)</f>
        <v/>
      </c>
      <c r="G1323" t="str">
        <f>IF(A1323="","",'ATP Fills'!H1323)</f>
        <v/>
      </c>
      <c r="H1323" t="str">
        <f>IF(A1323="","",VLOOKUP(G1323,表3_3[],2,0))</f>
        <v/>
      </c>
      <c r="I1323" t="str">
        <f>IF(A1323="","",VLOOKUP(G1323,表3_3[],3,0))</f>
        <v/>
      </c>
      <c r="J1323" t="str">
        <f>IF(A1323="","",IF('ATP Fills'!I1323="3M","",VLOOKUP(RIGHT('ATP Fills'!I1323,2),Helper1!$O$36:$P$48,2,0)))</f>
        <v/>
      </c>
      <c r="K1323" t="str">
        <f>IF(J1323="","",LEFT('ATP Fills'!I1323,4))</f>
        <v/>
      </c>
      <c r="L1323" t="str">
        <f>IF(A1323="","",IF('ATP Fills'!G1323="LME",'ATP Fills'!I1323,""))</f>
        <v/>
      </c>
      <c r="M1323" t="str">
        <f t="shared" si="20"/>
        <v/>
      </c>
    </row>
    <row r="1324" spans="1:13">
      <c r="A1324" t="str">
        <f>IF('ATP Fills'!A1324="","",IF('ATP Fills'!Q1324="PHILLIPSG",'ATP Fills'!F1324,""))</f>
        <v/>
      </c>
      <c r="B1324" t="str">
        <f>IF(A1324="","",'ATP Fills'!L1324)</f>
        <v/>
      </c>
      <c r="C1324" t="str">
        <f>IF(A1324="","",'ATP Fills'!M1324)</f>
        <v/>
      </c>
      <c r="D1324" t="str">
        <f>IF(A1324="","",'ATP Fills'!B1324)</f>
        <v/>
      </c>
      <c r="E1324" s="3" t="str">
        <f>IF(A1324="","",IF(DATE(LEFT(D1324,4),MID(D1324,5,2),RIGHT(D1324,2))=Helper1!$P$1,Helper1!$P$1,""))</f>
        <v/>
      </c>
      <c r="F1324" s="3" t="str">
        <f>IF(A1324="","",'ATP Fills'!G1324)</f>
        <v/>
      </c>
      <c r="G1324" t="str">
        <f>IF(A1324="","",'ATP Fills'!H1324)</f>
        <v/>
      </c>
      <c r="H1324" t="str">
        <f>IF(A1324="","",VLOOKUP(G1324,表3_3[],2,0))</f>
        <v/>
      </c>
      <c r="I1324" t="str">
        <f>IF(A1324="","",VLOOKUP(G1324,表3_3[],3,0))</f>
        <v/>
      </c>
      <c r="J1324" t="str">
        <f>IF(A1324="","",IF('ATP Fills'!I1324="3M","",VLOOKUP(RIGHT('ATP Fills'!I1324,2),Helper1!$O$36:$P$48,2,0)))</f>
        <v/>
      </c>
      <c r="K1324" t="str">
        <f>IF(J1324="","",LEFT('ATP Fills'!I1324,4))</f>
        <v/>
      </c>
      <c r="L1324" t="str">
        <f>IF(A1324="","",IF('ATP Fills'!G1324="LME",'ATP Fills'!I1324,""))</f>
        <v/>
      </c>
      <c r="M1324" t="str">
        <f t="shared" si="20"/>
        <v/>
      </c>
    </row>
    <row r="1325" spans="1:13">
      <c r="A1325" t="str">
        <f>IF('ATP Fills'!A1325="","",IF('ATP Fills'!Q1325="PHILLIPSG",'ATP Fills'!F1325,""))</f>
        <v/>
      </c>
      <c r="B1325" t="str">
        <f>IF(A1325="","",'ATP Fills'!L1325)</f>
        <v/>
      </c>
      <c r="C1325" t="str">
        <f>IF(A1325="","",'ATP Fills'!M1325)</f>
        <v/>
      </c>
      <c r="D1325" t="str">
        <f>IF(A1325="","",'ATP Fills'!B1325)</f>
        <v/>
      </c>
      <c r="E1325" s="3" t="str">
        <f>IF(A1325="","",IF(DATE(LEFT(D1325,4),MID(D1325,5,2),RIGHT(D1325,2))=Helper1!$P$1,Helper1!$P$1,""))</f>
        <v/>
      </c>
      <c r="F1325" s="3" t="str">
        <f>IF(A1325="","",'ATP Fills'!G1325)</f>
        <v/>
      </c>
      <c r="G1325" t="str">
        <f>IF(A1325="","",'ATP Fills'!H1325)</f>
        <v/>
      </c>
      <c r="H1325" t="str">
        <f>IF(A1325="","",VLOOKUP(G1325,表3_3[],2,0))</f>
        <v/>
      </c>
      <c r="I1325" t="str">
        <f>IF(A1325="","",VLOOKUP(G1325,表3_3[],3,0))</f>
        <v/>
      </c>
      <c r="J1325" t="str">
        <f>IF(A1325="","",IF('ATP Fills'!I1325="3M","",VLOOKUP(RIGHT('ATP Fills'!I1325,2),Helper1!$O$36:$P$48,2,0)))</f>
        <v/>
      </c>
      <c r="K1325" t="str">
        <f>IF(J1325="","",LEFT('ATP Fills'!I1325,4))</f>
        <v/>
      </c>
      <c r="L1325" t="str">
        <f>IF(A1325="","",IF('ATP Fills'!G1325="LME",'ATP Fills'!I1325,""))</f>
        <v/>
      </c>
      <c r="M1325" t="str">
        <f t="shared" si="20"/>
        <v/>
      </c>
    </row>
    <row r="1326" spans="1:13">
      <c r="A1326" t="str">
        <f>IF('ATP Fills'!A1326="","",IF('ATP Fills'!Q1326="PHILLIPSG",'ATP Fills'!F1326,""))</f>
        <v/>
      </c>
      <c r="B1326" t="str">
        <f>IF(A1326="","",'ATP Fills'!L1326)</f>
        <v/>
      </c>
      <c r="C1326" t="str">
        <f>IF(A1326="","",'ATP Fills'!M1326)</f>
        <v/>
      </c>
      <c r="D1326" t="str">
        <f>IF(A1326="","",'ATP Fills'!B1326)</f>
        <v/>
      </c>
      <c r="E1326" s="3" t="str">
        <f>IF(A1326="","",IF(DATE(LEFT(D1326,4),MID(D1326,5,2),RIGHT(D1326,2))=Helper1!$P$1,Helper1!$P$1,""))</f>
        <v/>
      </c>
      <c r="F1326" s="3" t="str">
        <f>IF(A1326="","",'ATP Fills'!G1326)</f>
        <v/>
      </c>
      <c r="G1326" t="str">
        <f>IF(A1326="","",'ATP Fills'!H1326)</f>
        <v/>
      </c>
      <c r="H1326" t="str">
        <f>IF(A1326="","",VLOOKUP(G1326,表3_3[],2,0))</f>
        <v/>
      </c>
      <c r="I1326" t="str">
        <f>IF(A1326="","",VLOOKUP(G1326,表3_3[],3,0))</f>
        <v/>
      </c>
      <c r="J1326" t="str">
        <f>IF(A1326="","",IF('ATP Fills'!I1326="3M","",VLOOKUP(RIGHT('ATP Fills'!I1326,2),Helper1!$O$36:$P$48,2,0)))</f>
        <v/>
      </c>
      <c r="K1326" t="str">
        <f>IF(J1326="","",LEFT('ATP Fills'!I1326,4))</f>
        <v/>
      </c>
      <c r="L1326" t="str">
        <f>IF(A1326="","",IF('ATP Fills'!G1326="LME",'ATP Fills'!I1326,""))</f>
        <v/>
      </c>
      <c r="M1326" t="str">
        <f t="shared" si="20"/>
        <v/>
      </c>
    </row>
    <row r="1327" spans="1:13">
      <c r="A1327" t="str">
        <f>IF('ATP Fills'!A1327="","",IF('ATP Fills'!Q1327="PHILLIPSG",'ATP Fills'!F1327,""))</f>
        <v/>
      </c>
      <c r="B1327" t="str">
        <f>IF(A1327="","",'ATP Fills'!L1327)</f>
        <v/>
      </c>
      <c r="C1327" t="str">
        <f>IF(A1327="","",'ATP Fills'!M1327)</f>
        <v/>
      </c>
      <c r="D1327" t="str">
        <f>IF(A1327="","",'ATP Fills'!B1327)</f>
        <v/>
      </c>
      <c r="E1327" s="3" t="str">
        <f>IF(A1327="","",IF(DATE(LEFT(D1327,4),MID(D1327,5,2),RIGHT(D1327,2))=Helper1!$P$1,Helper1!$P$1,""))</f>
        <v/>
      </c>
      <c r="F1327" s="3" t="str">
        <f>IF(A1327="","",'ATP Fills'!G1327)</f>
        <v/>
      </c>
      <c r="G1327" t="str">
        <f>IF(A1327="","",'ATP Fills'!H1327)</f>
        <v/>
      </c>
      <c r="H1327" t="str">
        <f>IF(A1327="","",VLOOKUP(G1327,表3_3[],2,0))</f>
        <v/>
      </c>
      <c r="I1327" t="str">
        <f>IF(A1327="","",VLOOKUP(G1327,表3_3[],3,0))</f>
        <v/>
      </c>
      <c r="J1327" t="str">
        <f>IF(A1327="","",IF('ATP Fills'!I1327="3M","",VLOOKUP(RIGHT('ATP Fills'!I1327,2),Helper1!$O$36:$P$48,2,0)))</f>
        <v/>
      </c>
      <c r="K1327" t="str">
        <f>IF(J1327="","",LEFT('ATP Fills'!I1327,4))</f>
        <v/>
      </c>
      <c r="L1327" t="str">
        <f>IF(A1327="","",IF('ATP Fills'!G1327="LME",'ATP Fills'!I1327,""))</f>
        <v/>
      </c>
      <c r="M1327" t="str">
        <f t="shared" si="20"/>
        <v/>
      </c>
    </row>
    <row r="1328" spans="1:13">
      <c r="A1328" t="str">
        <f>IF('ATP Fills'!A1328="","",IF('ATP Fills'!Q1328="PHILLIPSG",'ATP Fills'!F1328,""))</f>
        <v/>
      </c>
      <c r="B1328" t="str">
        <f>IF(A1328="","",'ATP Fills'!L1328)</f>
        <v/>
      </c>
      <c r="C1328" t="str">
        <f>IF(A1328="","",'ATP Fills'!M1328)</f>
        <v/>
      </c>
      <c r="D1328" t="str">
        <f>IF(A1328="","",'ATP Fills'!B1328)</f>
        <v/>
      </c>
      <c r="E1328" s="3" t="str">
        <f>IF(A1328="","",IF(DATE(LEFT(D1328,4),MID(D1328,5,2),RIGHT(D1328,2))=Helper1!$P$1,Helper1!$P$1,""))</f>
        <v/>
      </c>
      <c r="F1328" s="3" t="str">
        <f>IF(A1328="","",'ATP Fills'!G1328)</f>
        <v/>
      </c>
      <c r="G1328" t="str">
        <f>IF(A1328="","",'ATP Fills'!H1328)</f>
        <v/>
      </c>
      <c r="H1328" t="str">
        <f>IF(A1328="","",VLOOKUP(G1328,表3_3[],2,0))</f>
        <v/>
      </c>
      <c r="I1328" t="str">
        <f>IF(A1328="","",VLOOKUP(G1328,表3_3[],3,0))</f>
        <v/>
      </c>
      <c r="J1328" t="str">
        <f>IF(A1328="","",IF('ATP Fills'!I1328="3M","",VLOOKUP(RIGHT('ATP Fills'!I1328,2),Helper1!$O$36:$P$48,2,0)))</f>
        <v/>
      </c>
      <c r="K1328" t="str">
        <f>IF(J1328="","",LEFT('ATP Fills'!I1328,4))</f>
        <v/>
      </c>
      <c r="L1328" t="str">
        <f>IF(A1328="","",IF('ATP Fills'!G1328="LME",'ATP Fills'!I1328,""))</f>
        <v/>
      </c>
      <c r="M1328" t="str">
        <f t="shared" si="20"/>
        <v/>
      </c>
    </row>
    <row r="1329" spans="1:13">
      <c r="A1329" t="str">
        <f>IF('ATP Fills'!A1329="","",IF('ATP Fills'!Q1329="PHILLIPSG",'ATP Fills'!F1329,""))</f>
        <v/>
      </c>
      <c r="B1329" t="str">
        <f>IF(A1329="","",'ATP Fills'!L1329)</f>
        <v/>
      </c>
      <c r="C1329" t="str">
        <f>IF(A1329="","",'ATP Fills'!M1329)</f>
        <v/>
      </c>
      <c r="D1329" t="str">
        <f>IF(A1329="","",'ATP Fills'!B1329)</f>
        <v/>
      </c>
      <c r="E1329" s="3" t="str">
        <f>IF(A1329="","",IF(DATE(LEFT(D1329,4),MID(D1329,5,2),RIGHT(D1329,2))=Helper1!$P$1,Helper1!$P$1,""))</f>
        <v/>
      </c>
      <c r="F1329" s="3" t="str">
        <f>IF(A1329="","",'ATP Fills'!G1329)</f>
        <v/>
      </c>
      <c r="G1329" t="str">
        <f>IF(A1329="","",'ATP Fills'!H1329)</f>
        <v/>
      </c>
      <c r="H1329" t="str">
        <f>IF(A1329="","",VLOOKUP(G1329,表3_3[],2,0))</f>
        <v/>
      </c>
      <c r="I1329" t="str">
        <f>IF(A1329="","",VLOOKUP(G1329,表3_3[],3,0))</f>
        <v/>
      </c>
      <c r="J1329" t="str">
        <f>IF(A1329="","",IF('ATP Fills'!I1329="3M","",VLOOKUP(RIGHT('ATP Fills'!I1329,2),Helper1!$O$36:$P$48,2,0)))</f>
        <v/>
      </c>
      <c r="K1329" t="str">
        <f>IF(J1329="","",LEFT('ATP Fills'!I1329,4))</f>
        <v/>
      </c>
      <c r="L1329" t="str">
        <f>IF(A1329="","",IF('ATP Fills'!G1329="LME",'ATP Fills'!I1329,""))</f>
        <v/>
      </c>
      <c r="M1329" t="str">
        <f t="shared" si="20"/>
        <v/>
      </c>
    </row>
    <row r="1330" spans="1:13">
      <c r="A1330" t="str">
        <f>IF('ATP Fills'!A1330="","",IF('ATP Fills'!Q1330="PHILLIPSG",'ATP Fills'!F1330,""))</f>
        <v/>
      </c>
      <c r="B1330" t="str">
        <f>IF(A1330="","",'ATP Fills'!L1330)</f>
        <v/>
      </c>
      <c r="C1330" t="str">
        <f>IF(A1330="","",'ATP Fills'!M1330)</f>
        <v/>
      </c>
      <c r="D1330" t="str">
        <f>IF(A1330="","",'ATP Fills'!B1330)</f>
        <v/>
      </c>
      <c r="E1330" s="3" t="str">
        <f>IF(A1330="","",IF(DATE(LEFT(D1330,4),MID(D1330,5,2),RIGHT(D1330,2))=Helper1!$P$1,Helper1!$P$1,""))</f>
        <v/>
      </c>
      <c r="F1330" s="3" t="str">
        <f>IF(A1330="","",'ATP Fills'!G1330)</f>
        <v/>
      </c>
      <c r="G1330" t="str">
        <f>IF(A1330="","",'ATP Fills'!H1330)</f>
        <v/>
      </c>
      <c r="H1330" t="str">
        <f>IF(A1330="","",VLOOKUP(G1330,表3_3[],2,0))</f>
        <v/>
      </c>
      <c r="I1330" t="str">
        <f>IF(A1330="","",VLOOKUP(G1330,表3_3[],3,0))</f>
        <v/>
      </c>
      <c r="J1330" t="str">
        <f>IF(A1330="","",IF('ATP Fills'!I1330="3M","",VLOOKUP(RIGHT('ATP Fills'!I1330,2),Helper1!$O$36:$P$48,2,0)))</f>
        <v/>
      </c>
      <c r="K1330" t="str">
        <f>IF(J1330="","",LEFT('ATP Fills'!I1330,4))</f>
        <v/>
      </c>
      <c r="L1330" t="str">
        <f>IF(A1330="","",IF('ATP Fills'!G1330="LME",'ATP Fills'!I1330,""))</f>
        <v/>
      </c>
      <c r="M1330" t="str">
        <f t="shared" si="20"/>
        <v/>
      </c>
    </row>
    <row r="1331" spans="1:13">
      <c r="A1331" t="str">
        <f>IF('ATP Fills'!A1331="","",IF('ATP Fills'!Q1331="PHILLIPSG",'ATP Fills'!F1331,""))</f>
        <v/>
      </c>
      <c r="B1331" t="str">
        <f>IF(A1331="","",'ATP Fills'!L1331)</f>
        <v/>
      </c>
      <c r="C1331" t="str">
        <f>IF(A1331="","",'ATP Fills'!M1331)</f>
        <v/>
      </c>
      <c r="D1331" t="str">
        <f>IF(A1331="","",'ATP Fills'!B1331)</f>
        <v/>
      </c>
      <c r="E1331" s="3" t="str">
        <f>IF(A1331="","",IF(DATE(LEFT(D1331,4),MID(D1331,5,2),RIGHT(D1331,2))=Helper1!$P$1,Helper1!$P$1,""))</f>
        <v/>
      </c>
      <c r="F1331" s="3" t="str">
        <f>IF(A1331="","",'ATP Fills'!G1331)</f>
        <v/>
      </c>
      <c r="G1331" t="str">
        <f>IF(A1331="","",'ATP Fills'!H1331)</f>
        <v/>
      </c>
      <c r="H1331" t="str">
        <f>IF(A1331="","",VLOOKUP(G1331,表3_3[],2,0))</f>
        <v/>
      </c>
      <c r="I1331" t="str">
        <f>IF(A1331="","",VLOOKUP(G1331,表3_3[],3,0))</f>
        <v/>
      </c>
      <c r="J1331" t="str">
        <f>IF(A1331="","",IF('ATP Fills'!I1331="3M","",VLOOKUP(RIGHT('ATP Fills'!I1331,2),Helper1!$O$36:$P$48,2,0)))</f>
        <v/>
      </c>
      <c r="K1331" t="str">
        <f>IF(J1331="","",LEFT('ATP Fills'!I1331,4))</f>
        <v/>
      </c>
      <c r="L1331" t="str">
        <f>IF(A1331="","",IF('ATP Fills'!G1331="LME",'ATP Fills'!I1331,""))</f>
        <v/>
      </c>
      <c r="M1331" t="str">
        <f t="shared" si="20"/>
        <v/>
      </c>
    </row>
    <row r="1332" spans="1:13">
      <c r="A1332" t="str">
        <f>IF('ATP Fills'!A1332="","",IF('ATP Fills'!Q1332="PHILLIPSG",'ATP Fills'!F1332,""))</f>
        <v/>
      </c>
      <c r="B1332" t="str">
        <f>IF(A1332="","",'ATP Fills'!L1332)</f>
        <v/>
      </c>
      <c r="C1332" t="str">
        <f>IF(A1332="","",'ATP Fills'!M1332)</f>
        <v/>
      </c>
      <c r="D1332" t="str">
        <f>IF(A1332="","",'ATP Fills'!B1332)</f>
        <v/>
      </c>
      <c r="E1332" s="3" t="str">
        <f>IF(A1332="","",IF(DATE(LEFT(D1332,4),MID(D1332,5,2),RIGHT(D1332,2))=Helper1!$P$1,Helper1!$P$1,""))</f>
        <v/>
      </c>
      <c r="F1332" s="3" t="str">
        <f>IF(A1332="","",'ATP Fills'!G1332)</f>
        <v/>
      </c>
      <c r="G1332" t="str">
        <f>IF(A1332="","",'ATP Fills'!H1332)</f>
        <v/>
      </c>
      <c r="H1332" t="str">
        <f>IF(A1332="","",VLOOKUP(G1332,表3_3[],2,0))</f>
        <v/>
      </c>
      <c r="I1332" t="str">
        <f>IF(A1332="","",VLOOKUP(G1332,表3_3[],3,0))</f>
        <v/>
      </c>
      <c r="J1332" t="str">
        <f>IF(A1332="","",IF('ATP Fills'!I1332="3M","",VLOOKUP(RIGHT('ATP Fills'!I1332,2),Helper1!$O$36:$P$48,2,0)))</f>
        <v/>
      </c>
      <c r="K1332" t="str">
        <f>IF(J1332="","",LEFT('ATP Fills'!I1332,4))</f>
        <v/>
      </c>
      <c r="L1332" t="str">
        <f>IF(A1332="","",IF('ATP Fills'!G1332="LME",'ATP Fills'!I1332,""))</f>
        <v/>
      </c>
      <c r="M1332" t="str">
        <f t="shared" si="20"/>
        <v/>
      </c>
    </row>
    <row r="1333" spans="1:13">
      <c r="A1333" t="str">
        <f>IF('ATP Fills'!A1333="","",IF('ATP Fills'!Q1333="PHILLIPSG",'ATP Fills'!F1333,""))</f>
        <v/>
      </c>
      <c r="B1333" t="str">
        <f>IF(A1333="","",'ATP Fills'!L1333)</f>
        <v/>
      </c>
      <c r="C1333" t="str">
        <f>IF(A1333="","",'ATP Fills'!M1333)</f>
        <v/>
      </c>
      <c r="D1333" t="str">
        <f>IF(A1333="","",'ATP Fills'!B1333)</f>
        <v/>
      </c>
      <c r="E1333" s="3" t="str">
        <f>IF(A1333="","",IF(DATE(LEFT(D1333,4),MID(D1333,5,2),RIGHT(D1333,2))=Helper1!$P$1,Helper1!$P$1,""))</f>
        <v/>
      </c>
      <c r="F1333" s="3" t="str">
        <f>IF(A1333="","",'ATP Fills'!G1333)</f>
        <v/>
      </c>
      <c r="G1333" t="str">
        <f>IF(A1333="","",'ATP Fills'!H1333)</f>
        <v/>
      </c>
      <c r="H1333" t="str">
        <f>IF(A1333="","",VLOOKUP(G1333,表3_3[],2,0))</f>
        <v/>
      </c>
      <c r="I1333" t="str">
        <f>IF(A1333="","",VLOOKUP(G1333,表3_3[],3,0))</f>
        <v/>
      </c>
      <c r="J1333" t="str">
        <f>IF(A1333="","",IF('ATP Fills'!I1333="3M","",VLOOKUP(RIGHT('ATP Fills'!I1333,2),Helper1!$O$36:$P$48,2,0)))</f>
        <v/>
      </c>
      <c r="K1333" t="str">
        <f>IF(J1333="","",LEFT('ATP Fills'!I1333,4))</f>
        <v/>
      </c>
      <c r="L1333" t="str">
        <f>IF(A1333="","",IF('ATP Fills'!G1333="LME",'ATP Fills'!I1333,""))</f>
        <v/>
      </c>
      <c r="M1333" t="str">
        <f t="shared" si="20"/>
        <v/>
      </c>
    </row>
    <row r="1334" spans="1:13">
      <c r="A1334" t="str">
        <f>IF('ATP Fills'!A1334="","",IF('ATP Fills'!Q1334="PHILLIPSG",'ATP Fills'!F1334,""))</f>
        <v/>
      </c>
      <c r="B1334" t="str">
        <f>IF(A1334="","",'ATP Fills'!L1334)</f>
        <v/>
      </c>
      <c r="C1334" t="str">
        <f>IF(A1334="","",'ATP Fills'!M1334)</f>
        <v/>
      </c>
      <c r="D1334" t="str">
        <f>IF(A1334="","",'ATP Fills'!B1334)</f>
        <v/>
      </c>
      <c r="E1334" s="3" t="str">
        <f>IF(A1334="","",IF(DATE(LEFT(D1334,4),MID(D1334,5,2),RIGHT(D1334,2))=Helper1!$P$1,Helper1!$P$1,""))</f>
        <v/>
      </c>
      <c r="F1334" s="3" t="str">
        <f>IF(A1334="","",'ATP Fills'!G1334)</f>
        <v/>
      </c>
      <c r="G1334" t="str">
        <f>IF(A1334="","",'ATP Fills'!H1334)</f>
        <v/>
      </c>
      <c r="H1334" t="str">
        <f>IF(A1334="","",VLOOKUP(G1334,表3_3[],2,0))</f>
        <v/>
      </c>
      <c r="I1334" t="str">
        <f>IF(A1334="","",VLOOKUP(G1334,表3_3[],3,0))</f>
        <v/>
      </c>
      <c r="J1334" t="str">
        <f>IF(A1334="","",IF('ATP Fills'!I1334="3M","",VLOOKUP(RIGHT('ATP Fills'!I1334,2),Helper1!$O$36:$P$48,2,0)))</f>
        <v/>
      </c>
      <c r="K1334" t="str">
        <f>IF(J1334="","",LEFT('ATP Fills'!I1334,4))</f>
        <v/>
      </c>
      <c r="L1334" t="str">
        <f>IF(A1334="","",IF('ATP Fills'!G1334="LME",'ATP Fills'!I1334,""))</f>
        <v/>
      </c>
      <c r="M1334" t="str">
        <f t="shared" si="20"/>
        <v/>
      </c>
    </row>
    <row r="1335" spans="1:13">
      <c r="A1335" t="str">
        <f>IF('ATP Fills'!A1335="","",IF('ATP Fills'!Q1335="PHILLIPSG",'ATP Fills'!F1335,""))</f>
        <v/>
      </c>
      <c r="B1335" t="str">
        <f>IF(A1335="","",'ATP Fills'!L1335)</f>
        <v/>
      </c>
      <c r="C1335" t="str">
        <f>IF(A1335="","",'ATP Fills'!M1335)</f>
        <v/>
      </c>
      <c r="D1335" t="str">
        <f>IF(A1335="","",'ATP Fills'!B1335)</f>
        <v/>
      </c>
      <c r="E1335" s="3" t="str">
        <f>IF(A1335="","",IF(DATE(LEFT(D1335,4),MID(D1335,5,2),RIGHT(D1335,2))=Helper1!$P$1,Helper1!$P$1,""))</f>
        <v/>
      </c>
      <c r="F1335" s="3" t="str">
        <f>IF(A1335="","",'ATP Fills'!G1335)</f>
        <v/>
      </c>
      <c r="G1335" t="str">
        <f>IF(A1335="","",'ATP Fills'!H1335)</f>
        <v/>
      </c>
      <c r="H1335" t="str">
        <f>IF(A1335="","",VLOOKUP(G1335,表3_3[],2,0))</f>
        <v/>
      </c>
      <c r="I1335" t="str">
        <f>IF(A1335="","",VLOOKUP(G1335,表3_3[],3,0))</f>
        <v/>
      </c>
      <c r="J1335" t="str">
        <f>IF(A1335="","",IF('ATP Fills'!I1335="3M","",VLOOKUP(RIGHT('ATP Fills'!I1335,2),Helper1!$O$36:$P$48,2,0)))</f>
        <v/>
      </c>
      <c r="K1335" t="str">
        <f>IF(J1335="","",LEFT('ATP Fills'!I1335,4))</f>
        <v/>
      </c>
      <c r="L1335" t="str">
        <f>IF(A1335="","",IF('ATP Fills'!G1335="LME",'ATP Fills'!I1335,""))</f>
        <v/>
      </c>
      <c r="M1335" t="str">
        <f t="shared" si="20"/>
        <v/>
      </c>
    </row>
    <row r="1336" spans="1:13">
      <c r="A1336" t="str">
        <f>IF('ATP Fills'!A1336="","",IF('ATP Fills'!Q1336="PHILLIPSG",'ATP Fills'!F1336,""))</f>
        <v/>
      </c>
      <c r="B1336" t="str">
        <f>IF(A1336="","",'ATP Fills'!L1336)</f>
        <v/>
      </c>
      <c r="C1336" t="str">
        <f>IF(A1336="","",'ATP Fills'!M1336)</f>
        <v/>
      </c>
      <c r="D1336" t="str">
        <f>IF(A1336="","",'ATP Fills'!B1336)</f>
        <v/>
      </c>
      <c r="E1336" s="3" t="str">
        <f>IF(A1336="","",IF(DATE(LEFT(D1336,4),MID(D1336,5,2),RIGHT(D1336,2))=Helper1!$P$1,Helper1!$P$1,""))</f>
        <v/>
      </c>
      <c r="F1336" s="3" t="str">
        <f>IF(A1336="","",'ATP Fills'!G1336)</f>
        <v/>
      </c>
      <c r="G1336" t="str">
        <f>IF(A1336="","",'ATP Fills'!H1336)</f>
        <v/>
      </c>
      <c r="H1336" t="str">
        <f>IF(A1336="","",VLOOKUP(G1336,表3_3[],2,0))</f>
        <v/>
      </c>
      <c r="I1336" t="str">
        <f>IF(A1336="","",VLOOKUP(G1336,表3_3[],3,0))</f>
        <v/>
      </c>
      <c r="J1336" t="str">
        <f>IF(A1336="","",IF('ATP Fills'!I1336="3M","",VLOOKUP(RIGHT('ATP Fills'!I1336,2),Helper1!$O$36:$P$48,2,0)))</f>
        <v/>
      </c>
      <c r="K1336" t="str">
        <f>IF(J1336="","",LEFT('ATP Fills'!I1336,4))</f>
        <v/>
      </c>
      <c r="L1336" t="str">
        <f>IF(A1336="","",IF('ATP Fills'!G1336="LME",'ATP Fills'!I1336,""))</f>
        <v/>
      </c>
      <c r="M1336" t="str">
        <f t="shared" si="20"/>
        <v/>
      </c>
    </row>
    <row r="1337" spans="1:13">
      <c r="A1337" t="str">
        <f>IF('ATP Fills'!A1337="","",IF('ATP Fills'!Q1337="PHILLIPSG",'ATP Fills'!F1337,""))</f>
        <v/>
      </c>
      <c r="B1337" t="str">
        <f>IF(A1337="","",'ATP Fills'!L1337)</f>
        <v/>
      </c>
      <c r="C1337" t="str">
        <f>IF(A1337="","",'ATP Fills'!M1337)</f>
        <v/>
      </c>
      <c r="D1337" t="str">
        <f>IF(A1337="","",'ATP Fills'!B1337)</f>
        <v/>
      </c>
      <c r="E1337" s="3" t="str">
        <f>IF(A1337="","",IF(DATE(LEFT(D1337,4),MID(D1337,5,2),RIGHT(D1337,2))=Helper1!$P$1,Helper1!$P$1,""))</f>
        <v/>
      </c>
      <c r="F1337" s="3" t="str">
        <f>IF(A1337="","",'ATP Fills'!G1337)</f>
        <v/>
      </c>
      <c r="G1337" t="str">
        <f>IF(A1337="","",'ATP Fills'!H1337)</f>
        <v/>
      </c>
      <c r="H1337" t="str">
        <f>IF(A1337="","",VLOOKUP(G1337,表3_3[],2,0))</f>
        <v/>
      </c>
      <c r="I1337" t="str">
        <f>IF(A1337="","",VLOOKUP(G1337,表3_3[],3,0))</f>
        <v/>
      </c>
      <c r="J1337" t="str">
        <f>IF(A1337="","",IF('ATP Fills'!I1337="3M","",VLOOKUP(RIGHT('ATP Fills'!I1337,2),Helper1!$O$36:$P$48,2,0)))</f>
        <v/>
      </c>
      <c r="K1337" t="str">
        <f>IF(J1337="","",LEFT('ATP Fills'!I1337,4))</f>
        <v/>
      </c>
      <c r="L1337" t="str">
        <f>IF(A1337="","",IF('ATP Fills'!G1337="LME",'ATP Fills'!I1337,""))</f>
        <v/>
      </c>
      <c r="M1337" t="str">
        <f t="shared" si="20"/>
        <v/>
      </c>
    </row>
    <row r="1338" spans="1:13">
      <c r="A1338" t="str">
        <f>IF('ATP Fills'!A1338="","",IF('ATP Fills'!Q1338="PHILLIPSG",'ATP Fills'!F1338,""))</f>
        <v/>
      </c>
      <c r="B1338" t="str">
        <f>IF(A1338="","",'ATP Fills'!L1338)</f>
        <v/>
      </c>
      <c r="C1338" t="str">
        <f>IF(A1338="","",'ATP Fills'!M1338)</f>
        <v/>
      </c>
      <c r="D1338" t="str">
        <f>IF(A1338="","",'ATP Fills'!B1338)</f>
        <v/>
      </c>
      <c r="E1338" s="3" t="str">
        <f>IF(A1338="","",IF(DATE(LEFT(D1338,4),MID(D1338,5,2),RIGHT(D1338,2))=Helper1!$P$1,Helper1!$P$1,""))</f>
        <v/>
      </c>
      <c r="F1338" s="3" t="str">
        <f>IF(A1338="","",'ATP Fills'!G1338)</f>
        <v/>
      </c>
      <c r="G1338" t="str">
        <f>IF(A1338="","",'ATP Fills'!H1338)</f>
        <v/>
      </c>
      <c r="H1338" t="str">
        <f>IF(A1338="","",VLOOKUP(G1338,表3_3[],2,0))</f>
        <v/>
      </c>
      <c r="I1338" t="str">
        <f>IF(A1338="","",VLOOKUP(G1338,表3_3[],3,0))</f>
        <v/>
      </c>
      <c r="J1338" t="str">
        <f>IF(A1338="","",IF('ATP Fills'!I1338="3M","",VLOOKUP(RIGHT('ATP Fills'!I1338,2),Helper1!$O$36:$P$48,2,0)))</f>
        <v/>
      </c>
      <c r="K1338" t="str">
        <f>IF(J1338="","",LEFT('ATP Fills'!I1338,4))</f>
        <v/>
      </c>
      <c r="L1338" t="str">
        <f>IF(A1338="","",IF('ATP Fills'!G1338="LME",'ATP Fills'!I1338,""))</f>
        <v/>
      </c>
      <c r="M1338" t="str">
        <f t="shared" si="20"/>
        <v/>
      </c>
    </row>
    <row r="1339" spans="1:13">
      <c r="A1339" t="str">
        <f>IF('ATP Fills'!A1339="","",IF('ATP Fills'!Q1339="PHILLIPSG",'ATP Fills'!F1339,""))</f>
        <v/>
      </c>
      <c r="B1339" t="str">
        <f>IF(A1339="","",'ATP Fills'!L1339)</f>
        <v/>
      </c>
      <c r="C1339" t="str">
        <f>IF(A1339="","",'ATP Fills'!M1339)</f>
        <v/>
      </c>
      <c r="D1339" t="str">
        <f>IF(A1339="","",'ATP Fills'!B1339)</f>
        <v/>
      </c>
      <c r="E1339" s="3" t="str">
        <f>IF(A1339="","",IF(DATE(LEFT(D1339,4),MID(D1339,5,2),RIGHT(D1339,2))=Helper1!$P$1,Helper1!$P$1,""))</f>
        <v/>
      </c>
      <c r="F1339" s="3" t="str">
        <f>IF(A1339="","",'ATP Fills'!G1339)</f>
        <v/>
      </c>
      <c r="G1339" t="str">
        <f>IF(A1339="","",'ATP Fills'!H1339)</f>
        <v/>
      </c>
      <c r="H1339" t="str">
        <f>IF(A1339="","",VLOOKUP(G1339,表3_3[],2,0))</f>
        <v/>
      </c>
      <c r="I1339" t="str">
        <f>IF(A1339="","",VLOOKUP(G1339,表3_3[],3,0))</f>
        <v/>
      </c>
      <c r="J1339" t="str">
        <f>IF(A1339="","",IF('ATP Fills'!I1339="3M","",VLOOKUP(RIGHT('ATP Fills'!I1339,2),Helper1!$O$36:$P$48,2,0)))</f>
        <v/>
      </c>
      <c r="K1339" t="str">
        <f>IF(J1339="","",LEFT('ATP Fills'!I1339,4))</f>
        <v/>
      </c>
      <c r="L1339" t="str">
        <f>IF(A1339="","",IF('ATP Fills'!G1339="LME",'ATP Fills'!I1339,""))</f>
        <v/>
      </c>
      <c r="M1339" t="str">
        <f t="shared" si="20"/>
        <v/>
      </c>
    </row>
    <row r="1340" spans="1:13">
      <c r="A1340" t="str">
        <f>IF('ATP Fills'!A1340="","",IF('ATP Fills'!Q1340="PHILLIPSG",'ATP Fills'!F1340,""))</f>
        <v/>
      </c>
      <c r="B1340" t="str">
        <f>IF(A1340="","",'ATP Fills'!L1340)</f>
        <v/>
      </c>
      <c r="C1340" t="str">
        <f>IF(A1340="","",'ATP Fills'!M1340)</f>
        <v/>
      </c>
      <c r="D1340" t="str">
        <f>IF(A1340="","",'ATP Fills'!B1340)</f>
        <v/>
      </c>
      <c r="E1340" s="3" t="str">
        <f>IF(A1340="","",IF(DATE(LEFT(D1340,4),MID(D1340,5,2),RIGHT(D1340,2))=Helper1!$P$1,Helper1!$P$1,""))</f>
        <v/>
      </c>
      <c r="F1340" s="3" t="str">
        <f>IF(A1340="","",'ATP Fills'!G1340)</f>
        <v/>
      </c>
      <c r="G1340" t="str">
        <f>IF(A1340="","",'ATP Fills'!H1340)</f>
        <v/>
      </c>
      <c r="H1340" t="str">
        <f>IF(A1340="","",VLOOKUP(G1340,表3_3[],2,0))</f>
        <v/>
      </c>
      <c r="I1340" t="str">
        <f>IF(A1340="","",VLOOKUP(G1340,表3_3[],3,0))</f>
        <v/>
      </c>
      <c r="J1340" t="str">
        <f>IF(A1340="","",IF('ATP Fills'!I1340="3M","",VLOOKUP(RIGHT('ATP Fills'!I1340,2),Helper1!$O$36:$P$48,2,0)))</f>
        <v/>
      </c>
      <c r="K1340" t="str">
        <f>IF(J1340="","",LEFT('ATP Fills'!I1340,4))</f>
        <v/>
      </c>
      <c r="L1340" t="str">
        <f>IF(A1340="","",IF('ATP Fills'!G1340="LME",'ATP Fills'!I1340,""))</f>
        <v/>
      </c>
      <c r="M1340" t="str">
        <f t="shared" si="20"/>
        <v/>
      </c>
    </row>
    <row r="1341" spans="1:13">
      <c r="A1341" t="str">
        <f>IF('ATP Fills'!A1341="","",IF('ATP Fills'!Q1341="PHILLIPSG",'ATP Fills'!F1341,""))</f>
        <v/>
      </c>
      <c r="B1341" t="str">
        <f>IF(A1341="","",'ATP Fills'!L1341)</f>
        <v/>
      </c>
      <c r="C1341" t="str">
        <f>IF(A1341="","",'ATP Fills'!M1341)</f>
        <v/>
      </c>
      <c r="D1341" t="str">
        <f>IF(A1341="","",'ATP Fills'!B1341)</f>
        <v/>
      </c>
      <c r="E1341" s="3" t="str">
        <f>IF(A1341="","",IF(DATE(LEFT(D1341,4),MID(D1341,5,2),RIGHT(D1341,2))=Helper1!$P$1,Helper1!$P$1,""))</f>
        <v/>
      </c>
      <c r="F1341" s="3" t="str">
        <f>IF(A1341="","",'ATP Fills'!G1341)</f>
        <v/>
      </c>
      <c r="G1341" t="str">
        <f>IF(A1341="","",'ATP Fills'!H1341)</f>
        <v/>
      </c>
      <c r="H1341" t="str">
        <f>IF(A1341="","",VLOOKUP(G1341,表3_3[],2,0))</f>
        <v/>
      </c>
      <c r="I1341" t="str">
        <f>IF(A1341="","",VLOOKUP(G1341,表3_3[],3,0))</f>
        <v/>
      </c>
      <c r="J1341" t="str">
        <f>IF(A1341="","",IF('ATP Fills'!I1341="3M","",VLOOKUP(RIGHT('ATP Fills'!I1341,2),Helper1!$O$36:$P$48,2,0)))</f>
        <v/>
      </c>
      <c r="K1341" t="str">
        <f>IF(J1341="","",LEFT('ATP Fills'!I1341,4))</f>
        <v/>
      </c>
      <c r="L1341" t="str">
        <f>IF(A1341="","",IF('ATP Fills'!G1341="LME",'ATP Fills'!I1341,""))</f>
        <v/>
      </c>
      <c r="M1341" t="str">
        <f t="shared" si="20"/>
        <v/>
      </c>
    </row>
    <row r="1342" spans="1:13">
      <c r="A1342" t="str">
        <f>IF('ATP Fills'!A1342="","",IF('ATP Fills'!Q1342="PHILLIPSG",'ATP Fills'!F1342,""))</f>
        <v/>
      </c>
      <c r="B1342" t="str">
        <f>IF(A1342="","",'ATP Fills'!L1342)</f>
        <v/>
      </c>
      <c r="C1342" t="str">
        <f>IF(A1342="","",'ATP Fills'!M1342)</f>
        <v/>
      </c>
      <c r="D1342" t="str">
        <f>IF(A1342="","",'ATP Fills'!B1342)</f>
        <v/>
      </c>
      <c r="E1342" s="3" t="str">
        <f>IF(A1342="","",IF(DATE(LEFT(D1342,4),MID(D1342,5,2),RIGHT(D1342,2))=Helper1!$P$1,Helper1!$P$1,""))</f>
        <v/>
      </c>
      <c r="F1342" s="3" t="str">
        <f>IF(A1342="","",'ATP Fills'!G1342)</f>
        <v/>
      </c>
      <c r="G1342" t="str">
        <f>IF(A1342="","",'ATP Fills'!H1342)</f>
        <v/>
      </c>
      <c r="H1342" t="str">
        <f>IF(A1342="","",VLOOKUP(G1342,表3_3[],2,0))</f>
        <v/>
      </c>
      <c r="I1342" t="str">
        <f>IF(A1342="","",VLOOKUP(G1342,表3_3[],3,0))</f>
        <v/>
      </c>
      <c r="J1342" t="str">
        <f>IF(A1342="","",IF('ATP Fills'!I1342="3M","",VLOOKUP(RIGHT('ATP Fills'!I1342,2),Helper1!$O$36:$P$48,2,0)))</f>
        <v/>
      </c>
      <c r="K1342" t="str">
        <f>IF(J1342="","",LEFT('ATP Fills'!I1342,4))</f>
        <v/>
      </c>
      <c r="L1342" t="str">
        <f>IF(A1342="","",IF('ATP Fills'!G1342="LME",'ATP Fills'!I1342,""))</f>
        <v/>
      </c>
      <c r="M1342" t="str">
        <f t="shared" si="20"/>
        <v/>
      </c>
    </row>
    <row r="1343" spans="1:13">
      <c r="A1343" t="str">
        <f>IF('ATP Fills'!A1343="","",IF('ATP Fills'!Q1343="PHILLIPSG",'ATP Fills'!F1343,""))</f>
        <v/>
      </c>
      <c r="B1343" t="str">
        <f>IF(A1343="","",'ATP Fills'!L1343)</f>
        <v/>
      </c>
      <c r="C1343" t="str">
        <f>IF(A1343="","",'ATP Fills'!M1343)</f>
        <v/>
      </c>
      <c r="D1343" t="str">
        <f>IF(A1343="","",'ATP Fills'!B1343)</f>
        <v/>
      </c>
      <c r="E1343" s="3" t="str">
        <f>IF(A1343="","",IF(DATE(LEFT(D1343,4),MID(D1343,5,2),RIGHT(D1343,2))=Helper1!$P$1,Helper1!$P$1,""))</f>
        <v/>
      </c>
      <c r="F1343" s="3" t="str">
        <f>IF(A1343="","",'ATP Fills'!G1343)</f>
        <v/>
      </c>
      <c r="G1343" t="str">
        <f>IF(A1343="","",'ATP Fills'!H1343)</f>
        <v/>
      </c>
      <c r="H1343" t="str">
        <f>IF(A1343="","",VLOOKUP(G1343,表3_3[],2,0))</f>
        <v/>
      </c>
      <c r="I1343" t="str">
        <f>IF(A1343="","",VLOOKUP(G1343,表3_3[],3,0))</f>
        <v/>
      </c>
      <c r="J1343" t="str">
        <f>IF(A1343="","",IF('ATP Fills'!I1343="3M","",VLOOKUP(RIGHT('ATP Fills'!I1343,2),Helper1!$O$36:$P$48,2,0)))</f>
        <v/>
      </c>
      <c r="K1343" t="str">
        <f>IF(J1343="","",LEFT('ATP Fills'!I1343,4))</f>
        <v/>
      </c>
      <c r="L1343" t="str">
        <f>IF(A1343="","",IF('ATP Fills'!G1343="LME",'ATP Fills'!I1343,""))</f>
        <v/>
      </c>
      <c r="M1343" t="str">
        <f t="shared" si="20"/>
        <v/>
      </c>
    </row>
    <row r="1344" spans="1:13">
      <c r="A1344" t="str">
        <f>IF('ATP Fills'!A1344="","",IF('ATP Fills'!Q1344="PHILLIPSG",'ATP Fills'!F1344,""))</f>
        <v/>
      </c>
      <c r="B1344" t="str">
        <f>IF(A1344="","",'ATP Fills'!L1344)</f>
        <v/>
      </c>
      <c r="C1344" t="str">
        <f>IF(A1344="","",'ATP Fills'!M1344)</f>
        <v/>
      </c>
      <c r="D1344" t="str">
        <f>IF(A1344="","",'ATP Fills'!B1344)</f>
        <v/>
      </c>
      <c r="E1344" s="3" t="str">
        <f>IF(A1344="","",IF(DATE(LEFT(D1344,4),MID(D1344,5,2),RIGHT(D1344,2))=Helper1!$P$1,Helper1!$P$1,""))</f>
        <v/>
      </c>
      <c r="F1344" s="3" t="str">
        <f>IF(A1344="","",'ATP Fills'!G1344)</f>
        <v/>
      </c>
      <c r="G1344" t="str">
        <f>IF(A1344="","",'ATP Fills'!H1344)</f>
        <v/>
      </c>
      <c r="H1344" t="str">
        <f>IF(A1344="","",VLOOKUP(G1344,表3_3[],2,0))</f>
        <v/>
      </c>
      <c r="I1344" t="str">
        <f>IF(A1344="","",VLOOKUP(G1344,表3_3[],3,0))</f>
        <v/>
      </c>
      <c r="J1344" t="str">
        <f>IF(A1344="","",IF('ATP Fills'!I1344="3M","",VLOOKUP(RIGHT('ATP Fills'!I1344,2),Helper1!$O$36:$P$48,2,0)))</f>
        <v/>
      </c>
      <c r="K1344" t="str">
        <f>IF(J1344="","",LEFT('ATP Fills'!I1344,4))</f>
        <v/>
      </c>
      <c r="L1344" t="str">
        <f>IF(A1344="","",IF('ATP Fills'!G1344="LME",'ATP Fills'!I1344,""))</f>
        <v/>
      </c>
      <c r="M1344" t="str">
        <f t="shared" si="20"/>
        <v/>
      </c>
    </row>
    <row r="1345" spans="1:13">
      <c r="A1345" t="str">
        <f>IF('ATP Fills'!A1345="","",IF('ATP Fills'!Q1345="PHILLIPSG",'ATP Fills'!F1345,""))</f>
        <v/>
      </c>
      <c r="B1345" t="str">
        <f>IF(A1345="","",'ATP Fills'!L1345)</f>
        <v/>
      </c>
      <c r="C1345" t="str">
        <f>IF(A1345="","",'ATP Fills'!M1345)</f>
        <v/>
      </c>
      <c r="D1345" t="str">
        <f>IF(A1345="","",'ATP Fills'!B1345)</f>
        <v/>
      </c>
      <c r="E1345" s="3" t="str">
        <f>IF(A1345="","",IF(DATE(LEFT(D1345,4),MID(D1345,5,2),RIGHT(D1345,2))=Helper1!$P$1,Helper1!$P$1,""))</f>
        <v/>
      </c>
      <c r="F1345" s="3" t="str">
        <f>IF(A1345="","",'ATP Fills'!G1345)</f>
        <v/>
      </c>
      <c r="G1345" t="str">
        <f>IF(A1345="","",'ATP Fills'!H1345)</f>
        <v/>
      </c>
      <c r="H1345" t="str">
        <f>IF(A1345="","",VLOOKUP(G1345,表3_3[],2,0))</f>
        <v/>
      </c>
      <c r="I1345" t="str">
        <f>IF(A1345="","",VLOOKUP(G1345,表3_3[],3,0))</f>
        <v/>
      </c>
      <c r="J1345" t="str">
        <f>IF(A1345="","",IF('ATP Fills'!I1345="3M","",VLOOKUP(RIGHT('ATP Fills'!I1345,2),Helper1!$O$36:$P$48,2,0)))</f>
        <v/>
      </c>
      <c r="K1345" t="str">
        <f>IF(J1345="","",LEFT('ATP Fills'!I1345,4))</f>
        <v/>
      </c>
      <c r="L1345" t="str">
        <f>IF(A1345="","",IF('ATP Fills'!G1345="LME",'ATP Fills'!I1345,""))</f>
        <v/>
      </c>
      <c r="M1345" t="str">
        <f t="shared" si="20"/>
        <v/>
      </c>
    </row>
    <row r="1346" spans="1:13">
      <c r="A1346" t="str">
        <f>IF('ATP Fills'!A1346="","",IF('ATP Fills'!Q1346="PHILLIPSG",'ATP Fills'!F1346,""))</f>
        <v/>
      </c>
      <c r="B1346" t="str">
        <f>IF(A1346="","",'ATP Fills'!L1346)</f>
        <v/>
      </c>
      <c r="C1346" t="str">
        <f>IF(A1346="","",'ATP Fills'!M1346)</f>
        <v/>
      </c>
      <c r="D1346" t="str">
        <f>IF(A1346="","",'ATP Fills'!B1346)</f>
        <v/>
      </c>
      <c r="E1346" s="3" t="str">
        <f>IF(A1346="","",IF(DATE(LEFT(D1346,4),MID(D1346,5,2),RIGHT(D1346,2))=Helper1!$P$1,Helper1!$P$1,""))</f>
        <v/>
      </c>
      <c r="F1346" s="3" t="str">
        <f>IF(A1346="","",'ATP Fills'!G1346)</f>
        <v/>
      </c>
      <c r="G1346" t="str">
        <f>IF(A1346="","",'ATP Fills'!H1346)</f>
        <v/>
      </c>
      <c r="H1346" t="str">
        <f>IF(A1346="","",VLOOKUP(G1346,表3_3[],2,0))</f>
        <v/>
      </c>
      <c r="I1346" t="str">
        <f>IF(A1346="","",VLOOKUP(G1346,表3_3[],3,0))</f>
        <v/>
      </c>
      <c r="J1346" t="str">
        <f>IF(A1346="","",IF('ATP Fills'!I1346="3M","",VLOOKUP(RIGHT('ATP Fills'!I1346,2),Helper1!$O$36:$P$48,2,0)))</f>
        <v/>
      </c>
      <c r="K1346" t="str">
        <f>IF(J1346="","",LEFT('ATP Fills'!I1346,4))</f>
        <v/>
      </c>
      <c r="L1346" t="str">
        <f>IF(A1346="","",IF('ATP Fills'!G1346="LME",'ATP Fills'!I1346,""))</f>
        <v/>
      </c>
      <c r="M1346" t="str">
        <f t="shared" si="20"/>
        <v/>
      </c>
    </row>
    <row r="1347" spans="1:13">
      <c r="A1347" t="str">
        <f>IF('ATP Fills'!A1347="","",IF('ATP Fills'!Q1347="PHILLIPSG",'ATP Fills'!F1347,""))</f>
        <v/>
      </c>
      <c r="B1347" t="str">
        <f>IF(A1347="","",'ATP Fills'!L1347)</f>
        <v/>
      </c>
      <c r="C1347" t="str">
        <f>IF(A1347="","",'ATP Fills'!M1347)</f>
        <v/>
      </c>
      <c r="D1347" t="str">
        <f>IF(A1347="","",'ATP Fills'!B1347)</f>
        <v/>
      </c>
      <c r="E1347" s="3" t="str">
        <f>IF(A1347="","",IF(DATE(LEFT(D1347,4),MID(D1347,5,2),RIGHT(D1347,2))=Helper1!$P$1,Helper1!$P$1,""))</f>
        <v/>
      </c>
      <c r="F1347" s="3" t="str">
        <f>IF(A1347="","",'ATP Fills'!G1347)</f>
        <v/>
      </c>
      <c r="G1347" t="str">
        <f>IF(A1347="","",'ATP Fills'!H1347)</f>
        <v/>
      </c>
      <c r="H1347" t="str">
        <f>IF(A1347="","",VLOOKUP(G1347,表3_3[],2,0))</f>
        <v/>
      </c>
      <c r="I1347" t="str">
        <f>IF(A1347="","",VLOOKUP(G1347,表3_3[],3,0))</f>
        <v/>
      </c>
      <c r="J1347" t="str">
        <f>IF(A1347="","",IF('ATP Fills'!I1347="3M","",VLOOKUP(RIGHT('ATP Fills'!I1347,2),Helper1!$O$36:$P$48,2,0)))</f>
        <v/>
      </c>
      <c r="K1347" t="str">
        <f>IF(J1347="","",LEFT('ATP Fills'!I1347,4))</f>
        <v/>
      </c>
      <c r="L1347" t="str">
        <f>IF(A1347="","",IF('ATP Fills'!G1347="LME",'ATP Fills'!I1347,""))</f>
        <v/>
      </c>
      <c r="M1347" t="str">
        <f t="shared" ref="M1347:M1410" si="21">IF(A1347="","",IF(F1347="LME",F1347&amp;"-"&amp;I1347&amp;"-"&amp;L1347,J1347&amp;"-"&amp;K1347&amp;"-"&amp;I1347))</f>
        <v/>
      </c>
    </row>
    <row r="1348" spans="1:13">
      <c r="A1348" t="str">
        <f>IF('ATP Fills'!A1348="","",IF('ATP Fills'!Q1348="PHILLIPSG",'ATP Fills'!F1348,""))</f>
        <v/>
      </c>
      <c r="B1348" t="str">
        <f>IF(A1348="","",'ATP Fills'!L1348)</f>
        <v/>
      </c>
      <c r="C1348" t="str">
        <f>IF(A1348="","",'ATP Fills'!M1348)</f>
        <v/>
      </c>
      <c r="D1348" t="str">
        <f>IF(A1348="","",'ATP Fills'!B1348)</f>
        <v/>
      </c>
      <c r="E1348" s="3" t="str">
        <f>IF(A1348="","",IF(DATE(LEFT(D1348,4),MID(D1348,5,2),RIGHT(D1348,2))=Helper1!$P$1,Helper1!$P$1,""))</f>
        <v/>
      </c>
      <c r="F1348" s="3" t="str">
        <f>IF(A1348="","",'ATP Fills'!G1348)</f>
        <v/>
      </c>
      <c r="G1348" t="str">
        <f>IF(A1348="","",'ATP Fills'!H1348)</f>
        <v/>
      </c>
      <c r="H1348" t="str">
        <f>IF(A1348="","",VLOOKUP(G1348,表3_3[],2,0))</f>
        <v/>
      </c>
      <c r="I1348" t="str">
        <f>IF(A1348="","",VLOOKUP(G1348,表3_3[],3,0))</f>
        <v/>
      </c>
      <c r="J1348" t="str">
        <f>IF(A1348="","",IF('ATP Fills'!I1348="3M","",VLOOKUP(RIGHT('ATP Fills'!I1348,2),Helper1!$O$36:$P$48,2,0)))</f>
        <v/>
      </c>
      <c r="K1348" t="str">
        <f>IF(J1348="","",LEFT('ATP Fills'!I1348,4))</f>
        <v/>
      </c>
      <c r="L1348" t="str">
        <f>IF(A1348="","",IF('ATP Fills'!G1348="LME",'ATP Fills'!I1348,""))</f>
        <v/>
      </c>
      <c r="M1348" t="str">
        <f t="shared" si="21"/>
        <v/>
      </c>
    </row>
    <row r="1349" spans="1:13">
      <c r="A1349" t="str">
        <f>IF('ATP Fills'!A1349="","",IF('ATP Fills'!Q1349="PHILLIPSG",'ATP Fills'!F1349,""))</f>
        <v/>
      </c>
      <c r="B1349" t="str">
        <f>IF(A1349="","",'ATP Fills'!L1349)</f>
        <v/>
      </c>
      <c r="C1349" t="str">
        <f>IF(A1349="","",'ATP Fills'!M1349)</f>
        <v/>
      </c>
      <c r="D1349" t="str">
        <f>IF(A1349="","",'ATP Fills'!B1349)</f>
        <v/>
      </c>
      <c r="E1349" s="3" t="str">
        <f>IF(A1349="","",IF(DATE(LEFT(D1349,4),MID(D1349,5,2),RIGHT(D1349,2))=Helper1!$P$1,Helper1!$P$1,""))</f>
        <v/>
      </c>
      <c r="F1349" s="3" t="str">
        <f>IF(A1349="","",'ATP Fills'!G1349)</f>
        <v/>
      </c>
      <c r="G1349" t="str">
        <f>IF(A1349="","",'ATP Fills'!H1349)</f>
        <v/>
      </c>
      <c r="H1349" t="str">
        <f>IF(A1349="","",VLOOKUP(G1349,表3_3[],2,0))</f>
        <v/>
      </c>
      <c r="I1349" t="str">
        <f>IF(A1349="","",VLOOKUP(G1349,表3_3[],3,0))</f>
        <v/>
      </c>
      <c r="J1349" t="str">
        <f>IF(A1349="","",IF('ATP Fills'!I1349="3M","",VLOOKUP(RIGHT('ATP Fills'!I1349,2),Helper1!$O$36:$P$48,2,0)))</f>
        <v/>
      </c>
      <c r="K1349" t="str">
        <f>IF(J1349="","",LEFT('ATP Fills'!I1349,4))</f>
        <v/>
      </c>
      <c r="L1349" t="str">
        <f>IF(A1349="","",IF('ATP Fills'!G1349="LME",'ATP Fills'!I1349,""))</f>
        <v/>
      </c>
      <c r="M1349" t="str">
        <f t="shared" si="21"/>
        <v/>
      </c>
    </row>
    <row r="1350" spans="1:13">
      <c r="A1350" t="str">
        <f>IF('ATP Fills'!A1350="","",IF('ATP Fills'!Q1350="PHILLIPSG",'ATP Fills'!F1350,""))</f>
        <v/>
      </c>
      <c r="B1350" t="str">
        <f>IF(A1350="","",'ATP Fills'!L1350)</f>
        <v/>
      </c>
      <c r="C1350" t="str">
        <f>IF(A1350="","",'ATP Fills'!M1350)</f>
        <v/>
      </c>
      <c r="D1350" t="str">
        <f>IF(A1350="","",'ATP Fills'!B1350)</f>
        <v/>
      </c>
      <c r="E1350" s="3" t="str">
        <f>IF(A1350="","",IF(DATE(LEFT(D1350,4),MID(D1350,5,2),RIGHT(D1350,2))=Helper1!$P$1,Helper1!$P$1,""))</f>
        <v/>
      </c>
      <c r="F1350" s="3" t="str">
        <f>IF(A1350="","",'ATP Fills'!G1350)</f>
        <v/>
      </c>
      <c r="G1350" t="str">
        <f>IF(A1350="","",'ATP Fills'!H1350)</f>
        <v/>
      </c>
      <c r="H1350" t="str">
        <f>IF(A1350="","",VLOOKUP(G1350,表3_3[],2,0))</f>
        <v/>
      </c>
      <c r="I1350" t="str">
        <f>IF(A1350="","",VLOOKUP(G1350,表3_3[],3,0))</f>
        <v/>
      </c>
      <c r="J1350" t="str">
        <f>IF(A1350="","",IF('ATP Fills'!I1350="3M","",VLOOKUP(RIGHT('ATP Fills'!I1350,2),Helper1!$O$36:$P$48,2,0)))</f>
        <v/>
      </c>
      <c r="K1350" t="str">
        <f>IF(J1350="","",LEFT('ATP Fills'!I1350,4))</f>
        <v/>
      </c>
      <c r="L1350" t="str">
        <f>IF(A1350="","",IF('ATP Fills'!G1350="LME",'ATP Fills'!I1350,""))</f>
        <v/>
      </c>
      <c r="M1350" t="str">
        <f t="shared" si="21"/>
        <v/>
      </c>
    </row>
    <row r="1351" spans="1:13">
      <c r="A1351" t="str">
        <f>IF('ATP Fills'!A1351="","",IF('ATP Fills'!Q1351="PHILLIPSG",'ATP Fills'!F1351,""))</f>
        <v/>
      </c>
      <c r="B1351" t="str">
        <f>IF(A1351="","",'ATP Fills'!L1351)</f>
        <v/>
      </c>
      <c r="C1351" t="str">
        <f>IF(A1351="","",'ATP Fills'!M1351)</f>
        <v/>
      </c>
      <c r="D1351" t="str">
        <f>IF(A1351="","",'ATP Fills'!B1351)</f>
        <v/>
      </c>
      <c r="E1351" s="3" t="str">
        <f>IF(A1351="","",IF(DATE(LEFT(D1351,4),MID(D1351,5,2),RIGHT(D1351,2))=Helper1!$P$1,Helper1!$P$1,""))</f>
        <v/>
      </c>
      <c r="F1351" s="3" t="str">
        <f>IF(A1351="","",'ATP Fills'!G1351)</f>
        <v/>
      </c>
      <c r="G1351" t="str">
        <f>IF(A1351="","",'ATP Fills'!H1351)</f>
        <v/>
      </c>
      <c r="H1351" t="str">
        <f>IF(A1351="","",VLOOKUP(G1351,表3_3[],2,0))</f>
        <v/>
      </c>
      <c r="I1351" t="str">
        <f>IF(A1351="","",VLOOKUP(G1351,表3_3[],3,0))</f>
        <v/>
      </c>
      <c r="J1351" t="str">
        <f>IF(A1351="","",IF('ATP Fills'!I1351="3M","",VLOOKUP(RIGHT('ATP Fills'!I1351,2),Helper1!$O$36:$P$48,2,0)))</f>
        <v/>
      </c>
      <c r="K1351" t="str">
        <f>IF(J1351="","",LEFT('ATP Fills'!I1351,4))</f>
        <v/>
      </c>
      <c r="L1351" t="str">
        <f>IF(A1351="","",IF('ATP Fills'!G1351="LME",'ATP Fills'!I1351,""))</f>
        <v/>
      </c>
      <c r="M1351" t="str">
        <f t="shared" si="21"/>
        <v/>
      </c>
    </row>
    <row r="1352" spans="1:13">
      <c r="A1352" t="str">
        <f>IF('ATP Fills'!A1352="","",IF('ATP Fills'!Q1352="PHILLIPSG",'ATP Fills'!F1352,""))</f>
        <v/>
      </c>
      <c r="B1352" t="str">
        <f>IF(A1352="","",'ATP Fills'!L1352)</f>
        <v/>
      </c>
      <c r="C1352" t="str">
        <f>IF(A1352="","",'ATP Fills'!M1352)</f>
        <v/>
      </c>
      <c r="D1352" t="str">
        <f>IF(A1352="","",'ATP Fills'!B1352)</f>
        <v/>
      </c>
      <c r="E1352" s="3" t="str">
        <f>IF(A1352="","",IF(DATE(LEFT(D1352,4),MID(D1352,5,2),RIGHT(D1352,2))=Helper1!$P$1,Helper1!$P$1,""))</f>
        <v/>
      </c>
      <c r="F1352" s="3" t="str">
        <f>IF(A1352="","",'ATP Fills'!G1352)</f>
        <v/>
      </c>
      <c r="G1352" t="str">
        <f>IF(A1352="","",'ATP Fills'!H1352)</f>
        <v/>
      </c>
      <c r="H1352" t="str">
        <f>IF(A1352="","",VLOOKUP(G1352,表3_3[],2,0))</f>
        <v/>
      </c>
      <c r="I1352" t="str">
        <f>IF(A1352="","",VLOOKUP(G1352,表3_3[],3,0))</f>
        <v/>
      </c>
      <c r="J1352" t="str">
        <f>IF(A1352="","",IF('ATP Fills'!I1352="3M","",VLOOKUP(RIGHT('ATP Fills'!I1352,2),Helper1!$O$36:$P$48,2,0)))</f>
        <v/>
      </c>
      <c r="K1352" t="str">
        <f>IF(J1352="","",LEFT('ATP Fills'!I1352,4))</f>
        <v/>
      </c>
      <c r="L1352" t="str">
        <f>IF(A1352="","",IF('ATP Fills'!G1352="LME",'ATP Fills'!I1352,""))</f>
        <v/>
      </c>
      <c r="M1352" t="str">
        <f t="shared" si="21"/>
        <v/>
      </c>
    </row>
    <row r="1353" spans="1:13">
      <c r="A1353" t="str">
        <f>IF('ATP Fills'!A1353="","",IF('ATP Fills'!Q1353="PHILLIPSG",'ATP Fills'!F1353,""))</f>
        <v/>
      </c>
      <c r="B1353" t="str">
        <f>IF(A1353="","",'ATP Fills'!L1353)</f>
        <v/>
      </c>
      <c r="C1353" t="str">
        <f>IF(A1353="","",'ATP Fills'!M1353)</f>
        <v/>
      </c>
      <c r="D1353" t="str">
        <f>IF(A1353="","",'ATP Fills'!B1353)</f>
        <v/>
      </c>
      <c r="E1353" s="3" t="str">
        <f>IF(A1353="","",IF(DATE(LEFT(D1353,4),MID(D1353,5,2),RIGHT(D1353,2))=Helper1!$P$1,Helper1!$P$1,""))</f>
        <v/>
      </c>
      <c r="F1353" s="3" t="str">
        <f>IF(A1353="","",'ATP Fills'!G1353)</f>
        <v/>
      </c>
      <c r="G1353" t="str">
        <f>IF(A1353="","",'ATP Fills'!H1353)</f>
        <v/>
      </c>
      <c r="H1353" t="str">
        <f>IF(A1353="","",VLOOKUP(G1353,表3_3[],2,0))</f>
        <v/>
      </c>
      <c r="I1353" t="str">
        <f>IF(A1353="","",VLOOKUP(G1353,表3_3[],3,0))</f>
        <v/>
      </c>
      <c r="J1353" t="str">
        <f>IF(A1353="","",IF('ATP Fills'!I1353="3M","",VLOOKUP(RIGHT('ATP Fills'!I1353,2),Helper1!$O$36:$P$48,2,0)))</f>
        <v/>
      </c>
      <c r="K1353" t="str">
        <f>IF(J1353="","",LEFT('ATP Fills'!I1353,4))</f>
        <v/>
      </c>
      <c r="L1353" t="str">
        <f>IF(A1353="","",IF('ATP Fills'!G1353="LME",'ATP Fills'!I1353,""))</f>
        <v/>
      </c>
      <c r="M1353" t="str">
        <f t="shared" si="21"/>
        <v/>
      </c>
    </row>
    <row r="1354" spans="1:13">
      <c r="A1354" t="str">
        <f>IF('ATP Fills'!A1354="","",IF('ATP Fills'!Q1354="PHILLIPSG",'ATP Fills'!F1354,""))</f>
        <v/>
      </c>
      <c r="B1354" t="str">
        <f>IF(A1354="","",'ATP Fills'!L1354)</f>
        <v/>
      </c>
      <c r="C1354" t="str">
        <f>IF(A1354="","",'ATP Fills'!M1354)</f>
        <v/>
      </c>
      <c r="D1354" t="str">
        <f>IF(A1354="","",'ATP Fills'!B1354)</f>
        <v/>
      </c>
      <c r="E1354" s="3" t="str">
        <f>IF(A1354="","",IF(DATE(LEFT(D1354,4),MID(D1354,5,2),RIGHT(D1354,2))=Helper1!$P$1,Helper1!$P$1,""))</f>
        <v/>
      </c>
      <c r="F1354" s="3" t="str">
        <f>IF(A1354="","",'ATP Fills'!G1354)</f>
        <v/>
      </c>
      <c r="G1354" t="str">
        <f>IF(A1354="","",'ATP Fills'!H1354)</f>
        <v/>
      </c>
      <c r="H1354" t="str">
        <f>IF(A1354="","",VLOOKUP(G1354,表3_3[],2,0))</f>
        <v/>
      </c>
      <c r="I1354" t="str">
        <f>IF(A1354="","",VLOOKUP(G1354,表3_3[],3,0))</f>
        <v/>
      </c>
      <c r="J1354" t="str">
        <f>IF(A1354="","",IF('ATP Fills'!I1354="3M","",VLOOKUP(RIGHT('ATP Fills'!I1354,2),Helper1!$O$36:$P$48,2,0)))</f>
        <v/>
      </c>
      <c r="K1354" t="str">
        <f>IF(J1354="","",LEFT('ATP Fills'!I1354,4))</f>
        <v/>
      </c>
      <c r="L1354" t="str">
        <f>IF(A1354="","",IF('ATP Fills'!G1354="LME",'ATP Fills'!I1354,""))</f>
        <v/>
      </c>
      <c r="M1354" t="str">
        <f t="shared" si="21"/>
        <v/>
      </c>
    </row>
    <row r="1355" spans="1:13">
      <c r="A1355" t="str">
        <f>IF('ATP Fills'!A1355="","",IF('ATP Fills'!Q1355="PHILLIPSG",'ATP Fills'!F1355,""))</f>
        <v/>
      </c>
      <c r="B1355" t="str">
        <f>IF(A1355="","",'ATP Fills'!L1355)</f>
        <v/>
      </c>
      <c r="C1355" t="str">
        <f>IF(A1355="","",'ATP Fills'!M1355)</f>
        <v/>
      </c>
      <c r="D1355" t="str">
        <f>IF(A1355="","",'ATP Fills'!B1355)</f>
        <v/>
      </c>
      <c r="E1355" s="3" t="str">
        <f>IF(A1355="","",IF(DATE(LEFT(D1355,4),MID(D1355,5,2),RIGHT(D1355,2))=Helper1!$P$1,Helper1!$P$1,""))</f>
        <v/>
      </c>
      <c r="F1355" s="3" t="str">
        <f>IF(A1355="","",'ATP Fills'!G1355)</f>
        <v/>
      </c>
      <c r="G1355" t="str">
        <f>IF(A1355="","",'ATP Fills'!H1355)</f>
        <v/>
      </c>
      <c r="H1355" t="str">
        <f>IF(A1355="","",VLOOKUP(G1355,表3_3[],2,0))</f>
        <v/>
      </c>
      <c r="I1355" t="str">
        <f>IF(A1355="","",VLOOKUP(G1355,表3_3[],3,0))</f>
        <v/>
      </c>
      <c r="J1355" t="str">
        <f>IF(A1355="","",IF('ATP Fills'!I1355="3M","",VLOOKUP(RIGHT('ATP Fills'!I1355,2),Helper1!$O$36:$P$48,2,0)))</f>
        <v/>
      </c>
      <c r="K1355" t="str">
        <f>IF(J1355="","",LEFT('ATP Fills'!I1355,4))</f>
        <v/>
      </c>
      <c r="L1355" t="str">
        <f>IF(A1355="","",IF('ATP Fills'!G1355="LME",'ATP Fills'!I1355,""))</f>
        <v/>
      </c>
      <c r="M1355" t="str">
        <f t="shared" si="21"/>
        <v/>
      </c>
    </row>
    <row r="1356" spans="1:13">
      <c r="A1356" t="str">
        <f>IF('ATP Fills'!A1356="","",IF('ATP Fills'!Q1356="PHILLIPSG",'ATP Fills'!F1356,""))</f>
        <v/>
      </c>
      <c r="B1356" t="str">
        <f>IF(A1356="","",'ATP Fills'!L1356)</f>
        <v/>
      </c>
      <c r="C1356" t="str">
        <f>IF(A1356="","",'ATP Fills'!M1356)</f>
        <v/>
      </c>
      <c r="D1356" t="str">
        <f>IF(A1356="","",'ATP Fills'!B1356)</f>
        <v/>
      </c>
      <c r="E1356" s="3" t="str">
        <f>IF(A1356="","",IF(DATE(LEFT(D1356,4),MID(D1356,5,2),RIGHT(D1356,2))=Helper1!$P$1,Helper1!$P$1,""))</f>
        <v/>
      </c>
      <c r="F1356" s="3" t="str">
        <f>IF(A1356="","",'ATP Fills'!G1356)</f>
        <v/>
      </c>
      <c r="G1356" t="str">
        <f>IF(A1356="","",'ATP Fills'!H1356)</f>
        <v/>
      </c>
      <c r="H1356" t="str">
        <f>IF(A1356="","",VLOOKUP(G1356,表3_3[],2,0))</f>
        <v/>
      </c>
      <c r="I1356" t="str">
        <f>IF(A1356="","",VLOOKUP(G1356,表3_3[],3,0))</f>
        <v/>
      </c>
      <c r="J1356" t="str">
        <f>IF(A1356="","",IF('ATP Fills'!I1356="3M","",VLOOKUP(RIGHT('ATP Fills'!I1356,2),Helper1!$O$36:$P$48,2,0)))</f>
        <v/>
      </c>
      <c r="K1356" t="str">
        <f>IF(J1356="","",LEFT('ATP Fills'!I1356,4))</f>
        <v/>
      </c>
      <c r="L1356" t="str">
        <f>IF(A1356="","",IF('ATP Fills'!G1356="LME",'ATP Fills'!I1356,""))</f>
        <v/>
      </c>
      <c r="M1356" t="str">
        <f t="shared" si="21"/>
        <v/>
      </c>
    </row>
    <row r="1357" spans="1:13">
      <c r="A1357" t="str">
        <f>IF('ATP Fills'!A1357="","",IF('ATP Fills'!Q1357="PHILLIPSG",'ATP Fills'!F1357,""))</f>
        <v/>
      </c>
      <c r="B1357" t="str">
        <f>IF(A1357="","",'ATP Fills'!L1357)</f>
        <v/>
      </c>
      <c r="C1357" t="str">
        <f>IF(A1357="","",'ATP Fills'!M1357)</f>
        <v/>
      </c>
      <c r="D1357" t="str">
        <f>IF(A1357="","",'ATP Fills'!B1357)</f>
        <v/>
      </c>
      <c r="E1357" s="3" t="str">
        <f>IF(A1357="","",IF(DATE(LEFT(D1357,4),MID(D1357,5,2),RIGHT(D1357,2))=Helper1!$P$1,Helper1!$P$1,""))</f>
        <v/>
      </c>
      <c r="F1357" s="3" t="str">
        <f>IF(A1357="","",'ATP Fills'!G1357)</f>
        <v/>
      </c>
      <c r="G1357" t="str">
        <f>IF(A1357="","",'ATP Fills'!H1357)</f>
        <v/>
      </c>
      <c r="H1357" t="str">
        <f>IF(A1357="","",VLOOKUP(G1357,表3_3[],2,0))</f>
        <v/>
      </c>
      <c r="I1357" t="str">
        <f>IF(A1357="","",VLOOKUP(G1357,表3_3[],3,0))</f>
        <v/>
      </c>
      <c r="J1357" t="str">
        <f>IF(A1357="","",IF('ATP Fills'!I1357="3M","",VLOOKUP(RIGHT('ATP Fills'!I1357,2),Helper1!$O$36:$P$48,2,0)))</f>
        <v/>
      </c>
      <c r="K1357" t="str">
        <f>IF(J1357="","",LEFT('ATP Fills'!I1357,4))</f>
        <v/>
      </c>
      <c r="L1357" t="str">
        <f>IF(A1357="","",IF('ATP Fills'!G1357="LME",'ATP Fills'!I1357,""))</f>
        <v/>
      </c>
      <c r="M1357" t="str">
        <f t="shared" si="21"/>
        <v/>
      </c>
    </row>
    <row r="1358" spans="1:13">
      <c r="A1358" t="str">
        <f>IF('ATP Fills'!A1358="","",IF('ATP Fills'!Q1358="PHILLIPSG",'ATP Fills'!F1358,""))</f>
        <v/>
      </c>
      <c r="B1358" t="str">
        <f>IF(A1358="","",'ATP Fills'!L1358)</f>
        <v/>
      </c>
      <c r="C1358" t="str">
        <f>IF(A1358="","",'ATP Fills'!M1358)</f>
        <v/>
      </c>
      <c r="D1358" t="str">
        <f>IF(A1358="","",'ATP Fills'!B1358)</f>
        <v/>
      </c>
      <c r="E1358" s="3" t="str">
        <f>IF(A1358="","",IF(DATE(LEFT(D1358,4),MID(D1358,5,2),RIGHT(D1358,2))=Helper1!$P$1,Helper1!$P$1,""))</f>
        <v/>
      </c>
      <c r="F1358" s="3" t="str">
        <f>IF(A1358="","",'ATP Fills'!G1358)</f>
        <v/>
      </c>
      <c r="G1358" t="str">
        <f>IF(A1358="","",'ATP Fills'!H1358)</f>
        <v/>
      </c>
      <c r="H1358" t="str">
        <f>IF(A1358="","",VLOOKUP(G1358,表3_3[],2,0))</f>
        <v/>
      </c>
      <c r="I1358" t="str">
        <f>IF(A1358="","",VLOOKUP(G1358,表3_3[],3,0))</f>
        <v/>
      </c>
      <c r="J1358" t="str">
        <f>IF(A1358="","",IF('ATP Fills'!I1358="3M","",VLOOKUP(RIGHT('ATP Fills'!I1358,2),Helper1!$O$36:$P$48,2,0)))</f>
        <v/>
      </c>
      <c r="K1358" t="str">
        <f>IF(J1358="","",LEFT('ATP Fills'!I1358,4))</f>
        <v/>
      </c>
      <c r="L1358" t="str">
        <f>IF(A1358="","",IF('ATP Fills'!G1358="LME",'ATP Fills'!I1358,""))</f>
        <v/>
      </c>
      <c r="M1358" t="str">
        <f t="shared" si="21"/>
        <v/>
      </c>
    </row>
    <row r="1359" spans="1:13">
      <c r="A1359" t="str">
        <f>IF('ATP Fills'!A1359="","",IF('ATP Fills'!Q1359="PHILLIPSG",'ATP Fills'!F1359,""))</f>
        <v/>
      </c>
      <c r="B1359" t="str">
        <f>IF(A1359="","",'ATP Fills'!L1359)</f>
        <v/>
      </c>
      <c r="C1359" t="str">
        <f>IF(A1359="","",'ATP Fills'!M1359)</f>
        <v/>
      </c>
      <c r="D1359" t="str">
        <f>IF(A1359="","",'ATP Fills'!B1359)</f>
        <v/>
      </c>
      <c r="E1359" s="3" t="str">
        <f>IF(A1359="","",IF(DATE(LEFT(D1359,4),MID(D1359,5,2),RIGHT(D1359,2))=Helper1!$P$1,Helper1!$P$1,""))</f>
        <v/>
      </c>
      <c r="F1359" s="3" t="str">
        <f>IF(A1359="","",'ATP Fills'!G1359)</f>
        <v/>
      </c>
      <c r="G1359" t="str">
        <f>IF(A1359="","",'ATP Fills'!H1359)</f>
        <v/>
      </c>
      <c r="H1359" t="str">
        <f>IF(A1359="","",VLOOKUP(G1359,表3_3[],2,0))</f>
        <v/>
      </c>
      <c r="I1359" t="str">
        <f>IF(A1359="","",VLOOKUP(G1359,表3_3[],3,0))</f>
        <v/>
      </c>
      <c r="J1359" t="str">
        <f>IF(A1359="","",IF('ATP Fills'!I1359="3M","",VLOOKUP(RIGHT('ATP Fills'!I1359,2),Helper1!$O$36:$P$48,2,0)))</f>
        <v/>
      </c>
      <c r="K1359" t="str">
        <f>IF(J1359="","",LEFT('ATP Fills'!I1359,4))</f>
        <v/>
      </c>
      <c r="L1359" t="str">
        <f>IF(A1359="","",IF('ATP Fills'!G1359="LME",'ATP Fills'!I1359,""))</f>
        <v/>
      </c>
      <c r="M1359" t="str">
        <f t="shared" si="21"/>
        <v/>
      </c>
    </row>
    <row r="1360" spans="1:13">
      <c r="A1360" t="str">
        <f>IF('ATP Fills'!A1360="","",IF('ATP Fills'!Q1360="PHILLIPSG",'ATP Fills'!F1360,""))</f>
        <v/>
      </c>
      <c r="B1360" t="str">
        <f>IF(A1360="","",'ATP Fills'!L1360)</f>
        <v/>
      </c>
      <c r="C1360" t="str">
        <f>IF(A1360="","",'ATP Fills'!M1360)</f>
        <v/>
      </c>
      <c r="D1360" t="str">
        <f>IF(A1360="","",'ATP Fills'!B1360)</f>
        <v/>
      </c>
      <c r="E1360" s="3" t="str">
        <f>IF(A1360="","",IF(DATE(LEFT(D1360,4),MID(D1360,5,2),RIGHT(D1360,2))=Helper1!$P$1,Helper1!$P$1,""))</f>
        <v/>
      </c>
      <c r="F1360" s="3" t="str">
        <f>IF(A1360="","",'ATP Fills'!G1360)</f>
        <v/>
      </c>
      <c r="G1360" t="str">
        <f>IF(A1360="","",'ATP Fills'!H1360)</f>
        <v/>
      </c>
      <c r="H1360" t="str">
        <f>IF(A1360="","",VLOOKUP(G1360,表3_3[],2,0))</f>
        <v/>
      </c>
      <c r="I1360" t="str">
        <f>IF(A1360="","",VLOOKUP(G1360,表3_3[],3,0))</f>
        <v/>
      </c>
      <c r="J1360" t="str">
        <f>IF(A1360="","",IF('ATP Fills'!I1360="3M","",VLOOKUP(RIGHT('ATP Fills'!I1360,2),Helper1!$O$36:$P$48,2,0)))</f>
        <v/>
      </c>
      <c r="K1360" t="str">
        <f>IF(J1360="","",LEFT('ATP Fills'!I1360,4))</f>
        <v/>
      </c>
      <c r="L1360" t="str">
        <f>IF(A1360="","",IF('ATP Fills'!G1360="LME",'ATP Fills'!I1360,""))</f>
        <v/>
      </c>
      <c r="M1360" t="str">
        <f t="shared" si="21"/>
        <v/>
      </c>
    </row>
    <row r="1361" spans="1:13">
      <c r="A1361" t="str">
        <f>IF('ATP Fills'!A1361="","",IF('ATP Fills'!Q1361="PHILLIPSG",'ATP Fills'!F1361,""))</f>
        <v/>
      </c>
      <c r="B1361" t="str">
        <f>IF(A1361="","",'ATP Fills'!L1361)</f>
        <v/>
      </c>
      <c r="C1361" t="str">
        <f>IF(A1361="","",'ATP Fills'!M1361)</f>
        <v/>
      </c>
      <c r="D1361" t="str">
        <f>IF(A1361="","",'ATP Fills'!B1361)</f>
        <v/>
      </c>
      <c r="E1361" s="3" t="str">
        <f>IF(A1361="","",IF(DATE(LEFT(D1361,4),MID(D1361,5,2),RIGHT(D1361,2))=Helper1!$P$1,Helper1!$P$1,""))</f>
        <v/>
      </c>
      <c r="F1361" s="3" t="str">
        <f>IF(A1361="","",'ATP Fills'!G1361)</f>
        <v/>
      </c>
      <c r="G1361" t="str">
        <f>IF(A1361="","",'ATP Fills'!H1361)</f>
        <v/>
      </c>
      <c r="H1361" t="str">
        <f>IF(A1361="","",VLOOKUP(G1361,表3_3[],2,0))</f>
        <v/>
      </c>
      <c r="I1361" t="str">
        <f>IF(A1361="","",VLOOKUP(G1361,表3_3[],3,0))</f>
        <v/>
      </c>
      <c r="J1361" t="str">
        <f>IF(A1361="","",IF('ATP Fills'!I1361="3M","",VLOOKUP(RIGHT('ATP Fills'!I1361,2),Helper1!$O$36:$P$48,2,0)))</f>
        <v/>
      </c>
      <c r="K1361" t="str">
        <f>IF(J1361="","",LEFT('ATP Fills'!I1361,4))</f>
        <v/>
      </c>
      <c r="L1361" t="str">
        <f>IF(A1361="","",IF('ATP Fills'!G1361="LME",'ATP Fills'!I1361,""))</f>
        <v/>
      </c>
      <c r="M1361" t="str">
        <f t="shared" si="21"/>
        <v/>
      </c>
    </row>
    <row r="1362" spans="1:13">
      <c r="A1362" t="str">
        <f>IF('ATP Fills'!A1362="","",IF('ATP Fills'!Q1362="PHILLIPSG",'ATP Fills'!F1362,""))</f>
        <v/>
      </c>
      <c r="B1362" t="str">
        <f>IF(A1362="","",'ATP Fills'!L1362)</f>
        <v/>
      </c>
      <c r="C1362" t="str">
        <f>IF(A1362="","",'ATP Fills'!M1362)</f>
        <v/>
      </c>
      <c r="D1362" t="str">
        <f>IF(A1362="","",'ATP Fills'!B1362)</f>
        <v/>
      </c>
      <c r="E1362" s="3" t="str">
        <f>IF(A1362="","",IF(DATE(LEFT(D1362,4),MID(D1362,5,2),RIGHT(D1362,2))=Helper1!$P$1,Helper1!$P$1,""))</f>
        <v/>
      </c>
      <c r="F1362" s="3" t="str">
        <f>IF(A1362="","",'ATP Fills'!G1362)</f>
        <v/>
      </c>
      <c r="G1362" t="str">
        <f>IF(A1362="","",'ATP Fills'!H1362)</f>
        <v/>
      </c>
      <c r="H1362" t="str">
        <f>IF(A1362="","",VLOOKUP(G1362,表3_3[],2,0))</f>
        <v/>
      </c>
      <c r="I1362" t="str">
        <f>IF(A1362="","",VLOOKUP(G1362,表3_3[],3,0))</f>
        <v/>
      </c>
      <c r="J1362" t="str">
        <f>IF(A1362="","",IF('ATP Fills'!I1362="3M","",VLOOKUP(RIGHT('ATP Fills'!I1362,2),Helper1!$O$36:$P$48,2,0)))</f>
        <v/>
      </c>
      <c r="K1362" t="str">
        <f>IF(J1362="","",LEFT('ATP Fills'!I1362,4))</f>
        <v/>
      </c>
      <c r="L1362" t="str">
        <f>IF(A1362="","",IF('ATP Fills'!G1362="LME",'ATP Fills'!I1362,""))</f>
        <v/>
      </c>
      <c r="M1362" t="str">
        <f t="shared" si="21"/>
        <v/>
      </c>
    </row>
    <row r="1363" spans="1:13">
      <c r="A1363" t="str">
        <f>IF('ATP Fills'!A1363="","",IF('ATP Fills'!Q1363="PHILLIPSG",'ATP Fills'!F1363,""))</f>
        <v/>
      </c>
      <c r="B1363" t="str">
        <f>IF(A1363="","",'ATP Fills'!L1363)</f>
        <v/>
      </c>
      <c r="C1363" t="str">
        <f>IF(A1363="","",'ATP Fills'!M1363)</f>
        <v/>
      </c>
      <c r="D1363" t="str">
        <f>IF(A1363="","",'ATP Fills'!B1363)</f>
        <v/>
      </c>
      <c r="E1363" s="3" t="str">
        <f>IF(A1363="","",IF(DATE(LEFT(D1363,4),MID(D1363,5,2),RIGHT(D1363,2))=Helper1!$P$1,Helper1!$P$1,""))</f>
        <v/>
      </c>
      <c r="F1363" s="3" t="str">
        <f>IF(A1363="","",'ATP Fills'!G1363)</f>
        <v/>
      </c>
      <c r="G1363" t="str">
        <f>IF(A1363="","",'ATP Fills'!H1363)</f>
        <v/>
      </c>
      <c r="H1363" t="str">
        <f>IF(A1363="","",VLOOKUP(G1363,表3_3[],2,0))</f>
        <v/>
      </c>
      <c r="I1363" t="str">
        <f>IF(A1363="","",VLOOKUP(G1363,表3_3[],3,0))</f>
        <v/>
      </c>
      <c r="J1363" t="str">
        <f>IF(A1363="","",IF('ATP Fills'!I1363="3M","",VLOOKUP(RIGHT('ATP Fills'!I1363,2),Helper1!$O$36:$P$48,2,0)))</f>
        <v/>
      </c>
      <c r="K1363" t="str">
        <f>IF(J1363="","",LEFT('ATP Fills'!I1363,4))</f>
        <v/>
      </c>
      <c r="L1363" t="str">
        <f>IF(A1363="","",IF('ATP Fills'!G1363="LME",'ATP Fills'!I1363,""))</f>
        <v/>
      </c>
      <c r="M1363" t="str">
        <f t="shared" si="21"/>
        <v/>
      </c>
    </row>
    <row r="1364" spans="1:13">
      <c r="A1364" t="str">
        <f>IF('ATP Fills'!A1364="","",IF('ATP Fills'!Q1364="PHILLIPSG",'ATP Fills'!F1364,""))</f>
        <v/>
      </c>
      <c r="B1364" t="str">
        <f>IF(A1364="","",'ATP Fills'!L1364)</f>
        <v/>
      </c>
      <c r="C1364" t="str">
        <f>IF(A1364="","",'ATP Fills'!M1364)</f>
        <v/>
      </c>
      <c r="D1364" t="str">
        <f>IF(A1364="","",'ATP Fills'!B1364)</f>
        <v/>
      </c>
      <c r="E1364" s="3" t="str">
        <f>IF(A1364="","",IF(DATE(LEFT(D1364,4),MID(D1364,5,2),RIGHT(D1364,2))=Helper1!$P$1,Helper1!$P$1,""))</f>
        <v/>
      </c>
      <c r="F1364" s="3" t="str">
        <f>IF(A1364="","",'ATP Fills'!G1364)</f>
        <v/>
      </c>
      <c r="G1364" t="str">
        <f>IF(A1364="","",'ATP Fills'!H1364)</f>
        <v/>
      </c>
      <c r="H1364" t="str">
        <f>IF(A1364="","",VLOOKUP(G1364,表3_3[],2,0))</f>
        <v/>
      </c>
      <c r="I1364" t="str">
        <f>IF(A1364="","",VLOOKUP(G1364,表3_3[],3,0))</f>
        <v/>
      </c>
      <c r="J1364" t="str">
        <f>IF(A1364="","",IF('ATP Fills'!I1364="3M","",VLOOKUP(RIGHT('ATP Fills'!I1364,2),Helper1!$O$36:$P$48,2,0)))</f>
        <v/>
      </c>
      <c r="K1364" t="str">
        <f>IF(J1364="","",LEFT('ATP Fills'!I1364,4))</f>
        <v/>
      </c>
      <c r="L1364" t="str">
        <f>IF(A1364="","",IF('ATP Fills'!G1364="LME",'ATP Fills'!I1364,""))</f>
        <v/>
      </c>
      <c r="M1364" t="str">
        <f t="shared" si="21"/>
        <v/>
      </c>
    </row>
    <row r="1365" spans="1:13">
      <c r="A1365" t="str">
        <f>IF('ATP Fills'!A1365="","",IF('ATP Fills'!Q1365="PHILLIPSG",'ATP Fills'!F1365,""))</f>
        <v/>
      </c>
      <c r="B1365" t="str">
        <f>IF(A1365="","",'ATP Fills'!L1365)</f>
        <v/>
      </c>
      <c r="C1365" t="str">
        <f>IF(A1365="","",'ATP Fills'!M1365)</f>
        <v/>
      </c>
      <c r="D1365" t="str">
        <f>IF(A1365="","",'ATP Fills'!B1365)</f>
        <v/>
      </c>
      <c r="E1365" s="3" t="str">
        <f>IF(A1365="","",IF(DATE(LEFT(D1365,4),MID(D1365,5,2),RIGHT(D1365,2))=Helper1!$P$1,Helper1!$P$1,""))</f>
        <v/>
      </c>
      <c r="F1365" s="3" t="str">
        <f>IF(A1365="","",'ATP Fills'!G1365)</f>
        <v/>
      </c>
      <c r="G1365" t="str">
        <f>IF(A1365="","",'ATP Fills'!H1365)</f>
        <v/>
      </c>
      <c r="H1365" t="str">
        <f>IF(A1365="","",VLOOKUP(G1365,表3_3[],2,0))</f>
        <v/>
      </c>
      <c r="I1365" t="str">
        <f>IF(A1365="","",VLOOKUP(G1365,表3_3[],3,0))</f>
        <v/>
      </c>
      <c r="J1365" t="str">
        <f>IF(A1365="","",IF('ATP Fills'!I1365="3M","",VLOOKUP(RIGHT('ATP Fills'!I1365,2),Helper1!$O$36:$P$48,2,0)))</f>
        <v/>
      </c>
      <c r="K1365" t="str">
        <f>IF(J1365="","",LEFT('ATP Fills'!I1365,4))</f>
        <v/>
      </c>
      <c r="L1365" t="str">
        <f>IF(A1365="","",IF('ATP Fills'!G1365="LME",'ATP Fills'!I1365,""))</f>
        <v/>
      </c>
      <c r="M1365" t="str">
        <f t="shared" si="21"/>
        <v/>
      </c>
    </row>
    <row r="1366" spans="1:13">
      <c r="A1366" t="str">
        <f>IF('ATP Fills'!A1366="","",IF('ATP Fills'!Q1366="PHILLIPSG",'ATP Fills'!F1366,""))</f>
        <v/>
      </c>
      <c r="B1366" t="str">
        <f>IF(A1366="","",'ATP Fills'!L1366)</f>
        <v/>
      </c>
      <c r="C1366" t="str">
        <f>IF(A1366="","",'ATP Fills'!M1366)</f>
        <v/>
      </c>
      <c r="D1366" t="str">
        <f>IF(A1366="","",'ATP Fills'!B1366)</f>
        <v/>
      </c>
      <c r="E1366" s="3" t="str">
        <f>IF(A1366="","",IF(DATE(LEFT(D1366,4),MID(D1366,5,2),RIGHT(D1366,2))=Helper1!$P$1,Helper1!$P$1,""))</f>
        <v/>
      </c>
      <c r="F1366" s="3" t="str">
        <f>IF(A1366="","",'ATP Fills'!G1366)</f>
        <v/>
      </c>
      <c r="G1366" t="str">
        <f>IF(A1366="","",'ATP Fills'!H1366)</f>
        <v/>
      </c>
      <c r="H1366" t="str">
        <f>IF(A1366="","",VLOOKUP(G1366,表3_3[],2,0))</f>
        <v/>
      </c>
      <c r="I1366" t="str">
        <f>IF(A1366="","",VLOOKUP(G1366,表3_3[],3,0))</f>
        <v/>
      </c>
      <c r="J1366" t="str">
        <f>IF(A1366="","",IF('ATP Fills'!I1366="3M","",VLOOKUP(RIGHT('ATP Fills'!I1366,2),Helper1!$O$36:$P$48,2,0)))</f>
        <v/>
      </c>
      <c r="K1366" t="str">
        <f>IF(J1366="","",LEFT('ATP Fills'!I1366,4))</f>
        <v/>
      </c>
      <c r="L1366" t="str">
        <f>IF(A1366="","",IF('ATP Fills'!G1366="LME",'ATP Fills'!I1366,""))</f>
        <v/>
      </c>
      <c r="M1366" t="str">
        <f t="shared" si="21"/>
        <v/>
      </c>
    </row>
    <row r="1367" spans="1:13">
      <c r="A1367" t="str">
        <f>IF('ATP Fills'!A1367="","",IF('ATP Fills'!Q1367="PHILLIPSG",'ATP Fills'!F1367,""))</f>
        <v/>
      </c>
      <c r="B1367" t="str">
        <f>IF(A1367="","",'ATP Fills'!L1367)</f>
        <v/>
      </c>
      <c r="C1367" t="str">
        <f>IF(A1367="","",'ATP Fills'!M1367)</f>
        <v/>
      </c>
      <c r="D1367" t="str">
        <f>IF(A1367="","",'ATP Fills'!B1367)</f>
        <v/>
      </c>
      <c r="E1367" s="3" t="str">
        <f>IF(A1367="","",IF(DATE(LEFT(D1367,4),MID(D1367,5,2),RIGHT(D1367,2))=Helper1!$P$1,Helper1!$P$1,""))</f>
        <v/>
      </c>
      <c r="F1367" s="3" t="str">
        <f>IF(A1367="","",'ATP Fills'!G1367)</f>
        <v/>
      </c>
      <c r="G1367" t="str">
        <f>IF(A1367="","",'ATP Fills'!H1367)</f>
        <v/>
      </c>
      <c r="H1367" t="str">
        <f>IF(A1367="","",VLOOKUP(G1367,表3_3[],2,0))</f>
        <v/>
      </c>
      <c r="I1367" t="str">
        <f>IF(A1367="","",VLOOKUP(G1367,表3_3[],3,0))</f>
        <v/>
      </c>
      <c r="J1367" t="str">
        <f>IF(A1367="","",IF('ATP Fills'!I1367="3M","",VLOOKUP(RIGHT('ATP Fills'!I1367,2),Helper1!$O$36:$P$48,2,0)))</f>
        <v/>
      </c>
      <c r="K1367" t="str">
        <f>IF(J1367="","",LEFT('ATP Fills'!I1367,4))</f>
        <v/>
      </c>
      <c r="L1367" t="str">
        <f>IF(A1367="","",IF('ATP Fills'!G1367="LME",'ATP Fills'!I1367,""))</f>
        <v/>
      </c>
      <c r="M1367" t="str">
        <f t="shared" si="21"/>
        <v/>
      </c>
    </row>
    <row r="1368" spans="1:13">
      <c r="A1368" t="str">
        <f>IF('ATP Fills'!A1368="","",IF('ATP Fills'!Q1368="PHILLIPSG",'ATP Fills'!F1368,""))</f>
        <v/>
      </c>
      <c r="B1368" t="str">
        <f>IF(A1368="","",'ATP Fills'!L1368)</f>
        <v/>
      </c>
      <c r="C1368" t="str">
        <f>IF(A1368="","",'ATP Fills'!M1368)</f>
        <v/>
      </c>
      <c r="D1368" t="str">
        <f>IF(A1368="","",'ATP Fills'!B1368)</f>
        <v/>
      </c>
      <c r="E1368" s="3" t="str">
        <f>IF(A1368="","",IF(DATE(LEFT(D1368,4),MID(D1368,5,2),RIGHT(D1368,2))=Helper1!$P$1,Helper1!$P$1,""))</f>
        <v/>
      </c>
      <c r="F1368" s="3" t="str">
        <f>IF(A1368="","",'ATP Fills'!G1368)</f>
        <v/>
      </c>
      <c r="G1368" t="str">
        <f>IF(A1368="","",'ATP Fills'!H1368)</f>
        <v/>
      </c>
      <c r="H1368" t="str">
        <f>IF(A1368="","",VLOOKUP(G1368,表3_3[],2,0))</f>
        <v/>
      </c>
      <c r="I1368" t="str">
        <f>IF(A1368="","",VLOOKUP(G1368,表3_3[],3,0))</f>
        <v/>
      </c>
      <c r="J1368" t="str">
        <f>IF(A1368="","",IF('ATP Fills'!I1368="3M","",VLOOKUP(RIGHT('ATP Fills'!I1368,2),Helper1!$O$36:$P$48,2,0)))</f>
        <v/>
      </c>
      <c r="K1368" t="str">
        <f>IF(J1368="","",LEFT('ATP Fills'!I1368,4))</f>
        <v/>
      </c>
      <c r="L1368" t="str">
        <f>IF(A1368="","",IF('ATP Fills'!G1368="LME",'ATP Fills'!I1368,""))</f>
        <v/>
      </c>
      <c r="M1368" t="str">
        <f t="shared" si="21"/>
        <v/>
      </c>
    </row>
    <row r="1369" spans="1:13">
      <c r="A1369" t="str">
        <f>IF('ATP Fills'!A1369="","",IF('ATP Fills'!Q1369="PHILLIPSG",'ATP Fills'!F1369,""))</f>
        <v/>
      </c>
      <c r="B1369" t="str">
        <f>IF(A1369="","",'ATP Fills'!L1369)</f>
        <v/>
      </c>
      <c r="C1369" t="str">
        <f>IF(A1369="","",'ATP Fills'!M1369)</f>
        <v/>
      </c>
      <c r="D1369" t="str">
        <f>IF(A1369="","",'ATP Fills'!B1369)</f>
        <v/>
      </c>
      <c r="E1369" s="3" t="str">
        <f>IF(A1369="","",IF(DATE(LEFT(D1369,4),MID(D1369,5,2),RIGHT(D1369,2))=Helper1!$P$1,Helper1!$P$1,""))</f>
        <v/>
      </c>
      <c r="F1369" s="3" t="str">
        <f>IF(A1369="","",'ATP Fills'!G1369)</f>
        <v/>
      </c>
      <c r="G1369" t="str">
        <f>IF(A1369="","",'ATP Fills'!H1369)</f>
        <v/>
      </c>
      <c r="H1369" t="str">
        <f>IF(A1369="","",VLOOKUP(G1369,表3_3[],2,0))</f>
        <v/>
      </c>
      <c r="I1369" t="str">
        <f>IF(A1369="","",VLOOKUP(G1369,表3_3[],3,0))</f>
        <v/>
      </c>
      <c r="J1369" t="str">
        <f>IF(A1369="","",IF('ATP Fills'!I1369="3M","",VLOOKUP(RIGHT('ATP Fills'!I1369,2),Helper1!$O$36:$P$48,2,0)))</f>
        <v/>
      </c>
      <c r="K1369" t="str">
        <f>IF(J1369="","",LEFT('ATP Fills'!I1369,4))</f>
        <v/>
      </c>
      <c r="L1369" t="str">
        <f>IF(A1369="","",IF('ATP Fills'!G1369="LME",'ATP Fills'!I1369,""))</f>
        <v/>
      </c>
      <c r="M1369" t="str">
        <f t="shared" si="21"/>
        <v/>
      </c>
    </row>
    <row r="1370" spans="1:13">
      <c r="A1370" t="str">
        <f>IF('ATP Fills'!A1370="","",IF('ATP Fills'!Q1370="PHILLIPSG",'ATP Fills'!F1370,""))</f>
        <v/>
      </c>
      <c r="B1370" t="str">
        <f>IF(A1370="","",'ATP Fills'!L1370)</f>
        <v/>
      </c>
      <c r="C1370" t="str">
        <f>IF(A1370="","",'ATP Fills'!M1370)</f>
        <v/>
      </c>
      <c r="D1370" t="str">
        <f>IF(A1370="","",'ATP Fills'!B1370)</f>
        <v/>
      </c>
      <c r="E1370" s="3" t="str">
        <f>IF(A1370="","",IF(DATE(LEFT(D1370,4),MID(D1370,5,2),RIGHT(D1370,2))=Helper1!$P$1,Helper1!$P$1,""))</f>
        <v/>
      </c>
      <c r="F1370" s="3" t="str">
        <f>IF(A1370="","",'ATP Fills'!G1370)</f>
        <v/>
      </c>
      <c r="G1370" t="str">
        <f>IF(A1370="","",'ATP Fills'!H1370)</f>
        <v/>
      </c>
      <c r="H1370" t="str">
        <f>IF(A1370="","",VLOOKUP(G1370,表3_3[],2,0))</f>
        <v/>
      </c>
      <c r="I1370" t="str">
        <f>IF(A1370="","",VLOOKUP(G1370,表3_3[],3,0))</f>
        <v/>
      </c>
      <c r="J1370" t="str">
        <f>IF(A1370="","",IF('ATP Fills'!I1370="3M","",VLOOKUP(RIGHT('ATP Fills'!I1370,2),Helper1!$O$36:$P$48,2,0)))</f>
        <v/>
      </c>
      <c r="K1370" t="str">
        <f>IF(J1370="","",LEFT('ATP Fills'!I1370,4))</f>
        <v/>
      </c>
      <c r="L1370" t="str">
        <f>IF(A1370="","",IF('ATP Fills'!G1370="LME",'ATP Fills'!I1370,""))</f>
        <v/>
      </c>
      <c r="M1370" t="str">
        <f t="shared" si="21"/>
        <v/>
      </c>
    </row>
    <row r="1371" spans="1:13">
      <c r="A1371" t="str">
        <f>IF('ATP Fills'!A1371="","",IF('ATP Fills'!Q1371="PHILLIPSG",'ATP Fills'!F1371,""))</f>
        <v/>
      </c>
      <c r="B1371" t="str">
        <f>IF(A1371="","",'ATP Fills'!L1371)</f>
        <v/>
      </c>
      <c r="C1371" t="str">
        <f>IF(A1371="","",'ATP Fills'!M1371)</f>
        <v/>
      </c>
      <c r="D1371" t="str">
        <f>IF(A1371="","",'ATP Fills'!B1371)</f>
        <v/>
      </c>
      <c r="E1371" s="3" t="str">
        <f>IF(A1371="","",IF(DATE(LEFT(D1371,4),MID(D1371,5,2),RIGHT(D1371,2))=Helper1!$P$1,Helper1!$P$1,""))</f>
        <v/>
      </c>
      <c r="F1371" s="3" t="str">
        <f>IF(A1371="","",'ATP Fills'!G1371)</f>
        <v/>
      </c>
      <c r="G1371" t="str">
        <f>IF(A1371="","",'ATP Fills'!H1371)</f>
        <v/>
      </c>
      <c r="H1371" t="str">
        <f>IF(A1371="","",VLOOKUP(G1371,表3_3[],2,0))</f>
        <v/>
      </c>
      <c r="I1371" t="str">
        <f>IF(A1371="","",VLOOKUP(G1371,表3_3[],3,0))</f>
        <v/>
      </c>
      <c r="J1371" t="str">
        <f>IF(A1371="","",IF('ATP Fills'!I1371="3M","",VLOOKUP(RIGHT('ATP Fills'!I1371,2),Helper1!$O$36:$P$48,2,0)))</f>
        <v/>
      </c>
      <c r="K1371" t="str">
        <f>IF(J1371="","",LEFT('ATP Fills'!I1371,4))</f>
        <v/>
      </c>
      <c r="L1371" t="str">
        <f>IF(A1371="","",IF('ATP Fills'!G1371="LME",'ATP Fills'!I1371,""))</f>
        <v/>
      </c>
      <c r="M1371" t="str">
        <f t="shared" si="21"/>
        <v/>
      </c>
    </row>
    <row r="1372" spans="1:13">
      <c r="A1372" t="str">
        <f>IF('ATP Fills'!A1372="","",IF('ATP Fills'!Q1372="PHILLIPSG",'ATP Fills'!F1372,""))</f>
        <v/>
      </c>
      <c r="B1372" t="str">
        <f>IF(A1372="","",'ATP Fills'!L1372)</f>
        <v/>
      </c>
      <c r="C1372" t="str">
        <f>IF(A1372="","",'ATP Fills'!M1372)</f>
        <v/>
      </c>
      <c r="D1372" t="str">
        <f>IF(A1372="","",'ATP Fills'!B1372)</f>
        <v/>
      </c>
      <c r="E1372" s="3" t="str">
        <f>IF(A1372="","",IF(DATE(LEFT(D1372,4),MID(D1372,5,2),RIGHT(D1372,2))=Helper1!$P$1,Helper1!$P$1,""))</f>
        <v/>
      </c>
      <c r="F1372" s="3" t="str">
        <f>IF(A1372="","",'ATP Fills'!G1372)</f>
        <v/>
      </c>
      <c r="G1372" t="str">
        <f>IF(A1372="","",'ATP Fills'!H1372)</f>
        <v/>
      </c>
      <c r="H1372" t="str">
        <f>IF(A1372="","",VLOOKUP(G1372,表3_3[],2,0))</f>
        <v/>
      </c>
      <c r="I1372" t="str">
        <f>IF(A1372="","",VLOOKUP(G1372,表3_3[],3,0))</f>
        <v/>
      </c>
      <c r="J1372" t="str">
        <f>IF(A1372="","",IF('ATP Fills'!I1372="3M","",VLOOKUP(RIGHT('ATP Fills'!I1372,2),Helper1!$O$36:$P$48,2,0)))</f>
        <v/>
      </c>
      <c r="K1372" t="str">
        <f>IF(J1372="","",LEFT('ATP Fills'!I1372,4))</f>
        <v/>
      </c>
      <c r="L1372" t="str">
        <f>IF(A1372="","",IF('ATP Fills'!G1372="LME",'ATP Fills'!I1372,""))</f>
        <v/>
      </c>
      <c r="M1372" t="str">
        <f t="shared" si="21"/>
        <v/>
      </c>
    </row>
    <row r="1373" spans="1:13">
      <c r="A1373" t="str">
        <f>IF('ATP Fills'!A1373="","",IF('ATP Fills'!Q1373="PHILLIPSG",'ATP Fills'!F1373,""))</f>
        <v/>
      </c>
      <c r="B1373" t="str">
        <f>IF(A1373="","",'ATP Fills'!L1373)</f>
        <v/>
      </c>
      <c r="C1373" t="str">
        <f>IF(A1373="","",'ATP Fills'!M1373)</f>
        <v/>
      </c>
      <c r="D1373" t="str">
        <f>IF(A1373="","",'ATP Fills'!B1373)</f>
        <v/>
      </c>
      <c r="E1373" s="3" t="str">
        <f>IF(A1373="","",IF(DATE(LEFT(D1373,4),MID(D1373,5,2),RIGHT(D1373,2))=Helper1!$P$1,Helper1!$P$1,""))</f>
        <v/>
      </c>
      <c r="F1373" s="3" t="str">
        <f>IF(A1373="","",'ATP Fills'!G1373)</f>
        <v/>
      </c>
      <c r="G1373" t="str">
        <f>IF(A1373="","",'ATP Fills'!H1373)</f>
        <v/>
      </c>
      <c r="H1373" t="str">
        <f>IF(A1373="","",VLOOKUP(G1373,表3_3[],2,0))</f>
        <v/>
      </c>
      <c r="I1373" t="str">
        <f>IF(A1373="","",VLOOKUP(G1373,表3_3[],3,0))</f>
        <v/>
      </c>
      <c r="J1373" t="str">
        <f>IF(A1373="","",IF('ATP Fills'!I1373="3M","",VLOOKUP(RIGHT('ATP Fills'!I1373,2),Helper1!$O$36:$P$48,2,0)))</f>
        <v/>
      </c>
      <c r="K1373" t="str">
        <f>IF(J1373="","",LEFT('ATP Fills'!I1373,4))</f>
        <v/>
      </c>
      <c r="L1373" t="str">
        <f>IF(A1373="","",IF('ATP Fills'!G1373="LME",'ATP Fills'!I1373,""))</f>
        <v/>
      </c>
      <c r="M1373" t="str">
        <f t="shared" si="21"/>
        <v/>
      </c>
    </row>
    <row r="1374" spans="1:13">
      <c r="A1374" t="str">
        <f>IF('ATP Fills'!A1374="","",IF('ATP Fills'!Q1374="PHILLIPSG",'ATP Fills'!F1374,""))</f>
        <v/>
      </c>
      <c r="B1374" t="str">
        <f>IF(A1374="","",'ATP Fills'!L1374)</f>
        <v/>
      </c>
      <c r="C1374" t="str">
        <f>IF(A1374="","",'ATP Fills'!M1374)</f>
        <v/>
      </c>
      <c r="D1374" t="str">
        <f>IF(A1374="","",'ATP Fills'!B1374)</f>
        <v/>
      </c>
      <c r="E1374" s="3" t="str">
        <f>IF(A1374="","",IF(DATE(LEFT(D1374,4),MID(D1374,5,2),RIGHT(D1374,2))=Helper1!$P$1,Helper1!$P$1,""))</f>
        <v/>
      </c>
      <c r="F1374" s="3" t="str">
        <f>IF(A1374="","",'ATP Fills'!G1374)</f>
        <v/>
      </c>
      <c r="G1374" t="str">
        <f>IF(A1374="","",'ATP Fills'!H1374)</f>
        <v/>
      </c>
      <c r="H1374" t="str">
        <f>IF(A1374="","",VLOOKUP(G1374,表3_3[],2,0))</f>
        <v/>
      </c>
      <c r="I1374" t="str">
        <f>IF(A1374="","",VLOOKUP(G1374,表3_3[],3,0))</f>
        <v/>
      </c>
      <c r="J1374" t="str">
        <f>IF(A1374="","",IF('ATP Fills'!I1374="3M","",VLOOKUP(RIGHT('ATP Fills'!I1374,2),Helper1!$O$36:$P$48,2,0)))</f>
        <v/>
      </c>
      <c r="K1374" t="str">
        <f>IF(J1374="","",LEFT('ATP Fills'!I1374,4))</f>
        <v/>
      </c>
      <c r="L1374" t="str">
        <f>IF(A1374="","",IF('ATP Fills'!G1374="LME",'ATP Fills'!I1374,""))</f>
        <v/>
      </c>
      <c r="M1374" t="str">
        <f t="shared" si="21"/>
        <v/>
      </c>
    </row>
    <row r="1375" spans="1:13">
      <c r="A1375" t="str">
        <f>IF('ATP Fills'!A1375="","",IF('ATP Fills'!Q1375="PHILLIPSG",'ATP Fills'!F1375,""))</f>
        <v/>
      </c>
      <c r="B1375" t="str">
        <f>IF(A1375="","",'ATP Fills'!L1375)</f>
        <v/>
      </c>
      <c r="C1375" t="str">
        <f>IF(A1375="","",'ATP Fills'!M1375)</f>
        <v/>
      </c>
      <c r="D1375" t="str">
        <f>IF(A1375="","",'ATP Fills'!B1375)</f>
        <v/>
      </c>
      <c r="E1375" s="3" t="str">
        <f>IF(A1375="","",IF(DATE(LEFT(D1375,4),MID(D1375,5,2),RIGHT(D1375,2))=Helper1!$P$1,Helper1!$P$1,""))</f>
        <v/>
      </c>
      <c r="F1375" s="3" t="str">
        <f>IF(A1375="","",'ATP Fills'!G1375)</f>
        <v/>
      </c>
      <c r="G1375" t="str">
        <f>IF(A1375="","",'ATP Fills'!H1375)</f>
        <v/>
      </c>
      <c r="H1375" t="str">
        <f>IF(A1375="","",VLOOKUP(G1375,表3_3[],2,0))</f>
        <v/>
      </c>
      <c r="I1375" t="str">
        <f>IF(A1375="","",VLOOKUP(G1375,表3_3[],3,0))</f>
        <v/>
      </c>
      <c r="J1375" t="str">
        <f>IF(A1375="","",IF('ATP Fills'!I1375="3M","",VLOOKUP(RIGHT('ATP Fills'!I1375,2),Helper1!$O$36:$P$48,2,0)))</f>
        <v/>
      </c>
      <c r="K1375" t="str">
        <f>IF(J1375="","",LEFT('ATP Fills'!I1375,4))</f>
        <v/>
      </c>
      <c r="L1375" t="str">
        <f>IF(A1375="","",IF('ATP Fills'!G1375="LME",'ATP Fills'!I1375,""))</f>
        <v/>
      </c>
      <c r="M1375" t="str">
        <f t="shared" si="21"/>
        <v/>
      </c>
    </row>
    <row r="1376" spans="1:13">
      <c r="A1376" t="str">
        <f>IF('ATP Fills'!A1376="","",IF('ATP Fills'!Q1376="PHILLIPSG",'ATP Fills'!F1376,""))</f>
        <v/>
      </c>
      <c r="B1376" t="str">
        <f>IF(A1376="","",'ATP Fills'!L1376)</f>
        <v/>
      </c>
      <c r="C1376" t="str">
        <f>IF(A1376="","",'ATP Fills'!M1376)</f>
        <v/>
      </c>
      <c r="D1376" t="str">
        <f>IF(A1376="","",'ATP Fills'!B1376)</f>
        <v/>
      </c>
      <c r="E1376" s="3" t="str">
        <f>IF(A1376="","",IF(DATE(LEFT(D1376,4),MID(D1376,5,2),RIGHT(D1376,2))=Helper1!$P$1,Helper1!$P$1,""))</f>
        <v/>
      </c>
      <c r="F1376" s="3" t="str">
        <f>IF(A1376="","",'ATP Fills'!G1376)</f>
        <v/>
      </c>
      <c r="G1376" t="str">
        <f>IF(A1376="","",'ATP Fills'!H1376)</f>
        <v/>
      </c>
      <c r="H1376" t="str">
        <f>IF(A1376="","",VLOOKUP(G1376,表3_3[],2,0))</f>
        <v/>
      </c>
      <c r="I1376" t="str">
        <f>IF(A1376="","",VLOOKUP(G1376,表3_3[],3,0))</f>
        <v/>
      </c>
      <c r="J1376" t="str">
        <f>IF(A1376="","",IF('ATP Fills'!I1376="3M","",VLOOKUP(RIGHT('ATP Fills'!I1376,2),Helper1!$O$36:$P$48,2,0)))</f>
        <v/>
      </c>
      <c r="K1376" t="str">
        <f>IF(J1376="","",LEFT('ATP Fills'!I1376,4))</f>
        <v/>
      </c>
      <c r="L1376" t="str">
        <f>IF(A1376="","",IF('ATP Fills'!G1376="LME",'ATP Fills'!I1376,""))</f>
        <v/>
      </c>
      <c r="M1376" t="str">
        <f t="shared" si="21"/>
        <v/>
      </c>
    </row>
    <row r="1377" spans="1:13">
      <c r="A1377" t="str">
        <f>IF('ATP Fills'!A1377="","",IF('ATP Fills'!Q1377="PHILLIPSG",'ATP Fills'!F1377,""))</f>
        <v/>
      </c>
      <c r="B1377" t="str">
        <f>IF(A1377="","",'ATP Fills'!L1377)</f>
        <v/>
      </c>
      <c r="C1377" t="str">
        <f>IF(A1377="","",'ATP Fills'!M1377)</f>
        <v/>
      </c>
      <c r="D1377" t="str">
        <f>IF(A1377="","",'ATP Fills'!B1377)</f>
        <v/>
      </c>
      <c r="E1377" s="3" t="str">
        <f>IF(A1377="","",IF(DATE(LEFT(D1377,4),MID(D1377,5,2),RIGHT(D1377,2))=Helper1!$P$1,Helper1!$P$1,""))</f>
        <v/>
      </c>
      <c r="F1377" s="3" t="str">
        <f>IF(A1377="","",'ATP Fills'!G1377)</f>
        <v/>
      </c>
      <c r="G1377" t="str">
        <f>IF(A1377="","",'ATP Fills'!H1377)</f>
        <v/>
      </c>
      <c r="H1377" t="str">
        <f>IF(A1377="","",VLOOKUP(G1377,表3_3[],2,0))</f>
        <v/>
      </c>
      <c r="I1377" t="str">
        <f>IF(A1377="","",VLOOKUP(G1377,表3_3[],3,0))</f>
        <v/>
      </c>
      <c r="J1377" t="str">
        <f>IF(A1377="","",IF('ATP Fills'!I1377="3M","",VLOOKUP(RIGHT('ATP Fills'!I1377,2),Helper1!$O$36:$P$48,2,0)))</f>
        <v/>
      </c>
      <c r="K1377" t="str">
        <f>IF(J1377="","",LEFT('ATP Fills'!I1377,4))</f>
        <v/>
      </c>
      <c r="L1377" t="str">
        <f>IF(A1377="","",IF('ATP Fills'!G1377="LME",'ATP Fills'!I1377,""))</f>
        <v/>
      </c>
      <c r="M1377" t="str">
        <f t="shared" si="21"/>
        <v/>
      </c>
    </row>
    <row r="1378" spans="1:13">
      <c r="A1378" t="str">
        <f>IF('ATP Fills'!A1378="","",IF('ATP Fills'!Q1378="PHILLIPSG",'ATP Fills'!F1378,""))</f>
        <v/>
      </c>
      <c r="B1378" t="str">
        <f>IF(A1378="","",'ATP Fills'!L1378)</f>
        <v/>
      </c>
      <c r="C1378" t="str">
        <f>IF(A1378="","",'ATP Fills'!M1378)</f>
        <v/>
      </c>
      <c r="D1378" t="str">
        <f>IF(A1378="","",'ATP Fills'!B1378)</f>
        <v/>
      </c>
      <c r="E1378" s="3" t="str">
        <f>IF(A1378="","",IF(DATE(LEFT(D1378,4),MID(D1378,5,2),RIGHT(D1378,2))=Helper1!$P$1,Helper1!$P$1,""))</f>
        <v/>
      </c>
      <c r="F1378" s="3" t="str">
        <f>IF(A1378="","",'ATP Fills'!G1378)</f>
        <v/>
      </c>
      <c r="G1378" t="str">
        <f>IF(A1378="","",'ATP Fills'!H1378)</f>
        <v/>
      </c>
      <c r="H1378" t="str">
        <f>IF(A1378="","",VLOOKUP(G1378,表3_3[],2,0))</f>
        <v/>
      </c>
      <c r="I1378" t="str">
        <f>IF(A1378="","",VLOOKUP(G1378,表3_3[],3,0))</f>
        <v/>
      </c>
      <c r="J1378" t="str">
        <f>IF(A1378="","",IF('ATP Fills'!I1378="3M","",VLOOKUP(RIGHT('ATP Fills'!I1378,2),Helper1!$O$36:$P$48,2,0)))</f>
        <v/>
      </c>
      <c r="K1378" t="str">
        <f>IF(J1378="","",LEFT('ATP Fills'!I1378,4))</f>
        <v/>
      </c>
      <c r="L1378" t="str">
        <f>IF(A1378="","",IF('ATP Fills'!G1378="LME",'ATP Fills'!I1378,""))</f>
        <v/>
      </c>
      <c r="M1378" t="str">
        <f t="shared" si="21"/>
        <v/>
      </c>
    </row>
    <row r="1379" spans="1:13">
      <c r="A1379" t="str">
        <f>IF('ATP Fills'!A1379="","",IF('ATP Fills'!Q1379="PHILLIPSG",'ATP Fills'!F1379,""))</f>
        <v/>
      </c>
      <c r="B1379" t="str">
        <f>IF(A1379="","",'ATP Fills'!L1379)</f>
        <v/>
      </c>
      <c r="C1379" t="str">
        <f>IF(A1379="","",'ATP Fills'!M1379)</f>
        <v/>
      </c>
      <c r="D1379" t="str">
        <f>IF(A1379="","",'ATP Fills'!B1379)</f>
        <v/>
      </c>
      <c r="E1379" s="3" t="str">
        <f>IF(A1379="","",IF(DATE(LEFT(D1379,4),MID(D1379,5,2),RIGHT(D1379,2))=Helper1!$P$1,Helper1!$P$1,""))</f>
        <v/>
      </c>
      <c r="F1379" s="3" t="str">
        <f>IF(A1379="","",'ATP Fills'!G1379)</f>
        <v/>
      </c>
      <c r="G1379" t="str">
        <f>IF(A1379="","",'ATP Fills'!H1379)</f>
        <v/>
      </c>
      <c r="H1379" t="str">
        <f>IF(A1379="","",VLOOKUP(G1379,表3_3[],2,0))</f>
        <v/>
      </c>
      <c r="I1379" t="str">
        <f>IF(A1379="","",VLOOKUP(G1379,表3_3[],3,0))</f>
        <v/>
      </c>
      <c r="J1379" t="str">
        <f>IF(A1379="","",IF('ATP Fills'!I1379="3M","",VLOOKUP(RIGHT('ATP Fills'!I1379,2),Helper1!$O$36:$P$48,2,0)))</f>
        <v/>
      </c>
      <c r="K1379" t="str">
        <f>IF(J1379="","",LEFT('ATP Fills'!I1379,4))</f>
        <v/>
      </c>
      <c r="L1379" t="str">
        <f>IF(A1379="","",IF('ATP Fills'!G1379="LME",'ATP Fills'!I1379,""))</f>
        <v/>
      </c>
      <c r="M1379" t="str">
        <f t="shared" si="21"/>
        <v/>
      </c>
    </row>
    <row r="1380" spans="1:13">
      <c r="A1380" t="str">
        <f>IF('ATP Fills'!A1380="","",IF('ATP Fills'!Q1380="PHILLIPSG",'ATP Fills'!F1380,""))</f>
        <v/>
      </c>
      <c r="B1380" t="str">
        <f>IF(A1380="","",'ATP Fills'!L1380)</f>
        <v/>
      </c>
      <c r="C1380" t="str">
        <f>IF(A1380="","",'ATP Fills'!M1380)</f>
        <v/>
      </c>
      <c r="D1380" t="str">
        <f>IF(A1380="","",'ATP Fills'!B1380)</f>
        <v/>
      </c>
      <c r="E1380" s="3" t="str">
        <f>IF(A1380="","",IF(DATE(LEFT(D1380,4),MID(D1380,5,2),RIGHT(D1380,2))=Helper1!$P$1,Helper1!$P$1,""))</f>
        <v/>
      </c>
      <c r="F1380" s="3" t="str">
        <f>IF(A1380="","",'ATP Fills'!G1380)</f>
        <v/>
      </c>
      <c r="G1380" t="str">
        <f>IF(A1380="","",'ATP Fills'!H1380)</f>
        <v/>
      </c>
      <c r="H1380" t="str">
        <f>IF(A1380="","",VLOOKUP(G1380,表3_3[],2,0))</f>
        <v/>
      </c>
      <c r="I1380" t="str">
        <f>IF(A1380="","",VLOOKUP(G1380,表3_3[],3,0))</f>
        <v/>
      </c>
      <c r="J1380" t="str">
        <f>IF(A1380="","",IF('ATP Fills'!I1380="3M","",VLOOKUP(RIGHT('ATP Fills'!I1380,2),Helper1!$O$36:$P$48,2,0)))</f>
        <v/>
      </c>
      <c r="K1380" t="str">
        <f>IF(J1380="","",LEFT('ATP Fills'!I1380,4))</f>
        <v/>
      </c>
      <c r="L1380" t="str">
        <f>IF(A1380="","",IF('ATP Fills'!G1380="LME",'ATP Fills'!I1380,""))</f>
        <v/>
      </c>
      <c r="M1380" t="str">
        <f t="shared" si="21"/>
        <v/>
      </c>
    </row>
    <row r="1381" spans="1:13">
      <c r="A1381" t="str">
        <f>IF('ATP Fills'!A1381="","",IF('ATP Fills'!Q1381="PHILLIPSG",'ATP Fills'!F1381,""))</f>
        <v/>
      </c>
      <c r="B1381" t="str">
        <f>IF(A1381="","",'ATP Fills'!L1381)</f>
        <v/>
      </c>
      <c r="C1381" t="str">
        <f>IF(A1381="","",'ATP Fills'!M1381)</f>
        <v/>
      </c>
      <c r="D1381" t="str">
        <f>IF(A1381="","",'ATP Fills'!B1381)</f>
        <v/>
      </c>
      <c r="E1381" s="3" t="str">
        <f>IF(A1381="","",IF(DATE(LEFT(D1381,4),MID(D1381,5,2),RIGHT(D1381,2))=Helper1!$P$1,Helper1!$P$1,""))</f>
        <v/>
      </c>
      <c r="F1381" s="3" t="str">
        <f>IF(A1381="","",'ATP Fills'!G1381)</f>
        <v/>
      </c>
      <c r="G1381" t="str">
        <f>IF(A1381="","",'ATP Fills'!H1381)</f>
        <v/>
      </c>
      <c r="H1381" t="str">
        <f>IF(A1381="","",VLOOKUP(G1381,表3_3[],2,0))</f>
        <v/>
      </c>
      <c r="I1381" t="str">
        <f>IF(A1381="","",VLOOKUP(G1381,表3_3[],3,0))</f>
        <v/>
      </c>
      <c r="J1381" t="str">
        <f>IF(A1381="","",IF('ATP Fills'!I1381="3M","",VLOOKUP(RIGHT('ATP Fills'!I1381,2),Helper1!$O$36:$P$48,2,0)))</f>
        <v/>
      </c>
      <c r="K1381" t="str">
        <f>IF(J1381="","",LEFT('ATP Fills'!I1381,4))</f>
        <v/>
      </c>
      <c r="L1381" t="str">
        <f>IF(A1381="","",IF('ATP Fills'!G1381="LME",'ATP Fills'!I1381,""))</f>
        <v/>
      </c>
      <c r="M1381" t="str">
        <f t="shared" si="21"/>
        <v/>
      </c>
    </row>
    <row r="1382" spans="1:13">
      <c r="A1382" t="str">
        <f>IF('ATP Fills'!A1382="","",IF('ATP Fills'!Q1382="PHILLIPSG",'ATP Fills'!F1382,""))</f>
        <v/>
      </c>
      <c r="B1382" t="str">
        <f>IF(A1382="","",'ATP Fills'!L1382)</f>
        <v/>
      </c>
      <c r="C1382" t="str">
        <f>IF(A1382="","",'ATP Fills'!M1382)</f>
        <v/>
      </c>
      <c r="D1382" t="str">
        <f>IF(A1382="","",'ATP Fills'!B1382)</f>
        <v/>
      </c>
      <c r="E1382" s="3" t="str">
        <f>IF(A1382="","",IF(DATE(LEFT(D1382,4),MID(D1382,5,2),RIGHT(D1382,2))=Helper1!$P$1,Helper1!$P$1,""))</f>
        <v/>
      </c>
      <c r="F1382" s="3" t="str">
        <f>IF(A1382="","",'ATP Fills'!G1382)</f>
        <v/>
      </c>
      <c r="G1382" t="str">
        <f>IF(A1382="","",'ATP Fills'!H1382)</f>
        <v/>
      </c>
      <c r="H1382" t="str">
        <f>IF(A1382="","",VLOOKUP(G1382,表3_3[],2,0))</f>
        <v/>
      </c>
      <c r="I1382" t="str">
        <f>IF(A1382="","",VLOOKUP(G1382,表3_3[],3,0))</f>
        <v/>
      </c>
      <c r="J1382" t="str">
        <f>IF(A1382="","",IF('ATP Fills'!I1382="3M","",VLOOKUP(RIGHT('ATP Fills'!I1382,2),Helper1!$O$36:$P$48,2,0)))</f>
        <v/>
      </c>
      <c r="K1382" t="str">
        <f>IF(J1382="","",LEFT('ATP Fills'!I1382,4))</f>
        <v/>
      </c>
      <c r="L1382" t="str">
        <f>IF(A1382="","",IF('ATP Fills'!G1382="LME",'ATP Fills'!I1382,""))</f>
        <v/>
      </c>
      <c r="M1382" t="str">
        <f t="shared" si="21"/>
        <v/>
      </c>
    </row>
    <row r="1383" spans="1:13">
      <c r="A1383" t="str">
        <f>IF('ATP Fills'!A1383="","",IF('ATP Fills'!Q1383="PHILLIPSG",'ATP Fills'!F1383,""))</f>
        <v/>
      </c>
      <c r="B1383" t="str">
        <f>IF(A1383="","",'ATP Fills'!L1383)</f>
        <v/>
      </c>
      <c r="C1383" t="str">
        <f>IF(A1383="","",'ATP Fills'!M1383)</f>
        <v/>
      </c>
      <c r="D1383" t="str">
        <f>IF(A1383="","",'ATP Fills'!B1383)</f>
        <v/>
      </c>
      <c r="E1383" s="3" t="str">
        <f>IF(A1383="","",IF(DATE(LEFT(D1383,4),MID(D1383,5,2),RIGHT(D1383,2))=Helper1!$P$1,Helper1!$P$1,""))</f>
        <v/>
      </c>
      <c r="F1383" s="3" t="str">
        <f>IF(A1383="","",'ATP Fills'!G1383)</f>
        <v/>
      </c>
      <c r="G1383" t="str">
        <f>IF(A1383="","",'ATP Fills'!H1383)</f>
        <v/>
      </c>
      <c r="H1383" t="str">
        <f>IF(A1383="","",VLOOKUP(G1383,表3_3[],2,0))</f>
        <v/>
      </c>
      <c r="I1383" t="str">
        <f>IF(A1383="","",VLOOKUP(G1383,表3_3[],3,0))</f>
        <v/>
      </c>
      <c r="J1383" t="str">
        <f>IF(A1383="","",IF('ATP Fills'!I1383="3M","",VLOOKUP(RIGHT('ATP Fills'!I1383,2),Helper1!$O$36:$P$48,2,0)))</f>
        <v/>
      </c>
      <c r="K1383" t="str">
        <f>IF(J1383="","",LEFT('ATP Fills'!I1383,4))</f>
        <v/>
      </c>
      <c r="L1383" t="str">
        <f>IF(A1383="","",IF('ATP Fills'!G1383="LME",'ATP Fills'!I1383,""))</f>
        <v/>
      </c>
      <c r="M1383" t="str">
        <f t="shared" si="21"/>
        <v/>
      </c>
    </row>
    <row r="1384" spans="1:13">
      <c r="A1384" t="str">
        <f>IF('ATP Fills'!A1384="","",IF('ATP Fills'!Q1384="PHILLIPSG",'ATP Fills'!F1384,""))</f>
        <v/>
      </c>
      <c r="B1384" t="str">
        <f>IF(A1384="","",'ATP Fills'!L1384)</f>
        <v/>
      </c>
      <c r="C1384" t="str">
        <f>IF(A1384="","",'ATP Fills'!M1384)</f>
        <v/>
      </c>
      <c r="D1384" t="str">
        <f>IF(A1384="","",'ATP Fills'!B1384)</f>
        <v/>
      </c>
      <c r="E1384" s="3" t="str">
        <f>IF(A1384="","",IF(DATE(LEFT(D1384,4),MID(D1384,5,2),RIGHT(D1384,2))=Helper1!$P$1,Helper1!$P$1,""))</f>
        <v/>
      </c>
      <c r="F1384" s="3" t="str">
        <f>IF(A1384="","",'ATP Fills'!G1384)</f>
        <v/>
      </c>
      <c r="G1384" t="str">
        <f>IF(A1384="","",'ATP Fills'!H1384)</f>
        <v/>
      </c>
      <c r="H1384" t="str">
        <f>IF(A1384="","",VLOOKUP(G1384,表3_3[],2,0))</f>
        <v/>
      </c>
      <c r="I1384" t="str">
        <f>IF(A1384="","",VLOOKUP(G1384,表3_3[],3,0))</f>
        <v/>
      </c>
      <c r="J1384" t="str">
        <f>IF(A1384="","",IF('ATP Fills'!I1384="3M","",VLOOKUP(RIGHT('ATP Fills'!I1384,2),Helper1!$O$36:$P$48,2,0)))</f>
        <v/>
      </c>
      <c r="K1384" t="str">
        <f>IF(J1384="","",LEFT('ATP Fills'!I1384,4))</f>
        <v/>
      </c>
      <c r="L1384" t="str">
        <f>IF(A1384="","",IF('ATP Fills'!G1384="LME",'ATP Fills'!I1384,""))</f>
        <v/>
      </c>
      <c r="M1384" t="str">
        <f t="shared" si="21"/>
        <v/>
      </c>
    </row>
    <row r="1385" spans="1:13">
      <c r="A1385" t="str">
        <f>IF('ATP Fills'!A1385="","",IF('ATP Fills'!Q1385="PHILLIPSG",'ATP Fills'!F1385,""))</f>
        <v/>
      </c>
      <c r="B1385" t="str">
        <f>IF(A1385="","",'ATP Fills'!L1385)</f>
        <v/>
      </c>
      <c r="C1385" t="str">
        <f>IF(A1385="","",'ATP Fills'!M1385)</f>
        <v/>
      </c>
      <c r="D1385" t="str">
        <f>IF(A1385="","",'ATP Fills'!B1385)</f>
        <v/>
      </c>
      <c r="E1385" s="3" t="str">
        <f>IF(A1385="","",IF(DATE(LEFT(D1385,4),MID(D1385,5,2),RIGHT(D1385,2))=Helper1!$P$1,Helper1!$P$1,""))</f>
        <v/>
      </c>
      <c r="F1385" s="3" t="str">
        <f>IF(A1385="","",'ATP Fills'!G1385)</f>
        <v/>
      </c>
      <c r="G1385" t="str">
        <f>IF(A1385="","",'ATP Fills'!H1385)</f>
        <v/>
      </c>
      <c r="H1385" t="str">
        <f>IF(A1385="","",VLOOKUP(G1385,表3_3[],2,0))</f>
        <v/>
      </c>
      <c r="I1385" t="str">
        <f>IF(A1385="","",VLOOKUP(G1385,表3_3[],3,0))</f>
        <v/>
      </c>
      <c r="J1385" t="str">
        <f>IF(A1385="","",IF('ATP Fills'!I1385="3M","",VLOOKUP(RIGHT('ATP Fills'!I1385,2),Helper1!$O$36:$P$48,2,0)))</f>
        <v/>
      </c>
      <c r="K1385" t="str">
        <f>IF(J1385="","",LEFT('ATP Fills'!I1385,4))</f>
        <v/>
      </c>
      <c r="L1385" t="str">
        <f>IF(A1385="","",IF('ATP Fills'!G1385="LME",'ATP Fills'!I1385,""))</f>
        <v/>
      </c>
      <c r="M1385" t="str">
        <f t="shared" si="21"/>
        <v/>
      </c>
    </row>
    <row r="1386" spans="1:13">
      <c r="A1386" t="str">
        <f>IF('ATP Fills'!A1386="","",IF('ATP Fills'!Q1386="PHILLIPSG",'ATP Fills'!F1386,""))</f>
        <v/>
      </c>
      <c r="B1386" t="str">
        <f>IF(A1386="","",'ATP Fills'!L1386)</f>
        <v/>
      </c>
      <c r="C1386" t="str">
        <f>IF(A1386="","",'ATP Fills'!M1386)</f>
        <v/>
      </c>
      <c r="D1386" t="str">
        <f>IF(A1386="","",'ATP Fills'!B1386)</f>
        <v/>
      </c>
      <c r="E1386" s="3" t="str">
        <f>IF(A1386="","",IF(DATE(LEFT(D1386,4),MID(D1386,5,2),RIGHT(D1386,2))=Helper1!$P$1,Helper1!$P$1,""))</f>
        <v/>
      </c>
      <c r="F1386" s="3" t="str">
        <f>IF(A1386="","",'ATP Fills'!G1386)</f>
        <v/>
      </c>
      <c r="G1386" t="str">
        <f>IF(A1386="","",'ATP Fills'!H1386)</f>
        <v/>
      </c>
      <c r="H1386" t="str">
        <f>IF(A1386="","",VLOOKUP(G1386,表3_3[],2,0))</f>
        <v/>
      </c>
      <c r="I1386" t="str">
        <f>IF(A1386="","",VLOOKUP(G1386,表3_3[],3,0))</f>
        <v/>
      </c>
      <c r="J1386" t="str">
        <f>IF(A1386="","",IF('ATP Fills'!I1386="3M","",VLOOKUP(RIGHT('ATP Fills'!I1386,2),Helper1!$O$36:$P$48,2,0)))</f>
        <v/>
      </c>
      <c r="K1386" t="str">
        <f>IF(J1386="","",LEFT('ATP Fills'!I1386,4))</f>
        <v/>
      </c>
      <c r="L1386" t="str">
        <f>IF(A1386="","",IF('ATP Fills'!G1386="LME",'ATP Fills'!I1386,""))</f>
        <v/>
      </c>
      <c r="M1386" t="str">
        <f t="shared" si="21"/>
        <v/>
      </c>
    </row>
    <row r="1387" spans="1:13">
      <c r="A1387" t="str">
        <f>IF('ATP Fills'!A1387="","",IF('ATP Fills'!Q1387="PHILLIPSG",'ATP Fills'!F1387,""))</f>
        <v/>
      </c>
      <c r="B1387" t="str">
        <f>IF(A1387="","",'ATP Fills'!L1387)</f>
        <v/>
      </c>
      <c r="C1387" t="str">
        <f>IF(A1387="","",'ATP Fills'!M1387)</f>
        <v/>
      </c>
      <c r="D1387" t="str">
        <f>IF(A1387="","",'ATP Fills'!B1387)</f>
        <v/>
      </c>
      <c r="E1387" s="3" t="str">
        <f>IF(A1387="","",IF(DATE(LEFT(D1387,4),MID(D1387,5,2),RIGHT(D1387,2))=Helper1!$P$1,Helper1!$P$1,""))</f>
        <v/>
      </c>
      <c r="F1387" s="3" t="str">
        <f>IF(A1387="","",'ATP Fills'!G1387)</f>
        <v/>
      </c>
      <c r="G1387" t="str">
        <f>IF(A1387="","",'ATP Fills'!H1387)</f>
        <v/>
      </c>
      <c r="H1387" t="str">
        <f>IF(A1387="","",VLOOKUP(G1387,表3_3[],2,0))</f>
        <v/>
      </c>
      <c r="I1387" t="str">
        <f>IF(A1387="","",VLOOKUP(G1387,表3_3[],3,0))</f>
        <v/>
      </c>
      <c r="J1387" t="str">
        <f>IF(A1387="","",IF('ATP Fills'!I1387="3M","",VLOOKUP(RIGHT('ATP Fills'!I1387,2),Helper1!$O$36:$P$48,2,0)))</f>
        <v/>
      </c>
      <c r="K1387" t="str">
        <f>IF(J1387="","",LEFT('ATP Fills'!I1387,4))</f>
        <v/>
      </c>
      <c r="L1387" t="str">
        <f>IF(A1387="","",IF('ATP Fills'!G1387="LME",'ATP Fills'!I1387,""))</f>
        <v/>
      </c>
      <c r="M1387" t="str">
        <f t="shared" si="21"/>
        <v/>
      </c>
    </row>
    <row r="1388" spans="1:13">
      <c r="A1388" t="str">
        <f>IF('ATP Fills'!A1388="","",IF('ATP Fills'!Q1388="PHILLIPSG",'ATP Fills'!F1388,""))</f>
        <v/>
      </c>
      <c r="B1388" t="str">
        <f>IF(A1388="","",'ATP Fills'!L1388)</f>
        <v/>
      </c>
      <c r="C1388" t="str">
        <f>IF(A1388="","",'ATP Fills'!M1388)</f>
        <v/>
      </c>
      <c r="D1388" t="str">
        <f>IF(A1388="","",'ATP Fills'!B1388)</f>
        <v/>
      </c>
      <c r="E1388" s="3" t="str">
        <f>IF(A1388="","",IF(DATE(LEFT(D1388,4),MID(D1388,5,2),RIGHT(D1388,2))=Helper1!$P$1,Helper1!$P$1,""))</f>
        <v/>
      </c>
      <c r="F1388" s="3" t="str">
        <f>IF(A1388="","",'ATP Fills'!G1388)</f>
        <v/>
      </c>
      <c r="G1388" t="str">
        <f>IF(A1388="","",'ATP Fills'!H1388)</f>
        <v/>
      </c>
      <c r="H1388" t="str">
        <f>IF(A1388="","",VLOOKUP(G1388,表3_3[],2,0))</f>
        <v/>
      </c>
      <c r="I1388" t="str">
        <f>IF(A1388="","",VLOOKUP(G1388,表3_3[],3,0))</f>
        <v/>
      </c>
      <c r="J1388" t="str">
        <f>IF(A1388="","",IF('ATP Fills'!I1388="3M","",VLOOKUP(RIGHT('ATP Fills'!I1388,2),Helper1!$O$36:$P$48,2,0)))</f>
        <v/>
      </c>
      <c r="K1388" t="str">
        <f>IF(J1388="","",LEFT('ATP Fills'!I1388,4))</f>
        <v/>
      </c>
      <c r="L1388" t="str">
        <f>IF(A1388="","",IF('ATP Fills'!G1388="LME",'ATP Fills'!I1388,""))</f>
        <v/>
      </c>
      <c r="M1388" t="str">
        <f t="shared" si="21"/>
        <v/>
      </c>
    </row>
    <row r="1389" spans="1:13">
      <c r="A1389" t="str">
        <f>IF('ATP Fills'!A1389="","",IF('ATP Fills'!Q1389="PHILLIPSG",'ATP Fills'!F1389,""))</f>
        <v/>
      </c>
      <c r="B1389" t="str">
        <f>IF(A1389="","",'ATP Fills'!L1389)</f>
        <v/>
      </c>
      <c r="C1389" t="str">
        <f>IF(A1389="","",'ATP Fills'!M1389)</f>
        <v/>
      </c>
      <c r="D1389" t="str">
        <f>IF(A1389="","",'ATP Fills'!B1389)</f>
        <v/>
      </c>
      <c r="E1389" s="3" t="str">
        <f>IF(A1389="","",IF(DATE(LEFT(D1389,4),MID(D1389,5,2),RIGHT(D1389,2))=Helper1!$P$1,Helper1!$P$1,""))</f>
        <v/>
      </c>
      <c r="F1389" s="3" t="str">
        <f>IF(A1389="","",'ATP Fills'!G1389)</f>
        <v/>
      </c>
      <c r="G1389" t="str">
        <f>IF(A1389="","",'ATP Fills'!H1389)</f>
        <v/>
      </c>
      <c r="H1389" t="str">
        <f>IF(A1389="","",VLOOKUP(G1389,表3_3[],2,0))</f>
        <v/>
      </c>
      <c r="I1389" t="str">
        <f>IF(A1389="","",VLOOKUP(G1389,表3_3[],3,0))</f>
        <v/>
      </c>
      <c r="J1389" t="str">
        <f>IF(A1389="","",IF('ATP Fills'!I1389="3M","",VLOOKUP(RIGHT('ATP Fills'!I1389,2),Helper1!$O$36:$P$48,2,0)))</f>
        <v/>
      </c>
      <c r="K1389" t="str">
        <f>IF(J1389="","",LEFT('ATP Fills'!I1389,4))</f>
        <v/>
      </c>
      <c r="L1389" t="str">
        <f>IF(A1389="","",IF('ATP Fills'!G1389="LME",'ATP Fills'!I1389,""))</f>
        <v/>
      </c>
      <c r="M1389" t="str">
        <f t="shared" si="21"/>
        <v/>
      </c>
    </row>
    <row r="1390" spans="1:13">
      <c r="A1390" t="str">
        <f>IF('ATP Fills'!A1390="","",IF('ATP Fills'!Q1390="PHILLIPSG",'ATP Fills'!F1390,""))</f>
        <v/>
      </c>
      <c r="B1390" t="str">
        <f>IF(A1390="","",'ATP Fills'!L1390)</f>
        <v/>
      </c>
      <c r="C1390" t="str">
        <f>IF(A1390="","",'ATP Fills'!M1390)</f>
        <v/>
      </c>
      <c r="D1390" t="str">
        <f>IF(A1390="","",'ATP Fills'!B1390)</f>
        <v/>
      </c>
      <c r="E1390" s="3" t="str">
        <f>IF(A1390="","",IF(DATE(LEFT(D1390,4),MID(D1390,5,2),RIGHT(D1390,2))=Helper1!$P$1,Helper1!$P$1,""))</f>
        <v/>
      </c>
      <c r="F1390" s="3" t="str">
        <f>IF(A1390="","",'ATP Fills'!G1390)</f>
        <v/>
      </c>
      <c r="G1390" t="str">
        <f>IF(A1390="","",'ATP Fills'!H1390)</f>
        <v/>
      </c>
      <c r="H1390" t="str">
        <f>IF(A1390="","",VLOOKUP(G1390,表3_3[],2,0))</f>
        <v/>
      </c>
      <c r="I1390" t="str">
        <f>IF(A1390="","",VLOOKUP(G1390,表3_3[],3,0))</f>
        <v/>
      </c>
      <c r="J1390" t="str">
        <f>IF(A1390="","",IF('ATP Fills'!I1390="3M","",VLOOKUP(RIGHT('ATP Fills'!I1390,2),Helper1!$O$36:$P$48,2,0)))</f>
        <v/>
      </c>
      <c r="K1390" t="str">
        <f>IF(J1390="","",LEFT('ATP Fills'!I1390,4))</f>
        <v/>
      </c>
      <c r="L1390" t="str">
        <f>IF(A1390="","",IF('ATP Fills'!G1390="LME",'ATP Fills'!I1390,""))</f>
        <v/>
      </c>
      <c r="M1390" t="str">
        <f t="shared" si="21"/>
        <v/>
      </c>
    </row>
    <row r="1391" spans="1:13">
      <c r="A1391" t="str">
        <f>IF('ATP Fills'!A1391="","",IF('ATP Fills'!Q1391="PHILLIPSG",'ATP Fills'!F1391,""))</f>
        <v/>
      </c>
      <c r="B1391" t="str">
        <f>IF(A1391="","",'ATP Fills'!L1391)</f>
        <v/>
      </c>
      <c r="C1391" t="str">
        <f>IF(A1391="","",'ATP Fills'!M1391)</f>
        <v/>
      </c>
      <c r="D1391" t="str">
        <f>IF(A1391="","",'ATP Fills'!B1391)</f>
        <v/>
      </c>
      <c r="E1391" s="3" t="str">
        <f>IF(A1391="","",IF(DATE(LEFT(D1391,4),MID(D1391,5,2),RIGHT(D1391,2))=Helper1!$P$1,Helper1!$P$1,""))</f>
        <v/>
      </c>
      <c r="F1391" s="3" t="str">
        <f>IF(A1391="","",'ATP Fills'!G1391)</f>
        <v/>
      </c>
      <c r="G1391" t="str">
        <f>IF(A1391="","",'ATP Fills'!H1391)</f>
        <v/>
      </c>
      <c r="H1391" t="str">
        <f>IF(A1391="","",VLOOKUP(G1391,表3_3[],2,0))</f>
        <v/>
      </c>
      <c r="I1391" t="str">
        <f>IF(A1391="","",VLOOKUP(G1391,表3_3[],3,0))</f>
        <v/>
      </c>
      <c r="J1391" t="str">
        <f>IF(A1391="","",IF('ATP Fills'!I1391="3M","",VLOOKUP(RIGHT('ATP Fills'!I1391,2),Helper1!$O$36:$P$48,2,0)))</f>
        <v/>
      </c>
      <c r="K1391" t="str">
        <f>IF(J1391="","",LEFT('ATP Fills'!I1391,4))</f>
        <v/>
      </c>
      <c r="L1391" t="str">
        <f>IF(A1391="","",IF('ATP Fills'!G1391="LME",'ATP Fills'!I1391,""))</f>
        <v/>
      </c>
      <c r="M1391" t="str">
        <f t="shared" si="21"/>
        <v/>
      </c>
    </row>
    <row r="1392" spans="1:13">
      <c r="A1392" t="str">
        <f>IF('ATP Fills'!A1392="","",IF('ATP Fills'!Q1392="PHILLIPSG",'ATP Fills'!F1392,""))</f>
        <v/>
      </c>
      <c r="B1392" t="str">
        <f>IF(A1392="","",'ATP Fills'!L1392)</f>
        <v/>
      </c>
      <c r="C1392" t="str">
        <f>IF(A1392="","",'ATP Fills'!M1392)</f>
        <v/>
      </c>
      <c r="D1392" t="str">
        <f>IF(A1392="","",'ATP Fills'!B1392)</f>
        <v/>
      </c>
      <c r="E1392" s="3" t="str">
        <f>IF(A1392="","",IF(DATE(LEFT(D1392,4),MID(D1392,5,2),RIGHT(D1392,2))=Helper1!$P$1,Helper1!$P$1,""))</f>
        <v/>
      </c>
      <c r="F1392" s="3" t="str">
        <f>IF(A1392="","",'ATP Fills'!G1392)</f>
        <v/>
      </c>
      <c r="G1392" t="str">
        <f>IF(A1392="","",'ATP Fills'!H1392)</f>
        <v/>
      </c>
      <c r="H1392" t="str">
        <f>IF(A1392="","",VLOOKUP(G1392,表3_3[],2,0))</f>
        <v/>
      </c>
      <c r="I1392" t="str">
        <f>IF(A1392="","",VLOOKUP(G1392,表3_3[],3,0))</f>
        <v/>
      </c>
      <c r="J1392" t="str">
        <f>IF(A1392="","",IF('ATP Fills'!I1392="3M","",VLOOKUP(RIGHT('ATP Fills'!I1392,2),Helper1!$O$36:$P$48,2,0)))</f>
        <v/>
      </c>
      <c r="K1392" t="str">
        <f>IF(J1392="","",LEFT('ATP Fills'!I1392,4))</f>
        <v/>
      </c>
      <c r="L1392" t="str">
        <f>IF(A1392="","",IF('ATP Fills'!G1392="LME",'ATP Fills'!I1392,""))</f>
        <v/>
      </c>
      <c r="M1392" t="str">
        <f t="shared" si="21"/>
        <v/>
      </c>
    </row>
    <row r="1393" spans="1:13">
      <c r="A1393" t="str">
        <f>IF('ATP Fills'!A1393="","",IF('ATP Fills'!Q1393="PHILLIPSG",'ATP Fills'!F1393,""))</f>
        <v/>
      </c>
      <c r="B1393" t="str">
        <f>IF(A1393="","",'ATP Fills'!L1393)</f>
        <v/>
      </c>
      <c r="C1393" t="str">
        <f>IF(A1393="","",'ATP Fills'!M1393)</f>
        <v/>
      </c>
      <c r="D1393" t="str">
        <f>IF(A1393="","",'ATP Fills'!B1393)</f>
        <v/>
      </c>
      <c r="E1393" s="3" t="str">
        <f>IF(A1393="","",IF(DATE(LEFT(D1393,4),MID(D1393,5,2),RIGHT(D1393,2))=Helper1!$P$1,Helper1!$P$1,""))</f>
        <v/>
      </c>
      <c r="F1393" s="3" t="str">
        <f>IF(A1393="","",'ATP Fills'!G1393)</f>
        <v/>
      </c>
      <c r="G1393" t="str">
        <f>IF(A1393="","",'ATP Fills'!H1393)</f>
        <v/>
      </c>
      <c r="H1393" t="str">
        <f>IF(A1393="","",VLOOKUP(G1393,表3_3[],2,0))</f>
        <v/>
      </c>
      <c r="I1393" t="str">
        <f>IF(A1393="","",VLOOKUP(G1393,表3_3[],3,0))</f>
        <v/>
      </c>
      <c r="J1393" t="str">
        <f>IF(A1393="","",IF('ATP Fills'!I1393="3M","",VLOOKUP(RIGHT('ATP Fills'!I1393,2),Helper1!$O$36:$P$48,2,0)))</f>
        <v/>
      </c>
      <c r="K1393" t="str">
        <f>IF(J1393="","",LEFT('ATP Fills'!I1393,4))</f>
        <v/>
      </c>
      <c r="L1393" t="str">
        <f>IF(A1393="","",IF('ATP Fills'!G1393="LME",'ATP Fills'!I1393,""))</f>
        <v/>
      </c>
      <c r="M1393" t="str">
        <f t="shared" si="21"/>
        <v/>
      </c>
    </row>
    <row r="1394" spans="1:13">
      <c r="A1394" t="str">
        <f>IF('ATP Fills'!A1394="","",IF('ATP Fills'!Q1394="PHILLIPSG",'ATP Fills'!F1394,""))</f>
        <v/>
      </c>
      <c r="B1394" t="str">
        <f>IF(A1394="","",'ATP Fills'!L1394)</f>
        <v/>
      </c>
      <c r="C1394" t="str">
        <f>IF(A1394="","",'ATP Fills'!M1394)</f>
        <v/>
      </c>
      <c r="D1394" t="str">
        <f>IF(A1394="","",'ATP Fills'!B1394)</f>
        <v/>
      </c>
      <c r="E1394" s="3" t="str">
        <f>IF(A1394="","",IF(DATE(LEFT(D1394,4),MID(D1394,5,2),RIGHT(D1394,2))=Helper1!$P$1,Helper1!$P$1,""))</f>
        <v/>
      </c>
      <c r="F1394" s="3" t="str">
        <f>IF(A1394="","",'ATP Fills'!G1394)</f>
        <v/>
      </c>
      <c r="G1394" t="str">
        <f>IF(A1394="","",'ATP Fills'!H1394)</f>
        <v/>
      </c>
      <c r="H1394" t="str">
        <f>IF(A1394="","",VLOOKUP(G1394,表3_3[],2,0))</f>
        <v/>
      </c>
      <c r="I1394" t="str">
        <f>IF(A1394="","",VLOOKUP(G1394,表3_3[],3,0))</f>
        <v/>
      </c>
      <c r="J1394" t="str">
        <f>IF(A1394="","",IF('ATP Fills'!I1394="3M","",VLOOKUP(RIGHT('ATP Fills'!I1394,2),Helper1!$O$36:$P$48,2,0)))</f>
        <v/>
      </c>
      <c r="K1394" t="str">
        <f>IF(J1394="","",LEFT('ATP Fills'!I1394,4))</f>
        <v/>
      </c>
      <c r="L1394" t="str">
        <f>IF(A1394="","",IF('ATP Fills'!G1394="LME",'ATP Fills'!I1394,""))</f>
        <v/>
      </c>
      <c r="M1394" t="str">
        <f t="shared" si="21"/>
        <v/>
      </c>
    </row>
    <row r="1395" spans="1:13">
      <c r="A1395" t="str">
        <f>IF('ATP Fills'!A1395="","",IF('ATP Fills'!Q1395="PHILLIPSG",'ATP Fills'!F1395,""))</f>
        <v/>
      </c>
      <c r="B1395" t="str">
        <f>IF(A1395="","",'ATP Fills'!L1395)</f>
        <v/>
      </c>
      <c r="C1395" t="str">
        <f>IF(A1395="","",'ATP Fills'!M1395)</f>
        <v/>
      </c>
      <c r="D1395" t="str">
        <f>IF(A1395="","",'ATP Fills'!B1395)</f>
        <v/>
      </c>
      <c r="E1395" s="3" t="str">
        <f>IF(A1395="","",IF(DATE(LEFT(D1395,4),MID(D1395,5,2),RIGHT(D1395,2))=Helper1!$P$1,Helper1!$P$1,""))</f>
        <v/>
      </c>
      <c r="F1395" s="3" t="str">
        <f>IF(A1395="","",'ATP Fills'!G1395)</f>
        <v/>
      </c>
      <c r="G1395" t="str">
        <f>IF(A1395="","",'ATP Fills'!H1395)</f>
        <v/>
      </c>
      <c r="H1395" t="str">
        <f>IF(A1395="","",VLOOKUP(G1395,表3_3[],2,0))</f>
        <v/>
      </c>
      <c r="I1395" t="str">
        <f>IF(A1395="","",VLOOKUP(G1395,表3_3[],3,0))</f>
        <v/>
      </c>
      <c r="J1395" t="str">
        <f>IF(A1395="","",IF('ATP Fills'!I1395="3M","",VLOOKUP(RIGHT('ATP Fills'!I1395,2),Helper1!$O$36:$P$48,2,0)))</f>
        <v/>
      </c>
      <c r="K1395" t="str">
        <f>IF(J1395="","",LEFT('ATP Fills'!I1395,4))</f>
        <v/>
      </c>
      <c r="L1395" t="str">
        <f>IF(A1395="","",IF('ATP Fills'!G1395="LME",'ATP Fills'!I1395,""))</f>
        <v/>
      </c>
      <c r="M1395" t="str">
        <f t="shared" si="21"/>
        <v/>
      </c>
    </row>
    <row r="1396" spans="1:13">
      <c r="A1396" t="str">
        <f>IF('ATP Fills'!A1396="","",IF('ATP Fills'!Q1396="PHILLIPSG",'ATP Fills'!F1396,""))</f>
        <v/>
      </c>
      <c r="B1396" t="str">
        <f>IF(A1396="","",'ATP Fills'!L1396)</f>
        <v/>
      </c>
      <c r="C1396" t="str">
        <f>IF(A1396="","",'ATP Fills'!M1396)</f>
        <v/>
      </c>
      <c r="D1396" t="str">
        <f>IF(A1396="","",'ATP Fills'!B1396)</f>
        <v/>
      </c>
      <c r="E1396" s="3" t="str">
        <f>IF(A1396="","",IF(DATE(LEFT(D1396,4),MID(D1396,5,2),RIGHT(D1396,2))=Helper1!$P$1,Helper1!$P$1,""))</f>
        <v/>
      </c>
      <c r="F1396" s="3" t="str">
        <f>IF(A1396="","",'ATP Fills'!G1396)</f>
        <v/>
      </c>
      <c r="G1396" t="str">
        <f>IF(A1396="","",'ATP Fills'!H1396)</f>
        <v/>
      </c>
      <c r="H1396" t="str">
        <f>IF(A1396="","",VLOOKUP(G1396,表3_3[],2,0))</f>
        <v/>
      </c>
      <c r="I1396" t="str">
        <f>IF(A1396="","",VLOOKUP(G1396,表3_3[],3,0))</f>
        <v/>
      </c>
      <c r="J1396" t="str">
        <f>IF(A1396="","",IF('ATP Fills'!I1396="3M","",VLOOKUP(RIGHT('ATP Fills'!I1396,2),Helper1!$O$36:$P$48,2,0)))</f>
        <v/>
      </c>
      <c r="K1396" t="str">
        <f>IF(J1396="","",LEFT('ATP Fills'!I1396,4))</f>
        <v/>
      </c>
      <c r="L1396" t="str">
        <f>IF(A1396="","",IF('ATP Fills'!G1396="LME",'ATP Fills'!I1396,""))</f>
        <v/>
      </c>
      <c r="M1396" t="str">
        <f t="shared" si="21"/>
        <v/>
      </c>
    </row>
    <row r="1397" spans="1:13">
      <c r="A1397" t="str">
        <f>IF('ATP Fills'!A1397="","",IF('ATP Fills'!Q1397="PHILLIPSG",'ATP Fills'!F1397,""))</f>
        <v/>
      </c>
      <c r="B1397" t="str">
        <f>IF(A1397="","",'ATP Fills'!L1397)</f>
        <v/>
      </c>
      <c r="C1397" t="str">
        <f>IF(A1397="","",'ATP Fills'!M1397)</f>
        <v/>
      </c>
      <c r="D1397" t="str">
        <f>IF(A1397="","",'ATP Fills'!B1397)</f>
        <v/>
      </c>
      <c r="E1397" s="3" t="str">
        <f>IF(A1397="","",IF(DATE(LEFT(D1397,4),MID(D1397,5,2),RIGHT(D1397,2))=Helper1!$P$1,Helper1!$P$1,""))</f>
        <v/>
      </c>
      <c r="F1397" s="3" t="str">
        <f>IF(A1397="","",'ATP Fills'!G1397)</f>
        <v/>
      </c>
      <c r="G1397" t="str">
        <f>IF(A1397="","",'ATP Fills'!H1397)</f>
        <v/>
      </c>
      <c r="H1397" t="str">
        <f>IF(A1397="","",VLOOKUP(G1397,表3_3[],2,0))</f>
        <v/>
      </c>
      <c r="I1397" t="str">
        <f>IF(A1397="","",VLOOKUP(G1397,表3_3[],3,0))</f>
        <v/>
      </c>
      <c r="J1397" t="str">
        <f>IF(A1397="","",IF('ATP Fills'!I1397="3M","",VLOOKUP(RIGHT('ATP Fills'!I1397,2),Helper1!$O$36:$P$48,2,0)))</f>
        <v/>
      </c>
      <c r="K1397" t="str">
        <f>IF(J1397="","",LEFT('ATP Fills'!I1397,4))</f>
        <v/>
      </c>
      <c r="L1397" t="str">
        <f>IF(A1397="","",IF('ATP Fills'!G1397="LME",'ATP Fills'!I1397,""))</f>
        <v/>
      </c>
      <c r="M1397" t="str">
        <f t="shared" si="21"/>
        <v/>
      </c>
    </row>
    <row r="1398" spans="1:13">
      <c r="A1398" t="str">
        <f>IF('ATP Fills'!A1398="","",IF('ATP Fills'!Q1398="PHILLIPSG",'ATP Fills'!F1398,""))</f>
        <v/>
      </c>
      <c r="B1398" t="str">
        <f>IF(A1398="","",'ATP Fills'!L1398)</f>
        <v/>
      </c>
      <c r="C1398" t="str">
        <f>IF(A1398="","",'ATP Fills'!M1398)</f>
        <v/>
      </c>
      <c r="D1398" t="str">
        <f>IF(A1398="","",'ATP Fills'!B1398)</f>
        <v/>
      </c>
      <c r="E1398" s="3" t="str">
        <f>IF(A1398="","",IF(DATE(LEFT(D1398,4),MID(D1398,5,2),RIGHT(D1398,2))=Helper1!$P$1,Helper1!$P$1,""))</f>
        <v/>
      </c>
      <c r="F1398" s="3" t="str">
        <f>IF(A1398="","",'ATP Fills'!G1398)</f>
        <v/>
      </c>
      <c r="G1398" t="str">
        <f>IF(A1398="","",'ATP Fills'!H1398)</f>
        <v/>
      </c>
      <c r="H1398" t="str">
        <f>IF(A1398="","",VLOOKUP(G1398,表3_3[],2,0))</f>
        <v/>
      </c>
      <c r="I1398" t="str">
        <f>IF(A1398="","",VLOOKUP(G1398,表3_3[],3,0))</f>
        <v/>
      </c>
      <c r="J1398" t="str">
        <f>IF(A1398="","",IF('ATP Fills'!I1398="3M","",VLOOKUP(RIGHT('ATP Fills'!I1398,2),Helper1!$O$36:$P$48,2,0)))</f>
        <v/>
      </c>
      <c r="K1398" t="str">
        <f>IF(J1398="","",LEFT('ATP Fills'!I1398,4))</f>
        <v/>
      </c>
      <c r="L1398" t="str">
        <f>IF(A1398="","",IF('ATP Fills'!G1398="LME",'ATP Fills'!I1398,""))</f>
        <v/>
      </c>
      <c r="M1398" t="str">
        <f t="shared" si="21"/>
        <v/>
      </c>
    </row>
    <row r="1399" spans="1:13">
      <c r="A1399" t="str">
        <f>IF('ATP Fills'!A1399="","",IF('ATP Fills'!Q1399="PHILLIPSG",'ATP Fills'!F1399,""))</f>
        <v/>
      </c>
      <c r="B1399" t="str">
        <f>IF(A1399="","",'ATP Fills'!L1399)</f>
        <v/>
      </c>
      <c r="C1399" t="str">
        <f>IF(A1399="","",'ATP Fills'!M1399)</f>
        <v/>
      </c>
      <c r="D1399" t="str">
        <f>IF(A1399="","",'ATP Fills'!B1399)</f>
        <v/>
      </c>
      <c r="E1399" s="3" t="str">
        <f>IF(A1399="","",IF(DATE(LEFT(D1399,4),MID(D1399,5,2),RIGHT(D1399,2))=Helper1!$P$1,Helper1!$P$1,""))</f>
        <v/>
      </c>
      <c r="F1399" s="3" t="str">
        <f>IF(A1399="","",'ATP Fills'!G1399)</f>
        <v/>
      </c>
      <c r="G1399" t="str">
        <f>IF(A1399="","",'ATP Fills'!H1399)</f>
        <v/>
      </c>
      <c r="H1399" t="str">
        <f>IF(A1399="","",VLOOKUP(G1399,表3_3[],2,0))</f>
        <v/>
      </c>
      <c r="I1399" t="str">
        <f>IF(A1399="","",VLOOKUP(G1399,表3_3[],3,0))</f>
        <v/>
      </c>
      <c r="J1399" t="str">
        <f>IF(A1399="","",IF('ATP Fills'!I1399="3M","",VLOOKUP(RIGHT('ATP Fills'!I1399,2),Helper1!$O$36:$P$48,2,0)))</f>
        <v/>
      </c>
      <c r="K1399" t="str">
        <f>IF(J1399="","",LEFT('ATP Fills'!I1399,4))</f>
        <v/>
      </c>
      <c r="L1399" t="str">
        <f>IF(A1399="","",IF('ATP Fills'!G1399="LME",'ATP Fills'!I1399,""))</f>
        <v/>
      </c>
      <c r="M1399" t="str">
        <f t="shared" si="21"/>
        <v/>
      </c>
    </row>
    <row r="1400" spans="1:13">
      <c r="A1400" t="str">
        <f>IF('ATP Fills'!A1400="","",IF('ATP Fills'!Q1400="PHILLIPSG",'ATP Fills'!F1400,""))</f>
        <v/>
      </c>
      <c r="B1400" t="str">
        <f>IF(A1400="","",'ATP Fills'!L1400)</f>
        <v/>
      </c>
      <c r="C1400" t="str">
        <f>IF(A1400="","",'ATP Fills'!M1400)</f>
        <v/>
      </c>
      <c r="D1400" t="str">
        <f>IF(A1400="","",'ATP Fills'!B1400)</f>
        <v/>
      </c>
      <c r="E1400" s="3" t="str">
        <f>IF(A1400="","",IF(DATE(LEFT(D1400,4),MID(D1400,5,2),RIGHT(D1400,2))=Helper1!$P$1,Helper1!$P$1,""))</f>
        <v/>
      </c>
      <c r="F1400" s="3" t="str">
        <f>IF(A1400="","",'ATP Fills'!G1400)</f>
        <v/>
      </c>
      <c r="G1400" t="str">
        <f>IF(A1400="","",'ATP Fills'!H1400)</f>
        <v/>
      </c>
      <c r="H1400" t="str">
        <f>IF(A1400="","",VLOOKUP(G1400,表3_3[],2,0))</f>
        <v/>
      </c>
      <c r="I1400" t="str">
        <f>IF(A1400="","",VLOOKUP(G1400,表3_3[],3,0))</f>
        <v/>
      </c>
      <c r="J1400" t="str">
        <f>IF(A1400="","",IF('ATP Fills'!I1400="3M","",VLOOKUP(RIGHT('ATP Fills'!I1400,2),Helper1!$O$36:$P$48,2,0)))</f>
        <v/>
      </c>
      <c r="K1400" t="str">
        <f>IF(J1400="","",LEFT('ATP Fills'!I1400,4))</f>
        <v/>
      </c>
      <c r="L1400" t="str">
        <f>IF(A1400="","",IF('ATP Fills'!G1400="LME",'ATP Fills'!I1400,""))</f>
        <v/>
      </c>
      <c r="M1400" t="str">
        <f t="shared" si="21"/>
        <v/>
      </c>
    </row>
    <row r="1401" spans="1:13">
      <c r="A1401" t="str">
        <f>IF('ATP Fills'!A1401="","",IF('ATP Fills'!Q1401="PHILLIPSG",'ATP Fills'!F1401,""))</f>
        <v/>
      </c>
      <c r="B1401" t="str">
        <f>IF(A1401="","",'ATP Fills'!L1401)</f>
        <v/>
      </c>
      <c r="C1401" t="str">
        <f>IF(A1401="","",'ATP Fills'!M1401)</f>
        <v/>
      </c>
      <c r="D1401" t="str">
        <f>IF(A1401="","",'ATP Fills'!B1401)</f>
        <v/>
      </c>
      <c r="E1401" s="3" t="str">
        <f>IF(A1401="","",IF(DATE(LEFT(D1401,4),MID(D1401,5,2),RIGHT(D1401,2))=Helper1!$P$1,Helper1!$P$1,""))</f>
        <v/>
      </c>
      <c r="F1401" s="3" t="str">
        <f>IF(A1401="","",'ATP Fills'!G1401)</f>
        <v/>
      </c>
      <c r="G1401" t="str">
        <f>IF(A1401="","",'ATP Fills'!H1401)</f>
        <v/>
      </c>
      <c r="H1401" t="str">
        <f>IF(A1401="","",VLOOKUP(G1401,表3_3[],2,0))</f>
        <v/>
      </c>
      <c r="I1401" t="str">
        <f>IF(A1401="","",VLOOKUP(G1401,表3_3[],3,0))</f>
        <v/>
      </c>
      <c r="J1401" t="str">
        <f>IF(A1401="","",IF('ATP Fills'!I1401="3M","",VLOOKUP(RIGHT('ATP Fills'!I1401,2),Helper1!$O$36:$P$48,2,0)))</f>
        <v/>
      </c>
      <c r="K1401" t="str">
        <f>IF(J1401="","",LEFT('ATP Fills'!I1401,4))</f>
        <v/>
      </c>
      <c r="L1401" t="str">
        <f>IF(A1401="","",IF('ATP Fills'!G1401="LME",'ATP Fills'!I1401,""))</f>
        <v/>
      </c>
      <c r="M1401" t="str">
        <f t="shared" si="21"/>
        <v/>
      </c>
    </row>
    <row r="1402" spans="1:13">
      <c r="A1402" t="str">
        <f>IF('ATP Fills'!A1402="","",IF('ATP Fills'!Q1402="PHILLIPSG",'ATP Fills'!F1402,""))</f>
        <v/>
      </c>
      <c r="B1402" t="str">
        <f>IF(A1402="","",'ATP Fills'!L1402)</f>
        <v/>
      </c>
      <c r="C1402" t="str">
        <f>IF(A1402="","",'ATP Fills'!M1402)</f>
        <v/>
      </c>
      <c r="D1402" t="str">
        <f>IF(A1402="","",'ATP Fills'!B1402)</f>
        <v/>
      </c>
      <c r="E1402" s="3" t="str">
        <f>IF(A1402="","",IF(DATE(LEFT(D1402,4),MID(D1402,5,2),RIGHT(D1402,2))=Helper1!$P$1,Helper1!$P$1,""))</f>
        <v/>
      </c>
      <c r="F1402" s="3" t="str">
        <f>IF(A1402="","",'ATP Fills'!G1402)</f>
        <v/>
      </c>
      <c r="G1402" t="str">
        <f>IF(A1402="","",'ATP Fills'!H1402)</f>
        <v/>
      </c>
      <c r="H1402" t="str">
        <f>IF(A1402="","",VLOOKUP(G1402,表3_3[],2,0))</f>
        <v/>
      </c>
      <c r="I1402" t="str">
        <f>IF(A1402="","",VLOOKUP(G1402,表3_3[],3,0))</f>
        <v/>
      </c>
      <c r="J1402" t="str">
        <f>IF(A1402="","",IF('ATP Fills'!I1402="3M","",VLOOKUP(RIGHT('ATP Fills'!I1402,2),Helper1!$O$36:$P$48,2,0)))</f>
        <v/>
      </c>
      <c r="K1402" t="str">
        <f>IF(J1402="","",LEFT('ATP Fills'!I1402,4))</f>
        <v/>
      </c>
      <c r="L1402" t="str">
        <f>IF(A1402="","",IF('ATP Fills'!G1402="LME",'ATP Fills'!I1402,""))</f>
        <v/>
      </c>
      <c r="M1402" t="str">
        <f t="shared" si="21"/>
        <v/>
      </c>
    </row>
    <row r="1403" spans="1:13">
      <c r="A1403" t="str">
        <f>IF('ATP Fills'!A1403="","",IF('ATP Fills'!Q1403="PHILLIPSG",'ATP Fills'!F1403,""))</f>
        <v/>
      </c>
      <c r="B1403" t="str">
        <f>IF(A1403="","",'ATP Fills'!L1403)</f>
        <v/>
      </c>
      <c r="C1403" t="str">
        <f>IF(A1403="","",'ATP Fills'!M1403)</f>
        <v/>
      </c>
      <c r="D1403" t="str">
        <f>IF(A1403="","",'ATP Fills'!B1403)</f>
        <v/>
      </c>
      <c r="E1403" s="3" t="str">
        <f>IF(A1403="","",IF(DATE(LEFT(D1403,4),MID(D1403,5,2),RIGHT(D1403,2))=Helper1!$P$1,Helper1!$P$1,""))</f>
        <v/>
      </c>
      <c r="F1403" s="3" t="str">
        <f>IF(A1403="","",'ATP Fills'!G1403)</f>
        <v/>
      </c>
      <c r="G1403" t="str">
        <f>IF(A1403="","",'ATP Fills'!H1403)</f>
        <v/>
      </c>
      <c r="H1403" t="str">
        <f>IF(A1403="","",VLOOKUP(G1403,表3_3[],2,0))</f>
        <v/>
      </c>
      <c r="I1403" t="str">
        <f>IF(A1403="","",VLOOKUP(G1403,表3_3[],3,0))</f>
        <v/>
      </c>
      <c r="J1403" t="str">
        <f>IF(A1403="","",IF('ATP Fills'!I1403="3M","",VLOOKUP(RIGHT('ATP Fills'!I1403,2),Helper1!$O$36:$P$48,2,0)))</f>
        <v/>
      </c>
      <c r="K1403" t="str">
        <f>IF(J1403="","",LEFT('ATP Fills'!I1403,4))</f>
        <v/>
      </c>
      <c r="L1403" t="str">
        <f>IF(A1403="","",IF('ATP Fills'!G1403="LME",'ATP Fills'!I1403,""))</f>
        <v/>
      </c>
      <c r="M1403" t="str">
        <f t="shared" si="21"/>
        <v/>
      </c>
    </row>
    <row r="1404" spans="1:13">
      <c r="A1404" t="str">
        <f>IF('ATP Fills'!A1404="","",IF('ATP Fills'!Q1404="PHILLIPSG",'ATP Fills'!F1404,""))</f>
        <v/>
      </c>
      <c r="B1404" t="str">
        <f>IF(A1404="","",'ATP Fills'!L1404)</f>
        <v/>
      </c>
      <c r="C1404" t="str">
        <f>IF(A1404="","",'ATP Fills'!M1404)</f>
        <v/>
      </c>
      <c r="D1404" t="str">
        <f>IF(A1404="","",'ATP Fills'!B1404)</f>
        <v/>
      </c>
      <c r="E1404" s="3" t="str">
        <f>IF(A1404="","",IF(DATE(LEFT(D1404,4),MID(D1404,5,2),RIGHT(D1404,2))=Helper1!$P$1,Helper1!$P$1,""))</f>
        <v/>
      </c>
      <c r="F1404" s="3" t="str">
        <f>IF(A1404="","",'ATP Fills'!G1404)</f>
        <v/>
      </c>
      <c r="G1404" t="str">
        <f>IF(A1404="","",'ATP Fills'!H1404)</f>
        <v/>
      </c>
      <c r="H1404" t="str">
        <f>IF(A1404="","",VLOOKUP(G1404,表3_3[],2,0))</f>
        <v/>
      </c>
      <c r="I1404" t="str">
        <f>IF(A1404="","",VLOOKUP(G1404,表3_3[],3,0))</f>
        <v/>
      </c>
      <c r="J1404" t="str">
        <f>IF(A1404="","",IF('ATP Fills'!I1404="3M","",VLOOKUP(RIGHT('ATP Fills'!I1404,2),Helper1!$O$36:$P$48,2,0)))</f>
        <v/>
      </c>
      <c r="K1404" t="str">
        <f>IF(J1404="","",LEFT('ATP Fills'!I1404,4))</f>
        <v/>
      </c>
      <c r="L1404" t="str">
        <f>IF(A1404="","",IF('ATP Fills'!G1404="LME",'ATP Fills'!I1404,""))</f>
        <v/>
      </c>
      <c r="M1404" t="str">
        <f t="shared" si="21"/>
        <v/>
      </c>
    </row>
    <row r="1405" spans="1:13">
      <c r="A1405" t="str">
        <f>IF('ATP Fills'!A1405="","",IF('ATP Fills'!Q1405="PHILLIPSG",'ATP Fills'!F1405,""))</f>
        <v/>
      </c>
      <c r="B1405" t="str">
        <f>IF(A1405="","",'ATP Fills'!L1405)</f>
        <v/>
      </c>
      <c r="C1405" t="str">
        <f>IF(A1405="","",'ATP Fills'!M1405)</f>
        <v/>
      </c>
      <c r="D1405" t="str">
        <f>IF(A1405="","",'ATP Fills'!B1405)</f>
        <v/>
      </c>
      <c r="E1405" s="3" t="str">
        <f>IF(A1405="","",IF(DATE(LEFT(D1405,4),MID(D1405,5,2),RIGHT(D1405,2))=Helper1!$P$1,Helper1!$P$1,""))</f>
        <v/>
      </c>
      <c r="F1405" s="3" t="str">
        <f>IF(A1405="","",'ATP Fills'!G1405)</f>
        <v/>
      </c>
      <c r="G1405" t="str">
        <f>IF(A1405="","",'ATP Fills'!H1405)</f>
        <v/>
      </c>
      <c r="H1405" t="str">
        <f>IF(A1405="","",VLOOKUP(G1405,表3_3[],2,0))</f>
        <v/>
      </c>
      <c r="I1405" t="str">
        <f>IF(A1405="","",VLOOKUP(G1405,表3_3[],3,0))</f>
        <v/>
      </c>
      <c r="J1405" t="str">
        <f>IF(A1405="","",IF('ATP Fills'!I1405="3M","",VLOOKUP(RIGHT('ATP Fills'!I1405,2),Helper1!$O$36:$P$48,2,0)))</f>
        <v/>
      </c>
      <c r="K1405" t="str">
        <f>IF(J1405="","",LEFT('ATP Fills'!I1405,4))</f>
        <v/>
      </c>
      <c r="L1405" t="str">
        <f>IF(A1405="","",IF('ATP Fills'!G1405="LME",'ATP Fills'!I1405,""))</f>
        <v/>
      </c>
      <c r="M1405" t="str">
        <f t="shared" si="21"/>
        <v/>
      </c>
    </row>
    <row r="1406" spans="1:13">
      <c r="A1406" t="str">
        <f>IF('ATP Fills'!A1406="","",IF('ATP Fills'!Q1406="PHILLIPSG",'ATP Fills'!F1406,""))</f>
        <v/>
      </c>
      <c r="B1406" t="str">
        <f>IF(A1406="","",'ATP Fills'!L1406)</f>
        <v/>
      </c>
      <c r="C1406" t="str">
        <f>IF(A1406="","",'ATP Fills'!M1406)</f>
        <v/>
      </c>
      <c r="D1406" t="str">
        <f>IF(A1406="","",'ATP Fills'!B1406)</f>
        <v/>
      </c>
      <c r="E1406" s="3" t="str">
        <f>IF(A1406="","",IF(DATE(LEFT(D1406,4),MID(D1406,5,2),RIGHT(D1406,2))=Helper1!$P$1,Helper1!$P$1,""))</f>
        <v/>
      </c>
      <c r="F1406" s="3" t="str">
        <f>IF(A1406="","",'ATP Fills'!G1406)</f>
        <v/>
      </c>
      <c r="G1406" t="str">
        <f>IF(A1406="","",'ATP Fills'!H1406)</f>
        <v/>
      </c>
      <c r="H1406" t="str">
        <f>IF(A1406="","",VLOOKUP(G1406,表3_3[],2,0))</f>
        <v/>
      </c>
      <c r="I1406" t="str">
        <f>IF(A1406="","",VLOOKUP(G1406,表3_3[],3,0))</f>
        <v/>
      </c>
      <c r="J1406" t="str">
        <f>IF(A1406="","",IF('ATP Fills'!I1406="3M","",VLOOKUP(RIGHT('ATP Fills'!I1406,2),Helper1!$O$36:$P$48,2,0)))</f>
        <v/>
      </c>
      <c r="K1406" t="str">
        <f>IF(J1406="","",LEFT('ATP Fills'!I1406,4))</f>
        <v/>
      </c>
      <c r="L1406" t="str">
        <f>IF(A1406="","",IF('ATP Fills'!G1406="LME",'ATP Fills'!I1406,""))</f>
        <v/>
      </c>
      <c r="M1406" t="str">
        <f t="shared" si="21"/>
        <v/>
      </c>
    </row>
    <row r="1407" spans="1:13">
      <c r="A1407" t="str">
        <f>IF('ATP Fills'!A1407="","",IF('ATP Fills'!Q1407="PHILLIPSG",'ATP Fills'!F1407,""))</f>
        <v/>
      </c>
      <c r="B1407" t="str">
        <f>IF(A1407="","",'ATP Fills'!L1407)</f>
        <v/>
      </c>
      <c r="C1407" t="str">
        <f>IF(A1407="","",'ATP Fills'!M1407)</f>
        <v/>
      </c>
      <c r="D1407" t="str">
        <f>IF(A1407="","",'ATP Fills'!B1407)</f>
        <v/>
      </c>
      <c r="E1407" s="3" t="str">
        <f>IF(A1407="","",IF(DATE(LEFT(D1407,4),MID(D1407,5,2),RIGHT(D1407,2))=Helper1!$P$1,Helper1!$P$1,""))</f>
        <v/>
      </c>
      <c r="F1407" s="3" t="str">
        <f>IF(A1407="","",'ATP Fills'!G1407)</f>
        <v/>
      </c>
      <c r="G1407" t="str">
        <f>IF(A1407="","",'ATP Fills'!H1407)</f>
        <v/>
      </c>
      <c r="H1407" t="str">
        <f>IF(A1407="","",VLOOKUP(G1407,表3_3[],2,0))</f>
        <v/>
      </c>
      <c r="I1407" t="str">
        <f>IF(A1407="","",VLOOKUP(G1407,表3_3[],3,0))</f>
        <v/>
      </c>
      <c r="J1407" t="str">
        <f>IF(A1407="","",IF('ATP Fills'!I1407="3M","",VLOOKUP(RIGHT('ATP Fills'!I1407,2),Helper1!$O$36:$P$48,2,0)))</f>
        <v/>
      </c>
      <c r="K1407" t="str">
        <f>IF(J1407="","",LEFT('ATP Fills'!I1407,4))</f>
        <v/>
      </c>
      <c r="L1407" t="str">
        <f>IF(A1407="","",IF('ATP Fills'!G1407="LME",'ATP Fills'!I1407,""))</f>
        <v/>
      </c>
      <c r="M1407" t="str">
        <f t="shared" si="21"/>
        <v/>
      </c>
    </row>
    <row r="1408" spans="1:13">
      <c r="A1408" t="str">
        <f>IF('ATP Fills'!A1408="","",IF('ATP Fills'!Q1408="PHILLIPSG",'ATP Fills'!F1408,""))</f>
        <v/>
      </c>
      <c r="B1408" t="str">
        <f>IF(A1408="","",'ATP Fills'!L1408)</f>
        <v/>
      </c>
      <c r="C1408" t="str">
        <f>IF(A1408="","",'ATP Fills'!M1408)</f>
        <v/>
      </c>
      <c r="D1408" t="str">
        <f>IF(A1408="","",'ATP Fills'!B1408)</f>
        <v/>
      </c>
      <c r="E1408" s="3" t="str">
        <f>IF(A1408="","",IF(DATE(LEFT(D1408,4),MID(D1408,5,2),RIGHT(D1408,2))=Helper1!$P$1,Helper1!$P$1,""))</f>
        <v/>
      </c>
      <c r="F1408" s="3" t="str">
        <f>IF(A1408="","",'ATP Fills'!G1408)</f>
        <v/>
      </c>
      <c r="G1408" t="str">
        <f>IF(A1408="","",'ATP Fills'!H1408)</f>
        <v/>
      </c>
      <c r="H1408" t="str">
        <f>IF(A1408="","",VLOOKUP(G1408,表3_3[],2,0))</f>
        <v/>
      </c>
      <c r="I1408" t="str">
        <f>IF(A1408="","",VLOOKUP(G1408,表3_3[],3,0))</f>
        <v/>
      </c>
      <c r="J1408" t="str">
        <f>IF(A1408="","",IF('ATP Fills'!I1408="3M","",VLOOKUP(RIGHT('ATP Fills'!I1408,2),Helper1!$O$36:$P$48,2,0)))</f>
        <v/>
      </c>
      <c r="K1408" t="str">
        <f>IF(J1408="","",LEFT('ATP Fills'!I1408,4))</f>
        <v/>
      </c>
      <c r="L1408" t="str">
        <f>IF(A1408="","",IF('ATP Fills'!G1408="LME",'ATP Fills'!I1408,""))</f>
        <v/>
      </c>
      <c r="M1408" t="str">
        <f t="shared" si="21"/>
        <v/>
      </c>
    </row>
    <row r="1409" spans="1:13">
      <c r="A1409" t="str">
        <f>IF('ATP Fills'!A1409="","",IF('ATP Fills'!Q1409="PHILLIPSG",'ATP Fills'!F1409,""))</f>
        <v/>
      </c>
      <c r="B1409" t="str">
        <f>IF(A1409="","",'ATP Fills'!L1409)</f>
        <v/>
      </c>
      <c r="C1409" t="str">
        <f>IF(A1409="","",'ATP Fills'!M1409)</f>
        <v/>
      </c>
      <c r="D1409" t="str">
        <f>IF(A1409="","",'ATP Fills'!B1409)</f>
        <v/>
      </c>
      <c r="E1409" s="3" t="str">
        <f>IF(A1409="","",IF(DATE(LEFT(D1409,4),MID(D1409,5,2),RIGHT(D1409,2))=Helper1!$P$1,Helper1!$P$1,""))</f>
        <v/>
      </c>
      <c r="F1409" s="3" t="str">
        <f>IF(A1409="","",'ATP Fills'!G1409)</f>
        <v/>
      </c>
      <c r="G1409" t="str">
        <f>IF(A1409="","",'ATP Fills'!H1409)</f>
        <v/>
      </c>
      <c r="H1409" t="str">
        <f>IF(A1409="","",VLOOKUP(G1409,表3_3[],2,0))</f>
        <v/>
      </c>
      <c r="I1409" t="str">
        <f>IF(A1409="","",VLOOKUP(G1409,表3_3[],3,0))</f>
        <v/>
      </c>
      <c r="J1409" t="str">
        <f>IF(A1409="","",IF('ATP Fills'!I1409="3M","",VLOOKUP(RIGHT('ATP Fills'!I1409,2),Helper1!$O$36:$P$48,2,0)))</f>
        <v/>
      </c>
      <c r="K1409" t="str">
        <f>IF(J1409="","",LEFT('ATP Fills'!I1409,4))</f>
        <v/>
      </c>
      <c r="L1409" t="str">
        <f>IF(A1409="","",IF('ATP Fills'!G1409="LME",'ATP Fills'!I1409,""))</f>
        <v/>
      </c>
      <c r="M1409" t="str">
        <f t="shared" si="21"/>
        <v/>
      </c>
    </row>
    <row r="1410" spans="1:13">
      <c r="A1410" t="str">
        <f>IF('ATP Fills'!A1410="","",IF('ATP Fills'!Q1410="PHILLIPSG",'ATP Fills'!F1410,""))</f>
        <v/>
      </c>
      <c r="B1410" t="str">
        <f>IF(A1410="","",'ATP Fills'!L1410)</f>
        <v/>
      </c>
      <c r="C1410" t="str">
        <f>IF(A1410="","",'ATP Fills'!M1410)</f>
        <v/>
      </c>
      <c r="D1410" t="str">
        <f>IF(A1410="","",'ATP Fills'!B1410)</f>
        <v/>
      </c>
      <c r="E1410" s="3" t="str">
        <f>IF(A1410="","",IF(DATE(LEFT(D1410,4),MID(D1410,5,2),RIGHT(D1410,2))=Helper1!$P$1,Helper1!$P$1,""))</f>
        <v/>
      </c>
      <c r="F1410" s="3" t="str">
        <f>IF(A1410="","",'ATP Fills'!G1410)</f>
        <v/>
      </c>
      <c r="G1410" t="str">
        <f>IF(A1410="","",'ATP Fills'!H1410)</f>
        <v/>
      </c>
      <c r="H1410" t="str">
        <f>IF(A1410="","",VLOOKUP(G1410,表3_3[],2,0))</f>
        <v/>
      </c>
      <c r="I1410" t="str">
        <f>IF(A1410="","",VLOOKUP(G1410,表3_3[],3,0))</f>
        <v/>
      </c>
      <c r="J1410" t="str">
        <f>IF(A1410="","",IF('ATP Fills'!I1410="3M","",VLOOKUP(RIGHT('ATP Fills'!I1410,2),Helper1!$O$36:$P$48,2,0)))</f>
        <v/>
      </c>
      <c r="K1410" t="str">
        <f>IF(J1410="","",LEFT('ATP Fills'!I1410,4))</f>
        <v/>
      </c>
      <c r="L1410" t="str">
        <f>IF(A1410="","",IF('ATP Fills'!G1410="LME",'ATP Fills'!I1410,""))</f>
        <v/>
      </c>
      <c r="M1410" t="str">
        <f t="shared" si="21"/>
        <v/>
      </c>
    </row>
    <row r="1411" spans="1:13">
      <c r="A1411" t="str">
        <f>IF('ATP Fills'!A1411="","",IF('ATP Fills'!Q1411="PHILLIPSG",'ATP Fills'!F1411,""))</f>
        <v/>
      </c>
      <c r="B1411" t="str">
        <f>IF(A1411="","",'ATP Fills'!L1411)</f>
        <v/>
      </c>
      <c r="C1411" t="str">
        <f>IF(A1411="","",'ATP Fills'!M1411)</f>
        <v/>
      </c>
      <c r="D1411" t="str">
        <f>IF(A1411="","",'ATP Fills'!B1411)</f>
        <v/>
      </c>
      <c r="E1411" s="3" t="str">
        <f>IF(A1411="","",IF(DATE(LEFT(D1411,4),MID(D1411,5,2),RIGHT(D1411,2))=Helper1!$P$1,Helper1!$P$1,""))</f>
        <v/>
      </c>
      <c r="F1411" s="3" t="str">
        <f>IF(A1411="","",'ATP Fills'!G1411)</f>
        <v/>
      </c>
      <c r="G1411" t="str">
        <f>IF(A1411="","",'ATP Fills'!H1411)</f>
        <v/>
      </c>
      <c r="H1411" t="str">
        <f>IF(A1411="","",VLOOKUP(G1411,表3_3[],2,0))</f>
        <v/>
      </c>
      <c r="I1411" t="str">
        <f>IF(A1411="","",VLOOKUP(G1411,表3_3[],3,0))</f>
        <v/>
      </c>
      <c r="J1411" t="str">
        <f>IF(A1411="","",IF('ATP Fills'!I1411="3M","",VLOOKUP(RIGHT('ATP Fills'!I1411,2),Helper1!$O$36:$P$48,2,0)))</f>
        <v/>
      </c>
      <c r="K1411" t="str">
        <f>IF(J1411="","",LEFT('ATP Fills'!I1411,4))</f>
        <v/>
      </c>
      <c r="L1411" t="str">
        <f>IF(A1411="","",IF('ATP Fills'!G1411="LME",'ATP Fills'!I1411,""))</f>
        <v/>
      </c>
      <c r="M1411" t="str">
        <f t="shared" ref="M1411:M1474" si="22">IF(A1411="","",IF(F1411="LME",F1411&amp;"-"&amp;I1411&amp;"-"&amp;L1411,J1411&amp;"-"&amp;K1411&amp;"-"&amp;I1411))</f>
        <v/>
      </c>
    </row>
    <row r="1412" spans="1:13">
      <c r="A1412" t="str">
        <f>IF('ATP Fills'!A1412="","",IF('ATP Fills'!Q1412="PHILLIPSG",'ATP Fills'!F1412,""))</f>
        <v/>
      </c>
      <c r="B1412" t="str">
        <f>IF(A1412="","",'ATP Fills'!L1412)</f>
        <v/>
      </c>
      <c r="C1412" t="str">
        <f>IF(A1412="","",'ATP Fills'!M1412)</f>
        <v/>
      </c>
      <c r="D1412" t="str">
        <f>IF(A1412="","",'ATP Fills'!B1412)</f>
        <v/>
      </c>
      <c r="E1412" s="3" t="str">
        <f>IF(A1412="","",IF(DATE(LEFT(D1412,4),MID(D1412,5,2),RIGHT(D1412,2))=Helper1!$P$1,Helper1!$P$1,""))</f>
        <v/>
      </c>
      <c r="F1412" s="3" t="str">
        <f>IF(A1412="","",'ATP Fills'!G1412)</f>
        <v/>
      </c>
      <c r="G1412" t="str">
        <f>IF(A1412="","",'ATP Fills'!H1412)</f>
        <v/>
      </c>
      <c r="H1412" t="str">
        <f>IF(A1412="","",VLOOKUP(G1412,表3_3[],2,0))</f>
        <v/>
      </c>
      <c r="I1412" t="str">
        <f>IF(A1412="","",VLOOKUP(G1412,表3_3[],3,0))</f>
        <v/>
      </c>
      <c r="J1412" t="str">
        <f>IF(A1412="","",IF('ATP Fills'!I1412="3M","",VLOOKUP(RIGHT('ATP Fills'!I1412,2),Helper1!$O$36:$P$48,2,0)))</f>
        <v/>
      </c>
      <c r="K1412" t="str">
        <f>IF(J1412="","",LEFT('ATP Fills'!I1412,4))</f>
        <v/>
      </c>
      <c r="L1412" t="str">
        <f>IF(A1412="","",IF('ATP Fills'!G1412="LME",'ATP Fills'!I1412,""))</f>
        <v/>
      </c>
      <c r="M1412" t="str">
        <f t="shared" si="22"/>
        <v/>
      </c>
    </row>
    <row r="1413" spans="1:13">
      <c r="A1413" t="str">
        <f>IF('ATP Fills'!A1413="","",IF('ATP Fills'!Q1413="PHILLIPSG",'ATP Fills'!F1413,""))</f>
        <v/>
      </c>
      <c r="B1413" t="str">
        <f>IF(A1413="","",'ATP Fills'!L1413)</f>
        <v/>
      </c>
      <c r="C1413" t="str">
        <f>IF(A1413="","",'ATP Fills'!M1413)</f>
        <v/>
      </c>
      <c r="D1413" t="str">
        <f>IF(A1413="","",'ATP Fills'!B1413)</f>
        <v/>
      </c>
      <c r="E1413" s="3" t="str">
        <f>IF(A1413="","",IF(DATE(LEFT(D1413,4),MID(D1413,5,2),RIGHT(D1413,2))=Helper1!$P$1,Helper1!$P$1,""))</f>
        <v/>
      </c>
      <c r="F1413" s="3" t="str">
        <f>IF(A1413="","",'ATP Fills'!G1413)</f>
        <v/>
      </c>
      <c r="G1413" t="str">
        <f>IF(A1413="","",'ATP Fills'!H1413)</f>
        <v/>
      </c>
      <c r="H1413" t="str">
        <f>IF(A1413="","",VLOOKUP(G1413,表3_3[],2,0))</f>
        <v/>
      </c>
      <c r="I1413" t="str">
        <f>IF(A1413="","",VLOOKUP(G1413,表3_3[],3,0))</f>
        <v/>
      </c>
      <c r="J1413" t="str">
        <f>IF(A1413="","",IF('ATP Fills'!I1413="3M","",VLOOKUP(RIGHT('ATP Fills'!I1413,2),Helper1!$O$36:$P$48,2,0)))</f>
        <v/>
      </c>
      <c r="K1413" t="str">
        <f>IF(J1413="","",LEFT('ATP Fills'!I1413,4))</f>
        <v/>
      </c>
      <c r="L1413" t="str">
        <f>IF(A1413="","",IF('ATP Fills'!G1413="LME",'ATP Fills'!I1413,""))</f>
        <v/>
      </c>
      <c r="M1413" t="str">
        <f t="shared" si="22"/>
        <v/>
      </c>
    </row>
    <row r="1414" spans="1:13">
      <c r="A1414" t="str">
        <f>IF('ATP Fills'!A1414="","",IF('ATP Fills'!Q1414="PHILLIPSG",'ATP Fills'!F1414,""))</f>
        <v/>
      </c>
      <c r="B1414" t="str">
        <f>IF(A1414="","",'ATP Fills'!L1414)</f>
        <v/>
      </c>
      <c r="C1414" t="str">
        <f>IF(A1414="","",'ATP Fills'!M1414)</f>
        <v/>
      </c>
      <c r="D1414" t="str">
        <f>IF(A1414="","",'ATP Fills'!B1414)</f>
        <v/>
      </c>
      <c r="E1414" s="3" t="str">
        <f>IF(A1414="","",IF(DATE(LEFT(D1414,4),MID(D1414,5,2),RIGHT(D1414,2))=Helper1!$P$1,Helper1!$P$1,""))</f>
        <v/>
      </c>
      <c r="F1414" s="3" t="str">
        <f>IF(A1414="","",'ATP Fills'!G1414)</f>
        <v/>
      </c>
      <c r="G1414" t="str">
        <f>IF(A1414="","",'ATP Fills'!H1414)</f>
        <v/>
      </c>
      <c r="H1414" t="str">
        <f>IF(A1414="","",VLOOKUP(G1414,表3_3[],2,0))</f>
        <v/>
      </c>
      <c r="I1414" t="str">
        <f>IF(A1414="","",VLOOKUP(G1414,表3_3[],3,0))</f>
        <v/>
      </c>
      <c r="J1414" t="str">
        <f>IF(A1414="","",IF('ATP Fills'!I1414="3M","",VLOOKUP(RIGHT('ATP Fills'!I1414,2),Helper1!$O$36:$P$48,2,0)))</f>
        <v/>
      </c>
      <c r="K1414" t="str">
        <f>IF(J1414="","",LEFT('ATP Fills'!I1414,4))</f>
        <v/>
      </c>
      <c r="L1414" t="str">
        <f>IF(A1414="","",IF('ATP Fills'!G1414="LME",'ATP Fills'!I1414,""))</f>
        <v/>
      </c>
      <c r="M1414" t="str">
        <f t="shared" si="22"/>
        <v/>
      </c>
    </row>
    <row r="1415" spans="1:13">
      <c r="A1415" t="str">
        <f>IF('ATP Fills'!A1415="","",IF('ATP Fills'!Q1415="PHILLIPSG",'ATP Fills'!F1415,""))</f>
        <v/>
      </c>
      <c r="B1415" t="str">
        <f>IF(A1415="","",'ATP Fills'!L1415)</f>
        <v/>
      </c>
      <c r="C1415" t="str">
        <f>IF(A1415="","",'ATP Fills'!M1415)</f>
        <v/>
      </c>
      <c r="D1415" t="str">
        <f>IF(A1415="","",'ATP Fills'!B1415)</f>
        <v/>
      </c>
      <c r="E1415" s="3" t="str">
        <f>IF(A1415="","",IF(DATE(LEFT(D1415,4),MID(D1415,5,2),RIGHT(D1415,2))=Helper1!$P$1,Helper1!$P$1,""))</f>
        <v/>
      </c>
      <c r="F1415" s="3" t="str">
        <f>IF(A1415="","",'ATP Fills'!G1415)</f>
        <v/>
      </c>
      <c r="G1415" t="str">
        <f>IF(A1415="","",'ATP Fills'!H1415)</f>
        <v/>
      </c>
      <c r="H1415" t="str">
        <f>IF(A1415="","",VLOOKUP(G1415,表3_3[],2,0))</f>
        <v/>
      </c>
      <c r="I1415" t="str">
        <f>IF(A1415="","",VLOOKUP(G1415,表3_3[],3,0))</f>
        <v/>
      </c>
      <c r="J1415" t="str">
        <f>IF(A1415="","",IF('ATP Fills'!I1415="3M","",VLOOKUP(RIGHT('ATP Fills'!I1415,2),Helper1!$O$36:$P$48,2,0)))</f>
        <v/>
      </c>
      <c r="K1415" t="str">
        <f>IF(J1415="","",LEFT('ATP Fills'!I1415,4))</f>
        <v/>
      </c>
      <c r="L1415" t="str">
        <f>IF(A1415="","",IF('ATP Fills'!G1415="LME",'ATP Fills'!I1415,""))</f>
        <v/>
      </c>
      <c r="M1415" t="str">
        <f t="shared" si="22"/>
        <v/>
      </c>
    </row>
    <row r="1416" spans="1:13">
      <c r="A1416" t="str">
        <f>IF('ATP Fills'!A1416="","",IF('ATP Fills'!Q1416="PHILLIPSG",'ATP Fills'!F1416,""))</f>
        <v/>
      </c>
      <c r="B1416" t="str">
        <f>IF(A1416="","",'ATP Fills'!L1416)</f>
        <v/>
      </c>
      <c r="C1416" t="str">
        <f>IF(A1416="","",'ATP Fills'!M1416)</f>
        <v/>
      </c>
      <c r="D1416" t="str">
        <f>IF(A1416="","",'ATP Fills'!B1416)</f>
        <v/>
      </c>
      <c r="E1416" s="3" t="str">
        <f>IF(A1416="","",IF(DATE(LEFT(D1416,4),MID(D1416,5,2),RIGHT(D1416,2))=Helper1!$P$1,Helper1!$P$1,""))</f>
        <v/>
      </c>
      <c r="F1416" s="3" t="str">
        <f>IF(A1416="","",'ATP Fills'!G1416)</f>
        <v/>
      </c>
      <c r="G1416" t="str">
        <f>IF(A1416="","",'ATP Fills'!H1416)</f>
        <v/>
      </c>
      <c r="H1416" t="str">
        <f>IF(A1416="","",VLOOKUP(G1416,表3_3[],2,0))</f>
        <v/>
      </c>
      <c r="I1416" t="str">
        <f>IF(A1416="","",VLOOKUP(G1416,表3_3[],3,0))</f>
        <v/>
      </c>
      <c r="J1416" t="str">
        <f>IF(A1416="","",IF('ATP Fills'!I1416="3M","",VLOOKUP(RIGHT('ATP Fills'!I1416,2),Helper1!$O$36:$P$48,2,0)))</f>
        <v/>
      </c>
      <c r="K1416" t="str">
        <f>IF(J1416="","",LEFT('ATP Fills'!I1416,4))</f>
        <v/>
      </c>
      <c r="L1416" t="str">
        <f>IF(A1416="","",IF('ATP Fills'!G1416="LME",'ATP Fills'!I1416,""))</f>
        <v/>
      </c>
      <c r="M1416" t="str">
        <f t="shared" si="22"/>
        <v/>
      </c>
    </row>
    <row r="1417" spans="1:13">
      <c r="A1417" t="str">
        <f>IF('ATP Fills'!A1417="","",IF('ATP Fills'!Q1417="PHILLIPSG",'ATP Fills'!F1417,""))</f>
        <v/>
      </c>
      <c r="B1417" t="str">
        <f>IF(A1417="","",'ATP Fills'!L1417)</f>
        <v/>
      </c>
      <c r="C1417" t="str">
        <f>IF(A1417="","",'ATP Fills'!M1417)</f>
        <v/>
      </c>
      <c r="D1417" t="str">
        <f>IF(A1417="","",'ATP Fills'!B1417)</f>
        <v/>
      </c>
      <c r="E1417" s="3" t="str">
        <f>IF(A1417="","",IF(DATE(LEFT(D1417,4),MID(D1417,5,2),RIGHT(D1417,2))=Helper1!$P$1,Helper1!$P$1,""))</f>
        <v/>
      </c>
      <c r="F1417" s="3" t="str">
        <f>IF(A1417="","",'ATP Fills'!G1417)</f>
        <v/>
      </c>
      <c r="G1417" t="str">
        <f>IF(A1417="","",'ATP Fills'!H1417)</f>
        <v/>
      </c>
      <c r="H1417" t="str">
        <f>IF(A1417="","",VLOOKUP(G1417,表3_3[],2,0))</f>
        <v/>
      </c>
      <c r="I1417" t="str">
        <f>IF(A1417="","",VLOOKUP(G1417,表3_3[],3,0))</f>
        <v/>
      </c>
      <c r="J1417" t="str">
        <f>IF(A1417="","",IF('ATP Fills'!I1417="3M","",VLOOKUP(RIGHT('ATP Fills'!I1417,2),Helper1!$O$36:$P$48,2,0)))</f>
        <v/>
      </c>
      <c r="K1417" t="str">
        <f>IF(J1417="","",LEFT('ATP Fills'!I1417,4))</f>
        <v/>
      </c>
      <c r="L1417" t="str">
        <f>IF(A1417="","",IF('ATP Fills'!G1417="LME",'ATP Fills'!I1417,""))</f>
        <v/>
      </c>
      <c r="M1417" t="str">
        <f t="shared" si="22"/>
        <v/>
      </c>
    </row>
    <row r="1418" spans="1:13">
      <c r="A1418" t="str">
        <f>IF('ATP Fills'!A1418="","",IF('ATP Fills'!Q1418="PHILLIPSG",'ATP Fills'!F1418,""))</f>
        <v/>
      </c>
      <c r="B1418" t="str">
        <f>IF(A1418="","",'ATP Fills'!L1418)</f>
        <v/>
      </c>
      <c r="C1418" t="str">
        <f>IF(A1418="","",'ATP Fills'!M1418)</f>
        <v/>
      </c>
      <c r="D1418" t="str">
        <f>IF(A1418="","",'ATP Fills'!B1418)</f>
        <v/>
      </c>
      <c r="E1418" s="3" t="str">
        <f>IF(A1418="","",IF(DATE(LEFT(D1418,4),MID(D1418,5,2),RIGHT(D1418,2))=Helper1!$P$1,Helper1!$P$1,""))</f>
        <v/>
      </c>
      <c r="F1418" s="3" t="str">
        <f>IF(A1418="","",'ATP Fills'!G1418)</f>
        <v/>
      </c>
      <c r="G1418" t="str">
        <f>IF(A1418="","",'ATP Fills'!H1418)</f>
        <v/>
      </c>
      <c r="H1418" t="str">
        <f>IF(A1418="","",VLOOKUP(G1418,表3_3[],2,0))</f>
        <v/>
      </c>
      <c r="I1418" t="str">
        <f>IF(A1418="","",VLOOKUP(G1418,表3_3[],3,0))</f>
        <v/>
      </c>
      <c r="J1418" t="str">
        <f>IF(A1418="","",IF('ATP Fills'!I1418="3M","",VLOOKUP(RIGHT('ATP Fills'!I1418,2),Helper1!$O$36:$P$48,2,0)))</f>
        <v/>
      </c>
      <c r="K1418" t="str">
        <f>IF(J1418="","",LEFT('ATP Fills'!I1418,4))</f>
        <v/>
      </c>
      <c r="L1418" t="str">
        <f>IF(A1418="","",IF('ATP Fills'!G1418="LME",'ATP Fills'!I1418,""))</f>
        <v/>
      </c>
      <c r="M1418" t="str">
        <f t="shared" si="22"/>
        <v/>
      </c>
    </row>
    <row r="1419" spans="1:13">
      <c r="A1419" t="str">
        <f>IF('ATP Fills'!A1419="","",IF('ATP Fills'!Q1419="PHILLIPSG",'ATP Fills'!F1419,""))</f>
        <v/>
      </c>
      <c r="B1419" t="str">
        <f>IF(A1419="","",'ATP Fills'!L1419)</f>
        <v/>
      </c>
      <c r="C1419" t="str">
        <f>IF(A1419="","",'ATP Fills'!M1419)</f>
        <v/>
      </c>
      <c r="D1419" t="str">
        <f>IF(A1419="","",'ATP Fills'!B1419)</f>
        <v/>
      </c>
      <c r="E1419" s="3" t="str">
        <f>IF(A1419="","",IF(DATE(LEFT(D1419,4),MID(D1419,5,2),RIGHT(D1419,2))=Helper1!$P$1,Helper1!$P$1,""))</f>
        <v/>
      </c>
      <c r="F1419" s="3" t="str">
        <f>IF(A1419="","",'ATP Fills'!G1419)</f>
        <v/>
      </c>
      <c r="G1419" t="str">
        <f>IF(A1419="","",'ATP Fills'!H1419)</f>
        <v/>
      </c>
      <c r="H1419" t="str">
        <f>IF(A1419="","",VLOOKUP(G1419,表3_3[],2,0))</f>
        <v/>
      </c>
      <c r="I1419" t="str">
        <f>IF(A1419="","",VLOOKUP(G1419,表3_3[],3,0))</f>
        <v/>
      </c>
      <c r="J1419" t="str">
        <f>IF(A1419="","",IF('ATP Fills'!I1419="3M","",VLOOKUP(RIGHT('ATP Fills'!I1419,2),Helper1!$O$36:$P$48,2,0)))</f>
        <v/>
      </c>
      <c r="K1419" t="str">
        <f>IF(J1419="","",LEFT('ATP Fills'!I1419,4))</f>
        <v/>
      </c>
      <c r="L1419" t="str">
        <f>IF(A1419="","",IF('ATP Fills'!G1419="LME",'ATP Fills'!I1419,""))</f>
        <v/>
      </c>
      <c r="M1419" t="str">
        <f t="shared" si="22"/>
        <v/>
      </c>
    </row>
    <row r="1420" spans="1:13">
      <c r="A1420" t="str">
        <f>IF('ATP Fills'!A1420="","",IF('ATP Fills'!Q1420="PHILLIPSG",'ATP Fills'!F1420,""))</f>
        <v/>
      </c>
      <c r="B1420" t="str">
        <f>IF(A1420="","",'ATP Fills'!L1420)</f>
        <v/>
      </c>
      <c r="C1420" t="str">
        <f>IF(A1420="","",'ATP Fills'!M1420)</f>
        <v/>
      </c>
      <c r="D1420" t="str">
        <f>IF(A1420="","",'ATP Fills'!B1420)</f>
        <v/>
      </c>
      <c r="E1420" s="3" t="str">
        <f>IF(A1420="","",IF(DATE(LEFT(D1420,4),MID(D1420,5,2),RIGHT(D1420,2))=Helper1!$P$1,Helper1!$P$1,""))</f>
        <v/>
      </c>
      <c r="F1420" s="3" t="str">
        <f>IF(A1420="","",'ATP Fills'!G1420)</f>
        <v/>
      </c>
      <c r="G1420" t="str">
        <f>IF(A1420="","",'ATP Fills'!H1420)</f>
        <v/>
      </c>
      <c r="H1420" t="str">
        <f>IF(A1420="","",VLOOKUP(G1420,表3_3[],2,0))</f>
        <v/>
      </c>
      <c r="I1420" t="str">
        <f>IF(A1420="","",VLOOKUP(G1420,表3_3[],3,0))</f>
        <v/>
      </c>
      <c r="J1420" t="str">
        <f>IF(A1420="","",IF('ATP Fills'!I1420="3M","",VLOOKUP(RIGHT('ATP Fills'!I1420,2),Helper1!$O$36:$P$48,2,0)))</f>
        <v/>
      </c>
      <c r="K1420" t="str">
        <f>IF(J1420="","",LEFT('ATP Fills'!I1420,4))</f>
        <v/>
      </c>
      <c r="L1420" t="str">
        <f>IF(A1420="","",IF('ATP Fills'!G1420="LME",'ATP Fills'!I1420,""))</f>
        <v/>
      </c>
      <c r="M1420" t="str">
        <f t="shared" si="22"/>
        <v/>
      </c>
    </row>
    <row r="1421" spans="1:13">
      <c r="A1421" t="str">
        <f>IF('ATP Fills'!A1421="","",IF('ATP Fills'!Q1421="PHILLIPSG",'ATP Fills'!F1421,""))</f>
        <v/>
      </c>
      <c r="B1421" t="str">
        <f>IF(A1421="","",'ATP Fills'!L1421)</f>
        <v/>
      </c>
      <c r="C1421" t="str">
        <f>IF(A1421="","",'ATP Fills'!M1421)</f>
        <v/>
      </c>
      <c r="D1421" t="str">
        <f>IF(A1421="","",'ATP Fills'!B1421)</f>
        <v/>
      </c>
      <c r="E1421" s="3" t="str">
        <f>IF(A1421="","",IF(DATE(LEFT(D1421,4),MID(D1421,5,2),RIGHT(D1421,2))=Helper1!$P$1,Helper1!$P$1,""))</f>
        <v/>
      </c>
      <c r="F1421" s="3" t="str">
        <f>IF(A1421="","",'ATP Fills'!G1421)</f>
        <v/>
      </c>
      <c r="G1421" t="str">
        <f>IF(A1421="","",'ATP Fills'!H1421)</f>
        <v/>
      </c>
      <c r="H1421" t="str">
        <f>IF(A1421="","",VLOOKUP(G1421,表3_3[],2,0))</f>
        <v/>
      </c>
      <c r="I1421" t="str">
        <f>IF(A1421="","",VLOOKUP(G1421,表3_3[],3,0))</f>
        <v/>
      </c>
      <c r="J1421" t="str">
        <f>IF(A1421="","",IF('ATP Fills'!I1421="3M","",VLOOKUP(RIGHT('ATP Fills'!I1421,2),Helper1!$O$36:$P$48,2,0)))</f>
        <v/>
      </c>
      <c r="K1421" t="str">
        <f>IF(J1421="","",LEFT('ATP Fills'!I1421,4))</f>
        <v/>
      </c>
      <c r="L1421" t="str">
        <f>IF(A1421="","",IF('ATP Fills'!G1421="LME",'ATP Fills'!I1421,""))</f>
        <v/>
      </c>
      <c r="M1421" t="str">
        <f t="shared" si="22"/>
        <v/>
      </c>
    </row>
    <row r="1422" spans="1:13">
      <c r="A1422" t="str">
        <f>IF('ATP Fills'!A1422="","",IF('ATP Fills'!Q1422="PHILLIPSG",'ATP Fills'!F1422,""))</f>
        <v/>
      </c>
      <c r="B1422" t="str">
        <f>IF(A1422="","",'ATP Fills'!L1422)</f>
        <v/>
      </c>
      <c r="C1422" t="str">
        <f>IF(A1422="","",'ATP Fills'!M1422)</f>
        <v/>
      </c>
      <c r="D1422" t="str">
        <f>IF(A1422="","",'ATP Fills'!B1422)</f>
        <v/>
      </c>
      <c r="E1422" s="3" t="str">
        <f>IF(A1422="","",IF(DATE(LEFT(D1422,4),MID(D1422,5,2),RIGHT(D1422,2))=Helper1!$P$1,Helper1!$P$1,""))</f>
        <v/>
      </c>
      <c r="F1422" s="3" t="str">
        <f>IF(A1422="","",'ATP Fills'!G1422)</f>
        <v/>
      </c>
      <c r="G1422" t="str">
        <f>IF(A1422="","",'ATP Fills'!H1422)</f>
        <v/>
      </c>
      <c r="H1422" t="str">
        <f>IF(A1422="","",VLOOKUP(G1422,表3_3[],2,0))</f>
        <v/>
      </c>
      <c r="I1422" t="str">
        <f>IF(A1422="","",VLOOKUP(G1422,表3_3[],3,0))</f>
        <v/>
      </c>
      <c r="J1422" t="str">
        <f>IF(A1422="","",IF('ATP Fills'!I1422="3M","",VLOOKUP(RIGHT('ATP Fills'!I1422,2),Helper1!$O$36:$P$48,2,0)))</f>
        <v/>
      </c>
      <c r="K1422" t="str">
        <f>IF(J1422="","",LEFT('ATP Fills'!I1422,4))</f>
        <v/>
      </c>
      <c r="L1422" t="str">
        <f>IF(A1422="","",IF('ATP Fills'!G1422="LME",'ATP Fills'!I1422,""))</f>
        <v/>
      </c>
      <c r="M1422" t="str">
        <f t="shared" si="22"/>
        <v/>
      </c>
    </row>
    <row r="1423" spans="1:13">
      <c r="A1423" t="str">
        <f>IF('ATP Fills'!A1423="","",IF('ATP Fills'!Q1423="PHILLIPSG",'ATP Fills'!F1423,""))</f>
        <v/>
      </c>
      <c r="B1423" t="str">
        <f>IF(A1423="","",'ATP Fills'!L1423)</f>
        <v/>
      </c>
      <c r="C1423" t="str">
        <f>IF(A1423="","",'ATP Fills'!M1423)</f>
        <v/>
      </c>
      <c r="D1423" t="str">
        <f>IF(A1423="","",'ATP Fills'!B1423)</f>
        <v/>
      </c>
      <c r="E1423" s="3" t="str">
        <f>IF(A1423="","",IF(DATE(LEFT(D1423,4),MID(D1423,5,2),RIGHT(D1423,2))=Helper1!$P$1,Helper1!$P$1,""))</f>
        <v/>
      </c>
      <c r="F1423" s="3" t="str">
        <f>IF(A1423="","",'ATP Fills'!G1423)</f>
        <v/>
      </c>
      <c r="G1423" t="str">
        <f>IF(A1423="","",'ATP Fills'!H1423)</f>
        <v/>
      </c>
      <c r="H1423" t="str">
        <f>IF(A1423="","",VLOOKUP(G1423,表3_3[],2,0))</f>
        <v/>
      </c>
      <c r="I1423" t="str">
        <f>IF(A1423="","",VLOOKUP(G1423,表3_3[],3,0))</f>
        <v/>
      </c>
      <c r="J1423" t="str">
        <f>IF(A1423="","",IF('ATP Fills'!I1423="3M","",VLOOKUP(RIGHT('ATP Fills'!I1423,2),Helper1!$O$36:$P$48,2,0)))</f>
        <v/>
      </c>
      <c r="K1423" t="str">
        <f>IF(J1423="","",LEFT('ATP Fills'!I1423,4))</f>
        <v/>
      </c>
      <c r="L1423" t="str">
        <f>IF(A1423="","",IF('ATP Fills'!G1423="LME",'ATP Fills'!I1423,""))</f>
        <v/>
      </c>
      <c r="M1423" t="str">
        <f t="shared" si="22"/>
        <v/>
      </c>
    </row>
    <row r="1424" spans="1:13">
      <c r="A1424" t="str">
        <f>IF('ATP Fills'!A1424="","",IF('ATP Fills'!Q1424="PHILLIPSG",'ATP Fills'!F1424,""))</f>
        <v/>
      </c>
      <c r="B1424" t="str">
        <f>IF(A1424="","",'ATP Fills'!L1424)</f>
        <v/>
      </c>
      <c r="C1424" t="str">
        <f>IF(A1424="","",'ATP Fills'!M1424)</f>
        <v/>
      </c>
      <c r="D1424" t="str">
        <f>IF(A1424="","",'ATP Fills'!B1424)</f>
        <v/>
      </c>
      <c r="E1424" s="3" t="str">
        <f>IF(A1424="","",IF(DATE(LEFT(D1424,4),MID(D1424,5,2),RIGHT(D1424,2))=Helper1!$P$1,Helper1!$P$1,""))</f>
        <v/>
      </c>
      <c r="F1424" s="3" t="str">
        <f>IF(A1424="","",'ATP Fills'!G1424)</f>
        <v/>
      </c>
      <c r="G1424" t="str">
        <f>IF(A1424="","",'ATP Fills'!H1424)</f>
        <v/>
      </c>
      <c r="H1424" t="str">
        <f>IF(A1424="","",VLOOKUP(G1424,表3_3[],2,0))</f>
        <v/>
      </c>
      <c r="I1424" t="str">
        <f>IF(A1424="","",VLOOKUP(G1424,表3_3[],3,0))</f>
        <v/>
      </c>
      <c r="J1424" t="str">
        <f>IF(A1424="","",IF('ATP Fills'!I1424="3M","",VLOOKUP(RIGHT('ATP Fills'!I1424,2),Helper1!$O$36:$P$48,2,0)))</f>
        <v/>
      </c>
      <c r="K1424" t="str">
        <f>IF(J1424="","",LEFT('ATP Fills'!I1424,4))</f>
        <v/>
      </c>
      <c r="L1424" t="str">
        <f>IF(A1424="","",IF('ATP Fills'!G1424="LME",'ATP Fills'!I1424,""))</f>
        <v/>
      </c>
      <c r="M1424" t="str">
        <f t="shared" si="22"/>
        <v/>
      </c>
    </row>
    <row r="1425" spans="1:13">
      <c r="A1425" t="str">
        <f>IF('ATP Fills'!A1425="","",IF('ATP Fills'!Q1425="PHILLIPSG",'ATP Fills'!F1425,""))</f>
        <v/>
      </c>
      <c r="B1425" t="str">
        <f>IF(A1425="","",'ATP Fills'!L1425)</f>
        <v/>
      </c>
      <c r="C1425" t="str">
        <f>IF(A1425="","",'ATP Fills'!M1425)</f>
        <v/>
      </c>
      <c r="D1425" t="str">
        <f>IF(A1425="","",'ATP Fills'!B1425)</f>
        <v/>
      </c>
      <c r="E1425" s="3" t="str">
        <f>IF(A1425="","",IF(DATE(LEFT(D1425,4),MID(D1425,5,2),RIGHT(D1425,2))=Helper1!$P$1,Helper1!$P$1,""))</f>
        <v/>
      </c>
      <c r="F1425" s="3" t="str">
        <f>IF(A1425="","",'ATP Fills'!G1425)</f>
        <v/>
      </c>
      <c r="G1425" t="str">
        <f>IF(A1425="","",'ATP Fills'!H1425)</f>
        <v/>
      </c>
      <c r="H1425" t="str">
        <f>IF(A1425="","",VLOOKUP(G1425,表3_3[],2,0))</f>
        <v/>
      </c>
      <c r="I1425" t="str">
        <f>IF(A1425="","",VLOOKUP(G1425,表3_3[],3,0))</f>
        <v/>
      </c>
      <c r="J1425" t="str">
        <f>IF(A1425="","",IF('ATP Fills'!I1425="3M","",VLOOKUP(RIGHT('ATP Fills'!I1425,2),Helper1!$O$36:$P$48,2,0)))</f>
        <v/>
      </c>
      <c r="K1425" t="str">
        <f>IF(J1425="","",LEFT('ATP Fills'!I1425,4))</f>
        <v/>
      </c>
      <c r="L1425" t="str">
        <f>IF(A1425="","",IF('ATP Fills'!G1425="LME",'ATP Fills'!I1425,""))</f>
        <v/>
      </c>
      <c r="M1425" t="str">
        <f t="shared" si="22"/>
        <v/>
      </c>
    </row>
    <row r="1426" spans="1:13">
      <c r="A1426" t="str">
        <f>IF('ATP Fills'!A1426="","",IF('ATP Fills'!Q1426="PHILLIPSG",'ATP Fills'!F1426,""))</f>
        <v/>
      </c>
      <c r="B1426" t="str">
        <f>IF(A1426="","",'ATP Fills'!L1426)</f>
        <v/>
      </c>
      <c r="C1426" t="str">
        <f>IF(A1426="","",'ATP Fills'!M1426)</f>
        <v/>
      </c>
      <c r="D1426" t="str">
        <f>IF(A1426="","",'ATP Fills'!B1426)</f>
        <v/>
      </c>
      <c r="E1426" s="3" t="str">
        <f>IF(A1426="","",IF(DATE(LEFT(D1426,4),MID(D1426,5,2),RIGHT(D1426,2))=Helper1!$P$1,Helper1!$P$1,""))</f>
        <v/>
      </c>
      <c r="F1426" s="3" t="str">
        <f>IF(A1426="","",'ATP Fills'!G1426)</f>
        <v/>
      </c>
      <c r="G1426" t="str">
        <f>IF(A1426="","",'ATP Fills'!H1426)</f>
        <v/>
      </c>
      <c r="H1426" t="str">
        <f>IF(A1426="","",VLOOKUP(G1426,表3_3[],2,0))</f>
        <v/>
      </c>
      <c r="I1426" t="str">
        <f>IF(A1426="","",VLOOKUP(G1426,表3_3[],3,0))</f>
        <v/>
      </c>
      <c r="J1426" t="str">
        <f>IF(A1426="","",IF('ATP Fills'!I1426="3M","",VLOOKUP(RIGHT('ATP Fills'!I1426,2),Helper1!$O$36:$P$48,2,0)))</f>
        <v/>
      </c>
      <c r="K1426" t="str">
        <f>IF(J1426="","",LEFT('ATP Fills'!I1426,4))</f>
        <v/>
      </c>
      <c r="L1426" t="str">
        <f>IF(A1426="","",IF('ATP Fills'!G1426="LME",'ATP Fills'!I1426,""))</f>
        <v/>
      </c>
      <c r="M1426" t="str">
        <f t="shared" si="22"/>
        <v/>
      </c>
    </row>
    <row r="1427" spans="1:13">
      <c r="A1427" t="str">
        <f>IF('ATP Fills'!A1427="","",IF('ATP Fills'!Q1427="PHILLIPSG",'ATP Fills'!F1427,""))</f>
        <v/>
      </c>
      <c r="B1427" t="str">
        <f>IF(A1427="","",'ATP Fills'!L1427)</f>
        <v/>
      </c>
      <c r="C1427" t="str">
        <f>IF(A1427="","",'ATP Fills'!M1427)</f>
        <v/>
      </c>
      <c r="D1427" t="str">
        <f>IF(A1427="","",'ATP Fills'!B1427)</f>
        <v/>
      </c>
      <c r="E1427" s="3" t="str">
        <f>IF(A1427="","",IF(DATE(LEFT(D1427,4),MID(D1427,5,2),RIGHT(D1427,2))=Helper1!$P$1,Helper1!$P$1,""))</f>
        <v/>
      </c>
      <c r="F1427" s="3" t="str">
        <f>IF(A1427="","",'ATP Fills'!G1427)</f>
        <v/>
      </c>
      <c r="G1427" t="str">
        <f>IF(A1427="","",'ATP Fills'!H1427)</f>
        <v/>
      </c>
      <c r="H1427" t="str">
        <f>IF(A1427="","",VLOOKUP(G1427,表3_3[],2,0))</f>
        <v/>
      </c>
      <c r="I1427" t="str">
        <f>IF(A1427="","",VLOOKUP(G1427,表3_3[],3,0))</f>
        <v/>
      </c>
      <c r="J1427" t="str">
        <f>IF(A1427="","",IF('ATP Fills'!I1427="3M","",VLOOKUP(RIGHT('ATP Fills'!I1427,2),Helper1!$O$36:$P$48,2,0)))</f>
        <v/>
      </c>
      <c r="K1427" t="str">
        <f>IF(J1427="","",LEFT('ATP Fills'!I1427,4))</f>
        <v/>
      </c>
      <c r="L1427" t="str">
        <f>IF(A1427="","",IF('ATP Fills'!G1427="LME",'ATP Fills'!I1427,""))</f>
        <v/>
      </c>
      <c r="M1427" t="str">
        <f t="shared" si="22"/>
        <v/>
      </c>
    </row>
    <row r="1428" spans="1:13">
      <c r="A1428" t="str">
        <f>IF('ATP Fills'!A1428="","",IF('ATP Fills'!Q1428="PHILLIPSG",'ATP Fills'!F1428,""))</f>
        <v/>
      </c>
      <c r="B1428" t="str">
        <f>IF(A1428="","",'ATP Fills'!L1428)</f>
        <v/>
      </c>
      <c r="C1428" t="str">
        <f>IF(A1428="","",'ATP Fills'!M1428)</f>
        <v/>
      </c>
      <c r="D1428" t="str">
        <f>IF(A1428="","",'ATP Fills'!B1428)</f>
        <v/>
      </c>
      <c r="E1428" s="3" t="str">
        <f>IF(A1428="","",IF(DATE(LEFT(D1428,4),MID(D1428,5,2),RIGHT(D1428,2))=Helper1!$P$1,Helper1!$P$1,""))</f>
        <v/>
      </c>
      <c r="F1428" s="3" t="str">
        <f>IF(A1428="","",'ATP Fills'!G1428)</f>
        <v/>
      </c>
      <c r="G1428" t="str">
        <f>IF(A1428="","",'ATP Fills'!H1428)</f>
        <v/>
      </c>
      <c r="H1428" t="str">
        <f>IF(A1428="","",VLOOKUP(G1428,表3_3[],2,0))</f>
        <v/>
      </c>
      <c r="I1428" t="str">
        <f>IF(A1428="","",VLOOKUP(G1428,表3_3[],3,0))</f>
        <v/>
      </c>
      <c r="J1428" t="str">
        <f>IF(A1428="","",IF('ATP Fills'!I1428="3M","",VLOOKUP(RIGHT('ATP Fills'!I1428,2),Helper1!$O$36:$P$48,2,0)))</f>
        <v/>
      </c>
      <c r="K1428" t="str">
        <f>IF(J1428="","",LEFT('ATP Fills'!I1428,4))</f>
        <v/>
      </c>
      <c r="L1428" t="str">
        <f>IF(A1428="","",IF('ATP Fills'!G1428="LME",'ATP Fills'!I1428,""))</f>
        <v/>
      </c>
      <c r="M1428" t="str">
        <f t="shared" si="22"/>
        <v/>
      </c>
    </row>
    <row r="1429" spans="1:13">
      <c r="A1429" t="str">
        <f>IF('ATP Fills'!A1429="","",IF('ATP Fills'!Q1429="PHILLIPSG",'ATP Fills'!F1429,""))</f>
        <v/>
      </c>
      <c r="B1429" t="str">
        <f>IF(A1429="","",'ATP Fills'!L1429)</f>
        <v/>
      </c>
      <c r="C1429" t="str">
        <f>IF(A1429="","",'ATP Fills'!M1429)</f>
        <v/>
      </c>
      <c r="D1429" t="str">
        <f>IF(A1429="","",'ATP Fills'!B1429)</f>
        <v/>
      </c>
      <c r="E1429" s="3" t="str">
        <f>IF(A1429="","",IF(DATE(LEFT(D1429,4),MID(D1429,5,2),RIGHT(D1429,2))=Helper1!$P$1,Helper1!$P$1,""))</f>
        <v/>
      </c>
      <c r="F1429" s="3" t="str">
        <f>IF(A1429="","",'ATP Fills'!G1429)</f>
        <v/>
      </c>
      <c r="G1429" t="str">
        <f>IF(A1429="","",'ATP Fills'!H1429)</f>
        <v/>
      </c>
      <c r="H1429" t="str">
        <f>IF(A1429="","",VLOOKUP(G1429,表3_3[],2,0))</f>
        <v/>
      </c>
      <c r="I1429" t="str">
        <f>IF(A1429="","",VLOOKUP(G1429,表3_3[],3,0))</f>
        <v/>
      </c>
      <c r="J1429" t="str">
        <f>IF(A1429="","",IF('ATP Fills'!I1429="3M","",VLOOKUP(RIGHT('ATP Fills'!I1429,2),Helper1!$O$36:$P$48,2,0)))</f>
        <v/>
      </c>
      <c r="K1429" t="str">
        <f>IF(J1429="","",LEFT('ATP Fills'!I1429,4))</f>
        <v/>
      </c>
      <c r="L1429" t="str">
        <f>IF(A1429="","",IF('ATP Fills'!G1429="LME",'ATP Fills'!I1429,""))</f>
        <v/>
      </c>
      <c r="M1429" t="str">
        <f t="shared" si="22"/>
        <v/>
      </c>
    </row>
    <row r="1430" spans="1:13">
      <c r="A1430" t="str">
        <f>IF('ATP Fills'!A1430="","",IF('ATP Fills'!Q1430="PHILLIPSG",'ATP Fills'!F1430,""))</f>
        <v/>
      </c>
      <c r="B1430" t="str">
        <f>IF(A1430="","",'ATP Fills'!L1430)</f>
        <v/>
      </c>
      <c r="C1430" t="str">
        <f>IF(A1430="","",'ATP Fills'!M1430)</f>
        <v/>
      </c>
      <c r="D1430" t="str">
        <f>IF(A1430="","",'ATP Fills'!B1430)</f>
        <v/>
      </c>
      <c r="E1430" s="3" t="str">
        <f>IF(A1430="","",IF(DATE(LEFT(D1430,4),MID(D1430,5,2),RIGHT(D1430,2))=Helper1!$P$1,Helper1!$P$1,""))</f>
        <v/>
      </c>
      <c r="F1430" s="3" t="str">
        <f>IF(A1430="","",'ATP Fills'!G1430)</f>
        <v/>
      </c>
      <c r="G1430" t="str">
        <f>IF(A1430="","",'ATP Fills'!H1430)</f>
        <v/>
      </c>
      <c r="H1430" t="str">
        <f>IF(A1430="","",VLOOKUP(G1430,表3_3[],2,0))</f>
        <v/>
      </c>
      <c r="I1430" t="str">
        <f>IF(A1430="","",VLOOKUP(G1430,表3_3[],3,0))</f>
        <v/>
      </c>
      <c r="J1430" t="str">
        <f>IF(A1430="","",IF('ATP Fills'!I1430="3M","",VLOOKUP(RIGHT('ATP Fills'!I1430,2),Helper1!$O$36:$P$48,2,0)))</f>
        <v/>
      </c>
      <c r="K1430" t="str">
        <f>IF(J1430="","",LEFT('ATP Fills'!I1430,4))</f>
        <v/>
      </c>
      <c r="L1430" t="str">
        <f>IF(A1430="","",IF('ATP Fills'!G1430="LME",'ATP Fills'!I1430,""))</f>
        <v/>
      </c>
      <c r="M1430" t="str">
        <f t="shared" si="22"/>
        <v/>
      </c>
    </row>
    <row r="1431" spans="1:13">
      <c r="A1431" t="str">
        <f>IF('ATP Fills'!A1431="","",IF('ATP Fills'!Q1431="PHILLIPSG",'ATP Fills'!F1431,""))</f>
        <v/>
      </c>
      <c r="B1431" t="str">
        <f>IF(A1431="","",'ATP Fills'!L1431)</f>
        <v/>
      </c>
      <c r="C1431" t="str">
        <f>IF(A1431="","",'ATP Fills'!M1431)</f>
        <v/>
      </c>
      <c r="D1431" t="str">
        <f>IF(A1431="","",'ATP Fills'!B1431)</f>
        <v/>
      </c>
      <c r="E1431" s="3" t="str">
        <f>IF(A1431="","",IF(DATE(LEFT(D1431,4),MID(D1431,5,2),RIGHT(D1431,2))=Helper1!$P$1,Helper1!$P$1,""))</f>
        <v/>
      </c>
      <c r="F1431" s="3" t="str">
        <f>IF(A1431="","",'ATP Fills'!G1431)</f>
        <v/>
      </c>
      <c r="G1431" t="str">
        <f>IF(A1431="","",'ATP Fills'!H1431)</f>
        <v/>
      </c>
      <c r="H1431" t="str">
        <f>IF(A1431="","",VLOOKUP(G1431,表3_3[],2,0))</f>
        <v/>
      </c>
      <c r="I1431" t="str">
        <f>IF(A1431="","",VLOOKUP(G1431,表3_3[],3,0))</f>
        <v/>
      </c>
      <c r="J1431" t="str">
        <f>IF(A1431="","",IF('ATP Fills'!I1431="3M","",VLOOKUP(RIGHT('ATP Fills'!I1431,2),Helper1!$O$36:$P$48,2,0)))</f>
        <v/>
      </c>
      <c r="K1431" t="str">
        <f>IF(J1431="","",LEFT('ATP Fills'!I1431,4))</f>
        <v/>
      </c>
      <c r="L1431" t="str">
        <f>IF(A1431="","",IF('ATP Fills'!G1431="LME",'ATP Fills'!I1431,""))</f>
        <v/>
      </c>
      <c r="M1431" t="str">
        <f t="shared" si="22"/>
        <v/>
      </c>
    </row>
    <row r="1432" spans="1:13">
      <c r="A1432" t="str">
        <f>IF('ATP Fills'!A1432="","",IF('ATP Fills'!Q1432="PHILLIPSG",'ATP Fills'!F1432,""))</f>
        <v/>
      </c>
      <c r="B1432" t="str">
        <f>IF(A1432="","",'ATP Fills'!L1432)</f>
        <v/>
      </c>
      <c r="C1432" t="str">
        <f>IF(A1432="","",'ATP Fills'!M1432)</f>
        <v/>
      </c>
      <c r="D1432" t="str">
        <f>IF(A1432="","",'ATP Fills'!B1432)</f>
        <v/>
      </c>
      <c r="E1432" s="3" t="str">
        <f>IF(A1432="","",IF(DATE(LEFT(D1432,4),MID(D1432,5,2),RIGHT(D1432,2))=Helper1!$P$1,Helper1!$P$1,""))</f>
        <v/>
      </c>
      <c r="F1432" s="3" t="str">
        <f>IF(A1432="","",'ATP Fills'!G1432)</f>
        <v/>
      </c>
      <c r="G1432" t="str">
        <f>IF(A1432="","",'ATP Fills'!H1432)</f>
        <v/>
      </c>
      <c r="H1432" t="str">
        <f>IF(A1432="","",VLOOKUP(G1432,表3_3[],2,0))</f>
        <v/>
      </c>
      <c r="I1432" t="str">
        <f>IF(A1432="","",VLOOKUP(G1432,表3_3[],3,0))</f>
        <v/>
      </c>
      <c r="J1432" t="str">
        <f>IF(A1432="","",IF('ATP Fills'!I1432="3M","",VLOOKUP(RIGHT('ATP Fills'!I1432,2),Helper1!$O$36:$P$48,2,0)))</f>
        <v/>
      </c>
      <c r="K1432" t="str">
        <f>IF(J1432="","",LEFT('ATP Fills'!I1432,4))</f>
        <v/>
      </c>
      <c r="L1432" t="str">
        <f>IF(A1432="","",IF('ATP Fills'!G1432="LME",'ATP Fills'!I1432,""))</f>
        <v/>
      </c>
      <c r="M1432" t="str">
        <f t="shared" si="22"/>
        <v/>
      </c>
    </row>
    <row r="1433" spans="1:13">
      <c r="A1433" t="str">
        <f>IF('ATP Fills'!A1433="","",IF('ATP Fills'!Q1433="PHILLIPSG",'ATP Fills'!F1433,""))</f>
        <v/>
      </c>
      <c r="B1433" t="str">
        <f>IF(A1433="","",'ATP Fills'!L1433)</f>
        <v/>
      </c>
      <c r="C1433" t="str">
        <f>IF(A1433="","",'ATP Fills'!M1433)</f>
        <v/>
      </c>
      <c r="D1433" t="str">
        <f>IF(A1433="","",'ATP Fills'!B1433)</f>
        <v/>
      </c>
      <c r="E1433" s="3" t="str">
        <f>IF(A1433="","",IF(DATE(LEFT(D1433,4),MID(D1433,5,2),RIGHT(D1433,2))=Helper1!$P$1,Helper1!$P$1,""))</f>
        <v/>
      </c>
      <c r="F1433" s="3" t="str">
        <f>IF(A1433="","",'ATP Fills'!G1433)</f>
        <v/>
      </c>
      <c r="G1433" t="str">
        <f>IF(A1433="","",'ATP Fills'!H1433)</f>
        <v/>
      </c>
      <c r="H1433" t="str">
        <f>IF(A1433="","",VLOOKUP(G1433,表3_3[],2,0))</f>
        <v/>
      </c>
      <c r="I1433" t="str">
        <f>IF(A1433="","",VLOOKUP(G1433,表3_3[],3,0))</f>
        <v/>
      </c>
      <c r="J1433" t="str">
        <f>IF(A1433="","",IF('ATP Fills'!I1433="3M","",VLOOKUP(RIGHT('ATP Fills'!I1433,2),Helper1!$O$36:$P$48,2,0)))</f>
        <v/>
      </c>
      <c r="K1433" t="str">
        <f>IF(J1433="","",LEFT('ATP Fills'!I1433,4))</f>
        <v/>
      </c>
      <c r="L1433" t="str">
        <f>IF(A1433="","",IF('ATP Fills'!G1433="LME",'ATP Fills'!I1433,""))</f>
        <v/>
      </c>
      <c r="M1433" t="str">
        <f t="shared" si="22"/>
        <v/>
      </c>
    </row>
    <row r="1434" spans="1:13">
      <c r="A1434" t="str">
        <f>IF('ATP Fills'!A1434="","",IF('ATP Fills'!Q1434="PHILLIPSG",'ATP Fills'!F1434,""))</f>
        <v/>
      </c>
      <c r="B1434" t="str">
        <f>IF(A1434="","",'ATP Fills'!L1434)</f>
        <v/>
      </c>
      <c r="C1434" t="str">
        <f>IF(A1434="","",'ATP Fills'!M1434)</f>
        <v/>
      </c>
      <c r="D1434" t="str">
        <f>IF(A1434="","",'ATP Fills'!B1434)</f>
        <v/>
      </c>
      <c r="E1434" s="3" t="str">
        <f>IF(A1434="","",IF(DATE(LEFT(D1434,4),MID(D1434,5,2),RIGHT(D1434,2))=Helper1!$P$1,Helper1!$P$1,""))</f>
        <v/>
      </c>
      <c r="F1434" s="3" t="str">
        <f>IF(A1434="","",'ATP Fills'!G1434)</f>
        <v/>
      </c>
      <c r="G1434" t="str">
        <f>IF(A1434="","",'ATP Fills'!H1434)</f>
        <v/>
      </c>
      <c r="H1434" t="str">
        <f>IF(A1434="","",VLOOKUP(G1434,表3_3[],2,0))</f>
        <v/>
      </c>
      <c r="I1434" t="str">
        <f>IF(A1434="","",VLOOKUP(G1434,表3_3[],3,0))</f>
        <v/>
      </c>
      <c r="J1434" t="str">
        <f>IF(A1434="","",IF('ATP Fills'!I1434="3M","",VLOOKUP(RIGHT('ATP Fills'!I1434,2),Helper1!$O$36:$P$48,2,0)))</f>
        <v/>
      </c>
      <c r="K1434" t="str">
        <f>IF(J1434="","",LEFT('ATP Fills'!I1434,4))</f>
        <v/>
      </c>
      <c r="L1434" t="str">
        <f>IF(A1434="","",IF('ATP Fills'!G1434="LME",'ATP Fills'!I1434,""))</f>
        <v/>
      </c>
      <c r="M1434" t="str">
        <f t="shared" si="22"/>
        <v/>
      </c>
    </row>
    <row r="1435" spans="1:13">
      <c r="A1435" t="str">
        <f>IF('ATP Fills'!A1435="","",IF('ATP Fills'!Q1435="PHILLIPSG",'ATP Fills'!F1435,""))</f>
        <v/>
      </c>
      <c r="B1435" t="str">
        <f>IF(A1435="","",'ATP Fills'!L1435)</f>
        <v/>
      </c>
      <c r="C1435" t="str">
        <f>IF(A1435="","",'ATP Fills'!M1435)</f>
        <v/>
      </c>
      <c r="D1435" t="str">
        <f>IF(A1435="","",'ATP Fills'!B1435)</f>
        <v/>
      </c>
      <c r="E1435" s="3" t="str">
        <f>IF(A1435="","",IF(DATE(LEFT(D1435,4),MID(D1435,5,2),RIGHT(D1435,2))=Helper1!$P$1,Helper1!$P$1,""))</f>
        <v/>
      </c>
      <c r="F1435" s="3" t="str">
        <f>IF(A1435="","",'ATP Fills'!G1435)</f>
        <v/>
      </c>
      <c r="G1435" t="str">
        <f>IF(A1435="","",'ATP Fills'!H1435)</f>
        <v/>
      </c>
      <c r="H1435" t="str">
        <f>IF(A1435="","",VLOOKUP(G1435,表3_3[],2,0))</f>
        <v/>
      </c>
      <c r="I1435" t="str">
        <f>IF(A1435="","",VLOOKUP(G1435,表3_3[],3,0))</f>
        <v/>
      </c>
      <c r="J1435" t="str">
        <f>IF(A1435="","",IF('ATP Fills'!I1435="3M","",VLOOKUP(RIGHT('ATP Fills'!I1435,2),Helper1!$O$36:$P$48,2,0)))</f>
        <v/>
      </c>
      <c r="K1435" t="str">
        <f>IF(J1435="","",LEFT('ATP Fills'!I1435,4))</f>
        <v/>
      </c>
      <c r="L1435" t="str">
        <f>IF(A1435="","",IF('ATP Fills'!G1435="LME",'ATP Fills'!I1435,""))</f>
        <v/>
      </c>
      <c r="M1435" t="str">
        <f t="shared" si="22"/>
        <v/>
      </c>
    </row>
    <row r="1436" spans="1:13">
      <c r="A1436" t="str">
        <f>IF('ATP Fills'!A1436="","",IF('ATP Fills'!Q1436="PHILLIPSG",'ATP Fills'!F1436,""))</f>
        <v/>
      </c>
      <c r="B1436" t="str">
        <f>IF(A1436="","",'ATP Fills'!L1436)</f>
        <v/>
      </c>
      <c r="C1436" t="str">
        <f>IF(A1436="","",'ATP Fills'!M1436)</f>
        <v/>
      </c>
      <c r="D1436" t="str">
        <f>IF(A1436="","",'ATP Fills'!B1436)</f>
        <v/>
      </c>
      <c r="E1436" s="3" t="str">
        <f>IF(A1436="","",IF(DATE(LEFT(D1436,4),MID(D1436,5,2),RIGHT(D1436,2))=Helper1!$P$1,Helper1!$P$1,""))</f>
        <v/>
      </c>
      <c r="F1436" s="3" t="str">
        <f>IF(A1436="","",'ATP Fills'!G1436)</f>
        <v/>
      </c>
      <c r="G1436" t="str">
        <f>IF(A1436="","",'ATP Fills'!H1436)</f>
        <v/>
      </c>
      <c r="H1436" t="str">
        <f>IF(A1436="","",VLOOKUP(G1436,表3_3[],2,0))</f>
        <v/>
      </c>
      <c r="I1436" t="str">
        <f>IF(A1436="","",VLOOKUP(G1436,表3_3[],3,0))</f>
        <v/>
      </c>
      <c r="J1436" t="str">
        <f>IF(A1436="","",IF('ATP Fills'!I1436="3M","",VLOOKUP(RIGHT('ATP Fills'!I1436,2),Helper1!$O$36:$P$48,2,0)))</f>
        <v/>
      </c>
      <c r="K1436" t="str">
        <f>IF(J1436="","",LEFT('ATP Fills'!I1436,4))</f>
        <v/>
      </c>
      <c r="L1436" t="str">
        <f>IF(A1436="","",IF('ATP Fills'!G1436="LME",'ATP Fills'!I1436,""))</f>
        <v/>
      </c>
      <c r="M1436" t="str">
        <f t="shared" si="22"/>
        <v/>
      </c>
    </row>
    <row r="1437" spans="1:13">
      <c r="A1437" t="str">
        <f>IF('ATP Fills'!A1437="","",IF('ATP Fills'!Q1437="PHILLIPSG",'ATP Fills'!F1437,""))</f>
        <v/>
      </c>
      <c r="B1437" t="str">
        <f>IF(A1437="","",'ATP Fills'!L1437)</f>
        <v/>
      </c>
      <c r="C1437" t="str">
        <f>IF(A1437="","",'ATP Fills'!M1437)</f>
        <v/>
      </c>
      <c r="D1437" t="str">
        <f>IF(A1437="","",'ATP Fills'!B1437)</f>
        <v/>
      </c>
      <c r="E1437" s="3" t="str">
        <f>IF(A1437="","",IF(DATE(LEFT(D1437,4),MID(D1437,5,2),RIGHT(D1437,2))=Helper1!$P$1,Helper1!$P$1,""))</f>
        <v/>
      </c>
      <c r="F1437" s="3" t="str">
        <f>IF(A1437="","",'ATP Fills'!G1437)</f>
        <v/>
      </c>
      <c r="G1437" t="str">
        <f>IF(A1437="","",'ATP Fills'!H1437)</f>
        <v/>
      </c>
      <c r="H1437" t="str">
        <f>IF(A1437="","",VLOOKUP(G1437,表3_3[],2,0))</f>
        <v/>
      </c>
      <c r="I1437" t="str">
        <f>IF(A1437="","",VLOOKUP(G1437,表3_3[],3,0))</f>
        <v/>
      </c>
      <c r="J1437" t="str">
        <f>IF(A1437="","",IF('ATP Fills'!I1437="3M","",VLOOKUP(RIGHT('ATP Fills'!I1437,2),Helper1!$O$36:$P$48,2,0)))</f>
        <v/>
      </c>
      <c r="K1437" t="str">
        <f>IF(J1437="","",LEFT('ATP Fills'!I1437,4))</f>
        <v/>
      </c>
      <c r="L1437" t="str">
        <f>IF(A1437="","",IF('ATP Fills'!G1437="LME",'ATP Fills'!I1437,""))</f>
        <v/>
      </c>
      <c r="M1437" t="str">
        <f t="shared" si="22"/>
        <v/>
      </c>
    </row>
    <row r="1438" spans="1:13">
      <c r="A1438" t="str">
        <f>IF('ATP Fills'!A1438="","",IF('ATP Fills'!Q1438="PHILLIPSG",'ATP Fills'!F1438,""))</f>
        <v/>
      </c>
      <c r="B1438" t="str">
        <f>IF(A1438="","",'ATP Fills'!L1438)</f>
        <v/>
      </c>
      <c r="C1438" t="str">
        <f>IF(A1438="","",'ATP Fills'!M1438)</f>
        <v/>
      </c>
      <c r="D1438" t="str">
        <f>IF(A1438="","",'ATP Fills'!B1438)</f>
        <v/>
      </c>
      <c r="E1438" s="3" t="str">
        <f>IF(A1438="","",IF(DATE(LEFT(D1438,4),MID(D1438,5,2),RIGHT(D1438,2))=Helper1!$P$1,Helper1!$P$1,""))</f>
        <v/>
      </c>
      <c r="F1438" s="3" t="str">
        <f>IF(A1438="","",'ATP Fills'!G1438)</f>
        <v/>
      </c>
      <c r="G1438" t="str">
        <f>IF(A1438="","",'ATP Fills'!H1438)</f>
        <v/>
      </c>
      <c r="H1438" t="str">
        <f>IF(A1438="","",VLOOKUP(G1438,表3_3[],2,0))</f>
        <v/>
      </c>
      <c r="I1438" t="str">
        <f>IF(A1438="","",VLOOKUP(G1438,表3_3[],3,0))</f>
        <v/>
      </c>
      <c r="J1438" t="str">
        <f>IF(A1438="","",IF('ATP Fills'!I1438="3M","",VLOOKUP(RIGHT('ATP Fills'!I1438,2),Helper1!$O$36:$P$48,2,0)))</f>
        <v/>
      </c>
      <c r="K1438" t="str">
        <f>IF(J1438="","",LEFT('ATP Fills'!I1438,4))</f>
        <v/>
      </c>
      <c r="L1438" t="str">
        <f>IF(A1438="","",IF('ATP Fills'!G1438="LME",'ATP Fills'!I1438,""))</f>
        <v/>
      </c>
      <c r="M1438" t="str">
        <f t="shared" si="22"/>
        <v/>
      </c>
    </row>
    <row r="1439" spans="1:13">
      <c r="A1439" t="str">
        <f>IF('ATP Fills'!A1439="","",IF('ATP Fills'!Q1439="PHILLIPSG",'ATP Fills'!F1439,""))</f>
        <v/>
      </c>
      <c r="B1439" t="str">
        <f>IF(A1439="","",'ATP Fills'!L1439)</f>
        <v/>
      </c>
      <c r="C1439" t="str">
        <f>IF(A1439="","",'ATP Fills'!M1439)</f>
        <v/>
      </c>
      <c r="D1439" t="str">
        <f>IF(A1439="","",'ATP Fills'!B1439)</f>
        <v/>
      </c>
      <c r="E1439" s="3" t="str">
        <f>IF(A1439="","",IF(DATE(LEFT(D1439,4),MID(D1439,5,2),RIGHT(D1439,2))=Helper1!$P$1,Helper1!$P$1,""))</f>
        <v/>
      </c>
      <c r="F1439" s="3" t="str">
        <f>IF(A1439="","",'ATP Fills'!G1439)</f>
        <v/>
      </c>
      <c r="G1439" t="str">
        <f>IF(A1439="","",'ATP Fills'!H1439)</f>
        <v/>
      </c>
      <c r="H1439" t="str">
        <f>IF(A1439="","",VLOOKUP(G1439,表3_3[],2,0))</f>
        <v/>
      </c>
      <c r="I1439" t="str">
        <f>IF(A1439="","",VLOOKUP(G1439,表3_3[],3,0))</f>
        <v/>
      </c>
      <c r="J1439" t="str">
        <f>IF(A1439="","",IF('ATP Fills'!I1439="3M","",VLOOKUP(RIGHT('ATP Fills'!I1439,2),Helper1!$O$36:$P$48,2,0)))</f>
        <v/>
      </c>
      <c r="K1439" t="str">
        <f>IF(J1439="","",LEFT('ATP Fills'!I1439,4))</f>
        <v/>
      </c>
      <c r="L1439" t="str">
        <f>IF(A1439="","",IF('ATP Fills'!G1439="LME",'ATP Fills'!I1439,""))</f>
        <v/>
      </c>
      <c r="M1439" t="str">
        <f t="shared" si="22"/>
        <v/>
      </c>
    </row>
    <row r="1440" spans="1:13">
      <c r="A1440" t="str">
        <f>IF('ATP Fills'!A1440="","",IF('ATP Fills'!Q1440="PHILLIPSG",'ATP Fills'!F1440,""))</f>
        <v/>
      </c>
      <c r="B1440" t="str">
        <f>IF(A1440="","",'ATP Fills'!L1440)</f>
        <v/>
      </c>
      <c r="C1440" t="str">
        <f>IF(A1440="","",'ATP Fills'!M1440)</f>
        <v/>
      </c>
      <c r="D1440" t="str">
        <f>IF(A1440="","",'ATP Fills'!B1440)</f>
        <v/>
      </c>
      <c r="E1440" s="3" t="str">
        <f>IF(A1440="","",IF(DATE(LEFT(D1440,4),MID(D1440,5,2),RIGHT(D1440,2))=Helper1!$P$1,Helper1!$P$1,""))</f>
        <v/>
      </c>
      <c r="F1440" s="3" t="str">
        <f>IF(A1440="","",'ATP Fills'!G1440)</f>
        <v/>
      </c>
      <c r="G1440" t="str">
        <f>IF(A1440="","",'ATP Fills'!H1440)</f>
        <v/>
      </c>
      <c r="H1440" t="str">
        <f>IF(A1440="","",VLOOKUP(G1440,表3_3[],2,0))</f>
        <v/>
      </c>
      <c r="I1440" t="str">
        <f>IF(A1440="","",VLOOKUP(G1440,表3_3[],3,0))</f>
        <v/>
      </c>
      <c r="J1440" t="str">
        <f>IF(A1440="","",IF('ATP Fills'!I1440="3M","",VLOOKUP(RIGHT('ATP Fills'!I1440,2),Helper1!$O$36:$P$48,2,0)))</f>
        <v/>
      </c>
      <c r="K1440" t="str">
        <f>IF(J1440="","",LEFT('ATP Fills'!I1440,4))</f>
        <v/>
      </c>
      <c r="L1440" t="str">
        <f>IF(A1440="","",IF('ATP Fills'!G1440="LME",'ATP Fills'!I1440,""))</f>
        <v/>
      </c>
      <c r="M1440" t="str">
        <f t="shared" si="22"/>
        <v/>
      </c>
    </row>
    <row r="1441" spans="1:13">
      <c r="A1441" t="str">
        <f>IF('ATP Fills'!A1441="","",IF('ATP Fills'!Q1441="PHILLIPSG",'ATP Fills'!F1441,""))</f>
        <v/>
      </c>
      <c r="B1441" t="str">
        <f>IF(A1441="","",'ATP Fills'!L1441)</f>
        <v/>
      </c>
      <c r="C1441" t="str">
        <f>IF(A1441="","",'ATP Fills'!M1441)</f>
        <v/>
      </c>
      <c r="D1441" t="str">
        <f>IF(A1441="","",'ATP Fills'!B1441)</f>
        <v/>
      </c>
      <c r="E1441" s="3" t="str">
        <f>IF(A1441="","",IF(DATE(LEFT(D1441,4),MID(D1441,5,2),RIGHT(D1441,2))=Helper1!$P$1,Helper1!$P$1,""))</f>
        <v/>
      </c>
      <c r="F1441" s="3" t="str">
        <f>IF(A1441="","",'ATP Fills'!G1441)</f>
        <v/>
      </c>
      <c r="G1441" t="str">
        <f>IF(A1441="","",'ATP Fills'!H1441)</f>
        <v/>
      </c>
      <c r="H1441" t="str">
        <f>IF(A1441="","",VLOOKUP(G1441,表3_3[],2,0))</f>
        <v/>
      </c>
      <c r="I1441" t="str">
        <f>IF(A1441="","",VLOOKUP(G1441,表3_3[],3,0))</f>
        <v/>
      </c>
      <c r="J1441" t="str">
        <f>IF(A1441="","",IF('ATP Fills'!I1441="3M","",VLOOKUP(RIGHT('ATP Fills'!I1441,2),Helper1!$O$36:$P$48,2,0)))</f>
        <v/>
      </c>
      <c r="K1441" t="str">
        <f>IF(J1441="","",LEFT('ATP Fills'!I1441,4))</f>
        <v/>
      </c>
      <c r="L1441" t="str">
        <f>IF(A1441="","",IF('ATP Fills'!G1441="LME",'ATP Fills'!I1441,""))</f>
        <v/>
      </c>
      <c r="M1441" t="str">
        <f t="shared" si="22"/>
        <v/>
      </c>
    </row>
    <row r="1442" spans="1:13">
      <c r="A1442" t="str">
        <f>IF('ATP Fills'!A1442="","",IF('ATP Fills'!Q1442="PHILLIPSG",'ATP Fills'!F1442,""))</f>
        <v/>
      </c>
      <c r="B1442" t="str">
        <f>IF(A1442="","",'ATP Fills'!L1442)</f>
        <v/>
      </c>
      <c r="C1442" t="str">
        <f>IF(A1442="","",'ATP Fills'!M1442)</f>
        <v/>
      </c>
      <c r="D1442" t="str">
        <f>IF(A1442="","",'ATP Fills'!B1442)</f>
        <v/>
      </c>
      <c r="E1442" s="3" t="str">
        <f>IF(A1442="","",IF(DATE(LEFT(D1442,4),MID(D1442,5,2),RIGHT(D1442,2))=Helper1!$P$1,Helper1!$P$1,""))</f>
        <v/>
      </c>
      <c r="F1442" s="3" t="str">
        <f>IF(A1442="","",'ATP Fills'!G1442)</f>
        <v/>
      </c>
      <c r="G1442" t="str">
        <f>IF(A1442="","",'ATP Fills'!H1442)</f>
        <v/>
      </c>
      <c r="H1442" t="str">
        <f>IF(A1442="","",VLOOKUP(G1442,表3_3[],2,0))</f>
        <v/>
      </c>
      <c r="I1442" t="str">
        <f>IF(A1442="","",VLOOKUP(G1442,表3_3[],3,0))</f>
        <v/>
      </c>
      <c r="J1442" t="str">
        <f>IF(A1442="","",IF('ATP Fills'!I1442="3M","",VLOOKUP(RIGHT('ATP Fills'!I1442,2),Helper1!$O$36:$P$48,2,0)))</f>
        <v/>
      </c>
      <c r="K1442" t="str">
        <f>IF(J1442="","",LEFT('ATP Fills'!I1442,4))</f>
        <v/>
      </c>
      <c r="L1442" t="str">
        <f>IF(A1442="","",IF('ATP Fills'!G1442="LME",'ATP Fills'!I1442,""))</f>
        <v/>
      </c>
      <c r="M1442" t="str">
        <f t="shared" si="22"/>
        <v/>
      </c>
    </row>
    <row r="1443" spans="1:13">
      <c r="A1443" t="str">
        <f>IF('ATP Fills'!A1443="","",IF('ATP Fills'!Q1443="PHILLIPSG",'ATP Fills'!F1443,""))</f>
        <v/>
      </c>
      <c r="B1443" t="str">
        <f>IF(A1443="","",'ATP Fills'!L1443)</f>
        <v/>
      </c>
      <c r="C1443" t="str">
        <f>IF(A1443="","",'ATP Fills'!M1443)</f>
        <v/>
      </c>
      <c r="D1443" t="str">
        <f>IF(A1443="","",'ATP Fills'!B1443)</f>
        <v/>
      </c>
      <c r="E1443" s="3" t="str">
        <f>IF(A1443="","",IF(DATE(LEFT(D1443,4),MID(D1443,5,2),RIGHT(D1443,2))=Helper1!$P$1,Helper1!$P$1,""))</f>
        <v/>
      </c>
      <c r="F1443" s="3" t="str">
        <f>IF(A1443="","",'ATP Fills'!G1443)</f>
        <v/>
      </c>
      <c r="G1443" t="str">
        <f>IF(A1443="","",'ATP Fills'!H1443)</f>
        <v/>
      </c>
      <c r="H1443" t="str">
        <f>IF(A1443="","",VLOOKUP(G1443,表3_3[],2,0))</f>
        <v/>
      </c>
      <c r="I1443" t="str">
        <f>IF(A1443="","",VLOOKUP(G1443,表3_3[],3,0))</f>
        <v/>
      </c>
      <c r="J1443" t="str">
        <f>IF(A1443="","",IF('ATP Fills'!I1443="3M","",VLOOKUP(RIGHT('ATP Fills'!I1443,2),Helper1!$O$36:$P$48,2,0)))</f>
        <v/>
      </c>
      <c r="K1443" t="str">
        <f>IF(J1443="","",LEFT('ATP Fills'!I1443,4))</f>
        <v/>
      </c>
      <c r="L1443" t="str">
        <f>IF(A1443="","",IF('ATP Fills'!G1443="LME",'ATP Fills'!I1443,""))</f>
        <v/>
      </c>
      <c r="M1443" t="str">
        <f t="shared" si="22"/>
        <v/>
      </c>
    </row>
    <row r="1444" spans="1:13">
      <c r="A1444" t="str">
        <f>IF('ATP Fills'!A1444="","",IF('ATP Fills'!Q1444="PHILLIPSG",'ATP Fills'!F1444,""))</f>
        <v/>
      </c>
      <c r="B1444" t="str">
        <f>IF(A1444="","",'ATP Fills'!L1444)</f>
        <v/>
      </c>
      <c r="C1444" t="str">
        <f>IF(A1444="","",'ATP Fills'!M1444)</f>
        <v/>
      </c>
      <c r="D1444" t="str">
        <f>IF(A1444="","",'ATP Fills'!B1444)</f>
        <v/>
      </c>
      <c r="E1444" s="3" t="str">
        <f>IF(A1444="","",IF(DATE(LEFT(D1444,4),MID(D1444,5,2),RIGHT(D1444,2))=Helper1!$P$1,Helper1!$P$1,""))</f>
        <v/>
      </c>
      <c r="F1444" s="3" t="str">
        <f>IF(A1444="","",'ATP Fills'!G1444)</f>
        <v/>
      </c>
      <c r="G1444" t="str">
        <f>IF(A1444="","",'ATP Fills'!H1444)</f>
        <v/>
      </c>
      <c r="H1444" t="str">
        <f>IF(A1444="","",VLOOKUP(G1444,表3_3[],2,0))</f>
        <v/>
      </c>
      <c r="I1444" t="str">
        <f>IF(A1444="","",VLOOKUP(G1444,表3_3[],3,0))</f>
        <v/>
      </c>
      <c r="J1444" t="str">
        <f>IF(A1444="","",IF('ATP Fills'!I1444="3M","",VLOOKUP(RIGHT('ATP Fills'!I1444,2),Helper1!$O$36:$P$48,2,0)))</f>
        <v/>
      </c>
      <c r="K1444" t="str">
        <f>IF(J1444="","",LEFT('ATP Fills'!I1444,4))</f>
        <v/>
      </c>
      <c r="L1444" t="str">
        <f>IF(A1444="","",IF('ATP Fills'!G1444="LME",'ATP Fills'!I1444,""))</f>
        <v/>
      </c>
      <c r="M1444" t="str">
        <f t="shared" si="22"/>
        <v/>
      </c>
    </row>
    <row r="1445" spans="1:13">
      <c r="A1445" t="str">
        <f>IF('ATP Fills'!A1445="","",IF('ATP Fills'!Q1445="PHILLIPSG",'ATP Fills'!F1445,""))</f>
        <v/>
      </c>
      <c r="B1445" t="str">
        <f>IF(A1445="","",'ATP Fills'!L1445)</f>
        <v/>
      </c>
      <c r="C1445" t="str">
        <f>IF(A1445="","",'ATP Fills'!M1445)</f>
        <v/>
      </c>
      <c r="D1445" t="str">
        <f>IF(A1445="","",'ATP Fills'!B1445)</f>
        <v/>
      </c>
      <c r="E1445" s="3" t="str">
        <f>IF(A1445="","",IF(DATE(LEFT(D1445,4),MID(D1445,5,2),RIGHT(D1445,2))=Helper1!$P$1,Helper1!$P$1,""))</f>
        <v/>
      </c>
      <c r="F1445" s="3" t="str">
        <f>IF(A1445="","",'ATP Fills'!G1445)</f>
        <v/>
      </c>
      <c r="G1445" t="str">
        <f>IF(A1445="","",'ATP Fills'!H1445)</f>
        <v/>
      </c>
      <c r="H1445" t="str">
        <f>IF(A1445="","",VLOOKUP(G1445,表3_3[],2,0))</f>
        <v/>
      </c>
      <c r="I1445" t="str">
        <f>IF(A1445="","",VLOOKUP(G1445,表3_3[],3,0))</f>
        <v/>
      </c>
      <c r="J1445" t="str">
        <f>IF(A1445="","",IF('ATP Fills'!I1445="3M","",VLOOKUP(RIGHT('ATP Fills'!I1445,2),Helper1!$O$36:$P$48,2,0)))</f>
        <v/>
      </c>
      <c r="K1445" t="str">
        <f>IF(J1445="","",LEFT('ATP Fills'!I1445,4))</f>
        <v/>
      </c>
      <c r="L1445" t="str">
        <f>IF(A1445="","",IF('ATP Fills'!G1445="LME",'ATP Fills'!I1445,""))</f>
        <v/>
      </c>
      <c r="M1445" t="str">
        <f t="shared" si="22"/>
        <v/>
      </c>
    </row>
    <row r="1446" spans="1:13">
      <c r="A1446" t="str">
        <f>IF('ATP Fills'!A1446="","",IF('ATP Fills'!Q1446="PHILLIPSG",'ATP Fills'!F1446,""))</f>
        <v/>
      </c>
      <c r="B1446" t="str">
        <f>IF(A1446="","",'ATP Fills'!L1446)</f>
        <v/>
      </c>
      <c r="C1446" t="str">
        <f>IF(A1446="","",'ATP Fills'!M1446)</f>
        <v/>
      </c>
      <c r="D1446" t="str">
        <f>IF(A1446="","",'ATP Fills'!B1446)</f>
        <v/>
      </c>
      <c r="E1446" s="3" t="str">
        <f>IF(A1446="","",IF(DATE(LEFT(D1446,4),MID(D1446,5,2),RIGHT(D1446,2))=Helper1!$P$1,Helper1!$P$1,""))</f>
        <v/>
      </c>
      <c r="F1446" s="3" t="str">
        <f>IF(A1446="","",'ATP Fills'!G1446)</f>
        <v/>
      </c>
      <c r="G1446" t="str">
        <f>IF(A1446="","",'ATP Fills'!H1446)</f>
        <v/>
      </c>
      <c r="H1446" t="str">
        <f>IF(A1446="","",VLOOKUP(G1446,表3_3[],2,0))</f>
        <v/>
      </c>
      <c r="I1446" t="str">
        <f>IF(A1446="","",VLOOKUP(G1446,表3_3[],3,0))</f>
        <v/>
      </c>
      <c r="J1446" t="str">
        <f>IF(A1446="","",IF('ATP Fills'!I1446="3M","",VLOOKUP(RIGHT('ATP Fills'!I1446,2),Helper1!$O$36:$P$48,2,0)))</f>
        <v/>
      </c>
      <c r="K1446" t="str">
        <f>IF(J1446="","",LEFT('ATP Fills'!I1446,4))</f>
        <v/>
      </c>
      <c r="L1446" t="str">
        <f>IF(A1446="","",IF('ATP Fills'!G1446="LME",'ATP Fills'!I1446,""))</f>
        <v/>
      </c>
      <c r="M1446" t="str">
        <f t="shared" si="22"/>
        <v/>
      </c>
    </row>
    <row r="1447" spans="1:13">
      <c r="A1447" t="str">
        <f>IF('ATP Fills'!A1447="","",IF('ATP Fills'!Q1447="PHILLIPSG",'ATP Fills'!F1447,""))</f>
        <v/>
      </c>
      <c r="B1447" t="str">
        <f>IF(A1447="","",'ATP Fills'!L1447)</f>
        <v/>
      </c>
      <c r="C1447" t="str">
        <f>IF(A1447="","",'ATP Fills'!M1447)</f>
        <v/>
      </c>
      <c r="D1447" t="str">
        <f>IF(A1447="","",'ATP Fills'!B1447)</f>
        <v/>
      </c>
      <c r="E1447" s="3" t="str">
        <f>IF(A1447="","",IF(DATE(LEFT(D1447,4),MID(D1447,5,2),RIGHT(D1447,2))=Helper1!$P$1,Helper1!$P$1,""))</f>
        <v/>
      </c>
      <c r="F1447" s="3" t="str">
        <f>IF(A1447="","",'ATP Fills'!G1447)</f>
        <v/>
      </c>
      <c r="G1447" t="str">
        <f>IF(A1447="","",'ATP Fills'!H1447)</f>
        <v/>
      </c>
      <c r="H1447" t="str">
        <f>IF(A1447="","",VLOOKUP(G1447,表3_3[],2,0))</f>
        <v/>
      </c>
      <c r="I1447" t="str">
        <f>IF(A1447="","",VLOOKUP(G1447,表3_3[],3,0))</f>
        <v/>
      </c>
      <c r="J1447" t="str">
        <f>IF(A1447="","",IF('ATP Fills'!I1447="3M","",VLOOKUP(RIGHT('ATP Fills'!I1447,2),Helper1!$O$36:$P$48,2,0)))</f>
        <v/>
      </c>
      <c r="K1447" t="str">
        <f>IF(J1447="","",LEFT('ATP Fills'!I1447,4))</f>
        <v/>
      </c>
      <c r="L1447" t="str">
        <f>IF(A1447="","",IF('ATP Fills'!G1447="LME",'ATP Fills'!I1447,""))</f>
        <v/>
      </c>
      <c r="M1447" t="str">
        <f t="shared" si="22"/>
        <v/>
      </c>
    </row>
    <row r="1448" spans="1:13">
      <c r="A1448" t="str">
        <f>IF('ATP Fills'!A1448="","",IF('ATP Fills'!Q1448="PHILLIPSG",'ATP Fills'!F1448,""))</f>
        <v/>
      </c>
      <c r="B1448" t="str">
        <f>IF(A1448="","",'ATP Fills'!L1448)</f>
        <v/>
      </c>
      <c r="C1448" t="str">
        <f>IF(A1448="","",'ATP Fills'!M1448)</f>
        <v/>
      </c>
      <c r="D1448" t="str">
        <f>IF(A1448="","",'ATP Fills'!B1448)</f>
        <v/>
      </c>
      <c r="E1448" s="3" t="str">
        <f>IF(A1448="","",IF(DATE(LEFT(D1448,4),MID(D1448,5,2),RIGHT(D1448,2))=Helper1!$P$1,Helper1!$P$1,""))</f>
        <v/>
      </c>
      <c r="F1448" s="3" t="str">
        <f>IF(A1448="","",'ATP Fills'!G1448)</f>
        <v/>
      </c>
      <c r="G1448" t="str">
        <f>IF(A1448="","",'ATP Fills'!H1448)</f>
        <v/>
      </c>
      <c r="H1448" t="str">
        <f>IF(A1448="","",VLOOKUP(G1448,表3_3[],2,0))</f>
        <v/>
      </c>
      <c r="I1448" t="str">
        <f>IF(A1448="","",VLOOKUP(G1448,表3_3[],3,0))</f>
        <v/>
      </c>
      <c r="J1448" t="str">
        <f>IF(A1448="","",IF('ATP Fills'!I1448="3M","",VLOOKUP(RIGHT('ATP Fills'!I1448,2),Helper1!$O$36:$P$48,2,0)))</f>
        <v/>
      </c>
      <c r="K1448" t="str">
        <f>IF(J1448="","",LEFT('ATP Fills'!I1448,4))</f>
        <v/>
      </c>
      <c r="L1448" t="str">
        <f>IF(A1448="","",IF('ATP Fills'!G1448="LME",'ATP Fills'!I1448,""))</f>
        <v/>
      </c>
      <c r="M1448" t="str">
        <f t="shared" si="22"/>
        <v/>
      </c>
    </row>
    <row r="1449" spans="1:13">
      <c r="A1449" t="str">
        <f>IF('ATP Fills'!A1449="","",IF('ATP Fills'!Q1449="PHILLIPSG",'ATP Fills'!F1449,""))</f>
        <v/>
      </c>
      <c r="B1449" t="str">
        <f>IF(A1449="","",'ATP Fills'!L1449)</f>
        <v/>
      </c>
      <c r="C1449" t="str">
        <f>IF(A1449="","",'ATP Fills'!M1449)</f>
        <v/>
      </c>
      <c r="D1449" t="str">
        <f>IF(A1449="","",'ATP Fills'!B1449)</f>
        <v/>
      </c>
      <c r="E1449" s="3" t="str">
        <f>IF(A1449="","",IF(DATE(LEFT(D1449,4),MID(D1449,5,2),RIGHT(D1449,2))=Helper1!$P$1,Helper1!$P$1,""))</f>
        <v/>
      </c>
      <c r="F1449" s="3" t="str">
        <f>IF(A1449="","",'ATP Fills'!G1449)</f>
        <v/>
      </c>
      <c r="G1449" t="str">
        <f>IF(A1449="","",'ATP Fills'!H1449)</f>
        <v/>
      </c>
      <c r="H1449" t="str">
        <f>IF(A1449="","",VLOOKUP(G1449,表3_3[],2,0))</f>
        <v/>
      </c>
      <c r="I1449" t="str">
        <f>IF(A1449="","",VLOOKUP(G1449,表3_3[],3,0))</f>
        <v/>
      </c>
      <c r="J1449" t="str">
        <f>IF(A1449="","",IF('ATP Fills'!I1449="3M","",VLOOKUP(RIGHT('ATP Fills'!I1449,2),Helper1!$O$36:$P$48,2,0)))</f>
        <v/>
      </c>
      <c r="K1449" t="str">
        <f>IF(J1449="","",LEFT('ATP Fills'!I1449,4))</f>
        <v/>
      </c>
      <c r="L1449" t="str">
        <f>IF(A1449="","",IF('ATP Fills'!G1449="LME",'ATP Fills'!I1449,""))</f>
        <v/>
      </c>
      <c r="M1449" t="str">
        <f t="shared" si="22"/>
        <v/>
      </c>
    </row>
    <row r="1450" spans="1:13">
      <c r="A1450" t="str">
        <f>IF('ATP Fills'!A1450="","",IF('ATP Fills'!Q1450="PHILLIPSG",'ATP Fills'!F1450,""))</f>
        <v/>
      </c>
      <c r="B1450" t="str">
        <f>IF(A1450="","",'ATP Fills'!L1450)</f>
        <v/>
      </c>
      <c r="C1450" t="str">
        <f>IF(A1450="","",'ATP Fills'!M1450)</f>
        <v/>
      </c>
      <c r="D1450" t="str">
        <f>IF(A1450="","",'ATP Fills'!B1450)</f>
        <v/>
      </c>
      <c r="E1450" s="3" t="str">
        <f>IF(A1450="","",IF(DATE(LEFT(D1450,4),MID(D1450,5,2),RIGHT(D1450,2))=Helper1!$P$1,Helper1!$P$1,""))</f>
        <v/>
      </c>
      <c r="F1450" s="3" t="str">
        <f>IF(A1450="","",'ATP Fills'!G1450)</f>
        <v/>
      </c>
      <c r="G1450" t="str">
        <f>IF(A1450="","",'ATP Fills'!H1450)</f>
        <v/>
      </c>
      <c r="H1450" t="str">
        <f>IF(A1450="","",VLOOKUP(G1450,表3_3[],2,0))</f>
        <v/>
      </c>
      <c r="I1450" t="str">
        <f>IF(A1450="","",VLOOKUP(G1450,表3_3[],3,0))</f>
        <v/>
      </c>
      <c r="J1450" t="str">
        <f>IF(A1450="","",IF('ATP Fills'!I1450="3M","",VLOOKUP(RIGHT('ATP Fills'!I1450,2),Helper1!$O$36:$P$48,2,0)))</f>
        <v/>
      </c>
      <c r="K1450" t="str">
        <f>IF(J1450="","",LEFT('ATP Fills'!I1450,4))</f>
        <v/>
      </c>
      <c r="L1450" t="str">
        <f>IF(A1450="","",IF('ATP Fills'!G1450="LME",'ATP Fills'!I1450,""))</f>
        <v/>
      </c>
      <c r="M1450" t="str">
        <f t="shared" si="22"/>
        <v/>
      </c>
    </row>
    <row r="1451" spans="1:13">
      <c r="A1451" t="str">
        <f>IF('ATP Fills'!A1451="","",IF('ATP Fills'!Q1451="PHILLIPSG",'ATP Fills'!F1451,""))</f>
        <v/>
      </c>
      <c r="B1451" t="str">
        <f>IF(A1451="","",'ATP Fills'!L1451)</f>
        <v/>
      </c>
      <c r="C1451" t="str">
        <f>IF(A1451="","",'ATP Fills'!M1451)</f>
        <v/>
      </c>
      <c r="D1451" t="str">
        <f>IF(A1451="","",'ATP Fills'!B1451)</f>
        <v/>
      </c>
      <c r="E1451" s="3" t="str">
        <f>IF(A1451="","",IF(DATE(LEFT(D1451,4),MID(D1451,5,2),RIGHT(D1451,2))=Helper1!$P$1,Helper1!$P$1,""))</f>
        <v/>
      </c>
      <c r="F1451" s="3" t="str">
        <f>IF(A1451="","",'ATP Fills'!G1451)</f>
        <v/>
      </c>
      <c r="G1451" t="str">
        <f>IF(A1451="","",'ATP Fills'!H1451)</f>
        <v/>
      </c>
      <c r="H1451" t="str">
        <f>IF(A1451="","",VLOOKUP(G1451,表3_3[],2,0))</f>
        <v/>
      </c>
      <c r="I1451" t="str">
        <f>IF(A1451="","",VLOOKUP(G1451,表3_3[],3,0))</f>
        <v/>
      </c>
      <c r="J1451" t="str">
        <f>IF(A1451="","",IF('ATP Fills'!I1451="3M","",VLOOKUP(RIGHT('ATP Fills'!I1451,2),Helper1!$O$36:$P$48,2,0)))</f>
        <v/>
      </c>
      <c r="K1451" t="str">
        <f>IF(J1451="","",LEFT('ATP Fills'!I1451,4))</f>
        <v/>
      </c>
      <c r="L1451" t="str">
        <f>IF(A1451="","",IF('ATP Fills'!G1451="LME",'ATP Fills'!I1451,""))</f>
        <v/>
      </c>
      <c r="M1451" t="str">
        <f t="shared" si="22"/>
        <v/>
      </c>
    </row>
    <row r="1452" spans="1:13">
      <c r="A1452" t="str">
        <f>IF('ATP Fills'!A1452="","",IF('ATP Fills'!Q1452="PHILLIPSG",'ATP Fills'!F1452,""))</f>
        <v/>
      </c>
      <c r="B1452" t="str">
        <f>IF(A1452="","",'ATP Fills'!L1452)</f>
        <v/>
      </c>
      <c r="C1452" t="str">
        <f>IF(A1452="","",'ATP Fills'!M1452)</f>
        <v/>
      </c>
      <c r="D1452" t="str">
        <f>IF(A1452="","",'ATP Fills'!B1452)</f>
        <v/>
      </c>
      <c r="E1452" s="3" t="str">
        <f>IF(A1452="","",IF(DATE(LEFT(D1452,4),MID(D1452,5,2),RIGHT(D1452,2))=Helper1!$P$1,Helper1!$P$1,""))</f>
        <v/>
      </c>
      <c r="F1452" s="3" t="str">
        <f>IF(A1452="","",'ATP Fills'!G1452)</f>
        <v/>
      </c>
      <c r="G1452" t="str">
        <f>IF(A1452="","",'ATP Fills'!H1452)</f>
        <v/>
      </c>
      <c r="H1452" t="str">
        <f>IF(A1452="","",VLOOKUP(G1452,表3_3[],2,0))</f>
        <v/>
      </c>
      <c r="I1452" t="str">
        <f>IF(A1452="","",VLOOKUP(G1452,表3_3[],3,0))</f>
        <v/>
      </c>
      <c r="J1452" t="str">
        <f>IF(A1452="","",IF('ATP Fills'!I1452="3M","",VLOOKUP(RIGHT('ATP Fills'!I1452,2),Helper1!$O$36:$P$48,2,0)))</f>
        <v/>
      </c>
      <c r="K1452" t="str">
        <f>IF(J1452="","",LEFT('ATP Fills'!I1452,4))</f>
        <v/>
      </c>
      <c r="L1452" t="str">
        <f>IF(A1452="","",IF('ATP Fills'!G1452="LME",'ATP Fills'!I1452,""))</f>
        <v/>
      </c>
      <c r="M1452" t="str">
        <f t="shared" si="22"/>
        <v/>
      </c>
    </row>
    <row r="1453" spans="1:13">
      <c r="A1453" t="str">
        <f>IF('ATP Fills'!A1453="","",IF('ATP Fills'!Q1453="PHILLIPSG",'ATP Fills'!F1453,""))</f>
        <v/>
      </c>
      <c r="B1453" t="str">
        <f>IF(A1453="","",'ATP Fills'!L1453)</f>
        <v/>
      </c>
      <c r="C1453" t="str">
        <f>IF(A1453="","",'ATP Fills'!M1453)</f>
        <v/>
      </c>
      <c r="D1453" t="str">
        <f>IF(A1453="","",'ATP Fills'!B1453)</f>
        <v/>
      </c>
      <c r="E1453" s="3" t="str">
        <f>IF(A1453="","",IF(DATE(LEFT(D1453,4),MID(D1453,5,2),RIGHT(D1453,2))=Helper1!$P$1,Helper1!$P$1,""))</f>
        <v/>
      </c>
      <c r="F1453" s="3" t="str">
        <f>IF(A1453="","",'ATP Fills'!G1453)</f>
        <v/>
      </c>
      <c r="G1453" t="str">
        <f>IF(A1453="","",'ATP Fills'!H1453)</f>
        <v/>
      </c>
      <c r="H1453" t="str">
        <f>IF(A1453="","",VLOOKUP(G1453,表3_3[],2,0))</f>
        <v/>
      </c>
      <c r="I1453" t="str">
        <f>IF(A1453="","",VLOOKUP(G1453,表3_3[],3,0))</f>
        <v/>
      </c>
      <c r="J1453" t="str">
        <f>IF(A1453="","",IF('ATP Fills'!I1453="3M","",VLOOKUP(RIGHT('ATP Fills'!I1453,2),Helper1!$O$36:$P$48,2,0)))</f>
        <v/>
      </c>
      <c r="K1453" t="str">
        <f>IF(J1453="","",LEFT('ATP Fills'!I1453,4))</f>
        <v/>
      </c>
      <c r="L1453" t="str">
        <f>IF(A1453="","",IF('ATP Fills'!G1453="LME",'ATP Fills'!I1453,""))</f>
        <v/>
      </c>
      <c r="M1453" t="str">
        <f t="shared" si="22"/>
        <v/>
      </c>
    </row>
    <row r="1454" spans="1:13">
      <c r="A1454" t="str">
        <f>IF('ATP Fills'!A1454="","",IF('ATP Fills'!Q1454="PHILLIPSG",'ATP Fills'!F1454,""))</f>
        <v/>
      </c>
      <c r="B1454" t="str">
        <f>IF(A1454="","",'ATP Fills'!L1454)</f>
        <v/>
      </c>
      <c r="C1454" t="str">
        <f>IF(A1454="","",'ATP Fills'!M1454)</f>
        <v/>
      </c>
      <c r="D1454" t="str">
        <f>IF(A1454="","",'ATP Fills'!B1454)</f>
        <v/>
      </c>
      <c r="E1454" s="3" t="str">
        <f>IF(A1454="","",IF(DATE(LEFT(D1454,4),MID(D1454,5,2),RIGHT(D1454,2))=Helper1!$P$1,Helper1!$P$1,""))</f>
        <v/>
      </c>
      <c r="F1454" s="3" t="str">
        <f>IF(A1454="","",'ATP Fills'!G1454)</f>
        <v/>
      </c>
      <c r="G1454" t="str">
        <f>IF(A1454="","",'ATP Fills'!H1454)</f>
        <v/>
      </c>
      <c r="H1454" t="str">
        <f>IF(A1454="","",VLOOKUP(G1454,表3_3[],2,0))</f>
        <v/>
      </c>
      <c r="I1454" t="str">
        <f>IF(A1454="","",VLOOKUP(G1454,表3_3[],3,0))</f>
        <v/>
      </c>
      <c r="J1454" t="str">
        <f>IF(A1454="","",IF('ATP Fills'!I1454="3M","",VLOOKUP(RIGHT('ATP Fills'!I1454,2),Helper1!$O$36:$P$48,2,0)))</f>
        <v/>
      </c>
      <c r="K1454" t="str">
        <f>IF(J1454="","",LEFT('ATP Fills'!I1454,4))</f>
        <v/>
      </c>
      <c r="L1454" t="str">
        <f>IF(A1454="","",IF('ATP Fills'!G1454="LME",'ATP Fills'!I1454,""))</f>
        <v/>
      </c>
      <c r="M1454" t="str">
        <f t="shared" si="22"/>
        <v/>
      </c>
    </row>
    <row r="1455" spans="1:13">
      <c r="A1455" t="str">
        <f>IF('ATP Fills'!A1455="","",IF('ATP Fills'!Q1455="PHILLIPSG",'ATP Fills'!F1455,""))</f>
        <v/>
      </c>
      <c r="B1455" t="str">
        <f>IF(A1455="","",'ATP Fills'!L1455)</f>
        <v/>
      </c>
      <c r="C1455" t="str">
        <f>IF(A1455="","",'ATP Fills'!M1455)</f>
        <v/>
      </c>
      <c r="D1455" t="str">
        <f>IF(A1455="","",'ATP Fills'!B1455)</f>
        <v/>
      </c>
      <c r="E1455" s="3" t="str">
        <f>IF(A1455="","",IF(DATE(LEFT(D1455,4),MID(D1455,5,2),RIGHT(D1455,2))=Helper1!$P$1,Helper1!$P$1,""))</f>
        <v/>
      </c>
      <c r="F1455" s="3" t="str">
        <f>IF(A1455="","",'ATP Fills'!G1455)</f>
        <v/>
      </c>
      <c r="G1455" t="str">
        <f>IF(A1455="","",'ATP Fills'!H1455)</f>
        <v/>
      </c>
      <c r="H1455" t="str">
        <f>IF(A1455="","",VLOOKUP(G1455,表3_3[],2,0))</f>
        <v/>
      </c>
      <c r="I1455" t="str">
        <f>IF(A1455="","",VLOOKUP(G1455,表3_3[],3,0))</f>
        <v/>
      </c>
      <c r="J1455" t="str">
        <f>IF(A1455="","",IF('ATP Fills'!I1455="3M","",VLOOKUP(RIGHT('ATP Fills'!I1455,2),Helper1!$O$36:$P$48,2,0)))</f>
        <v/>
      </c>
      <c r="K1455" t="str">
        <f>IF(J1455="","",LEFT('ATP Fills'!I1455,4))</f>
        <v/>
      </c>
      <c r="L1455" t="str">
        <f>IF(A1455="","",IF('ATP Fills'!G1455="LME",'ATP Fills'!I1455,""))</f>
        <v/>
      </c>
      <c r="M1455" t="str">
        <f t="shared" si="22"/>
        <v/>
      </c>
    </row>
    <row r="1456" spans="1:13">
      <c r="A1456" t="str">
        <f>IF('ATP Fills'!A1456="","",IF('ATP Fills'!Q1456="PHILLIPSG",'ATP Fills'!F1456,""))</f>
        <v/>
      </c>
      <c r="B1456" t="str">
        <f>IF(A1456="","",'ATP Fills'!L1456)</f>
        <v/>
      </c>
      <c r="C1456" t="str">
        <f>IF(A1456="","",'ATP Fills'!M1456)</f>
        <v/>
      </c>
      <c r="D1456" t="str">
        <f>IF(A1456="","",'ATP Fills'!B1456)</f>
        <v/>
      </c>
      <c r="E1456" s="3" t="str">
        <f>IF(A1456="","",IF(DATE(LEFT(D1456,4),MID(D1456,5,2),RIGHT(D1456,2))=Helper1!$P$1,Helper1!$P$1,""))</f>
        <v/>
      </c>
      <c r="F1456" s="3" t="str">
        <f>IF(A1456="","",'ATP Fills'!G1456)</f>
        <v/>
      </c>
      <c r="G1456" t="str">
        <f>IF(A1456="","",'ATP Fills'!H1456)</f>
        <v/>
      </c>
      <c r="H1456" t="str">
        <f>IF(A1456="","",VLOOKUP(G1456,表3_3[],2,0))</f>
        <v/>
      </c>
      <c r="I1456" t="str">
        <f>IF(A1456="","",VLOOKUP(G1456,表3_3[],3,0))</f>
        <v/>
      </c>
      <c r="J1456" t="str">
        <f>IF(A1456="","",IF('ATP Fills'!I1456="3M","",VLOOKUP(RIGHT('ATP Fills'!I1456,2),Helper1!$O$36:$P$48,2,0)))</f>
        <v/>
      </c>
      <c r="K1456" t="str">
        <f>IF(J1456="","",LEFT('ATP Fills'!I1456,4))</f>
        <v/>
      </c>
      <c r="L1456" t="str">
        <f>IF(A1456="","",IF('ATP Fills'!G1456="LME",'ATP Fills'!I1456,""))</f>
        <v/>
      </c>
      <c r="M1456" t="str">
        <f t="shared" si="22"/>
        <v/>
      </c>
    </row>
    <row r="1457" spans="1:13">
      <c r="A1457" t="str">
        <f>IF('ATP Fills'!A1457="","",IF('ATP Fills'!Q1457="PHILLIPSG",'ATP Fills'!F1457,""))</f>
        <v/>
      </c>
      <c r="B1457" t="str">
        <f>IF(A1457="","",'ATP Fills'!L1457)</f>
        <v/>
      </c>
      <c r="C1457" t="str">
        <f>IF(A1457="","",'ATP Fills'!M1457)</f>
        <v/>
      </c>
      <c r="D1457" t="str">
        <f>IF(A1457="","",'ATP Fills'!B1457)</f>
        <v/>
      </c>
      <c r="E1457" s="3" t="str">
        <f>IF(A1457="","",IF(DATE(LEFT(D1457,4),MID(D1457,5,2),RIGHT(D1457,2))=Helper1!$P$1,Helper1!$P$1,""))</f>
        <v/>
      </c>
      <c r="F1457" s="3" t="str">
        <f>IF(A1457="","",'ATP Fills'!G1457)</f>
        <v/>
      </c>
      <c r="G1457" t="str">
        <f>IF(A1457="","",'ATP Fills'!H1457)</f>
        <v/>
      </c>
      <c r="H1457" t="str">
        <f>IF(A1457="","",VLOOKUP(G1457,表3_3[],2,0))</f>
        <v/>
      </c>
      <c r="I1457" t="str">
        <f>IF(A1457="","",VLOOKUP(G1457,表3_3[],3,0))</f>
        <v/>
      </c>
      <c r="J1457" t="str">
        <f>IF(A1457="","",IF('ATP Fills'!I1457="3M","",VLOOKUP(RIGHT('ATP Fills'!I1457,2),Helper1!$O$36:$P$48,2,0)))</f>
        <v/>
      </c>
      <c r="K1457" t="str">
        <f>IF(J1457="","",LEFT('ATP Fills'!I1457,4))</f>
        <v/>
      </c>
      <c r="L1457" t="str">
        <f>IF(A1457="","",IF('ATP Fills'!G1457="LME",'ATP Fills'!I1457,""))</f>
        <v/>
      </c>
      <c r="M1457" t="str">
        <f t="shared" si="22"/>
        <v/>
      </c>
    </row>
    <row r="1458" spans="1:13">
      <c r="A1458" t="str">
        <f>IF('ATP Fills'!A1458="","",IF('ATP Fills'!Q1458="PHILLIPSG",'ATP Fills'!F1458,""))</f>
        <v/>
      </c>
      <c r="B1458" t="str">
        <f>IF(A1458="","",'ATP Fills'!L1458)</f>
        <v/>
      </c>
      <c r="C1458" t="str">
        <f>IF(A1458="","",'ATP Fills'!M1458)</f>
        <v/>
      </c>
      <c r="D1458" t="str">
        <f>IF(A1458="","",'ATP Fills'!B1458)</f>
        <v/>
      </c>
      <c r="E1458" s="3" t="str">
        <f>IF(A1458="","",IF(DATE(LEFT(D1458,4),MID(D1458,5,2),RIGHT(D1458,2))=Helper1!$P$1,Helper1!$P$1,""))</f>
        <v/>
      </c>
      <c r="F1458" s="3" t="str">
        <f>IF(A1458="","",'ATP Fills'!G1458)</f>
        <v/>
      </c>
      <c r="G1458" t="str">
        <f>IF(A1458="","",'ATP Fills'!H1458)</f>
        <v/>
      </c>
      <c r="H1458" t="str">
        <f>IF(A1458="","",VLOOKUP(G1458,表3_3[],2,0))</f>
        <v/>
      </c>
      <c r="I1458" t="str">
        <f>IF(A1458="","",VLOOKUP(G1458,表3_3[],3,0))</f>
        <v/>
      </c>
      <c r="J1458" t="str">
        <f>IF(A1458="","",IF('ATP Fills'!I1458="3M","",VLOOKUP(RIGHT('ATP Fills'!I1458,2),Helper1!$O$36:$P$48,2,0)))</f>
        <v/>
      </c>
      <c r="K1458" t="str">
        <f>IF(J1458="","",LEFT('ATP Fills'!I1458,4))</f>
        <v/>
      </c>
      <c r="L1458" t="str">
        <f>IF(A1458="","",IF('ATP Fills'!G1458="LME",'ATP Fills'!I1458,""))</f>
        <v/>
      </c>
      <c r="M1458" t="str">
        <f t="shared" si="22"/>
        <v/>
      </c>
    </row>
    <row r="1459" spans="1:13">
      <c r="A1459" t="str">
        <f>IF('ATP Fills'!A1459="","",IF('ATP Fills'!Q1459="PHILLIPSG",'ATP Fills'!F1459,""))</f>
        <v/>
      </c>
      <c r="B1459" t="str">
        <f>IF(A1459="","",'ATP Fills'!L1459)</f>
        <v/>
      </c>
      <c r="C1459" t="str">
        <f>IF(A1459="","",'ATP Fills'!M1459)</f>
        <v/>
      </c>
      <c r="D1459" t="str">
        <f>IF(A1459="","",'ATP Fills'!B1459)</f>
        <v/>
      </c>
      <c r="E1459" s="3" t="str">
        <f>IF(A1459="","",IF(DATE(LEFT(D1459,4),MID(D1459,5,2),RIGHT(D1459,2))=Helper1!$P$1,Helper1!$P$1,""))</f>
        <v/>
      </c>
      <c r="F1459" s="3" t="str">
        <f>IF(A1459="","",'ATP Fills'!G1459)</f>
        <v/>
      </c>
      <c r="G1459" t="str">
        <f>IF(A1459="","",'ATP Fills'!H1459)</f>
        <v/>
      </c>
      <c r="H1459" t="str">
        <f>IF(A1459="","",VLOOKUP(G1459,表3_3[],2,0))</f>
        <v/>
      </c>
      <c r="I1459" t="str">
        <f>IF(A1459="","",VLOOKUP(G1459,表3_3[],3,0))</f>
        <v/>
      </c>
      <c r="J1459" t="str">
        <f>IF(A1459="","",IF('ATP Fills'!I1459="3M","",VLOOKUP(RIGHT('ATP Fills'!I1459,2),Helper1!$O$36:$P$48,2,0)))</f>
        <v/>
      </c>
      <c r="K1459" t="str">
        <f>IF(J1459="","",LEFT('ATP Fills'!I1459,4))</f>
        <v/>
      </c>
      <c r="L1459" t="str">
        <f>IF(A1459="","",IF('ATP Fills'!G1459="LME",'ATP Fills'!I1459,""))</f>
        <v/>
      </c>
      <c r="M1459" t="str">
        <f t="shared" si="22"/>
        <v/>
      </c>
    </row>
    <row r="1460" spans="1:13">
      <c r="A1460" t="str">
        <f>IF('ATP Fills'!A1460="","",IF('ATP Fills'!Q1460="PHILLIPSG",'ATP Fills'!F1460,""))</f>
        <v/>
      </c>
      <c r="B1460" t="str">
        <f>IF(A1460="","",'ATP Fills'!L1460)</f>
        <v/>
      </c>
      <c r="C1460" t="str">
        <f>IF(A1460="","",'ATP Fills'!M1460)</f>
        <v/>
      </c>
      <c r="D1460" t="str">
        <f>IF(A1460="","",'ATP Fills'!B1460)</f>
        <v/>
      </c>
      <c r="E1460" s="3" t="str">
        <f>IF(A1460="","",IF(DATE(LEFT(D1460,4),MID(D1460,5,2),RIGHT(D1460,2))=Helper1!$P$1,Helper1!$P$1,""))</f>
        <v/>
      </c>
      <c r="F1460" s="3" t="str">
        <f>IF(A1460="","",'ATP Fills'!G1460)</f>
        <v/>
      </c>
      <c r="G1460" t="str">
        <f>IF(A1460="","",'ATP Fills'!H1460)</f>
        <v/>
      </c>
      <c r="H1460" t="str">
        <f>IF(A1460="","",VLOOKUP(G1460,表3_3[],2,0))</f>
        <v/>
      </c>
      <c r="I1460" t="str">
        <f>IF(A1460="","",VLOOKUP(G1460,表3_3[],3,0))</f>
        <v/>
      </c>
      <c r="J1460" t="str">
        <f>IF(A1460="","",IF('ATP Fills'!I1460="3M","",VLOOKUP(RIGHT('ATP Fills'!I1460,2),Helper1!$O$36:$P$48,2,0)))</f>
        <v/>
      </c>
      <c r="K1460" t="str">
        <f>IF(J1460="","",LEFT('ATP Fills'!I1460,4))</f>
        <v/>
      </c>
      <c r="L1460" t="str">
        <f>IF(A1460="","",IF('ATP Fills'!G1460="LME",'ATP Fills'!I1460,""))</f>
        <v/>
      </c>
      <c r="M1460" t="str">
        <f t="shared" si="22"/>
        <v/>
      </c>
    </row>
    <row r="1461" spans="1:13">
      <c r="A1461" t="str">
        <f>IF('ATP Fills'!A1461="","",IF('ATP Fills'!Q1461="PHILLIPSG",'ATP Fills'!F1461,""))</f>
        <v/>
      </c>
      <c r="B1461" t="str">
        <f>IF(A1461="","",'ATP Fills'!L1461)</f>
        <v/>
      </c>
      <c r="C1461" t="str">
        <f>IF(A1461="","",'ATP Fills'!M1461)</f>
        <v/>
      </c>
      <c r="D1461" t="str">
        <f>IF(A1461="","",'ATP Fills'!B1461)</f>
        <v/>
      </c>
      <c r="E1461" s="3" t="str">
        <f>IF(A1461="","",IF(DATE(LEFT(D1461,4),MID(D1461,5,2),RIGHT(D1461,2))=Helper1!$P$1,Helper1!$P$1,""))</f>
        <v/>
      </c>
      <c r="F1461" s="3" t="str">
        <f>IF(A1461="","",'ATP Fills'!G1461)</f>
        <v/>
      </c>
      <c r="G1461" t="str">
        <f>IF(A1461="","",'ATP Fills'!H1461)</f>
        <v/>
      </c>
      <c r="H1461" t="str">
        <f>IF(A1461="","",VLOOKUP(G1461,表3_3[],2,0))</f>
        <v/>
      </c>
      <c r="I1461" t="str">
        <f>IF(A1461="","",VLOOKUP(G1461,表3_3[],3,0))</f>
        <v/>
      </c>
      <c r="J1461" t="str">
        <f>IF(A1461="","",IF('ATP Fills'!I1461="3M","",VLOOKUP(RIGHT('ATP Fills'!I1461,2),Helper1!$O$36:$P$48,2,0)))</f>
        <v/>
      </c>
      <c r="K1461" t="str">
        <f>IF(J1461="","",LEFT('ATP Fills'!I1461,4))</f>
        <v/>
      </c>
      <c r="L1461" t="str">
        <f>IF(A1461="","",IF('ATP Fills'!G1461="LME",'ATP Fills'!I1461,""))</f>
        <v/>
      </c>
      <c r="M1461" t="str">
        <f t="shared" si="22"/>
        <v/>
      </c>
    </row>
    <row r="1462" spans="1:13">
      <c r="A1462" t="str">
        <f>IF('ATP Fills'!A1462="","",IF('ATP Fills'!Q1462="PHILLIPSG",'ATP Fills'!F1462,""))</f>
        <v/>
      </c>
      <c r="B1462" t="str">
        <f>IF(A1462="","",'ATP Fills'!L1462)</f>
        <v/>
      </c>
      <c r="C1462" t="str">
        <f>IF(A1462="","",'ATP Fills'!M1462)</f>
        <v/>
      </c>
      <c r="D1462" t="str">
        <f>IF(A1462="","",'ATP Fills'!B1462)</f>
        <v/>
      </c>
      <c r="E1462" s="3" t="str">
        <f>IF(A1462="","",IF(DATE(LEFT(D1462,4),MID(D1462,5,2),RIGHT(D1462,2))=Helper1!$P$1,Helper1!$P$1,""))</f>
        <v/>
      </c>
      <c r="F1462" s="3" t="str">
        <f>IF(A1462="","",'ATP Fills'!G1462)</f>
        <v/>
      </c>
      <c r="G1462" t="str">
        <f>IF(A1462="","",'ATP Fills'!H1462)</f>
        <v/>
      </c>
      <c r="H1462" t="str">
        <f>IF(A1462="","",VLOOKUP(G1462,表3_3[],2,0))</f>
        <v/>
      </c>
      <c r="I1462" t="str">
        <f>IF(A1462="","",VLOOKUP(G1462,表3_3[],3,0))</f>
        <v/>
      </c>
      <c r="J1462" t="str">
        <f>IF(A1462="","",IF('ATP Fills'!I1462="3M","",VLOOKUP(RIGHT('ATP Fills'!I1462,2),Helper1!$O$36:$P$48,2,0)))</f>
        <v/>
      </c>
      <c r="K1462" t="str">
        <f>IF(J1462="","",LEFT('ATP Fills'!I1462,4))</f>
        <v/>
      </c>
      <c r="L1462" t="str">
        <f>IF(A1462="","",IF('ATP Fills'!G1462="LME",'ATP Fills'!I1462,""))</f>
        <v/>
      </c>
      <c r="M1462" t="str">
        <f t="shared" si="22"/>
        <v/>
      </c>
    </row>
    <row r="1463" spans="1:13">
      <c r="A1463" t="str">
        <f>IF('ATP Fills'!A1463="","",IF('ATP Fills'!Q1463="PHILLIPSG",'ATP Fills'!F1463,""))</f>
        <v/>
      </c>
      <c r="B1463" t="str">
        <f>IF(A1463="","",'ATP Fills'!L1463)</f>
        <v/>
      </c>
      <c r="C1463" t="str">
        <f>IF(A1463="","",'ATP Fills'!M1463)</f>
        <v/>
      </c>
      <c r="D1463" t="str">
        <f>IF(A1463="","",'ATP Fills'!B1463)</f>
        <v/>
      </c>
      <c r="E1463" s="3" t="str">
        <f>IF(A1463="","",IF(DATE(LEFT(D1463,4),MID(D1463,5,2),RIGHT(D1463,2))=Helper1!$P$1,Helper1!$P$1,""))</f>
        <v/>
      </c>
      <c r="F1463" s="3" t="str">
        <f>IF(A1463="","",'ATP Fills'!G1463)</f>
        <v/>
      </c>
      <c r="G1463" t="str">
        <f>IF(A1463="","",'ATP Fills'!H1463)</f>
        <v/>
      </c>
      <c r="H1463" t="str">
        <f>IF(A1463="","",VLOOKUP(G1463,表3_3[],2,0))</f>
        <v/>
      </c>
      <c r="I1463" t="str">
        <f>IF(A1463="","",VLOOKUP(G1463,表3_3[],3,0))</f>
        <v/>
      </c>
      <c r="J1463" t="str">
        <f>IF(A1463="","",IF('ATP Fills'!I1463="3M","",VLOOKUP(RIGHT('ATP Fills'!I1463,2),Helper1!$O$36:$P$48,2,0)))</f>
        <v/>
      </c>
      <c r="K1463" t="str">
        <f>IF(J1463="","",LEFT('ATP Fills'!I1463,4))</f>
        <v/>
      </c>
      <c r="L1463" t="str">
        <f>IF(A1463="","",IF('ATP Fills'!G1463="LME",'ATP Fills'!I1463,""))</f>
        <v/>
      </c>
      <c r="M1463" t="str">
        <f t="shared" si="22"/>
        <v/>
      </c>
    </row>
    <row r="1464" spans="1:13">
      <c r="A1464" t="str">
        <f>IF('ATP Fills'!A1464="","",IF('ATP Fills'!Q1464="PHILLIPSG",'ATP Fills'!F1464,""))</f>
        <v/>
      </c>
      <c r="B1464" t="str">
        <f>IF(A1464="","",'ATP Fills'!L1464)</f>
        <v/>
      </c>
      <c r="C1464" t="str">
        <f>IF(A1464="","",'ATP Fills'!M1464)</f>
        <v/>
      </c>
      <c r="D1464" t="str">
        <f>IF(A1464="","",'ATP Fills'!B1464)</f>
        <v/>
      </c>
      <c r="E1464" s="3" t="str">
        <f>IF(A1464="","",IF(DATE(LEFT(D1464,4),MID(D1464,5,2),RIGHT(D1464,2))=Helper1!$P$1,Helper1!$P$1,""))</f>
        <v/>
      </c>
      <c r="F1464" s="3" t="str">
        <f>IF(A1464="","",'ATP Fills'!G1464)</f>
        <v/>
      </c>
      <c r="G1464" t="str">
        <f>IF(A1464="","",'ATP Fills'!H1464)</f>
        <v/>
      </c>
      <c r="H1464" t="str">
        <f>IF(A1464="","",VLOOKUP(G1464,表3_3[],2,0))</f>
        <v/>
      </c>
      <c r="I1464" t="str">
        <f>IF(A1464="","",VLOOKUP(G1464,表3_3[],3,0))</f>
        <v/>
      </c>
      <c r="J1464" t="str">
        <f>IF(A1464="","",IF('ATP Fills'!I1464="3M","",VLOOKUP(RIGHT('ATP Fills'!I1464,2),Helper1!$O$36:$P$48,2,0)))</f>
        <v/>
      </c>
      <c r="K1464" t="str">
        <f>IF(J1464="","",LEFT('ATP Fills'!I1464,4))</f>
        <v/>
      </c>
      <c r="L1464" t="str">
        <f>IF(A1464="","",IF('ATP Fills'!G1464="LME",'ATP Fills'!I1464,""))</f>
        <v/>
      </c>
      <c r="M1464" t="str">
        <f t="shared" si="22"/>
        <v/>
      </c>
    </row>
    <row r="1465" spans="1:13">
      <c r="A1465" t="str">
        <f>IF('ATP Fills'!A1465="","",IF('ATP Fills'!Q1465="PHILLIPSG",'ATP Fills'!F1465,""))</f>
        <v/>
      </c>
      <c r="B1465" t="str">
        <f>IF(A1465="","",'ATP Fills'!L1465)</f>
        <v/>
      </c>
      <c r="C1465" t="str">
        <f>IF(A1465="","",'ATP Fills'!M1465)</f>
        <v/>
      </c>
      <c r="D1465" t="str">
        <f>IF(A1465="","",'ATP Fills'!B1465)</f>
        <v/>
      </c>
      <c r="E1465" s="3" t="str">
        <f>IF(A1465="","",IF(DATE(LEFT(D1465,4),MID(D1465,5,2),RIGHT(D1465,2))=Helper1!$P$1,Helper1!$P$1,""))</f>
        <v/>
      </c>
      <c r="F1465" s="3" t="str">
        <f>IF(A1465="","",'ATP Fills'!G1465)</f>
        <v/>
      </c>
      <c r="G1465" t="str">
        <f>IF(A1465="","",'ATP Fills'!H1465)</f>
        <v/>
      </c>
      <c r="H1465" t="str">
        <f>IF(A1465="","",VLOOKUP(G1465,表3_3[],2,0))</f>
        <v/>
      </c>
      <c r="I1465" t="str">
        <f>IF(A1465="","",VLOOKUP(G1465,表3_3[],3,0))</f>
        <v/>
      </c>
      <c r="J1465" t="str">
        <f>IF(A1465="","",IF('ATP Fills'!I1465="3M","",VLOOKUP(RIGHT('ATP Fills'!I1465,2),Helper1!$O$36:$P$48,2,0)))</f>
        <v/>
      </c>
      <c r="K1465" t="str">
        <f>IF(J1465="","",LEFT('ATP Fills'!I1465,4))</f>
        <v/>
      </c>
      <c r="L1465" t="str">
        <f>IF(A1465="","",IF('ATP Fills'!G1465="LME",'ATP Fills'!I1465,""))</f>
        <v/>
      </c>
      <c r="M1465" t="str">
        <f t="shared" si="22"/>
        <v/>
      </c>
    </row>
    <row r="1466" spans="1:13">
      <c r="A1466" t="str">
        <f>IF('ATP Fills'!A1466="","",IF('ATP Fills'!Q1466="PHILLIPSG",'ATP Fills'!F1466,""))</f>
        <v/>
      </c>
      <c r="B1466" t="str">
        <f>IF(A1466="","",'ATP Fills'!L1466)</f>
        <v/>
      </c>
      <c r="C1466" t="str">
        <f>IF(A1466="","",'ATP Fills'!M1466)</f>
        <v/>
      </c>
      <c r="D1466" t="str">
        <f>IF(A1466="","",'ATP Fills'!B1466)</f>
        <v/>
      </c>
      <c r="E1466" s="3" t="str">
        <f>IF(A1466="","",IF(DATE(LEFT(D1466,4),MID(D1466,5,2),RIGHT(D1466,2))=Helper1!$P$1,Helper1!$P$1,""))</f>
        <v/>
      </c>
      <c r="F1466" s="3" t="str">
        <f>IF(A1466="","",'ATP Fills'!G1466)</f>
        <v/>
      </c>
      <c r="G1466" t="str">
        <f>IF(A1466="","",'ATP Fills'!H1466)</f>
        <v/>
      </c>
      <c r="H1466" t="str">
        <f>IF(A1466="","",VLOOKUP(G1466,表3_3[],2,0))</f>
        <v/>
      </c>
      <c r="I1466" t="str">
        <f>IF(A1466="","",VLOOKUP(G1466,表3_3[],3,0))</f>
        <v/>
      </c>
      <c r="J1466" t="str">
        <f>IF(A1466="","",IF('ATP Fills'!I1466="3M","",VLOOKUP(RIGHT('ATP Fills'!I1466,2),Helper1!$O$36:$P$48,2,0)))</f>
        <v/>
      </c>
      <c r="K1466" t="str">
        <f>IF(J1466="","",LEFT('ATP Fills'!I1466,4))</f>
        <v/>
      </c>
      <c r="L1466" t="str">
        <f>IF(A1466="","",IF('ATP Fills'!G1466="LME",'ATP Fills'!I1466,""))</f>
        <v/>
      </c>
      <c r="M1466" t="str">
        <f t="shared" si="22"/>
        <v/>
      </c>
    </row>
    <row r="1467" spans="1:13">
      <c r="A1467" t="str">
        <f>IF('ATP Fills'!A1467="","",IF('ATP Fills'!Q1467="PHILLIPSG",'ATP Fills'!F1467,""))</f>
        <v/>
      </c>
      <c r="B1467" t="str">
        <f>IF(A1467="","",'ATP Fills'!L1467)</f>
        <v/>
      </c>
      <c r="C1467" t="str">
        <f>IF(A1467="","",'ATP Fills'!M1467)</f>
        <v/>
      </c>
      <c r="D1467" t="str">
        <f>IF(A1467="","",'ATP Fills'!B1467)</f>
        <v/>
      </c>
      <c r="E1467" s="3" t="str">
        <f>IF(A1467="","",IF(DATE(LEFT(D1467,4),MID(D1467,5,2),RIGHT(D1467,2))=Helper1!$P$1,Helper1!$P$1,""))</f>
        <v/>
      </c>
      <c r="F1467" s="3" t="str">
        <f>IF(A1467="","",'ATP Fills'!G1467)</f>
        <v/>
      </c>
      <c r="G1467" t="str">
        <f>IF(A1467="","",'ATP Fills'!H1467)</f>
        <v/>
      </c>
      <c r="H1467" t="str">
        <f>IF(A1467="","",VLOOKUP(G1467,表3_3[],2,0))</f>
        <v/>
      </c>
      <c r="I1467" t="str">
        <f>IF(A1467="","",VLOOKUP(G1467,表3_3[],3,0))</f>
        <v/>
      </c>
      <c r="J1467" t="str">
        <f>IF(A1467="","",IF('ATP Fills'!I1467="3M","",VLOOKUP(RIGHT('ATP Fills'!I1467,2),Helper1!$O$36:$P$48,2,0)))</f>
        <v/>
      </c>
      <c r="K1467" t="str">
        <f>IF(J1467="","",LEFT('ATP Fills'!I1467,4))</f>
        <v/>
      </c>
      <c r="L1467" t="str">
        <f>IF(A1467="","",IF('ATP Fills'!G1467="LME",'ATP Fills'!I1467,""))</f>
        <v/>
      </c>
      <c r="M1467" t="str">
        <f t="shared" si="22"/>
        <v/>
      </c>
    </row>
    <row r="1468" spans="1:13">
      <c r="A1468" t="str">
        <f>IF('ATP Fills'!A1468="","",IF('ATP Fills'!Q1468="PHILLIPSG",'ATP Fills'!F1468,""))</f>
        <v/>
      </c>
      <c r="B1468" t="str">
        <f>IF(A1468="","",'ATP Fills'!L1468)</f>
        <v/>
      </c>
      <c r="C1468" t="str">
        <f>IF(A1468="","",'ATP Fills'!M1468)</f>
        <v/>
      </c>
      <c r="D1468" t="str">
        <f>IF(A1468="","",'ATP Fills'!B1468)</f>
        <v/>
      </c>
      <c r="E1468" s="3" t="str">
        <f>IF(A1468="","",IF(DATE(LEFT(D1468,4),MID(D1468,5,2),RIGHT(D1468,2))=Helper1!$P$1,Helper1!$P$1,""))</f>
        <v/>
      </c>
      <c r="F1468" s="3" t="str">
        <f>IF(A1468="","",'ATP Fills'!G1468)</f>
        <v/>
      </c>
      <c r="G1468" t="str">
        <f>IF(A1468="","",'ATP Fills'!H1468)</f>
        <v/>
      </c>
      <c r="H1468" t="str">
        <f>IF(A1468="","",VLOOKUP(G1468,表3_3[],2,0))</f>
        <v/>
      </c>
      <c r="I1468" t="str">
        <f>IF(A1468="","",VLOOKUP(G1468,表3_3[],3,0))</f>
        <v/>
      </c>
      <c r="J1468" t="str">
        <f>IF(A1468="","",IF('ATP Fills'!I1468="3M","",VLOOKUP(RIGHT('ATP Fills'!I1468,2),Helper1!$O$36:$P$48,2,0)))</f>
        <v/>
      </c>
      <c r="K1468" t="str">
        <f>IF(J1468="","",LEFT('ATP Fills'!I1468,4))</f>
        <v/>
      </c>
      <c r="L1468" t="str">
        <f>IF(A1468="","",IF('ATP Fills'!G1468="LME",'ATP Fills'!I1468,""))</f>
        <v/>
      </c>
      <c r="M1468" t="str">
        <f t="shared" si="22"/>
        <v/>
      </c>
    </row>
    <row r="1469" spans="1:13">
      <c r="A1469" t="str">
        <f>IF('ATP Fills'!A1469="","",IF('ATP Fills'!Q1469="PHILLIPSG",'ATP Fills'!F1469,""))</f>
        <v/>
      </c>
      <c r="B1469" t="str">
        <f>IF(A1469="","",'ATP Fills'!L1469)</f>
        <v/>
      </c>
      <c r="C1469" t="str">
        <f>IF(A1469="","",'ATP Fills'!M1469)</f>
        <v/>
      </c>
      <c r="D1469" t="str">
        <f>IF(A1469="","",'ATP Fills'!B1469)</f>
        <v/>
      </c>
      <c r="E1469" s="3" t="str">
        <f>IF(A1469="","",IF(DATE(LEFT(D1469,4),MID(D1469,5,2),RIGHT(D1469,2))=Helper1!$P$1,Helper1!$P$1,""))</f>
        <v/>
      </c>
      <c r="F1469" s="3" t="str">
        <f>IF(A1469="","",'ATP Fills'!G1469)</f>
        <v/>
      </c>
      <c r="G1469" t="str">
        <f>IF(A1469="","",'ATP Fills'!H1469)</f>
        <v/>
      </c>
      <c r="H1469" t="str">
        <f>IF(A1469="","",VLOOKUP(G1469,表3_3[],2,0))</f>
        <v/>
      </c>
      <c r="I1469" t="str">
        <f>IF(A1469="","",VLOOKUP(G1469,表3_3[],3,0))</f>
        <v/>
      </c>
      <c r="J1469" t="str">
        <f>IF(A1469="","",IF('ATP Fills'!I1469="3M","",VLOOKUP(RIGHT('ATP Fills'!I1469,2),Helper1!$O$36:$P$48,2,0)))</f>
        <v/>
      </c>
      <c r="K1469" t="str">
        <f>IF(J1469="","",LEFT('ATP Fills'!I1469,4))</f>
        <v/>
      </c>
      <c r="L1469" t="str">
        <f>IF(A1469="","",IF('ATP Fills'!G1469="LME",'ATP Fills'!I1469,""))</f>
        <v/>
      </c>
      <c r="M1469" t="str">
        <f t="shared" si="22"/>
        <v/>
      </c>
    </row>
    <row r="1470" spans="1:13">
      <c r="A1470" t="str">
        <f>IF('ATP Fills'!A1470="","",IF('ATP Fills'!Q1470="PHILLIPSG",'ATP Fills'!F1470,""))</f>
        <v/>
      </c>
      <c r="B1470" t="str">
        <f>IF(A1470="","",'ATP Fills'!L1470)</f>
        <v/>
      </c>
      <c r="C1470" t="str">
        <f>IF(A1470="","",'ATP Fills'!M1470)</f>
        <v/>
      </c>
      <c r="D1470" t="str">
        <f>IF(A1470="","",'ATP Fills'!B1470)</f>
        <v/>
      </c>
      <c r="E1470" s="3" t="str">
        <f>IF(A1470="","",IF(DATE(LEFT(D1470,4),MID(D1470,5,2),RIGHT(D1470,2))=Helper1!$P$1,Helper1!$P$1,""))</f>
        <v/>
      </c>
      <c r="F1470" s="3" t="str">
        <f>IF(A1470="","",'ATP Fills'!G1470)</f>
        <v/>
      </c>
      <c r="G1470" t="str">
        <f>IF(A1470="","",'ATP Fills'!H1470)</f>
        <v/>
      </c>
      <c r="H1470" t="str">
        <f>IF(A1470="","",VLOOKUP(G1470,表3_3[],2,0))</f>
        <v/>
      </c>
      <c r="I1470" t="str">
        <f>IF(A1470="","",VLOOKUP(G1470,表3_3[],3,0))</f>
        <v/>
      </c>
      <c r="J1470" t="str">
        <f>IF(A1470="","",IF('ATP Fills'!I1470="3M","",VLOOKUP(RIGHT('ATP Fills'!I1470,2),Helper1!$O$36:$P$48,2,0)))</f>
        <v/>
      </c>
      <c r="K1470" t="str">
        <f>IF(J1470="","",LEFT('ATP Fills'!I1470,4))</f>
        <v/>
      </c>
      <c r="L1470" t="str">
        <f>IF(A1470="","",IF('ATP Fills'!G1470="LME",'ATP Fills'!I1470,""))</f>
        <v/>
      </c>
      <c r="M1470" t="str">
        <f t="shared" si="22"/>
        <v/>
      </c>
    </row>
    <row r="1471" spans="1:13">
      <c r="A1471" t="str">
        <f>IF('ATP Fills'!A1471="","",IF('ATP Fills'!Q1471="PHILLIPSG",'ATP Fills'!F1471,""))</f>
        <v/>
      </c>
      <c r="B1471" t="str">
        <f>IF(A1471="","",'ATP Fills'!L1471)</f>
        <v/>
      </c>
      <c r="C1471" t="str">
        <f>IF(A1471="","",'ATP Fills'!M1471)</f>
        <v/>
      </c>
      <c r="D1471" t="str">
        <f>IF(A1471="","",'ATP Fills'!B1471)</f>
        <v/>
      </c>
      <c r="E1471" s="3" t="str">
        <f>IF(A1471="","",IF(DATE(LEFT(D1471,4),MID(D1471,5,2),RIGHT(D1471,2))=Helper1!$P$1,Helper1!$P$1,""))</f>
        <v/>
      </c>
      <c r="F1471" s="3" t="str">
        <f>IF(A1471="","",'ATP Fills'!G1471)</f>
        <v/>
      </c>
      <c r="G1471" t="str">
        <f>IF(A1471="","",'ATP Fills'!H1471)</f>
        <v/>
      </c>
      <c r="H1471" t="str">
        <f>IF(A1471="","",VLOOKUP(G1471,表3_3[],2,0))</f>
        <v/>
      </c>
      <c r="I1471" t="str">
        <f>IF(A1471="","",VLOOKUP(G1471,表3_3[],3,0))</f>
        <v/>
      </c>
      <c r="J1471" t="str">
        <f>IF(A1471="","",IF('ATP Fills'!I1471="3M","",VLOOKUP(RIGHT('ATP Fills'!I1471,2),Helper1!$O$36:$P$48,2,0)))</f>
        <v/>
      </c>
      <c r="K1471" t="str">
        <f>IF(J1471="","",LEFT('ATP Fills'!I1471,4))</f>
        <v/>
      </c>
      <c r="L1471" t="str">
        <f>IF(A1471="","",IF('ATP Fills'!G1471="LME",'ATP Fills'!I1471,""))</f>
        <v/>
      </c>
      <c r="M1471" t="str">
        <f t="shared" si="22"/>
        <v/>
      </c>
    </row>
    <row r="1472" spans="1:13">
      <c r="A1472" t="str">
        <f>IF('ATP Fills'!A1472="","",IF('ATP Fills'!Q1472="PHILLIPSG",'ATP Fills'!F1472,""))</f>
        <v/>
      </c>
      <c r="B1472" t="str">
        <f>IF(A1472="","",'ATP Fills'!L1472)</f>
        <v/>
      </c>
      <c r="C1472" t="str">
        <f>IF(A1472="","",'ATP Fills'!M1472)</f>
        <v/>
      </c>
      <c r="D1472" t="str">
        <f>IF(A1472="","",'ATP Fills'!B1472)</f>
        <v/>
      </c>
      <c r="E1472" s="3" t="str">
        <f>IF(A1472="","",IF(DATE(LEFT(D1472,4),MID(D1472,5,2),RIGHT(D1472,2))=Helper1!$P$1,Helper1!$P$1,""))</f>
        <v/>
      </c>
      <c r="F1472" s="3" t="str">
        <f>IF(A1472="","",'ATP Fills'!G1472)</f>
        <v/>
      </c>
      <c r="G1472" t="str">
        <f>IF(A1472="","",'ATP Fills'!H1472)</f>
        <v/>
      </c>
      <c r="H1472" t="str">
        <f>IF(A1472="","",VLOOKUP(G1472,表3_3[],2,0))</f>
        <v/>
      </c>
      <c r="I1472" t="str">
        <f>IF(A1472="","",VLOOKUP(G1472,表3_3[],3,0))</f>
        <v/>
      </c>
      <c r="J1472" t="str">
        <f>IF(A1472="","",IF('ATP Fills'!I1472="3M","",VLOOKUP(RIGHT('ATP Fills'!I1472,2),Helper1!$O$36:$P$48,2,0)))</f>
        <v/>
      </c>
      <c r="K1472" t="str">
        <f>IF(J1472="","",LEFT('ATP Fills'!I1472,4))</f>
        <v/>
      </c>
      <c r="L1472" t="str">
        <f>IF(A1472="","",IF('ATP Fills'!G1472="LME",'ATP Fills'!I1472,""))</f>
        <v/>
      </c>
      <c r="M1472" t="str">
        <f t="shared" si="22"/>
        <v/>
      </c>
    </row>
    <row r="1473" spans="1:13">
      <c r="A1473" t="str">
        <f>IF('ATP Fills'!A1473="","",IF('ATP Fills'!Q1473="PHILLIPSG",'ATP Fills'!F1473,""))</f>
        <v/>
      </c>
      <c r="B1473" t="str">
        <f>IF(A1473="","",'ATP Fills'!L1473)</f>
        <v/>
      </c>
      <c r="C1473" t="str">
        <f>IF(A1473="","",'ATP Fills'!M1473)</f>
        <v/>
      </c>
      <c r="D1473" t="str">
        <f>IF(A1473="","",'ATP Fills'!B1473)</f>
        <v/>
      </c>
      <c r="E1473" s="3" t="str">
        <f>IF(A1473="","",IF(DATE(LEFT(D1473,4),MID(D1473,5,2),RIGHT(D1473,2))=Helper1!$P$1,Helper1!$P$1,""))</f>
        <v/>
      </c>
      <c r="F1473" s="3" t="str">
        <f>IF(A1473="","",'ATP Fills'!G1473)</f>
        <v/>
      </c>
      <c r="G1473" t="str">
        <f>IF(A1473="","",'ATP Fills'!H1473)</f>
        <v/>
      </c>
      <c r="H1473" t="str">
        <f>IF(A1473="","",VLOOKUP(G1473,表3_3[],2,0))</f>
        <v/>
      </c>
      <c r="I1473" t="str">
        <f>IF(A1473="","",VLOOKUP(G1473,表3_3[],3,0))</f>
        <v/>
      </c>
      <c r="J1473" t="str">
        <f>IF(A1473="","",IF('ATP Fills'!I1473="3M","",VLOOKUP(RIGHT('ATP Fills'!I1473,2),Helper1!$O$36:$P$48,2,0)))</f>
        <v/>
      </c>
      <c r="K1473" t="str">
        <f>IF(J1473="","",LEFT('ATP Fills'!I1473,4))</f>
        <v/>
      </c>
      <c r="L1473" t="str">
        <f>IF(A1473="","",IF('ATP Fills'!G1473="LME",'ATP Fills'!I1473,""))</f>
        <v/>
      </c>
      <c r="M1473" t="str">
        <f t="shared" si="22"/>
        <v/>
      </c>
    </row>
    <row r="1474" spans="1:13">
      <c r="A1474" t="str">
        <f>IF('ATP Fills'!A1474="","",IF('ATP Fills'!Q1474="PHILLIPSG",'ATP Fills'!F1474,""))</f>
        <v/>
      </c>
      <c r="B1474" t="str">
        <f>IF(A1474="","",'ATP Fills'!L1474)</f>
        <v/>
      </c>
      <c r="C1474" t="str">
        <f>IF(A1474="","",'ATP Fills'!M1474)</f>
        <v/>
      </c>
      <c r="D1474" t="str">
        <f>IF(A1474="","",'ATP Fills'!B1474)</f>
        <v/>
      </c>
      <c r="E1474" s="3" t="str">
        <f>IF(A1474="","",IF(DATE(LEFT(D1474,4),MID(D1474,5,2),RIGHT(D1474,2))=Helper1!$P$1,Helper1!$P$1,""))</f>
        <v/>
      </c>
      <c r="F1474" s="3" t="str">
        <f>IF(A1474="","",'ATP Fills'!G1474)</f>
        <v/>
      </c>
      <c r="G1474" t="str">
        <f>IF(A1474="","",'ATP Fills'!H1474)</f>
        <v/>
      </c>
      <c r="H1474" t="str">
        <f>IF(A1474="","",VLOOKUP(G1474,表3_3[],2,0))</f>
        <v/>
      </c>
      <c r="I1474" t="str">
        <f>IF(A1474="","",VLOOKUP(G1474,表3_3[],3,0))</f>
        <v/>
      </c>
      <c r="J1474" t="str">
        <f>IF(A1474="","",IF('ATP Fills'!I1474="3M","",VLOOKUP(RIGHT('ATP Fills'!I1474,2),Helper1!$O$36:$P$48,2,0)))</f>
        <v/>
      </c>
      <c r="K1474" t="str">
        <f>IF(J1474="","",LEFT('ATP Fills'!I1474,4))</f>
        <v/>
      </c>
      <c r="L1474" t="str">
        <f>IF(A1474="","",IF('ATP Fills'!G1474="LME",'ATP Fills'!I1474,""))</f>
        <v/>
      </c>
      <c r="M1474" t="str">
        <f t="shared" si="22"/>
        <v/>
      </c>
    </row>
    <row r="1475" spans="1:13">
      <c r="A1475" t="str">
        <f>IF('ATP Fills'!A1475="","",IF('ATP Fills'!Q1475="PHILLIPSG",'ATP Fills'!F1475,""))</f>
        <v/>
      </c>
      <c r="B1475" t="str">
        <f>IF(A1475="","",'ATP Fills'!L1475)</f>
        <v/>
      </c>
      <c r="C1475" t="str">
        <f>IF(A1475="","",'ATP Fills'!M1475)</f>
        <v/>
      </c>
      <c r="D1475" t="str">
        <f>IF(A1475="","",'ATP Fills'!B1475)</f>
        <v/>
      </c>
      <c r="E1475" s="3" t="str">
        <f>IF(A1475="","",IF(DATE(LEFT(D1475,4),MID(D1475,5,2),RIGHT(D1475,2))=Helper1!$P$1,Helper1!$P$1,""))</f>
        <v/>
      </c>
      <c r="F1475" s="3" t="str">
        <f>IF(A1475="","",'ATP Fills'!G1475)</f>
        <v/>
      </c>
      <c r="G1475" t="str">
        <f>IF(A1475="","",'ATP Fills'!H1475)</f>
        <v/>
      </c>
      <c r="H1475" t="str">
        <f>IF(A1475="","",VLOOKUP(G1475,表3_3[],2,0))</f>
        <v/>
      </c>
      <c r="I1475" t="str">
        <f>IF(A1475="","",VLOOKUP(G1475,表3_3[],3,0))</f>
        <v/>
      </c>
      <c r="J1475" t="str">
        <f>IF(A1475="","",IF('ATP Fills'!I1475="3M","",VLOOKUP(RIGHT('ATP Fills'!I1475,2),Helper1!$O$36:$P$48,2,0)))</f>
        <v/>
      </c>
      <c r="K1475" t="str">
        <f>IF(J1475="","",LEFT('ATP Fills'!I1475,4))</f>
        <v/>
      </c>
      <c r="L1475" t="str">
        <f>IF(A1475="","",IF('ATP Fills'!G1475="LME",'ATP Fills'!I1475,""))</f>
        <v/>
      </c>
      <c r="M1475" t="str">
        <f t="shared" ref="M1475:M1538" si="23">IF(A1475="","",IF(F1475="LME",F1475&amp;"-"&amp;I1475&amp;"-"&amp;L1475,J1475&amp;"-"&amp;K1475&amp;"-"&amp;I1475))</f>
        <v/>
      </c>
    </row>
    <row r="1476" spans="1:13">
      <c r="A1476" t="str">
        <f>IF('ATP Fills'!A1476="","",IF('ATP Fills'!Q1476="PHILLIPSG",'ATP Fills'!F1476,""))</f>
        <v/>
      </c>
      <c r="B1476" t="str">
        <f>IF(A1476="","",'ATP Fills'!L1476)</f>
        <v/>
      </c>
      <c r="C1476" t="str">
        <f>IF(A1476="","",'ATP Fills'!M1476)</f>
        <v/>
      </c>
      <c r="D1476" t="str">
        <f>IF(A1476="","",'ATP Fills'!B1476)</f>
        <v/>
      </c>
      <c r="E1476" s="3" t="str">
        <f>IF(A1476="","",IF(DATE(LEFT(D1476,4),MID(D1476,5,2),RIGHT(D1476,2))=Helper1!$P$1,Helper1!$P$1,""))</f>
        <v/>
      </c>
      <c r="F1476" s="3" t="str">
        <f>IF(A1476="","",'ATP Fills'!G1476)</f>
        <v/>
      </c>
      <c r="G1476" t="str">
        <f>IF(A1476="","",'ATP Fills'!H1476)</f>
        <v/>
      </c>
      <c r="H1476" t="str">
        <f>IF(A1476="","",VLOOKUP(G1476,表3_3[],2,0))</f>
        <v/>
      </c>
      <c r="I1476" t="str">
        <f>IF(A1476="","",VLOOKUP(G1476,表3_3[],3,0))</f>
        <v/>
      </c>
      <c r="J1476" t="str">
        <f>IF(A1476="","",IF('ATP Fills'!I1476="3M","",VLOOKUP(RIGHT('ATP Fills'!I1476,2),Helper1!$O$36:$P$48,2,0)))</f>
        <v/>
      </c>
      <c r="K1476" t="str">
        <f>IF(J1476="","",LEFT('ATP Fills'!I1476,4))</f>
        <v/>
      </c>
      <c r="L1476" t="str">
        <f>IF(A1476="","",IF('ATP Fills'!G1476="LME",'ATP Fills'!I1476,""))</f>
        <v/>
      </c>
      <c r="M1476" t="str">
        <f t="shared" si="23"/>
        <v/>
      </c>
    </row>
    <row r="1477" spans="1:13">
      <c r="A1477" t="str">
        <f>IF('ATP Fills'!A1477="","",IF('ATP Fills'!Q1477="PHILLIPSG",'ATP Fills'!F1477,""))</f>
        <v/>
      </c>
      <c r="B1477" t="str">
        <f>IF(A1477="","",'ATP Fills'!L1477)</f>
        <v/>
      </c>
      <c r="C1477" t="str">
        <f>IF(A1477="","",'ATP Fills'!M1477)</f>
        <v/>
      </c>
      <c r="D1477" t="str">
        <f>IF(A1477="","",'ATP Fills'!B1477)</f>
        <v/>
      </c>
      <c r="E1477" s="3" t="str">
        <f>IF(A1477="","",IF(DATE(LEFT(D1477,4),MID(D1477,5,2),RIGHT(D1477,2))=Helper1!$P$1,Helper1!$P$1,""))</f>
        <v/>
      </c>
      <c r="F1477" s="3" t="str">
        <f>IF(A1477="","",'ATP Fills'!G1477)</f>
        <v/>
      </c>
      <c r="G1477" t="str">
        <f>IF(A1477="","",'ATP Fills'!H1477)</f>
        <v/>
      </c>
      <c r="H1477" t="str">
        <f>IF(A1477="","",VLOOKUP(G1477,表3_3[],2,0))</f>
        <v/>
      </c>
      <c r="I1477" t="str">
        <f>IF(A1477="","",VLOOKUP(G1477,表3_3[],3,0))</f>
        <v/>
      </c>
      <c r="J1477" t="str">
        <f>IF(A1477="","",IF('ATP Fills'!I1477="3M","",VLOOKUP(RIGHT('ATP Fills'!I1477,2),Helper1!$O$36:$P$48,2,0)))</f>
        <v/>
      </c>
      <c r="K1477" t="str">
        <f>IF(J1477="","",LEFT('ATP Fills'!I1477,4))</f>
        <v/>
      </c>
      <c r="L1477" t="str">
        <f>IF(A1477="","",IF('ATP Fills'!G1477="LME",'ATP Fills'!I1477,""))</f>
        <v/>
      </c>
      <c r="M1477" t="str">
        <f t="shared" si="23"/>
        <v/>
      </c>
    </row>
    <row r="1478" spans="1:13">
      <c r="A1478" t="str">
        <f>IF('ATP Fills'!A1478="","",IF('ATP Fills'!Q1478="PHILLIPSG",'ATP Fills'!F1478,""))</f>
        <v/>
      </c>
      <c r="B1478" t="str">
        <f>IF(A1478="","",'ATP Fills'!L1478)</f>
        <v/>
      </c>
      <c r="C1478" t="str">
        <f>IF(A1478="","",'ATP Fills'!M1478)</f>
        <v/>
      </c>
      <c r="D1478" t="str">
        <f>IF(A1478="","",'ATP Fills'!B1478)</f>
        <v/>
      </c>
      <c r="E1478" s="3" t="str">
        <f>IF(A1478="","",IF(DATE(LEFT(D1478,4),MID(D1478,5,2),RIGHT(D1478,2))=Helper1!$P$1,Helper1!$P$1,""))</f>
        <v/>
      </c>
      <c r="F1478" s="3" t="str">
        <f>IF(A1478="","",'ATP Fills'!G1478)</f>
        <v/>
      </c>
      <c r="G1478" t="str">
        <f>IF(A1478="","",'ATP Fills'!H1478)</f>
        <v/>
      </c>
      <c r="H1478" t="str">
        <f>IF(A1478="","",VLOOKUP(G1478,表3_3[],2,0))</f>
        <v/>
      </c>
      <c r="I1478" t="str">
        <f>IF(A1478="","",VLOOKUP(G1478,表3_3[],3,0))</f>
        <v/>
      </c>
      <c r="J1478" t="str">
        <f>IF(A1478="","",IF('ATP Fills'!I1478="3M","",VLOOKUP(RIGHT('ATP Fills'!I1478,2),Helper1!$O$36:$P$48,2,0)))</f>
        <v/>
      </c>
      <c r="K1478" t="str">
        <f>IF(J1478="","",LEFT('ATP Fills'!I1478,4))</f>
        <v/>
      </c>
      <c r="L1478" t="str">
        <f>IF(A1478="","",IF('ATP Fills'!G1478="LME",'ATP Fills'!I1478,""))</f>
        <v/>
      </c>
      <c r="M1478" t="str">
        <f t="shared" si="23"/>
        <v/>
      </c>
    </row>
    <row r="1479" spans="1:13">
      <c r="A1479" t="str">
        <f>IF('ATP Fills'!A1479="","",IF('ATP Fills'!Q1479="PHILLIPSG",'ATP Fills'!F1479,""))</f>
        <v/>
      </c>
      <c r="B1479" t="str">
        <f>IF(A1479="","",'ATP Fills'!L1479)</f>
        <v/>
      </c>
      <c r="C1479" t="str">
        <f>IF(A1479="","",'ATP Fills'!M1479)</f>
        <v/>
      </c>
      <c r="D1479" t="str">
        <f>IF(A1479="","",'ATP Fills'!B1479)</f>
        <v/>
      </c>
      <c r="E1479" s="3" t="str">
        <f>IF(A1479="","",IF(DATE(LEFT(D1479,4),MID(D1479,5,2),RIGHT(D1479,2))=Helper1!$P$1,Helper1!$P$1,""))</f>
        <v/>
      </c>
      <c r="F1479" s="3" t="str">
        <f>IF(A1479="","",'ATP Fills'!G1479)</f>
        <v/>
      </c>
      <c r="G1479" t="str">
        <f>IF(A1479="","",'ATP Fills'!H1479)</f>
        <v/>
      </c>
      <c r="H1479" t="str">
        <f>IF(A1479="","",VLOOKUP(G1479,表3_3[],2,0))</f>
        <v/>
      </c>
      <c r="I1479" t="str">
        <f>IF(A1479="","",VLOOKUP(G1479,表3_3[],3,0))</f>
        <v/>
      </c>
      <c r="J1479" t="str">
        <f>IF(A1479="","",IF('ATP Fills'!I1479="3M","",VLOOKUP(RIGHT('ATP Fills'!I1479,2),Helper1!$O$36:$P$48,2,0)))</f>
        <v/>
      </c>
      <c r="K1479" t="str">
        <f>IF(J1479="","",LEFT('ATP Fills'!I1479,4))</f>
        <v/>
      </c>
      <c r="L1479" t="str">
        <f>IF(A1479="","",IF('ATP Fills'!G1479="LME",'ATP Fills'!I1479,""))</f>
        <v/>
      </c>
      <c r="M1479" t="str">
        <f t="shared" si="23"/>
        <v/>
      </c>
    </row>
    <row r="1480" spans="1:13">
      <c r="A1480" t="str">
        <f>IF('ATP Fills'!A1480="","",IF('ATP Fills'!Q1480="PHILLIPSG",'ATP Fills'!F1480,""))</f>
        <v/>
      </c>
      <c r="B1480" t="str">
        <f>IF(A1480="","",'ATP Fills'!L1480)</f>
        <v/>
      </c>
      <c r="C1480" t="str">
        <f>IF(A1480="","",'ATP Fills'!M1480)</f>
        <v/>
      </c>
      <c r="D1480" t="str">
        <f>IF(A1480="","",'ATP Fills'!B1480)</f>
        <v/>
      </c>
      <c r="E1480" s="3" t="str">
        <f>IF(A1480="","",IF(DATE(LEFT(D1480,4),MID(D1480,5,2),RIGHT(D1480,2))=Helper1!$P$1,Helper1!$P$1,""))</f>
        <v/>
      </c>
      <c r="F1480" s="3" t="str">
        <f>IF(A1480="","",'ATP Fills'!G1480)</f>
        <v/>
      </c>
      <c r="G1480" t="str">
        <f>IF(A1480="","",'ATP Fills'!H1480)</f>
        <v/>
      </c>
      <c r="H1480" t="str">
        <f>IF(A1480="","",VLOOKUP(G1480,表3_3[],2,0))</f>
        <v/>
      </c>
      <c r="I1480" t="str">
        <f>IF(A1480="","",VLOOKUP(G1480,表3_3[],3,0))</f>
        <v/>
      </c>
      <c r="J1480" t="str">
        <f>IF(A1480="","",IF('ATP Fills'!I1480="3M","",VLOOKUP(RIGHT('ATP Fills'!I1480,2),Helper1!$O$36:$P$48,2,0)))</f>
        <v/>
      </c>
      <c r="K1480" t="str">
        <f>IF(J1480="","",LEFT('ATP Fills'!I1480,4))</f>
        <v/>
      </c>
      <c r="L1480" t="str">
        <f>IF(A1480="","",IF('ATP Fills'!G1480="LME",'ATP Fills'!I1480,""))</f>
        <v/>
      </c>
      <c r="M1480" t="str">
        <f t="shared" si="23"/>
        <v/>
      </c>
    </row>
    <row r="1481" spans="1:13">
      <c r="A1481" t="str">
        <f>IF('ATP Fills'!A1481="","",IF('ATP Fills'!Q1481="PHILLIPSG",'ATP Fills'!F1481,""))</f>
        <v/>
      </c>
      <c r="B1481" t="str">
        <f>IF(A1481="","",'ATP Fills'!L1481)</f>
        <v/>
      </c>
      <c r="C1481" t="str">
        <f>IF(A1481="","",'ATP Fills'!M1481)</f>
        <v/>
      </c>
      <c r="D1481" t="str">
        <f>IF(A1481="","",'ATP Fills'!B1481)</f>
        <v/>
      </c>
      <c r="E1481" s="3" t="str">
        <f>IF(A1481="","",IF(DATE(LEFT(D1481,4),MID(D1481,5,2),RIGHT(D1481,2))=Helper1!$P$1,Helper1!$P$1,""))</f>
        <v/>
      </c>
      <c r="F1481" s="3" t="str">
        <f>IF(A1481="","",'ATP Fills'!G1481)</f>
        <v/>
      </c>
      <c r="G1481" t="str">
        <f>IF(A1481="","",'ATP Fills'!H1481)</f>
        <v/>
      </c>
      <c r="H1481" t="str">
        <f>IF(A1481="","",VLOOKUP(G1481,表3_3[],2,0))</f>
        <v/>
      </c>
      <c r="I1481" t="str">
        <f>IF(A1481="","",VLOOKUP(G1481,表3_3[],3,0))</f>
        <v/>
      </c>
      <c r="J1481" t="str">
        <f>IF(A1481="","",IF('ATP Fills'!I1481="3M","",VLOOKUP(RIGHT('ATP Fills'!I1481,2),Helper1!$O$36:$P$48,2,0)))</f>
        <v/>
      </c>
      <c r="K1481" t="str">
        <f>IF(J1481="","",LEFT('ATP Fills'!I1481,4))</f>
        <v/>
      </c>
      <c r="L1481" t="str">
        <f>IF(A1481="","",IF('ATP Fills'!G1481="LME",'ATP Fills'!I1481,""))</f>
        <v/>
      </c>
      <c r="M1481" t="str">
        <f t="shared" si="23"/>
        <v/>
      </c>
    </row>
    <row r="1482" spans="1:13">
      <c r="A1482" t="str">
        <f>IF('ATP Fills'!A1482="","",IF('ATP Fills'!Q1482="PHILLIPSG",'ATP Fills'!F1482,""))</f>
        <v/>
      </c>
      <c r="B1482" t="str">
        <f>IF(A1482="","",'ATP Fills'!L1482)</f>
        <v/>
      </c>
      <c r="C1482" t="str">
        <f>IF(A1482="","",'ATP Fills'!M1482)</f>
        <v/>
      </c>
      <c r="D1482" t="str">
        <f>IF(A1482="","",'ATP Fills'!B1482)</f>
        <v/>
      </c>
      <c r="E1482" s="3" t="str">
        <f>IF(A1482="","",IF(DATE(LEFT(D1482,4),MID(D1482,5,2),RIGHT(D1482,2))=Helper1!$P$1,Helper1!$P$1,""))</f>
        <v/>
      </c>
      <c r="F1482" s="3" t="str">
        <f>IF(A1482="","",'ATP Fills'!G1482)</f>
        <v/>
      </c>
      <c r="G1482" t="str">
        <f>IF(A1482="","",'ATP Fills'!H1482)</f>
        <v/>
      </c>
      <c r="H1482" t="str">
        <f>IF(A1482="","",VLOOKUP(G1482,表3_3[],2,0))</f>
        <v/>
      </c>
      <c r="I1482" t="str">
        <f>IF(A1482="","",VLOOKUP(G1482,表3_3[],3,0))</f>
        <v/>
      </c>
      <c r="J1482" t="str">
        <f>IF(A1482="","",IF('ATP Fills'!I1482="3M","",VLOOKUP(RIGHT('ATP Fills'!I1482,2),Helper1!$O$36:$P$48,2,0)))</f>
        <v/>
      </c>
      <c r="K1482" t="str">
        <f>IF(J1482="","",LEFT('ATP Fills'!I1482,4))</f>
        <v/>
      </c>
      <c r="L1482" t="str">
        <f>IF(A1482="","",IF('ATP Fills'!G1482="LME",'ATP Fills'!I1482,""))</f>
        <v/>
      </c>
      <c r="M1482" t="str">
        <f t="shared" si="23"/>
        <v/>
      </c>
    </row>
    <row r="1483" spans="1:13">
      <c r="A1483" t="str">
        <f>IF('ATP Fills'!A1483="","",IF('ATP Fills'!Q1483="PHILLIPSG",'ATP Fills'!F1483,""))</f>
        <v/>
      </c>
      <c r="B1483" t="str">
        <f>IF(A1483="","",'ATP Fills'!L1483)</f>
        <v/>
      </c>
      <c r="C1483" t="str">
        <f>IF(A1483="","",'ATP Fills'!M1483)</f>
        <v/>
      </c>
      <c r="D1483" t="str">
        <f>IF(A1483="","",'ATP Fills'!B1483)</f>
        <v/>
      </c>
      <c r="E1483" s="3" t="str">
        <f>IF(A1483="","",IF(DATE(LEFT(D1483,4),MID(D1483,5,2),RIGHT(D1483,2))=Helper1!$P$1,Helper1!$P$1,""))</f>
        <v/>
      </c>
      <c r="F1483" s="3" t="str">
        <f>IF(A1483="","",'ATP Fills'!G1483)</f>
        <v/>
      </c>
      <c r="G1483" t="str">
        <f>IF(A1483="","",'ATP Fills'!H1483)</f>
        <v/>
      </c>
      <c r="H1483" t="str">
        <f>IF(A1483="","",VLOOKUP(G1483,表3_3[],2,0))</f>
        <v/>
      </c>
      <c r="I1483" t="str">
        <f>IF(A1483="","",VLOOKUP(G1483,表3_3[],3,0))</f>
        <v/>
      </c>
      <c r="J1483" t="str">
        <f>IF(A1483="","",IF('ATP Fills'!I1483="3M","",VLOOKUP(RIGHT('ATP Fills'!I1483,2),Helper1!$O$36:$P$48,2,0)))</f>
        <v/>
      </c>
      <c r="K1483" t="str">
        <f>IF(J1483="","",LEFT('ATP Fills'!I1483,4))</f>
        <v/>
      </c>
      <c r="L1483" t="str">
        <f>IF(A1483="","",IF('ATP Fills'!G1483="LME",'ATP Fills'!I1483,""))</f>
        <v/>
      </c>
      <c r="M1483" t="str">
        <f t="shared" si="23"/>
        <v/>
      </c>
    </row>
    <row r="1484" spans="1:13">
      <c r="A1484" t="str">
        <f>IF('ATP Fills'!A1484="","",IF('ATP Fills'!Q1484="PHILLIPSG",'ATP Fills'!F1484,""))</f>
        <v/>
      </c>
      <c r="B1484" t="str">
        <f>IF(A1484="","",'ATP Fills'!L1484)</f>
        <v/>
      </c>
      <c r="C1484" t="str">
        <f>IF(A1484="","",'ATP Fills'!M1484)</f>
        <v/>
      </c>
      <c r="D1484" t="str">
        <f>IF(A1484="","",'ATP Fills'!B1484)</f>
        <v/>
      </c>
      <c r="E1484" s="3" t="str">
        <f>IF(A1484="","",IF(DATE(LEFT(D1484,4),MID(D1484,5,2),RIGHT(D1484,2))=Helper1!$P$1,Helper1!$P$1,""))</f>
        <v/>
      </c>
      <c r="F1484" s="3" t="str">
        <f>IF(A1484="","",'ATP Fills'!G1484)</f>
        <v/>
      </c>
      <c r="G1484" t="str">
        <f>IF(A1484="","",'ATP Fills'!H1484)</f>
        <v/>
      </c>
      <c r="H1484" t="str">
        <f>IF(A1484="","",VLOOKUP(G1484,表3_3[],2,0))</f>
        <v/>
      </c>
      <c r="I1484" t="str">
        <f>IF(A1484="","",VLOOKUP(G1484,表3_3[],3,0))</f>
        <v/>
      </c>
      <c r="J1484" t="str">
        <f>IF(A1484="","",IF('ATP Fills'!I1484="3M","",VLOOKUP(RIGHT('ATP Fills'!I1484,2),Helper1!$O$36:$P$48,2,0)))</f>
        <v/>
      </c>
      <c r="K1484" t="str">
        <f>IF(J1484="","",LEFT('ATP Fills'!I1484,4))</f>
        <v/>
      </c>
      <c r="L1484" t="str">
        <f>IF(A1484="","",IF('ATP Fills'!G1484="LME",'ATP Fills'!I1484,""))</f>
        <v/>
      </c>
      <c r="M1484" t="str">
        <f t="shared" si="23"/>
        <v/>
      </c>
    </row>
    <row r="1485" spans="1:13">
      <c r="A1485" t="str">
        <f>IF('ATP Fills'!A1485="","",IF('ATP Fills'!Q1485="PHILLIPSG",'ATP Fills'!F1485,""))</f>
        <v/>
      </c>
      <c r="B1485" t="str">
        <f>IF(A1485="","",'ATP Fills'!L1485)</f>
        <v/>
      </c>
      <c r="C1485" t="str">
        <f>IF(A1485="","",'ATP Fills'!M1485)</f>
        <v/>
      </c>
      <c r="D1485" t="str">
        <f>IF(A1485="","",'ATP Fills'!B1485)</f>
        <v/>
      </c>
      <c r="E1485" s="3" t="str">
        <f>IF(A1485="","",IF(DATE(LEFT(D1485,4),MID(D1485,5,2),RIGHT(D1485,2))=Helper1!$P$1,Helper1!$P$1,""))</f>
        <v/>
      </c>
      <c r="F1485" s="3" t="str">
        <f>IF(A1485="","",'ATP Fills'!G1485)</f>
        <v/>
      </c>
      <c r="G1485" t="str">
        <f>IF(A1485="","",'ATP Fills'!H1485)</f>
        <v/>
      </c>
      <c r="H1485" t="str">
        <f>IF(A1485="","",VLOOKUP(G1485,表3_3[],2,0))</f>
        <v/>
      </c>
      <c r="I1485" t="str">
        <f>IF(A1485="","",VLOOKUP(G1485,表3_3[],3,0))</f>
        <v/>
      </c>
      <c r="J1485" t="str">
        <f>IF(A1485="","",IF('ATP Fills'!I1485="3M","",VLOOKUP(RIGHT('ATP Fills'!I1485,2),Helper1!$O$36:$P$48,2,0)))</f>
        <v/>
      </c>
      <c r="K1485" t="str">
        <f>IF(J1485="","",LEFT('ATP Fills'!I1485,4))</f>
        <v/>
      </c>
      <c r="L1485" t="str">
        <f>IF(A1485="","",IF('ATP Fills'!G1485="LME",'ATP Fills'!I1485,""))</f>
        <v/>
      </c>
      <c r="M1485" t="str">
        <f t="shared" si="23"/>
        <v/>
      </c>
    </row>
    <row r="1486" spans="1:13">
      <c r="A1486" t="str">
        <f>IF('ATP Fills'!A1486="","",IF('ATP Fills'!Q1486="PHILLIPSG",'ATP Fills'!F1486,""))</f>
        <v/>
      </c>
      <c r="B1486" t="str">
        <f>IF(A1486="","",'ATP Fills'!L1486)</f>
        <v/>
      </c>
      <c r="C1486" t="str">
        <f>IF(A1486="","",'ATP Fills'!M1486)</f>
        <v/>
      </c>
      <c r="D1486" t="str">
        <f>IF(A1486="","",'ATP Fills'!B1486)</f>
        <v/>
      </c>
      <c r="E1486" s="3" t="str">
        <f>IF(A1486="","",IF(DATE(LEFT(D1486,4),MID(D1486,5,2),RIGHT(D1486,2))=Helper1!$P$1,Helper1!$P$1,""))</f>
        <v/>
      </c>
      <c r="F1486" s="3" t="str">
        <f>IF(A1486="","",'ATP Fills'!G1486)</f>
        <v/>
      </c>
      <c r="G1486" t="str">
        <f>IF(A1486="","",'ATP Fills'!H1486)</f>
        <v/>
      </c>
      <c r="H1486" t="str">
        <f>IF(A1486="","",VLOOKUP(G1486,表3_3[],2,0))</f>
        <v/>
      </c>
      <c r="I1486" t="str">
        <f>IF(A1486="","",VLOOKUP(G1486,表3_3[],3,0))</f>
        <v/>
      </c>
      <c r="J1486" t="str">
        <f>IF(A1486="","",IF('ATP Fills'!I1486="3M","",VLOOKUP(RIGHT('ATP Fills'!I1486,2),Helper1!$O$36:$P$48,2,0)))</f>
        <v/>
      </c>
      <c r="K1486" t="str">
        <f>IF(J1486="","",LEFT('ATP Fills'!I1486,4))</f>
        <v/>
      </c>
      <c r="L1486" t="str">
        <f>IF(A1486="","",IF('ATP Fills'!G1486="LME",'ATP Fills'!I1486,""))</f>
        <v/>
      </c>
      <c r="M1486" t="str">
        <f t="shared" si="23"/>
        <v/>
      </c>
    </row>
    <row r="1487" spans="1:13">
      <c r="A1487" t="str">
        <f>IF('ATP Fills'!A1487="","",IF('ATP Fills'!Q1487="PHILLIPSG",'ATP Fills'!F1487,""))</f>
        <v/>
      </c>
      <c r="B1487" t="str">
        <f>IF(A1487="","",'ATP Fills'!L1487)</f>
        <v/>
      </c>
      <c r="C1487" t="str">
        <f>IF(A1487="","",'ATP Fills'!M1487)</f>
        <v/>
      </c>
      <c r="D1487" t="str">
        <f>IF(A1487="","",'ATP Fills'!B1487)</f>
        <v/>
      </c>
      <c r="E1487" s="3" t="str">
        <f>IF(A1487="","",IF(DATE(LEFT(D1487,4),MID(D1487,5,2),RIGHT(D1487,2))=Helper1!$P$1,Helper1!$P$1,""))</f>
        <v/>
      </c>
      <c r="F1487" s="3" t="str">
        <f>IF(A1487="","",'ATP Fills'!G1487)</f>
        <v/>
      </c>
      <c r="G1487" t="str">
        <f>IF(A1487="","",'ATP Fills'!H1487)</f>
        <v/>
      </c>
      <c r="H1487" t="str">
        <f>IF(A1487="","",VLOOKUP(G1487,表3_3[],2,0))</f>
        <v/>
      </c>
      <c r="I1487" t="str">
        <f>IF(A1487="","",VLOOKUP(G1487,表3_3[],3,0))</f>
        <v/>
      </c>
      <c r="J1487" t="str">
        <f>IF(A1487="","",IF('ATP Fills'!I1487="3M","",VLOOKUP(RIGHT('ATP Fills'!I1487,2),Helper1!$O$36:$P$48,2,0)))</f>
        <v/>
      </c>
      <c r="K1487" t="str">
        <f>IF(J1487="","",LEFT('ATP Fills'!I1487,4))</f>
        <v/>
      </c>
      <c r="L1487" t="str">
        <f>IF(A1487="","",IF('ATP Fills'!G1487="LME",'ATP Fills'!I1487,""))</f>
        <v/>
      </c>
      <c r="M1487" t="str">
        <f t="shared" si="23"/>
        <v/>
      </c>
    </row>
    <row r="1488" spans="1:13">
      <c r="A1488" t="str">
        <f>IF('ATP Fills'!A1488="","",IF('ATP Fills'!Q1488="PHILLIPSG",'ATP Fills'!F1488,""))</f>
        <v/>
      </c>
      <c r="B1488" t="str">
        <f>IF(A1488="","",'ATP Fills'!L1488)</f>
        <v/>
      </c>
      <c r="C1488" t="str">
        <f>IF(A1488="","",'ATP Fills'!M1488)</f>
        <v/>
      </c>
      <c r="D1488" t="str">
        <f>IF(A1488="","",'ATP Fills'!B1488)</f>
        <v/>
      </c>
      <c r="E1488" s="3" t="str">
        <f>IF(A1488="","",IF(DATE(LEFT(D1488,4),MID(D1488,5,2),RIGHT(D1488,2))=Helper1!$P$1,Helper1!$P$1,""))</f>
        <v/>
      </c>
      <c r="F1488" s="3" t="str">
        <f>IF(A1488="","",'ATP Fills'!G1488)</f>
        <v/>
      </c>
      <c r="G1488" t="str">
        <f>IF(A1488="","",'ATP Fills'!H1488)</f>
        <v/>
      </c>
      <c r="H1488" t="str">
        <f>IF(A1488="","",VLOOKUP(G1488,表3_3[],2,0))</f>
        <v/>
      </c>
      <c r="I1488" t="str">
        <f>IF(A1488="","",VLOOKUP(G1488,表3_3[],3,0))</f>
        <v/>
      </c>
      <c r="J1488" t="str">
        <f>IF(A1488="","",IF('ATP Fills'!I1488="3M","",VLOOKUP(RIGHT('ATP Fills'!I1488,2),Helper1!$O$36:$P$48,2,0)))</f>
        <v/>
      </c>
      <c r="K1488" t="str">
        <f>IF(J1488="","",LEFT('ATP Fills'!I1488,4))</f>
        <v/>
      </c>
      <c r="L1488" t="str">
        <f>IF(A1488="","",IF('ATP Fills'!G1488="LME",'ATP Fills'!I1488,""))</f>
        <v/>
      </c>
      <c r="M1488" t="str">
        <f t="shared" si="23"/>
        <v/>
      </c>
    </row>
    <row r="1489" spans="1:13">
      <c r="A1489" t="str">
        <f>IF('ATP Fills'!A1489="","",IF('ATP Fills'!Q1489="PHILLIPSG",'ATP Fills'!F1489,""))</f>
        <v/>
      </c>
      <c r="B1489" t="str">
        <f>IF(A1489="","",'ATP Fills'!L1489)</f>
        <v/>
      </c>
      <c r="C1489" t="str">
        <f>IF(A1489="","",'ATP Fills'!M1489)</f>
        <v/>
      </c>
      <c r="D1489" t="str">
        <f>IF(A1489="","",'ATP Fills'!B1489)</f>
        <v/>
      </c>
      <c r="E1489" s="3" t="str">
        <f>IF(A1489="","",IF(DATE(LEFT(D1489,4),MID(D1489,5,2),RIGHT(D1489,2))=Helper1!$P$1,Helper1!$P$1,""))</f>
        <v/>
      </c>
      <c r="F1489" s="3" t="str">
        <f>IF(A1489="","",'ATP Fills'!G1489)</f>
        <v/>
      </c>
      <c r="G1489" t="str">
        <f>IF(A1489="","",'ATP Fills'!H1489)</f>
        <v/>
      </c>
      <c r="H1489" t="str">
        <f>IF(A1489="","",VLOOKUP(G1489,表3_3[],2,0))</f>
        <v/>
      </c>
      <c r="I1489" t="str">
        <f>IF(A1489="","",VLOOKUP(G1489,表3_3[],3,0))</f>
        <v/>
      </c>
      <c r="J1489" t="str">
        <f>IF(A1489="","",IF('ATP Fills'!I1489="3M","",VLOOKUP(RIGHT('ATP Fills'!I1489,2),Helper1!$O$36:$P$48,2,0)))</f>
        <v/>
      </c>
      <c r="K1489" t="str">
        <f>IF(J1489="","",LEFT('ATP Fills'!I1489,4))</f>
        <v/>
      </c>
      <c r="L1489" t="str">
        <f>IF(A1489="","",IF('ATP Fills'!G1489="LME",'ATP Fills'!I1489,""))</f>
        <v/>
      </c>
      <c r="M1489" t="str">
        <f t="shared" si="23"/>
        <v/>
      </c>
    </row>
    <row r="1490" spans="1:13">
      <c r="A1490" t="str">
        <f>IF('ATP Fills'!A1490="","",IF('ATP Fills'!Q1490="PHILLIPSG",'ATP Fills'!F1490,""))</f>
        <v/>
      </c>
      <c r="B1490" t="str">
        <f>IF(A1490="","",'ATP Fills'!L1490)</f>
        <v/>
      </c>
      <c r="C1490" t="str">
        <f>IF(A1490="","",'ATP Fills'!M1490)</f>
        <v/>
      </c>
      <c r="D1490" t="str">
        <f>IF(A1490="","",'ATP Fills'!B1490)</f>
        <v/>
      </c>
      <c r="E1490" s="3" t="str">
        <f>IF(A1490="","",IF(DATE(LEFT(D1490,4),MID(D1490,5,2),RIGHT(D1490,2))=Helper1!$P$1,Helper1!$P$1,""))</f>
        <v/>
      </c>
      <c r="F1490" s="3" t="str">
        <f>IF(A1490="","",'ATP Fills'!G1490)</f>
        <v/>
      </c>
      <c r="G1490" t="str">
        <f>IF(A1490="","",'ATP Fills'!H1490)</f>
        <v/>
      </c>
      <c r="H1490" t="str">
        <f>IF(A1490="","",VLOOKUP(G1490,表3_3[],2,0))</f>
        <v/>
      </c>
      <c r="I1490" t="str">
        <f>IF(A1490="","",VLOOKUP(G1490,表3_3[],3,0))</f>
        <v/>
      </c>
      <c r="J1490" t="str">
        <f>IF(A1490="","",IF('ATP Fills'!I1490="3M","",VLOOKUP(RIGHT('ATP Fills'!I1490,2),Helper1!$O$36:$P$48,2,0)))</f>
        <v/>
      </c>
      <c r="K1490" t="str">
        <f>IF(J1490="","",LEFT('ATP Fills'!I1490,4))</f>
        <v/>
      </c>
      <c r="L1490" t="str">
        <f>IF(A1490="","",IF('ATP Fills'!G1490="LME",'ATP Fills'!I1490,""))</f>
        <v/>
      </c>
      <c r="M1490" t="str">
        <f t="shared" si="23"/>
        <v/>
      </c>
    </row>
    <row r="1491" spans="1:13">
      <c r="A1491" t="str">
        <f>IF('ATP Fills'!A1491="","",IF('ATP Fills'!Q1491="PHILLIPSG",'ATP Fills'!F1491,""))</f>
        <v/>
      </c>
      <c r="B1491" t="str">
        <f>IF(A1491="","",'ATP Fills'!L1491)</f>
        <v/>
      </c>
      <c r="C1491" t="str">
        <f>IF(A1491="","",'ATP Fills'!M1491)</f>
        <v/>
      </c>
      <c r="D1491" t="str">
        <f>IF(A1491="","",'ATP Fills'!B1491)</f>
        <v/>
      </c>
      <c r="E1491" s="3" t="str">
        <f>IF(A1491="","",IF(DATE(LEFT(D1491,4),MID(D1491,5,2),RIGHT(D1491,2))=Helper1!$P$1,Helper1!$P$1,""))</f>
        <v/>
      </c>
      <c r="F1491" s="3" t="str">
        <f>IF(A1491="","",'ATP Fills'!G1491)</f>
        <v/>
      </c>
      <c r="G1491" t="str">
        <f>IF(A1491="","",'ATP Fills'!H1491)</f>
        <v/>
      </c>
      <c r="H1491" t="str">
        <f>IF(A1491="","",VLOOKUP(G1491,表3_3[],2,0))</f>
        <v/>
      </c>
      <c r="I1491" t="str">
        <f>IF(A1491="","",VLOOKUP(G1491,表3_3[],3,0))</f>
        <v/>
      </c>
      <c r="J1491" t="str">
        <f>IF(A1491="","",IF('ATP Fills'!I1491="3M","",VLOOKUP(RIGHT('ATP Fills'!I1491,2),Helper1!$O$36:$P$48,2,0)))</f>
        <v/>
      </c>
      <c r="K1491" t="str">
        <f>IF(J1491="","",LEFT('ATP Fills'!I1491,4))</f>
        <v/>
      </c>
      <c r="L1491" t="str">
        <f>IF(A1491="","",IF('ATP Fills'!G1491="LME",'ATP Fills'!I1491,""))</f>
        <v/>
      </c>
      <c r="M1491" t="str">
        <f t="shared" si="23"/>
        <v/>
      </c>
    </row>
    <row r="1492" spans="1:13">
      <c r="A1492" t="str">
        <f>IF('ATP Fills'!A1492="","",IF('ATP Fills'!Q1492="PHILLIPSG",'ATP Fills'!F1492,""))</f>
        <v/>
      </c>
      <c r="B1492" t="str">
        <f>IF(A1492="","",'ATP Fills'!L1492)</f>
        <v/>
      </c>
      <c r="C1492" t="str">
        <f>IF(A1492="","",'ATP Fills'!M1492)</f>
        <v/>
      </c>
      <c r="D1492" t="str">
        <f>IF(A1492="","",'ATP Fills'!B1492)</f>
        <v/>
      </c>
      <c r="E1492" s="3" t="str">
        <f>IF(A1492="","",IF(DATE(LEFT(D1492,4),MID(D1492,5,2),RIGHT(D1492,2))=Helper1!$P$1,Helper1!$P$1,""))</f>
        <v/>
      </c>
      <c r="F1492" s="3" t="str">
        <f>IF(A1492="","",'ATP Fills'!G1492)</f>
        <v/>
      </c>
      <c r="G1492" t="str">
        <f>IF(A1492="","",'ATP Fills'!H1492)</f>
        <v/>
      </c>
      <c r="H1492" t="str">
        <f>IF(A1492="","",VLOOKUP(G1492,表3_3[],2,0))</f>
        <v/>
      </c>
      <c r="I1492" t="str">
        <f>IF(A1492="","",VLOOKUP(G1492,表3_3[],3,0))</f>
        <v/>
      </c>
      <c r="J1492" t="str">
        <f>IF(A1492="","",IF('ATP Fills'!I1492="3M","",VLOOKUP(RIGHT('ATP Fills'!I1492,2),Helper1!$O$36:$P$48,2,0)))</f>
        <v/>
      </c>
      <c r="K1492" t="str">
        <f>IF(J1492="","",LEFT('ATP Fills'!I1492,4))</f>
        <v/>
      </c>
      <c r="L1492" t="str">
        <f>IF(A1492="","",IF('ATP Fills'!G1492="LME",'ATP Fills'!I1492,""))</f>
        <v/>
      </c>
      <c r="M1492" t="str">
        <f t="shared" si="23"/>
        <v/>
      </c>
    </row>
    <row r="1493" spans="1:13">
      <c r="A1493" t="str">
        <f>IF('ATP Fills'!A1493="","",IF('ATP Fills'!Q1493="PHILLIPSG",'ATP Fills'!F1493,""))</f>
        <v/>
      </c>
      <c r="B1493" t="str">
        <f>IF(A1493="","",'ATP Fills'!L1493)</f>
        <v/>
      </c>
      <c r="C1493" t="str">
        <f>IF(A1493="","",'ATP Fills'!M1493)</f>
        <v/>
      </c>
      <c r="D1493" t="str">
        <f>IF(A1493="","",'ATP Fills'!B1493)</f>
        <v/>
      </c>
      <c r="E1493" s="3" t="str">
        <f>IF(A1493="","",IF(DATE(LEFT(D1493,4),MID(D1493,5,2),RIGHT(D1493,2))=Helper1!$P$1,Helper1!$P$1,""))</f>
        <v/>
      </c>
      <c r="F1493" s="3" t="str">
        <f>IF(A1493="","",'ATP Fills'!G1493)</f>
        <v/>
      </c>
      <c r="G1493" t="str">
        <f>IF(A1493="","",'ATP Fills'!H1493)</f>
        <v/>
      </c>
      <c r="H1493" t="str">
        <f>IF(A1493="","",VLOOKUP(G1493,表3_3[],2,0))</f>
        <v/>
      </c>
      <c r="I1493" t="str">
        <f>IF(A1493="","",VLOOKUP(G1493,表3_3[],3,0))</f>
        <v/>
      </c>
      <c r="J1493" t="str">
        <f>IF(A1493="","",IF('ATP Fills'!I1493="3M","",VLOOKUP(RIGHT('ATP Fills'!I1493,2),Helper1!$O$36:$P$48,2,0)))</f>
        <v/>
      </c>
      <c r="K1493" t="str">
        <f>IF(J1493="","",LEFT('ATP Fills'!I1493,4))</f>
        <v/>
      </c>
      <c r="L1493" t="str">
        <f>IF(A1493="","",IF('ATP Fills'!G1493="LME",'ATP Fills'!I1493,""))</f>
        <v/>
      </c>
      <c r="M1493" t="str">
        <f t="shared" si="23"/>
        <v/>
      </c>
    </row>
    <row r="1494" spans="1:13">
      <c r="A1494" t="str">
        <f>IF('ATP Fills'!A1494="","",IF('ATP Fills'!Q1494="PHILLIPSG",'ATP Fills'!F1494,""))</f>
        <v/>
      </c>
      <c r="B1494" t="str">
        <f>IF(A1494="","",'ATP Fills'!L1494)</f>
        <v/>
      </c>
      <c r="C1494" t="str">
        <f>IF(A1494="","",'ATP Fills'!M1494)</f>
        <v/>
      </c>
      <c r="D1494" t="str">
        <f>IF(A1494="","",'ATP Fills'!B1494)</f>
        <v/>
      </c>
      <c r="E1494" s="3" t="str">
        <f>IF(A1494="","",IF(DATE(LEFT(D1494,4),MID(D1494,5,2),RIGHT(D1494,2))=Helper1!$P$1,Helper1!$P$1,""))</f>
        <v/>
      </c>
      <c r="F1494" s="3" t="str">
        <f>IF(A1494="","",'ATP Fills'!G1494)</f>
        <v/>
      </c>
      <c r="G1494" t="str">
        <f>IF(A1494="","",'ATP Fills'!H1494)</f>
        <v/>
      </c>
      <c r="H1494" t="str">
        <f>IF(A1494="","",VLOOKUP(G1494,表3_3[],2,0))</f>
        <v/>
      </c>
      <c r="I1494" t="str">
        <f>IF(A1494="","",VLOOKUP(G1494,表3_3[],3,0))</f>
        <v/>
      </c>
      <c r="J1494" t="str">
        <f>IF(A1494="","",IF('ATP Fills'!I1494="3M","",VLOOKUP(RIGHT('ATP Fills'!I1494,2),Helper1!$O$36:$P$48,2,0)))</f>
        <v/>
      </c>
      <c r="K1494" t="str">
        <f>IF(J1494="","",LEFT('ATP Fills'!I1494,4))</f>
        <v/>
      </c>
      <c r="L1494" t="str">
        <f>IF(A1494="","",IF('ATP Fills'!G1494="LME",'ATP Fills'!I1494,""))</f>
        <v/>
      </c>
      <c r="M1494" t="str">
        <f t="shared" si="23"/>
        <v/>
      </c>
    </row>
    <row r="1495" spans="1:13">
      <c r="A1495" t="str">
        <f>IF('ATP Fills'!A1495="","",IF('ATP Fills'!Q1495="PHILLIPSG",'ATP Fills'!F1495,""))</f>
        <v/>
      </c>
      <c r="B1495" t="str">
        <f>IF(A1495="","",'ATP Fills'!L1495)</f>
        <v/>
      </c>
      <c r="C1495" t="str">
        <f>IF(A1495="","",'ATP Fills'!M1495)</f>
        <v/>
      </c>
      <c r="D1495" t="str">
        <f>IF(A1495="","",'ATP Fills'!B1495)</f>
        <v/>
      </c>
      <c r="E1495" s="3" t="str">
        <f>IF(A1495="","",IF(DATE(LEFT(D1495,4),MID(D1495,5,2),RIGHT(D1495,2))=Helper1!$P$1,Helper1!$P$1,""))</f>
        <v/>
      </c>
      <c r="F1495" s="3" t="str">
        <f>IF(A1495="","",'ATP Fills'!G1495)</f>
        <v/>
      </c>
      <c r="G1495" t="str">
        <f>IF(A1495="","",'ATP Fills'!H1495)</f>
        <v/>
      </c>
      <c r="H1495" t="str">
        <f>IF(A1495="","",VLOOKUP(G1495,表3_3[],2,0))</f>
        <v/>
      </c>
      <c r="I1495" t="str">
        <f>IF(A1495="","",VLOOKUP(G1495,表3_3[],3,0))</f>
        <v/>
      </c>
      <c r="J1495" t="str">
        <f>IF(A1495="","",IF('ATP Fills'!I1495="3M","",VLOOKUP(RIGHT('ATP Fills'!I1495,2),Helper1!$O$36:$P$48,2,0)))</f>
        <v/>
      </c>
      <c r="K1495" t="str">
        <f>IF(J1495="","",LEFT('ATP Fills'!I1495,4))</f>
        <v/>
      </c>
      <c r="L1495" t="str">
        <f>IF(A1495="","",IF('ATP Fills'!G1495="LME",'ATP Fills'!I1495,""))</f>
        <v/>
      </c>
      <c r="M1495" t="str">
        <f t="shared" si="23"/>
        <v/>
      </c>
    </row>
    <row r="1496" spans="1:13">
      <c r="A1496" t="str">
        <f>IF('ATP Fills'!A1496="","",IF('ATP Fills'!Q1496="PHILLIPSG",'ATP Fills'!F1496,""))</f>
        <v/>
      </c>
      <c r="B1496" t="str">
        <f>IF(A1496="","",'ATP Fills'!L1496)</f>
        <v/>
      </c>
      <c r="C1496" t="str">
        <f>IF(A1496="","",'ATP Fills'!M1496)</f>
        <v/>
      </c>
      <c r="D1496" t="str">
        <f>IF(A1496="","",'ATP Fills'!B1496)</f>
        <v/>
      </c>
      <c r="E1496" s="3" t="str">
        <f>IF(A1496="","",IF(DATE(LEFT(D1496,4),MID(D1496,5,2),RIGHT(D1496,2))=Helper1!$P$1,Helper1!$P$1,""))</f>
        <v/>
      </c>
      <c r="F1496" s="3" t="str">
        <f>IF(A1496="","",'ATP Fills'!G1496)</f>
        <v/>
      </c>
      <c r="G1496" t="str">
        <f>IF(A1496="","",'ATP Fills'!H1496)</f>
        <v/>
      </c>
      <c r="H1496" t="str">
        <f>IF(A1496="","",VLOOKUP(G1496,表3_3[],2,0))</f>
        <v/>
      </c>
      <c r="I1496" t="str">
        <f>IF(A1496="","",VLOOKUP(G1496,表3_3[],3,0))</f>
        <v/>
      </c>
      <c r="J1496" t="str">
        <f>IF(A1496="","",IF('ATP Fills'!I1496="3M","",VLOOKUP(RIGHT('ATP Fills'!I1496,2),Helper1!$O$36:$P$48,2,0)))</f>
        <v/>
      </c>
      <c r="K1496" t="str">
        <f>IF(J1496="","",LEFT('ATP Fills'!I1496,4))</f>
        <v/>
      </c>
      <c r="L1496" t="str">
        <f>IF(A1496="","",IF('ATP Fills'!G1496="LME",'ATP Fills'!I1496,""))</f>
        <v/>
      </c>
      <c r="M1496" t="str">
        <f t="shared" si="23"/>
        <v/>
      </c>
    </row>
    <row r="1497" spans="1:13">
      <c r="A1497" t="str">
        <f>IF('ATP Fills'!A1497="","",IF('ATP Fills'!Q1497="PHILLIPSG",'ATP Fills'!F1497,""))</f>
        <v/>
      </c>
      <c r="B1497" t="str">
        <f>IF(A1497="","",'ATP Fills'!L1497)</f>
        <v/>
      </c>
      <c r="C1497" t="str">
        <f>IF(A1497="","",'ATP Fills'!M1497)</f>
        <v/>
      </c>
      <c r="D1497" t="str">
        <f>IF(A1497="","",'ATP Fills'!B1497)</f>
        <v/>
      </c>
      <c r="E1497" s="3" t="str">
        <f>IF(A1497="","",IF(DATE(LEFT(D1497,4),MID(D1497,5,2),RIGHT(D1497,2))=Helper1!$P$1,Helper1!$P$1,""))</f>
        <v/>
      </c>
      <c r="F1497" s="3" t="str">
        <f>IF(A1497="","",'ATP Fills'!G1497)</f>
        <v/>
      </c>
      <c r="G1497" t="str">
        <f>IF(A1497="","",'ATP Fills'!H1497)</f>
        <v/>
      </c>
      <c r="H1497" t="str">
        <f>IF(A1497="","",VLOOKUP(G1497,表3_3[],2,0))</f>
        <v/>
      </c>
      <c r="I1497" t="str">
        <f>IF(A1497="","",VLOOKUP(G1497,表3_3[],3,0))</f>
        <v/>
      </c>
      <c r="J1497" t="str">
        <f>IF(A1497="","",IF('ATP Fills'!I1497="3M","",VLOOKUP(RIGHT('ATP Fills'!I1497,2),Helper1!$O$36:$P$48,2,0)))</f>
        <v/>
      </c>
      <c r="K1497" t="str">
        <f>IF(J1497="","",LEFT('ATP Fills'!I1497,4))</f>
        <v/>
      </c>
      <c r="L1497" t="str">
        <f>IF(A1497="","",IF('ATP Fills'!G1497="LME",'ATP Fills'!I1497,""))</f>
        <v/>
      </c>
      <c r="M1497" t="str">
        <f t="shared" si="23"/>
        <v/>
      </c>
    </row>
    <row r="1498" spans="1:13">
      <c r="A1498" t="str">
        <f>IF('ATP Fills'!A1498="","",IF('ATP Fills'!Q1498="PHILLIPSG",'ATP Fills'!F1498,""))</f>
        <v/>
      </c>
      <c r="B1498" t="str">
        <f>IF(A1498="","",'ATP Fills'!L1498)</f>
        <v/>
      </c>
      <c r="C1498" t="str">
        <f>IF(A1498="","",'ATP Fills'!M1498)</f>
        <v/>
      </c>
      <c r="D1498" t="str">
        <f>IF(A1498="","",'ATP Fills'!B1498)</f>
        <v/>
      </c>
      <c r="E1498" s="3" t="str">
        <f>IF(A1498="","",IF(DATE(LEFT(D1498,4),MID(D1498,5,2),RIGHT(D1498,2))=Helper1!$P$1,Helper1!$P$1,""))</f>
        <v/>
      </c>
      <c r="F1498" s="3" t="str">
        <f>IF(A1498="","",'ATP Fills'!G1498)</f>
        <v/>
      </c>
      <c r="G1498" t="str">
        <f>IF(A1498="","",'ATP Fills'!H1498)</f>
        <v/>
      </c>
      <c r="H1498" t="str">
        <f>IF(A1498="","",VLOOKUP(G1498,表3_3[],2,0))</f>
        <v/>
      </c>
      <c r="I1498" t="str">
        <f>IF(A1498="","",VLOOKUP(G1498,表3_3[],3,0))</f>
        <v/>
      </c>
      <c r="J1498" t="str">
        <f>IF(A1498="","",IF('ATP Fills'!I1498="3M","",VLOOKUP(RIGHT('ATP Fills'!I1498,2),Helper1!$O$36:$P$48,2,0)))</f>
        <v/>
      </c>
      <c r="K1498" t="str">
        <f>IF(J1498="","",LEFT('ATP Fills'!I1498,4))</f>
        <v/>
      </c>
      <c r="L1498" t="str">
        <f>IF(A1498="","",IF('ATP Fills'!G1498="LME",'ATP Fills'!I1498,""))</f>
        <v/>
      </c>
      <c r="M1498" t="str">
        <f t="shared" si="23"/>
        <v/>
      </c>
    </row>
    <row r="1499" spans="1:13">
      <c r="A1499" t="str">
        <f>IF('ATP Fills'!A1499="","",IF('ATP Fills'!Q1499="PHILLIPSG",'ATP Fills'!F1499,""))</f>
        <v/>
      </c>
      <c r="B1499" t="str">
        <f>IF(A1499="","",'ATP Fills'!L1499)</f>
        <v/>
      </c>
      <c r="C1499" t="str">
        <f>IF(A1499="","",'ATP Fills'!M1499)</f>
        <v/>
      </c>
      <c r="D1499" t="str">
        <f>IF(A1499="","",'ATP Fills'!B1499)</f>
        <v/>
      </c>
      <c r="E1499" s="3" t="str">
        <f>IF(A1499="","",IF(DATE(LEFT(D1499,4),MID(D1499,5,2),RIGHT(D1499,2))=Helper1!$P$1,Helper1!$P$1,""))</f>
        <v/>
      </c>
      <c r="F1499" s="3" t="str">
        <f>IF(A1499="","",'ATP Fills'!G1499)</f>
        <v/>
      </c>
      <c r="G1499" t="str">
        <f>IF(A1499="","",'ATP Fills'!H1499)</f>
        <v/>
      </c>
      <c r="H1499" t="str">
        <f>IF(A1499="","",VLOOKUP(G1499,表3_3[],2,0))</f>
        <v/>
      </c>
      <c r="I1499" t="str">
        <f>IF(A1499="","",VLOOKUP(G1499,表3_3[],3,0))</f>
        <v/>
      </c>
      <c r="J1499" t="str">
        <f>IF(A1499="","",IF('ATP Fills'!I1499="3M","",VLOOKUP(RIGHT('ATP Fills'!I1499,2),Helper1!$O$36:$P$48,2,0)))</f>
        <v/>
      </c>
      <c r="K1499" t="str">
        <f>IF(J1499="","",LEFT('ATP Fills'!I1499,4))</f>
        <v/>
      </c>
      <c r="L1499" t="str">
        <f>IF(A1499="","",IF('ATP Fills'!G1499="LME",'ATP Fills'!I1499,""))</f>
        <v/>
      </c>
      <c r="M1499" t="str">
        <f t="shared" si="23"/>
        <v/>
      </c>
    </row>
    <row r="1500" spans="1:13">
      <c r="A1500" t="str">
        <f>IF('ATP Fills'!A1500="","",IF('ATP Fills'!Q1500="PHILLIPSG",'ATP Fills'!F1500,""))</f>
        <v/>
      </c>
      <c r="B1500" t="str">
        <f>IF(A1500="","",'ATP Fills'!L1500)</f>
        <v/>
      </c>
      <c r="C1500" t="str">
        <f>IF(A1500="","",'ATP Fills'!M1500)</f>
        <v/>
      </c>
      <c r="D1500" t="str">
        <f>IF(A1500="","",'ATP Fills'!B1500)</f>
        <v/>
      </c>
      <c r="E1500" s="3" t="str">
        <f>IF(A1500="","",IF(DATE(LEFT(D1500,4),MID(D1500,5,2),RIGHT(D1500,2))=Helper1!$P$1,Helper1!$P$1,""))</f>
        <v/>
      </c>
      <c r="F1500" s="3" t="str">
        <f>IF(A1500="","",'ATP Fills'!G1500)</f>
        <v/>
      </c>
      <c r="G1500" t="str">
        <f>IF(A1500="","",'ATP Fills'!H1500)</f>
        <v/>
      </c>
      <c r="H1500" t="str">
        <f>IF(A1500="","",VLOOKUP(G1500,表3_3[],2,0))</f>
        <v/>
      </c>
      <c r="I1500" t="str">
        <f>IF(A1500="","",VLOOKUP(G1500,表3_3[],3,0))</f>
        <v/>
      </c>
      <c r="J1500" t="str">
        <f>IF(A1500="","",IF('ATP Fills'!I1500="3M","",VLOOKUP(RIGHT('ATP Fills'!I1500,2),Helper1!$O$36:$P$48,2,0)))</f>
        <v/>
      </c>
      <c r="K1500" t="str">
        <f>IF(J1500="","",LEFT('ATP Fills'!I1500,4))</f>
        <v/>
      </c>
      <c r="L1500" t="str">
        <f>IF(A1500="","",IF('ATP Fills'!G1500="LME",'ATP Fills'!I1500,""))</f>
        <v/>
      </c>
      <c r="M1500" t="str">
        <f t="shared" si="23"/>
        <v/>
      </c>
    </row>
    <row r="1501" spans="1:13">
      <c r="A1501" t="str">
        <f>IF('ATP Fills'!A1501="","",IF('ATP Fills'!Q1501="PHILLIPSG",'ATP Fills'!F1501,""))</f>
        <v/>
      </c>
      <c r="B1501" t="str">
        <f>IF(A1501="","",'ATP Fills'!L1501)</f>
        <v/>
      </c>
      <c r="C1501" t="str">
        <f>IF(A1501="","",'ATP Fills'!M1501)</f>
        <v/>
      </c>
      <c r="D1501" t="str">
        <f>IF(A1501="","",'ATP Fills'!B1501)</f>
        <v/>
      </c>
      <c r="E1501" s="3" t="str">
        <f>IF(A1501="","",IF(DATE(LEFT(D1501,4),MID(D1501,5,2),RIGHT(D1501,2))=Helper1!$P$1,Helper1!$P$1,""))</f>
        <v/>
      </c>
      <c r="F1501" s="3" t="str">
        <f>IF(A1501="","",'ATP Fills'!G1501)</f>
        <v/>
      </c>
      <c r="G1501" t="str">
        <f>IF(A1501="","",'ATP Fills'!H1501)</f>
        <v/>
      </c>
      <c r="H1501" t="str">
        <f>IF(A1501="","",VLOOKUP(G1501,表3_3[],2,0))</f>
        <v/>
      </c>
      <c r="I1501" t="str">
        <f>IF(A1501="","",VLOOKUP(G1501,表3_3[],3,0))</f>
        <v/>
      </c>
      <c r="J1501" t="str">
        <f>IF(A1501="","",IF('ATP Fills'!I1501="3M","",VLOOKUP(RIGHT('ATP Fills'!I1501,2),Helper1!$O$36:$P$48,2,0)))</f>
        <v/>
      </c>
      <c r="K1501" t="str">
        <f>IF(J1501="","",LEFT('ATP Fills'!I1501,4))</f>
        <v/>
      </c>
      <c r="L1501" t="str">
        <f>IF(A1501="","",IF('ATP Fills'!G1501="LME",'ATP Fills'!I1501,""))</f>
        <v/>
      </c>
      <c r="M1501" t="str">
        <f t="shared" si="23"/>
        <v/>
      </c>
    </row>
    <row r="1502" spans="1:13">
      <c r="A1502" t="str">
        <f>IF('ATP Fills'!A1502="","",IF('ATP Fills'!Q1502="PHILLIPSG",'ATP Fills'!F1502,""))</f>
        <v/>
      </c>
      <c r="B1502" t="str">
        <f>IF(A1502="","",'ATP Fills'!L1502)</f>
        <v/>
      </c>
      <c r="C1502" t="str">
        <f>IF(A1502="","",'ATP Fills'!M1502)</f>
        <v/>
      </c>
      <c r="D1502" t="str">
        <f>IF(A1502="","",'ATP Fills'!B1502)</f>
        <v/>
      </c>
      <c r="E1502" s="3" t="str">
        <f>IF(A1502="","",IF(DATE(LEFT(D1502,4),MID(D1502,5,2),RIGHT(D1502,2))=Helper1!$P$1,Helper1!$P$1,""))</f>
        <v/>
      </c>
      <c r="F1502" s="3" t="str">
        <f>IF(A1502="","",'ATP Fills'!G1502)</f>
        <v/>
      </c>
      <c r="G1502" t="str">
        <f>IF(A1502="","",'ATP Fills'!H1502)</f>
        <v/>
      </c>
      <c r="H1502" t="str">
        <f>IF(A1502="","",VLOOKUP(G1502,表3_3[],2,0))</f>
        <v/>
      </c>
      <c r="I1502" t="str">
        <f>IF(A1502="","",VLOOKUP(G1502,表3_3[],3,0))</f>
        <v/>
      </c>
      <c r="J1502" t="str">
        <f>IF(A1502="","",IF('ATP Fills'!I1502="3M","",VLOOKUP(RIGHT('ATP Fills'!I1502,2),Helper1!$O$36:$P$48,2,0)))</f>
        <v/>
      </c>
      <c r="K1502" t="str">
        <f>IF(J1502="","",LEFT('ATP Fills'!I1502,4))</f>
        <v/>
      </c>
      <c r="L1502" t="str">
        <f>IF(A1502="","",IF('ATP Fills'!G1502="LME",'ATP Fills'!I1502,""))</f>
        <v/>
      </c>
      <c r="M1502" t="str">
        <f t="shared" si="23"/>
        <v/>
      </c>
    </row>
    <row r="1503" spans="1:13">
      <c r="A1503" t="str">
        <f>IF('ATP Fills'!A1503="","",IF('ATP Fills'!Q1503="PHILLIPSG",'ATP Fills'!F1503,""))</f>
        <v/>
      </c>
      <c r="B1503" t="str">
        <f>IF(A1503="","",'ATP Fills'!L1503)</f>
        <v/>
      </c>
      <c r="C1503" t="str">
        <f>IF(A1503="","",'ATP Fills'!M1503)</f>
        <v/>
      </c>
      <c r="D1503" t="str">
        <f>IF(A1503="","",'ATP Fills'!B1503)</f>
        <v/>
      </c>
      <c r="E1503" s="3" t="str">
        <f>IF(A1503="","",IF(DATE(LEFT(D1503,4),MID(D1503,5,2),RIGHT(D1503,2))=Helper1!$P$1,Helper1!$P$1,""))</f>
        <v/>
      </c>
      <c r="F1503" s="3" t="str">
        <f>IF(A1503="","",'ATP Fills'!G1503)</f>
        <v/>
      </c>
      <c r="G1503" t="str">
        <f>IF(A1503="","",'ATP Fills'!H1503)</f>
        <v/>
      </c>
      <c r="H1503" t="str">
        <f>IF(A1503="","",VLOOKUP(G1503,表3_3[],2,0))</f>
        <v/>
      </c>
      <c r="I1503" t="str">
        <f>IF(A1503="","",VLOOKUP(G1503,表3_3[],3,0))</f>
        <v/>
      </c>
      <c r="J1503" t="str">
        <f>IF(A1503="","",IF('ATP Fills'!I1503="3M","",VLOOKUP(RIGHT('ATP Fills'!I1503,2),Helper1!$O$36:$P$48,2,0)))</f>
        <v/>
      </c>
      <c r="K1503" t="str">
        <f>IF(J1503="","",LEFT('ATP Fills'!I1503,4))</f>
        <v/>
      </c>
      <c r="L1503" t="str">
        <f>IF(A1503="","",IF('ATP Fills'!G1503="LME",'ATP Fills'!I1503,""))</f>
        <v/>
      </c>
      <c r="M1503" t="str">
        <f t="shared" si="23"/>
        <v/>
      </c>
    </row>
    <row r="1504" spans="1:13">
      <c r="A1504" t="str">
        <f>IF('ATP Fills'!A1504="","",IF('ATP Fills'!Q1504="PHILLIPSG",'ATP Fills'!F1504,""))</f>
        <v/>
      </c>
      <c r="B1504" t="str">
        <f>IF(A1504="","",'ATP Fills'!L1504)</f>
        <v/>
      </c>
      <c r="C1504" t="str">
        <f>IF(A1504="","",'ATP Fills'!M1504)</f>
        <v/>
      </c>
      <c r="D1504" t="str">
        <f>IF(A1504="","",'ATP Fills'!B1504)</f>
        <v/>
      </c>
      <c r="E1504" s="3" t="str">
        <f>IF(A1504="","",IF(DATE(LEFT(D1504,4),MID(D1504,5,2),RIGHT(D1504,2))=Helper1!$P$1,Helper1!$P$1,""))</f>
        <v/>
      </c>
      <c r="F1504" s="3" t="str">
        <f>IF(A1504="","",'ATP Fills'!G1504)</f>
        <v/>
      </c>
      <c r="G1504" t="str">
        <f>IF(A1504="","",'ATP Fills'!H1504)</f>
        <v/>
      </c>
      <c r="H1504" t="str">
        <f>IF(A1504="","",VLOOKUP(G1504,表3_3[],2,0))</f>
        <v/>
      </c>
      <c r="I1504" t="str">
        <f>IF(A1504="","",VLOOKUP(G1504,表3_3[],3,0))</f>
        <v/>
      </c>
      <c r="J1504" t="str">
        <f>IF(A1504="","",IF('ATP Fills'!I1504="3M","",VLOOKUP(RIGHT('ATP Fills'!I1504,2),Helper1!$O$36:$P$48,2,0)))</f>
        <v/>
      </c>
      <c r="K1504" t="str">
        <f>IF(J1504="","",LEFT('ATP Fills'!I1504,4))</f>
        <v/>
      </c>
      <c r="L1504" t="str">
        <f>IF(A1504="","",IF('ATP Fills'!G1504="LME",'ATP Fills'!I1504,""))</f>
        <v/>
      </c>
      <c r="M1504" t="str">
        <f t="shared" si="23"/>
        <v/>
      </c>
    </row>
    <row r="1505" spans="1:13">
      <c r="A1505" t="str">
        <f>IF('ATP Fills'!A1505="","",IF('ATP Fills'!Q1505="PHILLIPSG",'ATP Fills'!F1505,""))</f>
        <v/>
      </c>
      <c r="B1505" t="str">
        <f>IF(A1505="","",'ATP Fills'!L1505)</f>
        <v/>
      </c>
      <c r="C1505" t="str">
        <f>IF(A1505="","",'ATP Fills'!M1505)</f>
        <v/>
      </c>
      <c r="D1505" t="str">
        <f>IF(A1505="","",'ATP Fills'!B1505)</f>
        <v/>
      </c>
      <c r="E1505" s="3" t="str">
        <f>IF(A1505="","",IF(DATE(LEFT(D1505,4),MID(D1505,5,2),RIGHT(D1505,2))=Helper1!$P$1,Helper1!$P$1,""))</f>
        <v/>
      </c>
      <c r="F1505" s="3" t="str">
        <f>IF(A1505="","",'ATP Fills'!G1505)</f>
        <v/>
      </c>
      <c r="G1505" t="str">
        <f>IF(A1505="","",'ATP Fills'!H1505)</f>
        <v/>
      </c>
      <c r="H1505" t="str">
        <f>IF(A1505="","",VLOOKUP(G1505,表3_3[],2,0))</f>
        <v/>
      </c>
      <c r="I1505" t="str">
        <f>IF(A1505="","",VLOOKUP(G1505,表3_3[],3,0))</f>
        <v/>
      </c>
      <c r="J1505" t="str">
        <f>IF(A1505="","",IF('ATP Fills'!I1505="3M","",VLOOKUP(RIGHT('ATP Fills'!I1505,2),Helper1!$O$36:$P$48,2,0)))</f>
        <v/>
      </c>
      <c r="K1505" t="str">
        <f>IF(J1505="","",LEFT('ATP Fills'!I1505,4))</f>
        <v/>
      </c>
      <c r="L1505" t="str">
        <f>IF(A1505="","",IF('ATP Fills'!G1505="LME",'ATP Fills'!I1505,""))</f>
        <v/>
      </c>
      <c r="M1505" t="str">
        <f t="shared" si="23"/>
        <v/>
      </c>
    </row>
    <row r="1506" spans="1:13">
      <c r="A1506" t="str">
        <f>IF('ATP Fills'!A1506="","",IF('ATP Fills'!Q1506="PHILLIPSG",'ATP Fills'!F1506,""))</f>
        <v/>
      </c>
      <c r="B1506" t="str">
        <f>IF(A1506="","",'ATP Fills'!L1506)</f>
        <v/>
      </c>
      <c r="C1506" t="str">
        <f>IF(A1506="","",'ATP Fills'!M1506)</f>
        <v/>
      </c>
      <c r="D1506" t="str">
        <f>IF(A1506="","",'ATP Fills'!B1506)</f>
        <v/>
      </c>
      <c r="E1506" s="3" t="str">
        <f>IF(A1506="","",IF(DATE(LEFT(D1506,4),MID(D1506,5,2),RIGHT(D1506,2))=Helper1!$P$1,Helper1!$P$1,""))</f>
        <v/>
      </c>
      <c r="F1506" s="3" t="str">
        <f>IF(A1506="","",'ATP Fills'!G1506)</f>
        <v/>
      </c>
      <c r="G1506" t="str">
        <f>IF(A1506="","",'ATP Fills'!H1506)</f>
        <v/>
      </c>
      <c r="H1506" t="str">
        <f>IF(A1506="","",VLOOKUP(G1506,表3_3[],2,0))</f>
        <v/>
      </c>
      <c r="I1506" t="str">
        <f>IF(A1506="","",VLOOKUP(G1506,表3_3[],3,0))</f>
        <v/>
      </c>
      <c r="J1506" t="str">
        <f>IF(A1506="","",IF('ATP Fills'!I1506="3M","",VLOOKUP(RIGHT('ATP Fills'!I1506,2),Helper1!$O$36:$P$48,2,0)))</f>
        <v/>
      </c>
      <c r="K1506" t="str">
        <f>IF(J1506="","",LEFT('ATP Fills'!I1506,4))</f>
        <v/>
      </c>
      <c r="L1506" t="str">
        <f>IF(A1506="","",IF('ATP Fills'!G1506="LME",'ATP Fills'!I1506,""))</f>
        <v/>
      </c>
      <c r="M1506" t="str">
        <f t="shared" si="23"/>
        <v/>
      </c>
    </row>
    <row r="1507" spans="1:13">
      <c r="A1507" t="str">
        <f>IF('ATP Fills'!A1507="","",IF('ATP Fills'!Q1507="PHILLIPSG",'ATP Fills'!F1507,""))</f>
        <v/>
      </c>
      <c r="B1507" t="str">
        <f>IF(A1507="","",'ATP Fills'!L1507)</f>
        <v/>
      </c>
      <c r="C1507" t="str">
        <f>IF(A1507="","",'ATP Fills'!M1507)</f>
        <v/>
      </c>
      <c r="D1507" t="str">
        <f>IF(A1507="","",'ATP Fills'!B1507)</f>
        <v/>
      </c>
      <c r="E1507" s="3" t="str">
        <f>IF(A1507="","",IF(DATE(LEFT(D1507,4),MID(D1507,5,2),RIGHT(D1507,2))=Helper1!$P$1,Helper1!$P$1,""))</f>
        <v/>
      </c>
      <c r="F1507" s="3" t="str">
        <f>IF(A1507="","",'ATP Fills'!G1507)</f>
        <v/>
      </c>
      <c r="G1507" t="str">
        <f>IF(A1507="","",'ATP Fills'!H1507)</f>
        <v/>
      </c>
      <c r="H1507" t="str">
        <f>IF(A1507="","",VLOOKUP(G1507,表3_3[],2,0))</f>
        <v/>
      </c>
      <c r="I1507" t="str">
        <f>IF(A1507="","",VLOOKUP(G1507,表3_3[],3,0))</f>
        <v/>
      </c>
      <c r="J1507" t="str">
        <f>IF(A1507="","",IF('ATP Fills'!I1507="3M","",VLOOKUP(RIGHT('ATP Fills'!I1507,2),Helper1!$O$36:$P$48,2,0)))</f>
        <v/>
      </c>
      <c r="K1507" t="str">
        <f>IF(J1507="","",LEFT('ATP Fills'!I1507,4))</f>
        <v/>
      </c>
      <c r="L1507" t="str">
        <f>IF(A1507="","",IF('ATP Fills'!G1507="LME",'ATP Fills'!I1507,""))</f>
        <v/>
      </c>
      <c r="M1507" t="str">
        <f t="shared" si="23"/>
        <v/>
      </c>
    </row>
    <row r="1508" spans="1:13">
      <c r="A1508" t="str">
        <f>IF('ATP Fills'!A1508="","",IF('ATP Fills'!Q1508="PHILLIPSG",'ATP Fills'!F1508,""))</f>
        <v/>
      </c>
      <c r="B1508" t="str">
        <f>IF(A1508="","",'ATP Fills'!L1508)</f>
        <v/>
      </c>
      <c r="C1508" t="str">
        <f>IF(A1508="","",'ATP Fills'!M1508)</f>
        <v/>
      </c>
      <c r="D1508" t="str">
        <f>IF(A1508="","",'ATP Fills'!B1508)</f>
        <v/>
      </c>
      <c r="E1508" s="3" t="str">
        <f>IF(A1508="","",IF(DATE(LEFT(D1508,4),MID(D1508,5,2),RIGHT(D1508,2))=Helper1!$P$1,Helper1!$P$1,""))</f>
        <v/>
      </c>
      <c r="F1508" s="3" t="str">
        <f>IF(A1508="","",'ATP Fills'!G1508)</f>
        <v/>
      </c>
      <c r="G1508" t="str">
        <f>IF(A1508="","",'ATP Fills'!H1508)</f>
        <v/>
      </c>
      <c r="H1508" t="str">
        <f>IF(A1508="","",VLOOKUP(G1508,表3_3[],2,0))</f>
        <v/>
      </c>
      <c r="I1508" t="str">
        <f>IF(A1508="","",VLOOKUP(G1508,表3_3[],3,0))</f>
        <v/>
      </c>
      <c r="J1508" t="str">
        <f>IF(A1508="","",IF('ATP Fills'!I1508="3M","",VLOOKUP(RIGHT('ATP Fills'!I1508,2),Helper1!$O$36:$P$48,2,0)))</f>
        <v/>
      </c>
      <c r="K1508" t="str">
        <f>IF(J1508="","",LEFT('ATP Fills'!I1508,4))</f>
        <v/>
      </c>
      <c r="L1508" t="str">
        <f>IF(A1508="","",IF('ATP Fills'!G1508="LME",'ATP Fills'!I1508,""))</f>
        <v/>
      </c>
      <c r="M1508" t="str">
        <f t="shared" si="23"/>
        <v/>
      </c>
    </row>
    <row r="1509" spans="1:13">
      <c r="A1509" t="str">
        <f>IF('ATP Fills'!A1509="","",IF('ATP Fills'!Q1509="PHILLIPSG",'ATP Fills'!F1509,""))</f>
        <v/>
      </c>
      <c r="B1509" t="str">
        <f>IF(A1509="","",'ATP Fills'!L1509)</f>
        <v/>
      </c>
      <c r="C1509" t="str">
        <f>IF(A1509="","",'ATP Fills'!M1509)</f>
        <v/>
      </c>
      <c r="D1509" t="str">
        <f>IF(A1509="","",'ATP Fills'!B1509)</f>
        <v/>
      </c>
      <c r="E1509" s="3" t="str">
        <f>IF(A1509="","",IF(DATE(LEFT(D1509,4),MID(D1509,5,2),RIGHT(D1509,2))=Helper1!$P$1,Helper1!$P$1,""))</f>
        <v/>
      </c>
      <c r="F1509" s="3" t="str">
        <f>IF(A1509="","",'ATP Fills'!G1509)</f>
        <v/>
      </c>
      <c r="G1509" t="str">
        <f>IF(A1509="","",'ATP Fills'!H1509)</f>
        <v/>
      </c>
      <c r="H1509" t="str">
        <f>IF(A1509="","",VLOOKUP(G1509,表3_3[],2,0))</f>
        <v/>
      </c>
      <c r="I1509" t="str">
        <f>IF(A1509="","",VLOOKUP(G1509,表3_3[],3,0))</f>
        <v/>
      </c>
      <c r="J1509" t="str">
        <f>IF(A1509="","",IF('ATP Fills'!I1509="3M","",VLOOKUP(RIGHT('ATP Fills'!I1509,2),Helper1!$O$36:$P$48,2,0)))</f>
        <v/>
      </c>
      <c r="K1509" t="str">
        <f>IF(J1509="","",LEFT('ATP Fills'!I1509,4))</f>
        <v/>
      </c>
      <c r="L1509" t="str">
        <f>IF(A1509="","",IF('ATP Fills'!G1509="LME",'ATP Fills'!I1509,""))</f>
        <v/>
      </c>
      <c r="M1509" t="str">
        <f t="shared" si="23"/>
        <v/>
      </c>
    </row>
    <row r="1510" spans="1:13">
      <c r="A1510" t="str">
        <f>IF('ATP Fills'!A1510="","",IF('ATP Fills'!Q1510="PHILLIPSG",'ATP Fills'!F1510,""))</f>
        <v/>
      </c>
      <c r="B1510" t="str">
        <f>IF(A1510="","",'ATP Fills'!L1510)</f>
        <v/>
      </c>
      <c r="C1510" t="str">
        <f>IF(A1510="","",'ATP Fills'!M1510)</f>
        <v/>
      </c>
      <c r="D1510" t="str">
        <f>IF(A1510="","",'ATP Fills'!B1510)</f>
        <v/>
      </c>
      <c r="E1510" s="3" t="str">
        <f>IF(A1510="","",IF(DATE(LEFT(D1510,4),MID(D1510,5,2),RIGHT(D1510,2))=Helper1!$P$1,Helper1!$P$1,""))</f>
        <v/>
      </c>
      <c r="F1510" s="3" t="str">
        <f>IF(A1510="","",'ATP Fills'!G1510)</f>
        <v/>
      </c>
      <c r="G1510" t="str">
        <f>IF(A1510="","",'ATP Fills'!H1510)</f>
        <v/>
      </c>
      <c r="H1510" t="str">
        <f>IF(A1510="","",VLOOKUP(G1510,表3_3[],2,0))</f>
        <v/>
      </c>
      <c r="I1510" t="str">
        <f>IF(A1510="","",VLOOKUP(G1510,表3_3[],3,0))</f>
        <v/>
      </c>
      <c r="J1510" t="str">
        <f>IF(A1510="","",IF('ATP Fills'!I1510="3M","",VLOOKUP(RIGHT('ATP Fills'!I1510,2),Helper1!$O$36:$P$48,2,0)))</f>
        <v/>
      </c>
      <c r="K1510" t="str">
        <f>IF(J1510="","",LEFT('ATP Fills'!I1510,4))</f>
        <v/>
      </c>
      <c r="L1510" t="str">
        <f>IF(A1510="","",IF('ATP Fills'!G1510="LME",'ATP Fills'!I1510,""))</f>
        <v/>
      </c>
      <c r="M1510" t="str">
        <f t="shared" si="23"/>
        <v/>
      </c>
    </row>
    <row r="1511" spans="1:13">
      <c r="A1511" t="str">
        <f>IF('ATP Fills'!A1511="","",IF('ATP Fills'!Q1511="PHILLIPSG",'ATP Fills'!F1511,""))</f>
        <v/>
      </c>
      <c r="B1511" t="str">
        <f>IF(A1511="","",'ATP Fills'!L1511)</f>
        <v/>
      </c>
      <c r="C1511" t="str">
        <f>IF(A1511="","",'ATP Fills'!M1511)</f>
        <v/>
      </c>
      <c r="D1511" t="str">
        <f>IF(A1511="","",'ATP Fills'!B1511)</f>
        <v/>
      </c>
      <c r="E1511" s="3" t="str">
        <f>IF(A1511="","",IF(DATE(LEFT(D1511,4),MID(D1511,5,2),RIGHT(D1511,2))=Helper1!$P$1,Helper1!$P$1,""))</f>
        <v/>
      </c>
      <c r="F1511" s="3" t="str">
        <f>IF(A1511="","",'ATP Fills'!G1511)</f>
        <v/>
      </c>
      <c r="G1511" t="str">
        <f>IF(A1511="","",'ATP Fills'!H1511)</f>
        <v/>
      </c>
      <c r="H1511" t="str">
        <f>IF(A1511="","",VLOOKUP(G1511,表3_3[],2,0))</f>
        <v/>
      </c>
      <c r="I1511" t="str">
        <f>IF(A1511="","",VLOOKUP(G1511,表3_3[],3,0))</f>
        <v/>
      </c>
      <c r="J1511" t="str">
        <f>IF(A1511="","",IF('ATP Fills'!I1511="3M","",VLOOKUP(RIGHT('ATP Fills'!I1511,2),Helper1!$O$36:$P$48,2,0)))</f>
        <v/>
      </c>
      <c r="K1511" t="str">
        <f>IF(J1511="","",LEFT('ATP Fills'!I1511,4))</f>
        <v/>
      </c>
      <c r="L1511" t="str">
        <f>IF(A1511="","",IF('ATP Fills'!G1511="LME",'ATP Fills'!I1511,""))</f>
        <v/>
      </c>
      <c r="M1511" t="str">
        <f t="shared" si="23"/>
        <v/>
      </c>
    </row>
    <row r="1512" spans="1:13">
      <c r="A1512" t="str">
        <f>IF('ATP Fills'!A1512="","",IF('ATP Fills'!Q1512="PHILLIPSG",'ATP Fills'!F1512,""))</f>
        <v/>
      </c>
      <c r="B1512" t="str">
        <f>IF(A1512="","",'ATP Fills'!L1512)</f>
        <v/>
      </c>
      <c r="C1512" t="str">
        <f>IF(A1512="","",'ATP Fills'!M1512)</f>
        <v/>
      </c>
      <c r="D1512" t="str">
        <f>IF(A1512="","",'ATP Fills'!B1512)</f>
        <v/>
      </c>
      <c r="E1512" s="3" t="str">
        <f>IF(A1512="","",IF(DATE(LEFT(D1512,4),MID(D1512,5,2),RIGHT(D1512,2))=Helper1!$P$1,Helper1!$P$1,""))</f>
        <v/>
      </c>
      <c r="F1512" s="3" t="str">
        <f>IF(A1512="","",'ATP Fills'!G1512)</f>
        <v/>
      </c>
      <c r="G1512" t="str">
        <f>IF(A1512="","",'ATP Fills'!H1512)</f>
        <v/>
      </c>
      <c r="H1512" t="str">
        <f>IF(A1512="","",VLOOKUP(G1512,表3_3[],2,0))</f>
        <v/>
      </c>
      <c r="I1512" t="str">
        <f>IF(A1512="","",VLOOKUP(G1512,表3_3[],3,0))</f>
        <v/>
      </c>
      <c r="J1512" t="str">
        <f>IF(A1512="","",IF('ATP Fills'!I1512="3M","",VLOOKUP(RIGHT('ATP Fills'!I1512,2),Helper1!$O$36:$P$48,2,0)))</f>
        <v/>
      </c>
      <c r="K1512" t="str">
        <f>IF(J1512="","",LEFT('ATP Fills'!I1512,4))</f>
        <v/>
      </c>
      <c r="L1512" t="str">
        <f>IF(A1512="","",IF('ATP Fills'!G1512="LME",'ATP Fills'!I1512,""))</f>
        <v/>
      </c>
      <c r="M1512" t="str">
        <f t="shared" si="23"/>
        <v/>
      </c>
    </row>
    <row r="1513" spans="1:13">
      <c r="A1513" t="str">
        <f>IF('ATP Fills'!A1513="","",IF('ATP Fills'!Q1513="PHILLIPSG",'ATP Fills'!F1513,""))</f>
        <v/>
      </c>
      <c r="B1513" t="str">
        <f>IF(A1513="","",'ATP Fills'!L1513)</f>
        <v/>
      </c>
      <c r="C1513" t="str">
        <f>IF(A1513="","",'ATP Fills'!M1513)</f>
        <v/>
      </c>
      <c r="D1513" t="str">
        <f>IF(A1513="","",'ATP Fills'!B1513)</f>
        <v/>
      </c>
      <c r="E1513" s="3" t="str">
        <f>IF(A1513="","",IF(DATE(LEFT(D1513,4),MID(D1513,5,2),RIGHT(D1513,2))=Helper1!$P$1,Helper1!$P$1,""))</f>
        <v/>
      </c>
      <c r="F1513" s="3" t="str">
        <f>IF(A1513="","",'ATP Fills'!G1513)</f>
        <v/>
      </c>
      <c r="G1513" t="str">
        <f>IF(A1513="","",'ATP Fills'!H1513)</f>
        <v/>
      </c>
      <c r="H1513" t="str">
        <f>IF(A1513="","",VLOOKUP(G1513,表3_3[],2,0))</f>
        <v/>
      </c>
      <c r="I1513" t="str">
        <f>IF(A1513="","",VLOOKUP(G1513,表3_3[],3,0))</f>
        <v/>
      </c>
      <c r="J1513" t="str">
        <f>IF(A1513="","",IF('ATP Fills'!I1513="3M","",VLOOKUP(RIGHT('ATP Fills'!I1513,2),Helper1!$O$36:$P$48,2,0)))</f>
        <v/>
      </c>
      <c r="K1513" t="str">
        <f>IF(J1513="","",LEFT('ATP Fills'!I1513,4))</f>
        <v/>
      </c>
      <c r="L1513" t="str">
        <f>IF(A1513="","",IF('ATP Fills'!G1513="LME",'ATP Fills'!I1513,""))</f>
        <v/>
      </c>
      <c r="M1513" t="str">
        <f t="shared" si="23"/>
        <v/>
      </c>
    </row>
    <row r="1514" spans="1:13">
      <c r="A1514" t="str">
        <f>IF('ATP Fills'!A1514="","",IF('ATP Fills'!Q1514="PHILLIPSG",'ATP Fills'!F1514,""))</f>
        <v/>
      </c>
      <c r="B1514" t="str">
        <f>IF(A1514="","",'ATP Fills'!L1514)</f>
        <v/>
      </c>
      <c r="C1514" t="str">
        <f>IF(A1514="","",'ATP Fills'!M1514)</f>
        <v/>
      </c>
      <c r="D1514" t="str">
        <f>IF(A1514="","",'ATP Fills'!B1514)</f>
        <v/>
      </c>
      <c r="E1514" s="3" t="str">
        <f>IF(A1514="","",IF(DATE(LEFT(D1514,4),MID(D1514,5,2),RIGHT(D1514,2))=Helper1!$P$1,Helper1!$P$1,""))</f>
        <v/>
      </c>
      <c r="F1514" s="3" t="str">
        <f>IF(A1514="","",'ATP Fills'!G1514)</f>
        <v/>
      </c>
      <c r="G1514" t="str">
        <f>IF(A1514="","",'ATP Fills'!H1514)</f>
        <v/>
      </c>
      <c r="H1514" t="str">
        <f>IF(A1514="","",VLOOKUP(G1514,表3_3[],2,0))</f>
        <v/>
      </c>
      <c r="I1514" t="str">
        <f>IF(A1514="","",VLOOKUP(G1514,表3_3[],3,0))</f>
        <v/>
      </c>
      <c r="J1514" t="str">
        <f>IF(A1514="","",IF('ATP Fills'!I1514="3M","",VLOOKUP(RIGHT('ATP Fills'!I1514,2),Helper1!$O$36:$P$48,2,0)))</f>
        <v/>
      </c>
      <c r="K1514" t="str">
        <f>IF(J1514="","",LEFT('ATP Fills'!I1514,4))</f>
        <v/>
      </c>
      <c r="L1514" t="str">
        <f>IF(A1514="","",IF('ATP Fills'!G1514="LME",'ATP Fills'!I1514,""))</f>
        <v/>
      </c>
      <c r="M1514" t="str">
        <f t="shared" si="23"/>
        <v/>
      </c>
    </row>
    <row r="1515" spans="1:13">
      <c r="A1515" t="str">
        <f>IF('ATP Fills'!A1515="","",IF('ATP Fills'!Q1515="PHILLIPSG",'ATP Fills'!F1515,""))</f>
        <v/>
      </c>
      <c r="B1515" t="str">
        <f>IF(A1515="","",'ATP Fills'!L1515)</f>
        <v/>
      </c>
      <c r="C1515" t="str">
        <f>IF(A1515="","",'ATP Fills'!M1515)</f>
        <v/>
      </c>
      <c r="D1515" t="str">
        <f>IF(A1515="","",'ATP Fills'!B1515)</f>
        <v/>
      </c>
      <c r="E1515" s="3" t="str">
        <f>IF(A1515="","",IF(DATE(LEFT(D1515,4),MID(D1515,5,2),RIGHT(D1515,2))=Helper1!$P$1,Helper1!$P$1,""))</f>
        <v/>
      </c>
      <c r="F1515" s="3" t="str">
        <f>IF(A1515="","",'ATP Fills'!G1515)</f>
        <v/>
      </c>
      <c r="G1515" t="str">
        <f>IF(A1515="","",'ATP Fills'!H1515)</f>
        <v/>
      </c>
      <c r="H1515" t="str">
        <f>IF(A1515="","",VLOOKUP(G1515,表3_3[],2,0))</f>
        <v/>
      </c>
      <c r="I1515" t="str">
        <f>IF(A1515="","",VLOOKUP(G1515,表3_3[],3,0))</f>
        <v/>
      </c>
      <c r="J1515" t="str">
        <f>IF(A1515="","",IF('ATP Fills'!I1515="3M","",VLOOKUP(RIGHT('ATP Fills'!I1515,2),Helper1!$O$36:$P$48,2,0)))</f>
        <v/>
      </c>
      <c r="K1515" t="str">
        <f>IF(J1515="","",LEFT('ATP Fills'!I1515,4))</f>
        <v/>
      </c>
      <c r="L1515" t="str">
        <f>IF(A1515="","",IF('ATP Fills'!G1515="LME",'ATP Fills'!I1515,""))</f>
        <v/>
      </c>
      <c r="M1515" t="str">
        <f t="shared" si="23"/>
        <v/>
      </c>
    </row>
    <row r="1516" spans="1:13">
      <c r="A1516" t="str">
        <f>IF('ATP Fills'!A1516="","",IF('ATP Fills'!Q1516="PHILLIPSG",'ATP Fills'!F1516,""))</f>
        <v/>
      </c>
      <c r="B1516" t="str">
        <f>IF(A1516="","",'ATP Fills'!L1516)</f>
        <v/>
      </c>
      <c r="C1516" t="str">
        <f>IF(A1516="","",'ATP Fills'!M1516)</f>
        <v/>
      </c>
      <c r="D1516" t="str">
        <f>IF(A1516="","",'ATP Fills'!B1516)</f>
        <v/>
      </c>
      <c r="E1516" s="3" t="str">
        <f>IF(A1516="","",IF(DATE(LEFT(D1516,4),MID(D1516,5,2),RIGHT(D1516,2))=Helper1!$P$1,Helper1!$P$1,""))</f>
        <v/>
      </c>
      <c r="F1516" s="3" t="str">
        <f>IF(A1516="","",'ATP Fills'!G1516)</f>
        <v/>
      </c>
      <c r="G1516" t="str">
        <f>IF(A1516="","",'ATP Fills'!H1516)</f>
        <v/>
      </c>
      <c r="H1516" t="str">
        <f>IF(A1516="","",VLOOKUP(G1516,表3_3[],2,0))</f>
        <v/>
      </c>
      <c r="I1516" t="str">
        <f>IF(A1516="","",VLOOKUP(G1516,表3_3[],3,0))</f>
        <v/>
      </c>
      <c r="J1516" t="str">
        <f>IF(A1516="","",IF('ATP Fills'!I1516="3M","",VLOOKUP(RIGHT('ATP Fills'!I1516,2),Helper1!$O$36:$P$48,2,0)))</f>
        <v/>
      </c>
      <c r="K1516" t="str">
        <f>IF(J1516="","",LEFT('ATP Fills'!I1516,4))</f>
        <v/>
      </c>
      <c r="L1516" t="str">
        <f>IF(A1516="","",IF('ATP Fills'!G1516="LME",'ATP Fills'!I1516,""))</f>
        <v/>
      </c>
      <c r="M1516" t="str">
        <f t="shared" si="23"/>
        <v/>
      </c>
    </row>
    <row r="1517" spans="1:13">
      <c r="A1517" t="str">
        <f>IF('ATP Fills'!A1517="","",IF('ATP Fills'!Q1517="PHILLIPSG",'ATP Fills'!F1517,""))</f>
        <v/>
      </c>
      <c r="B1517" t="str">
        <f>IF(A1517="","",'ATP Fills'!L1517)</f>
        <v/>
      </c>
      <c r="C1517" t="str">
        <f>IF(A1517="","",'ATP Fills'!M1517)</f>
        <v/>
      </c>
      <c r="D1517" t="str">
        <f>IF(A1517="","",'ATP Fills'!B1517)</f>
        <v/>
      </c>
      <c r="E1517" s="3" t="str">
        <f>IF(A1517="","",IF(DATE(LEFT(D1517,4),MID(D1517,5,2),RIGHT(D1517,2))=Helper1!$P$1,Helper1!$P$1,""))</f>
        <v/>
      </c>
      <c r="F1517" s="3" t="str">
        <f>IF(A1517="","",'ATP Fills'!G1517)</f>
        <v/>
      </c>
      <c r="G1517" t="str">
        <f>IF(A1517="","",'ATP Fills'!H1517)</f>
        <v/>
      </c>
      <c r="H1517" t="str">
        <f>IF(A1517="","",VLOOKUP(G1517,表3_3[],2,0))</f>
        <v/>
      </c>
      <c r="I1517" t="str">
        <f>IF(A1517="","",VLOOKUP(G1517,表3_3[],3,0))</f>
        <v/>
      </c>
      <c r="J1517" t="str">
        <f>IF(A1517="","",IF('ATP Fills'!I1517="3M","",VLOOKUP(RIGHT('ATP Fills'!I1517,2),Helper1!$O$36:$P$48,2,0)))</f>
        <v/>
      </c>
      <c r="K1517" t="str">
        <f>IF(J1517="","",LEFT('ATP Fills'!I1517,4))</f>
        <v/>
      </c>
      <c r="L1517" t="str">
        <f>IF(A1517="","",IF('ATP Fills'!G1517="LME",'ATP Fills'!I1517,""))</f>
        <v/>
      </c>
      <c r="M1517" t="str">
        <f t="shared" si="23"/>
        <v/>
      </c>
    </row>
    <row r="1518" spans="1:13">
      <c r="A1518" t="str">
        <f>IF('ATP Fills'!A1518="","",IF('ATP Fills'!Q1518="PHILLIPSG",'ATP Fills'!F1518,""))</f>
        <v/>
      </c>
      <c r="B1518" t="str">
        <f>IF(A1518="","",'ATP Fills'!L1518)</f>
        <v/>
      </c>
      <c r="C1518" t="str">
        <f>IF(A1518="","",'ATP Fills'!M1518)</f>
        <v/>
      </c>
      <c r="D1518" t="str">
        <f>IF(A1518="","",'ATP Fills'!B1518)</f>
        <v/>
      </c>
      <c r="E1518" s="3" t="str">
        <f>IF(A1518="","",IF(DATE(LEFT(D1518,4),MID(D1518,5,2),RIGHT(D1518,2))=Helper1!$P$1,Helper1!$P$1,""))</f>
        <v/>
      </c>
      <c r="F1518" s="3" t="str">
        <f>IF(A1518="","",'ATP Fills'!G1518)</f>
        <v/>
      </c>
      <c r="G1518" t="str">
        <f>IF(A1518="","",'ATP Fills'!H1518)</f>
        <v/>
      </c>
      <c r="H1518" t="str">
        <f>IF(A1518="","",VLOOKUP(G1518,表3_3[],2,0))</f>
        <v/>
      </c>
      <c r="I1518" t="str">
        <f>IF(A1518="","",VLOOKUP(G1518,表3_3[],3,0))</f>
        <v/>
      </c>
      <c r="J1518" t="str">
        <f>IF(A1518="","",IF('ATP Fills'!I1518="3M","",VLOOKUP(RIGHT('ATP Fills'!I1518,2),Helper1!$O$36:$P$48,2,0)))</f>
        <v/>
      </c>
      <c r="K1518" t="str">
        <f>IF(J1518="","",LEFT('ATP Fills'!I1518,4))</f>
        <v/>
      </c>
      <c r="L1518" t="str">
        <f>IF(A1518="","",IF('ATP Fills'!G1518="LME",'ATP Fills'!I1518,""))</f>
        <v/>
      </c>
      <c r="M1518" t="str">
        <f t="shared" si="23"/>
        <v/>
      </c>
    </row>
    <row r="1519" spans="1:13">
      <c r="A1519" t="str">
        <f>IF('ATP Fills'!A1519="","",IF('ATP Fills'!Q1519="PHILLIPSG",'ATP Fills'!F1519,""))</f>
        <v/>
      </c>
      <c r="B1519" t="str">
        <f>IF(A1519="","",'ATP Fills'!L1519)</f>
        <v/>
      </c>
      <c r="C1519" t="str">
        <f>IF(A1519="","",'ATP Fills'!M1519)</f>
        <v/>
      </c>
      <c r="D1519" t="str">
        <f>IF(A1519="","",'ATP Fills'!B1519)</f>
        <v/>
      </c>
      <c r="E1519" s="3" t="str">
        <f>IF(A1519="","",IF(DATE(LEFT(D1519,4),MID(D1519,5,2),RIGHT(D1519,2))=Helper1!$P$1,Helper1!$P$1,""))</f>
        <v/>
      </c>
      <c r="F1519" s="3" t="str">
        <f>IF(A1519="","",'ATP Fills'!G1519)</f>
        <v/>
      </c>
      <c r="G1519" t="str">
        <f>IF(A1519="","",'ATP Fills'!H1519)</f>
        <v/>
      </c>
      <c r="H1519" t="str">
        <f>IF(A1519="","",VLOOKUP(G1519,表3_3[],2,0))</f>
        <v/>
      </c>
      <c r="I1519" t="str">
        <f>IF(A1519="","",VLOOKUP(G1519,表3_3[],3,0))</f>
        <v/>
      </c>
      <c r="J1519" t="str">
        <f>IF(A1519="","",IF('ATP Fills'!I1519="3M","",VLOOKUP(RIGHT('ATP Fills'!I1519,2),Helper1!$O$36:$P$48,2,0)))</f>
        <v/>
      </c>
      <c r="K1519" t="str">
        <f>IF(J1519="","",LEFT('ATP Fills'!I1519,4))</f>
        <v/>
      </c>
      <c r="L1519" t="str">
        <f>IF(A1519="","",IF('ATP Fills'!G1519="LME",'ATP Fills'!I1519,""))</f>
        <v/>
      </c>
      <c r="M1519" t="str">
        <f t="shared" si="23"/>
        <v/>
      </c>
    </row>
    <row r="1520" spans="1:13">
      <c r="A1520" t="str">
        <f>IF('ATP Fills'!A1520="","",IF('ATP Fills'!Q1520="PHILLIPSG",'ATP Fills'!F1520,""))</f>
        <v/>
      </c>
      <c r="B1520" t="str">
        <f>IF(A1520="","",'ATP Fills'!L1520)</f>
        <v/>
      </c>
      <c r="C1520" t="str">
        <f>IF(A1520="","",'ATP Fills'!M1520)</f>
        <v/>
      </c>
      <c r="D1520" t="str">
        <f>IF(A1520="","",'ATP Fills'!B1520)</f>
        <v/>
      </c>
      <c r="E1520" s="3" t="str">
        <f>IF(A1520="","",IF(DATE(LEFT(D1520,4),MID(D1520,5,2),RIGHT(D1520,2))=Helper1!$P$1,Helper1!$P$1,""))</f>
        <v/>
      </c>
      <c r="F1520" s="3" t="str">
        <f>IF(A1520="","",'ATP Fills'!G1520)</f>
        <v/>
      </c>
      <c r="G1520" t="str">
        <f>IF(A1520="","",'ATP Fills'!H1520)</f>
        <v/>
      </c>
      <c r="H1520" t="str">
        <f>IF(A1520="","",VLOOKUP(G1520,表3_3[],2,0))</f>
        <v/>
      </c>
      <c r="I1520" t="str">
        <f>IF(A1520="","",VLOOKUP(G1520,表3_3[],3,0))</f>
        <v/>
      </c>
      <c r="J1520" t="str">
        <f>IF(A1520="","",IF('ATP Fills'!I1520="3M","",VLOOKUP(RIGHT('ATP Fills'!I1520,2),Helper1!$O$36:$P$48,2,0)))</f>
        <v/>
      </c>
      <c r="K1520" t="str">
        <f>IF(J1520="","",LEFT('ATP Fills'!I1520,4))</f>
        <v/>
      </c>
      <c r="L1520" t="str">
        <f>IF(A1520="","",IF('ATP Fills'!G1520="LME",'ATP Fills'!I1520,""))</f>
        <v/>
      </c>
      <c r="M1520" t="str">
        <f t="shared" si="23"/>
        <v/>
      </c>
    </row>
    <row r="1521" spans="1:13">
      <c r="A1521" t="str">
        <f>IF('ATP Fills'!A1521="","",IF('ATP Fills'!Q1521="PHILLIPSG",'ATP Fills'!F1521,""))</f>
        <v/>
      </c>
      <c r="B1521" t="str">
        <f>IF(A1521="","",'ATP Fills'!L1521)</f>
        <v/>
      </c>
      <c r="C1521" t="str">
        <f>IF(A1521="","",'ATP Fills'!M1521)</f>
        <v/>
      </c>
      <c r="D1521" t="str">
        <f>IF(A1521="","",'ATP Fills'!B1521)</f>
        <v/>
      </c>
      <c r="E1521" s="3" t="str">
        <f>IF(A1521="","",IF(DATE(LEFT(D1521,4),MID(D1521,5,2),RIGHT(D1521,2))=Helper1!$P$1,Helper1!$P$1,""))</f>
        <v/>
      </c>
      <c r="F1521" s="3" t="str">
        <f>IF(A1521="","",'ATP Fills'!G1521)</f>
        <v/>
      </c>
      <c r="G1521" t="str">
        <f>IF(A1521="","",'ATP Fills'!H1521)</f>
        <v/>
      </c>
      <c r="H1521" t="str">
        <f>IF(A1521="","",VLOOKUP(G1521,表3_3[],2,0))</f>
        <v/>
      </c>
      <c r="I1521" t="str">
        <f>IF(A1521="","",VLOOKUP(G1521,表3_3[],3,0))</f>
        <v/>
      </c>
      <c r="J1521" t="str">
        <f>IF(A1521="","",IF('ATP Fills'!I1521="3M","",VLOOKUP(RIGHT('ATP Fills'!I1521,2),Helper1!$O$36:$P$48,2,0)))</f>
        <v/>
      </c>
      <c r="K1521" t="str">
        <f>IF(J1521="","",LEFT('ATP Fills'!I1521,4))</f>
        <v/>
      </c>
      <c r="L1521" t="str">
        <f>IF(A1521="","",IF('ATP Fills'!G1521="LME",'ATP Fills'!I1521,""))</f>
        <v/>
      </c>
      <c r="M1521" t="str">
        <f t="shared" si="23"/>
        <v/>
      </c>
    </row>
    <row r="1522" spans="1:13">
      <c r="A1522" t="str">
        <f>IF('ATP Fills'!A1522="","",IF('ATP Fills'!Q1522="PHILLIPSG",'ATP Fills'!F1522,""))</f>
        <v/>
      </c>
      <c r="B1522" t="str">
        <f>IF(A1522="","",'ATP Fills'!L1522)</f>
        <v/>
      </c>
      <c r="C1522" t="str">
        <f>IF(A1522="","",'ATP Fills'!M1522)</f>
        <v/>
      </c>
      <c r="D1522" t="str">
        <f>IF(A1522="","",'ATP Fills'!B1522)</f>
        <v/>
      </c>
      <c r="E1522" s="3" t="str">
        <f>IF(A1522="","",IF(DATE(LEFT(D1522,4),MID(D1522,5,2),RIGHT(D1522,2))=Helper1!$P$1,Helper1!$P$1,""))</f>
        <v/>
      </c>
      <c r="F1522" s="3" t="str">
        <f>IF(A1522="","",'ATP Fills'!G1522)</f>
        <v/>
      </c>
      <c r="G1522" t="str">
        <f>IF(A1522="","",'ATP Fills'!H1522)</f>
        <v/>
      </c>
      <c r="H1522" t="str">
        <f>IF(A1522="","",VLOOKUP(G1522,表3_3[],2,0))</f>
        <v/>
      </c>
      <c r="I1522" t="str">
        <f>IF(A1522="","",VLOOKUP(G1522,表3_3[],3,0))</f>
        <v/>
      </c>
      <c r="J1522" t="str">
        <f>IF(A1522="","",IF('ATP Fills'!I1522="3M","",VLOOKUP(RIGHT('ATP Fills'!I1522,2),Helper1!$O$36:$P$48,2,0)))</f>
        <v/>
      </c>
      <c r="K1522" t="str">
        <f>IF(J1522="","",LEFT('ATP Fills'!I1522,4))</f>
        <v/>
      </c>
      <c r="L1522" t="str">
        <f>IF(A1522="","",IF('ATP Fills'!G1522="LME",'ATP Fills'!I1522,""))</f>
        <v/>
      </c>
      <c r="M1522" t="str">
        <f t="shared" si="23"/>
        <v/>
      </c>
    </row>
    <row r="1523" spans="1:13">
      <c r="A1523" t="str">
        <f>IF('ATP Fills'!A1523="","",IF('ATP Fills'!Q1523="PHILLIPSG",'ATP Fills'!F1523,""))</f>
        <v/>
      </c>
      <c r="B1523" t="str">
        <f>IF(A1523="","",'ATP Fills'!L1523)</f>
        <v/>
      </c>
      <c r="C1523" t="str">
        <f>IF(A1523="","",'ATP Fills'!M1523)</f>
        <v/>
      </c>
      <c r="D1523" t="str">
        <f>IF(A1523="","",'ATP Fills'!B1523)</f>
        <v/>
      </c>
      <c r="E1523" s="3" t="str">
        <f>IF(A1523="","",IF(DATE(LEFT(D1523,4),MID(D1523,5,2),RIGHT(D1523,2))=Helper1!$P$1,Helper1!$P$1,""))</f>
        <v/>
      </c>
      <c r="F1523" s="3" t="str">
        <f>IF(A1523="","",'ATP Fills'!G1523)</f>
        <v/>
      </c>
      <c r="G1523" t="str">
        <f>IF(A1523="","",'ATP Fills'!H1523)</f>
        <v/>
      </c>
      <c r="H1523" t="str">
        <f>IF(A1523="","",VLOOKUP(G1523,表3_3[],2,0))</f>
        <v/>
      </c>
      <c r="I1523" t="str">
        <f>IF(A1523="","",VLOOKUP(G1523,表3_3[],3,0))</f>
        <v/>
      </c>
      <c r="J1523" t="str">
        <f>IF(A1523="","",IF('ATP Fills'!I1523="3M","",VLOOKUP(RIGHT('ATP Fills'!I1523,2),Helper1!$O$36:$P$48,2,0)))</f>
        <v/>
      </c>
      <c r="K1523" t="str">
        <f>IF(J1523="","",LEFT('ATP Fills'!I1523,4))</f>
        <v/>
      </c>
      <c r="L1523" t="str">
        <f>IF(A1523="","",IF('ATP Fills'!G1523="LME",'ATP Fills'!I1523,""))</f>
        <v/>
      </c>
      <c r="M1523" t="str">
        <f t="shared" si="23"/>
        <v/>
      </c>
    </row>
    <row r="1524" spans="1:13">
      <c r="A1524" t="str">
        <f>IF('ATP Fills'!A1524="","",IF('ATP Fills'!Q1524="PHILLIPSG",'ATP Fills'!F1524,""))</f>
        <v/>
      </c>
      <c r="B1524" t="str">
        <f>IF(A1524="","",'ATP Fills'!L1524)</f>
        <v/>
      </c>
      <c r="C1524" t="str">
        <f>IF(A1524="","",'ATP Fills'!M1524)</f>
        <v/>
      </c>
      <c r="D1524" t="str">
        <f>IF(A1524="","",'ATP Fills'!B1524)</f>
        <v/>
      </c>
      <c r="E1524" s="3" t="str">
        <f>IF(A1524="","",IF(DATE(LEFT(D1524,4),MID(D1524,5,2),RIGHT(D1524,2))=Helper1!$P$1,Helper1!$P$1,""))</f>
        <v/>
      </c>
      <c r="F1524" s="3" t="str">
        <f>IF(A1524="","",'ATP Fills'!G1524)</f>
        <v/>
      </c>
      <c r="G1524" t="str">
        <f>IF(A1524="","",'ATP Fills'!H1524)</f>
        <v/>
      </c>
      <c r="H1524" t="str">
        <f>IF(A1524="","",VLOOKUP(G1524,表3_3[],2,0))</f>
        <v/>
      </c>
      <c r="I1524" t="str">
        <f>IF(A1524="","",VLOOKUP(G1524,表3_3[],3,0))</f>
        <v/>
      </c>
      <c r="J1524" t="str">
        <f>IF(A1524="","",IF('ATP Fills'!I1524="3M","",VLOOKUP(RIGHT('ATP Fills'!I1524,2),Helper1!$O$36:$P$48,2,0)))</f>
        <v/>
      </c>
      <c r="K1524" t="str">
        <f>IF(J1524="","",LEFT('ATP Fills'!I1524,4))</f>
        <v/>
      </c>
      <c r="L1524" t="str">
        <f>IF(A1524="","",IF('ATP Fills'!G1524="LME",'ATP Fills'!I1524,""))</f>
        <v/>
      </c>
      <c r="M1524" t="str">
        <f t="shared" si="23"/>
        <v/>
      </c>
    </row>
    <row r="1525" spans="1:13">
      <c r="A1525" t="str">
        <f>IF('ATP Fills'!A1525="","",IF('ATP Fills'!Q1525="PHILLIPSG",'ATP Fills'!F1525,""))</f>
        <v/>
      </c>
      <c r="B1525" t="str">
        <f>IF(A1525="","",'ATP Fills'!L1525)</f>
        <v/>
      </c>
      <c r="C1525" t="str">
        <f>IF(A1525="","",'ATP Fills'!M1525)</f>
        <v/>
      </c>
      <c r="D1525" t="str">
        <f>IF(A1525="","",'ATP Fills'!B1525)</f>
        <v/>
      </c>
      <c r="E1525" s="3" t="str">
        <f>IF(A1525="","",IF(DATE(LEFT(D1525,4),MID(D1525,5,2),RIGHT(D1525,2))=Helper1!$P$1,Helper1!$P$1,""))</f>
        <v/>
      </c>
      <c r="F1525" s="3" t="str">
        <f>IF(A1525="","",'ATP Fills'!G1525)</f>
        <v/>
      </c>
      <c r="G1525" t="str">
        <f>IF(A1525="","",'ATP Fills'!H1525)</f>
        <v/>
      </c>
      <c r="H1525" t="str">
        <f>IF(A1525="","",VLOOKUP(G1525,表3_3[],2,0))</f>
        <v/>
      </c>
      <c r="I1525" t="str">
        <f>IF(A1525="","",VLOOKUP(G1525,表3_3[],3,0))</f>
        <v/>
      </c>
      <c r="J1525" t="str">
        <f>IF(A1525="","",IF('ATP Fills'!I1525="3M","",VLOOKUP(RIGHT('ATP Fills'!I1525,2),Helper1!$O$36:$P$48,2,0)))</f>
        <v/>
      </c>
      <c r="K1525" t="str">
        <f>IF(J1525="","",LEFT('ATP Fills'!I1525,4))</f>
        <v/>
      </c>
      <c r="L1525" t="str">
        <f>IF(A1525="","",IF('ATP Fills'!G1525="LME",'ATP Fills'!I1525,""))</f>
        <v/>
      </c>
      <c r="M1525" t="str">
        <f t="shared" si="23"/>
        <v/>
      </c>
    </row>
    <row r="1526" spans="1:13">
      <c r="A1526" t="str">
        <f>IF('ATP Fills'!A1526="","",IF('ATP Fills'!Q1526="PHILLIPSG",'ATP Fills'!F1526,""))</f>
        <v/>
      </c>
      <c r="B1526" t="str">
        <f>IF(A1526="","",'ATP Fills'!L1526)</f>
        <v/>
      </c>
      <c r="C1526" t="str">
        <f>IF(A1526="","",'ATP Fills'!M1526)</f>
        <v/>
      </c>
      <c r="D1526" t="str">
        <f>IF(A1526="","",'ATP Fills'!B1526)</f>
        <v/>
      </c>
      <c r="E1526" s="3" t="str">
        <f>IF(A1526="","",IF(DATE(LEFT(D1526,4),MID(D1526,5,2),RIGHT(D1526,2))=Helper1!$P$1,Helper1!$P$1,""))</f>
        <v/>
      </c>
      <c r="F1526" s="3" t="str">
        <f>IF(A1526="","",'ATP Fills'!G1526)</f>
        <v/>
      </c>
      <c r="G1526" t="str">
        <f>IF(A1526="","",'ATP Fills'!H1526)</f>
        <v/>
      </c>
      <c r="H1526" t="str">
        <f>IF(A1526="","",VLOOKUP(G1526,表3_3[],2,0))</f>
        <v/>
      </c>
      <c r="I1526" t="str">
        <f>IF(A1526="","",VLOOKUP(G1526,表3_3[],3,0))</f>
        <v/>
      </c>
      <c r="J1526" t="str">
        <f>IF(A1526="","",IF('ATP Fills'!I1526="3M","",VLOOKUP(RIGHT('ATP Fills'!I1526,2),Helper1!$O$36:$P$48,2,0)))</f>
        <v/>
      </c>
      <c r="K1526" t="str">
        <f>IF(J1526="","",LEFT('ATP Fills'!I1526,4))</f>
        <v/>
      </c>
      <c r="L1526" t="str">
        <f>IF(A1526="","",IF('ATP Fills'!G1526="LME",'ATP Fills'!I1526,""))</f>
        <v/>
      </c>
      <c r="M1526" t="str">
        <f t="shared" si="23"/>
        <v/>
      </c>
    </row>
    <row r="1527" spans="1:13">
      <c r="A1527" t="str">
        <f>IF('ATP Fills'!A1527="","",IF('ATP Fills'!Q1527="PHILLIPSG",'ATP Fills'!F1527,""))</f>
        <v/>
      </c>
      <c r="B1527" t="str">
        <f>IF(A1527="","",'ATP Fills'!L1527)</f>
        <v/>
      </c>
      <c r="C1527" t="str">
        <f>IF(A1527="","",'ATP Fills'!M1527)</f>
        <v/>
      </c>
      <c r="D1527" t="str">
        <f>IF(A1527="","",'ATP Fills'!B1527)</f>
        <v/>
      </c>
      <c r="E1527" s="3" t="str">
        <f>IF(A1527="","",IF(DATE(LEFT(D1527,4),MID(D1527,5,2),RIGHT(D1527,2))=Helper1!$P$1,Helper1!$P$1,""))</f>
        <v/>
      </c>
      <c r="F1527" s="3" t="str">
        <f>IF(A1527="","",'ATP Fills'!G1527)</f>
        <v/>
      </c>
      <c r="G1527" t="str">
        <f>IF(A1527="","",'ATP Fills'!H1527)</f>
        <v/>
      </c>
      <c r="H1527" t="str">
        <f>IF(A1527="","",VLOOKUP(G1527,表3_3[],2,0))</f>
        <v/>
      </c>
      <c r="I1527" t="str">
        <f>IF(A1527="","",VLOOKUP(G1527,表3_3[],3,0))</f>
        <v/>
      </c>
      <c r="J1527" t="str">
        <f>IF(A1527="","",IF('ATP Fills'!I1527="3M","",VLOOKUP(RIGHT('ATP Fills'!I1527,2),Helper1!$O$36:$P$48,2,0)))</f>
        <v/>
      </c>
      <c r="K1527" t="str">
        <f>IF(J1527="","",LEFT('ATP Fills'!I1527,4))</f>
        <v/>
      </c>
      <c r="L1527" t="str">
        <f>IF(A1527="","",IF('ATP Fills'!G1527="LME",'ATP Fills'!I1527,""))</f>
        <v/>
      </c>
      <c r="M1527" t="str">
        <f t="shared" si="23"/>
        <v/>
      </c>
    </row>
    <row r="1528" spans="1:13">
      <c r="A1528" t="str">
        <f>IF('ATP Fills'!A1528="","",IF('ATP Fills'!Q1528="PHILLIPSG",'ATP Fills'!F1528,""))</f>
        <v/>
      </c>
      <c r="B1528" t="str">
        <f>IF(A1528="","",'ATP Fills'!L1528)</f>
        <v/>
      </c>
      <c r="C1528" t="str">
        <f>IF(A1528="","",'ATP Fills'!M1528)</f>
        <v/>
      </c>
      <c r="D1528" t="str">
        <f>IF(A1528="","",'ATP Fills'!B1528)</f>
        <v/>
      </c>
      <c r="E1528" s="3" t="str">
        <f>IF(A1528="","",IF(DATE(LEFT(D1528,4),MID(D1528,5,2),RIGHT(D1528,2))=Helper1!$P$1,Helper1!$P$1,""))</f>
        <v/>
      </c>
      <c r="F1528" s="3" t="str">
        <f>IF(A1528="","",'ATP Fills'!G1528)</f>
        <v/>
      </c>
      <c r="G1528" t="str">
        <f>IF(A1528="","",'ATP Fills'!H1528)</f>
        <v/>
      </c>
      <c r="H1528" t="str">
        <f>IF(A1528="","",VLOOKUP(G1528,表3_3[],2,0))</f>
        <v/>
      </c>
      <c r="I1528" t="str">
        <f>IF(A1528="","",VLOOKUP(G1528,表3_3[],3,0))</f>
        <v/>
      </c>
      <c r="J1528" t="str">
        <f>IF(A1528="","",IF('ATP Fills'!I1528="3M","",VLOOKUP(RIGHT('ATP Fills'!I1528,2),Helper1!$O$36:$P$48,2,0)))</f>
        <v/>
      </c>
      <c r="K1528" t="str">
        <f>IF(J1528="","",LEFT('ATP Fills'!I1528,4))</f>
        <v/>
      </c>
      <c r="L1528" t="str">
        <f>IF(A1528="","",IF('ATP Fills'!G1528="LME",'ATP Fills'!I1528,""))</f>
        <v/>
      </c>
      <c r="M1528" t="str">
        <f t="shared" si="23"/>
        <v/>
      </c>
    </row>
    <row r="1529" spans="1:13">
      <c r="A1529" t="str">
        <f>IF('ATP Fills'!A1529="","",IF('ATP Fills'!Q1529="PHILLIPSG",'ATP Fills'!F1529,""))</f>
        <v/>
      </c>
      <c r="B1529" t="str">
        <f>IF(A1529="","",'ATP Fills'!L1529)</f>
        <v/>
      </c>
      <c r="C1529" t="str">
        <f>IF(A1529="","",'ATP Fills'!M1529)</f>
        <v/>
      </c>
      <c r="D1529" t="str">
        <f>IF(A1529="","",'ATP Fills'!B1529)</f>
        <v/>
      </c>
      <c r="E1529" s="3" t="str">
        <f>IF(A1529="","",IF(DATE(LEFT(D1529,4),MID(D1529,5,2),RIGHT(D1529,2))=Helper1!$P$1,Helper1!$P$1,""))</f>
        <v/>
      </c>
      <c r="F1529" s="3" t="str">
        <f>IF(A1529="","",'ATP Fills'!G1529)</f>
        <v/>
      </c>
      <c r="G1529" t="str">
        <f>IF(A1529="","",'ATP Fills'!H1529)</f>
        <v/>
      </c>
      <c r="H1529" t="str">
        <f>IF(A1529="","",VLOOKUP(G1529,表3_3[],2,0))</f>
        <v/>
      </c>
      <c r="I1529" t="str">
        <f>IF(A1529="","",VLOOKUP(G1529,表3_3[],3,0))</f>
        <v/>
      </c>
      <c r="J1529" t="str">
        <f>IF(A1529="","",IF('ATP Fills'!I1529="3M","",VLOOKUP(RIGHT('ATP Fills'!I1529,2),Helper1!$O$36:$P$48,2,0)))</f>
        <v/>
      </c>
      <c r="K1529" t="str">
        <f>IF(J1529="","",LEFT('ATP Fills'!I1529,4))</f>
        <v/>
      </c>
      <c r="L1529" t="str">
        <f>IF(A1529="","",IF('ATP Fills'!G1529="LME",'ATP Fills'!I1529,""))</f>
        <v/>
      </c>
      <c r="M1529" t="str">
        <f t="shared" si="23"/>
        <v/>
      </c>
    </row>
    <row r="1530" spans="1:13">
      <c r="A1530" t="str">
        <f>IF('ATP Fills'!A1530="","",IF('ATP Fills'!Q1530="PHILLIPSG",'ATP Fills'!F1530,""))</f>
        <v/>
      </c>
      <c r="B1530" t="str">
        <f>IF(A1530="","",'ATP Fills'!L1530)</f>
        <v/>
      </c>
      <c r="C1530" t="str">
        <f>IF(A1530="","",'ATP Fills'!M1530)</f>
        <v/>
      </c>
      <c r="D1530" t="str">
        <f>IF(A1530="","",'ATP Fills'!B1530)</f>
        <v/>
      </c>
      <c r="E1530" s="3" t="str">
        <f>IF(A1530="","",IF(DATE(LEFT(D1530,4),MID(D1530,5,2),RIGHT(D1530,2))=Helper1!$P$1,Helper1!$P$1,""))</f>
        <v/>
      </c>
      <c r="F1530" s="3" t="str">
        <f>IF(A1530="","",'ATP Fills'!G1530)</f>
        <v/>
      </c>
      <c r="G1530" t="str">
        <f>IF(A1530="","",'ATP Fills'!H1530)</f>
        <v/>
      </c>
      <c r="H1530" t="str">
        <f>IF(A1530="","",VLOOKUP(G1530,表3_3[],2,0))</f>
        <v/>
      </c>
      <c r="I1530" t="str">
        <f>IF(A1530="","",VLOOKUP(G1530,表3_3[],3,0))</f>
        <v/>
      </c>
      <c r="J1530" t="str">
        <f>IF(A1530="","",IF('ATP Fills'!I1530="3M","",VLOOKUP(RIGHT('ATP Fills'!I1530,2),Helper1!$O$36:$P$48,2,0)))</f>
        <v/>
      </c>
      <c r="K1530" t="str">
        <f>IF(J1530="","",LEFT('ATP Fills'!I1530,4))</f>
        <v/>
      </c>
      <c r="L1530" t="str">
        <f>IF(A1530="","",IF('ATP Fills'!G1530="LME",'ATP Fills'!I1530,""))</f>
        <v/>
      </c>
      <c r="M1530" t="str">
        <f t="shared" si="23"/>
        <v/>
      </c>
    </row>
    <row r="1531" spans="1:13">
      <c r="A1531" t="str">
        <f>IF('ATP Fills'!A1531="","",IF('ATP Fills'!Q1531="PHILLIPSG",'ATP Fills'!F1531,""))</f>
        <v/>
      </c>
      <c r="B1531" t="str">
        <f>IF(A1531="","",'ATP Fills'!L1531)</f>
        <v/>
      </c>
      <c r="C1531" t="str">
        <f>IF(A1531="","",'ATP Fills'!M1531)</f>
        <v/>
      </c>
      <c r="D1531" t="str">
        <f>IF(A1531="","",'ATP Fills'!B1531)</f>
        <v/>
      </c>
      <c r="E1531" s="3" t="str">
        <f>IF(A1531="","",IF(DATE(LEFT(D1531,4),MID(D1531,5,2),RIGHT(D1531,2))=Helper1!$P$1,Helper1!$P$1,""))</f>
        <v/>
      </c>
      <c r="F1531" s="3" t="str">
        <f>IF(A1531="","",'ATP Fills'!G1531)</f>
        <v/>
      </c>
      <c r="G1531" t="str">
        <f>IF(A1531="","",'ATP Fills'!H1531)</f>
        <v/>
      </c>
      <c r="H1531" t="str">
        <f>IF(A1531="","",VLOOKUP(G1531,表3_3[],2,0))</f>
        <v/>
      </c>
      <c r="I1531" t="str">
        <f>IF(A1531="","",VLOOKUP(G1531,表3_3[],3,0))</f>
        <v/>
      </c>
      <c r="J1531" t="str">
        <f>IF(A1531="","",IF('ATP Fills'!I1531="3M","",VLOOKUP(RIGHT('ATP Fills'!I1531,2),Helper1!$O$36:$P$48,2,0)))</f>
        <v/>
      </c>
      <c r="K1531" t="str">
        <f>IF(J1531="","",LEFT('ATP Fills'!I1531,4))</f>
        <v/>
      </c>
      <c r="L1531" t="str">
        <f>IF(A1531="","",IF('ATP Fills'!G1531="LME",'ATP Fills'!I1531,""))</f>
        <v/>
      </c>
      <c r="M1531" t="str">
        <f t="shared" si="23"/>
        <v/>
      </c>
    </row>
    <row r="1532" spans="1:13">
      <c r="A1532" t="str">
        <f>IF('ATP Fills'!A1532="","",IF('ATP Fills'!Q1532="PHILLIPSG",'ATP Fills'!F1532,""))</f>
        <v/>
      </c>
      <c r="B1532" t="str">
        <f>IF(A1532="","",'ATP Fills'!L1532)</f>
        <v/>
      </c>
      <c r="C1532" t="str">
        <f>IF(A1532="","",'ATP Fills'!M1532)</f>
        <v/>
      </c>
      <c r="D1532" t="str">
        <f>IF(A1532="","",'ATP Fills'!B1532)</f>
        <v/>
      </c>
      <c r="E1532" s="3" t="str">
        <f>IF(A1532="","",IF(DATE(LEFT(D1532,4),MID(D1532,5,2),RIGHT(D1532,2))=Helper1!$P$1,Helper1!$P$1,""))</f>
        <v/>
      </c>
      <c r="F1532" s="3" t="str">
        <f>IF(A1532="","",'ATP Fills'!G1532)</f>
        <v/>
      </c>
      <c r="G1532" t="str">
        <f>IF(A1532="","",'ATP Fills'!H1532)</f>
        <v/>
      </c>
      <c r="H1532" t="str">
        <f>IF(A1532="","",VLOOKUP(G1532,表3_3[],2,0))</f>
        <v/>
      </c>
      <c r="I1532" t="str">
        <f>IF(A1532="","",VLOOKUP(G1532,表3_3[],3,0))</f>
        <v/>
      </c>
      <c r="J1532" t="str">
        <f>IF(A1532="","",IF('ATP Fills'!I1532="3M","",VLOOKUP(RIGHT('ATP Fills'!I1532,2),Helper1!$O$36:$P$48,2,0)))</f>
        <v/>
      </c>
      <c r="K1532" t="str">
        <f>IF(J1532="","",LEFT('ATP Fills'!I1532,4))</f>
        <v/>
      </c>
      <c r="L1532" t="str">
        <f>IF(A1532="","",IF('ATP Fills'!G1532="LME",'ATP Fills'!I1532,""))</f>
        <v/>
      </c>
      <c r="M1532" t="str">
        <f t="shared" si="23"/>
        <v/>
      </c>
    </row>
    <row r="1533" spans="1:13">
      <c r="A1533" t="str">
        <f>IF('ATP Fills'!A1533="","",IF('ATP Fills'!Q1533="PHILLIPSG",'ATP Fills'!F1533,""))</f>
        <v/>
      </c>
      <c r="B1533" t="str">
        <f>IF(A1533="","",'ATP Fills'!L1533)</f>
        <v/>
      </c>
      <c r="C1533" t="str">
        <f>IF(A1533="","",'ATP Fills'!M1533)</f>
        <v/>
      </c>
      <c r="D1533" t="str">
        <f>IF(A1533="","",'ATP Fills'!B1533)</f>
        <v/>
      </c>
      <c r="E1533" s="3" t="str">
        <f>IF(A1533="","",IF(DATE(LEFT(D1533,4),MID(D1533,5,2),RIGHT(D1533,2))=Helper1!$P$1,Helper1!$P$1,""))</f>
        <v/>
      </c>
      <c r="F1533" s="3" t="str">
        <f>IF(A1533="","",'ATP Fills'!G1533)</f>
        <v/>
      </c>
      <c r="G1533" t="str">
        <f>IF(A1533="","",'ATP Fills'!H1533)</f>
        <v/>
      </c>
      <c r="H1533" t="str">
        <f>IF(A1533="","",VLOOKUP(G1533,表3_3[],2,0))</f>
        <v/>
      </c>
      <c r="I1533" t="str">
        <f>IF(A1533="","",VLOOKUP(G1533,表3_3[],3,0))</f>
        <v/>
      </c>
      <c r="J1533" t="str">
        <f>IF(A1533="","",IF('ATP Fills'!I1533="3M","",VLOOKUP(RIGHT('ATP Fills'!I1533,2),Helper1!$O$36:$P$48,2,0)))</f>
        <v/>
      </c>
      <c r="K1533" t="str">
        <f>IF(J1533="","",LEFT('ATP Fills'!I1533,4))</f>
        <v/>
      </c>
      <c r="L1533" t="str">
        <f>IF(A1533="","",IF('ATP Fills'!G1533="LME",'ATP Fills'!I1533,""))</f>
        <v/>
      </c>
      <c r="M1533" t="str">
        <f t="shared" si="23"/>
        <v/>
      </c>
    </row>
    <row r="1534" spans="1:13">
      <c r="A1534" t="str">
        <f>IF('ATP Fills'!A1534="","",IF('ATP Fills'!Q1534="PHILLIPSG",'ATP Fills'!F1534,""))</f>
        <v/>
      </c>
      <c r="B1534" t="str">
        <f>IF(A1534="","",'ATP Fills'!L1534)</f>
        <v/>
      </c>
      <c r="C1534" t="str">
        <f>IF(A1534="","",'ATP Fills'!M1534)</f>
        <v/>
      </c>
      <c r="D1534" t="str">
        <f>IF(A1534="","",'ATP Fills'!B1534)</f>
        <v/>
      </c>
      <c r="E1534" s="3" t="str">
        <f>IF(A1534="","",IF(DATE(LEFT(D1534,4),MID(D1534,5,2),RIGHT(D1534,2))=Helper1!$P$1,Helper1!$P$1,""))</f>
        <v/>
      </c>
      <c r="F1534" s="3" t="str">
        <f>IF(A1534="","",'ATP Fills'!G1534)</f>
        <v/>
      </c>
      <c r="G1534" t="str">
        <f>IF(A1534="","",'ATP Fills'!H1534)</f>
        <v/>
      </c>
      <c r="H1534" t="str">
        <f>IF(A1534="","",VLOOKUP(G1534,表3_3[],2,0))</f>
        <v/>
      </c>
      <c r="I1534" t="str">
        <f>IF(A1534="","",VLOOKUP(G1534,表3_3[],3,0))</f>
        <v/>
      </c>
      <c r="J1534" t="str">
        <f>IF(A1534="","",IF('ATP Fills'!I1534="3M","",VLOOKUP(RIGHT('ATP Fills'!I1534,2),Helper1!$O$36:$P$48,2,0)))</f>
        <v/>
      </c>
      <c r="K1534" t="str">
        <f>IF(J1534="","",LEFT('ATP Fills'!I1534,4))</f>
        <v/>
      </c>
      <c r="L1534" t="str">
        <f>IF(A1534="","",IF('ATP Fills'!G1534="LME",'ATP Fills'!I1534,""))</f>
        <v/>
      </c>
      <c r="M1534" t="str">
        <f t="shared" si="23"/>
        <v/>
      </c>
    </row>
    <row r="1535" spans="1:13">
      <c r="A1535" t="str">
        <f>IF('ATP Fills'!A1535="","",IF('ATP Fills'!Q1535="PHILLIPSG",'ATP Fills'!F1535,""))</f>
        <v/>
      </c>
      <c r="B1535" t="str">
        <f>IF(A1535="","",'ATP Fills'!L1535)</f>
        <v/>
      </c>
      <c r="C1535" t="str">
        <f>IF(A1535="","",'ATP Fills'!M1535)</f>
        <v/>
      </c>
      <c r="D1535" t="str">
        <f>IF(A1535="","",'ATP Fills'!B1535)</f>
        <v/>
      </c>
      <c r="E1535" s="3" t="str">
        <f>IF(A1535="","",IF(DATE(LEFT(D1535,4),MID(D1535,5,2),RIGHT(D1535,2))=Helper1!$P$1,Helper1!$P$1,""))</f>
        <v/>
      </c>
      <c r="F1535" s="3" t="str">
        <f>IF(A1535="","",'ATP Fills'!G1535)</f>
        <v/>
      </c>
      <c r="G1535" t="str">
        <f>IF(A1535="","",'ATP Fills'!H1535)</f>
        <v/>
      </c>
      <c r="H1535" t="str">
        <f>IF(A1535="","",VLOOKUP(G1535,表3_3[],2,0))</f>
        <v/>
      </c>
      <c r="I1535" t="str">
        <f>IF(A1535="","",VLOOKUP(G1535,表3_3[],3,0))</f>
        <v/>
      </c>
      <c r="J1535" t="str">
        <f>IF(A1535="","",IF('ATP Fills'!I1535="3M","",VLOOKUP(RIGHT('ATP Fills'!I1535,2),Helper1!$O$36:$P$48,2,0)))</f>
        <v/>
      </c>
      <c r="K1535" t="str">
        <f>IF(J1535="","",LEFT('ATP Fills'!I1535,4))</f>
        <v/>
      </c>
      <c r="L1535" t="str">
        <f>IF(A1535="","",IF('ATP Fills'!G1535="LME",'ATP Fills'!I1535,""))</f>
        <v/>
      </c>
      <c r="M1535" t="str">
        <f t="shared" si="23"/>
        <v/>
      </c>
    </row>
    <row r="1536" spans="1:13">
      <c r="A1536" t="str">
        <f>IF('ATP Fills'!A1536="","",IF('ATP Fills'!Q1536="PHILLIPSG",'ATP Fills'!F1536,""))</f>
        <v/>
      </c>
      <c r="B1536" t="str">
        <f>IF(A1536="","",'ATP Fills'!L1536)</f>
        <v/>
      </c>
      <c r="C1536" t="str">
        <f>IF(A1536="","",'ATP Fills'!M1536)</f>
        <v/>
      </c>
      <c r="D1536" t="str">
        <f>IF(A1536="","",'ATP Fills'!B1536)</f>
        <v/>
      </c>
      <c r="E1536" s="3" t="str">
        <f>IF(A1536="","",IF(DATE(LEFT(D1536,4),MID(D1536,5,2),RIGHT(D1536,2))=Helper1!$P$1,Helper1!$P$1,""))</f>
        <v/>
      </c>
      <c r="F1536" s="3" t="str">
        <f>IF(A1536="","",'ATP Fills'!G1536)</f>
        <v/>
      </c>
      <c r="G1536" t="str">
        <f>IF(A1536="","",'ATP Fills'!H1536)</f>
        <v/>
      </c>
      <c r="H1536" t="str">
        <f>IF(A1536="","",VLOOKUP(G1536,表3_3[],2,0))</f>
        <v/>
      </c>
      <c r="I1536" t="str">
        <f>IF(A1536="","",VLOOKUP(G1536,表3_3[],3,0))</f>
        <v/>
      </c>
      <c r="J1536" t="str">
        <f>IF(A1536="","",IF('ATP Fills'!I1536="3M","",VLOOKUP(RIGHT('ATP Fills'!I1536,2),Helper1!$O$36:$P$48,2,0)))</f>
        <v/>
      </c>
      <c r="K1536" t="str">
        <f>IF(J1536="","",LEFT('ATP Fills'!I1536,4))</f>
        <v/>
      </c>
      <c r="L1536" t="str">
        <f>IF(A1536="","",IF('ATP Fills'!G1536="LME",'ATP Fills'!I1536,""))</f>
        <v/>
      </c>
      <c r="M1536" t="str">
        <f t="shared" si="23"/>
        <v/>
      </c>
    </row>
    <row r="1537" spans="1:13">
      <c r="A1537" t="str">
        <f>IF('ATP Fills'!A1537="","",IF('ATP Fills'!Q1537="PHILLIPSG",'ATP Fills'!F1537,""))</f>
        <v/>
      </c>
      <c r="B1537" t="str">
        <f>IF(A1537="","",'ATP Fills'!L1537)</f>
        <v/>
      </c>
      <c r="C1537" t="str">
        <f>IF(A1537="","",'ATP Fills'!M1537)</f>
        <v/>
      </c>
      <c r="D1537" t="str">
        <f>IF(A1537="","",'ATP Fills'!B1537)</f>
        <v/>
      </c>
      <c r="E1537" s="3" t="str">
        <f>IF(A1537="","",IF(DATE(LEFT(D1537,4),MID(D1537,5,2),RIGHT(D1537,2))=Helper1!$P$1,Helper1!$P$1,""))</f>
        <v/>
      </c>
      <c r="F1537" s="3" t="str">
        <f>IF(A1537="","",'ATP Fills'!G1537)</f>
        <v/>
      </c>
      <c r="G1537" t="str">
        <f>IF(A1537="","",'ATP Fills'!H1537)</f>
        <v/>
      </c>
      <c r="H1537" t="str">
        <f>IF(A1537="","",VLOOKUP(G1537,表3_3[],2,0))</f>
        <v/>
      </c>
      <c r="I1537" t="str">
        <f>IF(A1537="","",VLOOKUP(G1537,表3_3[],3,0))</f>
        <v/>
      </c>
      <c r="J1537" t="str">
        <f>IF(A1537="","",IF('ATP Fills'!I1537="3M","",VLOOKUP(RIGHT('ATP Fills'!I1537,2),Helper1!$O$36:$P$48,2,0)))</f>
        <v/>
      </c>
      <c r="K1537" t="str">
        <f>IF(J1537="","",LEFT('ATP Fills'!I1537,4))</f>
        <v/>
      </c>
      <c r="L1537" t="str">
        <f>IF(A1537="","",IF('ATP Fills'!G1537="LME",'ATP Fills'!I1537,""))</f>
        <v/>
      </c>
      <c r="M1537" t="str">
        <f t="shared" si="23"/>
        <v/>
      </c>
    </row>
    <row r="1538" spans="1:13">
      <c r="A1538" t="str">
        <f>IF('ATP Fills'!A1538="","",IF('ATP Fills'!Q1538="PHILLIPSG",'ATP Fills'!F1538,""))</f>
        <v/>
      </c>
      <c r="B1538" t="str">
        <f>IF(A1538="","",'ATP Fills'!L1538)</f>
        <v/>
      </c>
      <c r="C1538" t="str">
        <f>IF(A1538="","",'ATP Fills'!M1538)</f>
        <v/>
      </c>
      <c r="D1538" t="str">
        <f>IF(A1538="","",'ATP Fills'!B1538)</f>
        <v/>
      </c>
      <c r="E1538" s="3" t="str">
        <f>IF(A1538="","",IF(DATE(LEFT(D1538,4),MID(D1538,5,2),RIGHT(D1538,2))=Helper1!$P$1,Helper1!$P$1,""))</f>
        <v/>
      </c>
      <c r="F1538" s="3" t="str">
        <f>IF(A1538="","",'ATP Fills'!G1538)</f>
        <v/>
      </c>
      <c r="G1538" t="str">
        <f>IF(A1538="","",'ATP Fills'!H1538)</f>
        <v/>
      </c>
      <c r="H1538" t="str">
        <f>IF(A1538="","",VLOOKUP(G1538,表3_3[],2,0))</f>
        <v/>
      </c>
      <c r="I1538" t="str">
        <f>IF(A1538="","",VLOOKUP(G1538,表3_3[],3,0))</f>
        <v/>
      </c>
      <c r="J1538" t="str">
        <f>IF(A1538="","",IF('ATP Fills'!I1538="3M","",VLOOKUP(RIGHT('ATP Fills'!I1538,2),Helper1!$O$36:$P$48,2,0)))</f>
        <v/>
      </c>
      <c r="K1538" t="str">
        <f>IF(J1538="","",LEFT('ATP Fills'!I1538,4))</f>
        <v/>
      </c>
      <c r="L1538" t="str">
        <f>IF(A1538="","",IF('ATP Fills'!G1538="LME",'ATP Fills'!I1538,""))</f>
        <v/>
      </c>
      <c r="M1538" t="str">
        <f t="shared" si="23"/>
        <v/>
      </c>
    </row>
    <row r="1539" spans="1:13">
      <c r="A1539" t="str">
        <f>IF('ATP Fills'!A1539="","",IF('ATP Fills'!Q1539="PHILLIPSG",'ATP Fills'!F1539,""))</f>
        <v/>
      </c>
      <c r="B1539" t="str">
        <f>IF(A1539="","",'ATP Fills'!L1539)</f>
        <v/>
      </c>
      <c r="C1539" t="str">
        <f>IF(A1539="","",'ATP Fills'!M1539)</f>
        <v/>
      </c>
      <c r="D1539" t="str">
        <f>IF(A1539="","",'ATP Fills'!B1539)</f>
        <v/>
      </c>
      <c r="E1539" s="3" t="str">
        <f>IF(A1539="","",IF(DATE(LEFT(D1539,4),MID(D1539,5,2),RIGHT(D1539,2))=Helper1!$P$1,Helper1!$P$1,""))</f>
        <v/>
      </c>
      <c r="F1539" s="3" t="str">
        <f>IF(A1539="","",'ATP Fills'!G1539)</f>
        <v/>
      </c>
      <c r="G1539" t="str">
        <f>IF(A1539="","",'ATP Fills'!H1539)</f>
        <v/>
      </c>
      <c r="H1539" t="str">
        <f>IF(A1539="","",VLOOKUP(G1539,表3_3[],2,0))</f>
        <v/>
      </c>
      <c r="I1539" t="str">
        <f>IF(A1539="","",VLOOKUP(G1539,表3_3[],3,0))</f>
        <v/>
      </c>
      <c r="J1539" t="str">
        <f>IF(A1539="","",IF('ATP Fills'!I1539="3M","",VLOOKUP(RIGHT('ATP Fills'!I1539,2),Helper1!$O$36:$P$48,2,0)))</f>
        <v/>
      </c>
      <c r="K1539" t="str">
        <f>IF(J1539="","",LEFT('ATP Fills'!I1539,4))</f>
        <v/>
      </c>
      <c r="L1539" t="str">
        <f>IF(A1539="","",IF('ATP Fills'!G1539="LME",'ATP Fills'!I1539,""))</f>
        <v/>
      </c>
      <c r="M1539" t="str">
        <f t="shared" ref="M1539:M1602" si="24">IF(A1539="","",IF(F1539="LME",F1539&amp;"-"&amp;I1539&amp;"-"&amp;L1539,J1539&amp;"-"&amp;K1539&amp;"-"&amp;I1539))</f>
        <v/>
      </c>
    </row>
    <row r="1540" spans="1:13">
      <c r="A1540" t="str">
        <f>IF('ATP Fills'!A1540="","",IF('ATP Fills'!Q1540="PHILLIPSG",'ATP Fills'!F1540,""))</f>
        <v/>
      </c>
      <c r="B1540" t="str">
        <f>IF(A1540="","",'ATP Fills'!L1540)</f>
        <v/>
      </c>
      <c r="C1540" t="str">
        <f>IF(A1540="","",'ATP Fills'!M1540)</f>
        <v/>
      </c>
      <c r="D1540" t="str">
        <f>IF(A1540="","",'ATP Fills'!B1540)</f>
        <v/>
      </c>
      <c r="E1540" s="3" t="str">
        <f>IF(A1540="","",IF(DATE(LEFT(D1540,4),MID(D1540,5,2),RIGHT(D1540,2))=Helper1!$P$1,Helper1!$P$1,""))</f>
        <v/>
      </c>
      <c r="F1540" s="3" t="str">
        <f>IF(A1540="","",'ATP Fills'!G1540)</f>
        <v/>
      </c>
      <c r="G1540" t="str">
        <f>IF(A1540="","",'ATP Fills'!H1540)</f>
        <v/>
      </c>
      <c r="H1540" t="str">
        <f>IF(A1540="","",VLOOKUP(G1540,表3_3[],2,0))</f>
        <v/>
      </c>
      <c r="I1540" t="str">
        <f>IF(A1540="","",VLOOKUP(G1540,表3_3[],3,0))</f>
        <v/>
      </c>
      <c r="J1540" t="str">
        <f>IF(A1540="","",IF('ATP Fills'!I1540="3M","",VLOOKUP(RIGHT('ATP Fills'!I1540,2),Helper1!$O$36:$P$48,2,0)))</f>
        <v/>
      </c>
      <c r="K1540" t="str">
        <f>IF(J1540="","",LEFT('ATP Fills'!I1540,4))</f>
        <v/>
      </c>
      <c r="L1540" t="str">
        <f>IF(A1540="","",IF('ATP Fills'!G1540="LME",'ATP Fills'!I1540,""))</f>
        <v/>
      </c>
      <c r="M1540" t="str">
        <f t="shared" si="24"/>
        <v/>
      </c>
    </row>
    <row r="1541" spans="1:13">
      <c r="A1541" t="str">
        <f>IF('ATP Fills'!A1541="","",IF('ATP Fills'!Q1541="PHILLIPSG",'ATP Fills'!F1541,""))</f>
        <v/>
      </c>
      <c r="B1541" t="str">
        <f>IF(A1541="","",'ATP Fills'!L1541)</f>
        <v/>
      </c>
      <c r="C1541" t="str">
        <f>IF(A1541="","",'ATP Fills'!M1541)</f>
        <v/>
      </c>
      <c r="D1541" t="str">
        <f>IF(A1541="","",'ATP Fills'!B1541)</f>
        <v/>
      </c>
      <c r="E1541" s="3" t="str">
        <f>IF(A1541="","",IF(DATE(LEFT(D1541,4),MID(D1541,5,2),RIGHT(D1541,2))=Helper1!$P$1,Helper1!$P$1,""))</f>
        <v/>
      </c>
      <c r="F1541" s="3" t="str">
        <f>IF(A1541="","",'ATP Fills'!G1541)</f>
        <v/>
      </c>
      <c r="G1541" t="str">
        <f>IF(A1541="","",'ATP Fills'!H1541)</f>
        <v/>
      </c>
      <c r="H1541" t="str">
        <f>IF(A1541="","",VLOOKUP(G1541,表3_3[],2,0))</f>
        <v/>
      </c>
      <c r="I1541" t="str">
        <f>IF(A1541="","",VLOOKUP(G1541,表3_3[],3,0))</f>
        <v/>
      </c>
      <c r="J1541" t="str">
        <f>IF(A1541="","",IF('ATP Fills'!I1541="3M","",VLOOKUP(RIGHT('ATP Fills'!I1541,2),Helper1!$O$36:$P$48,2,0)))</f>
        <v/>
      </c>
      <c r="K1541" t="str">
        <f>IF(J1541="","",LEFT('ATP Fills'!I1541,4))</f>
        <v/>
      </c>
      <c r="L1541" t="str">
        <f>IF(A1541="","",IF('ATP Fills'!G1541="LME",'ATP Fills'!I1541,""))</f>
        <v/>
      </c>
      <c r="M1541" t="str">
        <f t="shared" si="24"/>
        <v/>
      </c>
    </row>
    <row r="1542" spans="1:13">
      <c r="A1542" t="str">
        <f>IF('ATP Fills'!A1542="","",IF('ATP Fills'!Q1542="PHILLIPSG",'ATP Fills'!F1542,""))</f>
        <v/>
      </c>
      <c r="B1542" t="str">
        <f>IF(A1542="","",'ATP Fills'!L1542)</f>
        <v/>
      </c>
      <c r="C1542" t="str">
        <f>IF(A1542="","",'ATP Fills'!M1542)</f>
        <v/>
      </c>
      <c r="D1542" t="str">
        <f>IF(A1542="","",'ATP Fills'!B1542)</f>
        <v/>
      </c>
      <c r="E1542" s="3" t="str">
        <f>IF(A1542="","",IF(DATE(LEFT(D1542,4),MID(D1542,5,2),RIGHT(D1542,2))=Helper1!$P$1,Helper1!$P$1,""))</f>
        <v/>
      </c>
      <c r="F1542" s="3" t="str">
        <f>IF(A1542="","",'ATP Fills'!G1542)</f>
        <v/>
      </c>
      <c r="G1542" t="str">
        <f>IF(A1542="","",'ATP Fills'!H1542)</f>
        <v/>
      </c>
      <c r="H1542" t="str">
        <f>IF(A1542="","",VLOOKUP(G1542,表3_3[],2,0))</f>
        <v/>
      </c>
      <c r="I1542" t="str">
        <f>IF(A1542="","",VLOOKUP(G1542,表3_3[],3,0))</f>
        <v/>
      </c>
      <c r="J1542" t="str">
        <f>IF(A1542="","",IF('ATP Fills'!I1542="3M","",VLOOKUP(RIGHT('ATP Fills'!I1542,2),Helper1!$O$36:$P$48,2,0)))</f>
        <v/>
      </c>
      <c r="K1542" t="str">
        <f>IF(J1542="","",LEFT('ATP Fills'!I1542,4))</f>
        <v/>
      </c>
      <c r="L1542" t="str">
        <f>IF(A1542="","",IF('ATP Fills'!G1542="LME",'ATP Fills'!I1542,""))</f>
        <v/>
      </c>
      <c r="M1542" t="str">
        <f t="shared" si="24"/>
        <v/>
      </c>
    </row>
    <row r="1543" spans="1:13">
      <c r="A1543" t="str">
        <f>IF('ATP Fills'!A1543="","",IF('ATP Fills'!Q1543="PHILLIPSG",'ATP Fills'!F1543,""))</f>
        <v/>
      </c>
      <c r="B1543" t="str">
        <f>IF(A1543="","",'ATP Fills'!L1543)</f>
        <v/>
      </c>
      <c r="C1543" t="str">
        <f>IF(A1543="","",'ATP Fills'!M1543)</f>
        <v/>
      </c>
      <c r="D1543" t="str">
        <f>IF(A1543="","",'ATP Fills'!B1543)</f>
        <v/>
      </c>
      <c r="E1543" s="3" t="str">
        <f>IF(A1543="","",IF(DATE(LEFT(D1543,4),MID(D1543,5,2),RIGHT(D1543,2))=Helper1!$P$1,Helper1!$P$1,""))</f>
        <v/>
      </c>
      <c r="F1543" s="3" t="str">
        <f>IF(A1543="","",'ATP Fills'!G1543)</f>
        <v/>
      </c>
      <c r="G1543" t="str">
        <f>IF(A1543="","",'ATP Fills'!H1543)</f>
        <v/>
      </c>
      <c r="H1543" t="str">
        <f>IF(A1543="","",VLOOKUP(G1543,表3_3[],2,0))</f>
        <v/>
      </c>
      <c r="I1543" t="str">
        <f>IF(A1543="","",VLOOKUP(G1543,表3_3[],3,0))</f>
        <v/>
      </c>
      <c r="J1543" t="str">
        <f>IF(A1543="","",IF('ATP Fills'!I1543="3M","",VLOOKUP(RIGHT('ATP Fills'!I1543,2),Helper1!$O$36:$P$48,2,0)))</f>
        <v/>
      </c>
      <c r="K1543" t="str">
        <f>IF(J1543="","",LEFT('ATP Fills'!I1543,4))</f>
        <v/>
      </c>
      <c r="L1543" t="str">
        <f>IF(A1543="","",IF('ATP Fills'!G1543="LME",'ATP Fills'!I1543,""))</f>
        <v/>
      </c>
      <c r="M1543" t="str">
        <f t="shared" si="24"/>
        <v/>
      </c>
    </row>
    <row r="1544" spans="1:13">
      <c r="A1544" t="str">
        <f>IF('ATP Fills'!A1544="","",IF('ATP Fills'!Q1544="PHILLIPSG",'ATP Fills'!F1544,""))</f>
        <v/>
      </c>
      <c r="B1544" t="str">
        <f>IF(A1544="","",'ATP Fills'!L1544)</f>
        <v/>
      </c>
      <c r="C1544" t="str">
        <f>IF(A1544="","",'ATP Fills'!M1544)</f>
        <v/>
      </c>
      <c r="D1544" t="str">
        <f>IF(A1544="","",'ATP Fills'!B1544)</f>
        <v/>
      </c>
      <c r="E1544" s="3" t="str">
        <f>IF(A1544="","",IF(DATE(LEFT(D1544,4),MID(D1544,5,2),RIGHT(D1544,2))=Helper1!$P$1,Helper1!$P$1,""))</f>
        <v/>
      </c>
      <c r="F1544" s="3" t="str">
        <f>IF(A1544="","",'ATP Fills'!G1544)</f>
        <v/>
      </c>
      <c r="G1544" t="str">
        <f>IF(A1544="","",'ATP Fills'!H1544)</f>
        <v/>
      </c>
      <c r="H1544" t="str">
        <f>IF(A1544="","",VLOOKUP(G1544,表3_3[],2,0))</f>
        <v/>
      </c>
      <c r="I1544" t="str">
        <f>IF(A1544="","",VLOOKUP(G1544,表3_3[],3,0))</f>
        <v/>
      </c>
      <c r="J1544" t="str">
        <f>IF(A1544="","",IF('ATP Fills'!I1544="3M","",VLOOKUP(RIGHT('ATP Fills'!I1544,2),Helper1!$O$36:$P$48,2,0)))</f>
        <v/>
      </c>
      <c r="K1544" t="str">
        <f>IF(J1544="","",LEFT('ATP Fills'!I1544,4))</f>
        <v/>
      </c>
      <c r="L1544" t="str">
        <f>IF(A1544="","",IF('ATP Fills'!G1544="LME",'ATP Fills'!I1544,""))</f>
        <v/>
      </c>
      <c r="M1544" t="str">
        <f t="shared" si="24"/>
        <v/>
      </c>
    </row>
    <row r="1545" spans="1:13">
      <c r="A1545" t="str">
        <f>IF('ATP Fills'!A1545="","",IF('ATP Fills'!Q1545="PHILLIPSG",'ATP Fills'!F1545,""))</f>
        <v/>
      </c>
      <c r="B1545" t="str">
        <f>IF(A1545="","",'ATP Fills'!L1545)</f>
        <v/>
      </c>
      <c r="C1545" t="str">
        <f>IF(A1545="","",'ATP Fills'!M1545)</f>
        <v/>
      </c>
      <c r="D1545" t="str">
        <f>IF(A1545="","",'ATP Fills'!B1545)</f>
        <v/>
      </c>
      <c r="E1545" s="3" t="str">
        <f>IF(A1545="","",IF(DATE(LEFT(D1545,4),MID(D1545,5,2),RIGHT(D1545,2))=Helper1!$P$1,Helper1!$P$1,""))</f>
        <v/>
      </c>
      <c r="F1545" s="3" t="str">
        <f>IF(A1545="","",'ATP Fills'!G1545)</f>
        <v/>
      </c>
      <c r="G1545" t="str">
        <f>IF(A1545="","",'ATP Fills'!H1545)</f>
        <v/>
      </c>
      <c r="H1545" t="str">
        <f>IF(A1545="","",VLOOKUP(G1545,表3_3[],2,0))</f>
        <v/>
      </c>
      <c r="I1545" t="str">
        <f>IF(A1545="","",VLOOKUP(G1545,表3_3[],3,0))</f>
        <v/>
      </c>
      <c r="J1545" t="str">
        <f>IF(A1545="","",IF('ATP Fills'!I1545="3M","",VLOOKUP(RIGHT('ATP Fills'!I1545,2),Helper1!$O$36:$P$48,2,0)))</f>
        <v/>
      </c>
      <c r="K1545" t="str">
        <f>IF(J1545="","",LEFT('ATP Fills'!I1545,4))</f>
        <v/>
      </c>
      <c r="L1545" t="str">
        <f>IF(A1545="","",IF('ATP Fills'!G1545="LME",'ATP Fills'!I1545,""))</f>
        <v/>
      </c>
      <c r="M1545" t="str">
        <f t="shared" si="24"/>
        <v/>
      </c>
    </row>
    <row r="1546" spans="1:13">
      <c r="A1546" t="str">
        <f>IF('ATP Fills'!A1546="","",IF('ATP Fills'!Q1546="PHILLIPSG",'ATP Fills'!F1546,""))</f>
        <v/>
      </c>
      <c r="B1546" t="str">
        <f>IF(A1546="","",'ATP Fills'!L1546)</f>
        <v/>
      </c>
      <c r="C1546" t="str">
        <f>IF(A1546="","",'ATP Fills'!M1546)</f>
        <v/>
      </c>
      <c r="D1546" t="str">
        <f>IF(A1546="","",'ATP Fills'!B1546)</f>
        <v/>
      </c>
      <c r="E1546" s="3" t="str">
        <f>IF(A1546="","",IF(DATE(LEFT(D1546,4),MID(D1546,5,2),RIGHT(D1546,2))=Helper1!$P$1,Helper1!$P$1,""))</f>
        <v/>
      </c>
      <c r="F1546" s="3" t="str">
        <f>IF(A1546="","",'ATP Fills'!G1546)</f>
        <v/>
      </c>
      <c r="G1546" t="str">
        <f>IF(A1546="","",'ATP Fills'!H1546)</f>
        <v/>
      </c>
      <c r="H1546" t="str">
        <f>IF(A1546="","",VLOOKUP(G1546,表3_3[],2,0))</f>
        <v/>
      </c>
      <c r="I1546" t="str">
        <f>IF(A1546="","",VLOOKUP(G1546,表3_3[],3,0))</f>
        <v/>
      </c>
      <c r="J1546" t="str">
        <f>IF(A1546="","",IF('ATP Fills'!I1546="3M","",VLOOKUP(RIGHT('ATP Fills'!I1546,2),Helper1!$O$36:$P$48,2,0)))</f>
        <v/>
      </c>
      <c r="K1546" t="str">
        <f>IF(J1546="","",LEFT('ATP Fills'!I1546,4))</f>
        <v/>
      </c>
      <c r="L1546" t="str">
        <f>IF(A1546="","",IF('ATP Fills'!G1546="LME",'ATP Fills'!I1546,""))</f>
        <v/>
      </c>
      <c r="M1546" t="str">
        <f t="shared" si="24"/>
        <v/>
      </c>
    </row>
    <row r="1547" spans="1:13">
      <c r="A1547" t="str">
        <f>IF('ATP Fills'!A1547="","",IF('ATP Fills'!Q1547="PHILLIPSG",'ATP Fills'!F1547,""))</f>
        <v/>
      </c>
      <c r="B1547" t="str">
        <f>IF(A1547="","",'ATP Fills'!L1547)</f>
        <v/>
      </c>
      <c r="C1547" t="str">
        <f>IF(A1547="","",'ATP Fills'!M1547)</f>
        <v/>
      </c>
      <c r="D1547" t="str">
        <f>IF(A1547="","",'ATP Fills'!B1547)</f>
        <v/>
      </c>
      <c r="E1547" s="3" t="str">
        <f>IF(A1547="","",IF(DATE(LEFT(D1547,4),MID(D1547,5,2),RIGHT(D1547,2))=Helper1!$P$1,Helper1!$P$1,""))</f>
        <v/>
      </c>
      <c r="F1547" s="3" t="str">
        <f>IF(A1547="","",'ATP Fills'!G1547)</f>
        <v/>
      </c>
      <c r="G1547" t="str">
        <f>IF(A1547="","",'ATP Fills'!H1547)</f>
        <v/>
      </c>
      <c r="H1547" t="str">
        <f>IF(A1547="","",VLOOKUP(G1547,表3_3[],2,0))</f>
        <v/>
      </c>
      <c r="I1547" t="str">
        <f>IF(A1547="","",VLOOKUP(G1547,表3_3[],3,0))</f>
        <v/>
      </c>
      <c r="J1547" t="str">
        <f>IF(A1547="","",IF('ATP Fills'!I1547="3M","",VLOOKUP(RIGHT('ATP Fills'!I1547,2),Helper1!$O$36:$P$48,2,0)))</f>
        <v/>
      </c>
      <c r="K1547" t="str">
        <f>IF(J1547="","",LEFT('ATP Fills'!I1547,4))</f>
        <v/>
      </c>
      <c r="L1547" t="str">
        <f>IF(A1547="","",IF('ATP Fills'!G1547="LME",'ATP Fills'!I1547,""))</f>
        <v/>
      </c>
      <c r="M1547" t="str">
        <f t="shared" si="24"/>
        <v/>
      </c>
    </row>
    <row r="1548" spans="1:13">
      <c r="A1548" t="str">
        <f>IF('ATP Fills'!A1548="","",IF('ATP Fills'!Q1548="PHILLIPSG",'ATP Fills'!F1548,""))</f>
        <v/>
      </c>
      <c r="B1548" t="str">
        <f>IF(A1548="","",'ATP Fills'!L1548)</f>
        <v/>
      </c>
      <c r="C1548" t="str">
        <f>IF(A1548="","",'ATP Fills'!M1548)</f>
        <v/>
      </c>
      <c r="D1548" t="str">
        <f>IF(A1548="","",'ATP Fills'!B1548)</f>
        <v/>
      </c>
      <c r="E1548" s="3" t="str">
        <f>IF(A1548="","",IF(DATE(LEFT(D1548,4),MID(D1548,5,2),RIGHT(D1548,2))=Helper1!$P$1,Helper1!$P$1,""))</f>
        <v/>
      </c>
      <c r="F1548" s="3" t="str">
        <f>IF(A1548="","",'ATP Fills'!G1548)</f>
        <v/>
      </c>
      <c r="G1548" t="str">
        <f>IF(A1548="","",'ATP Fills'!H1548)</f>
        <v/>
      </c>
      <c r="H1548" t="str">
        <f>IF(A1548="","",VLOOKUP(G1548,表3_3[],2,0))</f>
        <v/>
      </c>
      <c r="I1548" t="str">
        <f>IF(A1548="","",VLOOKUP(G1548,表3_3[],3,0))</f>
        <v/>
      </c>
      <c r="J1548" t="str">
        <f>IF(A1548="","",IF('ATP Fills'!I1548="3M","",VLOOKUP(RIGHT('ATP Fills'!I1548,2),Helper1!$O$36:$P$48,2,0)))</f>
        <v/>
      </c>
      <c r="K1548" t="str">
        <f>IF(J1548="","",LEFT('ATP Fills'!I1548,4))</f>
        <v/>
      </c>
      <c r="L1548" t="str">
        <f>IF(A1548="","",IF('ATP Fills'!G1548="LME",'ATP Fills'!I1548,""))</f>
        <v/>
      </c>
      <c r="M1548" t="str">
        <f t="shared" si="24"/>
        <v/>
      </c>
    </row>
    <row r="1549" spans="1:13">
      <c r="A1549" t="str">
        <f>IF('ATP Fills'!A1549="","",IF('ATP Fills'!Q1549="PHILLIPSG",'ATP Fills'!F1549,""))</f>
        <v/>
      </c>
      <c r="B1549" t="str">
        <f>IF(A1549="","",'ATP Fills'!L1549)</f>
        <v/>
      </c>
      <c r="C1549" t="str">
        <f>IF(A1549="","",'ATP Fills'!M1549)</f>
        <v/>
      </c>
      <c r="D1549" t="str">
        <f>IF(A1549="","",'ATP Fills'!B1549)</f>
        <v/>
      </c>
      <c r="E1549" s="3" t="str">
        <f>IF(A1549="","",IF(DATE(LEFT(D1549,4),MID(D1549,5,2),RIGHT(D1549,2))=Helper1!$P$1,Helper1!$P$1,""))</f>
        <v/>
      </c>
      <c r="F1549" s="3" t="str">
        <f>IF(A1549="","",'ATP Fills'!G1549)</f>
        <v/>
      </c>
      <c r="G1549" t="str">
        <f>IF(A1549="","",'ATP Fills'!H1549)</f>
        <v/>
      </c>
      <c r="H1549" t="str">
        <f>IF(A1549="","",VLOOKUP(G1549,表3_3[],2,0))</f>
        <v/>
      </c>
      <c r="I1549" t="str">
        <f>IF(A1549="","",VLOOKUP(G1549,表3_3[],3,0))</f>
        <v/>
      </c>
      <c r="J1549" t="str">
        <f>IF(A1549="","",IF('ATP Fills'!I1549="3M","",VLOOKUP(RIGHT('ATP Fills'!I1549,2),Helper1!$O$36:$P$48,2,0)))</f>
        <v/>
      </c>
      <c r="K1549" t="str">
        <f>IF(J1549="","",LEFT('ATP Fills'!I1549,4))</f>
        <v/>
      </c>
      <c r="L1549" t="str">
        <f>IF(A1549="","",IF('ATP Fills'!G1549="LME",'ATP Fills'!I1549,""))</f>
        <v/>
      </c>
      <c r="M1549" t="str">
        <f t="shared" si="24"/>
        <v/>
      </c>
    </row>
    <row r="1550" spans="1:13">
      <c r="A1550" t="str">
        <f>IF('ATP Fills'!A1550="","",IF('ATP Fills'!Q1550="PHILLIPSG",'ATP Fills'!F1550,""))</f>
        <v/>
      </c>
      <c r="B1550" t="str">
        <f>IF(A1550="","",'ATP Fills'!L1550)</f>
        <v/>
      </c>
      <c r="C1550" t="str">
        <f>IF(A1550="","",'ATP Fills'!M1550)</f>
        <v/>
      </c>
      <c r="D1550" t="str">
        <f>IF(A1550="","",'ATP Fills'!B1550)</f>
        <v/>
      </c>
      <c r="E1550" s="3" t="str">
        <f>IF(A1550="","",IF(DATE(LEFT(D1550,4),MID(D1550,5,2),RIGHT(D1550,2))=Helper1!$P$1,Helper1!$P$1,""))</f>
        <v/>
      </c>
      <c r="F1550" s="3" t="str">
        <f>IF(A1550="","",'ATP Fills'!G1550)</f>
        <v/>
      </c>
      <c r="G1550" t="str">
        <f>IF(A1550="","",'ATP Fills'!H1550)</f>
        <v/>
      </c>
      <c r="H1550" t="str">
        <f>IF(A1550="","",VLOOKUP(G1550,表3_3[],2,0))</f>
        <v/>
      </c>
      <c r="I1550" t="str">
        <f>IF(A1550="","",VLOOKUP(G1550,表3_3[],3,0))</f>
        <v/>
      </c>
      <c r="J1550" t="str">
        <f>IF(A1550="","",IF('ATP Fills'!I1550="3M","",VLOOKUP(RIGHT('ATP Fills'!I1550,2),Helper1!$O$36:$P$48,2,0)))</f>
        <v/>
      </c>
      <c r="K1550" t="str">
        <f>IF(J1550="","",LEFT('ATP Fills'!I1550,4))</f>
        <v/>
      </c>
      <c r="L1550" t="str">
        <f>IF(A1550="","",IF('ATP Fills'!G1550="LME",'ATP Fills'!I1550,""))</f>
        <v/>
      </c>
      <c r="M1550" t="str">
        <f t="shared" si="24"/>
        <v/>
      </c>
    </row>
    <row r="1551" spans="1:13">
      <c r="A1551" t="str">
        <f>IF('ATP Fills'!A1551="","",IF('ATP Fills'!Q1551="PHILLIPSG",'ATP Fills'!F1551,""))</f>
        <v/>
      </c>
      <c r="B1551" t="str">
        <f>IF(A1551="","",'ATP Fills'!L1551)</f>
        <v/>
      </c>
      <c r="C1551" t="str">
        <f>IF(A1551="","",'ATP Fills'!M1551)</f>
        <v/>
      </c>
      <c r="D1551" t="str">
        <f>IF(A1551="","",'ATP Fills'!B1551)</f>
        <v/>
      </c>
      <c r="E1551" s="3" t="str">
        <f>IF(A1551="","",IF(DATE(LEFT(D1551,4),MID(D1551,5,2),RIGHT(D1551,2))=Helper1!$P$1,Helper1!$P$1,""))</f>
        <v/>
      </c>
      <c r="F1551" s="3" t="str">
        <f>IF(A1551="","",'ATP Fills'!G1551)</f>
        <v/>
      </c>
      <c r="G1551" t="str">
        <f>IF(A1551="","",'ATP Fills'!H1551)</f>
        <v/>
      </c>
      <c r="H1551" t="str">
        <f>IF(A1551="","",VLOOKUP(G1551,表3_3[],2,0))</f>
        <v/>
      </c>
      <c r="I1551" t="str">
        <f>IF(A1551="","",VLOOKUP(G1551,表3_3[],3,0))</f>
        <v/>
      </c>
      <c r="J1551" t="str">
        <f>IF(A1551="","",IF('ATP Fills'!I1551="3M","",VLOOKUP(RIGHT('ATP Fills'!I1551,2),Helper1!$O$36:$P$48,2,0)))</f>
        <v/>
      </c>
      <c r="K1551" t="str">
        <f>IF(J1551="","",LEFT('ATP Fills'!I1551,4))</f>
        <v/>
      </c>
      <c r="L1551" t="str">
        <f>IF(A1551="","",IF('ATP Fills'!G1551="LME",'ATP Fills'!I1551,""))</f>
        <v/>
      </c>
      <c r="M1551" t="str">
        <f t="shared" si="24"/>
        <v/>
      </c>
    </row>
    <row r="1552" spans="1:13">
      <c r="A1552" t="str">
        <f>IF('ATP Fills'!A1552="","",IF('ATP Fills'!Q1552="PHILLIPSG",'ATP Fills'!F1552,""))</f>
        <v/>
      </c>
      <c r="B1552" t="str">
        <f>IF(A1552="","",'ATP Fills'!L1552)</f>
        <v/>
      </c>
      <c r="C1552" t="str">
        <f>IF(A1552="","",'ATP Fills'!M1552)</f>
        <v/>
      </c>
      <c r="D1552" t="str">
        <f>IF(A1552="","",'ATP Fills'!B1552)</f>
        <v/>
      </c>
      <c r="E1552" s="3" t="str">
        <f>IF(A1552="","",IF(DATE(LEFT(D1552,4),MID(D1552,5,2),RIGHT(D1552,2))=Helper1!$P$1,Helper1!$P$1,""))</f>
        <v/>
      </c>
      <c r="F1552" s="3" t="str">
        <f>IF(A1552="","",'ATP Fills'!G1552)</f>
        <v/>
      </c>
      <c r="G1552" t="str">
        <f>IF(A1552="","",'ATP Fills'!H1552)</f>
        <v/>
      </c>
      <c r="H1552" t="str">
        <f>IF(A1552="","",VLOOKUP(G1552,表3_3[],2,0))</f>
        <v/>
      </c>
      <c r="I1552" t="str">
        <f>IF(A1552="","",VLOOKUP(G1552,表3_3[],3,0))</f>
        <v/>
      </c>
      <c r="J1552" t="str">
        <f>IF(A1552="","",IF('ATP Fills'!I1552="3M","",VLOOKUP(RIGHT('ATP Fills'!I1552,2),Helper1!$O$36:$P$48,2,0)))</f>
        <v/>
      </c>
      <c r="K1552" t="str">
        <f>IF(J1552="","",LEFT('ATP Fills'!I1552,4))</f>
        <v/>
      </c>
      <c r="L1552" t="str">
        <f>IF(A1552="","",IF('ATP Fills'!G1552="LME",'ATP Fills'!I1552,""))</f>
        <v/>
      </c>
      <c r="M1552" t="str">
        <f t="shared" si="24"/>
        <v/>
      </c>
    </row>
    <row r="1553" spans="1:13">
      <c r="A1553" t="str">
        <f>IF('ATP Fills'!A1553="","",IF('ATP Fills'!Q1553="PHILLIPSG",'ATP Fills'!F1553,""))</f>
        <v/>
      </c>
      <c r="B1553" t="str">
        <f>IF(A1553="","",'ATP Fills'!L1553)</f>
        <v/>
      </c>
      <c r="C1553" t="str">
        <f>IF(A1553="","",'ATP Fills'!M1553)</f>
        <v/>
      </c>
      <c r="D1553" t="str">
        <f>IF(A1553="","",'ATP Fills'!B1553)</f>
        <v/>
      </c>
      <c r="E1553" s="3" t="str">
        <f>IF(A1553="","",IF(DATE(LEFT(D1553,4),MID(D1553,5,2),RIGHT(D1553,2))=Helper1!$P$1,Helper1!$P$1,""))</f>
        <v/>
      </c>
      <c r="F1553" s="3" t="str">
        <f>IF(A1553="","",'ATP Fills'!G1553)</f>
        <v/>
      </c>
      <c r="G1553" t="str">
        <f>IF(A1553="","",'ATP Fills'!H1553)</f>
        <v/>
      </c>
      <c r="H1553" t="str">
        <f>IF(A1553="","",VLOOKUP(G1553,表3_3[],2,0))</f>
        <v/>
      </c>
      <c r="I1553" t="str">
        <f>IF(A1553="","",VLOOKUP(G1553,表3_3[],3,0))</f>
        <v/>
      </c>
      <c r="J1553" t="str">
        <f>IF(A1553="","",IF('ATP Fills'!I1553="3M","",VLOOKUP(RIGHT('ATP Fills'!I1553,2),Helper1!$O$36:$P$48,2,0)))</f>
        <v/>
      </c>
      <c r="K1553" t="str">
        <f>IF(J1553="","",LEFT('ATP Fills'!I1553,4))</f>
        <v/>
      </c>
      <c r="L1553" t="str">
        <f>IF(A1553="","",IF('ATP Fills'!G1553="LME",'ATP Fills'!I1553,""))</f>
        <v/>
      </c>
      <c r="M1553" t="str">
        <f t="shared" si="24"/>
        <v/>
      </c>
    </row>
    <row r="1554" spans="1:13">
      <c r="A1554" t="str">
        <f>IF('ATP Fills'!A1554="","",IF('ATP Fills'!Q1554="PHILLIPSG",'ATP Fills'!F1554,""))</f>
        <v/>
      </c>
      <c r="B1554" t="str">
        <f>IF(A1554="","",'ATP Fills'!L1554)</f>
        <v/>
      </c>
      <c r="C1554" t="str">
        <f>IF(A1554="","",'ATP Fills'!M1554)</f>
        <v/>
      </c>
      <c r="D1554" t="str">
        <f>IF(A1554="","",'ATP Fills'!B1554)</f>
        <v/>
      </c>
      <c r="E1554" s="3" t="str">
        <f>IF(A1554="","",IF(DATE(LEFT(D1554,4),MID(D1554,5,2),RIGHT(D1554,2))=Helper1!$P$1,Helper1!$P$1,""))</f>
        <v/>
      </c>
      <c r="F1554" s="3" t="str">
        <f>IF(A1554="","",'ATP Fills'!G1554)</f>
        <v/>
      </c>
      <c r="G1554" t="str">
        <f>IF(A1554="","",'ATP Fills'!H1554)</f>
        <v/>
      </c>
      <c r="H1554" t="str">
        <f>IF(A1554="","",VLOOKUP(G1554,表3_3[],2,0))</f>
        <v/>
      </c>
      <c r="I1554" t="str">
        <f>IF(A1554="","",VLOOKUP(G1554,表3_3[],3,0))</f>
        <v/>
      </c>
      <c r="J1554" t="str">
        <f>IF(A1554="","",IF('ATP Fills'!I1554="3M","",VLOOKUP(RIGHT('ATP Fills'!I1554,2),Helper1!$O$36:$P$48,2,0)))</f>
        <v/>
      </c>
      <c r="K1554" t="str">
        <f>IF(J1554="","",LEFT('ATP Fills'!I1554,4))</f>
        <v/>
      </c>
      <c r="L1554" t="str">
        <f>IF(A1554="","",IF('ATP Fills'!G1554="LME",'ATP Fills'!I1554,""))</f>
        <v/>
      </c>
      <c r="M1554" t="str">
        <f t="shared" si="24"/>
        <v/>
      </c>
    </row>
    <row r="1555" spans="1:13">
      <c r="A1555" t="str">
        <f>IF('ATP Fills'!A1555="","",IF('ATP Fills'!Q1555="PHILLIPSG",'ATP Fills'!F1555,""))</f>
        <v/>
      </c>
      <c r="B1555" t="str">
        <f>IF(A1555="","",'ATP Fills'!L1555)</f>
        <v/>
      </c>
      <c r="C1555" t="str">
        <f>IF(A1555="","",'ATP Fills'!M1555)</f>
        <v/>
      </c>
      <c r="D1555" t="str">
        <f>IF(A1555="","",'ATP Fills'!B1555)</f>
        <v/>
      </c>
      <c r="E1555" s="3" t="str">
        <f>IF(A1555="","",IF(DATE(LEFT(D1555,4),MID(D1555,5,2),RIGHT(D1555,2))=Helper1!$P$1,Helper1!$P$1,""))</f>
        <v/>
      </c>
      <c r="F1555" s="3" t="str">
        <f>IF(A1555="","",'ATP Fills'!G1555)</f>
        <v/>
      </c>
      <c r="G1555" t="str">
        <f>IF(A1555="","",'ATP Fills'!H1555)</f>
        <v/>
      </c>
      <c r="H1555" t="str">
        <f>IF(A1555="","",VLOOKUP(G1555,表3_3[],2,0))</f>
        <v/>
      </c>
      <c r="I1555" t="str">
        <f>IF(A1555="","",VLOOKUP(G1555,表3_3[],3,0))</f>
        <v/>
      </c>
      <c r="J1555" t="str">
        <f>IF(A1555="","",IF('ATP Fills'!I1555="3M","",VLOOKUP(RIGHT('ATP Fills'!I1555,2),Helper1!$O$36:$P$48,2,0)))</f>
        <v/>
      </c>
      <c r="K1555" t="str">
        <f>IF(J1555="","",LEFT('ATP Fills'!I1555,4))</f>
        <v/>
      </c>
      <c r="L1555" t="str">
        <f>IF(A1555="","",IF('ATP Fills'!G1555="LME",'ATP Fills'!I1555,""))</f>
        <v/>
      </c>
      <c r="M1555" t="str">
        <f t="shared" si="24"/>
        <v/>
      </c>
    </row>
    <row r="1556" spans="1:13">
      <c r="A1556" t="str">
        <f>IF('ATP Fills'!A1556="","",IF('ATP Fills'!Q1556="PHILLIPSG",'ATP Fills'!F1556,""))</f>
        <v/>
      </c>
      <c r="B1556" t="str">
        <f>IF(A1556="","",'ATP Fills'!L1556)</f>
        <v/>
      </c>
      <c r="C1556" t="str">
        <f>IF(A1556="","",'ATP Fills'!M1556)</f>
        <v/>
      </c>
      <c r="D1556" t="str">
        <f>IF(A1556="","",'ATP Fills'!B1556)</f>
        <v/>
      </c>
      <c r="E1556" s="3" t="str">
        <f>IF(A1556="","",IF(DATE(LEFT(D1556,4),MID(D1556,5,2),RIGHT(D1556,2))=Helper1!$P$1,Helper1!$P$1,""))</f>
        <v/>
      </c>
      <c r="F1556" s="3" t="str">
        <f>IF(A1556="","",'ATP Fills'!G1556)</f>
        <v/>
      </c>
      <c r="G1556" t="str">
        <f>IF(A1556="","",'ATP Fills'!H1556)</f>
        <v/>
      </c>
      <c r="H1556" t="str">
        <f>IF(A1556="","",VLOOKUP(G1556,表3_3[],2,0))</f>
        <v/>
      </c>
      <c r="I1556" t="str">
        <f>IF(A1556="","",VLOOKUP(G1556,表3_3[],3,0))</f>
        <v/>
      </c>
      <c r="J1556" t="str">
        <f>IF(A1556="","",IF('ATP Fills'!I1556="3M","",VLOOKUP(RIGHT('ATP Fills'!I1556,2),Helper1!$O$36:$P$48,2,0)))</f>
        <v/>
      </c>
      <c r="K1556" t="str">
        <f>IF(J1556="","",LEFT('ATP Fills'!I1556,4))</f>
        <v/>
      </c>
      <c r="L1556" t="str">
        <f>IF(A1556="","",IF('ATP Fills'!G1556="LME",'ATP Fills'!I1556,""))</f>
        <v/>
      </c>
      <c r="M1556" t="str">
        <f t="shared" si="24"/>
        <v/>
      </c>
    </row>
    <row r="1557" spans="1:13">
      <c r="A1557" t="str">
        <f>IF('ATP Fills'!A1557="","",IF('ATP Fills'!Q1557="PHILLIPSG",'ATP Fills'!F1557,""))</f>
        <v/>
      </c>
      <c r="B1557" t="str">
        <f>IF(A1557="","",'ATP Fills'!L1557)</f>
        <v/>
      </c>
      <c r="C1557" t="str">
        <f>IF(A1557="","",'ATP Fills'!M1557)</f>
        <v/>
      </c>
      <c r="D1557" t="str">
        <f>IF(A1557="","",'ATP Fills'!B1557)</f>
        <v/>
      </c>
      <c r="E1557" s="3" t="str">
        <f>IF(A1557="","",IF(DATE(LEFT(D1557,4),MID(D1557,5,2),RIGHT(D1557,2))=Helper1!$P$1,Helper1!$P$1,""))</f>
        <v/>
      </c>
      <c r="F1557" s="3" t="str">
        <f>IF(A1557="","",'ATP Fills'!G1557)</f>
        <v/>
      </c>
      <c r="G1557" t="str">
        <f>IF(A1557="","",'ATP Fills'!H1557)</f>
        <v/>
      </c>
      <c r="H1557" t="str">
        <f>IF(A1557="","",VLOOKUP(G1557,表3_3[],2,0))</f>
        <v/>
      </c>
      <c r="I1557" t="str">
        <f>IF(A1557="","",VLOOKUP(G1557,表3_3[],3,0))</f>
        <v/>
      </c>
      <c r="J1557" t="str">
        <f>IF(A1557="","",IF('ATP Fills'!I1557="3M","",VLOOKUP(RIGHT('ATP Fills'!I1557,2),Helper1!$O$36:$P$48,2,0)))</f>
        <v/>
      </c>
      <c r="K1557" t="str">
        <f>IF(J1557="","",LEFT('ATP Fills'!I1557,4))</f>
        <v/>
      </c>
      <c r="L1557" t="str">
        <f>IF(A1557="","",IF('ATP Fills'!G1557="LME",'ATP Fills'!I1557,""))</f>
        <v/>
      </c>
      <c r="M1557" t="str">
        <f t="shared" si="24"/>
        <v/>
      </c>
    </row>
    <row r="1558" spans="1:13">
      <c r="A1558" t="str">
        <f>IF('ATP Fills'!A1558="","",IF('ATP Fills'!Q1558="PHILLIPSG",'ATP Fills'!F1558,""))</f>
        <v/>
      </c>
      <c r="B1558" t="str">
        <f>IF(A1558="","",'ATP Fills'!L1558)</f>
        <v/>
      </c>
      <c r="C1558" t="str">
        <f>IF(A1558="","",'ATP Fills'!M1558)</f>
        <v/>
      </c>
      <c r="D1558" t="str">
        <f>IF(A1558="","",'ATP Fills'!B1558)</f>
        <v/>
      </c>
      <c r="E1558" s="3" t="str">
        <f>IF(A1558="","",IF(DATE(LEFT(D1558,4),MID(D1558,5,2),RIGHT(D1558,2))=Helper1!$P$1,Helper1!$P$1,""))</f>
        <v/>
      </c>
      <c r="F1558" s="3" t="str">
        <f>IF(A1558="","",'ATP Fills'!G1558)</f>
        <v/>
      </c>
      <c r="G1558" t="str">
        <f>IF(A1558="","",'ATP Fills'!H1558)</f>
        <v/>
      </c>
      <c r="H1558" t="str">
        <f>IF(A1558="","",VLOOKUP(G1558,表3_3[],2,0))</f>
        <v/>
      </c>
      <c r="I1558" t="str">
        <f>IF(A1558="","",VLOOKUP(G1558,表3_3[],3,0))</f>
        <v/>
      </c>
      <c r="J1558" t="str">
        <f>IF(A1558="","",IF('ATP Fills'!I1558="3M","",VLOOKUP(RIGHT('ATP Fills'!I1558,2),Helper1!$O$36:$P$48,2,0)))</f>
        <v/>
      </c>
      <c r="K1558" t="str">
        <f>IF(J1558="","",LEFT('ATP Fills'!I1558,4))</f>
        <v/>
      </c>
      <c r="L1558" t="str">
        <f>IF(A1558="","",IF('ATP Fills'!G1558="LME",'ATP Fills'!I1558,""))</f>
        <v/>
      </c>
      <c r="M1558" t="str">
        <f t="shared" si="24"/>
        <v/>
      </c>
    </row>
    <row r="1559" spans="1:13">
      <c r="A1559" t="str">
        <f>IF('ATP Fills'!A1559="","",IF('ATP Fills'!Q1559="PHILLIPSG",'ATP Fills'!F1559,""))</f>
        <v/>
      </c>
      <c r="B1559" t="str">
        <f>IF(A1559="","",'ATP Fills'!L1559)</f>
        <v/>
      </c>
      <c r="C1559" t="str">
        <f>IF(A1559="","",'ATP Fills'!M1559)</f>
        <v/>
      </c>
      <c r="D1559" t="str">
        <f>IF(A1559="","",'ATP Fills'!B1559)</f>
        <v/>
      </c>
      <c r="E1559" s="3" t="str">
        <f>IF(A1559="","",IF(DATE(LEFT(D1559,4),MID(D1559,5,2),RIGHT(D1559,2))=Helper1!$P$1,Helper1!$P$1,""))</f>
        <v/>
      </c>
      <c r="F1559" s="3" t="str">
        <f>IF(A1559="","",'ATP Fills'!G1559)</f>
        <v/>
      </c>
      <c r="G1559" t="str">
        <f>IF(A1559="","",'ATP Fills'!H1559)</f>
        <v/>
      </c>
      <c r="H1559" t="str">
        <f>IF(A1559="","",VLOOKUP(G1559,表3_3[],2,0))</f>
        <v/>
      </c>
      <c r="I1559" t="str">
        <f>IF(A1559="","",VLOOKUP(G1559,表3_3[],3,0))</f>
        <v/>
      </c>
      <c r="J1559" t="str">
        <f>IF(A1559="","",IF('ATP Fills'!I1559="3M","",VLOOKUP(RIGHT('ATP Fills'!I1559,2),Helper1!$O$36:$P$48,2,0)))</f>
        <v/>
      </c>
      <c r="K1559" t="str">
        <f>IF(J1559="","",LEFT('ATP Fills'!I1559,4))</f>
        <v/>
      </c>
      <c r="L1559" t="str">
        <f>IF(A1559="","",IF('ATP Fills'!G1559="LME",'ATP Fills'!I1559,""))</f>
        <v/>
      </c>
      <c r="M1559" t="str">
        <f t="shared" si="24"/>
        <v/>
      </c>
    </row>
    <row r="1560" spans="1:13">
      <c r="A1560" t="str">
        <f>IF('ATP Fills'!A1560="","",IF('ATP Fills'!Q1560="PHILLIPSG",'ATP Fills'!F1560,""))</f>
        <v/>
      </c>
      <c r="B1560" t="str">
        <f>IF(A1560="","",'ATP Fills'!L1560)</f>
        <v/>
      </c>
      <c r="C1560" t="str">
        <f>IF(A1560="","",'ATP Fills'!M1560)</f>
        <v/>
      </c>
      <c r="D1560" t="str">
        <f>IF(A1560="","",'ATP Fills'!B1560)</f>
        <v/>
      </c>
      <c r="E1560" s="3" t="str">
        <f>IF(A1560="","",IF(DATE(LEFT(D1560,4),MID(D1560,5,2),RIGHT(D1560,2))=Helper1!$P$1,Helper1!$P$1,""))</f>
        <v/>
      </c>
      <c r="F1560" s="3" t="str">
        <f>IF(A1560="","",'ATP Fills'!G1560)</f>
        <v/>
      </c>
      <c r="G1560" t="str">
        <f>IF(A1560="","",'ATP Fills'!H1560)</f>
        <v/>
      </c>
      <c r="H1560" t="str">
        <f>IF(A1560="","",VLOOKUP(G1560,表3_3[],2,0))</f>
        <v/>
      </c>
      <c r="I1560" t="str">
        <f>IF(A1560="","",VLOOKUP(G1560,表3_3[],3,0))</f>
        <v/>
      </c>
      <c r="J1560" t="str">
        <f>IF(A1560="","",IF('ATP Fills'!I1560="3M","",VLOOKUP(RIGHT('ATP Fills'!I1560,2),Helper1!$O$36:$P$48,2,0)))</f>
        <v/>
      </c>
      <c r="K1560" t="str">
        <f>IF(J1560="","",LEFT('ATP Fills'!I1560,4))</f>
        <v/>
      </c>
      <c r="L1560" t="str">
        <f>IF(A1560="","",IF('ATP Fills'!G1560="LME",'ATP Fills'!I1560,""))</f>
        <v/>
      </c>
      <c r="M1560" t="str">
        <f t="shared" si="24"/>
        <v/>
      </c>
    </row>
    <row r="1561" spans="1:13">
      <c r="A1561" t="str">
        <f>IF('ATP Fills'!A1561="","",IF('ATP Fills'!Q1561="PHILLIPSG",'ATP Fills'!F1561,""))</f>
        <v/>
      </c>
      <c r="B1561" t="str">
        <f>IF(A1561="","",'ATP Fills'!L1561)</f>
        <v/>
      </c>
      <c r="C1561" t="str">
        <f>IF(A1561="","",'ATP Fills'!M1561)</f>
        <v/>
      </c>
      <c r="D1561" t="str">
        <f>IF(A1561="","",'ATP Fills'!B1561)</f>
        <v/>
      </c>
      <c r="E1561" s="3" t="str">
        <f>IF(A1561="","",IF(DATE(LEFT(D1561,4),MID(D1561,5,2),RIGHT(D1561,2))=Helper1!$P$1,Helper1!$P$1,""))</f>
        <v/>
      </c>
      <c r="F1561" s="3" t="str">
        <f>IF(A1561="","",'ATP Fills'!G1561)</f>
        <v/>
      </c>
      <c r="G1561" t="str">
        <f>IF(A1561="","",'ATP Fills'!H1561)</f>
        <v/>
      </c>
      <c r="H1561" t="str">
        <f>IF(A1561="","",VLOOKUP(G1561,表3_3[],2,0))</f>
        <v/>
      </c>
      <c r="I1561" t="str">
        <f>IF(A1561="","",VLOOKUP(G1561,表3_3[],3,0))</f>
        <v/>
      </c>
      <c r="J1561" t="str">
        <f>IF(A1561="","",IF('ATP Fills'!I1561="3M","",VLOOKUP(RIGHT('ATP Fills'!I1561,2),Helper1!$O$36:$P$48,2,0)))</f>
        <v/>
      </c>
      <c r="K1561" t="str">
        <f>IF(J1561="","",LEFT('ATP Fills'!I1561,4))</f>
        <v/>
      </c>
      <c r="L1561" t="str">
        <f>IF(A1561="","",IF('ATP Fills'!G1561="LME",'ATP Fills'!I1561,""))</f>
        <v/>
      </c>
      <c r="M1561" t="str">
        <f t="shared" si="24"/>
        <v/>
      </c>
    </row>
    <row r="1562" spans="1:13">
      <c r="A1562" t="str">
        <f>IF('ATP Fills'!A1562="","",IF('ATP Fills'!Q1562="PHILLIPSG",'ATP Fills'!F1562,""))</f>
        <v/>
      </c>
      <c r="B1562" t="str">
        <f>IF(A1562="","",'ATP Fills'!L1562)</f>
        <v/>
      </c>
      <c r="C1562" t="str">
        <f>IF(A1562="","",'ATP Fills'!M1562)</f>
        <v/>
      </c>
      <c r="D1562" t="str">
        <f>IF(A1562="","",'ATP Fills'!B1562)</f>
        <v/>
      </c>
      <c r="E1562" s="3" t="str">
        <f>IF(A1562="","",IF(DATE(LEFT(D1562,4),MID(D1562,5,2),RIGHT(D1562,2))=Helper1!$P$1,Helper1!$P$1,""))</f>
        <v/>
      </c>
      <c r="F1562" s="3" t="str">
        <f>IF(A1562="","",'ATP Fills'!G1562)</f>
        <v/>
      </c>
      <c r="G1562" t="str">
        <f>IF(A1562="","",'ATP Fills'!H1562)</f>
        <v/>
      </c>
      <c r="H1562" t="str">
        <f>IF(A1562="","",VLOOKUP(G1562,表3_3[],2,0))</f>
        <v/>
      </c>
      <c r="I1562" t="str">
        <f>IF(A1562="","",VLOOKUP(G1562,表3_3[],3,0))</f>
        <v/>
      </c>
      <c r="J1562" t="str">
        <f>IF(A1562="","",IF('ATP Fills'!I1562="3M","",VLOOKUP(RIGHT('ATP Fills'!I1562,2),Helper1!$O$36:$P$48,2,0)))</f>
        <v/>
      </c>
      <c r="K1562" t="str">
        <f>IF(J1562="","",LEFT('ATP Fills'!I1562,4))</f>
        <v/>
      </c>
      <c r="L1562" t="str">
        <f>IF(A1562="","",IF('ATP Fills'!G1562="LME",'ATP Fills'!I1562,""))</f>
        <v/>
      </c>
      <c r="M1562" t="str">
        <f t="shared" si="24"/>
        <v/>
      </c>
    </row>
    <row r="1563" spans="1:13">
      <c r="A1563" t="str">
        <f>IF('ATP Fills'!A1563="","",IF('ATP Fills'!Q1563="PHILLIPSG",'ATP Fills'!F1563,""))</f>
        <v/>
      </c>
      <c r="B1563" t="str">
        <f>IF(A1563="","",'ATP Fills'!L1563)</f>
        <v/>
      </c>
      <c r="C1563" t="str">
        <f>IF(A1563="","",'ATP Fills'!M1563)</f>
        <v/>
      </c>
      <c r="D1563" t="str">
        <f>IF(A1563="","",'ATP Fills'!B1563)</f>
        <v/>
      </c>
      <c r="E1563" s="3" t="str">
        <f>IF(A1563="","",IF(DATE(LEFT(D1563,4),MID(D1563,5,2),RIGHT(D1563,2))=Helper1!$P$1,Helper1!$P$1,""))</f>
        <v/>
      </c>
      <c r="F1563" s="3" t="str">
        <f>IF(A1563="","",'ATP Fills'!G1563)</f>
        <v/>
      </c>
      <c r="G1563" t="str">
        <f>IF(A1563="","",'ATP Fills'!H1563)</f>
        <v/>
      </c>
      <c r="H1563" t="str">
        <f>IF(A1563="","",VLOOKUP(G1563,表3_3[],2,0))</f>
        <v/>
      </c>
      <c r="I1563" t="str">
        <f>IF(A1563="","",VLOOKUP(G1563,表3_3[],3,0))</f>
        <v/>
      </c>
      <c r="J1563" t="str">
        <f>IF(A1563="","",IF('ATP Fills'!I1563="3M","",VLOOKUP(RIGHT('ATP Fills'!I1563,2),Helper1!$O$36:$P$48,2,0)))</f>
        <v/>
      </c>
      <c r="K1563" t="str">
        <f>IF(J1563="","",LEFT('ATP Fills'!I1563,4))</f>
        <v/>
      </c>
      <c r="L1563" t="str">
        <f>IF(A1563="","",IF('ATP Fills'!G1563="LME",'ATP Fills'!I1563,""))</f>
        <v/>
      </c>
      <c r="M1563" t="str">
        <f t="shared" si="24"/>
        <v/>
      </c>
    </row>
    <row r="1564" spans="1:13">
      <c r="A1564" t="str">
        <f>IF('ATP Fills'!A1564="","",IF('ATP Fills'!Q1564="PHILLIPSG",'ATP Fills'!F1564,""))</f>
        <v/>
      </c>
      <c r="B1564" t="str">
        <f>IF(A1564="","",'ATP Fills'!L1564)</f>
        <v/>
      </c>
      <c r="C1564" t="str">
        <f>IF(A1564="","",'ATP Fills'!M1564)</f>
        <v/>
      </c>
      <c r="D1564" t="str">
        <f>IF(A1564="","",'ATP Fills'!B1564)</f>
        <v/>
      </c>
      <c r="E1564" s="3" t="str">
        <f>IF(A1564="","",IF(DATE(LEFT(D1564,4),MID(D1564,5,2),RIGHT(D1564,2))=Helper1!$P$1,Helper1!$P$1,""))</f>
        <v/>
      </c>
      <c r="F1564" s="3" t="str">
        <f>IF(A1564="","",'ATP Fills'!G1564)</f>
        <v/>
      </c>
      <c r="G1564" t="str">
        <f>IF(A1564="","",'ATP Fills'!H1564)</f>
        <v/>
      </c>
      <c r="H1564" t="str">
        <f>IF(A1564="","",VLOOKUP(G1564,表3_3[],2,0))</f>
        <v/>
      </c>
      <c r="I1564" t="str">
        <f>IF(A1564="","",VLOOKUP(G1564,表3_3[],3,0))</f>
        <v/>
      </c>
      <c r="J1564" t="str">
        <f>IF(A1564="","",IF('ATP Fills'!I1564="3M","",VLOOKUP(RIGHT('ATP Fills'!I1564,2),Helper1!$O$36:$P$48,2,0)))</f>
        <v/>
      </c>
      <c r="K1564" t="str">
        <f>IF(J1564="","",LEFT('ATP Fills'!I1564,4))</f>
        <v/>
      </c>
      <c r="L1564" t="str">
        <f>IF(A1564="","",IF('ATP Fills'!G1564="LME",'ATP Fills'!I1564,""))</f>
        <v/>
      </c>
      <c r="M1564" t="str">
        <f t="shared" si="24"/>
        <v/>
      </c>
    </row>
    <row r="1565" spans="1:13">
      <c r="A1565" t="str">
        <f>IF('ATP Fills'!A1565="","",IF('ATP Fills'!Q1565="PHILLIPSG",'ATP Fills'!F1565,""))</f>
        <v/>
      </c>
      <c r="B1565" t="str">
        <f>IF(A1565="","",'ATP Fills'!L1565)</f>
        <v/>
      </c>
      <c r="C1565" t="str">
        <f>IF(A1565="","",'ATP Fills'!M1565)</f>
        <v/>
      </c>
      <c r="D1565" t="str">
        <f>IF(A1565="","",'ATP Fills'!B1565)</f>
        <v/>
      </c>
      <c r="E1565" s="3" t="str">
        <f>IF(A1565="","",IF(DATE(LEFT(D1565,4),MID(D1565,5,2),RIGHT(D1565,2))=Helper1!$P$1,Helper1!$P$1,""))</f>
        <v/>
      </c>
      <c r="F1565" s="3" t="str">
        <f>IF(A1565="","",'ATP Fills'!G1565)</f>
        <v/>
      </c>
      <c r="G1565" t="str">
        <f>IF(A1565="","",'ATP Fills'!H1565)</f>
        <v/>
      </c>
      <c r="H1565" t="str">
        <f>IF(A1565="","",VLOOKUP(G1565,表3_3[],2,0))</f>
        <v/>
      </c>
      <c r="I1565" t="str">
        <f>IF(A1565="","",VLOOKUP(G1565,表3_3[],3,0))</f>
        <v/>
      </c>
      <c r="J1565" t="str">
        <f>IF(A1565="","",IF('ATP Fills'!I1565="3M","",VLOOKUP(RIGHT('ATP Fills'!I1565,2),Helper1!$O$36:$P$48,2,0)))</f>
        <v/>
      </c>
      <c r="K1565" t="str">
        <f>IF(J1565="","",LEFT('ATP Fills'!I1565,4))</f>
        <v/>
      </c>
      <c r="L1565" t="str">
        <f>IF(A1565="","",IF('ATP Fills'!G1565="LME",'ATP Fills'!I1565,""))</f>
        <v/>
      </c>
      <c r="M1565" t="str">
        <f t="shared" si="24"/>
        <v/>
      </c>
    </row>
    <row r="1566" spans="1:13">
      <c r="A1566" t="str">
        <f>IF('ATP Fills'!A1566="","",IF('ATP Fills'!Q1566="PHILLIPSG",'ATP Fills'!F1566,""))</f>
        <v/>
      </c>
      <c r="B1566" t="str">
        <f>IF(A1566="","",'ATP Fills'!L1566)</f>
        <v/>
      </c>
      <c r="C1566" t="str">
        <f>IF(A1566="","",'ATP Fills'!M1566)</f>
        <v/>
      </c>
      <c r="D1566" t="str">
        <f>IF(A1566="","",'ATP Fills'!B1566)</f>
        <v/>
      </c>
      <c r="E1566" s="3" t="str">
        <f>IF(A1566="","",IF(DATE(LEFT(D1566,4),MID(D1566,5,2),RIGHT(D1566,2))=Helper1!$P$1,Helper1!$P$1,""))</f>
        <v/>
      </c>
      <c r="F1566" s="3" t="str">
        <f>IF(A1566="","",'ATP Fills'!G1566)</f>
        <v/>
      </c>
      <c r="G1566" t="str">
        <f>IF(A1566="","",'ATP Fills'!H1566)</f>
        <v/>
      </c>
      <c r="H1566" t="str">
        <f>IF(A1566="","",VLOOKUP(G1566,表3_3[],2,0))</f>
        <v/>
      </c>
      <c r="I1566" t="str">
        <f>IF(A1566="","",VLOOKUP(G1566,表3_3[],3,0))</f>
        <v/>
      </c>
      <c r="J1566" t="str">
        <f>IF(A1566="","",IF('ATP Fills'!I1566="3M","",VLOOKUP(RIGHT('ATP Fills'!I1566,2),Helper1!$O$36:$P$48,2,0)))</f>
        <v/>
      </c>
      <c r="K1566" t="str">
        <f>IF(J1566="","",LEFT('ATP Fills'!I1566,4))</f>
        <v/>
      </c>
      <c r="L1566" t="str">
        <f>IF(A1566="","",IF('ATP Fills'!G1566="LME",'ATP Fills'!I1566,""))</f>
        <v/>
      </c>
      <c r="M1566" t="str">
        <f t="shared" si="24"/>
        <v/>
      </c>
    </row>
    <row r="1567" spans="1:13">
      <c r="A1567" t="str">
        <f>IF('ATP Fills'!A1567="","",IF('ATP Fills'!Q1567="PHILLIPSG",'ATP Fills'!F1567,""))</f>
        <v/>
      </c>
      <c r="B1567" t="str">
        <f>IF(A1567="","",'ATP Fills'!L1567)</f>
        <v/>
      </c>
      <c r="C1567" t="str">
        <f>IF(A1567="","",'ATP Fills'!M1567)</f>
        <v/>
      </c>
      <c r="D1567" t="str">
        <f>IF(A1567="","",'ATP Fills'!B1567)</f>
        <v/>
      </c>
      <c r="E1567" s="3" t="str">
        <f>IF(A1567="","",IF(DATE(LEFT(D1567,4),MID(D1567,5,2),RIGHT(D1567,2))=Helper1!$P$1,Helper1!$P$1,""))</f>
        <v/>
      </c>
      <c r="F1567" s="3" t="str">
        <f>IF(A1567="","",'ATP Fills'!G1567)</f>
        <v/>
      </c>
      <c r="G1567" t="str">
        <f>IF(A1567="","",'ATP Fills'!H1567)</f>
        <v/>
      </c>
      <c r="H1567" t="str">
        <f>IF(A1567="","",VLOOKUP(G1567,表3_3[],2,0))</f>
        <v/>
      </c>
      <c r="I1567" t="str">
        <f>IF(A1567="","",VLOOKUP(G1567,表3_3[],3,0))</f>
        <v/>
      </c>
      <c r="J1567" t="str">
        <f>IF(A1567="","",IF('ATP Fills'!I1567="3M","",VLOOKUP(RIGHT('ATP Fills'!I1567,2),Helper1!$O$36:$P$48,2,0)))</f>
        <v/>
      </c>
      <c r="K1567" t="str">
        <f>IF(J1567="","",LEFT('ATP Fills'!I1567,4))</f>
        <v/>
      </c>
      <c r="L1567" t="str">
        <f>IF(A1567="","",IF('ATP Fills'!G1567="LME",'ATP Fills'!I1567,""))</f>
        <v/>
      </c>
      <c r="M1567" t="str">
        <f t="shared" si="24"/>
        <v/>
      </c>
    </row>
    <row r="1568" spans="1:13">
      <c r="A1568" t="str">
        <f>IF('ATP Fills'!A1568="","",IF('ATP Fills'!Q1568="PHILLIPSG",'ATP Fills'!F1568,""))</f>
        <v/>
      </c>
      <c r="B1568" t="str">
        <f>IF(A1568="","",'ATP Fills'!L1568)</f>
        <v/>
      </c>
      <c r="C1568" t="str">
        <f>IF(A1568="","",'ATP Fills'!M1568)</f>
        <v/>
      </c>
      <c r="D1568" t="str">
        <f>IF(A1568="","",'ATP Fills'!B1568)</f>
        <v/>
      </c>
      <c r="E1568" s="3" t="str">
        <f>IF(A1568="","",IF(DATE(LEFT(D1568,4),MID(D1568,5,2),RIGHT(D1568,2))=Helper1!$P$1,Helper1!$P$1,""))</f>
        <v/>
      </c>
      <c r="F1568" s="3" t="str">
        <f>IF(A1568="","",'ATP Fills'!G1568)</f>
        <v/>
      </c>
      <c r="G1568" t="str">
        <f>IF(A1568="","",'ATP Fills'!H1568)</f>
        <v/>
      </c>
      <c r="H1568" t="str">
        <f>IF(A1568="","",VLOOKUP(G1568,表3_3[],2,0))</f>
        <v/>
      </c>
      <c r="I1568" t="str">
        <f>IF(A1568="","",VLOOKUP(G1568,表3_3[],3,0))</f>
        <v/>
      </c>
      <c r="J1568" t="str">
        <f>IF(A1568="","",IF('ATP Fills'!I1568="3M","",VLOOKUP(RIGHT('ATP Fills'!I1568,2),Helper1!$O$36:$P$48,2,0)))</f>
        <v/>
      </c>
      <c r="K1568" t="str">
        <f>IF(J1568="","",LEFT('ATP Fills'!I1568,4))</f>
        <v/>
      </c>
      <c r="L1568" t="str">
        <f>IF(A1568="","",IF('ATP Fills'!G1568="LME",'ATP Fills'!I1568,""))</f>
        <v/>
      </c>
      <c r="M1568" t="str">
        <f t="shared" si="24"/>
        <v/>
      </c>
    </row>
    <row r="1569" spans="1:13">
      <c r="A1569" t="str">
        <f>IF('ATP Fills'!A1569="","",IF('ATP Fills'!Q1569="PHILLIPSG",'ATP Fills'!F1569,""))</f>
        <v/>
      </c>
      <c r="B1569" t="str">
        <f>IF(A1569="","",'ATP Fills'!L1569)</f>
        <v/>
      </c>
      <c r="C1569" t="str">
        <f>IF(A1569="","",'ATP Fills'!M1569)</f>
        <v/>
      </c>
      <c r="D1569" t="str">
        <f>IF(A1569="","",'ATP Fills'!B1569)</f>
        <v/>
      </c>
      <c r="E1569" s="3" t="str">
        <f>IF(A1569="","",IF(DATE(LEFT(D1569,4),MID(D1569,5,2),RIGHT(D1569,2))=Helper1!$P$1,Helper1!$P$1,""))</f>
        <v/>
      </c>
      <c r="F1569" s="3" t="str">
        <f>IF(A1569="","",'ATP Fills'!G1569)</f>
        <v/>
      </c>
      <c r="G1569" t="str">
        <f>IF(A1569="","",'ATP Fills'!H1569)</f>
        <v/>
      </c>
      <c r="H1569" t="str">
        <f>IF(A1569="","",VLOOKUP(G1569,表3_3[],2,0))</f>
        <v/>
      </c>
      <c r="I1569" t="str">
        <f>IF(A1569="","",VLOOKUP(G1569,表3_3[],3,0))</f>
        <v/>
      </c>
      <c r="J1569" t="str">
        <f>IF(A1569="","",IF('ATP Fills'!I1569="3M","",VLOOKUP(RIGHT('ATP Fills'!I1569,2),Helper1!$O$36:$P$48,2,0)))</f>
        <v/>
      </c>
      <c r="K1569" t="str">
        <f>IF(J1569="","",LEFT('ATP Fills'!I1569,4))</f>
        <v/>
      </c>
      <c r="L1569" t="str">
        <f>IF(A1569="","",IF('ATP Fills'!G1569="LME",'ATP Fills'!I1569,""))</f>
        <v/>
      </c>
      <c r="M1569" t="str">
        <f t="shared" si="24"/>
        <v/>
      </c>
    </row>
    <row r="1570" spans="1:13">
      <c r="A1570" t="str">
        <f>IF('ATP Fills'!A1570="","",IF('ATP Fills'!Q1570="PHILLIPSG",'ATP Fills'!F1570,""))</f>
        <v/>
      </c>
      <c r="B1570" t="str">
        <f>IF(A1570="","",'ATP Fills'!L1570)</f>
        <v/>
      </c>
      <c r="C1570" t="str">
        <f>IF(A1570="","",'ATP Fills'!M1570)</f>
        <v/>
      </c>
      <c r="D1570" t="str">
        <f>IF(A1570="","",'ATP Fills'!B1570)</f>
        <v/>
      </c>
      <c r="E1570" s="3" t="str">
        <f>IF(A1570="","",IF(DATE(LEFT(D1570,4),MID(D1570,5,2),RIGHT(D1570,2))=Helper1!$P$1,Helper1!$P$1,""))</f>
        <v/>
      </c>
      <c r="F1570" s="3" t="str">
        <f>IF(A1570="","",'ATP Fills'!G1570)</f>
        <v/>
      </c>
      <c r="G1570" t="str">
        <f>IF(A1570="","",'ATP Fills'!H1570)</f>
        <v/>
      </c>
      <c r="H1570" t="str">
        <f>IF(A1570="","",VLOOKUP(G1570,表3_3[],2,0))</f>
        <v/>
      </c>
      <c r="I1570" t="str">
        <f>IF(A1570="","",VLOOKUP(G1570,表3_3[],3,0))</f>
        <v/>
      </c>
      <c r="J1570" t="str">
        <f>IF(A1570="","",IF('ATP Fills'!I1570="3M","",VLOOKUP(RIGHT('ATP Fills'!I1570,2),Helper1!$O$36:$P$48,2,0)))</f>
        <v/>
      </c>
      <c r="K1570" t="str">
        <f>IF(J1570="","",LEFT('ATP Fills'!I1570,4))</f>
        <v/>
      </c>
      <c r="L1570" t="str">
        <f>IF(A1570="","",IF('ATP Fills'!G1570="LME",'ATP Fills'!I1570,""))</f>
        <v/>
      </c>
      <c r="M1570" t="str">
        <f t="shared" si="24"/>
        <v/>
      </c>
    </row>
    <row r="1571" spans="1:13">
      <c r="A1571" t="str">
        <f>IF('ATP Fills'!A1571="","",IF('ATP Fills'!Q1571="PHILLIPSG",'ATP Fills'!F1571,""))</f>
        <v/>
      </c>
      <c r="B1571" t="str">
        <f>IF(A1571="","",'ATP Fills'!L1571)</f>
        <v/>
      </c>
      <c r="C1571" t="str">
        <f>IF(A1571="","",'ATP Fills'!M1571)</f>
        <v/>
      </c>
      <c r="D1571" t="str">
        <f>IF(A1571="","",'ATP Fills'!B1571)</f>
        <v/>
      </c>
      <c r="E1571" s="3" t="str">
        <f>IF(A1571="","",IF(DATE(LEFT(D1571,4),MID(D1571,5,2),RIGHT(D1571,2))=Helper1!$P$1,Helper1!$P$1,""))</f>
        <v/>
      </c>
      <c r="F1571" s="3" t="str">
        <f>IF(A1571="","",'ATP Fills'!G1571)</f>
        <v/>
      </c>
      <c r="G1571" t="str">
        <f>IF(A1571="","",'ATP Fills'!H1571)</f>
        <v/>
      </c>
      <c r="H1571" t="str">
        <f>IF(A1571="","",VLOOKUP(G1571,表3_3[],2,0))</f>
        <v/>
      </c>
      <c r="I1571" t="str">
        <f>IF(A1571="","",VLOOKUP(G1571,表3_3[],3,0))</f>
        <v/>
      </c>
      <c r="J1571" t="str">
        <f>IF(A1571="","",IF('ATP Fills'!I1571="3M","",VLOOKUP(RIGHT('ATP Fills'!I1571,2),Helper1!$O$36:$P$48,2,0)))</f>
        <v/>
      </c>
      <c r="K1571" t="str">
        <f>IF(J1571="","",LEFT('ATP Fills'!I1571,4))</f>
        <v/>
      </c>
      <c r="L1571" t="str">
        <f>IF(A1571="","",IF('ATP Fills'!G1571="LME",'ATP Fills'!I1571,""))</f>
        <v/>
      </c>
      <c r="M1571" t="str">
        <f t="shared" si="24"/>
        <v/>
      </c>
    </row>
    <row r="1572" spans="1:13">
      <c r="A1572" t="str">
        <f>IF('ATP Fills'!A1572="","",IF('ATP Fills'!Q1572="PHILLIPSG",'ATP Fills'!F1572,""))</f>
        <v/>
      </c>
      <c r="B1572" t="str">
        <f>IF(A1572="","",'ATP Fills'!L1572)</f>
        <v/>
      </c>
      <c r="C1572" t="str">
        <f>IF(A1572="","",'ATP Fills'!M1572)</f>
        <v/>
      </c>
      <c r="D1572" t="str">
        <f>IF(A1572="","",'ATP Fills'!B1572)</f>
        <v/>
      </c>
      <c r="E1572" s="3" t="str">
        <f>IF(A1572="","",IF(DATE(LEFT(D1572,4),MID(D1572,5,2),RIGHT(D1572,2))=Helper1!$P$1,Helper1!$P$1,""))</f>
        <v/>
      </c>
      <c r="F1572" s="3" t="str">
        <f>IF(A1572="","",'ATP Fills'!G1572)</f>
        <v/>
      </c>
      <c r="G1572" t="str">
        <f>IF(A1572="","",'ATP Fills'!H1572)</f>
        <v/>
      </c>
      <c r="H1572" t="str">
        <f>IF(A1572="","",VLOOKUP(G1572,表3_3[],2,0))</f>
        <v/>
      </c>
      <c r="I1572" t="str">
        <f>IF(A1572="","",VLOOKUP(G1572,表3_3[],3,0))</f>
        <v/>
      </c>
      <c r="J1572" t="str">
        <f>IF(A1572="","",IF('ATP Fills'!I1572="3M","",VLOOKUP(RIGHT('ATP Fills'!I1572,2),Helper1!$O$36:$P$48,2,0)))</f>
        <v/>
      </c>
      <c r="K1572" t="str">
        <f>IF(J1572="","",LEFT('ATP Fills'!I1572,4))</f>
        <v/>
      </c>
      <c r="L1572" t="str">
        <f>IF(A1572="","",IF('ATP Fills'!G1572="LME",'ATP Fills'!I1572,""))</f>
        <v/>
      </c>
      <c r="M1572" t="str">
        <f t="shared" si="24"/>
        <v/>
      </c>
    </row>
    <row r="1573" spans="1:13">
      <c r="A1573" t="str">
        <f>IF('ATP Fills'!A1573="","",IF('ATP Fills'!Q1573="PHILLIPSG",'ATP Fills'!F1573,""))</f>
        <v/>
      </c>
      <c r="B1573" t="str">
        <f>IF(A1573="","",'ATP Fills'!L1573)</f>
        <v/>
      </c>
      <c r="C1573" t="str">
        <f>IF(A1573="","",'ATP Fills'!M1573)</f>
        <v/>
      </c>
      <c r="D1573" t="str">
        <f>IF(A1573="","",'ATP Fills'!B1573)</f>
        <v/>
      </c>
      <c r="E1573" s="3" t="str">
        <f>IF(A1573="","",IF(DATE(LEFT(D1573,4),MID(D1573,5,2),RIGHT(D1573,2))=Helper1!$P$1,Helper1!$P$1,""))</f>
        <v/>
      </c>
      <c r="F1573" s="3" t="str">
        <f>IF(A1573="","",'ATP Fills'!G1573)</f>
        <v/>
      </c>
      <c r="G1573" t="str">
        <f>IF(A1573="","",'ATP Fills'!H1573)</f>
        <v/>
      </c>
      <c r="H1573" t="str">
        <f>IF(A1573="","",VLOOKUP(G1573,表3_3[],2,0))</f>
        <v/>
      </c>
      <c r="I1573" t="str">
        <f>IF(A1573="","",VLOOKUP(G1573,表3_3[],3,0))</f>
        <v/>
      </c>
      <c r="J1573" t="str">
        <f>IF(A1573="","",IF('ATP Fills'!I1573="3M","",VLOOKUP(RIGHT('ATP Fills'!I1573,2),Helper1!$O$36:$P$48,2,0)))</f>
        <v/>
      </c>
      <c r="K1573" t="str">
        <f>IF(J1573="","",LEFT('ATP Fills'!I1573,4))</f>
        <v/>
      </c>
      <c r="L1573" t="str">
        <f>IF(A1573="","",IF('ATP Fills'!G1573="LME",'ATP Fills'!I1573,""))</f>
        <v/>
      </c>
      <c r="M1573" t="str">
        <f t="shared" si="24"/>
        <v/>
      </c>
    </row>
    <row r="1574" spans="1:13">
      <c r="A1574" t="str">
        <f>IF('ATP Fills'!A1574="","",IF('ATP Fills'!Q1574="PHILLIPSG",'ATP Fills'!F1574,""))</f>
        <v/>
      </c>
      <c r="B1574" t="str">
        <f>IF(A1574="","",'ATP Fills'!L1574)</f>
        <v/>
      </c>
      <c r="C1574" t="str">
        <f>IF(A1574="","",'ATP Fills'!M1574)</f>
        <v/>
      </c>
      <c r="D1574" t="str">
        <f>IF(A1574="","",'ATP Fills'!B1574)</f>
        <v/>
      </c>
      <c r="E1574" s="3" t="str">
        <f>IF(A1574="","",IF(DATE(LEFT(D1574,4),MID(D1574,5,2),RIGHT(D1574,2))=Helper1!$P$1,Helper1!$P$1,""))</f>
        <v/>
      </c>
      <c r="F1574" s="3" t="str">
        <f>IF(A1574="","",'ATP Fills'!G1574)</f>
        <v/>
      </c>
      <c r="G1574" t="str">
        <f>IF(A1574="","",'ATP Fills'!H1574)</f>
        <v/>
      </c>
      <c r="H1574" t="str">
        <f>IF(A1574="","",VLOOKUP(G1574,表3_3[],2,0))</f>
        <v/>
      </c>
      <c r="I1574" t="str">
        <f>IF(A1574="","",VLOOKUP(G1574,表3_3[],3,0))</f>
        <v/>
      </c>
      <c r="J1574" t="str">
        <f>IF(A1574="","",IF('ATP Fills'!I1574="3M","",VLOOKUP(RIGHT('ATP Fills'!I1574,2),Helper1!$O$36:$P$48,2,0)))</f>
        <v/>
      </c>
      <c r="K1574" t="str">
        <f>IF(J1574="","",LEFT('ATP Fills'!I1574,4))</f>
        <v/>
      </c>
      <c r="L1574" t="str">
        <f>IF(A1574="","",IF('ATP Fills'!G1574="LME",'ATP Fills'!I1574,""))</f>
        <v/>
      </c>
      <c r="M1574" t="str">
        <f t="shared" si="24"/>
        <v/>
      </c>
    </row>
    <row r="1575" spans="1:13">
      <c r="A1575" t="str">
        <f>IF('ATP Fills'!A1575="","",IF('ATP Fills'!Q1575="PHILLIPSG",'ATP Fills'!F1575,""))</f>
        <v/>
      </c>
      <c r="B1575" t="str">
        <f>IF(A1575="","",'ATP Fills'!L1575)</f>
        <v/>
      </c>
      <c r="C1575" t="str">
        <f>IF(A1575="","",'ATP Fills'!M1575)</f>
        <v/>
      </c>
      <c r="D1575" t="str">
        <f>IF(A1575="","",'ATP Fills'!B1575)</f>
        <v/>
      </c>
      <c r="E1575" s="3" t="str">
        <f>IF(A1575="","",IF(DATE(LEFT(D1575,4),MID(D1575,5,2),RIGHT(D1575,2))=Helper1!$P$1,Helper1!$P$1,""))</f>
        <v/>
      </c>
      <c r="F1575" s="3" t="str">
        <f>IF(A1575="","",'ATP Fills'!G1575)</f>
        <v/>
      </c>
      <c r="G1575" t="str">
        <f>IF(A1575="","",'ATP Fills'!H1575)</f>
        <v/>
      </c>
      <c r="H1575" t="str">
        <f>IF(A1575="","",VLOOKUP(G1575,表3_3[],2,0))</f>
        <v/>
      </c>
      <c r="I1575" t="str">
        <f>IF(A1575="","",VLOOKUP(G1575,表3_3[],3,0))</f>
        <v/>
      </c>
      <c r="J1575" t="str">
        <f>IF(A1575="","",IF('ATP Fills'!I1575="3M","",VLOOKUP(RIGHT('ATP Fills'!I1575,2),Helper1!$O$36:$P$48,2,0)))</f>
        <v/>
      </c>
      <c r="K1575" t="str">
        <f>IF(J1575="","",LEFT('ATP Fills'!I1575,4))</f>
        <v/>
      </c>
      <c r="L1575" t="str">
        <f>IF(A1575="","",IF('ATP Fills'!G1575="LME",'ATP Fills'!I1575,""))</f>
        <v/>
      </c>
      <c r="M1575" t="str">
        <f t="shared" si="24"/>
        <v/>
      </c>
    </row>
    <row r="1576" spans="1:13">
      <c r="A1576" t="str">
        <f>IF('ATP Fills'!A1576="","",IF('ATP Fills'!Q1576="PHILLIPSG",'ATP Fills'!F1576,""))</f>
        <v/>
      </c>
      <c r="B1576" t="str">
        <f>IF(A1576="","",'ATP Fills'!L1576)</f>
        <v/>
      </c>
      <c r="C1576" t="str">
        <f>IF(A1576="","",'ATP Fills'!M1576)</f>
        <v/>
      </c>
      <c r="D1576" t="str">
        <f>IF(A1576="","",'ATP Fills'!B1576)</f>
        <v/>
      </c>
      <c r="E1576" s="3" t="str">
        <f>IF(A1576="","",IF(DATE(LEFT(D1576,4),MID(D1576,5,2),RIGHT(D1576,2))=Helper1!$P$1,Helper1!$P$1,""))</f>
        <v/>
      </c>
      <c r="F1576" s="3" t="str">
        <f>IF(A1576="","",'ATP Fills'!G1576)</f>
        <v/>
      </c>
      <c r="G1576" t="str">
        <f>IF(A1576="","",'ATP Fills'!H1576)</f>
        <v/>
      </c>
      <c r="H1576" t="str">
        <f>IF(A1576="","",VLOOKUP(G1576,表3_3[],2,0))</f>
        <v/>
      </c>
      <c r="I1576" t="str">
        <f>IF(A1576="","",VLOOKUP(G1576,表3_3[],3,0))</f>
        <v/>
      </c>
      <c r="J1576" t="str">
        <f>IF(A1576="","",IF('ATP Fills'!I1576="3M","",VLOOKUP(RIGHT('ATP Fills'!I1576,2),Helper1!$O$36:$P$48,2,0)))</f>
        <v/>
      </c>
      <c r="K1576" t="str">
        <f>IF(J1576="","",LEFT('ATP Fills'!I1576,4))</f>
        <v/>
      </c>
      <c r="L1576" t="str">
        <f>IF(A1576="","",IF('ATP Fills'!G1576="LME",'ATP Fills'!I1576,""))</f>
        <v/>
      </c>
      <c r="M1576" t="str">
        <f t="shared" si="24"/>
        <v/>
      </c>
    </row>
    <row r="1577" spans="1:13">
      <c r="A1577" t="str">
        <f>IF('ATP Fills'!A1577="","",IF('ATP Fills'!Q1577="PHILLIPSG",'ATP Fills'!F1577,""))</f>
        <v/>
      </c>
      <c r="B1577" t="str">
        <f>IF(A1577="","",'ATP Fills'!L1577)</f>
        <v/>
      </c>
      <c r="C1577" t="str">
        <f>IF(A1577="","",'ATP Fills'!M1577)</f>
        <v/>
      </c>
      <c r="D1577" t="str">
        <f>IF(A1577="","",'ATP Fills'!B1577)</f>
        <v/>
      </c>
      <c r="E1577" s="3" t="str">
        <f>IF(A1577="","",IF(DATE(LEFT(D1577,4),MID(D1577,5,2),RIGHT(D1577,2))=Helper1!$P$1,Helper1!$P$1,""))</f>
        <v/>
      </c>
      <c r="F1577" s="3" t="str">
        <f>IF(A1577="","",'ATP Fills'!G1577)</f>
        <v/>
      </c>
      <c r="G1577" t="str">
        <f>IF(A1577="","",'ATP Fills'!H1577)</f>
        <v/>
      </c>
      <c r="H1577" t="str">
        <f>IF(A1577="","",VLOOKUP(G1577,表3_3[],2,0))</f>
        <v/>
      </c>
      <c r="I1577" t="str">
        <f>IF(A1577="","",VLOOKUP(G1577,表3_3[],3,0))</f>
        <v/>
      </c>
      <c r="J1577" t="str">
        <f>IF(A1577="","",IF('ATP Fills'!I1577="3M","",VLOOKUP(RIGHT('ATP Fills'!I1577,2),Helper1!$O$36:$P$48,2,0)))</f>
        <v/>
      </c>
      <c r="K1577" t="str">
        <f>IF(J1577="","",LEFT('ATP Fills'!I1577,4))</f>
        <v/>
      </c>
      <c r="L1577" t="str">
        <f>IF(A1577="","",IF('ATP Fills'!G1577="LME",'ATP Fills'!I1577,""))</f>
        <v/>
      </c>
      <c r="M1577" t="str">
        <f t="shared" si="24"/>
        <v/>
      </c>
    </row>
    <row r="1578" spans="1:13">
      <c r="A1578" t="str">
        <f>IF('ATP Fills'!A1578="","",IF('ATP Fills'!Q1578="PHILLIPSG",'ATP Fills'!F1578,""))</f>
        <v/>
      </c>
      <c r="B1578" t="str">
        <f>IF(A1578="","",'ATP Fills'!L1578)</f>
        <v/>
      </c>
      <c r="C1578" t="str">
        <f>IF(A1578="","",'ATP Fills'!M1578)</f>
        <v/>
      </c>
      <c r="D1578" t="str">
        <f>IF(A1578="","",'ATP Fills'!B1578)</f>
        <v/>
      </c>
      <c r="E1578" s="3" t="str">
        <f>IF(A1578="","",IF(DATE(LEFT(D1578,4),MID(D1578,5,2),RIGHT(D1578,2))=Helper1!$P$1,Helper1!$P$1,""))</f>
        <v/>
      </c>
      <c r="F1578" s="3" t="str">
        <f>IF(A1578="","",'ATP Fills'!G1578)</f>
        <v/>
      </c>
      <c r="G1578" t="str">
        <f>IF(A1578="","",'ATP Fills'!H1578)</f>
        <v/>
      </c>
      <c r="H1578" t="str">
        <f>IF(A1578="","",VLOOKUP(G1578,表3_3[],2,0))</f>
        <v/>
      </c>
      <c r="I1578" t="str">
        <f>IF(A1578="","",VLOOKUP(G1578,表3_3[],3,0))</f>
        <v/>
      </c>
      <c r="J1578" t="str">
        <f>IF(A1578="","",IF('ATP Fills'!I1578="3M","",VLOOKUP(RIGHT('ATP Fills'!I1578,2),Helper1!$O$36:$P$48,2,0)))</f>
        <v/>
      </c>
      <c r="K1578" t="str">
        <f>IF(J1578="","",LEFT('ATP Fills'!I1578,4))</f>
        <v/>
      </c>
      <c r="L1578" t="str">
        <f>IF(A1578="","",IF('ATP Fills'!G1578="LME",'ATP Fills'!I1578,""))</f>
        <v/>
      </c>
      <c r="M1578" t="str">
        <f t="shared" si="24"/>
        <v/>
      </c>
    </row>
    <row r="1579" spans="1:13">
      <c r="A1579" t="str">
        <f>IF('ATP Fills'!A1579="","",IF('ATP Fills'!Q1579="PHILLIPSG",'ATP Fills'!F1579,""))</f>
        <v/>
      </c>
      <c r="B1579" t="str">
        <f>IF(A1579="","",'ATP Fills'!L1579)</f>
        <v/>
      </c>
      <c r="C1579" t="str">
        <f>IF(A1579="","",'ATP Fills'!M1579)</f>
        <v/>
      </c>
      <c r="D1579" t="str">
        <f>IF(A1579="","",'ATP Fills'!B1579)</f>
        <v/>
      </c>
      <c r="E1579" s="3" t="str">
        <f>IF(A1579="","",IF(DATE(LEFT(D1579,4),MID(D1579,5,2),RIGHT(D1579,2))=Helper1!$P$1,Helper1!$P$1,""))</f>
        <v/>
      </c>
      <c r="F1579" s="3" t="str">
        <f>IF(A1579="","",'ATP Fills'!G1579)</f>
        <v/>
      </c>
      <c r="G1579" t="str">
        <f>IF(A1579="","",'ATP Fills'!H1579)</f>
        <v/>
      </c>
      <c r="H1579" t="str">
        <f>IF(A1579="","",VLOOKUP(G1579,表3_3[],2,0))</f>
        <v/>
      </c>
      <c r="I1579" t="str">
        <f>IF(A1579="","",VLOOKUP(G1579,表3_3[],3,0))</f>
        <v/>
      </c>
      <c r="J1579" t="str">
        <f>IF(A1579="","",IF('ATP Fills'!I1579="3M","",VLOOKUP(RIGHT('ATP Fills'!I1579,2),Helper1!$O$36:$P$48,2,0)))</f>
        <v/>
      </c>
      <c r="K1579" t="str">
        <f>IF(J1579="","",LEFT('ATP Fills'!I1579,4))</f>
        <v/>
      </c>
      <c r="L1579" t="str">
        <f>IF(A1579="","",IF('ATP Fills'!G1579="LME",'ATP Fills'!I1579,""))</f>
        <v/>
      </c>
      <c r="M1579" t="str">
        <f t="shared" si="24"/>
        <v/>
      </c>
    </row>
    <row r="1580" spans="1:13">
      <c r="A1580" t="str">
        <f>IF('ATP Fills'!A1580="","",IF('ATP Fills'!Q1580="PHILLIPSG",'ATP Fills'!F1580,""))</f>
        <v/>
      </c>
      <c r="B1580" t="str">
        <f>IF(A1580="","",'ATP Fills'!L1580)</f>
        <v/>
      </c>
      <c r="C1580" t="str">
        <f>IF(A1580="","",'ATP Fills'!M1580)</f>
        <v/>
      </c>
      <c r="D1580" t="str">
        <f>IF(A1580="","",'ATP Fills'!B1580)</f>
        <v/>
      </c>
      <c r="E1580" s="3" t="str">
        <f>IF(A1580="","",IF(DATE(LEFT(D1580,4),MID(D1580,5,2),RIGHT(D1580,2))=Helper1!$P$1,Helper1!$P$1,""))</f>
        <v/>
      </c>
      <c r="F1580" s="3" t="str">
        <f>IF(A1580="","",'ATP Fills'!G1580)</f>
        <v/>
      </c>
      <c r="G1580" t="str">
        <f>IF(A1580="","",'ATP Fills'!H1580)</f>
        <v/>
      </c>
      <c r="H1580" t="str">
        <f>IF(A1580="","",VLOOKUP(G1580,表3_3[],2,0))</f>
        <v/>
      </c>
      <c r="I1580" t="str">
        <f>IF(A1580="","",VLOOKUP(G1580,表3_3[],3,0))</f>
        <v/>
      </c>
      <c r="J1580" t="str">
        <f>IF(A1580="","",IF('ATP Fills'!I1580="3M","",VLOOKUP(RIGHT('ATP Fills'!I1580,2),Helper1!$O$36:$P$48,2,0)))</f>
        <v/>
      </c>
      <c r="K1580" t="str">
        <f>IF(J1580="","",LEFT('ATP Fills'!I1580,4))</f>
        <v/>
      </c>
      <c r="L1580" t="str">
        <f>IF(A1580="","",IF('ATP Fills'!G1580="LME",'ATP Fills'!I1580,""))</f>
        <v/>
      </c>
      <c r="M1580" t="str">
        <f t="shared" si="24"/>
        <v/>
      </c>
    </row>
    <row r="1581" spans="1:13">
      <c r="A1581" t="str">
        <f>IF('ATP Fills'!A1581="","",IF('ATP Fills'!Q1581="PHILLIPSG",'ATP Fills'!F1581,""))</f>
        <v/>
      </c>
      <c r="B1581" t="str">
        <f>IF(A1581="","",'ATP Fills'!L1581)</f>
        <v/>
      </c>
      <c r="C1581" t="str">
        <f>IF(A1581="","",'ATP Fills'!M1581)</f>
        <v/>
      </c>
      <c r="D1581" t="str">
        <f>IF(A1581="","",'ATP Fills'!B1581)</f>
        <v/>
      </c>
      <c r="E1581" s="3" t="str">
        <f>IF(A1581="","",IF(DATE(LEFT(D1581,4),MID(D1581,5,2),RIGHT(D1581,2))=Helper1!$P$1,Helper1!$P$1,""))</f>
        <v/>
      </c>
      <c r="F1581" s="3" t="str">
        <f>IF(A1581="","",'ATP Fills'!G1581)</f>
        <v/>
      </c>
      <c r="G1581" t="str">
        <f>IF(A1581="","",'ATP Fills'!H1581)</f>
        <v/>
      </c>
      <c r="H1581" t="str">
        <f>IF(A1581="","",VLOOKUP(G1581,表3_3[],2,0))</f>
        <v/>
      </c>
      <c r="I1581" t="str">
        <f>IF(A1581="","",VLOOKUP(G1581,表3_3[],3,0))</f>
        <v/>
      </c>
      <c r="J1581" t="str">
        <f>IF(A1581="","",IF('ATP Fills'!I1581="3M","",VLOOKUP(RIGHT('ATP Fills'!I1581,2),Helper1!$O$36:$P$48,2,0)))</f>
        <v/>
      </c>
      <c r="K1581" t="str">
        <f>IF(J1581="","",LEFT('ATP Fills'!I1581,4))</f>
        <v/>
      </c>
      <c r="L1581" t="str">
        <f>IF(A1581="","",IF('ATP Fills'!G1581="LME",'ATP Fills'!I1581,""))</f>
        <v/>
      </c>
      <c r="M1581" t="str">
        <f t="shared" si="24"/>
        <v/>
      </c>
    </row>
    <row r="1582" spans="1:13">
      <c r="A1582" t="str">
        <f>IF('ATP Fills'!A1582="","",IF('ATP Fills'!Q1582="PHILLIPSG",'ATP Fills'!F1582,""))</f>
        <v/>
      </c>
      <c r="B1582" t="str">
        <f>IF(A1582="","",'ATP Fills'!L1582)</f>
        <v/>
      </c>
      <c r="C1582" t="str">
        <f>IF(A1582="","",'ATP Fills'!M1582)</f>
        <v/>
      </c>
      <c r="D1582" t="str">
        <f>IF(A1582="","",'ATP Fills'!B1582)</f>
        <v/>
      </c>
      <c r="E1582" s="3" t="str">
        <f>IF(A1582="","",IF(DATE(LEFT(D1582,4),MID(D1582,5,2),RIGHT(D1582,2))=Helper1!$P$1,Helper1!$P$1,""))</f>
        <v/>
      </c>
      <c r="F1582" s="3" t="str">
        <f>IF(A1582="","",'ATP Fills'!G1582)</f>
        <v/>
      </c>
      <c r="G1582" t="str">
        <f>IF(A1582="","",'ATP Fills'!H1582)</f>
        <v/>
      </c>
      <c r="H1582" t="str">
        <f>IF(A1582="","",VLOOKUP(G1582,表3_3[],2,0))</f>
        <v/>
      </c>
      <c r="I1582" t="str">
        <f>IF(A1582="","",VLOOKUP(G1582,表3_3[],3,0))</f>
        <v/>
      </c>
      <c r="J1582" t="str">
        <f>IF(A1582="","",IF('ATP Fills'!I1582="3M","",VLOOKUP(RIGHT('ATP Fills'!I1582,2),Helper1!$O$36:$P$48,2,0)))</f>
        <v/>
      </c>
      <c r="K1582" t="str">
        <f>IF(J1582="","",LEFT('ATP Fills'!I1582,4))</f>
        <v/>
      </c>
      <c r="L1582" t="str">
        <f>IF(A1582="","",IF('ATP Fills'!G1582="LME",'ATP Fills'!I1582,""))</f>
        <v/>
      </c>
      <c r="M1582" t="str">
        <f t="shared" si="24"/>
        <v/>
      </c>
    </row>
    <row r="1583" spans="1:13">
      <c r="A1583" t="str">
        <f>IF('ATP Fills'!A1583="","",IF('ATP Fills'!Q1583="PHILLIPSG",'ATP Fills'!F1583,""))</f>
        <v/>
      </c>
      <c r="B1583" t="str">
        <f>IF(A1583="","",'ATP Fills'!L1583)</f>
        <v/>
      </c>
      <c r="C1583" t="str">
        <f>IF(A1583="","",'ATP Fills'!M1583)</f>
        <v/>
      </c>
      <c r="D1583" t="str">
        <f>IF(A1583="","",'ATP Fills'!B1583)</f>
        <v/>
      </c>
      <c r="E1583" s="3" t="str">
        <f>IF(A1583="","",IF(DATE(LEFT(D1583,4),MID(D1583,5,2),RIGHT(D1583,2))=Helper1!$P$1,Helper1!$P$1,""))</f>
        <v/>
      </c>
      <c r="F1583" s="3" t="str">
        <f>IF(A1583="","",'ATP Fills'!G1583)</f>
        <v/>
      </c>
      <c r="G1583" t="str">
        <f>IF(A1583="","",'ATP Fills'!H1583)</f>
        <v/>
      </c>
      <c r="H1583" t="str">
        <f>IF(A1583="","",VLOOKUP(G1583,表3_3[],2,0))</f>
        <v/>
      </c>
      <c r="I1583" t="str">
        <f>IF(A1583="","",VLOOKUP(G1583,表3_3[],3,0))</f>
        <v/>
      </c>
      <c r="J1583" t="str">
        <f>IF(A1583="","",IF('ATP Fills'!I1583="3M","",VLOOKUP(RIGHT('ATP Fills'!I1583,2),Helper1!$O$36:$P$48,2,0)))</f>
        <v/>
      </c>
      <c r="K1583" t="str">
        <f>IF(J1583="","",LEFT('ATP Fills'!I1583,4))</f>
        <v/>
      </c>
      <c r="L1583" t="str">
        <f>IF(A1583="","",IF('ATP Fills'!G1583="LME",'ATP Fills'!I1583,""))</f>
        <v/>
      </c>
      <c r="M1583" t="str">
        <f t="shared" si="24"/>
        <v/>
      </c>
    </row>
    <row r="1584" spans="1:13">
      <c r="A1584" t="str">
        <f>IF('ATP Fills'!A1584="","",IF('ATP Fills'!Q1584="PHILLIPSG",'ATP Fills'!F1584,""))</f>
        <v/>
      </c>
      <c r="B1584" t="str">
        <f>IF(A1584="","",'ATP Fills'!L1584)</f>
        <v/>
      </c>
      <c r="C1584" t="str">
        <f>IF(A1584="","",'ATP Fills'!M1584)</f>
        <v/>
      </c>
      <c r="D1584" t="str">
        <f>IF(A1584="","",'ATP Fills'!B1584)</f>
        <v/>
      </c>
      <c r="E1584" s="3" t="str">
        <f>IF(A1584="","",IF(DATE(LEFT(D1584,4),MID(D1584,5,2),RIGHT(D1584,2))=Helper1!$P$1,Helper1!$P$1,""))</f>
        <v/>
      </c>
      <c r="F1584" s="3" t="str">
        <f>IF(A1584="","",'ATP Fills'!G1584)</f>
        <v/>
      </c>
      <c r="G1584" t="str">
        <f>IF(A1584="","",'ATP Fills'!H1584)</f>
        <v/>
      </c>
      <c r="H1584" t="str">
        <f>IF(A1584="","",VLOOKUP(G1584,表3_3[],2,0))</f>
        <v/>
      </c>
      <c r="I1584" t="str">
        <f>IF(A1584="","",VLOOKUP(G1584,表3_3[],3,0))</f>
        <v/>
      </c>
      <c r="J1584" t="str">
        <f>IF(A1584="","",IF('ATP Fills'!I1584="3M","",VLOOKUP(RIGHT('ATP Fills'!I1584,2),Helper1!$O$36:$P$48,2,0)))</f>
        <v/>
      </c>
      <c r="K1584" t="str">
        <f>IF(J1584="","",LEFT('ATP Fills'!I1584,4))</f>
        <v/>
      </c>
      <c r="L1584" t="str">
        <f>IF(A1584="","",IF('ATP Fills'!G1584="LME",'ATP Fills'!I1584,""))</f>
        <v/>
      </c>
      <c r="M1584" t="str">
        <f t="shared" si="24"/>
        <v/>
      </c>
    </row>
    <row r="1585" spans="1:13">
      <c r="A1585" t="str">
        <f>IF('ATP Fills'!A1585="","",IF('ATP Fills'!Q1585="PHILLIPSG",'ATP Fills'!F1585,""))</f>
        <v/>
      </c>
      <c r="B1585" t="str">
        <f>IF(A1585="","",'ATP Fills'!L1585)</f>
        <v/>
      </c>
      <c r="C1585" t="str">
        <f>IF(A1585="","",'ATP Fills'!M1585)</f>
        <v/>
      </c>
      <c r="D1585" t="str">
        <f>IF(A1585="","",'ATP Fills'!B1585)</f>
        <v/>
      </c>
      <c r="E1585" s="3" t="str">
        <f>IF(A1585="","",IF(DATE(LEFT(D1585,4),MID(D1585,5,2),RIGHT(D1585,2))=Helper1!$P$1,Helper1!$P$1,""))</f>
        <v/>
      </c>
      <c r="F1585" s="3" t="str">
        <f>IF(A1585="","",'ATP Fills'!G1585)</f>
        <v/>
      </c>
      <c r="G1585" t="str">
        <f>IF(A1585="","",'ATP Fills'!H1585)</f>
        <v/>
      </c>
      <c r="H1585" t="str">
        <f>IF(A1585="","",VLOOKUP(G1585,表3_3[],2,0))</f>
        <v/>
      </c>
      <c r="I1585" t="str">
        <f>IF(A1585="","",VLOOKUP(G1585,表3_3[],3,0))</f>
        <v/>
      </c>
      <c r="J1585" t="str">
        <f>IF(A1585="","",IF('ATP Fills'!I1585="3M","",VLOOKUP(RIGHT('ATP Fills'!I1585,2),Helper1!$O$36:$P$48,2,0)))</f>
        <v/>
      </c>
      <c r="K1585" t="str">
        <f>IF(J1585="","",LEFT('ATP Fills'!I1585,4))</f>
        <v/>
      </c>
      <c r="L1585" t="str">
        <f>IF(A1585="","",IF('ATP Fills'!G1585="LME",'ATP Fills'!I1585,""))</f>
        <v/>
      </c>
      <c r="M1585" t="str">
        <f t="shared" si="24"/>
        <v/>
      </c>
    </row>
    <row r="1586" spans="1:13">
      <c r="A1586" t="str">
        <f>IF('ATP Fills'!A1586="","",IF('ATP Fills'!Q1586="PHILLIPSG",'ATP Fills'!F1586,""))</f>
        <v/>
      </c>
      <c r="B1586" t="str">
        <f>IF(A1586="","",'ATP Fills'!L1586)</f>
        <v/>
      </c>
      <c r="C1586" t="str">
        <f>IF(A1586="","",'ATP Fills'!M1586)</f>
        <v/>
      </c>
      <c r="D1586" t="str">
        <f>IF(A1586="","",'ATP Fills'!B1586)</f>
        <v/>
      </c>
      <c r="E1586" s="3" t="str">
        <f>IF(A1586="","",IF(DATE(LEFT(D1586,4),MID(D1586,5,2),RIGHT(D1586,2))=Helper1!$P$1,Helper1!$P$1,""))</f>
        <v/>
      </c>
      <c r="F1586" s="3" t="str">
        <f>IF(A1586="","",'ATP Fills'!G1586)</f>
        <v/>
      </c>
      <c r="G1586" t="str">
        <f>IF(A1586="","",'ATP Fills'!H1586)</f>
        <v/>
      </c>
      <c r="H1586" t="str">
        <f>IF(A1586="","",VLOOKUP(G1586,表3_3[],2,0))</f>
        <v/>
      </c>
      <c r="I1586" t="str">
        <f>IF(A1586="","",VLOOKUP(G1586,表3_3[],3,0))</f>
        <v/>
      </c>
      <c r="J1586" t="str">
        <f>IF(A1586="","",IF('ATP Fills'!I1586="3M","",VLOOKUP(RIGHT('ATP Fills'!I1586,2),Helper1!$O$36:$P$48,2,0)))</f>
        <v/>
      </c>
      <c r="K1586" t="str">
        <f>IF(J1586="","",LEFT('ATP Fills'!I1586,4))</f>
        <v/>
      </c>
      <c r="L1586" t="str">
        <f>IF(A1586="","",IF('ATP Fills'!G1586="LME",'ATP Fills'!I1586,""))</f>
        <v/>
      </c>
      <c r="M1586" t="str">
        <f t="shared" si="24"/>
        <v/>
      </c>
    </row>
    <row r="1587" spans="1:13">
      <c r="A1587" t="str">
        <f>IF('ATP Fills'!A1587="","",IF('ATP Fills'!Q1587="PHILLIPSG",'ATP Fills'!F1587,""))</f>
        <v/>
      </c>
      <c r="B1587" t="str">
        <f>IF(A1587="","",'ATP Fills'!L1587)</f>
        <v/>
      </c>
      <c r="C1587" t="str">
        <f>IF(A1587="","",'ATP Fills'!M1587)</f>
        <v/>
      </c>
      <c r="D1587" t="str">
        <f>IF(A1587="","",'ATP Fills'!B1587)</f>
        <v/>
      </c>
      <c r="E1587" s="3" t="str">
        <f>IF(A1587="","",IF(DATE(LEFT(D1587,4),MID(D1587,5,2),RIGHT(D1587,2))=Helper1!$P$1,Helper1!$P$1,""))</f>
        <v/>
      </c>
      <c r="F1587" s="3" t="str">
        <f>IF(A1587="","",'ATP Fills'!G1587)</f>
        <v/>
      </c>
      <c r="G1587" t="str">
        <f>IF(A1587="","",'ATP Fills'!H1587)</f>
        <v/>
      </c>
      <c r="H1587" t="str">
        <f>IF(A1587="","",VLOOKUP(G1587,表3_3[],2,0))</f>
        <v/>
      </c>
      <c r="I1587" t="str">
        <f>IF(A1587="","",VLOOKUP(G1587,表3_3[],3,0))</f>
        <v/>
      </c>
      <c r="J1587" t="str">
        <f>IF(A1587="","",IF('ATP Fills'!I1587="3M","",VLOOKUP(RIGHT('ATP Fills'!I1587,2),Helper1!$O$36:$P$48,2,0)))</f>
        <v/>
      </c>
      <c r="K1587" t="str">
        <f>IF(J1587="","",LEFT('ATP Fills'!I1587,4))</f>
        <v/>
      </c>
      <c r="L1587" t="str">
        <f>IF(A1587="","",IF('ATP Fills'!G1587="LME",'ATP Fills'!I1587,""))</f>
        <v/>
      </c>
      <c r="M1587" t="str">
        <f t="shared" si="24"/>
        <v/>
      </c>
    </row>
    <row r="1588" spans="1:13">
      <c r="A1588" t="str">
        <f>IF('ATP Fills'!A1588="","",IF('ATP Fills'!Q1588="PHILLIPSG",'ATP Fills'!F1588,""))</f>
        <v/>
      </c>
      <c r="B1588" t="str">
        <f>IF(A1588="","",'ATP Fills'!L1588)</f>
        <v/>
      </c>
      <c r="C1588" t="str">
        <f>IF(A1588="","",'ATP Fills'!M1588)</f>
        <v/>
      </c>
      <c r="D1588" t="str">
        <f>IF(A1588="","",'ATP Fills'!B1588)</f>
        <v/>
      </c>
      <c r="E1588" s="3" t="str">
        <f>IF(A1588="","",IF(DATE(LEFT(D1588,4),MID(D1588,5,2),RIGHT(D1588,2))=Helper1!$P$1,Helper1!$P$1,""))</f>
        <v/>
      </c>
      <c r="F1588" s="3" t="str">
        <f>IF(A1588="","",'ATP Fills'!G1588)</f>
        <v/>
      </c>
      <c r="G1588" t="str">
        <f>IF(A1588="","",'ATP Fills'!H1588)</f>
        <v/>
      </c>
      <c r="H1588" t="str">
        <f>IF(A1588="","",VLOOKUP(G1588,表3_3[],2,0))</f>
        <v/>
      </c>
      <c r="I1588" t="str">
        <f>IF(A1588="","",VLOOKUP(G1588,表3_3[],3,0))</f>
        <v/>
      </c>
      <c r="J1588" t="str">
        <f>IF(A1588="","",IF('ATP Fills'!I1588="3M","",VLOOKUP(RIGHT('ATP Fills'!I1588,2),Helper1!$O$36:$P$48,2,0)))</f>
        <v/>
      </c>
      <c r="K1588" t="str">
        <f>IF(J1588="","",LEFT('ATP Fills'!I1588,4))</f>
        <v/>
      </c>
      <c r="L1588" t="str">
        <f>IF(A1588="","",IF('ATP Fills'!G1588="LME",'ATP Fills'!I1588,""))</f>
        <v/>
      </c>
      <c r="M1588" t="str">
        <f t="shared" si="24"/>
        <v/>
      </c>
    </row>
    <row r="1589" spans="1:13">
      <c r="A1589" t="str">
        <f>IF('ATP Fills'!A1589="","",IF('ATP Fills'!Q1589="PHILLIPSG",'ATP Fills'!F1589,""))</f>
        <v/>
      </c>
      <c r="B1589" t="str">
        <f>IF(A1589="","",'ATP Fills'!L1589)</f>
        <v/>
      </c>
      <c r="C1589" t="str">
        <f>IF(A1589="","",'ATP Fills'!M1589)</f>
        <v/>
      </c>
      <c r="D1589" t="str">
        <f>IF(A1589="","",'ATP Fills'!B1589)</f>
        <v/>
      </c>
      <c r="E1589" s="3" t="str">
        <f>IF(A1589="","",IF(DATE(LEFT(D1589,4),MID(D1589,5,2),RIGHT(D1589,2))=Helper1!$P$1,Helper1!$P$1,""))</f>
        <v/>
      </c>
      <c r="F1589" s="3" t="str">
        <f>IF(A1589="","",'ATP Fills'!G1589)</f>
        <v/>
      </c>
      <c r="G1589" t="str">
        <f>IF(A1589="","",'ATP Fills'!H1589)</f>
        <v/>
      </c>
      <c r="H1589" t="str">
        <f>IF(A1589="","",VLOOKUP(G1589,表3_3[],2,0))</f>
        <v/>
      </c>
      <c r="I1589" t="str">
        <f>IF(A1589="","",VLOOKUP(G1589,表3_3[],3,0))</f>
        <v/>
      </c>
      <c r="J1589" t="str">
        <f>IF(A1589="","",IF('ATP Fills'!I1589="3M","",VLOOKUP(RIGHT('ATP Fills'!I1589,2),Helper1!$O$36:$P$48,2,0)))</f>
        <v/>
      </c>
      <c r="K1589" t="str">
        <f>IF(J1589="","",LEFT('ATP Fills'!I1589,4))</f>
        <v/>
      </c>
      <c r="L1589" t="str">
        <f>IF(A1589="","",IF('ATP Fills'!G1589="LME",'ATP Fills'!I1589,""))</f>
        <v/>
      </c>
      <c r="M1589" t="str">
        <f t="shared" si="24"/>
        <v/>
      </c>
    </row>
    <row r="1590" spans="1:13">
      <c r="A1590" t="str">
        <f>IF('ATP Fills'!A1590="","",IF('ATP Fills'!Q1590="PHILLIPSG",'ATP Fills'!F1590,""))</f>
        <v/>
      </c>
      <c r="B1590" t="str">
        <f>IF(A1590="","",'ATP Fills'!L1590)</f>
        <v/>
      </c>
      <c r="C1590" t="str">
        <f>IF(A1590="","",'ATP Fills'!M1590)</f>
        <v/>
      </c>
      <c r="D1590" t="str">
        <f>IF(A1590="","",'ATP Fills'!B1590)</f>
        <v/>
      </c>
      <c r="E1590" s="3" t="str">
        <f>IF(A1590="","",IF(DATE(LEFT(D1590,4),MID(D1590,5,2),RIGHT(D1590,2))=Helper1!$P$1,Helper1!$P$1,""))</f>
        <v/>
      </c>
      <c r="F1590" s="3" t="str">
        <f>IF(A1590="","",'ATP Fills'!G1590)</f>
        <v/>
      </c>
      <c r="G1590" t="str">
        <f>IF(A1590="","",'ATP Fills'!H1590)</f>
        <v/>
      </c>
      <c r="H1590" t="str">
        <f>IF(A1590="","",VLOOKUP(G1590,表3_3[],2,0))</f>
        <v/>
      </c>
      <c r="I1590" t="str">
        <f>IF(A1590="","",VLOOKUP(G1590,表3_3[],3,0))</f>
        <v/>
      </c>
      <c r="J1590" t="str">
        <f>IF(A1590="","",IF('ATP Fills'!I1590="3M","",VLOOKUP(RIGHT('ATP Fills'!I1590,2),Helper1!$O$36:$P$48,2,0)))</f>
        <v/>
      </c>
      <c r="K1590" t="str">
        <f>IF(J1590="","",LEFT('ATP Fills'!I1590,4))</f>
        <v/>
      </c>
      <c r="L1590" t="str">
        <f>IF(A1590="","",IF('ATP Fills'!G1590="LME",'ATP Fills'!I1590,""))</f>
        <v/>
      </c>
      <c r="M1590" t="str">
        <f t="shared" si="24"/>
        <v/>
      </c>
    </row>
    <row r="1591" spans="1:13">
      <c r="A1591" t="str">
        <f>IF('ATP Fills'!A1591="","",IF('ATP Fills'!Q1591="PHILLIPSG",'ATP Fills'!F1591,""))</f>
        <v/>
      </c>
      <c r="B1591" t="str">
        <f>IF(A1591="","",'ATP Fills'!L1591)</f>
        <v/>
      </c>
      <c r="C1591" t="str">
        <f>IF(A1591="","",'ATP Fills'!M1591)</f>
        <v/>
      </c>
      <c r="D1591" t="str">
        <f>IF(A1591="","",'ATP Fills'!B1591)</f>
        <v/>
      </c>
      <c r="E1591" s="3" t="str">
        <f>IF(A1591="","",IF(DATE(LEFT(D1591,4),MID(D1591,5,2),RIGHT(D1591,2))=Helper1!$P$1,Helper1!$P$1,""))</f>
        <v/>
      </c>
      <c r="F1591" s="3" t="str">
        <f>IF(A1591="","",'ATP Fills'!G1591)</f>
        <v/>
      </c>
      <c r="G1591" t="str">
        <f>IF(A1591="","",'ATP Fills'!H1591)</f>
        <v/>
      </c>
      <c r="H1591" t="str">
        <f>IF(A1591="","",VLOOKUP(G1591,表3_3[],2,0))</f>
        <v/>
      </c>
      <c r="I1591" t="str">
        <f>IF(A1591="","",VLOOKUP(G1591,表3_3[],3,0))</f>
        <v/>
      </c>
      <c r="J1591" t="str">
        <f>IF(A1591="","",IF('ATP Fills'!I1591="3M","",VLOOKUP(RIGHT('ATP Fills'!I1591,2),Helper1!$O$36:$P$48,2,0)))</f>
        <v/>
      </c>
      <c r="K1591" t="str">
        <f>IF(J1591="","",LEFT('ATP Fills'!I1591,4))</f>
        <v/>
      </c>
      <c r="L1591" t="str">
        <f>IF(A1591="","",IF('ATP Fills'!G1591="LME",'ATP Fills'!I1591,""))</f>
        <v/>
      </c>
      <c r="M1591" t="str">
        <f t="shared" si="24"/>
        <v/>
      </c>
    </row>
    <row r="1592" spans="1:13">
      <c r="A1592" t="str">
        <f>IF('ATP Fills'!A1592="","",IF('ATP Fills'!Q1592="PHILLIPSG",'ATP Fills'!F1592,""))</f>
        <v/>
      </c>
      <c r="B1592" t="str">
        <f>IF(A1592="","",'ATP Fills'!L1592)</f>
        <v/>
      </c>
      <c r="C1592" t="str">
        <f>IF(A1592="","",'ATP Fills'!M1592)</f>
        <v/>
      </c>
      <c r="D1592" t="str">
        <f>IF(A1592="","",'ATP Fills'!B1592)</f>
        <v/>
      </c>
      <c r="E1592" s="3" t="str">
        <f>IF(A1592="","",IF(DATE(LEFT(D1592,4),MID(D1592,5,2),RIGHT(D1592,2))=Helper1!$P$1,Helper1!$P$1,""))</f>
        <v/>
      </c>
      <c r="F1592" s="3" t="str">
        <f>IF(A1592="","",'ATP Fills'!G1592)</f>
        <v/>
      </c>
      <c r="G1592" t="str">
        <f>IF(A1592="","",'ATP Fills'!H1592)</f>
        <v/>
      </c>
      <c r="H1592" t="str">
        <f>IF(A1592="","",VLOOKUP(G1592,表3_3[],2,0))</f>
        <v/>
      </c>
      <c r="I1592" t="str">
        <f>IF(A1592="","",VLOOKUP(G1592,表3_3[],3,0))</f>
        <v/>
      </c>
      <c r="J1592" t="str">
        <f>IF(A1592="","",IF('ATP Fills'!I1592="3M","",VLOOKUP(RIGHT('ATP Fills'!I1592,2),Helper1!$O$36:$P$48,2,0)))</f>
        <v/>
      </c>
      <c r="K1592" t="str">
        <f>IF(J1592="","",LEFT('ATP Fills'!I1592,4))</f>
        <v/>
      </c>
      <c r="L1592" t="str">
        <f>IF(A1592="","",IF('ATP Fills'!G1592="LME",'ATP Fills'!I1592,""))</f>
        <v/>
      </c>
      <c r="M1592" t="str">
        <f t="shared" si="24"/>
        <v/>
      </c>
    </row>
    <row r="1593" spans="1:13">
      <c r="A1593" t="str">
        <f>IF('ATP Fills'!A1593="","",IF('ATP Fills'!Q1593="PHILLIPSG",'ATP Fills'!F1593,""))</f>
        <v/>
      </c>
      <c r="B1593" t="str">
        <f>IF(A1593="","",'ATP Fills'!L1593)</f>
        <v/>
      </c>
      <c r="C1593" t="str">
        <f>IF(A1593="","",'ATP Fills'!M1593)</f>
        <v/>
      </c>
      <c r="D1593" t="str">
        <f>IF(A1593="","",'ATP Fills'!B1593)</f>
        <v/>
      </c>
      <c r="E1593" s="3" t="str">
        <f>IF(A1593="","",IF(DATE(LEFT(D1593,4),MID(D1593,5,2),RIGHT(D1593,2))=Helper1!$P$1,Helper1!$P$1,""))</f>
        <v/>
      </c>
      <c r="F1593" s="3" t="str">
        <f>IF(A1593="","",'ATP Fills'!G1593)</f>
        <v/>
      </c>
      <c r="G1593" t="str">
        <f>IF(A1593="","",'ATP Fills'!H1593)</f>
        <v/>
      </c>
      <c r="H1593" t="str">
        <f>IF(A1593="","",VLOOKUP(G1593,表3_3[],2,0))</f>
        <v/>
      </c>
      <c r="I1593" t="str">
        <f>IF(A1593="","",VLOOKUP(G1593,表3_3[],3,0))</f>
        <v/>
      </c>
      <c r="J1593" t="str">
        <f>IF(A1593="","",IF('ATP Fills'!I1593="3M","",VLOOKUP(RIGHT('ATP Fills'!I1593,2),Helper1!$O$36:$P$48,2,0)))</f>
        <v/>
      </c>
      <c r="K1593" t="str">
        <f>IF(J1593="","",LEFT('ATP Fills'!I1593,4))</f>
        <v/>
      </c>
      <c r="L1593" t="str">
        <f>IF(A1593="","",IF('ATP Fills'!G1593="LME",'ATP Fills'!I1593,""))</f>
        <v/>
      </c>
      <c r="M1593" t="str">
        <f t="shared" si="24"/>
        <v/>
      </c>
    </row>
    <row r="1594" spans="1:13">
      <c r="A1594" t="str">
        <f>IF('ATP Fills'!A1594="","",IF('ATP Fills'!Q1594="PHILLIPSG",'ATP Fills'!F1594,""))</f>
        <v/>
      </c>
      <c r="B1594" t="str">
        <f>IF(A1594="","",'ATP Fills'!L1594)</f>
        <v/>
      </c>
      <c r="C1594" t="str">
        <f>IF(A1594="","",'ATP Fills'!M1594)</f>
        <v/>
      </c>
      <c r="D1594" t="str">
        <f>IF(A1594="","",'ATP Fills'!B1594)</f>
        <v/>
      </c>
      <c r="E1594" s="3" t="str">
        <f>IF(A1594="","",IF(DATE(LEFT(D1594,4),MID(D1594,5,2),RIGHT(D1594,2))=Helper1!$P$1,Helper1!$P$1,""))</f>
        <v/>
      </c>
      <c r="F1594" s="3" t="str">
        <f>IF(A1594="","",'ATP Fills'!G1594)</f>
        <v/>
      </c>
      <c r="G1594" t="str">
        <f>IF(A1594="","",'ATP Fills'!H1594)</f>
        <v/>
      </c>
      <c r="H1594" t="str">
        <f>IF(A1594="","",VLOOKUP(G1594,表3_3[],2,0))</f>
        <v/>
      </c>
      <c r="I1594" t="str">
        <f>IF(A1594="","",VLOOKUP(G1594,表3_3[],3,0))</f>
        <v/>
      </c>
      <c r="J1594" t="str">
        <f>IF(A1594="","",IF('ATP Fills'!I1594="3M","",VLOOKUP(RIGHT('ATP Fills'!I1594,2),Helper1!$O$36:$P$48,2,0)))</f>
        <v/>
      </c>
      <c r="K1594" t="str">
        <f>IF(J1594="","",LEFT('ATP Fills'!I1594,4))</f>
        <v/>
      </c>
      <c r="L1594" t="str">
        <f>IF(A1594="","",IF('ATP Fills'!G1594="LME",'ATP Fills'!I1594,""))</f>
        <v/>
      </c>
      <c r="M1594" t="str">
        <f t="shared" si="24"/>
        <v/>
      </c>
    </row>
    <row r="1595" spans="1:13">
      <c r="A1595" t="str">
        <f>IF('ATP Fills'!A1595="","",IF('ATP Fills'!Q1595="PHILLIPSG",'ATP Fills'!F1595,""))</f>
        <v/>
      </c>
      <c r="B1595" t="str">
        <f>IF(A1595="","",'ATP Fills'!L1595)</f>
        <v/>
      </c>
      <c r="C1595" t="str">
        <f>IF(A1595="","",'ATP Fills'!M1595)</f>
        <v/>
      </c>
      <c r="D1595" t="str">
        <f>IF(A1595="","",'ATP Fills'!B1595)</f>
        <v/>
      </c>
      <c r="E1595" s="3" t="str">
        <f>IF(A1595="","",IF(DATE(LEFT(D1595,4),MID(D1595,5,2),RIGHT(D1595,2))=Helper1!$P$1,Helper1!$P$1,""))</f>
        <v/>
      </c>
      <c r="F1595" s="3" t="str">
        <f>IF(A1595="","",'ATP Fills'!G1595)</f>
        <v/>
      </c>
      <c r="G1595" t="str">
        <f>IF(A1595="","",'ATP Fills'!H1595)</f>
        <v/>
      </c>
      <c r="H1595" t="str">
        <f>IF(A1595="","",VLOOKUP(G1595,表3_3[],2,0))</f>
        <v/>
      </c>
      <c r="I1595" t="str">
        <f>IF(A1595="","",VLOOKUP(G1595,表3_3[],3,0))</f>
        <v/>
      </c>
      <c r="J1595" t="str">
        <f>IF(A1595="","",IF('ATP Fills'!I1595="3M","",VLOOKUP(RIGHT('ATP Fills'!I1595,2),Helper1!$O$36:$P$48,2,0)))</f>
        <v/>
      </c>
      <c r="K1595" t="str">
        <f>IF(J1595="","",LEFT('ATP Fills'!I1595,4))</f>
        <v/>
      </c>
      <c r="L1595" t="str">
        <f>IF(A1595="","",IF('ATP Fills'!G1595="LME",'ATP Fills'!I1595,""))</f>
        <v/>
      </c>
      <c r="M1595" t="str">
        <f t="shared" si="24"/>
        <v/>
      </c>
    </row>
    <row r="1596" spans="1:13">
      <c r="A1596" t="str">
        <f>IF('ATP Fills'!A1596="","",IF('ATP Fills'!Q1596="PHILLIPSG",'ATP Fills'!F1596,""))</f>
        <v/>
      </c>
      <c r="B1596" t="str">
        <f>IF(A1596="","",'ATP Fills'!L1596)</f>
        <v/>
      </c>
      <c r="C1596" t="str">
        <f>IF(A1596="","",'ATP Fills'!M1596)</f>
        <v/>
      </c>
      <c r="D1596" t="str">
        <f>IF(A1596="","",'ATP Fills'!B1596)</f>
        <v/>
      </c>
      <c r="E1596" s="3" t="str">
        <f>IF(A1596="","",IF(DATE(LEFT(D1596,4),MID(D1596,5,2),RIGHT(D1596,2))=Helper1!$P$1,Helper1!$P$1,""))</f>
        <v/>
      </c>
      <c r="F1596" s="3" t="str">
        <f>IF(A1596="","",'ATP Fills'!G1596)</f>
        <v/>
      </c>
      <c r="G1596" t="str">
        <f>IF(A1596="","",'ATP Fills'!H1596)</f>
        <v/>
      </c>
      <c r="H1596" t="str">
        <f>IF(A1596="","",VLOOKUP(G1596,表3_3[],2,0))</f>
        <v/>
      </c>
      <c r="I1596" t="str">
        <f>IF(A1596="","",VLOOKUP(G1596,表3_3[],3,0))</f>
        <v/>
      </c>
      <c r="J1596" t="str">
        <f>IF(A1596="","",IF('ATP Fills'!I1596="3M","",VLOOKUP(RIGHT('ATP Fills'!I1596,2),Helper1!$O$36:$P$48,2,0)))</f>
        <v/>
      </c>
      <c r="K1596" t="str">
        <f>IF(J1596="","",LEFT('ATP Fills'!I1596,4))</f>
        <v/>
      </c>
      <c r="L1596" t="str">
        <f>IF(A1596="","",IF('ATP Fills'!G1596="LME",'ATP Fills'!I1596,""))</f>
        <v/>
      </c>
      <c r="M1596" t="str">
        <f t="shared" si="24"/>
        <v/>
      </c>
    </row>
    <row r="1597" spans="1:13">
      <c r="A1597" t="str">
        <f>IF('ATP Fills'!A1597="","",IF('ATP Fills'!Q1597="PHILLIPSG",'ATP Fills'!F1597,""))</f>
        <v/>
      </c>
      <c r="B1597" t="str">
        <f>IF(A1597="","",'ATP Fills'!L1597)</f>
        <v/>
      </c>
      <c r="C1597" t="str">
        <f>IF(A1597="","",'ATP Fills'!M1597)</f>
        <v/>
      </c>
      <c r="D1597" t="str">
        <f>IF(A1597="","",'ATP Fills'!B1597)</f>
        <v/>
      </c>
      <c r="E1597" s="3" t="str">
        <f>IF(A1597="","",IF(DATE(LEFT(D1597,4),MID(D1597,5,2),RIGHT(D1597,2))=Helper1!$P$1,Helper1!$P$1,""))</f>
        <v/>
      </c>
      <c r="F1597" s="3" t="str">
        <f>IF(A1597="","",'ATP Fills'!G1597)</f>
        <v/>
      </c>
      <c r="G1597" t="str">
        <f>IF(A1597="","",'ATP Fills'!H1597)</f>
        <v/>
      </c>
      <c r="H1597" t="str">
        <f>IF(A1597="","",VLOOKUP(G1597,表3_3[],2,0))</f>
        <v/>
      </c>
      <c r="I1597" t="str">
        <f>IF(A1597="","",VLOOKUP(G1597,表3_3[],3,0))</f>
        <v/>
      </c>
      <c r="J1597" t="str">
        <f>IF(A1597="","",IF('ATP Fills'!I1597="3M","",VLOOKUP(RIGHT('ATP Fills'!I1597,2),Helper1!$O$36:$P$48,2,0)))</f>
        <v/>
      </c>
      <c r="K1597" t="str">
        <f>IF(J1597="","",LEFT('ATP Fills'!I1597,4))</f>
        <v/>
      </c>
      <c r="L1597" t="str">
        <f>IF(A1597="","",IF('ATP Fills'!G1597="LME",'ATP Fills'!I1597,""))</f>
        <v/>
      </c>
      <c r="M1597" t="str">
        <f t="shared" si="24"/>
        <v/>
      </c>
    </row>
    <row r="1598" spans="1:13">
      <c r="A1598" t="str">
        <f>IF('ATP Fills'!A1598="","",IF('ATP Fills'!Q1598="PHILLIPSG",'ATP Fills'!F1598,""))</f>
        <v/>
      </c>
      <c r="B1598" t="str">
        <f>IF(A1598="","",'ATP Fills'!L1598)</f>
        <v/>
      </c>
      <c r="C1598" t="str">
        <f>IF(A1598="","",'ATP Fills'!M1598)</f>
        <v/>
      </c>
      <c r="D1598" t="str">
        <f>IF(A1598="","",'ATP Fills'!B1598)</f>
        <v/>
      </c>
      <c r="E1598" s="3" t="str">
        <f>IF(A1598="","",IF(DATE(LEFT(D1598,4),MID(D1598,5,2),RIGHT(D1598,2))=Helper1!$P$1,Helper1!$P$1,""))</f>
        <v/>
      </c>
      <c r="F1598" s="3" t="str">
        <f>IF(A1598="","",'ATP Fills'!G1598)</f>
        <v/>
      </c>
      <c r="G1598" t="str">
        <f>IF(A1598="","",'ATP Fills'!H1598)</f>
        <v/>
      </c>
      <c r="H1598" t="str">
        <f>IF(A1598="","",VLOOKUP(G1598,表3_3[],2,0))</f>
        <v/>
      </c>
      <c r="I1598" t="str">
        <f>IF(A1598="","",VLOOKUP(G1598,表3_3[],3,0))</f>
        <v/>
      </c>
      <c r="J1598" t="str">
        <f>IF(A1598="","",IF('ATP Fills'!I1598="3M","",VLOOKUP(RIGHT('ATP Fills'!I1598,2),Helper1!$O$36:$P$48,2,0)))</f>
        <v/>
      </c>
      <c r="K1598" t="str">
        <f>IF(J1598="","",LEFT('ATP Fills'!I1598,4))</f>
        <v/>
      </c>
      <c r="L1598" t="str">
        <f>IF(A1598="","",IF('ATP Fills'!G1598="LME",'ATP Fills'!I1598,""))</f>
        <v/>
      </c>
      <c r="M1598" t="str">
        <f t="shared" si="24"/>
        <v/>
      </c>
    </row>
    <row r="1599" spans="1:13">
      <c r="A1599" t="str">
        <f>IF('ATP Fills'!A1599="","",IF('ATP Fills'!Q1599="PHILLIPSG",'ATP Fills'!F1599,""))</f>
        <v/>
      </c>
      <c r="B1599" t="str">
        <f>IF(A1599="","",'ATP Fills'!L1599)</f>
        <v/>
      </c>
      <c r="C1599" t="str">
        <f>IF(A1599="","",'ATP Fills'!M1599)</f>
        <v/>
      </c>
      <c r="D1599" t="str">
        <f>IF(A1599="","",'ATP Fills'!B1599)</f>
        <v/>
      </c>
      <c r="E1599" s="3" t="str">
        <f>IF(A1599="","",IF(DATE(LEFT(D1599,4),MID(D1599,5,2),RIGHT(D1599,2))=Helper1!$P$1,Helper1!$P$1,""))</f>
        <v/>
      </c>
      <c r="F1599" s="3" t="str">
        <f>IF(A1599="","",'ATP Fills'!G1599)</f>
        <v/>
      </c>
      <c r="G1599" t="str">
        <f>IF(A1599="","",'ATP Fills'!H1599)</f>
        <v/>
      </c>
      <c r="H1599" t="str">
        <f>IF(A1599="","",VLOOKUP(G1599,表3_3[],2,0))</f>
        <v/>
      </c>
      <c r="I1599" t="str">
        <f>IF(A1599="","",VLOOKUP(G1599,表3_3[],3,0))</f>
        <v/>
      </c>
      <c r="J1599" t="str">
        <f>IF(A1599="","",IF('ATP Fills'!I1599="3M","",VLOOKUP(RIGHT('ATP Fills'!I1599,2),Helper1!$O$36:$P$48,2,0)))</f>
        <v/>
      </c>
      <c r="K1599" t="str">
        <f>IF(J1599="","",LEFT('ATP Fills'!I1599,4))</f>
        <v/>
      </c>
      <c r="L1599" t="str">
        <f>IF(A1599="","",IF('ATP Fills'!G1599="LME",'ATP Fills'!I1599,""))</f>
        <v/>
      </c>
      <c r="M1599" t="str">
        <f t="shared" si="24"/>
        <v/>
      </c>
    </row>
    <row r="1600" spans="1:13">
      <c r="A1600" t="str">
        <f>IF('ATP Fills'!A1600="","",IF('ATP Fills'!Q1600="PHILLIPSG",'ATP Fills'!F1600,""))</f>
        <v/>
      </c>
      <c r="B1600" t="str">
        <f>IF(A1600="","",'ATP Fills'!L1600)</f>
        <v/>
      </c>
      <c r="C1600" t="str">
        <f>IF(A1600="","",'ATP Fills'!M1600)</f>
        <v/>
      </c>
      <c r="D1600" t="str">
        <f>IF(A1600="","",'ATP Fills'!B1600)</f>
        <v/>
      </c>
      <c r="E1600" s="3" t="str">
        <f>IF(A1600="","",IF(DATE(LEFT(D1600,4),MID(D1600,5,2),RIGHT(D1600,2))=Helper1!$P$1,Helper1!$P$1,""))</f>
        <v/>
      </c>
      <c r="F1600" s="3" t="str">
        <f>IF(A1600="","",'ATP Fills'!G1600)</f>
        <v/>
      </c>
      <c r="G1600" t="str">
        <f>IF(A1600="","",'ATP Fills'!H1600)</f>
        <v/>
      </c>
      <c r="H1600" t="str">
        <f>IF(A1600="","",VLOOKUP(G1600,表3_3[],2,0))</f>
        <v/>
      </c>
      <c r="I1600" t="str">
        <f>IF(A1600="","",VLOOKUP(G1600,表3_3[],3,0))</f>
        <v/>
      </c>
      <c r="J1600" t="str">
        <f>IF(A1600="","",IF('ATP Fills'!I1600="3M","",VLOOKUP(RIGHT('ATP Fills'!I1600,2),Helper1!$O$36:$P$48,2,0)))</f>
        <v/>
      </c>
      <c r="K1600" t="str">
        <f>IF(J1600="","",LEFT('ATP Fills'!I1600,4))</f>
        <v/>
      </c>
      <c r="L1600" t="str">
        <f>IF(A1600="","",IF('ATP Fills'!G1600="LME",'ATP Fills'!I1600,""))</f>
        <v/>
      </c>
      <c r="M1600" t="str">
        <f t="shared" si="24"/>
        <v/>
      </c>
    </row>
    <row r="1601" spans="1:13">
      <c r="A1601" t="str">
        <f>IF('ATP Fills'!A1601="","",IF('ATP Fills'!Q1601="PHILLIPSG",'ATP Fills'!F1601,""))</f>
        <v/>
      </c>
      <c r="B1601" t="str">
        <f>IF(A1601="","",'ATP Fills'!L1601)</f>
        <v/>
      </c>
      <c r="C1601" t="str">
        <f>IF(A1601="","",'ATP Fills'!M1601)</f>
        <v/>
      </c>
      <c r="D1601" t="str">
        <f>IF(A1601="","",'ATP Fills'!B1601)</f>
        <v/>
      </c>
      <c r="E1601" s="3" t="str">
        <f>IF(A1601="","",IF(DATE(LEFT(D1601,4),MID(D1601,5,2),RIGHT(D1601,2))=Helper1!$P$1,Helper1!$P$1,""))</f>
        <v/>
      </c>
      <c r="F1601" s="3" t="str">
        <f>IF(A1601="","",'ATP Fills'!G1601)</f>
        <v/>
      </c>
      <c r="G1601" t="str">
        <f>IF(A1601="","",'ATP Fills'!H1601)</f>
        <v/>
      </c>
      <c r="H1601" t="str">
        <f>IF(A1601="","",VLOOKUP(G1601,表3_3[],2,0))</f>
        <v/>
      </c>
      <c r="I1601" t="str">
        <f>IF(A1601="","",VLOOKUP(G1601,表3_3[],3,0))</f>
        <v/>
      </c>
      <c r="J1601" t="str">
        <f>IF(A1601="","",IF('ATP Fills'!I1601="3M","",VLOOKUP(RIGHT('ATP Fills'!I1601,2),Helper1!$O$36:$P$48,2,0)))</f>
        <v/>
      </c>
      <c r="K1601" t="str">
        <f>IF(J1601="","",LEFT('ATP Fills'!I1601,4))</f>
        <v/>
      </c>
      <c r="L1601" t="str">
        <f>IF(A1601="","",IF('ATP Fills'!G1601="LME",'ATP Fills'!I1601,""))</f>
        <v/>
      </c>
      <c r="M1601" t="str">
        <f t="shared" si="24"/>
        <v/>
      </c>
    </row>
    <row r="1602" spans="1:13">
      <c r="A1602" t="str">
        <f>IF('ATP Fills'!A1602="","",IF('ATP Fills'!Q1602="PHILLIPSG",'ATP Fills'!F1602,""))</f>
        <v/>
      </c>
      <c r="B1602" t="str">
        <f>IF(A1602="","",'ATP Fills'!L1602)</f>
        <v/>
      </c>
      <c r="C1602" t="str">
        <f>IF(A1602="","",'ATP Fills'!M1602)</f>
        <v/>
      </c>
      <c r="D1602" t="str">
        <f>IF(A1602="","",'ATP Fills'!B1602)</f>
        <v/>
      </c>
      <c r="E1602" s="3" t="str">
        <f>IF(A1602="","",IF(DATE(LEFT(D1602,4),MID(D1602,5,2),RIGHT(D1602,2))=Helper1!$P$1,Helper1!$P$1,""))</f>
        <v/>
      </c>
      <c r="F1602" s="3" t="str">
        <f>IF(A1602="","",'ATP Fills'!G1602)</f>
        <v/>
      </c>
      <c r="G1602" t="str">
        <f>IF(A1602="","",'ATP Fills'!H1602)</f>
        <v/>
      </c>
      <c r="H1602" t="str">
        <f>IF(A1602="","",VLOOKUP(G1602,表3_3[],2,0))</f>
        <v/>
      </c>
      <c r="I1602" t="str">
        <f>IF(A1602="","",VLOOKUP(G1602,表3_3[],3,0))</f>
        <v/>
      </c>
      <c r="J1602" t="str">
        <f>IF(A1602="","",IF('ATP Fills'!I1602="3M","",VLOOKUP(RIGHT('ATP Fills'!I1602,2),Helper1!$O$36:$P$48,2,0)))</f>
        <v/>
      </c>
      <c r="K1602" t="str">
        <f>IF(J1602="","",LEFT('ATP Fills'!I1602,4))</f>
        <v/>
      </c>
      <c r="L1602" t="str">
        <f>IF(A1602="","",IF('ATP Fills'!G1602="LME",'ATP Fills'!I1602,""))</f>
        <v/>
      </c>
      <c r="M1602" t="str">
        <f t="shared" si="24"/>
        <v/>
      </c>
    </row>
    <row r="1603" spans="1:13">
      <c r="A1603" t="str">
        <f>IF('ATP Fills'!A1603="","",IF('ATP Fills'!Q1603="PHILLIPSG",'ATP Fills'!F1603,""))</f>
        <v/>
      </c>
      <c r="B1603" t="str">
        <f>IF(A1603="","",'ATP Fills'!L1603)</f>
        <v/>
      </c>
      <c r="C1603" t="str">
        <f>IF(A1603="","",'ATP Fills'!M1603)</f>
        <v/>
      </c>
      <c r="D1603" t="str">
        <f>IF(A1603="","",'ATP Fills'!B1603)</f>
        <v/>
      </c>
      <c r="E1603" s="3" t="str">
        <f>IF(A1603="","",IF(DATE(LEFT(D1603,4),MID(D1603,5,2),RIGHT(D1603,2))=Helper1!$P$1,Helper1!$P$1,""))</f>
        <v/>
      </c>
      <c r="F1603" s="3" t="str">
        <f>IF(A1603="","",'ATP Fills'!G1603)</f>
        <v/>
      </c>
      <c r="G1603" t="str">
        <f>IF(A1603="","",'ATP Fills'!H1603)</f>
        <v/>
      </c>
      <c r="H1603" t="str">
        <f>IF(A1603="","",VLOOKUP(G1603,表3_3[],2,0))</f>
        <v/>
      </c>
      <c r="I1603" t="str">
        <f>IF(A1603="","",VLOOKUP(G1603,表3_3[],3,0))</f>
        <v/>
      </c>
      <c r="J1603" t="str">
        <f>IF(A1603="","",IF('ATP Fills'!I1603="3M","",VLOOKUP(RIGHT('ATP Fills'!I1603,2),Helper1!$O$36:$P$48,2,0)))</f>
        <v/>
      </c>
      <c r="K1603" t="str">
        <f>IF(J1603="","",LEFT('ATP Fills'!I1603,4))</f>
        <v/>
      </c>
      <c r="L1603" t="str">
        <f>IF(A1603="","",IF('ATP Fills'!G1603="LME",'ATP Fills'!I1603,""))</f>
        <v/>
      </c>
      <c r="M1603" t="str">
        <f t="shared" ref="M1603:M1666" si="25">IF(A1603="","",IF(F1603="LME",F1603&amp;"-"&amp;I1603&amp;"-"&amp;L1603,J1603&amp;"-"&amp;K1603&amp;"-"&amp;I1603))</f>
        <v/>
      </c>
    </row>
    <row r="1604" spans="1:13">
      <c r="A1604" t="str">
        <f>IF('ATP Fills'!A1604="","",IF('ATP Fills'!Q1604="PHILLIPSG",'ATP Fills'!F1604,""))</f>
        <v/>
      </c>
      <c r="B1604" t="str">
        <f>IF(A1604="","",'ATP Fills'!L1604)</f>
        <v/>
      </c>
      <c r="C1604" t="str">
        <f>IF(A1604="","",'ATP Fills'!M1604)</f>
        <v/>
      </c>
      <c r="D1604" t="str">
        <f>IF(A1604="","",'ATP Fills'!B1604)</f>
        <v/>
      </c>
      <c r="E1604" s="3" t="str">
        <f>IF(A1604="","",IF(DATE(LEFT(D1604,4),MID(D1604,5,2),RIGHT(D1604,2))=Helper1!$P$1,Helper1!$P$1,""))</f>
        <v/>
      </c>
      <c r="F1604" s="3" t="str">
        <f>IF(A1604="","",'ATP Fills'!G1604)</f>
        <v/>
      </c>
      <c r="G1604" t="str">
        <f>IF(A1604="","",'ATP Fills'!H1604)</f>
        <v/>
      </c>
      <c r="H1604" t="str">
        <f>IF(A1604="","",VLOOKUP(G1604,表3_3[],2,0))</f>
        <v/>
      </c>
      <c r="I1604" t="str">
        <f>IF(A1604="","",VLOOKUP(G1604,表3_3[],3,0))</f>
        <v/>
      </c>
      <c r="J1604" t="str">
        <f>IF(A1604="","",IF('ATP Fills'!I1604="3M","",VLOOKUP(RIGHT('ATP Fills'!I1604,2),Helper1!$O$36:$P$48,2,0)))</f>
        <v/>
      </c>
      <c r="K1604" t="str">
        <f>IF(J1604="","",LEFT('ATP Fills'!I1604,4))</f>
        <v/>
      </c>
      <c r="L1604" t="str">
        <f>IF(A1604="","",IF('ATP Fills'!G1604="LME",'ATP Fills'!I1604,""))</f>
        <v/>
      </c>
      <c r="M1604" t="str">
        <f t="shared" si="25"/>
        <v/>
      </c>
    </row>
    <row r="1605" spans="1:13">
      <c r="A1605" t="str">
        <f>IF('ATP Fills'!A1605="","",IF('ATP Fills'!Q1605="PHILLIPSG",'ATP Fills'!F1605,""))</f>
        <v/>
      </c>
      <c r="B1605" t="str">
        <f>IF(A1605="","",'ATP Fills'!L1605)</f>
        <v/>
      </c>
      <c r="C1605" t="str">
        <f>IF(A1605="","",'ATP Fills'!M1605)</f>
        <v/>
      </c>
      <c r="D1605" t="str">
        <f>IF(A1605="","",'ATP Fills'!B1605)</f>
        <v/>
      </c>
      <c r="E1605" s="3" t="str">
        <f>IF(A1605="","",IF(DATE(LEFT(D1605,4),MID(D1605,5,2),RIGHT(D1605,2))=Helper1!$P$1,Helper1!$P$1,""))</f>
        <v/>
      </c>
      <c r="F1605" s="3" t="str">
        <f>IF(A1605="","",'ATP Fills'!G1605)</f>
        <v/>
      </c>
      <c r="G1605" t="str">
        <f>IF(A1605="","",'ATP Fills'!H1605)</f>
        <v/>
      </c>
      <c r="H1605" t="str">
        <f>IF(A1605="","",VLOOKUP(G1605,表3_3[],2,0))</f>
        <v/>
      </c>
      <c r="I1605" t="str">
        <f>IF(A1605="","",VLOOKUP(G1605,表3_3[],3,0))</f>
        <v/>
      </c>
      <c r="J1605" t="str">
        <f>IF(A1605="","",IF('ATP Fills'!I1605="3M","",VLOOKUP(RIGHT('ATP Fills'!I1605,2),Helper1!$O$36:$P$48,2,0)))</f>
        <v/>
      </c>
      <c r="K1605" t="str">
        <f>IF(J1605="","",LEFT('ATP Fills'!I1605,4))</f>
        <v/>
      </c>
      <c r="L1605" t="str">
        <f>IF(A1605="","",IF('ATP Fills'!G1605="LME",'ATP Fills'!I1605,""))</f>
        <v/>
      </c>
      <c r="M1605" t="str">
        <f t="shared" si="25"/>
        <v/>
      </c>
    </row>
    <row r="1606" spans="1:13">
      <c r="A1606" t="str">
        <f>IF('ATP Fills'!A1606="","",IF('ATP Fills'!Q1606="PHILLIPSG",'ATP Fills'!F1606,""))</f>
        <v/>
      </c>
      <c r="B1606" t="str">
        <f>IF(A1606="","",'ATP Fills'!L1606)</f>
        <v/>
      </c>
      <c r="C1606" t="str">
        <f>IF(A1606="","",'ATP Fills'!M1606)</f>
        <v/>
      </c>
      <c r="D1606" t="str">
        <f>IF(A1606="","",'ATP Fills'!B1606)</f>
        <v/>
      </c>
      <c r="E1606" s="3" t="str">
        <f>IF(A1606="","",IF(DATE(LEFT(D1606,4),MID(D1606,5,2),RIGHT(D1606,2))=Helper1!$P$1,Helper1!$P$1,""))</f>
        <v/>
      </c>
      <c r="F1606" s="3" t="str">
        <f>IF(A1606="","",'ATP Fills'!G1606)</f>
        <v/>
      </c>
      <c r="G1606" t="str">
        <f>IF(A1606="","",'ATP Fills'!H1606)</f>
        <v/>
      </c>
      <c r="H1606" t="str">
        <f>IF(A1606="","",VLOOKUP(G1606,表3_3[],2,0))</f>
        <v/>
      </c>
      <c r="I1606" t="str">
        <f>IF(A1606="","",VLOOKUP(G1606,表3_3[],3,0))</f>
        <v/>
      </c>
      <c r="J1606" t="str">
        <f>IF(A1606="","",IF('ATP Fills'!I1606="3M","",VLOOKUP(RIGHT('ATP Fills'!I1606,2),Helper1!$O$36:$P$48,2,0)))</f>
        <v/>
      </c>
      <c r="K1606" t="str">
        <f>IF(J1606="","",LEFT('ATP Fills'!I1606,4))</f>
        <v/>
      </c>
      <c r="L1606" t="str">
        <f>IF(A1606="","",IF('ATP Fills'!G1606="LME",'ATP Fills'!I1606,""))</f>
        <v/>
      </c>
      <c r="M1606" t="str">
        <f t="shared" si="25"/>
        <v/>
      </c>
    </row>
    <row r="1607" spans="1:13">
      <c r="A1607" t="str">
        <f>IF('ATP Fills'!A1607="","",IF('ATP Fills'!Q1607="PHILLIPSG",'ATP Fills'!F1607,""))</f>
        <v/>
      </c>
      <c r="B1607" t="str">
        <f>IF(A1607="","",'ATP Fills'!L1607)</f>
        <v/>
      </c>
      <c r="C1607" t="str">
        <f>IF(A1607="","",'ATP Fills'!M1607)</f>
        <v/>
      </c>
      <c r="D1607" t="str">
        <f>IF(A1607="","",'ATP Fills'!B1607)</f>
        <v/>
      </c>
      <c r="E1607" s="3" t="str">
        <f>IF(A1607="","",IF(DATE(LEFT(D1607,4),MID(D1607,5,2),RIGHT(D1607,2))=Helper1!$P$1,Helper1!$P$1,""))</f>
        <v/>
      </c>
      <c r="F1607" s="3" t="str">
        <f>IF(A1607="","",'ATP Fills'!G1607)</f>
        <v/>
      </c>
      <c r="G1607" t="str">
        <f>IF(A1607="","",'ATP Fills'!H1607)</f>
        <v/>
      </c>
      <c r="H1607" t="str">
        <f>IF(A1607="","",VLOOKUP(G1607,表3_3[],2,0))</f>
        <v/>
      </c>
      <c r="I1607" t="str">
        <f>IF(A1607="","",VLOOKUP(G1607,表3_3[],3,0))</f>
        <v/>
      </c>
      <c r="J1607" t="str">
        <f>IF(A1607="","",IF('ATP Fills'!I1607="3M","",VLOOKUP(RIGHT('ATP Fills'!I1607,2),Helper1!$O$36:$P$48,2,0)))</f>
        <v/>
      </c>
      <c r="K1607" t="str">
        <f>IF(J1607="","",LEFT('ATP Fills'!I1607,4))</f>
        <v/>
      </c>
      <c r="L1607" t="str">
        <f>IF(A1607="","",IF('ATP Fills'!G1607="LME",'ATP Fills'!I1607,""))</f>
        <v/>
      </c>
      <c r="M1607" t="str">
        <f t="shared" si="25"/>
        <v/>
      </c>
    </row>
    <row r="1608" spans="1:13">
      <c r="A1608" t="str">
        <f>IF('ATP Fills'!A1608="","",IF('ATP Fills'!Q1608="PHILLIPSG",'ATP Fills'!F1608,""))</f>
        <v/>
      </c>
      <c r="B1608" t="str">
        <f>IF(A1608="","",'ATP Fills'!L1608)</f>
        <v/>
      </c>
      <c r="C1608" t="str">
        <f>IF(A1608="","",'ATP Fills'!M1608)</f>
        <v/>
      </c>
      <c r="D1608" t="str">
        <f>IF(A1608="","",'ATP Fills'!B1608)</f>
        <v/>
      </c>
      <c r="E1608" s="3" t="str">
        <f>IF(A1608="","",IF(DATE(LEFT(D1608,4),MID(D1608,5,2),RIGHT(D1608,2))=Helper1!$P$1,Helper1!$P$1,""))</f>
        <v/>
      </c>
      <c r="F1608" s="3" t="str">
        <f>IF(A1608="","",'ATP Fills'!G1608)</f>
        <v/>
      </c>
      <c r="G1608" t="str">
        <f>IF(A1608="","",'ATP Fills'!H1608)</f>
        <v/>
      </c>
      <c r="H1608" t="str">
        <f>IF(A1608="","",VLOOKUP(G1608,表3_3[],2,0))</f>
        <v/>
      </c>
      <c r="I1608" t="str">
        <f>IF(A1608="","",VLOOKUP(G1608,表3_3[],3,0))</f>
        <v/>
      </c>
      <c r="J1608" t="str">
        <f>IF(A1608="","",IF('ATP Fills'!I1608="3M","",VLOOKUP(RIGHT('ATP Fills'!I1608,2),Helper1!$O$36:$P$48,2,0)))</f>
        <v/>
      </c>
      <c r="K1608" t="str">
        <f>IF(J1608="","",LEFT('ATP Fills'!I1608,4))</f>
        <v/>
      </c>
      <c r="L1608" t="str">
        <f>IF(A1608="","",IF('ATP Fills'!G1608="LME",'ATP Fills'!I1608,""))</f>
        <v/>
      </c>
      <c r="M1608" t="str">
        <f t="shared" si="25"/>
        <v/>
      </c>
    </row>
    <row r="1609" spans="1:13">
      <c r="A1609" t="str">
        <f>IF('ATP Fills'!A1609="","",IF('ATP Fills'!Q1609="PHILLIPSG",'ATP Fills'!F1609,""))</f>
        <v/>
      </c>
      <c r="B1609" t="str">
        <f>IF(A1609="","",'ATP Fills'!L1609)</f>
        <v/>
      </c>
      <c r="C1609" t="str">
        <f>IF(A1609="","",'ATP Fills'!M1609)</f>
        <v/>
      </c>
      <c r="D1609" t="str">
        <f>IF(A1609="","",'ATP Fills'!B1609)</f>
        <v/>
      </c>
      <c r="E1609" s="3" t="str">
        <f>IF(A1609="","",IF(DATE(LEFT(D1609,4),MID(D1609,5,2),RIGHT(D1609,2))=Helper1!$P$1,Helper1!$P$1,""))</f>
        <v/>
      </c>
      <c r="F1609" s="3" t="str">
        <f>IF(A1609="","",'ATP Fills'!G1609)</f>
        <v/>
      </c>
      <c r="G1609" t="str">
        <f>IF(A1609="","",'ATP Fills'!H1609)</f>
        <v/>
      </c>
      <c r="H1609" t="str">
        <f>IF(A1609="","",VLOOKUP(G1609,表3_3[],2,0))</f>
        <v/>
      </c>
      <c r="I1609" t="str">
        <f>IF(A1609="","",VLOOKUP(G1609,表3_3[],3,0))</f>
        <v/>
      </c>
      <c r="J1609" t="str">
        <f>IF(A1609="","",IF('ATP Fills'!I1609="3M","",VLOOKUP(RIGHT('ATP Fills'!I1609,2),Helper1!$O$36:$P$48,2,0)))</f>
        <v/>
      </c>
      <c r="K1609" t="str">
        <f>IF(J1609="","",LEFT('ATP Fills'!I1609,4))</f>
        <v/>
      </c>
      <c r="L1609" t="str">
        <f>IF(A1609="","",IF('ATP Fills'!G1609="LME",'ATP Fills'!I1609,""))</f>
        <v/>
      </c>
      <c r="M1609" t="str">
        <f t="shared" si="25"/>
        <v/>
      </c>
    </row>
    <row r="1610" spans="1:13">
      <c r="A1610" t="str">
        <f>IF('ATP Fills'!A1610="","",IF('ATP Fills'!Q1610="PHILLIPSG",'ATP Fills'!F1610,""))</f>
        <v/>
      </c>
      <c r="B1610" t="str">
        <f>IF(A1610="","",'ATP Fills'!L1610)</f>
        <v/>
      </c>
      <c r="C1610" t="str">
        <f>IF(A1610="","",'ATP Fills'!M1610)</f>
        <v/>
      </c>
      <c r="D1610" t="str">
        <f>IF(A1610="","",'ATP Fills'!B1610)</f>
        <v/>
      </c>
      <c r="E1610" s="3" t="str">
        <f>IF(A1610="","",IF(DATE(LEFT(D1610,4),MID(D1610,5,2),RIGHT(D1610,2))=Helper1!$P$1,Helper1!$P$1,""))</f>
        <v/>
      </c>
      <c r="F1610" s="3" t="str">
        <f>IF(A1610="","",'ATP Fills'!G1610)</f>
        <v/>
      </c>
      <c r="G1610" t="str">
        <f>IF(A1610="","",'ATP Fills'!H1610)</f>
        <v/>
      </c>
      <c r="H1610" t="str">
        <f>IF(A1610="","",VLOOKUP(G1610,表3_3[],2,0))</f>
        <v/>
      </c>
      <c r="I1610" t="str">
        <f>IF(A1610="","",VLOOKUP(G1610,表3_3[],3,0))</f>
        <v/>
      </c>
      <c r="J1610" t="str">
        <f>IF(A1610="","",IF('ATP Fills'!I1610="3M","",VLOOKUP(RIGHT('ATP Fills'!I1610,2),Helper1!$O$36:$P$48,2,0)))</f>
        <v/>
      </c>
      <c r="K1610" t="str">
        <f>IF(J1610="","",LEFT('ATP Fills'!I1610,4))</f>
        <v/>
      </c>
      <c r="L1610" t="str">
        <f>IF(A1610="","",IF('ATP Fills'!G1610="LME",'ATP Fills'!I1610,""))</f>
        <v/>
      </c>
      <c r="M1610" t="str">
        <f t="shared" si="25"/>
        <v/>
      </c>
    </row>
    <row r="1611" spans="1:13">
      <c r="A1611" t="str">
        <f>IF('ATP Fills'!A1611="","",IF('ATP Fills'!Q1611="PHILLIPSG",'ATP Fills'!F1611,""))</f>
        <v/>
      </c>
      <c r="B1611" t="str">
        <f>IF(A1611="","",'ATP Fills'!L1611)</f>
        <v/>
      </c>
      <c r="C1611" t="str">
        <f>IF(A1611="","",'ATP Fills'!M1611)</f>
        <v/>
      </c>
      <c r="D1611" t="str">
        <f>IF(A1611="","",'ATP Fills'!B1611)</f>
        <v/>
      </c>
      <c r="E1611" s="3" t="str">
        <f>IF(A1611="","",IF(DATE(LEFT(D1611,4),MID(D1611,5,2),RIGHT(D1611,2))=Helper1!$P$1,Helper1!$P$1,""))</f>
        <v/>
      </c>
      <c r="F1611" s="3" t="str">
        <f>IF(A1611="","",'ATP Fills'!G1611)</f>
        <v/>
      </c>
      <c r="G1611" t="str">
        <f>IF(A1611="","",'ATP Fills'!H1611)</f>
        <v/>
      </c>
      <c r="H1611" t="str">
        <f>IF(A1611="","",VLOOKUP(G1611,表3_3[],2,0))</f>
        <v/>
      </c>
      <c r="I1611" t="str">
        <f>IF(A1611="","",VLOOKUP(G1611,表3_3[],3,0))</f>
        <v/>
      </c>
      <c r="J1611" t="str">
        <f>IF(A1611="","",IF('ATP Fills'!I1611="3M","",VLOOKUP(RIGHT('ATP Fills'!I1611,2),Helper1!$O$36:$P$48,2,0)))</f>
        <v/>
      </c>
      <c r="K1611" t="str">
        <f>IF(J1611="","",LEFT('ATP Fills'!I1611,4))</f>
        <v/>
      </c>
      <c r="L1611" t="str">
        <f>IF(A1611="","",IF('ATP Fills'!G1611="LME",'ATP Fills'!I1611,""))</f>
        <v/>
      </c>
      <c r="M1611" t="str">
        <f t="shared" si="25"/>
        <v/>
      </c>
    </row>
    <row r="1612" spans="1:13">
      <c r="A1612" t="str">
        <f>IF('ATP Fills'!A1612="","",IF('ATP Fills'!Q1612="PHILLIPSG",'ATP Fills'!F1612,""))</f>
        <v/>
      </c>
      <c r="B1612" t="str">
        <f>IF(A1612="","",'ATP Fills'!L1612)</f>
        <v/>
      </c>
      <c r="C1612" t="str">
        <f>IF(A1612="","",'ATP Fills'!M1612)</f>
        <v/>
      </c>
      <c r="D1612" t="str">
        <f>IF(A1612="","",'ATP Fills'!B1612)</f>
        <v/>
      </c>
      <c r="E1612" s="3" t="str">
        <f>IF(A1612="","",IF(DATE(LEFT(D1612,4),MID(D1612,5,2),RIGHT(D1612,2))=Helper1!$P$1,Helper1!$P$1,""))</f>
        <v/>
      </c>
      <c r="F1612" s="3" t="str">
        <f>IF(A1612="","",'ATP Fills'!G1612)</f>
        <v/>
      </c>
      <c r="G1612" t="str">
        <f>IF(A1612="","",'ATP Fills'!H1612)</f>
        <v/>
      </c>
      <c r="H1612" t="str">
        <f>IF(A1612="","",VLOOKUP(G1612,表3_3[],2,0))</f>
        <v/>
      </c>
      <c r="I1612" t="str">
        <f>IF(A1612="","",VLOOKUP(G1612,表3_3[],3,0))</f>
        <v/>
      </c>
      <c r="J1612" t="str">
        <f>IF(A1612="","",IF('ATP Fills'!I1612="3M","",VLOOKUP(RIGHT('ATP Fills'!I1612,2),Helper1!$O$36:$P$48,2,0)))</f>
        <v/>
      </c>
      <c r="K1612" t="str">
        <f>IF(J1612="","",LEFT('ATP Fills'!I1612,4))</f>
        <v/>
      </c>
      <c r="L1612" t="str">
        <f>IF(A1612="","",IF('ATP Fills'!G1612="LME",'ATP Fills'!I1612,""))</f>
        <v/>
      </c>
      <c r="M1612" t="str">
        <f t="shared" si="25"/>
        <v/>
      </c>
    </row>
    <row r="1613" spans="1:13">
      <c r="A1613" t="str">
        <f>IF('ATP Fills'!A1613="","",IF('ATP Fills'!Q1613="PHILLIPSG",'ATP Fills'!F1613,""))</f>
        <v/>
      </c>
      <c r="B1613" t="str">
        <f>IF(A1613="","",'ATP Fills'!L1613)</f>
        <v/>
      </c>
      <c r="C1613" t="str">
        <f>IF(A1613="","",'ATP Fills'!M1613)</f>
        <v/>
      </c>
      <c r="D1613" t="str">
        <f>IF(A1613="","",'ATP Fills'!B1613)</f>
        <v/>
      </c>
      <c r="E1613" s="3" t="str">
        <f>IF(A1613="","",IF(DATE(LEFT(D1613,4),MID(D1613,5,2),RIGHT(D1613,2))=Helper1!$P$1,Helper1!$P$1,""))</f>
        <v/>
      </c>
      <c r="F1613" s="3" t="str">
        <f>IF(A1613="","",'ATP Fills'!G1613)</f>
        <v/>
      </c>
      <c r="G1613" t="str">
        <f>IF(A1613="","",'ATP Fills'!H1613)</f>
        <v/>
      </c>
      <c r="H1613" t="str">
        <f>IF(A1613="","",VLOOKUP(G1613,表3_3[],2,0))</f>
        <v/>
      </c>
      <c r="I1613" t="str">
        <f>IF(A1613="","",VLOOKUP(G1613,表3_3[],3,0))</f>
        <v/>
      </c>
      <c r="J1613" t="str">
        <f>IF(A1613="","",IF('ATP Fills'!I1613="3M","",VLOOKUP(RIGHT('ATP Fills'!I1613,2),Helper1!$O$36:$P$48,2,0)))</f>
        <v/>
      </c>
      <c r="K1613" t="str">
        <f>IF(J1613="","",LEFT('ATP Fills'!I1613,4))</f>
        <v/>
      </c>
      <c r="L1613" t="str">
        <f>IF(A1613="","",IF('ATP Fills'!G1613="LME",'ATP Fills'!I1613,""))</f>
        <v/>
      </c>
      <c r="M1613" t="str">
        <f t="shared" si="25"/>
        <v/>
      </c>
    </row>
    <row r="1614" spans="1:13">
      <c r="A1614" t="str">
        <f>IF('ATP Fills'!A1614="","",IF('ATP Fills'!Q1614="PHILLIPSG",'ATP Fills'!F1614,""))</f>
        <v/>
      </c>
      <c r="B1614" t="str">
        <f>IF(A1614="","",'ATP Fills'!L1614)</f>
        <v/>
      </c>
      <c r="C1614" t="str">
        <f>IF(A1614="","",'ATP Fills'!M1614)</f>
        <v/>
      </c>
      <c r="D1614" t="str">
        <f>IF(A1614="","",'ATP Fills'!B1614)</f>
        <v/>
      </c>
      <c r="E1614" s="3" t="str">
        <f>IF(A1614="","",IF(DATE(LEFT(D1614,4),MID(D1614,5,2),RIGHT(D1614,2))=Helper1!$P$1,Helper1!$P$1,""))</f>
        <v/>
      </c>
      <c r="F1614" s="3" t="str">
        <f>IF(A1614="","",'ATP Fills'!G1614)</f>
        <v/>
      </c>
      <c r="G1614" t="str">
        <f>IF(A1614="","",'ATP Fills'!H1614)</f>
        <v/>
      </c>
      <c r="H1614" t="str">
        <f>IF(A1614="","",VLOOKUP(G1614,表3_3[],2,0))</f>
        <v/>
      </c>
      <c r="I1614" t="str">
        <f>IF(A1614="","",VLOOKUP(G1614,表3_3[],3,0))</f>
        <v/>
      </c>
      <c r="J1614" t="str">
        <f>IF(A1614="","",IF('ATP Fills'!I1614="3M","",VLOOKUP(RIGHT('ATP Fills'!I1614,2),Helper1!$O$36:$P$48,2,0)))</f>
        <v/>
      </c>
      <c r="K1614" t="str">
        <f>IF(J1614="","",LEFT('ATP Fills'!I1614,4))</f>
        <v/>
      </c>
      <c r="L1614" t="str">
        <f>IF(A1614="","",IF('ATP Fills'!G1614="LME",'ATP Fills'!I1614,""))</f>
        <v/>
      </c>
      <c r="M1614" t="str">
        <f t="shared" si="25"/>
        <v/>
      </c>
    </row>
    <row r="1615" spans="1:13">
      <c r="A1615" t="str">
        <f>IF('ATP Fills'!A1615="","",IF('ATP Fills'!Q1615="PHILLIPSG",'ATP Fills'!F1615,""))</f>
        <v/>
      </c>
      <c r="B1615" t="str">
        <f>IF(A1615="","",'ATP Fills'!L1615)</f>
        <v/>
      </c>
      <c r="C1615" t="str">
        <f>IF(A1615="","",'ATP Fills'!M1615)</f>
        <v/>
      </c>
      <c r="D1615" t="str">
        <f>IF(A1615="","",'ATP Fills'!B1615)</f>
        <v/>
      </c>
      <c r="E1615" s="3" t="str">
        <f>IF(A1615="","",IF(DATE(LEFT(D1615,4),MID(D1615,5,2),RIGHT(D1615,2))=Helper1!$P$1,Helper1!$P$1,""))</f>
        <v/>
      </c>
      <c r="F1615" s="3" t="str">
        <f>IF(A1615="","",'ATP Fills'!G1615)</f>
        <v/>
      </c>
      <c r="G1615" t="str">
        <f>IF(A1615="","",'ATP Fills'!H1615)</f>
        <v/>
      </c>
      <c r="H1615" t="str">
        <f>IF(A1615="","",VLOOKUP(G1615,表3_3[],2,0))</f>
        <v/>
      </c>
      <c r="I1615" t="str">
        <f>IF(A1615="","",VLOOKUP(G1615,表3_3[],3,0))</f>
        <v/>
      </c>
      <c r="J1615" t="str">
        <f>IF(A1615="","",IF('ATP Fills'!I1615="3M","",VLOOKUP(RIGHT('ATP Fills'!I1615,2),Helper1!$O$36:$P$48,2,0)))</f>
        <v/>
      </c>
      <c r="K1615" t="str">
        <f>IF(J1615="","",LEFT('ATP Fills'!I1615,4))</f>
        <v/>
      </c>
      <c r="L1615" t="str">
        <f>IF(A1615="","",IF('ATP Fills'!G1615="LME",'ATP Fills'!I1615,""))</f>
        <v/>
      </c>
      <c r="M1615" t="str">
        <f t="shared" si="25"/>
        <v/>
      </c>
    </row>
    <row r="1616" spans="1:13">
      <c r="A1616" t="str">
        <f>IF('ATP Fills'!A1616="","",IF('ATP Fills'!Q1616="PHILLIPSG",'ATP Fills'!F1616,""))</f>
        <v/>
      </c>
      <c r="B1616" t="str">
        <f>IF(A1616="","",'ATP Fills'!L1616)</f>
        <v/>
      </c>
      <c r="C1616" t="str">
        <f>IF(A1616="","",'ATP Fills'!M1616)</f>
        <v/>
      </c>
      <c r="D1616" t="str">
        <f>IF(A1616="","",'ATP Fills'!B1616)</f>
        <v/>
      </c>
      <c r="E1616" s="3" t="str">
        <f>IF(A1616="","",IF(DATE(LEFT(D1616,4),MID(D1616,5,2),RIGHT(D1616,2))=Helper1!$P$1,Helper1!$P$1,""))</f>
        <v/>
      </c>
      <c r="F1616" s="3" t="str">
        <f>IF(A1616="","",'ATP Fills'!G1616)</f>
        <v/>
      </c>
      <c r="G1616" t="str">
        <f>IF(A1616="","",'ATP Fills'!H1616)</f>
        <v/>
      </c>
      <c r="H1616" t="str">
        <f>IF(A1616="","",VLOOKUP(G1616,表3_3[],2,0))</f>
        <v/>
      </c>
      <c r="I1616" t="str">
        <f>IF(A1616="","",VLOOKUP(G1616,表3_3[],3,0))</f>
        <v/>
      </c>
      <c r="J1616" t="str">
        <f>IF(A1616="","",IF('ATP Fills'!I1616="3M","",VLOOKUP(RIGHT('ATP Fills'!I1616,2),Helper1!$O$36:$P$48,2,0)))</f>
        <v/>
      </c>
      <c r="K1616" t="str">
        <f>IF(J1616="","",LEFT('ATP Fills'!I1616,4))</f>
        <v/>
      </c>
      <c r="L1616" t="str">
        <f>IF(A1616="","",IF('ATP Fills'!G1616="LME",'ATP Fills'!I1616,""))</f>
        <v/>
      </c>
      <c r="M1616" t="str">
        <f t="shared" si="25"/>
        <v/>
      </c>
    </row>
    <row r="1617" spans="1:13">
      <c r="A1617" t="str">
        <f>IF('ATP Fills'!A1617="","",IF('ATP Fills'!Q1617="PHILLIPSG",'ATP Fills'!F1617,""))</f>
        <v/>
      </c>
      <c r="B1617" t="str">
        <f>IF(A1617="","",'ATP Fills'!L1617)</f>
        <v/>
      </c>
      <c r="C1617" t="str">
        <f>IF(A1617="","",'ATP Fills'!M1617)</f>
        <v/>
      </c>
      <c r="D1617" t="str">
        <f>IF(A1617="","",'ATP Fills'!B1617)</f>
        <v/>
      </c>
      <c r="E1617" s="3" t="str">
        <f>IF(A1617="","",IF(DATE(LEFT(D1617,4),MID(D1617,5,2),RIGHT(D1617,2))=Helper1!$P$1,Helper1!$P$1,""))</f>
        <v/>
      </c>
      <c r="F1617" s="3" t="str">
        <f>IF(A1617="","",'ATP Fills'!G1617)</f>
        <v/>
      </c>
      <c r="G1617" t="str">
        <f>IF(A1617="","",'ATP Fills'!H1617)</f>
        <v/>
      </c>
      <c r="H1617" t="str">
        <f>IF(A1617="","",VLOOKUP(G1617,表3_3[],2,0))</f>
        <v/>
      </c>
      <c r="I1617" t="str">
        <f>IF(A1617="","",VLOOKUP(G1617,表3_3[],3,0))</f>
        <v/>
      </c>
      <c r="J1617" t="str">
        <f>IF(A1617="","",IF('ATP Fills'!I1617="3M","",VLOOKUP(RIGHT('ATP Fills'!I1617,2),Helper1!$O$36:$P$48,2,0)))</f>
        <v/>
      </c>
      <c r="K1617" t="str">
        <f>IF(J1617="","",LEFT('ATP Fills'!I1617,4))</f>
        <v/>
      </c>
      <c r="L1617" t="str">
        <f>IF(A1617="","",IF('ATP Fills'!G1617="LME",'ATP Fills'!I1617,""))</f>
        <v/>
      </c>
      <c r="M1617" t="str">
        <f t="shared" si="25"/>
        <v/>
      </c>
    </row>
    <row r="1618" spans="1:13">
      <c r="A1618" t="str">
        <f>IF('ATP Fills'!A1618="","",IF('ATP Fills'!Q1618="PHILLIPSG",'ATP Fills'!F1618,""))</f>
        <v/>
      </c>
      <c r="B1618" t="str">
        <f>IF(A1618="","",'ATP Fills'!L1618)</f>
        <v/>
      </c>
      <c r="C1618" t="str">
        <f>IF(A1618="","",'ATP Fills'!M1618)</f>
        <v/>
      </c>
      <c r="D1618" t="str">
        <f>IF(A1618="","",'ATP Fills'!B1618)</f>
        <v/>
      </c>
      <c r="E1618" s="3" t="str">
        <f>IF(A1618="","",IF(DATE(LEFT(D1618,4),MID(D1618,5,2),RIGHT(D1618,2))=Helper1!$P$1,Helper1!$P$1,""))</f>
        <v/>
      </c>
      <c r="F1618" s="3" t="str">
        <f>IF(A1618="","",'ATP Fills'!G1618)</f>
        <v/>
      </c>
      <c r="G1618" t="str">
        <f>IF(A1618="","",'ATP Fills'!H1618)</f>
        <v/>
      </c>
      <c r="H1618" t="str">
        <f>IF(A1618="","",VLOOKUP(G1618,表3_3[],2,0))</f>
        <v/>
      </c>
      <c r="I1618" t="str">
        <f>IF(A1618="","",VLOOKUP(G1618,表3_3[],3,0))</f>
        <v/>
      </c>
      <c r="J1618" t="str">
        <f>IF(A1618="","",IF('ATP Fills'!I1618="3M","",VLOOKUP(RIGHT('ATP Fills'!I1618,2),Helper1!$O$36:$P$48,2,0)))</f>
        <v/>
      </c>
      <c r="K1618" t="str">
        <f>IF(J1618="","",LEFT('ATP Fills'!I1618,4))</f>
        <v/>
      </c>
      <c r="L1618" t="str">
        <f>IF(A1618="","",IF('ATP Fills'!G1618="LME",'ATP Fills'!I1618,""))</f>
        <v/>
      </c>
      <c r="M1618" t="str">
        <f t="shared" si="25"/>
        <v/>
      </c>
    </row>
    <row r="1619" spans="1:13">
      <c r="A1619" t="str">
        <f>IF('ATP Fills'!A1619="","",IF('ATP Fills'!Q1619="PHILLIPSG",'ATP Fills'!F1619,""))</f>
        <v/>
      </c>
      <c r="B1619" t="str">
        <f>IF(A1619="","",'ATP Fills'!L1619)</f>
        <v/>
      </c>
      <c r="C1619" t="str">
        <f>IF(A1619="","",'ATP Fills'!M1619)</f>
        <v/>
      </c>
      <c r="D1619" t="str">
        <f>IF(A1619="","",'ATP Fills'!B1619)</f>
        <v/>
      </c>
      <c r="E1619" s="3" t="str">
        <f>IF(A1619="","",IF(DATE(LEFT(D1619,4),MID(D1619,5,2),RIGHT(D1619,2))=Helper1!$P$1,Helper1!$P$1,""))</f>
        <v/>
      </c>
      <c r="F1619" s="3" t="str">
        <f>IF(A1619="","",'ATP Fills'!G1619)</f>
        <v/>
      </c>
      <c r="G1619" t="str">
        <f>IF(A1619="","",'ATP Fills'!H1619)</f>
        <v/>
      </c>
      <c r="H1619" t="str">
        <f>IF(A1619="","",VLOOKUP(G1619,表3_3[],2,0))</f>
        <v/>
      </c>
      <c r="I1619" t="str">
        <f>IF(A1619="","",VLOOKUP(G1619,表3_3[],3,0))</f>
        <v/>
      </c>
      <c r="J1619" t="str">
        <f>IF(A1619="","",IF('ATP Fills'!I1619="3M","",VLOOKUP(RIGHT('ATP Fills'!I1619,2),Helper1!$O$36:$P$48,2,0)))</f>
        <v/>
      </c>
      <c r="K1619" t="str">
        <f>IF(J1619="","",LEFT('ATP Fills'!I1619,4))</f>
        <v/>
      </c>
      <c r="L1619" t="str">
        <f>IF(A1619="","",IF('ATP Fills'!G1619="LME",'ATP Fills'!I1619,""))</f>
        <v/>
      </c>
      <c r="M1619" t="str">
        <f t="shared" si="25"/>
        <v/>
      </c>
    </row>
    <row r="1620" spans="1:13">
      <c r="A1620" t="str">
        <f>IF('ATP Fills'!A1620="","",IF('ATP Fills'!Q1620="PHILLIPSG",'ATP Fills'!F1620,""))</f>
        <v/>
      </c>
      <c r="B1620" t="str">
        <f>IF(A1620="","",'ATP Fills'!L1620)</f>
        <v/>
      </c>
      <c r="C1620" t="str">
        <f>IF(A1620="","",'ATP Fills'!M1620)</f>
        <v/>
      </c>
      <c r="D1620" t="str">
        <f>IF(A1620="","",'ATP Fills'!B1620)</f>
        <v/>
      </c>
      <c r="E1620" s="3" t="str">
        <f>IF(A1620="","",IF(DATE(LEFT(D1620,4),MID(D1620,5,2),RIGHT(D1620,2))=Helper1!$P$1,Helper1!$P$1,""))</f>
        <v/>
      </c>
      <c r="F1620" s="3" t="str">
        <f>IF(A1620="","",'ATP Fills'!G1620)</f>
        <v/>
      </c>
      <c r="G1620" t="str">
        <f>IF(A1620="","",'ATP Fills'!H1620)</f>
        <v/>
      </c>
      <c r="H1620" t="str">
        <f>IF(A1620="","",VLOOKUP(G1620,表3_3[],2,0))</f>
        <v/>
      </c>
      <c r="I1620" t="str">
        <f>IF(A1620="","",VLOOKUP(G1620,表3_3[],3,0))</f>
        <v/>
      </c>
      <c r="J1620" t="str">
        <f>IF(A1620="","",IF('ATP Fills'!I1620="3M","",VLOOKUP(RIGHT('ATP Fills'!I1620,2),Helper1!$O$36:$P$48,2,0)))</f>
        <v/>
      </c>
      <c r="K1620" t="str">
        <f>IF(J1620="","",LEFT('ATP Fills'!I1620,4))</f>
        <v/>
      </c>
      <c r="L1620" t="str">
        <f>IF(A1620="","",IF('ATP Fills'!G1620="LME",'ATP Fills'!I1620,""))</f>
        <v/>
      </c>
      <c r="M1620" t="str">
        <f t="shared" si="25"/>
        <v/>
      </c>
    </row>
    <row r="1621" spans="1:13">
      <c r="A1621" t="str">
        <f>IF('ATP Fills'!A1621="","",IF('ATP Fills'!Q1621="PHILLIPSG",'ATP Fills'!F1621,""))</f>
        <v/>
      </c>
      <c r="B1621" t="str">
        <f>IF(A1621="","",'ATP Fills'!L1621)</f>
        <v/>
      </c>
      <c r="C1621" t="str">
        <f>IF(A1621="","",'ATP Fills'!M1621)</f>
        <v/>
      </c>
      <c r="D1621" t="str">
        <f>IF(A1621="","",'ATP Fills'!B1621)</f>
        <v/>
      </c>
      <c r="E1621" s="3" t="str">
        <f>IF(A1621="","",IF(DATE(LEFT(D1621,4),MID(D1621,5,2),RIGHT(D1621,2))=Helper1!$P$1,Helper1!$P$1,""))</f>
        <v/>
      </c>
      <c r="F1621" s="3" t="str">
        <f>IF(A1621="","",'ATP Fills'!G1621)</f>
        <v/>
      </c>
      <c r="G1621" t="str">
        <f>IF(A1621="","",'ATP Fills'!H1621)</f>
        <v/>
      </c>
      <c r="H1621" t="str">
        <f>IF(A1621="","",VLOOKUP(G1621,表3_3[],2,0))</f>
        <v/>
      </c>
      <c r="I1621" t="str">
        <f>IF(A1621="","",VLOOKUP(G1621,表3_3[],3,0))</f>
        <v/>
      </c>
      <c r="J1621" t="str">
        <f>IF(A1621="","",IF('ATP Fills'!I1621="3M","",VLOOKUP(RIGHT('ATP Fills'!I1621,2),Helper1!$O$36:$P$48,2,0)))</f>
        <v/>
      </c>
      <c r="K1621" t="str">
        <f>IF(J1621="","",LEFT('ATP Fills'!I1621,4))</f>
        <v/>
      </c>
      <c r="L1621" t="str">
        <f>IF(A1621="","",IF('ATP Fills'!G1621="LME",'ATP Fills'!I1621,""))</f>
        <v/>
      </c>
      <c r="M1621" t="str">
        <f t="shared" si="25"/>
        <v/>
      </c>
    </row>
    <row r="1622" spans="1:13">
      <c r="A1622" t="str">
        <f>IF('ATP Fills'!A1622="","",IF('ATP Fills'!Q1622="PHILLIPSG",'ATP Fills'!F1622,""))</f>
        <v/>
      </c>
      <c r="B1622" t="str">
        <f>IF(A1622="","",'ATP Fills'!L1622)</f>
        <v/>
      </c>
      <c r="C1622" t="str">
        <f>IF(A1622="","",'ATP Fills'!M1622)</f>
        <v/>
      </c>
      <c r="D1622" t="str">
        <f>IF(A1622="","",'ATP Fills'!B1622)</f>
        <v/>
      </c>
      <c r="E1622" s="3" t="str">
        <f>IF(A1622="","",IF(DATE(LEFT(D1622,4),MID(D1622,5,2),RIGHT(D1622,2))=Helper1!$P$1,Helper1!$P$1,""))</f>
        <v/>
      </c>
      <c r="F1622" s="3" t="str">
        <f>IF(A1622="","",'ATP Fills'!G1622)</f>
        <v/>
      </c>
      <c r="G1622" t="str">
        <f>IF(A1622="","",'ATP Fills'!H1622)</f>
        <v/>
      </c>
      <c r="H1622" t="str">
        <f>IF(A1622="","",VLOOKUP(G1622,表3_3[],2,0))</f>
        <v/>
      </c>
      <c r="I1622" t="str">
        <f>IF(A1622="","",VLOOKUP(G1622,表3_3[],3,0))</f>
        <v/>
      </c>
      <c r="J1622" t="str">
        <f>IF(A1622="","",IF('ATP Fills'!I1622="3M","",VLOOKUP(RIGHT('ATP Fills'!I1622,2),Helper1!$O$36:$P$48,2,0)))</f>
        <v/>
      </c>
      <c r="K1622" t="str">
        <f>IF(J1622="","",LEFT('ATP Fills'!I1622,4))</f>
        <v/>
      </c>
      <c r="L1622" t="str">
        <f>IF(A1622="","",IF('ATP Fills'!G1622="LME",'ATP Fills'!I1622,""))</f>
        <v/>
      </c>
      <c r="M1622" t="str">
        <f t="shared" si="25"/>
        <v/>
      </c>
    </row>
    <row r="1623" spans="1:13">
      <c r="A1623" t="str">
        <f>IF('ATP Fills'!A1623="","",IF('ATP Fills'!Q1623="PHILLIPSG",'ATP Fills'!F1623,""))</f>
        <v/>
      </c>
      <c r="B1623" t="str">
        <f>IF(A1623="","",'ATP Fills'!L1623)</f>
        <v/>
      </c>
      <c r="C1623" t="str">
        <f>IF(A1623="","",'ATP Fills'!M1623)</f>
        <v/>
      </c>
      <c r="D1623" t="str">
        <f>IF(A1623="","",'ATP Fills'!B1623)</f>
        <v/>
      </c>
      <c r="E1623" s="3" t="str">
        <f>IF(A1623="","",IF(DATE(LEFT(D1623,4),MID(D1623,5,2),RIGHT(D1623,2))=Helper1!$P$1,Helper1!$P$1,""))</f>
        <v/>
      </c>
      <c r="F1623" s="3" t="str">
        <f>IF(A1623="","",'ATP Fills'!G1623)</f>
        <v/>
      </c>
      <c r="G1623" t="str">
        <f>IF(A1623="","",'ATP Fills'!H1623)</f>
        <v/>
      </c>
      <c r="H1623" t="str">
        <f>IF(A1623="","",VLOOKUP(G1623,表3_3[],2,0))</f>
        <v/>
      </c>
      <c r="I1623" t="str">
        <f>IF(A1623="","",VLOOKUP(G1623,表3_3[],3,0))</f>
        <v/>
      </c>
      <c r="J1623" t="str">
        <f>IF(A1623="","",IF('ATP Fills'!I1623="3M","",VLOOKUP(RIGHT('ATP Fills'!I1623,2),Helper1!$O$36:$P$48,2,0)))</f>
        <v/>
      </c>
      <c r="K1623" t="str">
        <f>IF(J1623="","",LEFT('ATP Fills'!I1623,4))</f>
        <v/>
      </c>
      <c r="L1623" t="str">
        <f>IF(A1623="","",IF('ATP Fills'!G1623="LME",'ATP Fills'!I1623,""))</f>
        <v/>
      </c>
      <c r="M1623" t="str">
        <f t="shared" si="25"/>
        <v/>
      </c>
    </row>
    <row r="1624" spans="1:13">
      <c r="A1624" t="str">
        <f>IF('ATP Fills'!A1624="","",IF('ATP Fills'!Q1624="PHILLIPSG",'ATP Fills'!F1624,""))</f>
        <v/>
      </c>
      <c r="B1624" t="str">
        <f>IF(A1624="","",'ATP Fills'!L1624)</f>
        <v/>
      </c>
      <c r="C1624" t="str">
        <f>IF(A1624="","",'ATP Fills'!M1624)</f>
        <v/>
      </c>
      <c r="D1624" t="str">
        <f>IF(A1624="","",'ATP Fills'!B1624)</f>
        <v/>
      </c>
      <c r="E1624" s="3" t="str">
        <f>IF(A1624="","",IF(DATE(LEFT(D1624,4),MID(D1624,5,2),RIGHT(D1624,2))=Helper1!$P$1,Helper1!$P$1,""))</f>
        <v/>
      </c>
      <c r="F1624" s="3" t="str">
        <f>IF(A1624="","",'ATP Fills'!G1624)</f>
        <v/>
      </c>
      <c r="G1624" t="str">
        <f>IF(A1624="","",'ATP Fills'!H1624)</f>
        <v/>
      </c>
      <c r="H1624" t="str">
        <f>IF(A1624="","",VLOOKUP(G1624,表3_3[],2,0))</f>
        <v/>
      </c>
      <c r="I1624" t="str">
        <f>IF(A1624="","",VLOOKUP(G1624,表3_3[],3,0))</f>
        <v/>
      </c>
      <c r="J1624" t="str">
        <f>IF(A1624="","",IF('ATP Fills'!I1624="3M","",VLOOKUP(RIGHT('ATP Fills'!I1624,2),Helper1!$O$36:$P$48,2,0)))</f>
        <v/>
      </c>
      <c r="K1624" t="str">
        <f>IF(J1624="","",LEFT('ATP Fills'!I1624,4))</f>
        <v/>
      </c>
      <c r="L1624" t="str">
        <f>IF(A1624="","",IF('ATP Fills'!G1624="LME",'ATP Fills'!I1624,""))</f>
        <v/>
      </c>
      <c r="M1624" t="str">
        <f t="shared" si="25"/>
        <v/>
      </c>
    </row>
    <row r="1625" spans="1:13">
      <c r="A1625" t="str">
        <f>IF('ATP Fills'!A1625="","",IF('ATP Fills'!Q1625="PHILLIPSG",'ATP Fills'!F1625,""))</f>
        <v/>
      </c>
      <c r="B1625" t="str">
        <f>IF(A1625="","",'ATP Fills'!L1625)</f>
        <v/>
      </c>
      <c r="C1625" t="str">
        <f>IF(A1625="","",'ATP Fills'!M1625)</f>
        <v/>
      </c>
      <c r="D1625" t="str">
        <f>IF(A1625="","",'ATP Fills'!B1625)</f>
        <v/>
      </c>
      <c r="E1625" s="3" t="str">
        <f>IF(A1625="","",IF(DATE(LEFT(D1625,4),MID(D1625,5,2),RIGHT(D1625,2))=Helper1!$P$1,Helper1!$P$1,""))</f>
        <v/>
      </c>
      <c r="F1625" s="3" t="str">
        <f>IF(A1625="","",'ATP Fills'!G1625)</f>
        <v/>
      </c>
      <c r="G1625" t="str">
        <f>IF(A1625="","",'ATP Fills'!H1625)</f>
        <v/>
      </c>
      <c r="H1625" t="str">
        <f>IF(A1625="","",VLOOKUP(G1625,表3_3[],2,0))</f>
        <v/>
      </c>
      <c r="I1625" t="str">
        <f>IF(A1625="","",VLOOKUP(G1625,表3_3[],3,0))</f>
        <v/>
      </c>
      <c r="J1625" t="str">
        <f>IF(A1625="","",IF('ATP Fills'!I1625="3M","",VLOOKUP(RIGHT('ATP Fills'!I1625,2),Helper1!$O$36:$P$48,2,0)))</f>
        <v/>
      </c>
      <c r="K1625" t="str">
        <f>IF(J1625="","",LEFT('ATP Fills'!I1625,4))</f>
        <v/>
      </c>
      <c r="L1625" t="str">
        <f>IF(A1625="","",IF('ATP Fills'!G1625="LME",'ATP Fills'!I1625,""))</f>
        <v/>
      </c>
      <c r="M1625" t="str">
        <f t="shared" si="25"/>
        <v/>
      </c>
    </row>
    <row r="1626" spans="1:13">
      <c r="A1626" t="str">
        <f>IF('ATP Fills'!A1626="","",IF('ATP Fills'!Q1626="PHILLIPSG",'ATP Fills'!F1626,""))</f>
        <v/>
      </c>
      <c r="B1626" t="str">
        <f>IF(A1626="","",'ATP Fills'!L1626)</f>
        <v/>
      </c>
      <c r="C1626" t="str">
        <f>IF(A1626="","",'ATP Fills'!M1626)</f>
        <v/>
      </c>
      <c r="D1626" t="str">
        <f>IF(A1626="","",'ATP Fills'!B1626)</f>
        <v/>
      </c>
      <c r="E1626" s="3" t="str">
        <f>IF(A1626="","",IF(DATE(LEFT(D1626,4),MID(D1626,5,2),RIGHT(D1626,2))=Helper1!$P$1,Helper1!$P$1,""))</f>
        <v/>
      </c>
      <c r="F1626" s="3" t="str">
        <f>IF(A1626="","",'ATP Fills'!G1626)</f>
        <v/>
      </c>
      <c r="G1626" t="str">
        <f>IF(A1626="","",'ATP Fills'!H1626)</f>
        <v/>
      </c>
      <c r="H1626" t="str">
        <f>IF(A1626="","",VLOOKUP(G1626,表3_3[],2,0))</f>
        <v/>
      </c>
      <c r="I1626" t="str">
        <f>IF(A1626="","",VLOOKUP(G1626,表3_3[],3,0))</f>
        <v/>
      </c>
      <c r="J1626" t="str">
        <f>IF(A1626="","",IF('ATP Fills'!I1626="3M","",VLOOKUP(RIGHT('ATP Fills'!I1626,2),Helper1!$O$36:$P$48,2,0)))</f>
        <v/>
      </c>
      <c r="K1626" t="str">
        <f>IF(J1626="","",LEFT('ATP Fills'!I1626,4))</f>
        <v/>
      </c>
      <c r="L1626" t="str">
        <f>IF(A1626="","",IF('ATP Fills'!G1626="LME",'ATP Fills'!I1626,""))</f>
        <v/>
      </c>
      <c r="M1626" t="str">
        <f t="shared" si="25"/>
        <v/>
      </c>
    </row>
    <row r="1627" spans="1:13">
      <c r="A1627" t="str">
        <f>IF('ATP Fills'!A1627="","",IF('ATP Fills'!Q1627="PHILLIPSG",'ATP Fills'!F1627,""))</f>
        <v/>
      </c>
      <c r="B1627" t="str">
        <f>IF(A1627="","",'ATP Fills'!L1627)</f>
        <v/>
      </c>
      <c r="C1627" t="str">
        <f>IF(A1627="","",'ATP Fills'!M1627)</f>
        <v/>
      </c>
      <c r="D1627" t="str">
        <f>IF(A1627="","",'ATP Fills'!B1627)</f>
        <v/>
      </c>
      <c r="E1627" s="3" t="str">
        <f>IF(A1627="","",IF(DATE(LEFT(D1627,4),MID(D1627,5,2),RIGHT(D1627,2))=Helper1!$P$1,Helper1!$P$1,""))</f>
        <v/>
      </c>
      <c r="F1627" s="3" t="str">
        <f>IF(A1627="","",'ATP Fills'!G1627)</f>
        <v/>
      </c>
      <c r="G1627" t="str">
        <f>IF(A1627="","",'ATP Fills'!H1627)</f>
        <v/>
      </c>
      <c r="H1627" t="str">
        <f>IF(A1627="","",VLOOKUP(G1627,表3_3[],2,0))</f>
        <v/>
      </c>
      <c r="I1627" t="str">
        <f>IF(A1627="","",VLOOKUP(G1627,表3_3[],3,0))</f>
        <v/>
      </c>
      <c r="J1627" t="str">
        <f>IF(A1627="","",IF('ATP Fills'!I1627="3M","",VLOOKUP(RIGHT('ATP Fills'!I1627,2),Helper1!$O$36:$P$48,2,0)))</f>
        <v/>
      </c>
      <c r="K1627" t="str">
        <f>IF(J1627="","",LEFT('ATP Fills'!I1627,4))</f>
        <v/>
      </c>
      <c r="L1627" t="str">
        <f>IF(A1627="","",IF('ATP Fills'!G1627="LME",'ATP Fills'!I1627,""))</f>
        <v/>
      </c>
      <c r="M1627" t="str">
        <f t="shared" si="25"/>
        <v/>
      </c>
    </row>
    <row r="1628" spans="1:13">
      <c r="A1628" t="str">
        <f>IF('ATP Fills'!A1628="","",IF('ATP Fills'!Q1628="PHILLIPSG",'ATP Fills'!F1628,""))</f>
        <v/>
      </c>
      <c r="B1628" t="str">
        <f>IF(A1628="","",'ATP Fills'!L1628)</f>
        <v/>
      </c>
      <c r="C1628" t="str">
        <f>IF(A1628="","",'ATP Fills'!M1628)</f>
        <v/>
      </c>
      <c r="D1628" t="str">
        <f>IF(A1628="","",'ATP Fills'!B1628)</f>
        <v/>
      </c>
      <c r="E1628" s="3" t="str">
        <f>IF(A1628="","",IF(DATE(LEFT(D1628,4),MID(D1628,5,2),RIGHT(D1628,2))=Helper1!$P$1,Helper1!$P$1,""))</f>
        <v/>
      </c>
      <c r="F1628" s="3" t="str">
        <f>IF(A1628="","",'ATP Fills'!G1628)</f>
        <v/>
      </c>
      <c r="G1628" t="str">
        <f>IF(A1628="","",'ATP Fills'!H1628)</f>
        <v/>
      </c>
      <c r="H1628" t="str">
        <f>IF(A1628="","",VLOOKUP(G1628,表3_3[],2,0))</f>
        <v/>
      </c>
      <c r="I1628" t="str">
        <f>IF(A1628="","",VLOOKUP(G1628,表3_3[],3,0))</f>
        <v/>
      </c>
      <c r="J1628" t="str">
        <f>IF(A1628="","",IF('ATP Fills'!I1628="3M","",VLOOKUP(RIGHT('ATP Fills'!I1628,2),Helper1!$O$36:$P$48,2,0)))</f>
        <v/>
      </c>
      <c r="K1628" t="str">
        <f>IF(J1628="","",LEFT('ATP Fills'!I1628,4))</f>
        <v/>
      </c>
      <c r="L1628" t="str">
        <f>IF(A1628="","",IF('ATP Fills'!G1628="LME",'ATP Fills'!I1628,""))</f>
        <v/>
      </c>
      <c r="M1628" t="str">
        <f t="shared" si="25"/>
        <v/>
      </c>
    </row>
    <row r="1629" spans="1:13">
      <c r="A1629" t="str">
        <f>IF('ATP Fills'!A1629="","",IF('ATP Fills'!Q1629="PHILLIPSG",'ATP Fills'!F1629,""))</f>
        <v/>
      </c>
      <c r="B1629" t="str">
        <f>IF(A1629="","",'ATP Fills'!L1629)</f>
        <v/>
      </c>
      <c r="C1629" t="str">
        <f>IF(A1629="","",'ATP Fills'!M1629)</f>
        <v/>
      </c>
      <c r="D1629" t="str">
        <f>IF(A1629="","",'ATP Fills'!B1629)</f>
        <v/>
      </c>
      <c r="E1629" s="3" t="str">
        <f>IF(A1629="","",IF(DATE(LEFT(D1629,4),MID(D1629,5,2),RIGHT(D1629,2))=Helper1!$P$1,Helper1!$P$1,""))</f>
        <v/>
      </c>
      <c r="F1629" s="3" t="str">
        <f>IF(A1629="","",'ATP Fills'!G1629)</f>
        <v/>
      </c>
      <c r="G1629" t="str">
        <f>IF(A1629="","",'ATP Fills'!H1629)</f>
        <v/>
      </c>
      <c r="H1629" t="str">
        <f>IF(A1629="","",VLOOKUP(G1629,表3_3[],2,0))</f>
        <v/>
      </c>
      <c r="I1629" t="str">
        <f>IF(A1629="","",VLOOKUP(G1629,表3_3[],3,0))</f>
        <v/>
      </c>
      <c r="J1629" t="str">
        <f>IF(A1629="","",IF('ATP Fills'!I1629="3M","",VLOOKUP(RIGHT('ATP Fills'!I1629,2),Helper1!$O$36:$P$48,2,0)))</f>
        <v/>
      </c>
      <c r="K1629" t="str">
        <f>IF(J1629="","",LEFT('ATP Fills'!I1629,4))</f>
        <v/>
      </c>
      <c r="L1629" t="str">
        <f>IF(A1629="","",IF('ATP Fills'!G1629="LME",'ATP Fills'!I1629,""))</f>
        <v/>
      </c>
      <c r="M1629" t="str">
        <f t="shared" si="25"/>
        <v/>
      </c>
    </row>
    <row r="1630" spans="1:13">
      <c r="A1630" t="str">
        <f>IF('ATP Fills'!A1630="","",IF('ATP Fills'!Q1630="PHILLIPSG",'ATP Fills'!F1630,""))</f>
        <v/>
      </c>
      <c r="B1630" t="str">
        <f>IF(A1630="","",'ATP Fills'!L1630)</f>
        <v/>
      </c>
      <c r="C1630" t="str">
        <f>IF(A1630="","",'ATP Fills'!M1630)</f>
        <v/>
      </c>
      <c r="D1630" t="str">
        <f>IF(A1630="","",'ATP Fills'!B1630)</f>
        <v/>
      </c>
      <c r="E1630" s="3" t="str">
        <f>IF(A1630="","",IF(DATE(LEFT(D1630,4),MID(D1630,5,2),RIGHT(D1630,2))=Helper1!$P$1,Helper1!$P$1,""))</f>
        <v/>
      </c>
      <c r="F1630" s="3" t="str">
        <f>IF(A1630="","",'ATP Fills'!G1630)</f>
        <v/>
      </c>
      <c r="G1630" t="str">
        <f>IF(A1630="","",'ATP Fills'!H1630)</f>
        <v/>
      </c>
      <c r="H1630" t="str">
        <f>IF(A1630="","",VLOOKUP(G1630,表3_3[],2,0))</f>
        <v/>
      </c>
      <c r="I1630" t="str">
        <f>IF(A1630="","",VLOOKUP(G1630,表3_3[],3,0))</f>
        <v/>
      </c>
      <c r="J1630" t="str">
        <f>IF(A1630="","",IF('ATP Fills'!I1630="3M","",VLOOKUP(RIGHT('ATP Fills'!I1630,2),Helper1!$O$36:$P$48,2,0)))</f>
        <v/>
      </c>
      <c r="K1630" t="str">
        <f>IF(J1630="","",LEFT('ATP Fills'!I1630,4))</f>
        <v/>
      </c>
      <c r="L1630" t="str">
        <f>IF(A1630="","",IF('ATP Fills'!G1630="LME",'ATP Fills'!I1630,""))</f>
        <v/>
      </c>
      <c r="M1630" t="str">
        <f t="shared" si="25"/>
        <v/>
      </c>
    </row>
    <row r="1631" spans="1:13">
      <c r="A1631" t="str">
        <f>IF('ATP Fills'!A1631="","",IF('ATP Fills'!Q1631="PHILLIPSG",'ATP Fills'!F1631,""))</f>
        <v/>
      </c>
      <c r="B1631" t="str">
        <f>IF(A1631="","",'ATP Fills'!L1631)</f>
        <v/>
      </c>
      <c r="C1631" t="str">
        <f>IF(A1631="","",'ATP Fills'!M1631)</f>
        <v/>
      </c>
      <c r="D1631" t="str">
        <f>IF(A1631="","",'ATP Fills'!B1631)</f>
        <v/>
      </c>
      <c r="E1631" s="3" t="str">
        <f>IF(A1631="","",IF(DATE(LEFT(D1631,4),MID(D1631,5,2),RIGHT(D1631,2))=Helper1!$P$1,Helper1!$P$1,""))</f>
        <v/>
      </c>
      <c r="F1631" s="3" t="str">
        <f>IF(A1631="","",'ATP Fills'!G1631)</f>
        <v/>
      </c>
      <c r="G1631" t="str">
        <f>IF(A1631="","",'ATP Fills'!H1631)</f>
        <v/>
      </c>
      <c r="H1631" t="str">
        <f>IF(A1631="","",VLOOKUP(G1631,表3_3[],2,0))</f>
        <v/>
      </c>
      <c r="I1631" t="str">
        <f>IF(A1631="","",VLOOKUP(G1631,表3_3[],3,0))</f>
        <v/>
      </c>
      <c r="J1631" t="str">
        <f>IF(A1631="","",IF('ATP Fills'!I1631="3M","",VLOOKUP(RIGHT('ATP Fills'!I1631,2),Helper1!$O$36:$P$48,2,0)))</f>
        <v/>
      </c>
      <c r="K1631" t="str">
        <f>IF(J1631="","",LEFT('ATP Fills'!I1631,4))</f>
        <v/>
      </c>
      <c r="L1631" t="str">
        <f>IF(A1631="","",IF('ATP Fills'!G1631="LME",'ATP Fills'!I1631,""))</f>
        <v/>
      </c>
      <c r="M1631" t="str">
        <f t="shared" si="25"/>
        <v/>
      </c>
    </row>
    <row r="1632" spans="1:13">
      <c r="A1632" t="str">
        <f>IF('ATP Fills'!A1632="","",IF('ATP Fills'!Q1632="PHILLIPSG",'ATP Fills'!F1632,""))</f>
        <v/>
      </c>
      <c r="B1632" t="str">
        <f>IF(A1632="","",'ATP Fills'!L1632)</f>
        <v/>
      </c>
      <c r="C1632" t="str">
        <f>IF(A1632="","",'ATP Fills'!M1632)</f>
        <v/>
      </c>
      <c r="D1632" t="str">
        <f>IF(A1632="","",'ATP Fills'!B1632)</f>
        <v/>
      </c>
      <c r="E1632" s="3" t="str">
        <f>IF(A1632="","",IF(DATE(LEFT(D1632,4),MID(D1632,5,2),RIGHT(D1632,2))=Helper1!$P$1,Helper1!$P$1,""))</f>
        <v/>
      </c>
      <c r="F1632" s="3" t="str">
        <f>IF(A1632="","",'ATP Fills'!G1632)</f>
        <v/>
      </c>
      <c r="G1632" t="str">
        <f>IF(A1632="","",'ATP Fills'!H1632)</f>
        <v/>
      </c>
      <c r="H1632" t="str">
        <f>IF(A1632="","",VLOOKUP(G1632,表3_3[],2,0))</f>
        <v/>
      </c>
      <c r="I1632" t="str">
        <f>IF(A1632="","",VLOOKUP(G1632,表3_3[],3,0))</f>
        <v/>
      </c>
      <c r="J1632" t="str">
        <f>IF(A1632="","",IF('ATP Fills'!I1632="3M","",VLOOKUP(RIGHT('ATP Fills'!I1632,2),Helper1!$O$36:$P$48,2,0)))</f>
        <v/>
      </c>
      <c r="K1632" t="str">
        <f>IF(J1632="","",LEFT('ATP Fills'!I1632,4))</f>
        <v/>
      </c>
      <c r="L1632" t="str">
        <f>IF(A1632="","",IF('ATP Fills'!G1632="LME",'ATP Fills'!I1632,""))</f>
        <v/>
      </c>
      <c r="M1632" t="str">
        <f t="shared" si="25"/>
        <v/>
      </c>
    </row>
    <row r="1633" spans="1:13">
      <c r="A1633" t="str">
        <f>IF('ATP Fills'!A1633="","",IF('ATP Fills'!Q1633="PHILLIPSG",'ATP Fills'!F1633,""))</f>
        <v/>
      </c>
      <c r="B1633" t="str">
        <f>IF(A1633="","",'ATP Fills'!L1633)</f>
        <v/>
      </c>
      <c r="C1633" t="str">
        <f>IF(A1633="","",'ATP Fills'!M1633)</f>
        <v/>
      </c>
      <c r="D1633" t="str">
        <f>IF(A1633="","",'ATP Fills'!B1633)</f>
        <v/>
      </c>
      <c r="E1633" s="3" t="str">
        <f>IF(A1633="","",IF(DATE(LEFT(D1633,4),MID(D1633,5,2),RIGHT(D1633,2))=Helper1!$P$1,Helper1!$P$1,""))</f>
        <v/>
      </c>
      <c r="F1633" s="3" t="str">
        <f>IF(A1633="","",'ATP Fills'!G1633)</f>
        <v/>
      </c>
      <c r="G1633" t="str">
        <f>IF(A1633="","",'ATP Fills'!H1633)</f>
        <v/>
      </c>
      <c r="H1633" t="str">
        <f>IF(A1633="","",VLOOKUP(G1633,表3_3[],2,0))</f>
        <v/>
      </c>
      <c r="I1633" t="str">
        <f>IF(A1633="","",VLOOKUP(G1633,表3_3[],3,0))</f>
        <v/>
      </c>
      <c r="J1633" t="str">
        <f>IF(A1633="","",IF('ATP Fills'!I1633="3M","",VLOOKUP(RIGHT('ATP Fills'!I1633,2),Helper1!$O$36:$P$48,2,0)))</f>
        <v/>
      </c>
      <c r="K1633" t="str">
        <f>IF(J1633="","",LEFT('ATP Fills'!I1633,4))</f>
        <v/>
      </c>
      <c r="L1633" t="str">
        <f>IF(A1633="","",IF('ATP Fills'!G1633="LME",'ATP Fills'!I1633,""))</f>
        <v/>
      </c>
      <c r="M1633" t="str">
        <f t="shared" si="25"/>
        <v/>
      </c>
    </row>
    <row r="1634" spans="1:13">
      <c r="A1634" t="str">
        <f>IF('ATP Fills'!A1634="","",IF('ATP Fills'!Q1634="PHILLIPSG",'ATP Fills'!F1634,""))</f>
        <v/>
      </c>
      <c r="B1634" t="str">
        <f>IF(A1634="","",'ATP Fills'!L1634)</f>
        <v/>
      </c>
      <c r="C1634" t="str">
        <f>IF(A1634="","",'ATP Fills'!M1634)</f>
        <v/>
      </c>
      <c r="D1634" t="str">
        <f>IF(A1634="","",'ATP Fills'!B1634)</f>
        <v/>
      </c>
      <c r="E1634" s="3" t="str">
        <f>IF(A1634="","",IF(DATE(LEFT(D1634,4),MID(D1634,5,2),RIGHT(D1634,2))=Helper1!$P$1,Helper1!$P$1,""))</f>
        <v/>
      </c>
      <c r="F1634" s="3" t="str">
        <f>IF(A1634="","",'ATP Fills'!G1634)</f>
        <v/>
      </c>
      <c r="G1634" t="str">
        <f>IF(A1634="","",'ATP Fills'!H1634)</f>
        <v/>
      </c>
      <c r="H1634" t="str">
        <f>IF(A1634="","",VLOOKUP(G1634,表3_3[],2,0))</f>
        <v/>
      </c>
      <c r="I1634" t="str">
        <f>IF(A1634="","",VLOOKUP(G1634,表3_3[],3,0))</f>
        <v/>
      </c>
      <c r="J1634" t="str">
        <f>IF(A1634="","",IF('ATP Fills'!I1634="3M","",VLOOKUP(RIGHT('ATP Fills'!I1634,2),Helper1!$O$36:$P$48,2,0)))</f>
        <v/>
      </c>
      <c r="K1634" t="str">
        <f>IF(J1634="","",LEFT('ATP Fills'!I1634,4))</f>
        <v/>
      </c>
      <c r="L1634" t="str">
        <f>IF(A1634="","",IF('ATP Fills'!G1634="LME",'ATP Fills'!I1634,""))</f>
        <v/>
      </c>
      <c r="M1634" t="str">
        <f t="shared" si="25"/>
        <v/>
      </c>
    </row>
    <row r="1635" spans="1:13">
      <c r="A1635" t="str">
        <f>IF('ATP Fills'!A1635="","",IF('ATP Fills'!Q1635="PHILLIPSG",'ATP Fills'!F1635,""))</f>
        <v/>
      </c>
      <c r="B1635" t="str">
        <f>IF(A1635="","",'ATP Fills'!L1635)</f>
        <v/>
      </c>
      <c r="C1635" t="str">
        <f>IF(A1635="","",'ATP Fills'!M1635)</f>
        <v/>
      </c>
      <c r="D1635" t="str">
        <f>IF(A1635="","",'ATP Fills'!B1635)</f>
        <v/>
      </c>
      <c r="E1635" s="3" t="str">
        <f>IF(A1635="","",IF(DATE(LEFT(D1635,4),MID(D1635,5,2),RIGHT(D1635,2))=Helper1!$P$1,Helper1!$P$1,""))</f>
        <v/>
      </c>
      <c r="F1635" s="3" t="str">
        <f>IF(A1635="","",'ATP Fills'!G1635)</f>
        <v/>
      </c>
      <c r="G1635" t="str">
        <f>IF(A1635="","",'ATP Fills'!H1635)</f>
        <v/>
      </c>
      <c r="H1635" t="str">
        <f>IF(A1635="","",VLOOKUP(G1635,表3_3[],2,0))</f>
        <v/>
      </c>
      <c r="I1635" t="str">
        <f>IF(A1635="","",VLOOKUP(G1635,表3_3[],3,0))</f>
        <v/>
      </c>
      <c r="J1635" t="str">
        <f>IF(A1635="","",IF('ATP Fills'!I1635="3M","",VLOOKUP(RIGHT('ATP Fills'!I1635,2),Helper1!$O$36:$P$48,2,0)))</f>
        <v/>
      </c>
      <c r="K1635" t="str">
        <f>IF(J1635="","",LEFT('ATP Fills'!I1635,4))</f>
        <v/>
      </c>
      <c r="L1635" t="str">
        <f>IF(A1635="","",IF('ATP Fills'!G1635="LME",'ATP Fills'!I1635,""))</f>
        <v/>
      </c>
      <c r="M1635" t="str">
        <f t="shared" si="25"/>
        <v/>
      </c>
    </row>
    <row r="1636" spans="1:13">
      <c r="A1636" t="str">
        <f>IF('ATP Fills'!A1636="","",IF('ATP Fills'!Q1636="PHILLIPSG",'ATP Fills'!F1636,""))</f>
        <v/>
      </c>
      <c r="B1636" t="str">
        <f>IF(A1636="","",'ATP Fills'!L1636)</f>
        <v/>
      </c>
      <c r="C1636" t="str">
        <f>IF(A1636="","",'ATP Fills'!M1636)</f>
        <v/>
      </c>
      <c r="D1636" t="str">
        <f>IF(A1636="","",'ATP Fills'!B1636)</f>
        <v/>
      </c>
      <c r="E1636" s="3" t="str">
        <f>IF(A1636="","",IF(DATE(LEFT(D1636,4),MID(D1636,5,2),RIGHT(D1636,2))=Helper1!$P$1,Helper1!$P$1,""))</f>
        <v/>
      </c>
      <c r="F1636" s="3" t="str">
        <f>IF(A1636="","",'ATP Fills'!G1636)</f>
        <v/>
      </c>
      <c r="G1636" t="str">
        <f>IF(A1636="","",'ATP Fills'!H1636)</f>
        <v/>
      </c>
      <c r="H1636" t="str">
        <f>IF(A1636="","",VLOOKUP(G1636,表3_3[],2,0))</f>
        <v/>
      </c>
      <c r="I1636" t="str">
        <f>IF(A1636="","",VLOOKUP(G1636,表3_3[],3,0))</f>
        <v/>
      </c>
      <c r="J1636" t="str">
        <f>IF(A1636="","",IF('ATP Fills'!I1636="3M","",VLOOKUP(RIGHT('ATP Fills'!I1636,2),Helper1!$O$36:$P$48,2,0)))</f>
        <v/>
      </c>
      <c r="K1636" t="str">
        <f>IF(J1636="","",LEFT('ATP Fills'!I1636,4))</f>
        <v/>
      </c>
      <c r="L1636" t="str">
        <f>IF(A1636="","",IF('ATP Fills'!G1636="LME",'ATP Fills'!I1636,""))</f>
        <v/>
      </c>
      <c r="M1636" t="str">
        <f t="shared" si="25"/>
        <v/>
      </c>
    </row>
    <row r="1637" spans="1:13">
      <c r="A1637" t="str">
        <f>IF('ATP Fills'!A1637="","",IF('ATP Fills'!Q1637="PHILLIPSG",'ATP Fills'!F1637,""))</f>
        <v/>
      </c>
      <c r="B1637" t="str">
        <f>IF(A1637="","",'ATP Fills'!L1637)</f>
        <v/>
      </c>
      <c r="C1637" t="str">
        <f>IF(A1637="","",'ATP Fills'!M1637)</f>
        <v/>
      </c>
      <c r="D1637" t="str">
        <f>IF(A1637="","",'ATP Fills'!B1637)</f>
        <v/>
      </c>
      <c r="E1637" s="3" t="str">
        <f>IF(A1637="","",IF(DATE(LEFT(D1637,4),MID(D1637,5,2),RIGHT(D1637,2))=Helper1!$P$1,Helper1!$P$1,""))</f>
        <v/>
      </c>
      <c r="F1637" s="3" t="str">
        <f>IF(A1637="","",'ATP Fills'!G1637)</f>
        <v/>
      </c>
      <c r="G1637" t="str">
        <f>IF(A1637="","",'ATP Fills'!H1637)</f>
        <v/>
      </c>
      <c r="H1637" t="str">
        <f>IF(A1637="","",VLOOKUP(G1637,表3_3[],2,0))</f>
        <v/>
      </c>
      <c r="I1637" t="str">
        <f>IF(A1637="","",VLOOKUP(G1637,表3_3[],3,0))</f>
        <v/>
      </c>
      <c r="J1637" t="str">
        <f>IF(A1637="","",IF('ATP Fills'!I1637="3M","",VLOOKUP(RIGHT('ATP Fills'!I1637,2),Helper1!$O$36:$P$48,2,0)))</f>
        <v/>
      </c>
      <c r="K1637" t="str">
        <f>IF(J1637="","",LEFT('ATP Fills'!I1637,4))</f>
        <v/>
      </c>
      <c r="L1637" t="str">
        <f>IF(A1637="","",IF('ATP Fills'!G1637="LME",'ATP Fills'!I1637,""))</f>
        <v/>
      </c>
      <c r="M1637" t="str">
        <f t="shared" si="25"/>
        <v/>
      </c>
    </row>
    <row r="1638" spans="1:13">
      <c r="A1638" t="str">
        <f>IF('ATP Fills'!A1638="","",IF('ATP Fills'!Q1638="PHILLIPSG",'ATP Fills'!F1638,""))</f>
        <v/>
      </c>
      <c r="B1638" t="str">
        <f>IF(A1638="","",'ATP Fills'!L1638)</f>
        <v/>
      </c>
      <c r="C1638" t="str">
        <f>IF(A1638="","",'ATP Fills'!M1638)</f>
        <v/>
      </c>
      <c r="D1638" t="str">
        <f>IF(A1638="","",'ATP Fills'!B1638)</f>
        <v/>
      </c>
      <c r="E1638" s="3" t="str">
        <f>IF(A1638="","",IF(DATE(LEFT(D1638,4),MID(D1638,5,2),RIGHT(D1638,2))=Helper1!$P$1,Helper1!$P$1,""))</f>
        <v/>
      </c>
      <c r="F1638" s="3" t="str">
        <f>IF(A1638="","",'ATP Fills'!G1638)</f>
        <v/>
      </c>
      <c r="G1638" t="str">
        <f>IF(A1638="","",'ATP Fills'!H1638)</f>
        <v/>
      </c>
      <c r="H1638" t="str">
        <f>IF(A1638="","",VLOOKUP(G1638,表3_3[],2,0))</f>
        <v/>
      </c>
      <c r="I1638" t="str">
        <f>IF(A1638="","",VLOOKUP(G1638,表3_3[],3,0))</f>
        <v/>
      </c>
      <c r="J1638" t="str">
        <f>IF(A1638="","",IF('ATP Fills'!I1638="3M","",VLOOKUP(RIGHT('ATP Fills'!I1638,2),Helper1!$O$36:$P$48,2,0)))</f>
        <v/>
      </c>
      <c r="K1638" t="str">
        <f>IF(J1638="","",LEFT('ATP Fills'!I1638,4))</f>
        <v/>
      </c>
      <c r="L1638" t="str">
        <f>IF(A1638="","",IF('ATP Fills'!G1638="LME",'ATP Fills'!I1638,""))</f>
        <v/>
      </c>
      <c r="M1638" t="str">
        <f t="shared" si="25"/>
        <v/>
      </c>
    </row>
    <row r="1639" spans="1:13">
      <c r="A1639" t="str">
        <f>IF('ATP Fills'!A1639="","",IF('ATP Fills'!Q1639="PHILLIPSG",'ATP Fills'!F1639,""))</f>
        <v/>
      </c>
      <c r="B1639" t="str">
        <f>IF(A1639="","",'ATP Fills'!L1639)</f>
        <v/>
      </c>
      <c r="C1639" t="str">
        <f>IF(A1639="","",'ATP Fills'!M1639)</f>
        <v/>
      </c>
      <c r="D1639" t="str">
        <f>IF(A1639="","",'ATP Fills'!B1639)</f>
        <v/>
      </c>
      <c r="E1639" s="3" t="str">
        <f>IF(A1639="","",IF(DATE(LEFT(D1639,4),MID(D1639,5,2),RIGHT(D1639,2))=Helper1!$P$1,Helper1!$P$1,""))</f>
        <v/>
      </c>
      <c r="F1639" s="3" t="str">
        <f>IF(A1639="","",'ATP Fills'!G1639)</f>
        <v/>
      </c>
      <c r="G1639" t="str">
        <f>IF(A1639="","",'ATP Fills'!H1639)</f>
        <v/>
      </c>
      <c r="H1639" t="str">
        <f>IF(A1639="","",VLOOKUP(G1639,表3_3[],2,0))</f>
        <v/>
      </c>
      <c r="I1639" t="str">
        <f>IF(A1639="","",VLOOKUP(G1639,表3_3[],3,0))</f>
        <v/>
      </c>
      <c r="J1639" t="str">
        <f>IF(A1639="","",IF('ATP Fills'!I1639="3M","",VLOOKUP(RIGHT('ATP Fills'!I1639,2),Helper1!$O$36:$P$48,2,0)))</f>
        <v/>
      </c>
      <c r="K1639" t="str">
        <f>IF(J1639="","",LEFT('ATP Fills'!I1639,4))</f>
        <v/>
      </c>
      <c r="L1639" t="str">
        <f>IF(A1639="","",IF('ATP Fills'!G1639="LME",'ATP Fills'!I1639,""))</f>
        <v/>
      </c>
      <c r="M1639" t="str">
        <f t="shared" si="25"/>
        <v/>
      </c>
    </row>
    <row r="1640" spans="1:13">
      <c r="A1640" t="str">
        <f>IF('ATP Fills'!A1640="","",IF('ATP Fills'!Q1640="PHILLIPSG",'ATP Fills'!F1640,""))</f>
        <v/>
      </c>
      <c r="B1640" t="str">
        <f>IF(A1640="","",'ATP Fills'!L1640)</f>
        <v/>
      </c>
      <c r="C1640" t="str">
        <f>IF(A1640="","",'ATP Fills'!M1640)</f>
        <v/>
      </c>
      <c r="D1640" t="str">
        <f>IF(A1640="","",'ATP Fills'!B1640)</f>
        <v/>
      </c>
      <c r="E1640" s="3" t="str">
        <f>IF(A1640="","",IF(DATE(LEFT(D1640,4),MID(D1640,5,2),RIGHT(D1640,2))=Helper1!$P$1,Helper1!$P$1,""))</f>
        <v/>
      </c>
      <c r="F1640" s="3" t="str">
        <f>IF(A1640="","",'ATP Fills'!G1640)</f>
        <v/>
      </c>
      <c r="G1640" t="str">
        <f>IF(A1640="","",'ATP Fills'!H1640)</f>
        <v/>
      </c>
      <c r="H1640" t="str">
        <f>IF(A1640="","",VLOOKUP(G1640,表3_3[],2,0))</f>
        <v/>
      </c>
      <c r="I1640" t="str">
        <f>IF(A1640="","",VLOOKUP(G1640,表3_3[],3,0))</f>
        <v/>
      </c>
      <c r="J1640" t="str">
        <f>IF(A1640="","",IF('ATP Fills'!I1640="3M","",VLOOKUP(RIGHT('ATP Fills'!I1640,2),Helper1!$O$36:$P$48,2,0)))</f>
        <v/>
      </c>
      <c r="K1640" t="str">
        <f>IF(J1640="","",LEFT('ATP Fills'!I1640,4))</f>
        <v/>
      </c>
      <c r="L1640" t="str">
        <f>IF(A1640="","",IF('ATP Fills'!G1640="LME",'ATP Fills'!I1640,""))</f>
        <v/>
      </c>
      <c r="M1640" t="str">
        <f t="shared" si="25"/>
        <v/>
      </c>
    </row>
    <row r="1641" spans="1:13">
      <c r="A1641" t="str">
        <f>IF('ATP Fills'!A1641="","",IF('ATP Fills'!Q1641="PHILLIPSG",'ATP Fills'!F1641,""))</f>
        <v/>
      </c>
      <c r="B1641" t="str">
        <f>IF(A1641="","",'ATP Fills'!L1641)</f>
        <v/>
      </c>
      <c r="C1641" t="str">
        <f>IF(A1641="","",'ATP Fills'!M1641)</f>
        <v/>
      </c>
      <c r="D1641" t="str">
        <f>IF(A1641="","",'ATP Fills'!B1641)</f>
        <v/>
      </c>
      <c r="E1641" s="3" t="str">
        <f>IF(A1641="","",IF(DATE(LEFT(D1641,4),MID(D1641,5,2),RIGHT(D1641,2))=Helper1!$P$1,Helper1!$P$1,""))</f>
        <v/>
      </c>
      <c r="F1641" s="3" t="str">
        <f>IF(A1641="","",'ATP Fills'!G1641)</f>
        <v/>
      </c>
      <c r="G1641" t="str">
        <f>IF(A1641="","",'ATP Fills'!H1641)</f>
        <v/>
      </c>
      <c r="H1641" t="str">
        <f>IF(A1641="","",VLOOKUP(G1641,表3_3[],2,0))</f>
        <v/>
      </c>
      <c r="I1641" t="str">
        <f>IF(A1641="","",VLOOKUP(G1641,表3_3[],3,0))</f>
        <v/>
      </c>
      <c r="J1641" t="str">
        <f>IF(A1641="","",IF('ATP Fills'!I1641="3M","",VLOOKUP(RIGHT('ATP Fills'!I1641,2),Helper1!$O$36:$P$48,2,0)))</f>
        <v/>
      </c>
      <c r="K1641" t="str">
        <f>IF(J1641="","",LEFT('ATP Fills'!I1641,4))</f>
        <v/>
      </c>
      <c r="L1641" t="str">
        <f>IF(A1641="","",IF('ATP Fills'!G1641="LME",'ATP Fills'!I1641,""))</f>
        <v/>
      </c>
      <c r="M1641" t="str">
        <f t="shared" si="25"/>
        <v/>
      </c>
    </row>
    <row r="1642" spans="1:13">
      <c r="A1642" t="str">
        <f>IF('ATP Fills'!A1642="","",IF('ATP Fills'!Q1642="PHILLIPSG",'ATP Fills'!F1642,""))</f>
        <v/>
      </c>
      <c r="B1642" t="str">
        <f>IF(A1642="","",'ATP Fills'!L1642)</f>
        <v/>
      </c>
      <c r="C1642" t="str">
        <f>IF(A1642="","",'ATP Fills'!M1642)</f>
        <v/>
      </c>
      <c r="D1642" t="str">
        <f>IF(A1642="","",'ATP Fills'!B1642)</f>
        <v/>
      </c>
      <c r="E1642" s="3" t="str">
        <f>IF(A1642="","",IF(DATE(LEFT(D1642,4),MID(D1642,5,2),RIGHT(D1642,2))=Helper1!$P$1,Helper1!$P$1,""))</f>
        <v/>
      </c>
      <c r="F1642" s="3" t="str">
        <f>IF(A1642="","",'ATP Fills'!G1642)</f>
        <v/>
      </c>
      <c r="G1642" t="str">
        <f>IF(A1642="","",'ATP Fills'!H1642)</f>
        <v/>
      </c>
      <c r="H1642" t="str">
        <f>IF(A1642="","",VLOOKUP(G1642,表3_3[],2,0))</f>
        <v/>
      </c>
      <c r="I1642" t="str">
        <f>IF(A1642="","",VLOOKUP(G1642,表3_3[],3,0))</f>
        <v/>
      </c>
      <c r="J1642" t="str">
        <f>IF(A1642="","",IF('ATP Fills'!I1642="3M","",VLOOKUP(RIGHT('ATP Fills'!I1642,2),Helper1!$O$36:$P$48,2,0)))</f>
        <v/>
      </c>
      <c r="K1642" t="str">
        <f>IF(J1642="","",LEFT('ATP Fills'!I1642,4))</f>
        <v/>
      </c>
      <c r="L1642" t="str">
        <f>IF(A1642="","",IF('ATP Fills'!G1642="LME",'ATP Fills'!I1642,""))</f>
        <v/>
      </c>
      <c r="M1642" t="str">
        <f t="shared" si="25"/>
        <v/>
      </c>
    </row>
    <row r="1643" spans="1:13">
      <c r="A1643" t="str">
        <f>IF('ATP Fills'!A1643="","",IF('ATP Fills'!Q1643="PHILLIPSG",'ATP Fills'!F1643,""))</f>
        <v/>
      </c>
      <c r="B1643" t="str">
        <f>IF(A1643="","",'ATP Fills'!L1643)</f>
        <v/>
      </c>
      <c r="C1643" t="str">
        <f>IF(A1643="","",'ATP Fills'!M1643)</f>
        <v/>
      </c>
      <c r="D1643" t="str">
        <f>IF(A1643="","",'ATP Fills'!B1643)</f>
        <v/>
      </c>
      <c r="E1643" s="3" t="str">
        <f>IF(A1643="","",IF(DATE(LEFT(D1643,4),MID(D1643,5,2),RIGHT(D1643,2))=Helper1!$P$1,Helper1!$P$1,""))</f>
        <v/>
      </c>
      <c r="F1643" s="3" t="str">
        <f>IF(A1643="","",'ATP Fills'!G1643)</f>
        <v/>
      </c>
      <c r="G1643" t="str">
        <f>IF(A1643="","",'ATP Fills'!H1643)</f>
        <v/>
      </c>
      <c r="H1643" t="str">
        <f>IF(A1643="","",VLOOKUP(G1643,表3_3[],2,0))</f>
        <v/>
      </c>
      <c r="I1643" t="str">
        <f>IF(A1643="","",VLOOKUP(G1643,表3_3[],3,0))</f>
        <v/>
      </c>
      <c r="J1643" t="str">
        <f>IF(A1643="","",IF('ATP Fills'!I1643="3M","",VLOOKUP(RIGHT('ATP Fills'!I1643,2),Helper1!$O$36:$P$48,2,0)))</f>
        <v/>
      </c>
      <c r="K1643" t="str">
        <f>IF(J1643="","",LEFT('ATP Fills'!I1643,4))</f>
        <v/>
      </c>
      <c r="L1643" t="str">
        <f>IF(A1643="","",IF('ATP Fills'!G1643="LME",'ATP Fills'!I1643,""))</f>
        <v/>
      </c>
      <c r="M1643" t="str">
        <f t="shared" si="25"/>
        <v/>
      </c>
    </row>
    <row r="1644" spans="1:13">
      <c r="A1644" t="str">
        <f>IF('ATP Fills'!A1644="","",IF('ATP Fills'!Q1644="PHILLIPSG",'ATP Fills'!F1644,""))</f>
        <v/>
      </c>
      <c r="B1644" t="str">
        <f>IF(A1644="","",'ATP Fills'!L1644)</f>
        <v/>
      </c>
      <c r="C1644" t="str">
        <f>IF(A1644="","",'ATP Fills'!M1644)</f>
        <v/>
      </c>
      <c r="D1644" t="str">
        <f>IF(A1644="","",'ATP Fills'!B1644)</f>
        <v/>
      </c>
      <c r="E1644" s="3" t="str">
        <f>IF(A1644="","",IF(DATE(LEFT(D1644,4),MID(D1644,5,2),RIGHT(D1644,2))=Helper1!$P$1,Helper1!$P$1,""))</f>
        <v/>
      </c>
      <c r="F1644" s="3" t="str">
        <f>IF(A1644="","",'ATP Fills'!G1644)</f>
        <v/>
      </c>
      <c r="G1644" t="str">
        <f>IF(A1644="","",'ATP Fills'!H1644)</f>
        <v/>
      </c>
      <c r="H1644" t="str">
        <f>IF(A1644="","",VLOOKUP(G1644,表3_3[],2,0))</f>
        <v/>
      </c>
      <c r="I1644" t="str">
        <f>IF(A1644="","",VLOOKUP(G1644,表3_3[],3,0))</f>
        <v/>
      </c>
      <c r="J1644" t="str">
        <f>IF(A1644="","",IF('ATP Fills'!I1644="3M","",VLOOKUP(RIGHT('ATP Fills'!I1644,2),Helper1!$O$36:$P$48,2,0)))</f>
        <v/>
      </c>
      <c r="K1644" t="str">
        <f>IF(J1644="","",LEFT('ATP Fills'!I1644,4))</f>
        <v/>
      </c>
      <c r="L1644" t="str">
        <f>IF(A1644="","",IF('ATP Fills'!G1644="LME",'ATP Fills'!I1644,""))</f>
        <v/>
      </c>
      <c r="M1644" t="str">
        <f t="shared" si="25"/>
        <v/>
      </c>
    </row>
    <row r="1645" spans="1:13">
      <c r="A1645" t="str">
        <f>IF('ATP Fills'!A1645="","",IF('ATP Fills'!Q1645="PHILLIPSG",'ATP Fills'!F1645,""))</f>
        <v/>
      </c>
      <c r="B1645" t="str">
        <f>IF(A1645="","",'ATP Fills'!L1645)</f>
        <v/>
      </c>
      <c r="C1645" t="str">
        <f>IF(A1645="","",'ATP Fills'!M1645)</f>
        <v/>
      </c>
      <c r="D1645" t="str">
        <f>IF(A1645="","",'ATP Fills'!B1645)</f>
        <v/>
      </c>
      <c r="E1645" s="3" t="str">
        <f>IF(A1645="","",IF(DATE(LEFT(D1645,4),MID(D1645,5,2),RIGHT(D1645,2))=Helper1!$P$1,Helper1!$P$1,""))</f>
        <v/>
      </c>
      <c r="F1645" s="3" t="str">
        <f>IF(A1645="","",'ATP Fills'!G1645)</f>
        <v/>
      </c>
      <c r="G1645" t="str">
        <f>IF(A1645="","",'ATP Fills'!H1645)</f>
        <v/>
      </c>
      <c r="H1645" t="str">
        <f>IF(A1645="","",VLOOKUP(G1645,表3_3[],2,0))</f>
        <v/>
      </c>
      <c r="I1645" t="str">
        <f>IF(A1645="","",VLOOKUP(G1645,表3_3[],3,0))</f>
        <v/>
      </c>
      <c r="J1645" t="str">
        <f>IF(A1645="","",IF('ATP Fills'!I1645="3M","",VLOOKUP(RIGHT('ATP Fills'!I1645,2),Helper1!$O$36:$P$48,2,0)))</f>
        <v/>
      </c>
      <c r="K1645" t="str">
        <f>IF(J1645="","",LEFT('ATP Fills'!I1645,4))</f>
        <v/>
      </c>
      <c r="L1645" t="str">
        <f>IF(A1645="","",IF('ATP Fills'!G1645="LME",'ATP Fills'!I1645,""))</f>
        <v/>
      </c>
      <c r="M1645" t="str">
        <f t="shared" si="25"/>
        <v/>
      </c>
    </row>
    <row r="1646" spans="1:13">
      <c r="A1646" t="str">
        <f>IF('ATP Fills'!A1646="","",IF('ATP Fills'!Q1646="PHILLIPSG",'ATP Fills'!F1646,""))</f>
        <v/>
      </c>
      <c r="B1646" t="str">
        <f>IF(A1646="","",'ATP Fills'!L1646)</f>
        <v/>
      </c>
      <c r="C1646" t="str">
        <f>IF(A1646="","",'ATP Fills'!M1646)</f>
        <v/>
      </c>
      <c r="D1646" t="str">
        <f>IF(A1646="","",'ATP Fills'!B1646)</f>
        <v/>
      </c>
      <c r="E1646" s="3" t="str">
        <f>IF(A1646="","",IF(DATE(LEFT(D1646,4),MID(D1646,5,2),RIGHT(D1646,2))=Helper1!$P$1,Helper1!$P$1,""))</f>
        <v/>
      </c>
      <c r="F1646" s="3" t="str">
        <f>IF(A1646="","",'ATP Fills'!G1646)</f>
        <v/>
      </c>
      <c r="G1646" t="str">
        <f>IF(A1646="","",'ATP Fills'!H1646)</f>
        <v/>
      </c>
      <c r="H1646" t="str">
        <f>IF(A1646="","",VLOOKUP(G1646,表3_3[],2,0))</f>
        <v/>
      </c>
      <c r="I1646" t="str">
        <f>IF(A1646="","",VLOOKUP(G1646,表3_3[],3,0))</f>
        <v/>
      </c>
      <c r="J1646" t="str">
        <f>IF(A1646="","",IF('ATP Fills'!I1646="3M","",VLOOKUP(RIGHT('ATP Fills'!I1646,2),Helper1!$O$36:$P$48,2,0)))</f>
        <v/>
      </c>
      <c r="K1646" t="str">
        <f>IF(J1646="","",LEFT('ATP Fills'!I1646,4))</f>
        <v/>
      </c>
      <c r="L1646" t="str">
        <f>IF(A1646="","",IF('ATP Fills'!G1646="LME",'ATP Fills'!I1646,""))</f>
        <v/>
      </c>
      <c r="M1646" t="str">
        <f t="shared" si="25"/>
        <v/>
      </c>
    </row>
    <row r="1647" spans="1:13">
      <c r="A1647" t="str">
        <f>IF('ATP Fills'!A1647="","",IF('ATP Fills'!Q1647="PHILLIPSG",'ATP Fills'!F1647,""))</f>
        <v/>
      </c>
      <c r="B1647" t="str">
        <f>IF(A1647="","",'ATP Fills'!L1647)</f>
        <v/>
      </c>
      <c r="C1647" t="str">
        <f>IF(A1647="","",'ATP Fills'!M1647)</f>
        <v/>
      </c>
      <c r="D1647" t="str">
        <f>IF(A1647="","",'ATP Fills'!B1647)</f>
        <v/>
      </c>
      <c r="E1647" s="3" t="str">
        <f>IF(A1647="","",IF(DATE(LEFT(D1647,4),MID(D1647,5,2),RIGHT(D1647,2))=Helper1!$P$1,Helper1!$P$1,""))</f>
        <v/>
      </c>
      <c r="F1647" s="3" t="str">
        <f>IF(A1647="","",'ATP Fills'!G1647)</f>
        <v/>
      </c>
      <c r="G1647" t="str">
        <f>IF(A1647="","",'ATP Fills'!H1647)</f>
        <v/>
      </c>
      <c r="H1647" t="str">
        <f>IF(A1647="","",VLOOKUP(G1647,表3_3[],2,0))</f>
        <v/>
      </c>
      <c r="I1647" t="str">
        <f>IF(A1647="","",VLOOKUP(G1647,表3_3[],3,0))</f>
        <v/>
      </c>
      <c r="J1647" t="str">
        <f>IF(A1647="","",IF('ATP Fills'!I1647="3M","",VLOOKUP(RIGHT('ATP Fills'!I1647,2),Helper1!$O$36:$P$48,2,0)))</f>
        <v/>
      </c>
      <c r="K1647" t="str">
        <f>IF(J1647="","",LEFT('ATP Fills'!I1647,4))</f>
        <v/>
      </c>
      <c r="L1647" t="str">
        <f>IF(A1647="","",IF('ATP Fills'!G1647="LME",'ATP Fills'!I1647,""))</f>
        <v/>
      </c>
      <c r="M1647" t="str">
        <f t="shared" si="25"/>
        <v/>
      </c>
    </row>
    <row r="1648" spans="1:13">
      <c r="A1648" t="str">
        <f>IF('ATP Fills'!A1648="","",IF('ATP Fills'!Q1648="PHILLIPSG",'ATP Fills'!F1648,""))</f>
        <v/>
      </c>
      <c r="B1648" t="str">
        <f>IF(A1648="","",'ATP Fills'!L1648)</f>
        <v/>
      </c>
      <c r="C1648" t="str">
        <f>IF(A1648="","",'ATP Fills'!M1648)</f>
        <v/>
      </c>
      <c r="D1648" t="str">
        <f>IF(A1648="","",'ATP Fills'!B1648)</f>
        <v/>
      </c>
      <c r="E1648" s="3" t="str">
        <f>IF(A1648="","",IF(DATE(LEFT(D1648,4),MID(D1648,5,2),RIGHT(D1648,2))=Helper1!$P$1,Helper1!$P$1,""))</f>
        <v/>
      </c>
      <c r="F1648" s="3" t="str">
        <f>IF(A1648="","",'ATP Fills'!G1648)</f>
        <v/>
      </c>
      <c r="G1648" t="str">
        <f>IF(A1648="","",'ATP Fills'!H1648)</f>
        <v/>
      </c>
      <c r="H1648" t="str">
        <f>IF(A1648="","",VLOOKUP(G1648,表3_3[],2,0))</f>
        <v/>
      </c>
      <c r="I1648" t="str">
        <f>IF(A1648="","",VLOOKUP(G1648,表3_3[],3,0))</f>
        <v/>
      </c>
      <c r="J1648" t="str">
        <f>IF(A1648="","",IF('ATP Fills'!I1648="3M","",VLOOKUP(RIGHT('ATP Fills'!I1648,2),Helper1!$O$36:$P$48,2,0)))</f>
        <v/>
      </c>
      <c r="K1648" t="str">
        <f>IF(J1648="","",LEFT('ATP Fills'!I1648,4))</f>
        <v/>
      </c>
      <c r="L1648" t="str">
        <f>IF(A1648="","",IF('ATP Fills'!G1648="LME",'ATP Fills'!I1648,""))</f>
        <v/>
      </c>
      <c r="M1648" t="str">
        <f t="shared" si="25"/>
        <v/>
      </c>
    </row>
    <row r="1649" spans="1:13">
      <c r="A1649" t="str">
        <f>IF('ATP Fills'!A1649="","",IF('ATP Fills'!Q1649="PHILLIPSG",'ATP Fills'!F1649,""))</f>
        <v/>
      </c>
      <c r="B1649" t="str">
        <f>IF(A1649="","",'ATP Fills'!L1649)</f>
        <v/>
      </c>
      <c r="C1649" t="str">
        <f>IF(A1649="","",'ATP Fills'!M1649)</f>
        <v/>
      </c>
      <c r="D1649" t="str">
        <f>IF(A1649="","",'ATP Fills'!B1649)</f>
        <v/>
      </c>
      <c r="E1649" s="3" t="str">
        <f>IF(A1649="","",IF(DATE(LEFT(D1649,4),MID(D1649,5,2),RIGHT(D1649,2))=Helper1!$P$1,Helper1!$P$1,""))</f>
        <v/>
      </c>
      <c r="F1649" s="3" t="str">
        <f>IF(A1649="","",'ATP Fills'!G1649)</f>
        <v/>
      </c>
      <c r="G1649" t="str">
        <f>IF(A1649="","",'ATP Fills'!H1649)</f>
        <v/>
      </c>
      <c r="H1649" t="str">
        <f>IF(A1649="","",VLOOKUP(G1649,表3_3[],2,0))</f>
        <v/>
      </c>
      <c r="I1649" t="str">
        <f>IF(A1649="","",VLOOKUP(G1649,表3_3[],3,0))</f>
        <v/>
      </c>
      <c r="J1649" t="str">
        <f>IF(A1649="","",IF('ATP Fills'!I1649="3M","",VLOOKUP(RIGHT('ATP Fills'!I1649,2),Helper1!$O$36:$P$48,2,0)))</f>
        <v/>
      </c>
      <c r="K1649" t="str">
        <f>IF(J1649="","",LEFT('ATP Fills'!I1649,4))</f>
        <v/>
      </c>
      <c r="L1649" t="str">
        <f>IF(A1649="","",IF('ATP Fills'!G1649="LME",'ATP Fills'!I1649,""))</f>
        <v/>
      </c>
      <c r="M1649" t="str">
        <f t="shared" si="25"/>
        <v/>
      </c>
    </row>
    <row r="1650" spans="1:13">
      <c r="A1650" t="str">
        <f>IF('ATP Fills'!A1650="","",IF('ATP Fills'!Q1650="PHILLIPSG",'ATP Fills'!F1650,""))</f>
        <v/>
      </c>
      <c r="B1650" t="str">
        <f>IF(A1650="","",'ATP Fills'!L1650)</f>
        <v/>
      </c>
      <c r="C1650" t="str">
        <f>IF(A1650="","",'ATP Fills'!M1650)</f>
        <v/>
      </c>
      <c r="D1650" t="str">
        <f>IF(A1650="","",'ATP Fills'!B1650)</f>
        <v/>
      </c>
      <c r="E1650" s="3" t="str">
        <f>IF(A1650="","",IF(DATE(LEFT(D1650,4),MID(D1650,5,2),RIGHT(D1650,2))=Helper1!$P$1,Helper1!$P$1,""))</f>
        <v/>
      </c>
      <c r="F1650" s="3" t="str">
        <f>IF(A1650="","",'ATP Fills'!G1650)</f>
        <v/>
      </c>
      <c r="G1650" t="str">
        <f>IF(A1650="","",'ATP Fills'!H1650)</f>
        <v/>
      </c>
      <c r="H1650" t="str">
        <f>IF(A1650="","",VLOOKUP(G1650,表3_3[],2,0))</f>
        <v/>
      </c>
      <c r="I1650" t="str">
        <f>IF(A1650="","",VLOOKUP(G1650,表3_3[],3,0))</f>
        <v/>
      </c>
      <c r="J1650" t="str">
        <f>IF(A1650="","",IF('ATP Fills'!I1650="3M","",VLOOKUP(RIGHT('ATP Fills'!I1650,2),Helper1!$O$36:$P$48,2,0)))</f>
        <v/>
      </c>
      <c r="K1650" t="str">
        <f>IF(J1650="","",LEFT('ATP Fills'!I1650,4))</f>
        <v/>
      </c>
      <c r="L1650" t="str">
        <f>IF(A1650="","",IF('ATP Fills'!G1650="LME",'ATP Fills'!I1650,""))</f>
        <v/>
      </c>
      <c r="M1650" t="str">
        <f t="shared" si="25"/>
        <v/>
      </c>
    </row>
    <row r="1651" spans="1:13">
      <c r="A1651" t="str">
        <f>IF('ATP Fills'!A1651="","",IF('ATP Fills'!Q1651="PHILLIPSG",'ATP Fills'!F1651,""))</f>
        <v/>
      </c>
      <c r="B1651" t="str">
        <f>IF(A1651="","",'ATP Fills'!L1651)</f>
        <v/>
      </c>
      <c r="C1651" t="str">
        <f>IF(A1651="","",'ATP Fills'!M1651)</f>
        <v/>
      </c>
      <c r="D1651" t="str">
        <f>IF(A1651="","",'ATP Fills'!B1651)</f>
        <v/>
      </c>
      <c r="E1651" s="3" t="str">
        <f>IF(A1651="","",IF(DATE(LEFT(D1651,4),MID(D1651,5,2),RIGHT(D1651,2))=Helper1!$P$1,Helper1!$P$1,""))</f>
        <v/>
      </c>
      <c r="F1651" s="3" t="str">
        <f>IF(A1651="","",'ATP Fills'!G1651)</f>
        <v/>
      </c>
      <c r="G1651" t="str">
        <f>IF(A1651="","",'ATP Fills'!H1651)</f>
        <v/>
      </c>
      <c r="H1651" t="str">
        <f>IF(A1651="","",VLOOKUP(G1651,表3_3[],2,0))</f>
        <v/>
      </c>
      <c r="I1651" t="str">
        <f>IF(A1651="","",VLOOKUP(G1651,表3_3[],3,0))</f>
        <v/>
      </c>
      <c r="J1651" t="str">
        <f>IF(A1651="","",IF('ATP Fills'!I1651="3M","",VLOOKUP(RIGHT('ATP Fills'!I1651,2),Helper1!$O$36:$P$48,2,0)))</f>
        <v/>
      </c>
      <c r="K1651" t="str">
        <f>IF(J1651="","",LEFT('ATP Fills'!I1651,4))</f>
        <v/>
      </c>
      <c r="L1651" t="str">
        <f>IF(A1651="","",IF('ATP Fills'!G1651="LME",'ATP Fills'!I1651,""))</f>
        <v/>
      </c>
      <c r="M1651" t="str">
        <f t="shared" si="25"/>
        <v/>
      </c>
    </row>
    <row r="1652" spans="1:13">
      <c r="A1652" t="str">
        <f>IF('ATP Fills'!A1652="","",IF('ATP Fills'!Q1652="PHILLIPSG",'ATP Fills'!F1652,""))</f>
        <v/>
      </c>
      <c r="B1652" t="str">
        <f>IF(A1652="","",'ATP Fills'!L1652)</f>
        <v/>
      </c>
      <c r="C1652" t="str">
        <f>IF(A1652="","",'ATP Fills'!M1652)</f>
        <v/>
      </c>
      <c r="D1652" t="str">
        <f>IF(A1652="","",'ATP Fills'!B1652)</f>
        <v/>
      </c>
      <c r="E1652" s="3" t="str">
        <f>IF(A1652="","",IF(DATE(LEFT(D1652,4),MID(D1652,5,2),RIGHT(D1652,2))=Helper1!$P$1,Helper1!$P$1,""))</f>
        <v/>
      </c>
      <c r="F1652" s="3" t="str">
        <f>IF(A1652="","",'ATP Fills'!G1652)</f>
        <v/>
      </c>
      <c r="G1652" t="str">
        <f>IF(A1652="","",'ATP Fills'!H1652)</f>
        <v/>
      </c>
      <c r="H1652" t="str">
        <f>IF(A1652="","",VLOOKUP(G1652,表3_3[],2,0))</f>
        <v/>
      </c>
      <c r="I1652" t="str">
        <f>IF(A1652="","",VLOOKUP(G1652,表3_3[],3,0))</f>
        <v/>
      </c>
      <c r="J1652" t="str">
        <f>IF(A1652="","",IF('ATP Fills'!I1652="3M","",VLOOKUP(RIGHT('ATP Fills'!I1652,2),Helper1!$O$36:$P$48,2,0)))</f>
        <v/>
      </c>
      <c r="K1652" t="str">
        <f>IF(J1652="","",LEFT('ATP Fills'!I1652,4))</f>
        <v/>
      </c>
      <c r="L1652" t="str">
        <f>IF(A1652="","",IF('ATP Fills'!G1652="LME",'ATP Fills'!I1652,""))</f>
        <v/>
      </c>
      <c r="M1652" t="str">
        <f t="shared" si="25"/>
        <v/>
      </c>
    </row>
    <row r="1653" spans="1:13">
      <c r="A1653" t="str">
        <f>IF('ATP Fills'!A1653="","",IF('ATP Fills'!Q1653="PHILLIPSG",'ATP Fills'!F1653,""))</f>
        <v/>
      </c>
      <c r="B1653" t="str">
        <f>IF(A1653="","",'ATP Fills'!L1653)</f>
        <v/>
      </c>
      <c r="C1653" t="str">
        <f>IF(A1653="","",'ATP Fills'!M1653)</f>
        <v/>
      </c>
      <c r="D1653" t="str">
        <f>IF(A1653="","",'ATP Fills'!B1653)</f>
        <v/>
      </c>
      <c r="E1653" s="3" t="str">
        <f>IF(A1653="","",IF(DATE(LEFT(D1653,4),MID(D1653,5,2),RIGHT(D1653,2))=Helper1!$P$1,Helper1!$P$1,""))</f>
        <v/>
      </c>
      <c r="F1653" s="3" t="str">
        <f>IF(A1653="","",'ATP Fills'!G1653)</f>
        <v/>
      </c>
      <c r="G1653" t="str">
        <f>IF(A1653="","",'ATP Fills'!H1653)</f>
        <v/>
      </c>
      <c r="H1653" t="str">
        <f>IF(A1653="","",VLOOKUP(G1653,表3_3[],2,0))</f>
        <v/>
      </c>
      <c r="I1653" t="str">
        <f>IF(A1653="","",VLOOKUP(G1653,表3_3[],3,0))</f>
        <v/>
      </c>
      <c r="J1653" t="str">
        <f>IF(A1653="","",IF('ATP Fills'!I1653="3M","",VLOOKUP(RIGHT('ATP Fills'!I1653,2),Helper1!$O$36:$P$48,2,0)))</f>
        <v/>
      </c>
      <c r="K1653" t="str">
        <f>IF(J1653="","",LEFT('ATP Fills'!I1653,4))</f>
        <v/>
      </c>
      <c r="L1653" t="str">
        <f>IF(A1653="","",IF('ATP Fills'!G1653="LME",'ATP Fills'!I1653,""))</f>
        <v/>
      </c>
      <c r="M1653" t="str">
        <f t="shared" si="25"/>
        <v/>
      </c>
    </row>
    <row r="1654" spans="1:13">
      <c r="A1654" t="str">
        <f>IF('ATP Fills'!A1654="","",IF('ATP Fills'!Q1654="PHILLIPSG",'ATP Fills'!F1654,""))</f>
        <v/>
      </c>
      <c r="B1654" t="str">
        <f>IF(A1654="","",'ATP Fills'!L1654)</f>
        <v/>
      </c>
      <c r="C1654" t="str">
        <f>IF(A1654="","",'ATP Fills'!M1654)</f>
        <v/>
      </c>
      <c r="D1654" t="str">
        <f>IF(A1654="","",'ATP Fills'!B1654)</f>
        <v/>
      </c>
      <c r="E1654" s="3" t="str">
        <f>IF(A1654="","",IF(DATE(LEFT(D1654,4),MID(D1654,5,2),RIGHT(D1654,2))=Helper1!$P$1,Helper1!$P$1,""))</f>
        <v/>
      </c>
      <c r="F1654" s="3" t="str">
        <f>IF(A1654="","",'ATP Fills'!G1654)</f>
        <v/>
      </c>
      <c r="G1654" t="str">
        <f>IF(A1654="","",'ATP Fills'!H1654)</f>
        <v/>
      </c>
      <c r="H1654" t="str">
        <f>IF(A1654="","",VLOOKUP(G1654,表3_3[],2,0))</f>
        <v/>
      </c>
      <c r="I1654" t="str">
        <f>IF(A1654="","",VLOOKUP(G1654,表3_3[],3,0))</f>
        <v/>
      </c>
      <c r="J1654" t="str">
        <f>IF(A1654="","",IF('ATP Fills'!I1654="3M","",VLOOKUP(RIGHT('ATP Fills'!I1654,2),Helper1!$O$36:$P$48,2,0)))</f>
        <v/>
      </c>
      <c r="K1654" t="str">
        <f>IF(J1654="","",LEFT('ATP Fills'!I1654,4))</f>
        <v/>
      </c>
      <c r="L1654" t="str">
        <f>IF(A1654="","",IF('ATP Fills'!G1654="LME",'ATP Fills'!I1654,""))</f>
        <v/>
      </c>
      <c r="M1654" t="str">
        <f t="shared" si="25"/>
        <v/>
      </c>
    </row>
    <row r="1655" spans="1:13">
      <c r="A1655" t="str">
        <f>IF('ATP Fills'!A1655="","",IF('ATP Fills'!Q1655="PHILLIPSG",'ATP Fills'!F1655,""))</f>
        <v/>
      </c>
      <c r="B1655" t="str">
        <f>IF(A1655="","",'ATP Fills'!L1655)</f>
        <v/>
      </c>
      <c r="C1655" t="str">
        <f>IF(A1655="","",'ATP Fills'!M1655)</f>
        <v/>
      </c>
      <c r="D1655" t="str">
        <f>IF(A1655="","",'ATP Fills'!B1655)</f>
        <v/>
      </c>
      <c r="E1655" s="3" t="str">
        <f>IF(A1655="","",IF(DATE(LEFT(D1655,4),MID(D1655,5,2),RIGHT(D1655,2))=Helper1!$P$1,Helper1!$P$1,""))</f>
        <v/>
      </c>
      <c r="F1655" s="3" t="str">
        <f>IF(A1655="","",'ATP Fills'!G1655)</f>
        <v/>
      </c>
      <c r="G1655" t="str">
        <f>IF(A1655="","",'ATP Fills'!H1655)</f>
        <v/>
      </c>
      <c r="H1655" t="str">
        <f>IF(A1655="","",VLOOKUP(G1655,表3_3[],2,0))</f>
        <v/>
      </c>
      <c r="I1655" t="str">
        <f>IF(A1655="","",VLOOKUP(G1655,表3_3[],3,0))</f>
        <v/>
      </c>
      <c r="J1655" t="str">
        <f>IF(A1655="","",IF('ATP Fills'!I1655="3M","",VLOOKUP(RIGHT('ATP Fills'!I1655,2),Helper1!$O$36:$P$48,2,0)))</f>
        <v/>
      </c>
      <c r="K1655" t="str">
        <f>IF(J1655="","",LEFT('ATP Fills'!I1655,4))</f>
        <v/>
      </c>
      <c r="L1655" t="str">
        <f>IF(A1655="","",IF('ATP Fills'!G1655="LME",'ATP Fills'!I1655,""))</f>
        <v/>
      </c>
      <c r="M1655" t="str">
        <f t="shared" si="25"/>
        <v/>
      </c>
    </row>
    <row r="1656" spans="1:13">
      <c r="A1656" t="str">
        <f>IF('ATP Fills'!A1656="","",IF('ATP Fills'!Q1656="PHILLIPSG",'ATP Fills'!F1656,""))</f>
        <v/>
      </c>
      <c r="B1656" t="str">
        <f>IF(A1656="","",'ATP Fills'!L1656)</f>
        <v/>
      </c>
      <c r="C1656" t="str">
        <f>IF(A1656="","",'ATP Fills'!M1656)</f>
        <v/>
      </c>
      <c r="D1656" t="str">
        <f>IF(A1656="","",'ATP Fills'!B1656)</f>
        <v/>
      </c>
      <c r="E1656" s="3" t="str">
        <f>IF(A1656="","",IF(DATE(LEFT(D1656,4),MID(D1656,5,2),RIGHT(D1656,2))=Helper1!$P$1,Helper1!$P$1,""))</f>
        <v/>
      </c>
      <c r="F1656" s="3" t="str">
        <f>IF(A1656="","",'ATP Fills'!G1656)</f>
        <v/>
      </c>
      <c r="G1656" t="str">
        <f>IF(A1656="","",'ATP Fills'!H1656)</f>
        <v/>
      </c>
      <c r="H1656" t="str">
        <f>IF(A1656="","",VLOOKUP(G1656,表3_3[],2,0))</f>
        <v/>
      </c>
      <c r="I1656" t="str">
        <f>IF(A1656="","",VLOOKUP(G1656,表3_3[],3,0))</f>
        <v/>
      </c>
      <c r="J1656" t="str">
        <f>IF(A1656="","",IF('ATP Fills'!I1656="3M","",VLOOKUP(RIGHT('ATP Fills'!I1656,2),Helper1!$O$36:$P$48,2,0)))</f>
        <v/>
      </c>
      <c r="K1656" t="str">
        <f>IF(J1656="","",LEFT('ATP Fills'!I1656,4))</f>
        <v/>
      </c>
      <c r="L1656" t="str">
        <f>IF(A1656="","",IF('ATP Fills'!G1656="LME",'ATP Fills'!I1656,""))</f>
        <v/>
      </c>
      <c r="M1656" t="str">
        <f t="shared" si="25"/>
        <v/>
      </c>
    </row>
    <row r="1657" spans="1:13">
      <c r="A1657" t="str">
        <f>IF('ATP Fills'!A1657="","",IF('ATP Fills'!Q1657="PHILLIPSG",'ATP Fills'!F1657,""))</f>
        <v/>
      </c>
      <c r="B1657" t="str">
        <f>IF(A1657="","",'ATP Fills'!L1657)</f>
        <v/>
      </c>
      <c r="C1657" t="str">
        <f>IF(A1657="","",'ATP Fills'!M1657)</f>
        <v/>
      </c>
      <c r="D1657" t="str">
        <f>IF(A1657="","",'ATP Fills'!B1657)</f>
        <v/>
      </c>
      <c r="E1657" s="3" t="str">
        <f>IF(A1657="","",IF(DATE(LEFT(D1657,4),MID(D1657,5,2),RIGHT(D1657,2))=Helper1!$P$1,Helper1!$P$1,""))</f>
        <v/>
      </c>
      <c r="F1657" s="3" t="str">
        <f>IF(A1657="","",'ATP Fills'!G1657)</f>
        <v/>
      </c>
      <c r="G1657" t="str">
        <f>IF(A1657="","",'ATP Fills'!H1657)</f>
        <v/>
      </c>
      <c r="H1657" t="str">
        <f>IF(A1657="","",VLOOKUP(G1657,表3_3[],2,0))</f>
        <v/>
      </c>
      <c r="I1657" t="str">
        <f>IF(A1657="","",VLOOKUP(G1657,表3_3[],3,0))</f>
        <v/>
      </c>
      <c r="J1657" t="str">
        <f>IF(A1657="","",IF('ATP Fills'!I1657="3M","",VLOOKUP(RIGHT('ATP Fills'!I1657,2),Helper1!$O$36:$P$48,2,0)))</f>
        <v/>
      </c>
      <c r="K1657" t="str">
        <f>IF(J1657="","",LEFT('ATP Fills'!I1657,4))</f>
        <v/>
      </c>
      <c r="L1657" t="str">
        <f>IF(A1657="","",IF('ATP Fills'!G1657="LME",'ATP Fills'!I1657,""))</f>
        <v/>
      </c>
      <c r="M1657" t="str">
        <f t="shared" si="25"/>
        <v/>
      </c>
    </row>
    <row r="1658" spans="1:13">
      <c r="A1658" t="str">
        <f>IF('ATP Fills'!A1658="","",IF('ATP Fills'!Q1658="PHILLIPSG",'ATP Fills'!F1658,""))</f>
        <v/>
      </c>
      <c r="B1658" t="str">
        <f>IF(A1658="","",'ATP Fills'!L1658)</f>
        <v/>
      </c>
      <c r="C1658" t="str">
        <f>IF(A1658="","",'ATP Fills'!M1658)</f>
        <v/>
      </c>
      <c r="D1658" t="str">
        <f>IF(A1658="","",'ATP Fills'!B1658)</f>
        <v/>
      </c>
      <c r="E1658" s="3" t="str">
        <f>IF(A1658="","",IF(DATE(LEFT(D1658,4),MID(D1658,5,2),RIGHT(D1658,2))=Helper1!$P$1,Helper1!$P$1,""))</f>
        <v/>
      </c>
      <c r="F1658" s="3" t="str">
        <f>IF(A1658="","",'ATP Fills'!G1658)</f>
        <v/>
      </c>
      <c r="G1658" t="str">
        <f>IF(A1658="","",'ATP Fills'!H1658)</f>
        <v/>
      </c>
      <c r="H1658" t="str">
        <f>IF(A1658="","",VLOOKUP(G1658,表3_3[],2,0))</f>
        <v/>
      </c>
      <c r="I1658" t="str">
        <f>IF(A1658="","",VLOOKUP(G1658,表3_3[],3,0))</f>
        <v/>
      </c>
      <c r="J1658" t="str">
        <f>IF(A1658="","",IF('ATP Fills'!I1658="3M","",VLOOKUP(RIGHT('ATP Fills'!I1658,2),Helper1!$O$36:$P$48,2,0)))</f>
        <v/>
      </c>
      <c r="K1658" t="str">
        <f>IF(J1658="","",LEFT('ATP Fills'!I1658,4))</f>
        <v/>
      </c>
      <c r="L1658" t="str">
        <f>IF(A1658="","",IF('ATP Fills'!G1658="LME",'ATP Fills'!I1658,""))</f>
        <v/>
      </c>
      <c r="M1658" t="str">
        <f t="shared" si="25"/>
        <v/>
      </c>
    </row>
    <row r="1659" spans="1:13">
      <c r="A1659" t="str">
        <f>IF('ATP Fills'!A1659="","",IF('ATP Fills'!Q1659="PHILLIPSG",'ATP Fills'!F1659,""))</f>
        <v/>
      </c>
      <c r="B1659" t="str">
        <f>IF(A1659="","",'ATP Fills'!L1659)</f>
        <v/>
      </c>
      <c r="C1659" t="str">
        <f>IF(A1659="","",'ATP Fills'!M1659)</f>
        <v/>
      </c>
      <c r="D1659" t="str">
        <f>IF(A1659="","",'ATP Fills'!B1659)</f>
        <v/>
      </c>
      <c r="E1659" s="3" t="str">
        <f>IF(A1659="","",IF(DATE(LEFT(D1659,4),MID(D1659,5,2),RIGHT(D1659,2))=Helper1!$P$1,Helper1!$P$1,""))</f>
        <v/>
      </c>
      <c r="F1659" s="3" t="str">
        <f>IF(A1659="","",'ATP Fills'!G1659)</f>
        <v/>
      </c>
      <c r="G1659" t="str">
        <f>IF(A1659="","",'ATP Fills'!H1659)</f>
        <v/>
      </c>
      <c r="H1659" t="str">
        <f>IF(A1659="","",VLOOKUP(G1659,表3_3[],2,0))</f>
        <v/>
      </c>
      <c r="I1659" t="str">
        <f>IF(A1659="","",VLOOKUP(G1659,表3_3[],3,0))</f>
        <v/>
      </c>
      <c r="J1659" t="str">
        <f>IF(A1659="","",IF('ATP Fills'!I1659="3M","",VLOOKUP(RIGHT('ATP Fills'!I1659,2),Helper1!$O$36:$P$48,2,0)))</f>
        <v/>
      </c>
      <c r="K1659" t="str">
        <f>IF(J1659="","",LEFT('ATP Fills'!I1659,4))</f>
        <v/>
      </c>
      <c r="L1659" t="str">
        <f>IF(A1659="","",IF('ATP Fills'!G1659="LME",'ATP Fills'!I1659,""))</f>
        <v/>
      </c>
      <c r="M1659" t="str">
        <f t="shared" si="25"/>
        <v/>
      </c>
    </row>
    <row r="1660" spans="1:13">
      <c r="A1660" t="str">
        <f>IF('ATP Fills'!A1660="","",IF('ATP Fills'!Q1660="PHILLIPSG",'ATP Fills'!F1660,""))</f>
        <v/>
      </c>
      <c r="B1660" t="str">
        <f>IF(A1660="","",'ATP Fills'!L1660)</f>
        <v/>
      </c>
      <c r="C1660" t="str">
        <f>IF(A1660="","",'ATP Fills'!M1660)</f>
        <v/>
      </c>
      <c r="D1660" t="str">
        <f>IF(A1660="","",'ATP Fills'!B1660)</f>
        <v/>
      </c>
      <c r="E1660" s="3" t="str">
        <f>IF(A1660="","",IF(DATE(LEFT(D1660,4),MID(D1660,5,2),RIGHT(D1660,2))=Helper1!$P$1,Helper1!$P$1,""))</f>
        <v/>
      </c>
      <c r="F1660" s="3" t="str">
        <f>IF(A1660="","",'ATP Fills'!G1660)</f>
        <v/>
      </c>
      <c r="G1660" t="str">
        <f>IF(A1660="","",'ATP Fills'!H1660)</f>
        <v/>
      </c>
      <c r="H1660" t="str">
        <f>IF(A1660="","",VLOOKUP(G1660,表3_3[],2,0))</f>
        <v/>
      </c>
      <c r="I1660" t="str">
        <f>IF(A1660="","",VLOOKUP(G1660,表3_3[],3,0))</f>
        <v/>
      </c>
      <c r="J1660" t="str">
        <f>IF(A1660="","",IF('ATP Fills'!I1660="3M","",VLOOKUP(RIGHT('ATP Fills'!I1660,2),Helper1!$O$36:$P$48,2,0)))</f>
        <v/>
      </c>
      <c r="K1660" t="str">
        <f>IF(J1660="","",LEFT('ATP Fills'!I1660,4))</f>
        <v/>
      </c>
      <c r="L1660" t="str">
        <f>IF(A1660="","",IF('ATP Fills'!G1660="LME",'ATP Fills'!I1660,""))</f>
        <v/>
      </c>
      <c r="M1660" t="str">
        <f t="shared" si="25"/>
        <v/>
      </c>
    </row>
    <row r="1661" spans="1:13">
      <c r="A1661" t="str">
        <f>IF('ATP Fills'!A1661="","",IF('ATP Fills'!Q1661="PHILLIPSG",'ATP Fills'!F1661,""))</f>
        <v/>
      </c>
      <c r="B1661" t="str">
        <f>IF(A1661="","",'ATP Fills'!L1661)</f>
        <v/>
      </c>
      <c r="C1661" t="str">
        <f>IF(A1661="","",'ATP Fills'!M1661)</f>
        <v/>
      </c>
      <c r="D1661" t="str">
        <f>IF(A1661="","",'ATP Fills'!B1661)</f>
        <v/>
      </c>
      <c r="E1661" s="3" t="str">
        <f>IF(A1661="","",IF(DATE(LEFT(D1661,4),MID(D1661,5,2),RIGHT(D1661,2))=Helper1!$P$1,Helper1!$P$1,""))</f>
        <v/>
      </c>
      <c r="F1661" s="3" t="str">
        <f>IF(A1661="","",'ATP Fills'!G1661)</f>
        <v/>
      </c>
      <c r="G1661" t="str">
        <f>IF(A1661="","",'ATP Fills'!H1661)</f>
        <v/>
      </c>
      <c r="H1661" t="str">
        <f>IF(A1661="","",VLOOKUP(G1661,表3_3[],2,0))</f>
        <v/>
      </c>
      <c r="I1661" t="str">
        <f>IF(A1661="","",VLOOKUP(G1661,表3_3[],3,0))</f>
        <v/>
      </c>
      <c r="J1661" t="str">
        <f>IF(A1661="","",IF('ATP Fills'!I1661="3M","",VLOOKUP(RIGHT('ATP Fills'!I1661,2),Helper1!$O$36:$P$48,2,0)))</f>
        <v/>
      </c>
      <c r="K1661" t="str">
        <f>IF(J1661="","",LEFT('ATP Fills'!I1661,4))</f>
        <v/>
      </c>
      <c r="L1661" t="str">
        <f>IF(A1661="","",IF('ATP Fills'!G1661="LME",'ATP Fills'!I1661,""))</f>
        <v/>
      </c>
      <c r="M1661" t="str">
        <f t="shared" si="25"/>
        <v/>
      </c>
    </row>
    <row r="1662" spans="1:13">
      <c r="A1662" t="str">
        <f>IF('ATP Fills'!A1662="","",IF('ATP Fills'!Q1662="PHILLIPSG",'ATP Fills'!F1662,""))</f>
        <v/>
      </c>
      <c r="B1662" t="str">
        <f>IF(A1662="","",'ATP Fills'!L1662)</f>
        <v/>
      </c>
      <c r="C1662" t="str">
        <f>IF(A1662="","",'ATP Fills'!M1662)</f>
        <v/>
      </c>
      <c r="D1662" t="str">
        <f>IF(A1662="","",'ATP Fills'!B1662)</f>
        <v/>
      </c>
      <c r="E1662" s="3" t="str">
        <f>IF(A1662="","",IF(DATE(LEFT(D1662,4),MID(D1662,5,2),RIGHT(D1662,2))=Helper1!$P$1,Helper1!$P$1,""))</f>
        <v/>
      </c>
      <c r="F1662" s="3" t="str">
        <f>IF(A1662="","",'ATP Fills'!G1662)</f>
        <v/>
      </c>
      <c r="G1662" t="str">
        <f>IF(A1662="","",'ATP Fills'!H1662)</f>
        <v/>
      </c>
      <c r="H1662" t="str">
        <f>IF(A1662="","",VLOOKUP(G1662,表3_3[],2,0))</f>
        <v/>
      </c>
      <c r="I1662" t="str">
        <f>IF(A1662="","",VLOOKUP(G1662,表3_3[],3,0))</f>
        <v/>
      </c>
      <c r="J1662" t="str">
        <f>IF(A1662="","",IF('ATP Fills'!I1662="3M","",VLOOKUP(RIGHT('ATP Fills'!I1662,2),Helper1!$O$36:$P$48,2,0)))</f>
        <v/>
      </c>
      <c r="K1662" t="str">
        <f>IF(J1662="","",LEFT('ATP Fills'!I1662,4))</f>
        <v/>
      </c>
      <c r="L1662" t="str">
        <f>IF(A1662="","",IF('ATP Fills'!G1662="LME",'ATP Fills'!I1662,""))</f>
        <v/>
      </c>
      <c r="M1662" t="str">
        <f t="shared" si="25"/>
        <v/>
      </c>
    </row>
    <row r="1663" spans="1:13">
      <c r="A1663" t="str">
        <f>IF('ATP Fills'!A1663="","",IF('ATP Fills'!Q1663="PHILLIPSG",'ATP Fills'!F1663,""))</f>
        <v/>
      </c>
      <c r="B1663" t="str">
        <f>IF(A1663="","",'ATP Fills'!L1663)</f>
        <v/>
      </c>
      <c r="C1663" t="str">
        <f>IF(A1663="","",'ATP Fills'!M1663)</f>
        <v/>
      </c>
      <c r="D1663" t="str">
        <f>IF(A1663="","",'ATP Fills'!B1663)</f>
        <v/>
      </c>
      <c r="E1663" s="3" t="str">
        <f>IF(A1663="","",IF(DATE(LEFT(D1663,4),MID(D1663,5,2),RIGHT(D1663,2))=Helper1!$P$1,Helper1!$P$1,""))</f>
        <v/>
      </c>
      <c r="F1663" s="3" t="str">
        <f>IF(A1663="","",'ATP Fills'!G1663)</f>
        <v/>
      </c>
      <c r="G1663" t="str">
        <f>IF(A1663="","",'ATP Fills'!H1663)</f>
        <v/>
      </c>
      <c r="H1663" t="str">
        <f>IF(A1663="","",VLOOKUP(G1663,表3_3[],2,0))</f>
        <v/>
      </c>
      <c r="I1663" t="str">
        <f>IF(A1663="","",VLOOKUP(G1663,表3_3[],3,0))</f>
        <v/>
      </c>
      <c r="J1663" t="str">
        <f>IF(A1663="","",IF('ATP Fills'!I1663="3M","",VLOOKUP(RIGHT('ATP Fills'!I1663,2),Helper1!$O$36:$P$48,2,0)))</f>
        <v/>
      </c>
      <c r="K1663" t="str">
        <f>IF(J1663="","",LEFT('ATP Fills'!I1663,4))</f>
        <v/>
      </c>
      <c r="L1663" t="str">
        <f>IF(A1663="","",IF('ATP Fills'!G1663="LME",'ATP Fills'!I1663,""))</f>
        <v/>
      </c>
      <c r="M1663" t="str">
        <f t="shared" si="25"/>
        <v/>
      </c>
    </row>
    <row r="1664" spans="1:13">
      <c r="A1664" t="str">
        <f>IF('ATP Fills'!A1664="","",IF('ATP Fills'!Q1664="PHILLIPSG",'ATP Fills'!F1664,""))</f>
        <v/>
      </c>
      <c r="B1664" t="str">
        <f>IF(A1664="","",'ATP Fills'!L1664)</f>
        <v/>
      </c>
      <c r="C1664" t="str">
        <f>IF(A1664="","",'ATP Fills'!M1664)</f>
        <v/>
      </c>
      <c r="D1664" t="str">
        <f>IF(A1664="","",'ATP Fills'!B1664)</f>
        <v/>
      </c>
      <c r="E1664" s="3" t="str">
        <f>IF(A1664="","",IF(DATE(LEFT(D1664,4),MID(D1664,5,2),RIGHT(D1664,2))=Helper1!$P$1,Helper1!$P$1,""))</f>
        <v/>
      </c>
      <c r="F1664" s="3" t="str">
        <f>IF(A1664="","",'ATP Fills'!G1664)</f>
        <v/>
      </c>
      <c r="G1664" t="str">
        <f>IF(A1664="","",'ATP Fills'!H1664)</f>
        <v/>
      </c>
      <c r="H1664" t="str">
        <f>IF(A1664="","",VLOOKUP(G1664,表3_3[],2,0))</f>
        <v/>
      </c>
      <c r="I1664" t="str">
        <f>IF(A1664="","",VLOOKUP(G1664,表3_3[],3,0))</f>
        <v/>
      </c>
      <c r="J1664" t="str">
        <f>IF(A1664="","",IF('ATP Fills'!I1664="3M","",VLOOKUP(RIGHT('ATP Fills'!I1664,2),Helper1!$O$36:$P$48,2,0)))</f>
        <v/>
      </c>
      <c r="K1664" t="str">
        <f>IF(J1664="","",LEFT('ATP Fills'!I1664,4))</f>
        <v/>
      </c>
      <c r="L1664" t="str">
        <f>IF(A1664="","",IF('ATP Fills'!G1664="LME",'ATP Fills'!I1664,""))</f>
        <v/>
      </c>
      <c r="M1664" t="str">
        <f t="shared" si="25"/>
        <v/>
      </c>
    </row>
    <row r="1665" spans="1:13">
      <c r="A1665" t="str">
        <f>IF('ATP Fills'!A1665="","",IF('ATP Fills'!Q1665="PHILLIPSG",'ATP Fills'!F1665,""))</f>
        <v/>
      </c>
      <c r="B1665" t="str">
        <f>IF(A1665="","",'ATP Fills'!L1665)</f>
        <v/>
      </c>
      <c r="C1665" t="str">
        <f>IF(A1665="","",'ATP Fills'!M1665)</f>
        <v/>
      </c>
      <c r="D1665" t="str">
        <f>IF(A1665="","",'ATP Fills'!B1665)</f>
        <v/>
      </c>
      <c r="E1665" s="3" t="str">
        <f>IF(A1665="","",IF(DATE(LEFT(D1665,4),MID(D1665,5,2),RIGHT(D1665,2))=Helper1!$P$1,Helper1!$P$1,""))</f>
        <v/>
      </c>
      <c r="F1665" s="3" t="str">
        <f>IF(A1665="","",'ATP Fills'!G1665)</f>
        <v/>
      </c>
      <c r="G1665" t="str">
        <f>IF(A1665="","",'ATP Fills'!H1665)</f>
        <v/>
      </c>
      <c r="H1665" t="str">
        <f>IF(A1665="","",VLOOKUP(G1665,表3_3[],2,0))</f>
        <v/>
      </c>
      <c r="I1665" t="str">
        <f>IF(A1665="","",VLOOKUP(G1665,表3_3[],3,0))</f>
        <v/>
      </c>
      <c r="J1665" t="str">
        <f>IF(A1665="","",IF('ATP Fills'!I1665="3M","",VLOOKUP(RIGHT('ATP Fills'!I1665,2),Helper1!$O$36:$P$48,2,0)))</f>
        <v/>
      </c>
      <c r="K1665" t="str">
        <f>IF(J1665="","",LEFT('ATP Fills'!I1665,4))</f>
        <v/>
      </c>
      <c r="L1665" t="str">
        <f>IF(A1665="","",IF('ATP Fills'!G1665="LME",'ATP Fills'!I1665,""))</f>
        <v/>
      </c>
      <c r="M1665" t="str">
        <f t="shared" si="25"/>
        <v/>
      </c>
    </row>
    <row r="1666" spans="1:13">
      <c r="A1666" t="str">
        <f>IF('ATP Fills'!A1666="","",IF('ATP Fills'!Q1666="PHILLIPSG",'ATP Fills'!F1666,""))</f>
        <v/>
      </c>
      <c r="B1666" t="str">
        <f>IF(A1666="","",'ATP Fills'!L1666)</f>
        <v/>
      </c>
      <c r="C1666" t="str">
        <f>IF(A1666="","",'ATP Fills'!M1666)</f>
        <v/>
      </c>
      <c r="D1666" t="str">
        <f>IF(A1666="","",'ATP Fills'!B1666)</f>
        <v/>
      </c>
      <c r="E1666" s="3" t="str">
        <f>IF(A1666="","",IF(DATE(LEFT(D1666,4),MID(D1666,5,2),RIGHT(D1666,2))=Helper1!$P$1,Helper1!$P$1,""))</f>
        <v/>
      </c>
      <c r="F1666" s="3" t="str">
        <f>IF(A1666="","",'ATP Fills'!G1666)</f>
        <v/>
      </c>
      <c r="G1666" t="str">
        <f>IF(A1666="","",'ATP Fills'!H1666)</f>
        <v/>
      </c>
      <c r="H1666" t="str">
        <f>IF(A1666="","",VLOOKUP(G1666,表3_3[],2,0))</f>
        <v/>
      </c>
      <c r="I1666" t="str">
        <f>IF(A1666="","",VLOOKUP(G1666,表3_3[],3,0))</f>
        <v/>
      </c>
      <c r="J1666" t="str">
        <f>IF(A1666="","",IF('ATP Fills'!I1666="3M","",VLOOKUP(RIGHT('ATP Fills'!I1666,2),Helper1!$O$36:$P$48,2,0)))</f>
        <v/>
      </c>
      <c r="K1666" t="str">
        <f>IF(J1666="","",LEFT('ATP Fills'!I1666,4))</f>
        <v/>
      </c>
      <c r="L1666" t="str">
        <f>IF(A1666="","",IF('ATP Fills'!G1666="LME",'ATP Fills'!I1666,""))</f>
        <v/>
      </c>
      <c r="M1666" t="str">
        <f t="shared" si="25"/>
        <v/>
      </c>
    </row>
    <row r="1667" spans="1:13">
      <c r="A1667" t="str">
        <f>IF('ATP Fills'!A1667="","",IF('ATP Fills'!Q1667="PHILLIPSG",'ATP Fills'!F1667,""))</f>
        <v/>
      </c>
      <c r="B1667" t="str">
        <f>IF(A1667="","",'ATP Fills'!L1667)</f>
        <v/>
      </c>
      <c r="C1667" t="str">
        <f>IF(A1667="","",'ATP Fills'!M1667)</f>
        <v/>
      </c>
      <c r="D1667" t="str">
        <f>IF(A1667="","",'ATP Fills'!B1667)</f>
        <v/>
      </c>
      <c r="E1667" s="3" t="str">
        <f>IF(A1667="","",IF(DATE(LEFT(D1667,4),MID(D1667,5,2),RIGHT(D1667,2))=Helper1!$P$1,Helper1!$P$1,""))</f>
        <v/>
      </c>
      <c r="F1667" s="3" t="str">
        <f>IF(A1667="","",'ATP Fills'!G1667)</f>
        <v/>
      </c>
      <c r="G1667" t="str">
        <f>IF(A1667="","",'ATP Fills'!H1667)</f>
        <v/>
      </c>
      <c r="H1667" t="str">
        <f>IF(A1667="","",VLOOKUP(G1667,表3_3[],2,0))</f>
        <v/>
      </c>
      <c r="I1667" t="str">
        <f>IF(A1667="","",VLOOKUP(G1667,表3_3[],3,0))</f>
        <v/>
      </c>
      <c r="J1667" t="str">
        <f>IF(A1667="","",IF('ATP Fills'!I1667="3M","",VLOOKUP(RIGHT('ATP Fills'!I1667,2),Helper1!$O$36:$P$48,2,0)))</f>
        <v/>
      </c>
      <c r="K1667" t="str">
        <f>IF(J1667="","",LEFT('ATP Fills'!I1667,4))</f>
        <v/>
      </c>
      <c r="L1667" t="str">
        <f>IF(A1667="","",IF('ATP Fills'!G1667="LME",'ATP Fills'!I1667,""))</f>
        <v/>
      </c>
      <c r="M1667" t="str">
        <f t="shared" ref="M1667:M1730" si="26">IF(A1667="","",IF(F1667="LME",F1667&amp;"-"&amp;I1667&amp;"-"&amp;L1667,J1667&amp;"-"&amp;K1667&amp;"-"&amp;I1667))</f>
        <v/>
      </c>
    </row>
    <row r="1668" spans="1:13">
      <c r="A1668" t="str">
        <f>IF('ATP Fills'!A1668="","",IF('ATP Fills'!Q1668="PHILLIPSG",'ATP Fills'!F1668,""))</f>
        <v/>
      </c>
      <c r="B1668" t="str">
        <f>IF(A1668="","",'ATP Fills'!L1668)</f>
        <v/>
      </c>
      <c r="C1668" t="str">
        <f>IF(A1668="","",'ATP Fills'!M1668)</f>
        <v/>
      </c>
      <c r="D1668" t="str">
        <f>IF(A1668="","",'ATP Fills'!B1668)</f>
        <v/>
      </c>
      <c r="E1668" s="3" t="str">
        <f>IF(A1668="","",IF(DATE(LEFT(D1668,4),MID(D1668,5,2),RIGHT(D1668,2))=Helper1!$P$1,Helper1!$P$1,""))</f>
        <v/>
      </c>
      <c r="F1668" s="3" t="str">
        <f>IF(A1668="","",'ATP Fills'!G1668)</f>
        <v/>
      </c>
      <c r="G1668" t="str">
        <f>IF(A1668="","",'ATP Fills'!H1668)</f>
        <v/>
      </c>
      <c r="H1668" t="str">
        <f>IF(A1668="","",VLOOKUP(G1668,表3_3[],2,0))</f>
        <v/>
      </c>
      <c r="I1668" t="str">
        <f>IF(A1668="","",VLOOKUP(G1668,表3_3[],3,0))</f>
        <v/>
      </c>
      <c r="J1668" t="str">
        <f>IF(A1668="","",IF('ATP Fills'!I1668="3M","",VLOOKUP(RIGHT('ATP Fills'!I1668,2),Helper1!$O$36:$P$48,2,0)))</f>
        <v/>
      </c>
      <c r="K1668" t="str">
        <f>IF(J1668="","",LEFT('ATP Fills'!I1668,4))</f>
        <v/>
      </c>
      <c r="L1668" t="str">
        <f>IF(A1668="","",IF('ATP Fills'!G1668="LME",'ATP Fills'!I1668,""))</f>
        <v/>
      </c>
      <c r="M1668" t="str">
        <f t="shared" si="26"/>
        <v/>
      </c>
    </row>
    <row r="1669" spans="1:13">
      <c r="A1669" t="str">
        <f>IF('ATP Fills'!A1669="","",IF('ATP Fills'!Q1669="PHILLIPSG",'ATP Fills'!F1669,""))</f>
        <v/>
      </c>
      <c r="B1669" t="str">
        <f>IF(A1669="","",'ATP Fills'!L1669)</f>
        <v/>
      </c>
      <c r="C1669" t="str">
        <f>IF(A1669="","",'ATP Fills'!M1669)</f>
        <v/>
      </c>
      <c r="D1669" t="str">
        <f>IF(A1669="","",'ATP Fills'!B1669)</f>
        <v/>
      </c>
      <c r="E1669" s="3" t="str">
        <f>IF(A1669="","",IF(DATE(LEFT(D1669,4),MID(D1669,5,2),RIGHT(D1669,2))=Helper1!$P$1,Helper1!$P$1,""))</f>
        <v/>
      </c>
      <c r="F1669" s="3" t="str">
        <f>IF(A1669="","",'ATP Fills'!G1669)</f>
        <v/>
      </c>
      <c r="G1669" t="str">
        <f>IF(A1669="","",'ATP Fills'!H1669)</f>
        <v/>
      </c>
      <c r="H1669" t="str">
        <f>IF(A1669="","",VLOOKUP(G1669,表3_3[],2,0))</f>
        <v/>
      </c>
      <c r="I1669" t="str">
        <f>IF(A1669="","",VLOOKUP(G1669,表3_3[],3,0))</f>
        <v/>
      </c>
      <c r="J1669" t="str">
        <f>IF(A1669="","",IF('ATP Fills'!I1669="3M","",VLOOKUP(RIGHT('ATP Fills'!I1669,2),Helper1!$O$36:$P$48,2,0)))</f>
        <v/>
      </c>
      <c r="K1669" t="str">
        <f>IF(J1669="","",LEFT('ATP Fills'!I1669,4))</f>
        <v/>
      </c>
      <c r="L1669" t="str">
        <f>IF(A1669="","",IF('ATP Fills'!G1669="LME",'ATP Fills'!I1669,""))</f>
        <v/>
      </c>
      <c r="M1669" t="str">
        <f t="shared" si="26"/>
        <v/>
      </c>
    </row>
    <row r="1670" spans="1:13">
      <c r="A1670" t="str">
        <f>IF('ATP Fills'!A1670="","",IF('ATP Fills'!Q1670="PHILLIPSG",'ATP Fills'!F1670,""))</f>
        <v/>
      </c>
      <c r="B1670" t="str">
        <f>IF(A1670="","",'ATP Fills'!L1670)</f>
        <v/>
      </c>
      <c r="C1670" t="str">
        <f>IF(A1670="","",'ATP Fills'!M1670)</f>
        <v/>
      </c>
      <c r="D1670" t="str">
        <f>IF(A1670="","",'ATP Fills'!B1670)</f>
        <v/>
      </c>
      <c r="E1670" s="3" t="str">
        <f>IF(A1670="","",IF(DATE(LEFT(D1670,4),MID(D1670,5,2),RIGHT(D1670,2))=Helper1!$P$1,Helper1!$P$1,""))</f>
        <v/>
      </c>
      <c r="F1670" s="3" t="str">
        <f>IF(A1670="","",'ATP Fills'!G1670)</f>
        <v/>
      </c>
      <c r="G1670" t="str">
        <f>IF(A1670="","",'ATP Fills'!H1670)</f>
        <v/>
      </c>
      <c r="H1670" t="str">
        <f>IF(A1670="","",VLOOKUP(G1670,表3_3[],2,0))</f>
        <v/>
      </c>
      <c r="I1670" t="str">
        <f>IF(A1670="","",VLOOKUP(G1670,表3_3[],3,0))</f>
        <v/>
      </c>
      <c r="J1670" t="str">
        <f>IF(A1670="","",IF('ATP Fills'!I1670="3M","",VLOOKUP(RIGHT('ATP Fills'!I1670,2),Helper1!$O$36:$P$48,2,0)))</f>
        <v/>
      </c>
      <c r="K1670" t="str">
        <f>IF(J1670="","",LEFT('ATP Fills'!I1670,4))</f>
        <v/>
      </c>
      <c r="L1670" t="str">
        <f>IF(A1670="","",IF('ATP Fills'!G1670="LME",'ATP Fills'!I1670,""))</f>
        <v/>
      </c>
      <c r="M1670" t="str">
        <f t="shared" si="26"/>
        <v/>
      </c>
    </row>
    <row r="1671" spans="1:13">
      <c r="A1671" t="str">
        <f>IF('ATP Fills'!A1671="","",IF('ATP Fills'!Q1671="PHILLIPSG",'ATP Fills'!F1671,""))</f>
        <v/>
      </c>
      <c r="B1671" t="str">
        <f>IF(A1671="","",'ATP Fills'!L1671)</f>
        <v/>
      </c>
      <c r="C1671" t="str">
        <f>IF(A1671="","",'ATP Fills'!M1671)</f>
        <v/>
      </c>
      <c r="D1671" t="str">
        <f>IF(A1671="","",'ATP Fills'!B1671)</f>
        <v/>
      </c>
      <c r="E1671" s="3" t="str">
        <f>IF(A1671="","",IF(DATE(LEFT(D1671,4),MID(D1671,5,2),RIGHT(D1671,2))=Helper1!$P$1,Helper1!$P$1,""))</f>
        <v/>
      </c>
      <c r="F1671" s="3" t="str">
        <f>IF(A1671="","",'ATP Fills'!G1671)</f>
        <v/>
      </c>
      <c r="G1671" t="str">
        <f>IF(A1671="","",'ATP Fills'!H1671)</f>
        <v/>
      </c>
      <c r="H1671" t="str">
        <f>IF(A1671="","",VLOOKUP(G1671,表3_3[],2,0))</f>
        <v/>
      </c>
      <c r="I1671" t="str">
        <f>IF(A1671="","",VLOOKUP(G1671,表3_3[],3,0))</f>
        <v/>
      </c>
      <c r="J1671" t="str">
        <f>IF(A1671="","",IF('ATP Fills'!I1671="3M","",VLOOKUP(RIGHT('ATP Fills'!I1671,2),Helper1!$O$36:$P$48,2,0)))</f>
        <v/>
      </c>
      <c r="K1671" t="str">
        <f>IF(J1671="","",LEFT('ATP Fills'!I1671,4))</f>
        <v/>
      </c>
      <c r="L1671" t="str">
        <f>IF(A1671="","",IF('ATP Fills'!G1671="LME",'ATP Fills'!I1671,""))</f>
        <v/>
      </c>
      <c r="M1671" t="str">
        <f t="shared" si="26"/>
        <v/>
      </c>
    </row>
    <row r="1672" spans="1:13">
      <c r="A1672" t="str">
        <f>IF('ATP Fills'!A1672="","",IF('ATP Fills'!Q1672="PHILLIPSG",'ATP Fills'!F1672,""))</f>
        <v/>
      </c>
      <c r="B1672" t="str">
        <f>IF(A1672="","",'ATP Fills'!L1672)</f>
        <v/>
      </c>
      <c r="C1672" t="str">
        <f>IF(A1672="","",'ATP Fills'!M1672)</f>
        <v/>
      </c>
      <c r="D1672" t="str">
        <f>IF(A1672="","",'ATP Fills'!B1672)</f>
        <v/>
      </c>
      <c r="E1672" s="3" t="str">
        <f>IF(A1672="","",IF(DATE(LEFT(D1672,4),MID(D1672,5,2),RIGHT(D1672,2))=Helper1!$P$1,Helper1!$P$1,""))</f>
        <v/>
      </c>
      <c r="F1672" s="3" t="str">
        <f>IF(A1672="","",'ATP Fills'!G1672)</f>
        <v/>
      </c>
      <c r="G1672" t="str">
        <f>IF(A1672="","",'ATP Fills'!H1672)</f>
        <v/>
      </c>
      <c r="H1672" t="str">
        <f>IF(A1672="","",VLOOKUP(G1672,表3_3[],2,0))</f>
        <v/>
      </c>
      <c r="I1672" t="str">
        <f>IF(A1672="","",VLOOKUP(G1672,表3_3[],3,0))</f>
        <v/>
      </c>
      <c r="J1672" t="str">
        <f>IF(A1672="","",IF('ATP Fills'!I1672="3M","",VLOOKUP(RIGHT('ATP Fills'!I1672,2),Helper1!$O$36:$P$48,2,0)))</f>
        <v/>
      </c>
      <c r="K1672" t="str">
        <f>IF(J1672="","",LEFT('ATP Fills'!I1672,4))</f>
        <v/>
      </c>
      <c r="L1672" t="str">
        <f>IF(A1672="","",IF('ATP Fills'!G1672="LME",'ATP Fills'!I1672,""))</f>
        <v/>
      </c>
      <c r="M1672" t="str">
        <f t="shared" si="26"/>
        <v/>
      </c>
    </row>
    <row r="1673" spans="1:13">
      <c r="A1673" t="str">
        <f>IF('ATP Fills'!A1673="","",IF('ATP Fills'!Q1673="PHILLIPSG",'ATP Fills'!F1673,""))</f>
        <v/>
      </c>
      <c r="B1673" t="str">
        <f>IF(A1673="","",'ATP Fills'!L1673)</f>
        <v/>
      </c>
      <c r="C1673" t="str">
        <f>IF(A1673="","",'ATP Fills'!M1673)</f>
        <v/>
      </c>
      <c r="D1673" t="str">
        <f>IF(A1673="","",'ATP Fills'!B1673)</f>
        <v/>
      </c>
      <c r="E1673" s="3" t="str">
        <f>IF(A1673="","",IF(DATE(LEFT(D1673,4),MID(D1673,5,2),RIGHT(D1673,2))=Helper1!$P$1,Helper1!$P$1,""))</f>
        <v/>
      </c>
      <c r="F1673" s="3" t="str">
        <f>IF(A1673="","",'ATP Fills'!G1673)</f>
        <v/>
      </c>
      <c r="G1673" t="str">
        <f>IF(A1673="","",'ATP Fills'!H1673)</f>
        <v/>
      </c>
      <c r="H1673" t="str">
        <f>IF(A1673="","",VLOOKUP(G1673,表3_3[],2,0))</f>
        <v/>
      </c>
      <c r="I1673" t="str">
        <f>IF(A1673="","",VLOOKUP(G1673,表3_3[],3,0))</f>
        <v/>
      </c>
      <c r="J1673" t="str">
        <f>IF(A1673="","",IF('ATP Fills'!I1673="3M","",VLOOKUP(RIGHT('ATP Fills'!I1673,2),Helper1!$O$36:$P$48,2,0)))</f>
        <v/>
      </c>
      <c r="K1673" t="str">
        <f>IF(J1673="","",LEFT('ATP Fills'!I1673,4))</f>
        <v/>
      </c>
      <c r="L1673" t="str">
        <f>IF(A1673="","",IF('ATP Fills'!G1673="LME",'ATP Fills'!I1673,""))</f>
        <v/>
      </c>
      <c r="M1673" t="str">
        <f t="shared" si="26"/>
        <v/>
      </c>
    </row>
    <row r="1674" spans="1:13">
      <c r="A1674" t="str">
        <f>IF('ATP Fills'!A1674="","",IF('ATP Fills'!Q1674="PHILLIPSG",'ATP Fills'!F1674,""))</f>
        <v/>
      </c>
      <c r="B1674" t="str">
        <f>IF(A1674="","",'ATP Fills'!L1674)</f>
        <v/>
      </c>
      <c r="C1674" t="str">
        <f>IF(A1674="","",'ATP Fills'!M1674)</f>
        <v/>
      </c>
      <c r="D1674" t="str">
        <f>IF(A1674="","",'ATP Fills'!B1674)</f>
        <v/>
      </c>
      <c r="E1674" s="3" t="str">
        <f>IF(A1674="","",IF(DATE(LEFT(D1674,4),MID(D1674,5,2),RIGHT(D1674,2))=Helper1!$P$1,Helper1!$P$1,""))</f>
        <v/>
      </c>
      <c r="F1674" s="3" t="str">
        <f>IF(A1674="","",'ATP Fills'!G1674)</f>
        <v/>
      </c>
      <c r="G1674" t="str">
        <f>IF(A1674="","",'ATP Fills'!H1674)</f>
        <v/>
      </c>
      <c r="H1674" t="str">
        <f>IF(A1674="","",VLOOKUP(G1674,表3_3[],2,0))</f>
        <v/>
      </c>
      <c r="I1674" t="str">
        <f>IF(A1674="","",VLOOKUP(G1674,表3_3[],3,0))</f>
        <v/>
      </c>
      <c r="J1674" t="str">
        <f>IF(A1674="","",IF('ATP Fills'!I1674="3M","",VLOOKUP(RIGHT('ATP Fills'!I1674,2),Helper1!$O$36:$P$48,2,0)))</f>
        <v/>
      </c>
      <c r="K1674" t="str">
        <f>IF(J1674="","",LEFT('ATP Fills'!I1674,4))</f>
        <v/>
      </c>
      <c r="L1674" t="str">
        <f>IF(A1674="","",IF('ATP Fills'!G1674="LME",'ATP Fills'!I1674,""))</f>
        <v/>
      </c>
      <c r="M1674" t="str">
        <f t="shared" si="26"/>
        <v/>
      </c>
    </row>
    <row r="1675" spans="1:13">
      <c r="A1675" t="str">
        <f>IF('ATP Fills'!A1675="","",IF('ATP Fills'!Q1675="PHILLIPSG",'ATP Fills'!F1675,""))</f>
        <v/>
      </c>
      <c r="B1675" t="str">
        <f>IF(A1675="","",'ATP Fills'!L1675)</f>
        <v/>
      </c>
      <c r="C1675" t="str">
        <f>IF(A1675="","",'ATP Fills'!M1675)</f>
        <v/>
      </c>
      <c r="D1675" t="str">
        <f>IF(A1675="","",'ATP Fills'!B1675)</f>
        <v/>
      </c>
      <c r="E1675" s="3" t="str">
        <f>IF(A1675="","",IF(DATE(LEFT(D1675,4),MID(D1675,5,2),RIGHT(D1675,2))=Helper1!$P$1,Helper1!$P$1,""))</f>
        <v/>
      </c>
      <c r="F1675" s="3" t="str">
        <f>IF(A1675="","",'ATP Fills'!G1675)</f>
        <v/>
      </c>
      <c r="G1675" t="str">
        <f>IF(A1675="","",'ATP Fills'!H1675)</f>
        <v/>
      </c>
      <c r="H1675" t="str">
        <f>IF(A1675="","",VLOOKUP(G1675,表3_3[],2,0))</f>
        <v/>
      </c>
      <c r="I1675" t="str">
        <f>IF(A1675="","",VLOOKUP(G1675,表3_3[],3,0))</f>
        <v/>
      </c>
      <c r="J1675" t="str">
        <f>IF(A1675="","",IF('ATP Fills'!I1675="3M","",VLOOKUP(RIGHT('ATP Fills'!I1675,2),Helper1!$O$36:$P$48,2,0)))</f>
        <v/>
      </c>
      <c r="K1675" t="str">
        <f>IF(J1675="","",LEFT('ATP Fills'!I1675,4))</f>
        <v/>
      </c>
      <c r="L1675" t="str">
        <f>IF(A1675="","",IF('ATP Fills'!G1675="LME",'ATP Fills'!I1675,""))</f>
        <v/>
      </c>
      <c r="M1675" t="str">
        <f t="shared" si="26"/>
        <v/>
      </c>
    </row>
    <row r="1676" spans="1:13">
      <c r="A1676" t="str">
        <f>IF('ATP Fills'!A1676="","",IF('ATP Fills'!Q1676="PHILLIPSG",'ATP Fills'!F1676,""))</f>
        <v/>
      </c>
      <c r="B1676" t="str">
        <f>IF(A1676="","",'ATP Fills'!L1676)</f>
        <v/>
      </c>
      <c r="C1676" t="str">
        <f>IF(A1676="","",'ATP Fills'!M1676)</f>
        <v/>
      </c>
      <c r="D1676" t="str">
        <f>IF(A1676="","",'ATP Fills'!B1676)</f>
        <v/>
      </c>
      <c r="E1676" s="3" t="str">
        <f>IF(A1676="","",IF(DATE(LEFT(D1676,4),MID(D1676,5,2),RIGHT(D1676,2))=Helper1!$P$1,Helper1!$P$1,""))</f>
        <v/>
      </c>
      <c r="F1676" s="3" t="str">
        <f>IF(A1676="","",'ATP Fills'!G1676)</f>
        <v/>
      </c>
      <c r="G1676" t="str">
        <f>IF(A1676="","",'ATP Fills'!H1676)</f>
        <v/>
      </c>
      <c r="H1676" t="str">
        <f>IF(A1676="","",VLOOKUP(G1676,表3_3[],2,0))</f>
        <v/>
      </c>
      <c r="I1676" t="str">
        <f>IF(A1676="","",VLOOKUP(G1676,表3_3[],3,0))</f>
        <v/>
      </c>
      <c r="J1676" t="str">
        <f>IF(A1676="","",IF('ATP Fills'!I1676="3M","",VLOOKUP(RIGHT('ATP Fills'!I1676,2),Helper1!$O$36:$P$48,2,0)))</f>
        <v/>
      </c>
      <c r="K1676" t="str">
        <f>IF(J1676="","",LEFT('ATP Fills'!I1676,4))</f>
        <v/>
      </c>
      <c r="L1676" t="str">
        <f>IF(A1676="","",IF('ATP Fills'!G1676="LME",'ATP Fills'!I1676,""))</f>
        <v/>
      </c>
      <c r="M1676" t="str">
        <f t="shared" si="26"/>
        <v/>
      </c>
    </row>
    <row r="1677" spans="1:13">
      <c r="A1677" t="str">
        <f>IF('ATP Fills'!A1677="","",IF('ATP Fills'!Q1677="PHILLIPSG",'ATP Fills'!F1677,""))</f>
        <v/>
      </c>
      <c r="B1677" t="str">
        <f>IF(A1677="","",'ATP Fills'!L1677)</f>
        <v/>
      </c>
      <c r="C1677" t="str">
        <f>IF(A1677="","",'ATP Fills'!M1677)</f>
        <v/>
      </c>
      <c r="D1677" t="str">
        <f>IF(A1677="","",'ATP Fills'!B1677)</f>
        <v/>
      </c>
      <c r="E1677" s="3" t="str">
        <f>IF(A1677="","",IF(DATE(LEFT(D1677,4),MID(D1677,5,2),RIGHT(D1677,2))=Helper1!$P$1,Helper1!$P$1,""))</f>
        <v/>
      </c>
      <c r="F1677" s="3" t="str">
        <f>IF(A1677="","",'ATP Fills'!G1677)</f>
        <v/>
      </c>
      <c r="G1677" t="str">
        <f>IF(A1677="","",'ATP Fills'!H1677)</f>
        <v/>
      </c>
      <c r="H1677" t="str">
        <f>IF(A1677="","",VLOOKUP(G1677,表3_3[],2,0))</f>
        <v/>
      </c>
      <c r="I1677" t="str">
        <f>IF(A1677="","",VLOOKUP(G1677,表3_3[],3,0))</f>
        <v/>
      </c>
      <c r="J1677" t="str">
        <f>IF(A1677="","",IF('ATP Fills'!I1677="3M","",VLOOKUP(RIGHT('ATP Fills'!I1677,2),Helper1!$O$36:$P$48,2,0)))</f>
        <v/>
      </c>
      <c r="K1677" t="str">
        <f>IF(J1677="","",LEFT('ATP Fills'!I1677,4))</f>
        <v/>
      </c>
      <c r="L1677" t="str">
        <f>IF(A1677="","",IF('ATP Fills'!G1677="LME",'ATP Fills'!I1677,""))</f>
        <v/>
      </c>
      <c r="M1677" t="str">
        <f t="shared" si="26"/>
        <v/>
      </c>
    </row>
    <row r="1678" spans="1:13">
      <c r="A1678" t="str">
        <f>IF('ATP Fills'!A1678="","",IF('ATP Fills'!Q1678="PHILLIPSG",'ATP Fills'!F1678,""))</f>
        <v/>
      </c>
      <c r="B1678" t="str">
        <f>IF(A1678="","",'ATP Fills'!L1678)</f>
        <v/>
      </c>
      <c r="C1678" t="str">
        <f>IF(A1678="","",'ATP Fills'!M1678)</f>
        <v/>
      </c>
      <c r="D1678" t="str">
        <f>IF(A1678="","",'ATP Fills'!B1678)</f>
        <v/>
      </c>
      <c r="E1678" s="3" t="str">
        <f>IF(A1678="","",IF(DATE(LEFT(D1678,4),MID(D1678,5,2),RIGHT(D1678,2))=Helper1!$P$1,Helper1!$P$1,""))</f>
        <v/>
      </c>
      <c r="F1678" s="3" t="str">
        <f>IF(A1678="","",'ATP Fills'!G1678)</f>
        <v/>
      </c>
      <c r="G1678" t="str">
        <f>IF(A1678="","",'ATP Fills'!H1678)</f>
        <v/>
      </c>
      <c r="H1678" t="str">
        <f>IF(A1678="","",VLOOKUP(G1678,表3_3[],2,0))</f>
        <v/>
      </c>
      <c r="I1678" t="str">
        <f>IF(A1678="","",VLOOKUP(G1678,表3_3[],3,0))</f>
        <v/>
      </c>
      <c r="J1678" t="str">
        <f>IF(A1678="","",IF('ATP Fills'!I1678="3M","",VLOOKUP(RIGHT('ATP Fills'!I1678,2),Helper1!$O$36:$P$48,2,0)))</f>
        <v/>
      </c>
      <c r="K1678" t="str">
        <f>IF(J1678="","",LEFT('ATP Fills'!I1678,4))</f>
        <v/>
      </c>
      <c r="L1678" t="str">
        <f>IF(A1678="","",IF('ATP Fills'!G1678="LME",'ATP Fills'!I1678,""))</f>
        <v/>
      </c>
      <c r="M1678" t="str">
        <f t="shared" si="26"/>
        <v/>
      </c>
    </row>
    <row r="1679" spans="1:13">
      <c r="A1679" t="str">
        <f>IF('ATP Fills'!A1679="","",IF('ATP Fills'!Q1679="PHILLIPSG",'ATP Fills'!F1679,""))</f>
        <v/>
      </c>
      <c r="B1679" t="str">
        <f>IF(A1679="","",'ATP Fills'!L1679)</f>
        <v/>
      </c>
      <c r="C1679" t="str">
        <f>IF(A1679="","",'ATP Fills'!M1679)</f>
        <v/>
      </c>
      <c r="D1679" t="str">
        <f>IF(A1679="","",'ATP Fills'!B1679)</f>
        <v/>
      </c>
      <c r="E1679" s="3" t="str">
        <f>IF(A1679="","",IF(DATE(LEFT(D1679,4),MID(D1679,5,2),RIGHT(D1679,2))=Helper1!$P$1,Helper1!$P$1,""))</f>
        <v/>
      </c>
      <c r="F1679" s="3" t="str">
        <f>IF(A1679="","",'ATP Fills'!G1679)</f>
        <v/>
      </c>
      <c r="G1679" t="str">
        <f>IF(A1679="","",'ATP Fills'!H1679)</f>
        <v/>
      </c>
      <c r="H1679" t="str">
        <f>IF(A1679="","",VLOOKUP(G1679,表3_3[],2,0))</f>
        <v/>
      </c>
      <c r="I1679" t="str">
        <f>IF(A1679="","",VLOOKUP(G1679,表3_3[],3,0))</f>
        <v/>
      </c>
      <c r="J1679" t="str">
        <f>IF(A1679="","",IF('ATP Fills'!I1679="3M","",VLOOKUP(RIGHT('ATP Fills'!I1679,2),Helper1!$O$36:$P$48,2,0)))</f>
        <v/>
      </c>
      <c r="K1679" t="str">
        <f>IF(J1679="","",LEFT('ATP Fills'!I1679,4))</f>
        <v/>
      </c>
      <c r="L1679" t="str">
        <f>IF(A1679="","",IF('ATP Fills'!G1679="LME",'ATP Fills'!I1679,""))</f>
        <v/>
      </c>
      <c r="M1679" t="str">
        <f t="shared" si="26"/>
        <v/>
      </c>
    </row>
    <row r="1680" spans="1:13">
      <c r="A1680" t="str">
        <f>IF('ATP Fills'!A1680="","",IF('ATP Fills'!Q1680="PHILLIPSG",'ATP Fills'!F1680,""))</f>
        <v/>
      </c>
      <c r="B1680" t="str">
        <f>IF(A1680="","",'ATP Fills'!L1680)</f>
        <v/>
      </c>
      <c r="C1680" t="str">
        <f>IF(A1680="","",'ATP Fills'!M1680)</f>
        <v/>
      </c>
      <c r="D1680" t="str">
        <f>IF(A1680="","",'ATP Fills'!B1680)</f>
        <v/>
      </c>
      <c r="E1680" s="3" t="str">
        <f>IF(A1680="","",IF(DATE(LEFT(D1680,4),MID(D1680,5,2),RIGHT(D1680,2))=Helper1!$P$1,Helper1!$P$1,""))</f>
        <v/>
      </c>
      <c r="F1680" s="3" t="str">
        <f>IF(A1680="","",'ATP Fills'!G1680)</f>
        <v/>
      </c>
      <c r="G1680" t="str">
        <f>IF(A1680="","",'ATP Fills'!H1680)</f>
        <v/>
      </c>
      <c r="H1680" t="str">
        <f>IF(A1680="","",VLOOKUP(G1680,表3_3[],2,0))</f>
        <v/>
      </c>
      <c r="I1680" t="str">
        <f>IF(A1680="","",VLOOKUP(G1680,表3_3[],3,0))</f>
        <v/>
      </c>
      <c r="J1680" t="str">
        <f>IF(A1680="","",IF('ATP Fills'!I1680="3M","",VLOOKUP(RIGHT('ATP Fills'!I1680,2),Helper1!$O$36:$P$48,2,0)))</f>
        <v/>
      </c>
      <c r="K1680" t="str">
        <f>IF(J1680="","",LEFT('ATP Fills'!I1680,4))</f>
        <v/>
      </c>
      <c r="L1680" t="str">
        <f>IF(A1680="","",IF('ATP Fills'!G1680="LME",'ATP Fills'!I1680,""))</f>
        <v/>
      </c>
      <c r="M1680" t="str">
        <f t="shared" si="26"/>
        <v/>
      </c>
    </row>
    <row r="1681" spans="1:13">
      <c r="A1681" t="str">
        <f>IF('ATP Fills'!A1681="","",IF('ATP Fills'!Q1681="PHILLIPSG",'ATP Fills'!F1681,""))</f>
        <v/>
      </c>
      <c r="B1681" t="str">
        <f>IF(A1681="","",'ATP Fills'!L1681)</f>
        <v/>
      </c>
      <c r="C1681" t="str">
        <f>IF(A1681="","",'ATP Fills'!M1681)</f>
        <v/>
      </c>
      <c r="D1681" t="str">
        <f>IF(A1681="","",'ATP Fills'!B1681)</f>
        <v/>
      </c>
      <c r="E1681" s="3" t="str">
        <f>IF(A1681="","",IF(DATE(LEFT(D1681,4),MID(D1681,5,2),RIGHT(D1681,2))=Helper1!$P$1,Helper1!$P$1,""))</f>
        <v/>
      </c>
      <c r="F1681" s="3" t="str">
        <f>IF(A1681="","",'ATP Fills'!G1681)</f>
        <v/>
      </c>
      <c r="G1681" t="str">
        <f>IF(A1681="","",'ATP Fills'!H1681)</f>
        <v/>
      </c>
      <c r="H1681" t="str">
        <f>IF(A1681="","",VLOOKUP(G1681,表3_3[],2,0))</f>
        <v/>
      </c>
      <c r="I1681" t="str">
        <f>IF(A1681="","",VLOOKUP(G1681,表3_3[],3,0))</f>
        <v/>
      </c>
      <c r="J1681" t="str">
        <f>IF(A1681="","",IF('ATP Fills'!I1681="3M","",VLOOKUP(RIGHT('ATP Fills'!I1681,2),Helper1!$O$36:$P$48,2,0)))</f>
        <v/>
      </c>
      <c r="K1681" t="str">
        <f>IF(J1681="","",LEFT('ATP Fills'!I1681,4))</f>
        <v/>
      </c>
      <c r="L1681" t="str">
        <f>IF(A1681="","",IF('ATP Fills'!G1681="LME",'ATP Fills'!I1681,""))</f>
        <v/>
      </c>
      <c r="M1681" t="str">
        <f t="shared" si="26"/>
        <v/>
      </c>
    </row>
    <row r="1682" spans="1:13">
      <c r="A1682" t="str">
        <f>IF('ATP Fills'!A1682="","",IF('ATP Fills'!Q1682="PHILLIPSG",'ATP Fills'!F1682,""))</f>
        <v/>
      </c>
      <c r="B1682" t="str">
        <f>IF(A1682="","",'ATP Fills'!L1682)</f>
        <v/>
      </c>
      <c r="C1682" t="str">
        <f>IF(A1682="","",'ATP Fills'!M1682)</f>
        <v/>
      </c>
      <c r="D1682" t="str">
        <f>IF(A1682="","",'ATP Fills'!B1682)</f>
        <v/>
      </c>
      <c r="E1682" s="3" t="str">
        <f>IF(A1682="","",IF(DATE(LEFT(D1682,4),MID(D1682,5,2),RIGHT(D1682,2))=Helper1!$P$1,Helper1!$P$1,""))</f>
        <v/>
      </c>
      <c r="F1682" s="3" t="str">
        <f>IF(A1682="","",'ATP Fills'!G1682)</f>
        <v/>
      </c>
      <c r="G1682" t="str">
        <f>IF(A1682="","",'ATP Fills'!H1682)</f>
        <v/>
      </c>
      <c r="H1682" t="str">
        <f>IF(A1682="","",VLOOKUP(G1682,表3_3[],2,0))</f>
        <v/>
      </c>
      <c r="I1682" t="str">
        <f>IF(A1682="","",VLOOKUP(G1682,表3_3[],3,0))</f>
        <v/>
      </c>
      <c r="J1682" t="str">
        <f>IF(A1682="","",IF('ATP Fills'!I1682="3M","",VLOOKUP(RIGHT('ATP Fills'!I1682,2),Helper1!$O$36:$P$48,2,0)))</f>
        <v/>
      </c>
      <c r="K1682" t="str">
        <f>IF(J1682="","",LEFT('ATP Fills'!I1682,4))</f>
        <v/>
      </c>
      <c r="L1682" t="str">
        <f>IF(A1682="","",IF('ATP Fills'!G1682="LME",'ATP Fills'!I1682,""))</f>
        <v/>
      </c>
      <c r="M1682" t="str">
        <f t="shared" si="26"/>
        <v/>
      </c>
    </row>
    <row r="1683" spans="1:13">
      <c r="A1683" t="str">
        <f>IF('ATP Fills'!A1683="","",IF('ATP Fills'!Q1683="PHILLIPSG",'ATP Fills'!F1683,""))</f>
        <v/>
      </c>
      <c r="B1683" t="str">
        <f>IF(A1683="","",'ATP Fills'!L1683)</f>
        <v/>
      </c>
      <c r="C1683" t="str">
        <f>IF(A1683="","",'ATP Fills'!M1683)</f>
        <v/>
      </c>
      <c r="D1683" t="str">
        <f>IF(A1683="","",'ATP Fills'!B1683)</f>
        <v/>
      </c>
      <c r="E1683" s="3" t="str">
        <f>IF(A1683="","",IF(DATE(LEFT(D1683,4),MID(D1683,5,2),RIGHT(D1683,2))=Helper1!$P$1,Helper1!$P$1,""))</f>
        <v/>
      </c>
      <c r="F1683" s="3" t="str">
        <f>IF(A1683="","",'ATP Fills'!G1683)</f>
        <v/>
      </c>
      <c r="G1683" t="str">
        <f>IF(A1683="","",'ATP Fills'!H1683)</f>
        <v/>
      </c>
      <c r="H1683" t="str">
        <f>IF(A1683="","",VLOOKUP(G1683,表3_3[],2,0))</f>
        <v/>
      </c>
      <c r="I1683" t="str">
        <f>IF(A1683="","",VLOOKUP(G1683,表3_3[],3,0))</f>
        <v/>
      </c>
      <c r="J1683" t="str">
        <f>IF(A1683="","",IF('ATP Fills'!I1683="3M","",VLOOKUP(RIGHT('ATP Fills'!I1683,2),Helper1!$O$36:$P$48,2,0)))</f>
        <v/>
      </c>
      <c r="K1683" t="str">
        <f>IF(J1683="","",LEFT('ATP Fills'!I1683,4))</f>
        <v/>
      </c>
      <c r="L1683" t="str">
        <f>IF(A1683="","",IF('ATP Fills'!G1683="LME",'ATP Fills'!I1683,""))</f>
        <v/>
      </c>
      <c r="M1683" t="str">
        <f t="shared" si="26"/>
        <v/>
      </c>
    </row>
    <row r="1684" spans="1:13">
      <c r="A1684" t="str">
        <f>IF('ATP Fills'!A1684="","",IF('ATP Fills'!Q1684="PHILLIPSG",'ATP Fills'!F1684,""))</f>
        <v/>
      </c>
      <c r="B1684" t="str">
        <f>IF(A1684="","",'ATP Fills'!L1684)</f>
        <v/>
      </c>
      <c r="C1684" t="str">
        <f>IF(A1684="","",'ATP Fills'!M1684)</f>
        <v/>
      </c>
      <c r="D1684" t="str">
        <f>IF(A1684="","",'ATP Fills'!B1684)</f>
        <v/>
      </c>
      <c r="E1684" s="3" t="str">
        <f>IF(A1684="","",IF(DATE(LEFT(D1684,4),MID(D1684,5,2),RIGHT(D1684,2))=Helper1!$P$1,Helper1!$P$1,""))</f>
        <v/>
      </c>
      <c r="F1684" s="3" t="str">
        <f>IF(A1684="","",'ATP Fills'!G1684)</f>
        <v/>
      </c>
      <c r="G1684" t="str">
        <f>IF(A1684="","",'ATP Fills'!H1684)</f>
        <v/>
      </c>
      <c r="H1684" t="str">
        <f>IF(A1684="","",VLOOKUP(G1684,表3_3[],2,0))</f>
        <v/>
      </c>
      <c r="I1684" t="str">
        <f>IF(A1684="","",VLOOKUP(G1684,表3_3[],3,0))</f>
        <v/>
      </c>
      <c r="J1684" t="str">
        <f>IF(A1684="","",IF('ATP Fills'!I1684="3M","",VLOOKUP(RIGHT('ATP Fills'!I1684,2),Helper1!$O$36:$P$48,2,0)))</f>
        <v/>
      </c>
      <c r="K1684" t="str">
        <f>IF(J1684="","",LEFT('ATP Fills'!I1684,4))</f>
        <v/>
      </c>
      <c r="L1684" t="str">
        <f>IF(A1684="","",IF('ATP Fills'!G1684="LME",'ATP Fills'!I1684,""))</f>
        <v/>
      </c>
      <c r="M1684" t="str">
        <f t="shared" si="26"/>
        <v/>
      </c>
    </row>
    <row r="1685" spans="1:13">
      <c r="A1685" t="str">
        <f>IF('ATP Fills'!A1685="","",IF('ATP Fills'!Q1685="PHILLIPSG",'ATP Fills'!F1685,""))</f>
        <v/>
      </c>
      <c r="B1685" t="str">
        <f>IF(A1685="","",'ATP Fills'!L1685)</f>
        <v/>
      </c>
      <c r="C1685" t="str">
        <f>IF(A1685="","",'ATP Fills'!M1685)</f>
        <v/>
      </c>
      <c r="D1685" t="str">
        <f>IF(A1685="","",'ATP Fills'!B1685)</f>
        <v/>
      </c>
      <c r="E1685" s="3" t="str">
        <f>IF(A1685="","",IF(DATE(LEFT(D1685,4),MID(D1685,5,2),RIGHT(D1685,2))=Helper1!$P$1,Helper1!$P$1,""))</f>
        <v/>
      </c>
      <c r="F1685" s="3" t="str">
        <f>IF(A1685="","",'ATP Fills'!G1685)</f>
        <v/>
      </c>
      <c r="G1685" t="str">
        <f>IF(A1685="","",'ATP Fills'!H1685)</f>
        <v/>
      </c>
      <c r="H1685" t="str">
        <f>IF(A1685="","",VLOOKUP(G1685,表3_3[],2,0))</f>
        <v/>
      </c>
      <c r="I1685" t="str">
        <f>IF(A1685="","",VLOOKUP(G1685,表3_3[],3,0))</f>
        <v/>
      </c>
      <c r="J1685" t="str">
        <f>IF(A1685="","",IF('ATP Fills'!I1685="3M","",VLOOKUP(RIGHT('ATP Fills'!I1685,2),Helper1!$O$36:$P$48,2,0)))</f>
        <v/>
      </c>
      <c r="K1685" t="str">
        <f>IF(J1685="","",LEFT('ATP Fills'!I1685,4))</f>
        <v/>
      </c>
      <c r="L1685" t="str">
        <f>IF(A1685="","",IF('ATP Fills'!G1685="LME",'ATP Fills'!I1685,""))</f>
        <v/>
      </c>
      <c r="M1685" t="str">
        <f t="shared" si="26"/>
        <v/>
      </c>
    </row>
    <row r="1686" spans="1:13">
      <c r="A1686" t="str">
        <f>IF('ATP Fills'!A1686="","",IF('ATP Fills'!Q1686="PHILLIPSG",'ATP Fills'!F1686,""))</f>
        <v/>
      </c>
      <c r="B1686" t="str">
        <f>IF(A1686="","",'ATP Fills'!L1686)</f>
        <v/>
      </c>
      <c r="C1686" t="str">
        <f>IF(A1686="","",'ATP Fills'!M1686)</f>
        <v/>
      </c>
      <c r="D1686" t="str">
        <f>IF(A1686="","",'ATP Fills'!B1686)</f>
        <v/>
      </c>
      <c r="E1686" s="3" t="str">
        <f>IF(A1686="","",IF(DATE(LEFT(D1686,4),MID(D1686,5,2),RIGHT(D1686,2))=Helper1!$P$1,Helper1!$P$1,""))</f>
        <v/>
      </c>
      <c r="F1686" s="3" t="str">
        <f>IF(A1686="","",'ATP Fills'!G1686)</f>
        <v/>
      </c>
      <c r="G1686" t="str">
        <f>IF(A1686="","",'ATP Fills'!H1686)</f>
        <v/>
      </c>
      <c r="H1686" t="str">
        <f>IF(A1686="","",VLOOKUP(G1686,表3_3[],2,0))</f>
        <v/>
      </c>
      <c r="I1686" t="str">
        <f>IF(A1686="","",VLOOKUP(G1686,表3_3[],3,0))</f>
        <v/>
      </c>
      <c r="J1686" t="str">
        <f>IF(A1686="","",IF('ATP Fills'!I1686="3M","",VLOOKUP(RIGHT('ATP Fills'!I1686,2),Helper1!$O$36:$P$48,2,0)))</f>
        <v/>
      </c>
      <c r="K1686" t="str">
        <f>IF(J1686="","",LEFT('ATP Fills'!I1686,4))</f>
        <v/>
      </c>
      <c r="L1686" t="str">
        <f>IF(A1686="","",IF('ATP Fills'!G1686="LME",'ATP Fills'!I1686,""))</f>
        <v/>
      </c>
      <c r="M1686" t="str">
        <f t="shared" si="26"/>
        <v/>
      </c>
    </row>
    <row r="1687" spans="1:13">
      <c r="A1687" t="str">
        <f>IF('ATP Fills'!A1687="","",IF('ATP Fills'!Q1687="PHILLIPSG",'ATP Fills'!F1687,""))</f>
        <v/>
      </c>
      <c r="B1687" t="str">
        <f>IF(A1687="","",'ATP Fills'!L1687)</f>
        <v/>
      </c>
      <c r="C1687" t="str">
        <f>IF(A1687="","",'ATP Fills'!M1687)</f>
        <v/>
      </c>
      <c r="D1687" t="str">
        <f>IF(A1687="","",'ATP Fills'!B1687)</f>
        <v/>
      </c>
      <c r="E1687" s="3" t="str">
        <f>IF(A1687="","",IF(DATE(LEFT(D1687,4),MID(D1687,5,2),RIGHT(D1687,2))=Helper1!$P$1,Helper1!$P$1,""))</f>
        <v/>
      </c>
      <c r="F1687" s="3" t="str">
        <f>IF(A1687="","",'ATP Fills'!G1687)</f>
        <v/>
      </c>
      <c r="G1687" t="str">
        <f>IF(A1687="","",'ATP Fills'!H1687)</f>
        <v/>
      </c>
      <c r="H1687" t="str">
        <f>IF(A1687="","",VLOOKUP(G1687,表3_3[],2,0))</f>
        <v/>
      </c>
      <c r="I1687" t="str">
        <f>IF(A1687="","",VLOOKUP(G1687,表3_3[],3,0))</f>
        <v/>
      </c>
      <c r="J1687" t="str">
        <f>IF(A1687="","",IF('ATP Fills'!I1687="3M","",VLOOKUP(RIGHT('ATP Fills'!I1687,2),Helper1!$O$36:$P$48,2,0)))</f>
        <v/>
      </c>
      <c r="K1687" t="str">
        <f>IF(J1687="","",LEFT('ATP Fills'!I1687,4))</f>
        <v/>
      </c>
      <c r="L1687" t="str">
        <f>IF(A1687="","",IF('ATP Fills'!G1687="LME",'ATP Fills'!I1687,""))</f>
        <v/>
      </c>
      <c r="M1687" t="str">
        <f t="shared" si="26"/>
        <v/>
      </c>
    </row>
    <row r="1688" spans="1:13">
      <c r="A1688" t="str">
        <f>IF('ATP Fills'!A1688="","",IF('ATP Fills'!Q1688="PHILLIPSG",'ATP Fills'!F1688,""))</f>
        <v/>
      </c>
      <c r="B1688" t="str">
        <f>IF(A1688="","",'ATP Fills'!L1688)</f>
        <v/>
      </c>
      <c r="C1688" t="str">
        <f>IF(A1688="","",'ATP Fills'!M1688)</f>
        <v/>
      </c>
      <c r="D1688" t="str">
        <f>IF(A1688="","",'ATP Fills'!B1688)</f>
        <v/>
      </c>
      <c r="E1688" s="3" t="str">
        <f>IF(A1688="","",IF(DATE(LEFT(D1688,4),MID(D1688,5,2),RIGHT(D1688,2))=Helper1!$P$1,Helper1!$P$1,""))</f>
        <v/>
      </c>
      <c r="F1688" s="3" t="str">
        <f>IF(A1688="","",'ATP Fills'!G1688)</f>
        <v/>
      </c>
      <c r="G1688" t="str">
        <f>IF(A1688="","",'ATP Fills'!H1688)</f>
        <v/>
      </c>
      <c r="H1688" t="str">
        <f>IF(A1688="","",VLOOKUP(G1688,表3_3[],2,0))</f>
        <v/>
      </c>
      <c r="I1688" t="str">
        <f>IF(A1688="","",VLOOKUP(G1688,表3_3[],3,0))</f>
        <v/>
      </c>
      <c r="J1688" t="str">
        <f>IF(A1688="","",IF('ATP Fills'!I1688="3M","",VLOOKUP(RIGHT('ATP Fills'!I1688,2),Helper1!$O$36:$P$48,2,0)))</f>
        <v/>
      </c>
      <c r="K1688" t="str">
        <f>IF(J1688="","",LEFT('ATP Fills'!I1688,4))</f>
        <v/>
      </c>
      <c r="L1688" t="str">
        <f>IF(A1688="","",IF('ATP Fills'!G1688="LME",'ATP Fills'!I1688,""))</f>
        <v/>
      </c>
      <c r="M1688" t="str">
        <f t="shared" si="26"/>
        <v/>
      </c>
    </row>
    <row r="1689" spans="1:13">
      <c r="A1689" t="str">
        <f>IF('ATP Fills'!A1689="","",IF('ATP Fills'!Q1689="PHILLIPSG",'ATP Fills'!F1689,""))</f>
        <v/>
      </c>
      <c r="B1689" t="str">
        <f>IF(A1689="","",'ATP Fills'!L1689)</f>
        <v/>
      </c>
      <c r="C1689" t="str">
        <f>IF(A1689="","",'ATP Fills'!M1689)</f>
        <v/>
      </c>
      <c r="D1689" t="str">
        <f>IF(A1689="","",'ATP Fills'!B1689)</f>
        <v/>
      </c>
      <c r="E1689" s="3" t="str">
        <f>IF(A1689="","",IF(DATE(LEFT(D1689,4),MID(D1689,5,2),RIGHT(D1689,2))=Helper1!$P$1,Helper1!$P$1,""))</f>
        <v/>
      </c>
      <c r="F1689" s="3" t="str">
        <f>IF(A1689="","",'ATP Fills'!G1689)</f>
        <v/>
      </c>
      <c r="G1689" t="str">
        <f>IF(A1689="","",'ATP Fills'!H1689)</f>
        <v/>
      </c>
      <c r="H1689" t="str">
        <f>IF(A1689="","",VLOOKUP(G1689,表3_3[],2,0))</f>
        <v/>
      </c>
      <c r="I1689" t="str">
        <f>IF(A1689="","",VLOOKUP(G1689,表3_3[],3,0))</f>
        <v/>
      </c>
      <c r="J1689" t="str">
        <f>IF(A1689="","",IF('ATP Fills'!I1689="3M","",VLOOKUP(RIGHT('ATP Fills'!I1689,2),Helper1!$O$36:$P$48,2,0)))</f>
        <v/>
      </c>
      <c r="K1689" t="str">
        <f>IF(J1689="","",LEFT('ATP Fills'!I1689,4))</f>
        <v/>
      </c>
      <c r="L1689" t="str">
        <f>IF(A1689="","",IF('ATP Fills'!G1689="LME",'ATP Fills'!I1689,""))</f>
        <v/>
      </c>
      <c r="M1689" t="str">
        <f t="shared" si="26"/>
        <v/>
      </c>
    </row>
    <row r="1690" spans="1:13">
      <c r="A1690" t="str">
        <f>IF('ATP Fills'!A1690="","",IF('ATP Fills'!Q1690="PHILLIPSG",'ATP Fills'!F1690,""))</f>
        <v/>
      </c>
      <c r="B1690" t="str">
        <f>IF(A1690="","",'ATP Fills'!L1690)</f>
        <v/>
      </c>
      <c r="C1690" t="str">
        <f>IF(A1690="","",'ATP Fills'!M1690)</f>
        <v/>
      </c>
      <c r="D1690" t="str">
        <f>IF(A1690="","",'ATP Fills'!B1690)</f>
        <v/>
      </c>
      <c r="E1690" s="3" t="str">
        <f>IF(A1690="","",IF(DATE(LEFT(D1690,4),MID(D1690,5,2),RIGHT(D1690,2))=Helper1!$P$1,Helper1!$P$1,""))</f>
        <v/>
      </c>
      <c r="F1690" s="3" t="str">
        <f>IF(A1690="","",'ATP Fills'!G1690)</f>
        <v/>
      </c>
      <c r="G1690" t="str">
        <f>IF(A1690="","",'ATP Fills'!H1690)</f>
        <v/>
      </c>
      <c r="H1690" t="str">
        <f>IF(A1690="","",VLOOKUP(G1690,表3_3[],2,0))</f>
        <v/>
      </c>
      <c r="I1690" t="str">
        <f>IF(A1690="","",VLOOKUP(G1690,表3_3[],3,0))</f>
        <v/>
      </c>
      <c r="J1690" t="str">
        <f>IF(A1690="","",IF('ATP Fills'!I1690="3M","",VLOOKUP(RIGHT('ATP Fills'!I1690,2),Helper1!$O$36:$P$48,2,0)))</f>
        <v/>
      </c>
      <c r="K1690" t="str">
        <f>IF(J1690="","",LEFT('ATP Fills'!I1690,4))</f>
        <v/>
      </c>
      <c r="L1690" t="str">
        <f>IF(A1690="","",IF('ATP Fills'!G1690="LME",'ATP Fills'!I1690,""))</f>
        <v/>
      </c>
      <c r="M1690" t="str">
        <f t="shared" si="26"/>
        <v/>
      </c>
    </row>
    <row r="1691" spans="1:13">
      <c r="A1691" t="str">
        <f>IF('ATP Fills'!A1691="","",IF('ATP Fills'!Q1691="PHILLIPSG",'ATP Fills'!F1691,""))</f>
        <v/>
      </c>
      <c r="B1691" t="str">
        <f>IF(A1691="","",'ATP Fills'!L1691)</f>
        <v/>
      </c>
      <c r="C1691" t="str">
        <f>IF(A1691="","",'ATP Fills'!M1691)</f>
        <v/>
      </c>
      <c r="D1691" t="str">
        <f>IF(A1691="","",'ATP Fills'!B1691)</f>
        <v/>
      </c>
      <c r="E1691" s="3" t="str">
        <f>IF(A1691="","",IF(DATE(LEFT(D1691,4),MID(D1691,5,2),RIGHT(D1691,2))=Helper1!$P$1,Helper1!$P$1,""))</f>
        <v/>
      </c>
      <c r="F1691" s="3" t="str">
        <f>IF(A1691="","",'ATP Fills'!G1691)</f>
        <v/>
      </c>
      <c r="G1691" t="str">
        <f>IF(A1691="","",'ATP Fills'!H1691)</f>
        <v/>
      </c>
      <c r="H1691" t="str">
        <f>IF(A1691="","",VLOOKUP(G1691,表3_3[],2,0))</f>
        <v/>
      </c>
      <c r="I1691" t="str">
        <f>IF(A1691="","",VLOOKUP(G1691,表3_3[],3,0))</f>
        <v/>
      </c>
      <c r="J1691" t="str">
        <f>IF(A1691="","",IF('ATP Fills'!I1691="3M","",VLOOKUP(RIGHT('ATP Fills'!I1691,2),Helper1!$O$36:$P$48,2,0)))</f>
        <v/>
      </c>
      <c r="K1691" t="str">
        <f>IF(J1691="","",LEFT('ATP Fills'!I1691,4))</f>
        <v/>
      </c>
      <c r="L1691" t="str">
        <f>IF(A1691="","",IF('ATP Fills'!G1691="LME",'ATP Fills'!I1691,""))</f>
        <v/>
      </c>
      <c r="M1691" t="str">
        <f t="shared" si="26"/>
        <v/>
      </c>
    </row>
    <row r="1692" spans="1:13">
      <c r="A1692" t="str">
        <f>IF('ATP Fills'!A1692="","",IF('ATP Fills'!Q1692="PHILLIPSG",'ATP Fills'!F1692,""))</f>
        <v/>
      </c>
      <c r="B1692" t="str">
        <f>IF(A1692="","",'ATP Fills'!L1692)</f>
        <v/>
      </c>
      <c r="C1692" t="str">
        <f>IF(A1692="","",'ATP Fills'!M1692)</f>
        <v/>
      </c>
      <c r="D1692" t="str">
        <f>IF(A1692="","",'ATP Fills'!B1692)</f>
        <v/>
      </c>
      <c r="E1692" s="3" t="str">
        <f>IF(A1692="","",IF(DATE(LEFT(D1692,4),MID(D1692,5,2),RIGHT(D1692,2))=Helper1!$P$1,Helper1!$P$1,""))</f>
        <v/>
      </c>
      <c r="F1692" s="3" t="str">
        <f>IF(A1692="","",'ATP Fills'!G1692)</f>
        <v/>
      </c>
      <c r="G1692" t="str">
        <f>IF(A1692="","",'ATP Fills'!H1692)</f>
        <v/>
      </c>
      <c r="H1692" t="str">
        <f>IF(A1692="","",VLOOKUP(G1692,表3_3[],2,0))</f>
        <v/>
      </c>
      <c r="I1692" t="str">
        <f>IF(A1692="","",VLOOKUP(G1692,表3_3[],3,0))</f>
        <v/>
      </c>
      <c r="J1692" t="str">
        <f>IF(A1692="","",IF('ATP Fills'!I1692="3M","",VLOOKUP(RIGHT('ATP Fills'!I1692,2),Helper1!$O$36:$P$48,2,0)))</f>
        <v/>
      </c>
      <c r="K1692" t="str">
        <f>IF(J1692="","",LEFT('ATP Fills'!I1692,4))</f>
        <v/>
      </c>
      <c r="L1692" t="str">
        <f>IF(A1692="","",IF('ATP Fills'!G1692="LME",'ATP Fills'!I1692,""))</f>
        <v/>
      </c>
      <c r="M1692" t="str">
        <f t="shared" si="26"/>
        <v/>
      </c>
    </row>
    <row r="1693" spans="1:13">
      <c r="A1693" t="str">
        <f>IF('ATP Fills'!A1693="","",IF('ATP Fills'!Q1693="PHILLIPSG",'ATP Fills'!F1693,""))</f>
        <v/>
      </c>
      <c r="B1693" t="str">
        <f>IF(A1693="","",'ATP Fills'!L1693)</f>
        <v/>
      </c>
      <c r="C1693" t="str">
        <f>IF(A1693="","",'ATP Fills'!M1693)</f>
        <v/>
      </c>
      <c r="D1693" t="str">
        <f>IF(A1693="","",'ATP Fills'!B1693)</f>
        <v/>
      </c>
      <c r="E1693" s="3" t="str">
        <f>IF(A1693="","",IF(DATE(LEFT(D1693,4),MID(D1693,5,2),RIGHT(D1693,2))=Helper1!$P$1,Helper1!$P$1,""))</f>
        <v/>
      </c>
      <c r="F1693" s="3" t="str">
        <f>IF(A1693="","",'ATP Fills'!G1693)</f>
        <v/>
      </c>
      <c r="G1693" t="str">
        <f>IF(A1693="","",'ATP Fills'!H1693)</f>
        <v/>
      </c>
      <c r="H1693" t="str">
        <f>IF(A1693="","",VLOOKUP(G1693,表3_3[],2,0))</f>
        <v/>
      </c>
      <c r="I1693" t="str">
        <f>IF(A1693="","",VLOOKUP(G1693,表3_3[],3,0))</f>
        <v/>
      </c>
      <c r="J1693" t="str">
        <f>IF(A1693="","",IF('ATP Fills'!I1693="3M","",VLOOKUP(RIGHT('ATP Fills'!I1693,2),Helper1!$O$36:$P$48,2,0)))</f>
        <v/>
      </c>
      <c r="K1693" t="str">
        <f>IF(J1693="","",LEFT('ATP Fills'!I1693,4))</f>
        <v/>
      </c>
      <c r="L1693" t="str">
        <f>IF(A1693="","",IF('ATP Fills'!G1693="LME",'ATP Fills'!I1693,""))</f>
        <v/>
      </c>
      <c r="M1693" t="str">
        <f t="shared" si="26"/>
        <v/>
      </c>
    </row>
    <row r="1694" spans="1:13">
      <c r="A1694" t="str">
        <f>IF('ATP Fills'!A1694="","",IF('ATP Fills'!Q1694="PHILLIPSG",'ATP Fills'!F1694,""))</f>
        <v/>
      </c>
      <c r="B1694" t="str">
        <f>IF(A1694="","",'ATP Fills'!L1694)</f>
        <v/>
      </c>
      <c r="C1694" t="str">
        <f>IF(A1694="","",'ATP Fills'!M1694)</f>
        <v/>
      </c>
      <c r="D1694" t="str">
        <f>IF(A1694="","",'ATP Fills'!B1694)</f>
        <v/>
      </c>
      <c r="E1694" s="3" t="str">
        <f>IF(A1694="","",IF(DATE(LEFT(D1694,4),MID(D1694,5,2),RIGHT(D1694,2))=Helper1!$P$1,Helper1!$P$1,""))</f>
        <v/>
      </c>
      <c r="F1694" s="3" t="str">
        <f>IF(A1694="","",'ATP Fills'!G1694)</f>
        <v/>
      </c>
      <c r="G1694" t="str">
        <f>IF(A1694="","",'ATP Fills'!H1694)</f>
        <v/>
      </c>
      <c r="H1694" t="str">
        <f>IF(A1694="","",VLOOKUP(G1694,表3_3[],2,0))</f>
        <v/>
      </c>
      <c r="I1694" t="str">
        <f>IF(A1694="","",VLOOKUP(G1694,表3_3[],3,0))</f>
        <v/>
      </c>
      <c r="J1694" t="str">
        <f>IF(A1694="","",IF('ATP Fills'!I1694="3M","",VLOOKUP(RIGHT('ATP Fills'!I1694,2),Helper1!$O$36:$P$48,2,0)))</f>
        <v/>
      </c>
      <c r="K1694" t="str">
        <f>IF(J1694="","",LEFT('ATP Fills'!I1694,4))</f>
        <v/>
      </c>
      <c r="L1694" t="str">
        <f>IF(A1694="","",IF('ATP Fills'!G1694="LME",'ATP Fills'!I1694,""))</f>
        <v/>
      </c>
      <c r="M1694" t="str">
        <f t="shared" si="26"/>
        <v/>
      </c>
    </row>
    <row r="1695" spans="1:13">
      <c r="A1695" t="str">
        <f>IF('ATP Fills'!A1695="","",IF('ATP Fills'!Q1695="PHILLIPSG",'ATP Fills'!F1695,""))</f>
        <v/>
      </c>
      <c r="B1695" t="str">
        <f>IF(A1695="","",'ATP Fills'!L1695)</f>
        <v/>
      </c>
      <c r="C1695" t="str">
        <f>IF(A1695="","",'ATP Fills'!M1695)</f>
        <v/>
      </c>
      <c r="D1695" t="str">
        <f>IF(A1695="","",'ATP Fills'!B1695)</f>
        <v/>
      </c>
      <c r="E1695" s="3" t="str">
        <f>IF(A1695="","",IF(DATE(LEFT(D1695,4),MID(D1695,5,2),RIGHT(D1695,2))=Helper1!$P$1,Helper1!$P$1,""))</f>
        <v/>
      </c>
      <c r="F1695" s="3" t="str">
        <f>IF(A1695="","",'ATP Fills'!G1695)</f>
        <v/>
      </c>
      <c r="G1695" t="str">
        <f>IF(A1695="","",'ATP Fills'!H1695)</f>
        <v/>
      </c>
      <c r="H1695" t="str">
        <f>IF(A1695="","",VLOOKUP(G1695,表3_3[],2,0))</f>
        <v/>
      </c>
      <c r="I1695" t="str">
        <f>IF(A1695="","",VLOOKUP(G1695,表3_3[],3,0))</f>
        <v/>
      </c>
      <c r="J1695" t="str">
        <f>IF(A1695="","",IF('ATP Fills'!I1695="3M","",VLOOKUP(RIGHT('ATP Fills'!I1695,2),Helper1!$O$36:$P$48,2,0)))</f>
        <v/>
      </c>
      <c r="K1695" t="str">
        <f>IF(J1695="","",LEFT('ATP Fills'!I1695,4))</f>
        <v/>
      </c>
      <c r="L1695" t="str">
        <f>IF(A1695="","",IF('ATP Fills'!G1695="LME",'ATP Fills'!I1695,""))</f>
        <v/>
      </c>
      <c r="M1695" t="str">
        <f t="shared" si="26"/>
        <v/>
      </c>
    </row>
    <row r="1696" spans="1:13">
      <c r="A1696" t="str">
        <f>IF('ATP Fills'!A1696="","",IF('ATP Fills'!Q1696="PHILLIPSG",'ATP Fills'!F1696,""))</f>
        <v/>
      </c>
      <c r="B1696" t="str">
        <f>IF(A1696="","",'ATP Fills'!L1696)</f>
        <v/>
      </c>
      <c r="C1696" t="str">
        <f>IF(A1696="","",'ATP Fills'!M1696)</f>
        <v/>
      </c>
      <c r="D1696" t="str">
        <f>IF(A1696="","",'ATP Fills'!B1696)</f>
        <v/>
      </c>
      <c r="E1696" s="3" t="str">
        <f>IF(A1696="","",IF(DATE(LEFT(D1696,4),MID(D1696,5,2),RIGHT(D1696,2))=Helper1!$P$1,Helper1!$P$1,""))</f>
        <v/>
      </c>
      <c r="F1696" s="3" t="str">
        <f>IF(A1696="","",'ATP Fills'!G1696)</f>
        <v/>
      </c>
      <c r="G1696" t="str">
        <f>IF(A1696="","",'ATP Fills'!H1696)</f>
        <v/>
      </c>
      <c r="H1696" t="str">
        <f>IF(A1696="","",VLOOKUP(G1696,表3_3[],2,0))</f>
        <v/>
      </c>
      <c r="I1696" t="str">
        <f>IF(A1696="","",VLOOKUP(G1696,表3_3[],3,0))</f>
        <v/>
      </c>
      <c r="J1696" t="str">
        <f>IF(A1696="","",IF('ATP Fills'!I1696="3M","",VLOOKUP(RIGHT('ATP Fills'!I1696,2),Helper1!$O$36:$P$48,2,0)))</f>
        <v/>
      </c>
      <c r="K1696" t="str">
        <f>IF(J1696="","",LEFT('ATP Fills'!I1696,4))</f>
        <v/>
      </c>
      <c r="L1696" t="str">
        <f>IF(A1696="","",IF('ATP Fills'!G1696="LME",'ATP Fills'!I1696,""))</f>
        <v/>
      </c>
      <c r="M1696" t="str">
        <f t="shared" si="26"/>
        <v/>
      </c>
    </row>
    <row r="1697" spans="1:13">
      <c r="A1697" t="str">
        <f>IF('ATP Fills'!A1697="","",IF('ATP Fills'!Q1697="PHILLIPSG",'ATP Fills'!F1697,""))</f>
        <v/>
      </c>
      <c r="B1697" t="str">
        <f>IF(A1697="","",'ATP Fills'!L1697)</f>
        <v/>
      </c>
      <c r="C1697" t="str">
        <f>IF(A1697="","",'ATP Fills'!M1697)</f>
        <v/>
      </c>
      <c r="D1697" t="str">
        <f>IF(A1697="","",'ATP Fills'!B1697)</f>
        <v/>
      </c>
      <c r="E1697" s="3" t="str">
        <f>IF(A1697="","",IF(DATE(LEFT(D1697,4),MID(D1697,5,2),RIGHT(D1697,2))=Helper1!$P$1,Helper1!$P$1,""))</f>
        <v/>
      </c>
      <c r="F1697" s="3" t="str">
        <f>IF(A1697="","",'ATP Fills'!G1697)</f>
        <v/>
      </c>
      <c r="G1697" t="str">
        <f>IF(A1697="","",'ATP Fills'!H1697)</f>
        <v/>
      </c>
      <c r="H1697" t="str">
        <f>IF(A1697="","",VLOOKUP(G1697,表3_3[],2,0))</f>
        <v/>
      </c>
      <c r="I1697" t="str">
        <f>IF(A1697="","",VLOOKUP(G1697,表3_3[],3,0))</f>
        <v/>
      </c>
      <c r="J1697" t="str">
        <f>IF(A1697="","",IF('ATP Fills'!I1697="3M","",VLOOKUP(RIGHT('ATP Fills'!I1697,2),Helper1!$O$36:$P$48,2,0)))</f>
        <v/>
      </c>
      <c r="K1697" t="str">
        <f>IF(J1697="","",LEFT('ATP Fills'!I1697,4))</f>
        <v/>
      </c>
      <c r="L1697" t="str">
        <f>IF(A1697="","",IF('ATP Fills'!G1697="LME",'ATP Fills'!I1697,""))</f>
        <v/>
      </c>
      <c r="M1697" t="str">
        <f t="shared" si="26"/>
        <v/>
      </c>
    </row>
    <row r="1698" spans="1:13">
      <c r="A1698" t="str">
        <f>IF('ATP Fills'!A1698="","",IF('ATP Fills'!Q1698="PHILLIPSG",'ATP Fills'!F1698,""))</f>
        <v/>
      </c>
      <c r="B1698" t="str">
        <f>IF(A1698="","",'ATP Fills'!L1698)</f>
        <v/>
      </c>
      <c r="C1698" t="str">
        <f>IF(A1698="","",'ATP Fills'!M1698)</f>
        <v/>
      </c>
      <c r="D1698" t="str">
        <f>IF(A1698="","",'ATP Fills'!B1698)</f>
        <v/>
      </c>
      <c r="E1698" s="3" t="str">
        <f>IF(A1698="","",IF(DATE(LEFT(D1698,4),MID(D1698,5,2),RIGHT(D1698,2))=Helper1!$P$1,Helper1!$P$1,""))</f>
        <v/>
      </c>
      <c r="F1698" s="3" t="str">
        <f>IF(A1698="","",'ATP Fills'!G1698)</f>
        <v/>
      </c>
      <c r="G1698" t="str">
        <f>IF(A1698="","",'ATP Fills'!H1698)</f>
        <v/>
      </c>
      <c r="H1698" t="str">
        <f>IF(A1698="","",VLOOKUP(G1698,表3_3[],2,0))</f>
        <v/>
      </c>
      <c r="I1698" t="str">
        <f>IF(A1698="","",VLOOKUP(G1698,表3_3[],3,0))</f>
        <v/>
      </c>
      <c r="J1698" t="str">
        <f>IF(A1698="","",IF('ATP Fills'!I1698="3M","",VLOOKUP(RIGHT('ATP Fills'!I1698,2),Helper1!$O$36:$P$48,2,0)))</f>
        <v/>
      </c>
      <c r="K1698" t="str">
        <f>IF(J1698="","",LEFT('ATP Fills'!I1698,4))</f>
        <v/>
      </c>
      <c r="L1698" t="str">
        <f>IF(A1698="","",IF('ATP Fills'!G1698="LME",'ATP Fills'!I1698,""))</f>
        <v/>
      </c>
      <c r="M1698" t="str">
        <f t="shared" si="26"/>
        <v/>
      </c>
    </row>
    <row r="1699" spans="1:13">
      <c r="A1699" t="str">
        <f>IF('ATP Fills'!A1699="","",IF('ATP Fills'!Q1699="PHILLIPSG",'ATP Fills'!F1699,""))</f>
        <v/>
      </c>
      <c r="B1699" t="str">
        <f>IF(A1699="","",'ATP Fills'!L1699)</f>
        <v/>
      </c>
      <c r="C1699" t="str">
        <f>IF(A1699="","",'ATP Fills'!M1699)</f>
        <v/>
      </c>
      <c r="D1699" t="str">
        <f>IF(A1699="","",'ATP Fills'!B1699)</f>
        <v/>
      </c>
      <c r="E1699" s="3" t="str">
        <f>IF(A1699="","",IF(DATE(LEFT(D1699,4),MID(D1699,5,2),RIGHT(D1699,2))=Helper1!$P$1,Helper1!$P$1,""))</f>
        <v/>
      </c>
      <c r="F1699" s="3" t="str">
        <f>IF(A1699="","",'ATP Fills'!G1699)</f>
        <v/>
      </c>
      <c r="G1699" t="str">
        <f>IF(A1699="","",'ATP Fills'!H1699)</f>
        <v/>
      </c>
      <c r="H1699" t="str">
        <f>IF(A1699="","",VLOOKUP(G1699,表3_3[],2,0))</f>
        <v/>
      </c>
      <c r="I1699" t="str">
        <f>IF(A1699="","",VLOOKUP(G1699,表3_3[],3,0))</f>
        <v/>
      </c>
      <c r="J1699" t="str">
        <f>IF(A1699="","",IF('ATP Fills'!I1699="3M","",VLOOKUP(RIGHT('ATP Fills'!I1699,2),Helper1!$O$36:$P$48,2,0)))</f>
        <v/>
      </c>
      <c r="K1699" t="str">
        <f>IF(J1699="","",LEFT('ATP Fills'!I1699,4))</f>
        <v/>
      </c>
      <c r="L1699" t="str">
        <f>IF(A1699="","",IF('ATP Fills'!G1699="LME",'ATP Fills'!I1699,""))</f>
        <v/>
      </c>
      <c r="M1699" t="str">
        <f t="shared" si="26"/>
        <v/>
      </c>
    </row>
    <row r="1700" spans="1:13">
      <c r="A1700" t="str">
        <f>IF('ATP Fills'!A1700="","",IF('ATP Fills'!Q1700="PHILLIPSG",'ATP Fills'!F1700,""))</f>
        <v/>
      </c>
      <c r="B1700" t="str">
        <f>IF(A1700="","",'ATP Fills'!L1700)</f>
        <v/>
      </c>
      <c r="C1700" t="str">
        <f>IF(A1700="","",'ATP Fills'!M1700)</f>
        <v/>
      </c>
      <c r="D1700" t="str">
        <f>IF(A1700="","",'ATP Fills'!B1700)</f>
        <v/>
      </c>
      <c r="E1700" s="3" t="str">
        <f>IF(A1700="","",IF(DATE(LEFT(D1700,4),MID(D1700,5,2),RIGHT(D1700,2))=Helper1!$P$1,Helper1!$P$1,""))</f>
        <v/>
      </c>
      <c r="F1700" s="3" t="str">
        <f>IF(A1700="","",'ATP Fills'!G1700)</f>
        <v/>
      </c>
      <c r="G1700" t="str">
        <f>IF(A1700="","",'ATP Fills'!H1700)</f>
        <v/>
      </c>
      <c r="H1700" t="str">
        <f>IF(A1700="","",VLOOKUP(G1700,表3_3[],2,0))</f>
        <v/>
      </c>
      <c r="I1700" t="str">
        <f>IF(A1700="","",VLOOKUP(G1700,表3_3[],3,0))</f>
        <v/>
      </c>
      <c r="J1700" t="str">
        <f>IF(A1700="","",IF('ATP Fills'!I1700="3M","",VLOOKUP(RIGHT('ATP Fills'!I1700,2),Helper1!$O$36:$P$48,2,0)))</f>
        <v/>
      </c>
      <c r="K1700" t="str">
        <f>IF(J1700="","",LEFT('ATP Fills'!I1700,4))</f>
        <v/>
      </c>
      <c r="L1700" t="str">
        <f>IF(A1700="","",IF('ATP Fills'!G1700="LME",'ATP Fills'!I1700,""))</f>
        <v/>
      </c>
      <c r="M1700" t="str">
        <f t="shared" si="26"/>
        <v/>
      </c>
    </row>
    <row r="1701" spans="1:13">
      <c r="A1701" t="str">
        <f>IF('ATP Fills'!A1701="","",IF('ATP Fills'!Q1701="PHILLIPSG",'ATP Fills'!F1701,""))</f>
        <v/>
      </c>
      <c r="B1701" t="str">
        <f>IF(A1701="","",'ATP Fills'!L1701)</f>
        <v/>
      </c>
      <c r="C1701" t="str">
        <f>IF(A1701="","",'ATP Fills'!M1701)</f>
        <v/>
      </c>
      <c r="D1701" t="str">
        <f>IF(A1701="","",'ATP Fills'!B1701)</f>
        <v/>
      </c>
      <c r="E1701" s="3" t="str">
        <f>IF(A1701="","",IF(DATE(LEFT(D1701,4),MID(D1701,5,2),RIGHT(D1701,2))=Helper1!$P$1,Helper1!$P$1,""))</f>
        <v/>
      </c>
      <c r="F1701" s="3" t="str">
        <f>IF(A1701="","",'ATP Fills'!G1701)</f>
        <v/>
      </c>
      <c r="G1701" t="str">
        <f>IF(A1701="","",'ATP Fills'!H1701)</f>
        <v/>
      </c>
      <c r="H1701" t="str">
        <f>IF(A1701="","",VLOOKUP(G1701,表3_3[],2,0))</f>
        <v/>
      </c>
      <c r="I1701" t="str">
        <f>IF(A1701="","",VLOOKUP(G1701,表3_3[],3,0))</f>
        <v/>
      </c>
      <c r="J1701" t="str">
        <f>IF(A1701="","",IF('ATP Fills'!I1701="3M","",VLOOKUP(RIGHT('ATP Fills'!I1701,2),Helper1!$O$36:$P$48,2,0)))</f>
        <v/>
      </c>
      <c r="K1701" t="str">
        <f>IF(J1701="","",LEFT('ATP Fills'!I1701,4))</f>
        <v/>
      </c>
      <c r="L1701" t="str">
        <f>IF(A1701="","",IF('ATP Fills'!G1701="LME",'ATP Fills'!I1701,""))</f>
        <v/>
      </c>
      <c r="M1701" t="str">
        <f t="shared" si="26"/>
        <v/>
      </c>
    </row>
    <row r="1702" spans="1:13">
      <c r="A1702" t="str">
        <f>IF('ATP Fills'!A1702="","",IF('ATP Fills'!Q1702="PHILLIPSG",'ATP Fills'!F1702,""))</f>
        <v/>
      </c>
      <c r="B1702" t="str">
        <f>IF(A1702="","",'ATP Fills'!L1702)</f>
        <v/>
      </c>
      <c r="C1702" t="str">
        <f>IF(A1702="","",'ATP Fills'!M1702)</f>
        <v/>
      </c>
      <c r="D1702" t="str">
        <f>IF(A1702="","",'ATP Fills'!B1702)</f>
        <v/>
      </c>
      <c r="E1702" s="3" t="str">
        <f>IF(A1702="","",IF(DATE(LEFT(D1702,4),MID(D1702,5,2),RIGHT(D1702,2))=Helper1!$P$1,Helper1!$P$1,""))</f>
        <v/>
      </c>
      <c r="F1702" s="3" t="str">
        <f>IF(A1702="","",'ATP Fills'!G1702)</f>
        <v/>
      </c>
      <c r="G1702" t="str">
        <f>IF(A1702="","",'ATP Fills'!H1702)</f>
        <v/>
      </c>
      <c r="H1702" t="str">
        <f>IF(A1702="","",VLOOKUP(G1702,表3_3[],2,0))</f>
        <v/>
      </c>
      <c r="I1702" t="str">
        <f>IF(A1702="","",VLOOKUP(G1702,表3_3[],3,0))</f>
        <v/>
      </c>
      <c r="J1702" t="str">
        <f>IF(A1702="","",IF('ATP Fills'!I1702="3M","",VLOOKUP(RIGHT('ATP Fills'!I1702,2),Helper1!$O$36:$P$48,2,0)))</f>
        <v/>
      </c>
      <c r="K1702" t="str">
        <f>IF(J1702="","",LEFT('ATP Fills'!I1702,4))</f>
        <v/>
      </c>
      <c r="L1702" t="str">
        <f>IF(A1702="","",IF('ATP Fills'!G1702="LME",'ATP Fills'!I1702,""))</f>
        <v/>
      </c>
      <c r="M1702" t="str">
        <f t="shared" si="26"/>
        <v/>
      </c>
    </row>
    <row r="1703" spans="1:13">
      <c r="A1703" t="str">
        <f>IF('ATP Fills'!A1703="","",IF('ATP Fills'!Q1703="PHILLIPSG",'ATP Fills'!F1703,""))</f>
        <v/>
      </c>
      <c r="B1703" t="str">
        <f>IF(A1703="","",'ATP Fills'!L1703)</f>
        <v/>
      </c>
      <c r="C1703" t="str">
        <f>IF(A1703="","",'ATP Fills'!M1703)</f>
        <v/>
      </c>
      <c r="D1703" t="str">
        <f>IF(A1703="","",'ATP Fills'!B1703)</f>
        <v/>
      </c>
      <c r="E1703" s="3" t="str">
        <f>IF(A1703="","",IF(DATE(LEFT(D1703,4),MID(D1703,5,2),RIGHT(D1703,2))=Helper1!$P$1,Helper1!$P$1,""))</f>
        <v/>
      </c>
      <c r="F1703" s="3" t="str">
        <f>IF(A1703="","",'ATP Fills'!G1703)</f>
        <v/>
      </c>
      <c r="G1703" t="str">
        <f>IF(A1703="","",'ATP Fills'!H1703)</f>
        <v/>
      </c>
      <c r="H1703" t="str">
        <f>IF(A1703="","",VLOOKUP(G1703,表3_3[],2,0))</f>
        <v/>
      </c>
      <c r="I1703" t="str">
        <f>IF(A1703="","",VLOOKUP(G1703,表3_3[],3,0))</f>
        <v/>
      </c>
      <c r="J1703" t="str">
        <f>IF(A1703="","",IF('ATP Fills'!I1703="3M","",VLOOKUP(RIGHT('ATP Fills'!I1703,2),Helper1!$O$36:$P$48,2,0)))</f>
        <v/>
      </c>
      <c r="K1703" t="str">
        <f>IF(J1703="","",LEFT('ATP Fills'!I1703,4))</f>
        <v/>
      </c>
      <c r="L1703" t="str">
        <f>IF(A1703="","",IF('ATP Fills'!G1703="LME",'ATP Fills'!I1703,""))</f>
        <v/>
      </c>
      <c r="M1703" t="str">
        <f t="shared" si="26"/>
        <v/>
      </c>
    </row>
    <row r="1704" spans="1:13">
      <c r="A1704" t="str">
        <f>IF('ATP Fills'!A1704="","",IF('ATP Fills'!Q1704="PHILLIPSG",'ATP Fills'!F1704,""))</f>
        <v/>
      </c>
      <c r="B1704" t="str">
        <f>IF(A1704="","",'ATP Fills'!L1704)</f>
        <v/>
      </c>
      <c r="C1704" t="str">
        <f>IF(A1704="","",'ATP Fills'!M1704)</f>
        <v/>
      </c>
      <c r="D1704" t="str">
        <f>IF(A1704="","",'ATP Fills'!B1704)</f>
        <v/>
      </c>
      <c r="E1704" s="3" t="str">
        <f>IF(A1704="","",IF(DATE(LEFT(D1704,4),MID(D1704,5,2),RIGHT(D1704,2))=Helper1!$P$1,Helper1!$P$1,""))</f>
        <v/>
      </c>
      <c r="F1704" s="3" t="str">
        <f>IF(A1704="","",'ATP Fills'!G1704)</f>
        <v/>
      </c>
      <c r="G1704" t="str">
        <f>IF(A1704="","",'ATP Fills'!H1704)</f>
        <v/>
      </c>
      <c r="H1704" t="str">
        <f>IF(A1704="","",VLOOKUP(G1704,表3_3[],2,0))</f>
        <v/>
      </c>
      <c r="I1704" t="str">
        <f>IF(A1704="","",VLOOKUP(G1704,表3_3[],3,0))</f>
        <v/>
      </c>
      <c r="J1704" t="str">
        <f>IF(A1704="","",IF('ATP Fills'!I1704="3M","",VLOOKUP(RIGHT('ATP Fills'!I1704,2),Helper1!$O$36:$P$48,2,0)))</f>
        <v/>
      </c>
      <c r="K1704" t="str">
        <f>IF(J1704="","",LEFT('ATP Fills'!I1704,4))</f>
        <v/>
      </c>
      <c r="L1704" t="str">
        <f>IF(A1704="","",IF('ATP Fills'!G1704="LME",'ATP Fills'!I1704,""))</f>
        <v/>
      </c>
      <c r="M1704" t="str">
        <f t="shared" si="26"/>
        <v/>
      </c>
    </row>
    <row r="1705" spans="1:13">
      <c r="A1705" t="str">
        <f>IF('ATP Fills'!A1705="","",IF('ATP Fills'!Q1705="PHILLIPSG",'ATP Fills'!F1705,""))</f>
        <v/>
      </c>
      <c r="B1705" t="str">
        <f>IF(A1705="","",'ATP Fills'!L1705)</f>
        <v/>
      </c>
      <c r="C1705" t="str">
        <f>IF(A1705="","",'ATP Fills'!M1705)</f>
        <v/>
      </c>
      <c r="D1705" t="str">
        <f>IF(A1705="","",'ATP Fills'!B1705)</f>
        <v/>
      </c>
      <c r="E1705" s="3" t="str">
        <f>IF(A1705="","",IF(DATE(LEFT(D1705,4),MID(D1705,5,2),RIGHT(D1705,2))=Helper1!$P$1,Helper1!$P$1,""))</f>
        <v/>
      </c>
      <c r="F1705" s="3" t="str">
        <f>IF(A1705="","",'ATP Fills'!G1705)</f>
        <v/>
      </c>
      <c r="G1705" t="str">
        <f>IF(A1705="","",'ATP Fills'!H1705)</f>
        <v/>
      </c>
      <c r="H1705" t="str">
        <f>IF(A1705="","",VLOOKUP(G1705,表3_3[],2,0))</f>
        <v/>
      </c>
      <c r="I1705" t="str">
        <f>IF(A1705="","",VLOOKUP(G1705,表3_3[],3,0))</f>
        <v/>
      </c>
      <c r="J1705" t="str">
        <f>IF(A1705="","",IF('ATP Fills'!I1705="3M","",VLOOKUP(RIGHT('ATP Fills'!I1705,2),Helper1!$O$36:$P$48,2,0)))</f>
        <v/>
      </c>
      <c r="K1705" t="str">
        <f>IF(J1705="","",LEFT('ATP Fills'!I1705,4))</f>
        <v/>
      </c>
      <c r="L1705" t="str">
        <f>IF(A1705="","",IF('ATP Fills'!G1705="LME",'ATP Fills'!I1705,""))</f>
        <v/>
      </c>
      <c r="M1705" t="str">
        <f t="shared" si="26"/>
        <v/>
      </c>
    </row>
    <row r="1706" spans="1:13">
      <c r="A1706" t="str">
        <f>IF('ATP Fills'!A1706="","",IF('ATP Fills'!Q1706="PHILLIPSG",'ATP Fills'!F1706,""))</f>
        <v/>
      </c>
      <c r="B1706" t="str">
        <f>IF(A1706="","",'ATP Fills'!L1706)</f>
        <v/>
      </c>
      <c r="C1706" t="str">
        <f>IF(A1706="","",'ATP Fills'!M1706)</f>
        <v/>
      </c>
      <c r="D1706" t="str">
        <f>IF(A1706="","",'ATP Fills'!B1706)</f>
        <v/>
      </c>
      <c r="E1706" s="3" t="str">
        <f>IF(A1706="","",IF(DATE(LEFT(D1706,4),MID(D1706,5,2),RIGHT(D1706,2))=Helper1!$P$1,Helper1!$P$1,""))</f>
        <v/>
      </c>
      <c r="F1706" s="3" t="str">
        <f>IF(A1706="","",'ATP Fills'!G1706)</f>
        <v/>
      </c>
      <c r="G1706" t="str">
        <f>IF(A1706="","",'ATP Fills'!H1706)</f>
        <v/>
      </c>
      <c r="H1706" t="str">
        <f>IF(A1706="","",VLOOKUP(G1706,表3_3[],2,0))</f>
        <v/>
      </c>
      <c r="I1706" t="str">
        <f>IF(A1706="","",VLOOKUP(G1706,表3_3[],3,0))</f>
        <v/>
      </c>
      <c r="J1706" t="str">
        <f>IF(A1706="","",IF('ATP Fills'!I1706="3M","",VLOOKUP(RIGHT('ATP Fills'!I1706,2),Helper1!$O$36:$P$48,2,0)))</f>
        <v/>
      </c>
      <c r="K1706" t="str">
        <f>IF(J1706="","",LEFT('ATP Fills'!I1706,4))</f>
        <v/>
      </c>
      <c r="L1706" t="str">
        <f>IF(A1706="","",IF('ATP Fills'!G1706="LME",'ATP Fills'!I1706,""))</f>
        <v/>
      </c>
      <c r="M1706" t="str">
        <f t="shared" si="26"/>
        <v/>
      </c>
    </row>
    <row r="1707" spans="1:13">
      <c r="A1707" t="str">
        <f>IF('ATP Fills'!A1707="","",IF('ATP Fills'!Q1707="PHILLIPSG",'ATP Fills'!F1707,""))</f>
        <v/>
      </c>
      <c r="B1707" t="str">
        <f>IF(A1707="","",'ATP Fills'!L1707)</f>
        <v/>
      </c>
      <c r="C1707" t="str">
        <f>IF(A1707="","",'ATP Fills'!M1707)</f>
        <v/>
      </c>
      <c r="D1707" t="str">
        <f>IF(A1707="","",'ATP Fills'!B1707)</f>
        <v/>
      </c>
      <c r="E1707" s="3" t="str">
        <f>IF(A1707="","",IF(DATE(LEFT(D1707,4),MID(D1707,5,2),RIGHT(D1707,2))=Helper1!$P$1,Helper1!$P$1,""))</f>
        <v/>
      </c>
      <c r="F1707" s="3" t="str">
        <f>IF(A1707="","",'ATP Fills'!G1707)</f>
        <v/>
      </c>
      <c r="G1707" t="str">
        <f>IF(A1707="","",'ATP Fills'!H1707)</f>
        <v/>
      </c>
      <c r="H1707" t="str">
        <f>IF(A1707="","",VLOOKUP(G1707,表3_3[],2,0))</f>
        <v/>
      </c>
      <c r="I1707" t="str">
        <f>IF(A1707="","",VLOOKUP(G1707,表3_3[],3,0))</f>
        <v/>
      </c>
      <c r="J1707" t="str">
        <f>IF(A1707="","",IF('ATP Fills'!I1707="3M","",VLOOKUP(RIGHT('ATP Fills'!I1707,2),Helper1!$O$36:$P$48,2,0)))</f>
        <v/>
      </c>
      <c r="K1707" t="str">
        <f>IF(J1707="","",LEFT('ATP Fills'!I1707,4))</f>
        <v/>
      </c>
      <c r="L1707" t="str">
        <f>IF(A1707="","",IF('ATP Fills'!G1707="LME",'ATP Fills'!I1707,""))</f>
        <v/>
      </c>
      <c r="M1707" t="str">
        <f t="shared" si="26"/>
        <v/>
      </c>
    </row>
    <row r="1708" spans="1:13">
      <c r="A1708" t="str">
        <f>IF('ATP Fills'!A1708="","",IF('ATP Fills'!Q1708="PHILLIPSG",'ATP Fills'!F1708,""))</f>
        <v/>
      </c>
      <c r="B1708" t="str">
        <f>IF(A1708="","",'ATP Fills'!L1708)</f>
        <v/>
      </c>
      <c r="C1708" t="str">
        <f>IF(A1708="","",'ATP Fills'!M1708)</f>
        <v/>
      </c>
      <c r="D1708" t="str">
        <f>IF(A1708="","",'ATP Fills'!B1708)</f>
        <v/>
      </c>
      <c r="E1708" s="3" t="str">
        <f>IF(A1708="","",IF(DATE(LEFT(D1708,4),MID(D1708,5,2),RIGHT(D1708,2))=Helper1!$P$1,Helper1!$P$1,""))</f>
        <v/>
      </c>
      <c r="F1708" s="3" t="str">
        <f>IF(A1708="","",'ATP Fills'!G1708)</f>
        <v/>
      </c>
      <c r="G1708" t="str">
        <f>IF(A1708="","",'ATP Fills'!H1708)</f>
        <v/>
      </c>
      <c r="H1708" t="str">
        <f>IF(A1708="","",VLOOKUP(G1708,表3_3[],2,0))</f>
        <v/>
      </c>
      <c r="I1708" t="str">
        <f>IF(A1708="","",VLOOKUP(G1708,表3_3[],3,0))</f>
        <v/>
      </c>
      <c r="J1708" t="str">
        <f>IF(A1708="","",IF('ATP Fills'!I1708="3M","",VLOOKUP(RIGHT('ATP Fills'!I1708,2),Helper1!$O$36:$P$48,2,0)))</f>
        <v/>
      </c>
      <c r="K1708" t="str">
        <f>IF(J1708="","",LEFT('ATP Fills'!I1708,4))</f>
        <v/>
      </c>
      <c r="L1708" t="str">
        <f>IF(A1708="","",IF('ATP Fills'!G1708="LME",'ATP Fills'!I1708,""))</f>
        <v/>
      </c>
      <c r="M1708" t="str">
        <f t="shared" si="26"/>
        <v/>
      </c>
    </row>
    <row r="1709" spans="1:13">
      <c r="A1709" t="str">
        <f>IF('ATP Fills'!A1709="","",IF('ATP Fills'!Q1709="PHILLIPSG",'ATP Fills'!F1709,""))</f>
        <v/>
      </c>
      <c r="B1709" t="str">
        <f>IF(A1709="","",'ATP Fills'!L1709)</f>
        <v/>
      </c>
      <c r="C1709" t="str">
        <f>IF(A1709="","",'ATP Fills'!M1709)</f>
        <v/>
      </c>
      <c r="D1709" t="str">
        <f>IF(A1709="","",'ATP Fills'!B1709)</f>
        <v/>
      </c>
      <c r="E1709" s="3" t="str">
        <f>IF(A1709="","",IF(DATE(LEFT(D1709,4),MID(D1709,5,2),RIGHT(D1709,2))=Helper1!$P$1,Helper1!$P$1,""))</f>
        <v/>
      </c>
      <c r="F1709" s="3" t="str">
        <f>IF(A1709="","",'ATP Fills'!G1709)</f>
        <v/>
      </c>
      <c r="G1709" t="str">
        <f>IF(A1709="","",'ATP Fills'!H1709)</f>
        <v/>
      </c>
      <c r="H1709" t="str">
        <f>IF(A1709="","",VLOOKUP(G1709,表3_3[],2,0))</f>
        <v/>
      </c>
      <c r="I1709" t="str">
        <f>IF(A1709="","",VLOOKUP(G1709,表3_3[],3,0))</f>
        <v/>
      </c>
      <c r="J1709" t="str">
        <f>IF(A1709="","",IF('ATP Fills'!I1709="3M","",VLOOKUP(RIGHT('ATP Fills'!I1709,2),Helper1!$O$36:$P$48,2,0)))</f>
        <v/>
      </c>
      <c r="K1709" t="str">
        <f>IF(J1709="","",LEFT('ATP Fills'!I1709,4))</f>
        <v/>
      </c>
      <c r="L1709" t="str">
        <f>IF(A1709="","",IF('ATP Fills'!G1709="LME",'ATP Fills'!I1709,""))</f>
        <v/>
      </c>
      <c r="M1709" t="str">
        <f t="shared" si="26"/>
        <v/>
      </c>
    </row>
    <row r="1710" spans="1:13">
      <c r="A1710" t="str">
        <f>IF('ATP Fills'!A1710="","",IF('ATP Fills'!Q1710="PHILLIPSG",'ATP Fills'!F1710,""))</f>
        <v/>
      </c>
      <c r="B1710" t="str">
        <f>IF(A1710="","",'ATP Fills'!L1710)</f>
        <v/>
      </c>
      <c r="C1710" t="str">
        <f>IF(A1710="","",'ATP Fills'!M1710)</f>
        <v/>
      </c>
      <c r="D1710" t="str">
        <f>IF(A1710="","",'ATP Fills'!B1710)</f>
        <v/>
      </c>
      <c r="E1710" s="3" t="str">
        <f>IF(A1710="","",IF(DATE(LEFT(D1710,4),MID(D1710,5,2),RIGHT(D1710,2))=Helper1!$P$1,Helper1!$P$1,""))</f>
        <v/>
      </c>
      <c r="F1710" s="3" t="str">
        <f>IF(A1710="","",'ATP Fills'!G1710)</f>
        <v/>
      </c>
      <c r="G1710" t="str">
        <f>IF(A1710="","",'ATP Fills'!H1710)</f>
        <v/>
      </c>
      <c r="H1710" t="str">
        <f>IF(A1710="","",VLOOKUP(G1710,表3_3[],2,0))</f>
        <v/>
      </c>
      <c r="I1710" t="str">
        <f>IF(A1710="","",VLOOKUP(G1710,表3_3[],3,0))</f>
        <v/>
      </c>
      <c r="J1710" t="str">
        <f>IF(A1710="","",IF('ATP Fills'!I1710="3M","",VLOOKUP(RIGHT('ATP Fills'!I1710,2),Helper1!$O$36:$P$48,2,0)))</f>
        <v/>
      </c>
      <c r="K1710" t="str">
        <f>IF(J1710="","",LEFT('ATP Fills'!I1710,4))</f>
        <v/>
      </c>
      <c r="L1710" t="str">
        <f>IF(A1710="","",IF('ATP Fills'!G1710="LME",'ATP Fills'!I1710,""))</f>
        <v/>
      </c>
      <c r="M1710" t="str">
        <f t="shared" si="26"/>
        <v/>
      </c>
    </row>
    <row r="1711" spans="1:13">
      <c r="A1711" t="str">
        <f>IF('ATP Fills'!A1711="","",IF('ATP Fills'!Q1711="PHILLIPSG",'ATP Fills'!F1711,""))</f>
        <v/>
      </c>
      <c r="B1711" t="str">
        <f>IF(A1711="","",'ATP Fills'!L1711)</f>
        <v/>
      </c>
      <c r="C1711" t="str">
        <f>IF(A1711="","",'ATP Fills'!M1711)</f>
        <v/>
      </c>
      <c r="D1711" t="str">
        <f>IF(A1711="","",'ATP Fills'!B1711)</f>
        <v/>
      </c>
      <c r="E1711" s="3" t="str">
        <f>IF(A1711="","",IF(DATE(LEFT(D1711,4),MID(D1711,5,2),RIGHT(D1711,2))=Helper1!$P$1,Helper1!$P$1,""))</f>
        <v/>
      </c>
      <c r="F1711" s="3" t="str">
        <f>IF(A1711="","",'ATP Fills'!G1711)</f>
        <v/>
      </c>
      <c r="G1711" t="str">
        <f>IF(A1711="","",'ATP Fills'!H1711)</f>
        <v/>
      </c>
      <c r="H1711" t="str">
        <f>IF(A1711="","",VLOOKUP(G1711,表3_3[],2,0))</f>
        <v/>
      </c>
      <c r="I1711" t="str">
        <f>IF(A1711="","",VLOOKUP(G1711,表3_3[],3,0))</f>
        <v/>
      </c>
      <c r="J1711" t="str">
        <f>IF(A1711="","",IF('ATP Fills'!I1711="3M","",VLOOKUP(RIGHT('ATP Fills'!I1711,2),Helper1!$O$36:$P$48,2,0)))</f>
        <v/>
      </c>
      <c r="K1711" t="str">
        <f>IF(J1711="","",LEFT('ATP Fills'!I1711,4))</f>
        <v/>
      </c>
      <c r="L1711" t="str">
        <f>IF(A1711="","",IF('ATP Fills'!G1711="LME",'ATP Fills'!I1711,""))</f>
        <v/>
      </c>
      <c r="M1711" t="str">
        <f t="shared" si="26"/>
        <v/>
      </c>
    </row>
    <row r="1712" spans="1:13">
      <c r="A1712" t="str">
        <f>IF('ATP Fills'!A1712="","",IF('ATP Fills'!Q1712="PHILLIPSG",'ATP Fills'!F1712,""))</f>
        <v/>
      </c>
      <c r="B1712" t="str">
        <f>IF(A1712="","",'ATP Fills'!L1712)</f>
        <v/>
      </c>
      <c r="C1712" t="str">
        <f>IF(A1712="","",'ATP Fills'!M1712)</f>
        <v/>
      </c>
      <c r="D1712" t="str">
        <f>IF(A1712="","",'ATP Fills'!B1712)</f>
        <v/>
      </c>
      <c r="E1712" s="3" t="str">
        <f>IF(A1712="","",IF(DATE(LEFT(D1712,4),MID(D1712,5,2),RIGHT(D1712,2))=Helper1!$P$1,Helper1!$P$1,""))</f>
        <v/>
      </c>
      <c r="F1712" s="3" t="str">
        <f>IF(A1712="","",'ATP Fills'!G1712)</f>
        <v/>
      </c>
      <c r="G1712" t="str">
        <f>IF(A1712="","",'ATP Fills'!H1712)</f>
        <v/>
      </c>
      <c r="H1712" t="str">
        <f>IF(A1712="","",VLOOKUP(G1712,表3_3[],2,0))</f>
        <v/>
      </c>
      <c r="I1712" t="str">
        <f>IF(A1712="","",VLOOKUP(G1712,表3_3[],3,0))</f>
        <v/>
      </c>
      <c r="J1712" t="str">
        <f>IF(A1712="","",IF('ATP Fills'!I1712="3M","",VLOOKUP(RIGHT('ATP Fills'!I1712,2),Helper1!$O$36:$P$48,2,0)))</f>
        <v/>
      </c>
      <c r="K1712" t="str">
        <f>IF(J1712="","",LEFT('ATP Fills'!I1712,4))</f>
        <v/>
      </c>
      <c r="L1712" t="str">
        <f>IF(A1712="","",IF('ATP Fills'!G1712="LME",'ATP Fills'!I1712,""))</f>
        <v/>
      </c>
      <c r="M1712" t="str">
        <f t="shared" si="26"/>
        <v/>
      </c>
    </row>
    <row r="1713" spans="1:13">
      <c r="A1713" t="str">
        <f>IF('ATP Fills'!A1713="","",IF('ATP Fills'!Q1713="PHILLIPSG",'ATP Fills'!F1713,""))</f>
        <v/>
      </c>
      <c r="B1713" t="str">
        <f>IF(A1713="","",'ATP Fills'!L1713)</f>
        <v/>
      </c>
      <c r="C1713" t="str">
        <f>IF(A1713="","",'ATP Fills'!M1713)</f>
        <v/>
      </c>
      <c r="D1713" t="str">
        <f>IF(A1713="","",'ATP Fills'!B1713)</f>
        <v/>
      </c>
      <c r="E1713" s="3" t="str">
        <f>IF(A1713="","",IF(DATE(LEFT(D1713,4),MID(D1713,5,2),RIGHT(D1713,2))=Helper1!$P$1,Helper1!$P$1,""))</f>
        <v/>
      </c>
      <c r="F1713" s="3" t="str">
        <f>IF(A1713="","",'ATP Fills'!G1713)</f>
        <v/>
      </c>
      <c r="G1713" t="str">
        <f>IF(A1713="","",'ATP Fills'!H1713)</f>
        <v/>
      </c>
      <c r="H1713" t="str">
        <f>IF(A1713="","",VLOOKUP(G1713,表3_3[],2,0))</f>
        <v/>
      </c>
      <c r="I1713" t="str">
        <f>IF(A1713="","",VLOOKUP(G1713,表3_3[],3,0))</f>
        <v/>
      </c>
      <c r="J1713" t="str">
        <f>IF(A1713="","",IF('ATP Fills'!I1713="3M","",VLOOKUP(RIGHT('ATP Fills'!I1713,2),Helper1!$O$36:$P$48,2,0)))</f>
        <v/>
      </c>
      <c r="K1713" t="str">
        <f>IF(J1713="","",LEFT('ATP Fills'!I1713,4))</f>
        <v/>
      </c>
      <c r="L1713" t="str">
        <f>IF(A1713="","",IF('ATP Fills'!G1713="LME",'ATP Fills'!I1713,""))</f>
        <v/>
      </c>
      <c r="M1713" t="str">
        <f t="shared" si="26"/>
        <v/>
      </c>
    </row>
    <row r="1714" spans="1:13">
      <c r="A1714" t="str">
        <f>IF('ATP Fills'!A1714="","",IF('ATP Fills'!Q1714="PHILLIPSG",'ATP Fills'!F1714,""))</f>
        <v/>
      </c>
      <c r="B1714" t="str">
        <f>IF(A1714="","",'ATP Fills'!L1714)</f>
        <v/>
      </c>
      <c r="C1714" t="str">
        <f>IF(A1714="","",'ATP Fills'!M1714)</f>
        <v/>
      </c>
      <c r="D1714" t="str">
        <f>IF(A1714="","",'ATP Fills'!B1714)</f>
        <v/>
      </c>
      <c r="E1714" s="3" t="str">
        <f>IF(A1714="","",IF(DATE(LEFT(D1714,4),MID(D1714,5,2),RIGHT(D1714,2))=Helper1!$P$1,Helper1!$P$1,""))</f>
        <v/>
      </c>
      <c r="F1714" s="3" t="str">
        <f>IF(A1714="","",'ATP Fills'!G1714)</f>
        <v/>
      </c>
      <c r="G1714" t="str">
        <f>IF(A1714="","",'ATP Fills'!H1714)</f>
        <v/>
      </c>
      <c r="H1714" t="str">
        <f>IF(A1714="","",VLOOKUP(G1714,表3_3[],2,0))</f>
        <v/>
      </c>
      <c r="I1714" t="str">
        <f>IF(A1714="","",VLOOKUP(G1714,表3_3[],3,0))</f>
        <v/>
      </c>
      <c r="J1714" t="str">
        <f>IF(A1714="","",IF('ATP Fills'!I1714="3M","",VLOOKUP(RIGHT('ATP Fills'!I1714,2),Helper1!$O$36:$P$48,2,0)))</f>
        <v/>
      </c>
      <c r="K1714" t="str">
        <f>IF(J1714="","",LEFT('ATP Fills'!I1714,4))</f>
        <v/>
      </c>
      <c r="L1714" t="str">
        <f>IF(A1714="","",IF('ATP Fills'!G1714="LME",'ATP Fills'!I1714,""))</f>
        <v/>
      </c>
      <c r="M1714" t="str">
        <f t="shared" si="26"/>
        <v/>
      </c>
    </row>
    <row r="1715" spans="1:13">
      <c r="A1715" t="str">
        <f>IF('ATP Fills'!A1715="","",IF('ATP Fills'!Q1715="PHILLIPSG",'ATP Fills'!F1715,""))</f>
        <v/>
      </c>
      <c r="B1715" t="str">
        <f>IF(A1715="","",'ATP Fills'!L1715)</f>
        <v/>
      </c>
      <c r="C1715" t="str">
        <f>IF(A1715="","",'ATP Fills'!M1715)</f>
        <v/>
      </c>
      <c r="D1715" t="str">
        <f>IF(A1715="","",'ATP Fills'!B1715)</f>
        <v/>
      </c>
      <c r="E1715" s="3" t="str">
        <f>IF(A1715="","",IF(DATE(LEFT(D1715,4),MID(D1715,5,2),RIGHT(D1715,2))=Helper1!$P$1,Helper1!$P$1,""))</f>
        <v/>
      </c>
      <c r="F1715" s="3" t="str">
        <f>IF(A1715="","",'ATP Fills'!G1715)</f>
        <v/>
      </c>
      <c r="G1715" t="str">
        <f>IF(A1715="","",'ATP Fills'!H1715)</f>
        <v/>
      </c>
      <c r="H1715" t="str">
        <f>IF(A1715="","",VLOOKUP(G1715,表3_3[],2,0))</f>
        <v/>
      </c>
      <c r="I1715" t="str">
        <f>IF(A1715="","",VLOOKUP(G1715,表3_3[],3,0))</f>
        <v/>
      </c>
      <c r="J1715" t="str">
        <f>IF(A1715="","",IF('ATP Fills'!I1715="3M","",VLOOKUP(RIGHT('ATP Fills'!I1715,2),Helper1!$O$36:$P$48,2,0)))</f>
        <v/>
      </c>
      <c r="K1715" t="str">
        <f>IF(J1715="","",LEFT('ATP Fills'!I1715,4))</f>
        <v/>
      </c>
      <c r="L1715" t="str">
        <f>IF(A1715="","",IF('ATP Fills'!G1715="LME",'ATP Fills'!I1715,""))</f>
        <v/>
      </c>
      <c r="M1715" t="str">
        <f t="shared" si="26"/>
        <v/>
      </c>
    </row>
    <row r="1716" spans="1:13">
      <c r="A1716" t="str">
        <f>IF('ATP Fills'!A1716="","",IF('ATP Fills'!Q1716="PHILLIPSG",'ATP Fills'!F1716,""))</f>
        <v/>
      </c>
      <c r="B1716" t="str">
        <f>IF(A1716="","",'ATP Fills'!L1716)</f>
        <v/>
      </c>
      <c r="C1716" t="str">
        <f>IF(A1716="","",'ATP Fills'!M1716)</f>
        <v/>
      </c>
      <c r="D1716" t="str">
        <f>IF(A1716="","",'ATP Fills'!B1716)</f>
        <v/>
      </c>
      <c r="E1716" s="3" t="str">
        <f>IF(A1716="","",IF(DATE(LEFT(D1716,4),MID(D1716,5,2),RIGHT(D1716,2))=Helper1!$P$1,Helper1!$P$1,""))</f>
        <v/>
      </c>
      <c r="F1716" s="3" t="str">
        <f>IF(A1716="","",'ATP Fills'!G1716)</f>
        <v/>
      </c>
      <c r="G1716" t="str">
        <f>IF(A1716="","",'ATP Fills'!H1716)</f>
        <v/>
      </c>
      <c r="H1716" t="str">
        <f>IF(A1716="","",VLOOKUP(G1716,表3_3[],2,0))</f>
        <v/>
      </c>
      <c r="I1716" t="str">
        <f>IF(A1716="","",VLOOKUP(G1716,表3_3[],3,0))</f>
        <v/>
      </c>
      <c r="J1716" t="str">
        <f>IF(A1716="","",IF('ATP Fills'!I1716="3M","",VLOOKUP(RIGHT('ATP Fills'!I1716,2),Helper1!$O$36:$P$48,2,0)))</f>
        <v/>
      </c>
      <c r="K1716" t="str">
        <f>IF(J1716="","",LEFT('ATP Fills'!I1716,4))</f>
        <v/>
      </c>
      <c r="L1716" t="str">
        <f>IF(A1716="","",IF('ATP Fills'!G1716="LME",'ATP Fills'!I1716,""))</f>
        <v/>
      </c>
      <c r="M1716" t="str">
        <f t="shared" si="26"/>
        <v/>
      </c>
    </row>
    <row r="1717" spans="1:13">
      <c r="A1717" t="str">
        <f>IF('ATP Fills'!A1717="","",IF('ATP Fills'!Q1717="PHILLIPSG",'ATP Fills'!F1717,""))</f>
        <v/>
      </c>
      <c r="B1717" t="str">
        <f>IF(A1717="","",'ATP Fills'!L1717)</f>
        <v/>
      </c>
      <c r="C1717" t="str">
        <f>IF(A1717="","",'ATP Fills'!M1717)</f>
        <v/>
      </c>
      <c r="D1717" t="str">
        <f>IF(A1717="","",'ATP Fills'!B1717)</f>
        <v/>
      </c>
      <c r="E1717" s="3" t="str">
        <f>IF(A1717="","",IF(DATE(LEFT(D1717,4),MID(D1717,5,2),RIGHT(D1717,2))=Helper1!$P$1,Helper1!$P$1,""))</f>
        <v/>
      </c>
      <c r="F1717" s="3" t="str">
        <f>IF(A1717="","",'ATP Fills'!G1717)</f>
        <v/>
      </c>
      <c r="G1717" t="str">
        <f>IF(A1717="","",'ATP Fills'!H1717)</f>
        <v/>
      </c>
      <c r="H1717" t="str">
        <f>IF(A1717="","",VLOOKUP(G1717,表3_3[],2,0))</f>
        <v/>
      </c>
      <c r="I1717" t="str">
        <f>IF(A1717="","",VLOOKUP(G1717,表3_3[],3,0))</f>
        <v/>
      </c>
      <c r="J1717" t="str">
        <f>IF(A1717="","",IF('ATP Fills'!I1717="3M","",VLOOKUP(RIGHT('ATP Fills'!I1717,2),Helper1!$O$36:$P$48,2,0)))</f>
        <v/>
      </c>
      <c r="K1717" t="str">
        <f>IF(J1717="","",LEFT('ATP Fills'!I1717,4))</f>
        <v/>
      </c>
      <c r="L1717" t="str">
        <f>IF(A1717="","",IF('ATP Fills'!G1717="LME",'ATP Fills'!I1717,""))</f>
        <v/>
      </c>
      <c r="M1717" t="str">
        <f t="shared" si="26"/>
        <v/>
      </c>
    </row>
    <row r="1718" spans="1:13">
      <c r="A1718" t="str">
        <f>IF('ATP Fills'!A1718="","",IF('ATP Fills'!Q1718="PHILLIPSG",'ATP Fills'!F1718,""))</f>
        <v/>
      </c>
      <c r="B1718" t="str">
        <f>IF(A1718="","",'ATP Fills'!L1718)</f>
        <v/>
      </c>
      <c r="C1718" t="str">
        <f>IF(A1718="","",'ATP Fills'!M1718)</f>
        <v/>
      </c>
      <c r="D1718" t="str">
        <f>IF(A1718="","",'ATP Fills'!B1718)</f>
        <v/>
      </c>
      <c r="E1718" s="3" t="str">
        <f>IF(A1718="","",IF(DATE(LEFT(D1718,4),MID(D1718,5,2),RIGHT(D1718,2))=Helper1!$P$1,Helper1!$P$1,""))</f>
        <v/>
      </c>
      <c r="F1718" s="3" t="str">
        <f>IF(A1718="","",'ATP Fills'!G1718)</f>
        <v/>
      </c>
      <c r="G1718" t="str">
        <f>IF(A1718="","",'ATP Fills'!H1718)</f>
        <v/>
      </c>
      <c r="H1718" t="str">
        <f>IF(A1718="","",VLOOKUP(G1718,表3_3[],2,0))</f>
        <v/>
      </c>
      <c r="I1718" t="str">
        <f>IF(A1718="","",VLOOKUP(G1718,表3_3[],3,0))</f>
        <v/>
      </c>
      <c r="J1718" t="str">
        <f>IF(A1718="","",IF('ATP Fills'!I1718="3M","",VLOOKUP(RIGHT('ATP Fills'!I1718,2),Helper1!$O$36:$P$48,2,0)))</f>
        <v/>
      </c>
      <c r="K1718" t="str">
        <f>IF(J1718="","",LEFT('ATP Fills'!I1718,4))</f>
        <v/>
      </c>
      <c r="L1718" t="str">
        <f>IF(A1718="","",IF('ATP Fills'!G1718="LME",'ATP Fills'!I1718,""))</f>
        <v/>
      </c>
      <c r="M1718" t="str">
        <f t="shared" si="26"/>
        <v/>
      </c>
    </row>
    <row r="1719" spans="1:13">
      <c r="A1719" t="str">
        <f>IF('ATP Fills'!A1719="","",IF('ATP Fills'!Q1719="PHILLIPSG",'ATP Fills'!F1719,""))</f>
        <v/>
      </c>
      <c r="B1719" t="str">
        <f>IF(A1719="","",'ATP Fills'!L1719)</f>
        <v/>
      </c>
      <c r="C1719" t="str">
        <f>IF(A1719="","",'ATP Fills'!M1719)</f>
        <v/>
      </c>
      <c r="D1719" t="str">
        <f>IF(A1719="","",'ATP Fills'!B1719)</f>
        <v/>
      </c>
      <c r="E1719" s="3" t="str">
        <f>IF(A1719="","",IF(DATE(LEFT(D1719,4),MID(D1719,5,2),RIGHT(D1719,2))=Helper1!$P$1,Helper1!$P$1,""))</f>
        <v/>
      </c>
      <c r="F1719" s="3" t="str">
        <f>IF(A1719="","",'ATP Fills'!G1719)</f>
        <v/>
      </c>
      <c r="G1719" t="str">
        <f>IF(A1719="","",'ATP Fills'!H1719)</f>
        <v/>
      </c>
      <c r="H1719" t="str">
        <f>IF(A1719="","",VLOOKUP(G1719,表3_3[],2,0))</f>
        <v/>
      </c>
      <c r="I1719" t="str">
        <f>IF(A1719="","",VLOOKUP(G1719,表3_3[],3,0))</f>
        <v/>
      </c>
      <c r="J1719" t="str">
        <f>IF(A1719="","",IF('ATP Fills'!I1719="3M","",VLOOKUP(RIGHT('ATP Fills'!I1719,2),Helper1!$O$36:$P$48,2,0)))</f>
        <v/>
      </c>
      <c r="K1719" t="str">
        <f>IF(J1719="","",LEFT('ATP Fills'!I1719,4))</f>
        <v/>
      </c>
      <c r="L1719" t="str">
        <f>IF(A1719="","",IF('ATP Fills'!G1719="LME",'ATP Fills'!I1719,""))</f>
        <v/>
      </c>
      <c r="M1719" t="str">
        <f t="shared" si="26"/>
        <v/>
      </c>
    </row>
    <row r="1720" spans="1:13">
      <c r="A1720" t="str">
        <f>IF('ATP Fills'!A1720="","",IF('ATP Fills'!Q1720="PHILLIPSG",'ATP Fills'!F1720,""))</f>
        <v/>
      </c>
      <c r="B1720" t="str">
        <f>IF(A1720="","",'ATP Fills'!L1720)</f>
        <v/>
      </c>
      <c r="C1720" t="str">
        <f>IF(A1720="","",'ATP Fills'!M1720)</f>
        <v/>
      </c>
      <c r="D1720" t="str">
        <f>IF(A1720="","",'ATP Fills'!B1720)</f>
        <v/>
      </c>
      <c r="E1720" s="3" t="str">
        <f>IF(A1720="","",IF(DATE(LEFT(D1720,4),MID(D1720,5,2),RIGHT(D1720,2))=Helper1!$P$1,Helper1!$P$1,""))</f>
        <v/>
      </c>
      <c r="F1720" s="3" t="str">
        <f>IF(A1720="","",'ATP Fills'!G1720)</f>
        <v/>
      </c>
      <c r="G1720" t="str">
        <f>IF(A1720="","",'ATP Fills'!H1720)</f>
        <v/>
      </c>
      <c r="H1720" t="str">
        <f>IF(A1720="","",VLOOKUP(G1720,表3_3[],2,0))</f>
        <v/>
      </c>
      <c r="I1720" t="str">
        <f>IF(A1720="","",VLOOKUP(G1720,表3_3[],3,0))</f>
        <v/>
      </c>
      <c r="J1720" t="str">
        <f>IF(A1720="","",IF('ATP Fills'!I1720="3M","",VLOOKUP(RIGHT('ATP Fills'!I1720,2),Helper1!$O$36:$P$48,2,0)))</f>
        <v/>
      </c>
      <c r="K1720" t="str">
        <f>IF(J1720="","",LEFT('ATP Fills'!I1720,4))</f>
        <v/>
      </c>
      <c r="L1720" t="str">
        <f>IF(A1720="","",IF('ATP Fills'!G1720="LME",'ATP Fills'!I1720,""))</f>
        <v/>
      </c>
      <c r="M1720" t="str">
        <f t="shared" si="26"/>
        <v/>
      </c>
    </row>
    <row r="1721" spans="1:13">
      <c r="A1721" t="str">
        <f>IF('ATP Fills'!A1721="","",IF('ATP Fills'!Q1721="PHILLIPSG",'ATP Fills'!F1721,""))</f>
        <v/>
      </c>
      <c r="B1721" t="str">
        <f>IF(A1721="","",'ATP Fills'!L1721)</f>
        <v/>
      </c>
      <c r="C1721" t="str">
        <f>IF(A1721="","",'ATP Fills'!M1721)</f>
        <v/>
      </c>
      <c r="D1721" t="str">
        <f>IF(A1721="","",'ATP Fills'!B1721)</f>
        <v/>
      </c>
      <c r="E1721" s="3" t="str">
        <f>IF(A1721="","",IF(DATE(LEFT(D1721,4),MID(D1721,5,2),RIGHT(D1721,2))=Helper1!$P$1,Helper1!$P$1,""))</f>
        <v/>
      </c>
      <c r="F1721" s="3" t="str">
        <f>IF(A1721="","",'ATP Fills'!G1721)</f>
        <v/>
      </c>
      <c r="G1721" t="str">
        <f>IF(A1721="","",'ATP Fills'!H1721)</f>
        <v/>
      </c>
      <c r="H1721" t="str">
        <f>IF(A1721="","",VLOOKUP(G1721,表3_3[],2,0))</f>
        <v/>
      </c>
      <c r="I1721" t="str">
        <f>IF(A1721="","",VLOOKUP(G1721,表3_3[],3,0))</f>
        <v/>
      </c>
      <c r="J1721" t="str">
        <f>IF(A1721="","",IF('ATP Fills'!I1721="3M","",VLOOKUP(RIGHT('ATP Fills'!I1721,2),Helper1!$O$36:$P$48,2,0)))</f>
        <v/>
      </c>
      <c r="K1721" t="str">
        <f>IF(J1721="","",LEFT('ATP Fills'!I1721,4))</f>
        <v/>
      </c>
      <c r="L1721" t="str">
        <f>IF(A1721="","",IF('ATP Fills'!G1721="LME",'ATP Fills'!I1721,""))</f>
        <v/>
      </c>
      <c r="M1721" t="str">
        <f t="shared" si="26"/>
        <v/>
      </c>
    </row>
    <row r="1722" spans="1:13">
      <c r="A1722" t="str">
        <f>IF('ATP Fills'!A1722="","",IF('ATP Fills'!Q1722="PHILLIPSG",'ATP Fills'!F1722,""))</f>
        <v/>
      </c>
      <c r="B1722" t="str">
        <f>IF(A1722="","",'ATP Fills'!L1722)</f>
        <v/>
      </c>
      <c r="C1722" t="str">
        <f>IF(A1722="","",'ATP Fills'!M1722)</f>
        <v/>
      </c>
      <c r="D1722" t="str">
        <f>IF(A1722="","",'ATP Fills'!B1722)</f>
        <v/>
      </c>
      <c r="E1722" s="3" t="str">
        <f>IF(A1722="","",IF(DATE(LEFT(D1722,4),MID(D1722,5,2),RIGHT(D1722,2))=Helper1!$P$1,Helper1!$P$1,""))</f>
        <v/>
      </c>
      <c r="F1722" s="3" t="str">
        <f>IF(A1722="","",'ATP Fills'!G1722)</f>
        <v/>
      </c>
      <c r="G1722" t="str">
        <f>IF(A1722="","",'ATP Fills'!H1722)</f>
        <v/>
      </c>
      <c r="H1722" t="str">
        <f>IF(A1722="","",VLOOKUP(G1722,表3_3[],2,0))</f>
        <v/>
      </c>
      <c r="I1722" t="str">
        <f>IF(A1722="","",VLOOKUP(G1722,表3_3[],3,0))</f>
        <v/>
      </c>
      <c r="J1722" t="str">
        <f>IF(A1722="","",IF('ATP Fills'!I1722="3M","",VLOOKUP(RIGHT('ATP Fills'!I1722,2),Helper1!$O$36:$P$48,2,0)))</f>
        <v/>
      </c>
      <c r="K1722" t="str">
        <f>IF(J1722="","",LEFT('ATP Fills'!I1722,4))</f>
        <v/>
      </c>
      <c r="L1722" t="str">
        <f>IF(A1722="","",IF('ATP Fills'!G1722="LME",'ATP Fills'!I1722,""))</f>
        <v/>
      </c>
      <c r="M1722" t="str">
        <f t="shared" si="26"/>
        <v/>
      </c>
    </row>
    <row r="1723" spans="1:13">
      <c r="A1723" t="str">
        <f>IF('ATP Fills'!A1723="","",IF('ATP Fills'!Q1723="PHILLIPSG",'ATP Fills'!F1723,""))</f>
        <v/>
      </c>
      <c r="B1723" t="str">
        <f>IF(A1723="","",'ATP Fills'!L1723)</f>
        <v/>
      </c>
      <c r="C1723" t="str">
        <f>IF(A1723="","",'ATP Fills'!M1723)</f>
        <v/>
      </c>
      <c r="D1723" t="str">
        <f>IF(A1723="","",'ATP Fills'!B1723)</f>
        <v/>
      </c>
      <c r="E1723" s="3" t="str">
        <f>IF(A1723="","",IF(DATE(LEFT(D1723,4),MID(D1723,5,2),RIGHT(D1723,2))=Helper1!$P$1,Helper1!$P$1,""))</f>
        <v/>
      </c>
      <c r="F1723" s="3" t="str">
        <f>IF(A1723="","",'ATP Fills'!G1723)</f>
        <v/>
      </c>
      <c r="G1723" t="str">
        <f>IF(A1723="","",'ATP Fills'!H1723)</f>
        <v/>
      </c>
      <c r="H1723" t="str">
        <f>IF(A1723="","",VLOOKUP(G1723,表3_3[],2,0))</f>
        <v/>
      </c>
      <c r="I1723" t="str">
        <f>IF(A1723="","",VLOOKUP(G1723,表3_3[],3,0))</f>
        <v/>
      </c>
      <c r="J1723" t="str">
        <f>IF(A1723="","",IF('ATP Fills'!I1723="3M","",VLOOKUP(RIGHT('ATP Fills'!I1723,2),Helper1!$O$36:$P$48,2,0)))</f>
        <v/>
      </c>
      <c r="K1723" t="str">
        <f>IF(J1723="","",LEFT('ATP Fills'!I1723,4))</f>
        <v/>
      </c>
      <c r="L1723" t="str">
        <f>IF(A1723="","",IF('ATP Fills'!G1723="LME",'ATP Fills'!I1723,""))</f>
        <v/>
      </c>
      <c r="M1723" t="str">
        <f t="shared" si="26"/>
        <v/>
      </c>
    </row>
    <row r="1724" spans="1:13">
      <c r="A1724" t="str">
        <f>IF('ATP Fills'!A1724="","",IF('ATP Fills'!Q1724="PHILLIPSG",'ATP Fills'!F1724,""))</f>
        <v/>
      </c>
      <c r="B1724" t="str">
        <f>IF(A1724="","",'ATP Fills'!L1724)</f>
        <v/>
      </c>
      <c r="C1724" t="str">
        <f>IF(A1724="","",'ATP Fills'!M1724)</f>
        <v/>
      </c>
      <c r="D1724" t="str">
        <f>IF(A1724="","",'ATP Fills'!B1724)</f>
        <v/>
      </c>
      <c r="E1724" s="3" t="str">
        <f>IF(A1724="","",IF(DATE(LEFT(D1724,4),MID(D1724,5,2),RIGHT(D1724,2))=Helper1!$P$1,Helper1!$P$1,""))</f>
        <v/>
      </c>
      <c r="F1724" s="3" t="str">
        <f>IF(A1724="","",'ATP Fills'!G1724)</f>
        <v/>
      </c>
      <c r="G1724" t="str">
        <f>IF(A1724="","",'ATP Fills'!H1724)</f>
        <v/>
      </c>
      <c r="H1724" t="str">
        <f>IF(A1724="","",VLOOKUP(G1724,表3_3[],2,0))</f>
        <v/>
      </c>
      <c r="I1724" t="str">
        <f>IF(A1724="","",VLOOKUP(G1724,表3_3[],3,0))</f>
        <v/>
      </c>
      <c r="J1724" t="str">
        <f>IF(A1724="","",IF('ATP Fills'!I1724="3M","",VLOOKUP(RIGHT('ATP Fills'!I1724,2),Helper1!$O$36:$P$48,2,0)))</f>
        <v/>
      </c>
      <c r="K1724" t="str">
        <f>IF(J1724="","",LEFT('ATP Fills'!I1724,4))</f>
        <v/>
      </c>
      <c r="L1724" t="str">
        <f>IF(A1724="","",IF('ATP Fills'!G1724="LME",'ATP Fills'!I1724,""))</f>
        <v/>
      </c>
      <c r="M1724" t="str">
        <f t="shared" si="26"/>
        <v/>
      </c>
    </row>
    <row r="1725" spans="1:13">
      <c r="A1725" t="str">
        <f>IF('ATP Fills'!A1725="","",IF('ATP Fills'!Q1725="PHILLIPSG",'ATP Fills'!F1725,""))</f>
        <v/>
      </c>
      <c r="B1725" t="str">
        <f>IF(A1725="","",'ATP Fills'!L1725)</f>
        <v/>
      </c>
      <c r="C1725" t="str">
        <f>IF(A1725="","",'ATP Fills'!M1725)</f>
        <v/>
      </c>
      <c r="D1725" t="str">
        <f>IF(A1725="","",'ATP Fills'!B1725)</f>
        <v/>
      </c>
      <c r="E1725" s="3" t="str">
        <f>IF(A1725="","",IF(DATE(LEFT(D1725,4),MID(D1725,5,2),RIGHT(D1725,2))=Helper1!$P$1,Helper1!$P$1,""))</f>
        <v/>
      </c>
      <c r="F1725" s="3" t="str">
        <f>IF(A1725="","",'ATP Fills'!G1725)</f>
        <v/>
      </c>
      <c r="G1725" t="str">
        <f>IF(A1725="","",'ATP Fills'!H1725)</f>
        <v/>
      </c>
      <c r="H1725" t="str">
        <f>IF(A1725="","",VLOOKUP(G1725,表3_3[],2,0))</f>
        <v/>
      </c>
      <c r="I1725" t="str">
        <f>IF(A1725="","",VLOOKUP(G1725,表3_3[],3,0))</f>
        <v/>
      </c>
      <c r="J1725" t="str">
        <f>IF(A1725="","",IF('ATP Fills'!I1725="3M","",VLOOKUP(RIGHT('ATP Fills'!I1725,2),Helper1!$O$36:$P$48,2,0)))</f>
        <v/>
      </c>
      <c r="K1725" t="str">
        <f>IF(J1725="","",LEFT('ATP Fills'!I1725,4))</f>
        <v/>
      </c>
      <c r="L1725" t="str">
        <f>IF(A1725="","",IF('ATP Fills'!G1725="LME",'ATP Fills'!I1725,""))</f>
        <v/>
      </c>
      <c r="M1725" t="str">
        <f t="shared" si="26"/>
        <v/>
      </c>
    </row>
    <row r="1726" spans="1:13">
      <c r="A1726" t="str">
        <f>IF('ATP Fills'!A1726="","",IF('ATP Fills'!Q1726="PHILLIPSG",'ATP Fills'!F1726,""))</f>
        <v/>
      </c>
      <c r="B1726" t="str">
        <f>IF(A1726="","",'ATP Fills'!L1726)</f>
        <v/>
      </c>
      <c r="C1726" t="str">
        <f>IF(A1726="","",'ATP Fills'!M1726)</f>
        <v/>
      </c>
      <c r="D1726" t="str">
        <f>IF(A1726="","",'ATP Fills'!B1726)</f>
        <v/>
      </c>
      <c r="E1726" s="3" t="str">
        <f>IF(A1726="","",IF(DATE(LEFT(D1726,4),MID(D1726,5,2),RIGHT(D1726,2))=Helper1!$P$1,Helper1!$P$1,""))</f>
        <v/>
      </c>
      <c r="F1726" s="3" t="str">
        <f>IF(A1726="","",'ATP Fills'!G1726)</f>
        <v/>
      </c>
      <c r="G1726" t="str">
        <f>IF(A1726="","",'ATP Fills'!H1726)</f>
        <v/>
      </c>
      <c r="H1726" t="str">
        <f>IF(A1726="","",VLOOKUP(G1726,表3_3[],2,0))</f>
        <v/>
      </c>
      <c r="I1726" t="str">
        <f>IF(A1726="","",VLOOKUP(G1726,表3_3[],3,0))</f>
        <v/>
      </c>
      <c r="J1726" t="str">
        <f>IF(A1726="","",IF('ATP Fills'!I1726="3M","",VLOOKUP(RIGHT('ATP Fills'!I1726,2),Helper1!$O$36:$P$48,2,0)))</f>
        <v/>
      </c>
      <c r="K1726" t="str">
        <f>IF(J1726="","",LEFT('ATP Fills'!I1726,4))</f>
        <v/>
      </c>
      <c r="L1726" t="str">
        <f>IF(A1726="","",IF('ATP Fills'!G1726="LME",'ATP Fills'!I1726,""))</f>
        <v/>
      </c>
      <c r="M1726" t="str">
        <f t="shared" si="26"/>
        <v/>
      </c>
    </row>
    <row r="1727" spans="1:13">
      <c r="A1727" t="str">
        <f>IF('ATP Fills'!A1727="","",IF('ATP Fills'!Q1727="PHILLIPSG",'ATP Fills'!F1727,""))</f>
        <v/>
      </c>
      <c r="B1727" t="str">
        <f>IF(A1727="","",'ATP Fills'!L1727)</f>
        <v/>
      </c>
      <c r="C1727" t="str">
        <f>IF(A1727="","",'ATP Fills'!M1727)</f>
        <v/>
      </c>
      <c r="D1727" t="str">
        <f>IF(A1727="","",'ATP Fills'!B1727)</f>
        <v/>
      </c>
      <c r="E1727" s="3" t="str">
        <f>IF(A1727="","",IF(DATE(LEFT(D1727,4),MID(D1727,5,2),RIGHT(D1727,2))=Helper1!$P$1,Helper1!$P$1,""))</f>
        <v/>
      </c>
      <c r="F1727" s="3" t="str">
        <f>IF(A1727="","",'ATP Fills'!G1727)</f>
        <v/>
      </c>
      <c r="G1727" t="str">
        <f>IF(A1727="","",'ATP Fills'!H1727)</f>
        <v/>
      </c>
      <c r="H1727" t="str">
        <f>IF(A1727="","",VLOOKUP(G1727,表3_3[],2,0))</f>
        <v/>
      </c>
      <c r="I1727" t="str">
        <f>IF(A1727="","",VLOOKUP(G1727,表3_3[],3,0))</f>
        <v/>
      </c>
      <c r="J1727" t="str">
        <f>IF(A1727="","",IF('ATP Fills'!I1727="3M","",VLOOKUP(RIGHT('ATP Fills'!I1727,2),Helper1!$O$36:$P$48,2,0)))</f>
        <v/>
      </c>
      <c r="K1727" t="str">
        <f>IF(J1727="","",LEFT('ATP Fills'!I1727,4))</f>
        <v/>
      </c>
      <c r="L1727" t="str">
        <f>IF(A1727="","",IF('ATP Fills'!G1727="LME",'ATP Fills'!I1727,""))</f>
        <v/>
      </c>
      <c r="M1727" t="str">
        <f t="shared" si="26"/>
        <v/>
      </c>
    </row>
    <row r="1728" spans="1:13">
      <c r="A1728" t="str">
        <f>IF('ATP Fills'!A1728="","",IF('ATP Fills'!Q1728="PHILLIPSG",'ATP Fills'!F1728,""))</f>
        <v/>
      </c>
      <c r="B1728" t="str">
        <f>IF(A1728="","",'ATP Fills'!L1728)</f>
        <v/>
      </c>
      <c r="C1728" t="str">
        <f>IF(A1728="","",'ATP Fills'!M1728)</f>
        <v/>
      </c>
      <c r="D1728" t="str">
        <f>IF(A1728="","",'ATP Fills'!B1728)</f>
        <v/>
      </c>
      <c r="E1728" s="3" t="str">
        <f>IF(A1728="","",IF(DATE(LEFT(D1728,4),MID(D1728,5,2),RIGHT(D1728,2))=Helper1!$P$1,Helper1!$P$1,""))</f>
        <v/>
      </c>
      <c r="F1728" s="3" t="str">
        <f>IF(A1728="","",'ATP Fills'!G1728)</f>
        <v/>
      </c>
      <c r="G1728" t="str">
        <f>IF(A1728="","",'ATP Fills'!H1728)</f>
        <v/>
      </c>
      <c r="H1728" t="str">
        <f>IF(A1728="","",VLOOKUP(G1728,表3_3[],2,0))</f>
        <v/>
      </c>
      <c r="I1728" t="str">
        <f>IF(A1728="","",VLOOKUP(G1728,表3_3[],3,0))</f>
        <v/>
      </c>
      <c r="J1728" t="str">
        <f>IF(A1728="","",IF('ATP Fills'!I1728="3M","",VLOOKUP(RIGHT('ATP Fills'!I1728,2),Helper1!$O$36:$P$48,2,0)))</f>
        <v/>
      </c>
      <c r="K1728" t="str">
        <f>IF(J1728="","",LEFT('ATP Fills'!I1728,4))</f>
        <v/>
      </c>
      <c r="L1728" t="str">
        <f>IF(A1728="","",IF('ATP Fills'!G1728="LME",'ATP Fills'!I1728,""))</f>
        <v/>
      </c>
      <c r="M1728" t="str">
        <f t="shared" si="26"/>
        <v/>
      </c>
    </row>
    <row r="1729" spans="1:13">
      <c r="A1729" t="str">
        <f>IF('ATP Fills'!A1729="","",IF('ATP Fills'!Q1729="PHILLIPSG",'ATP Fills'!F1729,""))</f>
        <v/>
      </c>
      <c r="B1729" t="str">
        <f>IF(A1729="","",'ATP Fills'!L1729)</f>
        <v/>
      </c>
      <c r="C1729" t="str">
        <f>IF(A1729="","",'ATP Fills'!M1729)</f>
        <v/>
      </c>
      <c r="D1729" t="str">
        <f>IF(A1729="","",'ATP Fills'!B1729)</f>
        <v/>
      </c>
      <c r="E1729" s="3" t="str">
        <f>IF(A1729="","",IF(DATE(LEFT(D1729,4),MID(D1729,5,2),RIGHT(D1729,2))=Helper1!$P$1,Helper1!$P$1,""))</f>
        <v/>
      </c>
      <c r="F1729" s="3" t="str">
        <f>IF(A1729="","",'ATP Fills'!G1729)</f>
        <v/>
      </c>
      <c r="G1729" t="str">
        <f>IF(A1729="","",'ATP Fills'!H1729)</f>
        <v/>
      </c>
      <c r="H1729" t="str">
        <f>IF(A1729="","",VLOOKUP(G1729,表3_3[],2,0))</f>
        <v/>
      </c>
      <c r="I1729" t="str">
        <f>IF(A1729="","",VLOOKUP(G1729,表3_3[],3,0))</f>
        <v/>
      </c>
      <c r="J1729" t="str">
        <f>IF(A1729="","",IF('ATP Fills'!I1729="3M","",VLOOKUP(RIGHT('ATP Fills'!I1729,2),Helper1!$O$36:$P$48,2,0)))</f>
        <v/>
      </c>
      <c r="K1729" t="str">
        <f>IF(J1729="","",LEFT('ATP Fills'!I1729,4))</f>
        <v/>
      </c>
      <c r="L1729" t="str">
        <f>IF(A1729="","",IF('ATP Fills'!G1729="LME",'ATP Fills'!I1729,""))</f>
        <v/>
      </c>
      <c r="M1729" t="str">
        <f t="shared" si="26"/>
        <v/>
      </c>
    </row>
    <row r="1730" spans="1:13">
      <c r="A1730" t="str">
        <f>IF('ATP Fills'!A1730="","",IF('ATP Fills'!Q1730="PHILLIPSG",'ATP Fills'!F1730,""))</f>
        <v/>
      </c>
      <c r="B1730" t="str">
        <f>IF(A1730="","",'ATP Fills'!L1730)</f>
        <v/>
      </c>
      <c r="C1730" t="str">
        <f>IF(A1730="","",'ATP Fills'!M1730)</f>
        <v/>
      </c>
      <c r="D1730" t="str">
        <f>IF(A1730="","",'ATP Fills'!B1730)</f>
        <v/>
      </c>
      <c r="E1730" s="3" t="str">
        <f>IF(A1730="","",IF(DATE(LEFT(D1730,4),MID(D1730,5,2),RIGHT(D1730,2))=Helper1!$P$1,Helper1!$P$1,""))</f>
        <v/>
      </c>
      <c r="F1730" s="3" t="str">
        <f>IF(A1730="","",'ATP Fills'!G1730)</f>
        <v/>
      </c>
      <c r="G1730" t="str">
        <f>IF(A1730="","",'ATP Fills'!H1730)</f>
        <v/>
      </c>
      <c r="H1730" t="str">
        <f>IF(A1730="","",VLOOKUP(G1730,表3_3[],2,0))</f>
        <v/>
      </c>
      <c r="I1730" t="str">
        <f>IF(A1730="","",VLOOKUP(G1730,表3_3[],3,0))</f>
        <v/>
      </c>
      <c r="J1730" t="str">
        <f>IF(A1730="","",IF('ATP Fills'!I1730="3M","",VLOOKUP(RIGHT('ATP Fills'!I1730,2),Helper1!$O$36:$P$48,2,0)))</f>
        <v/>
      </c>
      <c r="K1730" t="str">
        <f>IF(J1730="","",LEFT('ATP Fills'!I1730,4))</f>
        <v/>
      </c>
      <c r="L1730" t="str">
        <f>IF(A1730="","",IF('ATP Fills'!G1730="LME",'ATP Fills'!I1730,""))</f>
        <v/>
      </c>
      <c r="M1730" t="str">
        <f t="shared" si="26"/>
        <v/>
      </c>
    </row>
    <row r="1731" spans="1:13">
      <c r="A1731" t="str">
        <f>IF('ATP Fills'!A1731="","",IF('ATP Fills'!Q1731="PHILLIPSG",'ATP Fills'!F1731,""))</f>
        <v/>
      </c>
      <c r="B1731" t="str">
        <f>IF(A1731="","",'ATP Fills'!L1731)</f>
        <v/>
      </c>
      <c r="C1731" t="str">
        <f>IF(A1731="","",'ATP Fills'!M1731)</f>
        <v/>
      </c>
      <c r="D1731" t="str">
        <f>IF(A1731="","",'ATP Fills'!B1731)</f>
        <v/>
      </c>
      <c r="E1731" s="3" t="str">
        <f>IF(A1731="","",IF(DATE(LEFT(D1731,4),MID(D1731,5,2),RIGHT(D1731,2))=Helper1!$P$1,Helper1!$P$1,""))</f>
        <v/>
      </c>
      <c r="F1731" s="3" t="str">
        <f>IF(A1731="","",'ATP Fills'!G1731)</f>
        <v/>
      </c>
      <c r="G1731" t="str">
        <f>IF(A1731="","",'ATP Fills'!H1731)</f>
        <v/>
      </c>
      <c r="H1731" t="str">
        <f>IF(A1731="","",VLOOKUP(G1731,表3_3[],2,0))</f>
        <v/>
      </c>
      <c r="I1731" t="str">
        <f>IF(A1731="","",VLOOKUP(G1731,表3_3[],3,0))</f>
        <v/>
      </c>
      <c r="J1731" t="str">
        <f>IF(A1731="","",IF('ATP Fills'!I1731="3M","",VLOOKUP(RIGHT('ATP Fills'!I1731,2),Helper1!$O$36:$P$48,2,0)))</f>
        <v/>
      </c>
      <c r="K1731" t="str">
        <f>IF(J1731="","",LEFT('ATP Fills'!I1731,4))</f>
        <v/>
      </c>
      <c r="L1731" t="str">
        <f>IF(A1731="","",IF('ATP Fills'!G1731="LME",'ATP Fills'!I1731,""))</f>
        <v/>
      </c>
      <c r="M1731" t="str">
        <f t="shared" ref="M1731:M1794" si="27">IF(A1731="","",IF(F1731="LME",F1731&amp;"-"&amp;I1731&amp;"-"&amp;L1731,J1731&amp;"-"&amp;K1731&amp;"-"&amp;I1731))</f>
        <v/>
      </c>
    </row>
    <row r="1732" spans="1:13">
      <c r="A1732" t="str">
        <f>IF('ATP Fills'!A1732="","",IF('ATP Fills'!Q1732="PHILLIPSG",'ATP Fills'!F1732,""))</f>
        <v/>
      </c>
      <c r="B1732" t="str">
        <f>IF(A1732="","",'ATP Fills'!L1732)</f>
        <v/>
      </c>
      <c r="C1732" t="str">
        <f>IF(A1732="","",'ATP Fills'!M1732)</f>
        <v/>
      </c>
      <c r="D1732" t="str">
        <f>IF(A1732="","",'ATP Fills'!B1732)</f>
        <v/>
      </c>
      <c r="E1732" s="3" t="str">
        <f>IF(A1732="","",IF(DATE(LEFT(D1732,4),MID(D1732,5,2),RIGHT(D1732,2))=Helper1!$P$1,Helper1!$P$1,""))</f>
        <v/>
      </c>
      <c r="F1732" s="3" t="str">
        <f>IF(A1732="","",'ATP Fills'!G1732)</f>
        <v/>
      </c>
      <c r="G1732" t="str">
        <f>IF(A1732="","",'ATP Fills'!H1732)</f>
        <v/>
      </c>
      <c r="H1732" t="str">
        <f>IF(A1732="","",VLOOKUP(G1732,表3_3[],2,0))</f>
        <v/>
      </c>
      <c r="I1732" t="str">
        <f>IF(A1732="","",VLOOKUP(G1732,表3_3[],3,0))</f>
        <v/>
      </c>
      <c r="J1732" t="str">
        <f>IF(A1732="","",IF('ATP Fills'!I1732="3M","",VLOOKUP(RIGHT('ATP Fills'!I1732,2),Helper1!$O$36:$P$48,2,0)))</f>
        <v/>
      </c>
      <c r="K1732" t="str">
        <f>IF(J1732="","",LEFT('ATP Fills'!I1732,4))</f>
        <v/>
      </c>
      <c r="L1732" t="str">
        <f>IF(A1732="","",IF('ATP Fills'!G1732="LME",'ATP Fills'!I1732,""))</f>
        <v/>
      </c>
      <c r="M1732" t="str">
        <f t="shared" si="27"/>
        <v/>
      </c>
    </row>
    <row r="1733" spans="1:13">
      <c r="A1733" t="str">
        <f>IF('ATP Fills'!A1733="","",IF('ATP Fills'!Q1733="PHILLIPSG",'ATP Fills'!F1733,""))</f>
        <v/>
      </c>
      <c r="B1733" t="str">
        <f>IF(A1733="","",'ATP Fills'!L1733)</f>
        <v/>
      </c>
      <c r="C1733" t="str">
        <f>IF(A1733="","",'ATP Fills'!M1733)</f>
        <v/>
      </c>
      <c r="D1733" t="str">
        <f>IF(A1733="","",'ATP Fills'!B1733)</f>
        <v/>
      </c>
      <c r="E1733" s="3" t="str">
        <f>IF(A1733="","",IF(DATE(LEFT(D1733,4),MID(D1733,5,2),RIGHT(D1733,2))=Helper1!$P$1,Helper1!$P$1,""))</f>
        <v/>
      </c>
      <c r="F1733" s="3" t="str">
        <f>IF(A1733="","",'ATP Fills'!G1733)</f>
        <v/>
      </c>
      <c r="G1733" t="str">
        <f>IF(A1733="","",'ATP Fills'!H1733)</f>
        <v/>
      </c>
      <c r="H1733" t="str">
        <f>IF(A1733="","",VLOOKUP(G1733,表3_3[],2,0))</f>
        <v/>
      </c>
      <c r="I1733" t="str">
        <f>IF(A1733="","",VLOOKUP(G1733,表3_3[],3,0))</f>
        <v/>
      </c>
      <c r="J1733" t="str">
        <f>IF(A1733="","",IF('ATP Fills'!I1733="3M","",VLOOKUP(RIGHT('ATP Fills'!I1733,2),Helper1!$O$36:$P$48,2,0)))</f>
        <v/>
      </c>
      <c r="K1733" t="str">
        <f>IF(J1733="","",LEFT('ATP Fills'!I1733,4))</f>
        <v/>
      </c>
      <c r="L1733" t="str">
        <f>IF(A1733="","",IF('ATP Fills'!G1733="LME",'ATP Fills'!I1733,""))</f>
        <v/>
      </c>
      <c r="M1733" t="str">
        <f t="shared" si="27"/>
        <v/>
      </c>
    </row>
    <row r="1734" spans="1:13">
      <c r="A1734" t="str">
        <f>IF('ATP Fills'!A1734="","",IF('ATP Fills'!Q1734="PHILLIPSG",'ATP Fills'!F1734,""))</f>
        <v/>
      </c>
      <c r="B1734" t="str">
        <f>IF(A1734="","",'ATP Fills'!L1734)</f>
        <v/>
      </c>
      <c r="C1734" t="str">
        <f>IF(A1734="","",'ATP Fills'!M1734)</f>
        <v/>
      </c>
      <c r="D1734" t="str">
        <f>IF(A1734="","",'ATP Fills'!B1734)</f>
        <v/>
      </c>
      <c r="E1734" s="3" t="str">
        <f>IF(A1734="","",IF(DATE(LEFT(D1734,4),MID(D1734,5,2),RIGHT(D1734,2))=Helper1!$P$1,Helper1!$P$1,""))</f>
        <v/>
      </c>
      <c r="F1734" s="3" t="str">
        <f>IF(A1734="","",'ATP Fills'!G1734)</f>
        <v/>
      </c>
      <c r="G1734" t="str">
        <f>IF(A1734="","",'ATP Fills'!H1734)</f>
        <v/>
      </c>
      <c r="H1734" t="str">
        <f>IF(A1734="","",VLOOKUP(G1734,表3_3[],2,0))</f>
        <v/>
      </c>
      <c r="I1734" t="str">
        <f>IF(A1734="","",VLOOKUP(G1734,表3_3[],3,0))</f>
        <v/>
      </c>
      <c r="J1734" t="str">
        <f>IF(A1734="","",IF('ATP Fills'!I1734="3M","",VLOOKUP(RIGHT('ATP Fills'!I1734,2),Helper1!$O$36:$P$48,2,0)))</f>
        <v/>
      </c>
      <c r="K1734" t="str">
        <f>IF(J1734="","",LEFT('ATP Fills'!I1734,4))</f>
        <v/>
      </c>
      <c r="L1734" t="str">
        <f>IF(A1734="","",IF('ATP Fills'!G1734="LME",'ATP Fills'!I1734,""))</f>
        <v/>
      </c>
      <c r="M1734" t="str">
        <f t="shared" si="27"/>
        <v/>
      </c>
    </row>
    <row r="1735" spans="1:13">
      <c r="A1735" t="str">
        <f>IF('ATP Fills'!A1735="","",IF('ATP Fills'!Q1735="PHILLIPSG",'ATP Fills'!F1735,""))</f>
        <v/>
      </c>
      <c r="B1735" t="str">
        <f>IF(A1735="","",'ATP Fills'!L1735)</f>
        <v/>
      </c>
      <c r="C1735" t="str">
        <f>IF(A1735="","",'ATP Fills'!M1735)</f>
        <v/>
      </c>
      <c r="D1735" t="str">
        <f>IF(A1735="","",'ATP Fills'!B1735)</f>
        <v/>
      </c>
      <c r="E1735" s="3" t="str">
        <f>IF(A1735="","",IF(DATE(LEFT(D1735,4),MID(D1735,5,2),RIGHT(D1735,2))=Helper1!$P$1,Helper1!$P$1,""))</f>
        <v/>
      </c>
      <c r="F1735" s="3" t="str">
        <f>IF(A1735="","",'ATP Fills'!G1735)</f>
        <v/>
      </c>
      <c r="G1735" t="str">
        <f>IF(A1735="","",'ATP Fills'!H1735)</f>
        <v/>
      </c>
      <c r="H1735" t="str">
        <f>IF(A1735="","",VLOOKUP(G1735,表3_3[],2,0))</f>
        <v/>
      </c>
      <c r="I1735" t="str">
        <f>IF(A1735="","",VLOOKUP(G1735,表3_3[],3,0))</f>
        <v/>
      </c>
      <c r="J1735" t="str">
        <f>IF(A1735="","",IF('ATP Fills'!I1735="3M","",VLOOKUP(RIGHT('ATP Fills'!I1735,2),Helper1!$O$36:$P$48,2,0)))</f>
        <v/>
      </c>
      <c r="K1735" t="str">
        <f>IF(J1735="","",LEFT('ATP Fills'!I1735,4))</f>
        <v/>
      </c>
      <c r="L1735" t="str">
        <f>IF(A1735="","",IF('ATP Fills'!G1735="LME",'ATP Fills'!I1735,""))</f>
        <v/>
      </c>
      <c r="M1735" t="str">
        <f t="shared" si="27"/>
        <v/>
      </c>
    </row>
    <row r="1736" spans="1:13">
      <c r="A1736" t="str">
        <f>IF('ATP Fills'!A1736="","",IF('ATP Fills'!Q1736="PHILLIPSG",'ATP Fills'!F1736,""))</f>
        <v/>
      </c>
      <c r="B1736" t="str">
        <f>IF(A1736="","",'ATP Fills'!L1736)</f>
        <v/>
      </c>
      <c r="C1736" t="str">
        <f>IF(A1736="","",'ATP Fills'!M1736)</f>
        <v/>
      </c>
      <c r="D1736" t="str">
        <f>IF(A1736="","",'ATP Fills'!B1736)</f>
        <v/>
      </c>
      <c r="E1736" s="3" t="str">
        <f>IF(A1736="","",IF(DATE(LEFT(D1736,4),MID(D1736,5,2),RIGHT(D1736,2))=Helper1!$P$1,Helper1!$P$1,""))</f>
        <v/>
      </c>
      <c r="F1736" s="3" t="str">
        <f>IF(A1736="","",'ATP Fills'!G1736)</f>
        <v/>
      </c>
      <c r="G1736" t="str">
        <f>IF(A1736="","",'ATP Fills'!H1736)</f>
        <v/>
      </c>
      <c r="H1736" t="str">
        <f>IF(A1736="","",VLOOKUP(G1736,表3_3[],2,0))</f>
        <v/>
      </c>
      <c r="I1736" t="str">
        <f>IF(A1736="","",VLOOKUP(G1736,表3_3[],3,0))</f>
        <v/>
      </c>
      <c r="J1736" t="str">
        <f>IF(A1736="","",IF('ATP Fills'!I1736="3M","",VLOOKUP(RIGHT('ATP Fills'!I1736,2),Helper1!$O$36:$P$48,2,0)))</f>
        <v/>
      </c>
      <c r="K1736" t="str">
        <f>IF(J1736="","",LEFT('ATP Fills'!I1736,4))</f>
        <v/>
      </c>
      <c r="L1736" t="str">
        <f>IF(A1736="","",IF('ATP Fills'!G1736="LME",'ATP Fills'!I1736,""))</f>
        <v/>
      </c>
      <c r="M1736" t="str">
        <f t="shared" si="27"/>
        <v/>
      </c>
    </row>
    <row r="1737" spans="1:13">
      <c r="A1737" t="str">
        <f>IF('ATP Fills'!A1737="","",IF('ATP Fills'!Q1737="PHILLIPSG",'ATP Fills'!F1737,""))</f>
        <v/>
      </c>
      <c r="B1737" t="str">
        <f>IF(A1737="","",'ATP Fills'!L1737)</f>
        <v/>
      </c>
      <c r="C1737" t="str">
        <f>IF(A1737="","",'ATP Fills'!M1737)</f>
        <v/>
      </c>
      <c r="D1737" t="str">
        <f>IF(A1737="","",'ATP Fills'!B1737)</f>
        <v/>
      </c>
      <c r="E1737" s="3" t="str">
        <f>IF(A1737="","",IF(DATE(LEFT(D1737,4),MID(D1737,5,2),RIGHT(D1737,2))=Helper1!$P$1,Helper1!$P$1,""))</f>
        <v/>
      </c>
      <c r="F1737" s="3" t="str">
        <f>IF(A1737="","",'ATP Fills'!G1737)</f>
        <v/>
      </c>
      <c r="G1737" t="str">
        <f>IF(A1737="","",'ATP Fills'!H1737)</f>
        <v/>
      </c>
      <c r="H1737" t="str">
        <f>IF(A1737="","",VLOOKUP(G1737,表3_3[],2,0))</f>
        <v/>
      </c>
      <c r="I1737" t="str">
        <f>IF(A1737="","",VLOOKUP(G1737,表3_3[],3,0))</f>
        <v/>
      </c>
      <c r="J1737" t="str">
        <f>IF(A1737="","",IF('ATP Fills'!I1737="3M","",VLOOKUP(RIGHT('ATP Fills'!I1737,2),Helper1!$O$36:$P$48,2,0)))</f>
        <v/>
      </c>
      <c r="K1737" t="str">
        <f>IF(J1737="","",LEFT('ATP Fills'!I1737,4))</f>
        <v/>
      </c>
      <c r="L1737" t="str">
        <f>IF(A1737="","",IF('ATP Fills'!G1737="LME",'ATP Fills'!I1737,""))</f>
        <v/>
      </c>
      <c r="M1737" t="str">
        <f t="shared" si="27"/>
        <v/>
      </c>
    </row>
    <row r="1738" spans="1:13">
      <c r="A1738" t="str">
        <f>IF('ATP Fills'!A1738="","",IF('ATP Fills'!Q1738="PHILLIPSG",'ATP Fills'!F1738,""))</f>
        <v/>
      </c>
      <c r="B1738" t="str">
        <f>IF(A1738="","",'ATP Fills'!L1738)</f>
        <v/>
      </c>
      <c r="C1738" t="str">
        <f>IF(A1738="","",'ATP Fills'!M1738)</f>
        <v/>
      </c>
      <c r="D1738" t="str">
        <f>IF(A1738="","",'ATP Fills'!B1738)</f>
        <v/>
      </c>
      <c r="E1738" s="3" t="str">
        <f>IF(A1738="","",IF(DATE(LEFT(D1738,4),MID(D1738,5,2),RIGHT(D1738,2))=Helper1!$P$1,Helper1!$P$1,""))</f>
        <v/>
      </c>
      <c r="F1738" s="3" t="str">
        <f>IF(A1738="","",'ATP Fills'!G1738)</f>
        <v/>
      </c>
      <c r="G1738" t="str">
        <f>IF(A1738="","",'ATP Fills'!H1738)</f>
        <v/>
      </c>
      <c r="H1738" t="str">
        <f>IF(A1738="","",VLOOKUP(G1738,表3_3[],2,0))</f>
        <v/>
      </c>
      <c r="I1738" t="str">
        <f>IF(A1738="","",VLOOKUP(G1738,表3_3[],3,0))</f>
        <v/>
      </c>
      <c r="J1738" t="str">
        <f>IF(A1738="","",IF('ATP Fills'!I1738="3M","",VLOOKUP(RIGHT('ATP Fills'!I1738,2),Helper1!$O$36:$P$48,2,0)))</f>
        <v/>
      </c>
      <c r="K1738" t="str">
        <f>IF(J1738="","",LEFT('ATP Fills'!I1738,4))</f>
        <v/>
      </c>
      <c r="L1738" t="str">
        <f>IF(A1738="","",IF('ATP Fills'!G1738="LME",'ATP Fills'!I1738,""))</f>
        <v/>
      </c>
      <c r="M1738" t="str">
        <f t="shared" si="27"/>
        <v/>
      </c>
    </row>
    <row r="1739" spans="1:13">
      <c r="A1739" t="str">
        <f>IF('ATP Fills'!A1739="","",IF('ATP Fills'!Q1739="PHILLIPSG",'ATP Fills'!F1739,""))</f>
        <v/>
      </c>
      <c r="B1739" t="str">
        <f>IF(A1739="","",'ATP Fills'!L1739)</f>
        <v/>
      </c>
      <c r="C1739" t="str">
        <f>IF(A1739="","",'ATP Fills'!M1739)</f>
        <v/>
      </c>
      <c r="D1739" t="str">
        <f>IF(A1739="","",'ATP Fills'!B1739)</f>
        <v/>
      </c>
      <c r="E1739" s="3" t="str">
        <f>IF(A1739="","",IF(DATE(LEFT(D1739,4),MID(D1739,5,2),RIGHT(D1739,2))=Helper1!$P$1,Helper1!$P$1,""))</f>
        <v/>
      </c>
      <c r="F1739" s="3" t="str">
        <f>IF(A1739="","",'ATP Fills'!G1739)</f>
        <v/>
      </c>
      <c r="G1739" t="str">
        <f>IF(A1739="","",'ATP Fills'!H1739)</f>
        <v/>
      </c>
      <c r="H1739" t="str">
        <f>IF(A1739="","",VLOOKUP(G1739,表3_3[],2,0))</f>
        <v/>
      </c>
      <c r="I1739" t="str">
        <f>IF(A1739="","",VLOOKUP(G1739,表3_3[],3,0))</f>
        <v/>
      </c>
      <c r="J1739" t="str">
        <f>IF(A1739="","",IF('ATP Fills'!I1739="3M","",VLOOKUP(RIGHT('ATP Fills'!I1739,2),Helper1!$O$36:$P$48,2,0)))</f>
        <v/>
      </c>
      <c r="K1739" t="str">
        <f>IF(J1739="","",LEFT('ATP Fills'!I1739,4))</f>
        <v/>
      </c>
      <c r="L1739" t="str">
        <f>IF(A1739="","",IF('ATP Fills'!G1739="LME",'ATP Fills'!I1739,""))</f>
        <v/>
      </c>
      <c r="M1739" t="str">
        <f t="shared" si="27"/>
        <v/>
      </c>
    </row>
    <row r="1740" spans="1:13">
      <c r="A1740" t="str">
        <f>IF('ATP Fills'!A1740="","",IF('ATP Fills'!Q1740="PHILLIPSG",'ATP Fills'!F1740,""))</f>
        <v/>
      </c>
      <c r="B1740" t="str">
        <f>IF(A1740="","",'ATP Fills'!L1740)</f>
        <v/>
      </c>
      <c r="C1740" t="str">
        <f>IF(A1740="","",'ATP Fills'!M1740)</f>
        <v/>
      </c>
      <c r="D1740" t="str">
        <f>IF(A1740="","",'ATP Fills'!B1740)</f>
        <v/>
      </c>
      <c r="E1740" s="3" t="str">
        <f>IF(A1740="","",IF(DATE(LEFT(D1740,4),MID(D1740,5,2),RIGHT(D1740,2))=Helper1!$P$1,Helper1!$P$1,""))</f>
        <v/>
      </c>
      <c r="F1740" s="3" t="str">
        <f>IF(A1740="","",'ATP Fills'!G1740)</f>
        <v/>
      </c>
      <c r="G1740" t="str">
        <f>IF(A1740="","",'ATP Fills'!H1740)</f>
        <v/>
      </c>
      <c r="H1740" t="str">
        <f>IF(A1740="","",VLOOKUP(G1740,表3_3[],2,0))</f>
        <v/>
      </c>
      <c r="I1740" t="str">
        <f>IF(A1740="","",VLOOKUP(G1740,表3_3[],3,0))</f>
        <v/>
      </c>
      <c r="J1740" t="str">
        <f>IF(A1740="","",IF('ATP Fills'!I1740="3M","",VLOOKUP(RIGHT('ATP Fills'!I1740,2),Helper1!$O$36:$P$48,2,0)))</f>
        <v/>
      </c>
      <c r="K1740" t="str">
        <f>IF(J1740="","",LEFT('ATP Fills'!I1740,4))</f>
        <v/>
      </c>
      <c r="L1740" t="str">
        <f>IF(A1740="","",IF('ATP Fills'!G1740="LME",'ATP Fills'!I1740,""))</f>
        <v/>
      </c>
      <c r="M1740" t="str">
        <f t="shared" si="27"/>
        <v/>
      </c>
    </row>
    <row r="1741" spans="1:13">
      <c r="A1741" t="str">
        <f>IF('ATP Fills'!A1741="","",IF('ATP Fills'!Q1741="PHILLIPSG",'ATP Fills'!F1741,""))</f>
        <v/>
      </c>
      <c r="B1741" t="str">
        <f>IF(A1741="","",'ATP Fills'!L1741)</f>
        <v/>
      </c>
      <c r="C1741" t="str">
        <f>IF(A1741="","",'ATP Fills'!M1741)</f>
        <v/>
      </c>
      <c r="D1741" t="str">
        <f>IF(A1741="","",'ATP Fills'!B1741)</f>
        <v/>
      </c>
      <c r="E1741" s="3" t="str">
        <f>IF(A1741="","",IF(DATE(LEFT(D1741,4),MID(D1741,5,2),RIGHT(D1741,2))=Helper1!$P$1,Helper1!$P$1,""))</f>
        <v/>
      </c>
      <c r="F1741" s="3" t="str">
        <f>IF(A1741="","",'ATP Fills'!G1741)</f>
        <v/>
      </c>
      <c r="G1741" t="str">
        <f>IF(A1741="","",'ATP Fills'!H1741)</f>
        <v/>
      </c>
      <c r="H1741" t="str">
        <f>IF(A1741="","",VLOOKUP(G1741,表3_3[],2,0))</f>
        <v/>
      </c>
      <c r="I1741" t="str">
        <f>IF(A1741="","",VLOOKUP(G1741,表3_3[],3,0))</f>
        <v/>
      </c>
      <c r="J1741" t="str">
        <f>IF(A1741="","",IF('ATP Fills'!I1741="3M","",VLOOKUP(RIGHT('ATP Fills'!I1741,2),Helper1!$O$36:$P$48,2,0)))</f>
        <v/>
      </c>
      <c r="K1741" t="str">
        <f>IF(J1741="","",LEFT('ATP Fills'!I1741,4))</f>
        <v/>
      </c>
      <c r="L1741" t="str">
        <f>IF(A1741="","",IF('ATP Fills'!G1741="LME",'ATP Fills'!I1741,""))</f>
        <v/>
      </c>
      <c r="M1741" t="str">
        <f t="shared" si="27"/>
        <v/>
      </c>
    </row>
    <row r="1742" spans="1:13">
      <c r="A1742" t="str">
        <f>IF('ATP Fills'!A1742="","",IF('ATP Fills'!Q1742="PHILLIPSG",'ATP Fills'!F1742,""))</f>
        <v/>
      </c>
      <c r="B1742" t="str">
        <f>IF(A1742="","",'ATP Fills'!L1742)</f>
        <v/>
      </c>
      <c r="C1742" t="str">
        <f>IF(A1742="","",'ATP Fills'!M1742)</f>
        <v/>
      </c>
      <c r="D1742" t="str">
        <f>IF(A1742="","",'ATP Fills'!B1742)</f>
        <v/>
      </c>
      <c r="E1742" s="3" t="str">
        <f>IF(A1742="","",IF(DATE(LEFT(D1742,4),MID(D1742,5,2),RIGHT(D1742,2))=Helper1!$P$1,Helper1!$P$1,""))</f>
        <v/>
      </c>
      <c r="F1742" s="3" t="str">
        <f>IF(A1742="","",'ATP Fills'!G1742)</f>
        <v/>
      </c>
      <c r="G1742" t="str">
        <f>IF(A1742="","",'ATP Fills'!H1742)</f>
        <v/>
      </c>
      <c r="H1742" t="str">
        <f>IF(A1742="","",VLOOKUP(G1742,表3_3[],2,0))</f>
        <v/>
      </c>
      <c r="I1742" t="str">
        <f>IF(A1742="","",VLOOKUP(G1742,表3_3[],3,0))</f>
        <v/>
      </c>
      <c r="J1742" t="str">
        <f>IF(A1742="","",IF('ATP Fills'!I1742="3M","",VLOOKUP(RIGHT('ATP Fills'!I1742,2),Helper1!$O$36:$P$48,2,0)))</f>
        <v/>
      </c>
      <c r="K1742" t="str">
        <f>IF(J1742="","",LEFT('ATP Fills'!I1742,4))</f>
        <v/>
      </c>
      <c r="L1742" t="str">
        <f>IF(A1742="","",IF('ATP Fills'!G1742="LME",'ATP Fills'!I1742,""))</f>
        <v/>
      </c>
      <c r="M1742" t="str">
        <f t="shared" si="27"/>
        <v/>
      </c>
    </row>
    <row r="1743" spans="1:13">
      <c r="A1743" t="str">
        <f>IF('ATP Fills'!A1743="","",IF('ATP Fills'!Q1743="PHILLIPSG",'ATP Fills'!F1743,""))</f>
        <v/>
      </c>
      <c r="B1743" t="str">
        <f>IF(A1743="","",'ATP Fills'!L1743)</f>
        <v/>
      </c>
      <c r="C1743" t="str">
        <f>IF(A1743="","",'ATP Fills'!M1743)</f>
        <v/>
      </c>
      <c r="D1743" t="str">
        <f>IF(A1743="","",'ATP Fills'!B1743)</f>
        <v/>
      </c>
      <c r="E1743" s="3" t="str">
        <f>IF(A1743="","",IF(DATE(LEFT(D1743,4),MID(D1743,5,2),RIGHT(D1743,2))=Helper1!$P$1,Helper1!$P$1,""))</f>
        <v/>
      </c>
      <c r="F1743" s="3" t="str">
        <f>IF(A1743="","",'ATP Fills'!G1743)</f>
        <v/>
      </c>
      <c r="G1743" t="str">
        <f>IF(A1743="","",'ATP Fills'!H1743)</f>
        <v/>
      </c>
      <c r="H1743" t="str">
        <f>IF(A1743="","",VLOOKUP(G1743,表3_3[],2,0))</f>
        <v/>
      </c>
      <c r="I1743" t="str">
        <f>IF(A1743="","",VLOOKUP(G1743,表3_3[],3,0))</f>
        <v/>
      </c>
      <c r="J1743" t="str">
        <f>IF(A1743="","",IF('ATP Fills'!I1743="3M","",VLOOKUP(RIGHT('ATP Fills'!I1743,2),Helper1!$O$36:$P$48,2,0)))</f>
        <v/>
      </c>
      <c r="K1743" t="str">
        <f>IF(J1743="","",LEFT('ATP Fills'!I1743,4))</f>
        <v/>
      </c>
      <c r="L1743" t="str">
        <f>IF(A1743="","",IF('ATP Fills'!G1743="LME",'ATP Fills'!I1743,""))</f>
        <v/>
      </c>
      <c r="M1743" t="str">
        <f t="shared" si="27"/>
        <v/>
      </c>
    </row>
    <row r="1744" spans="1:13">
      <c r="A1744" t="str">
        <f>IF('ATP Fills'!A1744="","",IF('ATP Fills'!Q1744="PHILLIPSG",'ATP Fills'!F1744,""))</f>
        <v/>
      </c>
      <c r="B1744" t="str">
        <f>IF(A1744="","",'ATP Fills'!L1744)</f>
        <v/>
      </c>
      <c r="C1744" t="str">
        <f>IF(A1744="","",'ATP Fills'!M1744)</f>
        <v/>
      </c>
      <c r="D1744" t="str">
        <f>IF(A1744="","",'ATP Fills'!B1744)</f>
        <v/>
      </c>
      <c r="E1744" s="3" t="str">
        <f>IF(A1744="","",IF(DATE(LEFT(D1744,4),MID(D1744,5,2),RIGHT(D1744,2))=Helper1!$P$1,Helper1!$P$1,""))</f>
        <v/>
      </c>
      <c r="F1744" s="3" t="str">
        <f>IF(A1744="","",'ATP Fills'!G1744)</f>
        <v/>
      </c>
      <c r="G1744" t="str">
        <f>IF(A1744="","",'ATP Fills'!H1744)</f>
        <v/>
      </c>
      <c r="H1744" t="str">
        <f>IF(A1744="","",VLOOKUP(G1744,表3_3[],2,0))</f>
        <v/>
      </c>
      <c r="I1744" t="str">
        <f>IF(A1744="","",VLOOKUP(G1744,表3_3[],3,0))</f>
        <v/>
      </c>
      <c r="J1744" t="str">
        <f>IF(A1744="","",IF('ATP Fills'!I1744="3M","",VLOOKUP(RIGHT('ATP Fills'!I1744,2),Helper1!$O$36:$P$48,2,0)))</f>
        <v/>
      </c>
      <c r="K1744" t="str">
        <f>IF(J1744="","",LEFT('ATP Fills'!I1744,4))</f>
        <v/>
      </c>
      <c r="L1744" t="str">
        <f>IF(A1744="","",IF('ATP Fills'!G1744="LME",'ATP Fills'!I1744,""))</f>
        <v/>
      </c>
      <c r="M1744" t="str">
        <f t="shared" si="27"/>
        <v/>
      </c>
    </row>
    <row r="1745" spans="1:13">
      <c r="A1745" t="str">
        <f>IF('ATP Fills'!A1745="","",IF('ATP Fills'!Q1745="PHILLIPSG",'ATP Fills'!F1745,""))</f>
        <v/>
      </c>
      <c r="B1745" t="str">
        <f>IF(A1745="","",'ATP Fills'!L1745)</f>
        <v/>
      </c>
      <c r="C1745" t="str">
        <f>IF(A1745="","",'ATP Fills'!M1745)</f>
        <v/>
      </c>
      <c r="D1745" t="str">
        <f>IF(A1745="","",'ATP Fills'!B1745)</f>
        <v/>
      </c>
      <c r="E1745" s="3" t="str">
        <f>IF(A1745="","",IF(DATE(LEFT(D1745,4),MID(D1745,5,2),RIGHT(D1745,2))=Helper1!$P$1,Helper1!$P$1,""))</f>
        <v/>
      </c>
      <c r="F1745" s="3" t="str">
        <f>IF(A1745="","",'ATP Fills'!G1745)</f>
        <v/>
      </c>
      <c r="G1745" t="str">
        <f>IF(A1745="","",'ATP Fills'!H1745)</f>
        <v/>
      </c>
      <c r="H1745" t="str">
        <f>IF(A1745="","",VLOOKUP(G1745,表3_3[],2,0))</f>
        <v/>
      </c>
      <c r="I1745" t="str">
        <f>IF(A1745="","",VLOOKUP(G1745,表3_3[],3,0))</f>
        <v/>
      </c>
      <c r="J1745" t="str">
        <f>IF(A1745="","",IF('ATP Fills'!I1745="3M","",VLOOKUP(RIGHT('ATP Fills'!I1745,2),Helper1!$O$36:$P$48,2,0)))</f>
        <v/>
      </c>
      <c r="K1745" t="str">
        <f>IF(J1745="","",LEFT('ATP Fills'!I1745,4))</f>
        <v/>
      </c>
      <c r="L1745" t="str">
        <f>IF(A1745="","",IF('ATP Fills'!G1745="LME",'ATP Fills'!I1745,""))</f>
        <v/>
      </c>
      <c r="M1745" t="str">
        <f t="shared" si="27"/>
        <v/>
      </c>
    </row>
    <row r="1746" spans="1:13">
      <c r="A1746" t="str">
        <f>IF('ATP Fills'!A1746="","",IF('ATP Fills'!Q1746="PHILLIPSG",'ATP Fills'!F1746,""))</f>
        <v/>
      </c>
      <c r="B1746" t="str">
        <f>IF(A1746="","",'ATP Fills'!L1746)</f>
        <v/>
      </c>
      <c r="C1746" t="str">
        <f>IF(A1746="","",'ATP Fills'!M1746)</f>
        <v/>
      </c>
      <c r="D1746" t="str">
        <f>IF(A1746="","",'ATP Fills'!B1746)</f>
        <v/>
      </c>
      <c r="E1746" s="3" t="str">
        <f>IF(A1746="","",IF(DATE(LEFT(D1746,4),MID(D1746,5,2),RIGHT(D1746,2))=Helper1!$P$1,Helper1!$P$1,""))</f>
        <v/>
      </c>
      <c r="F1746" s="3" t="str">
        <f>IF(A1746="","",'ATP Fills'!G1746)</f>
        <v/>
      </c>
      <c r="G1746" t="str">
        <f>IF(A1746="","",'ATP Fills'!H1746)</f>
        <v/>
      </c>
      <c r="H1746" t="str">
        <f>IF(A1746="","",VLOOKUP(G1746,表3_3[],2,0))</f>
        <v/>
      </c>
      <c r="I1746" t="str">
        <f>IF(A1746="","",VLOOKUP(G1746,表3_3[],3,0))</f>
        <v/>
      </c>
      <c r="J1746" t="str">
        <f>IF(A1746="","",IF('ATP Fills'!I1746="3M","",VLOOKUP(RIGHT('ATP Fills'!I1746,2),Helper1!$O$36:$P$48,2,0)))</f>
        <v/>
      </c>
      <c r="K1746" t="str">
        <f>IF(J1746="","",LEFT('ATP Fills'!I1746,4))</f>
        <v/>
      </c>
      <c r="L1746" t="str">
        <f>IF(A1746="","",IF('ATP Fills'!G1746="LME",'ATP Fills'!I1746,""))</f>
        <v/>
      </c>
      <c r="M1746" t="str">
        <f t="shared" si="27"/>
        <v/>
      </c>
    </row>
    <row r="1747" spans="1:13">
      <c r="A1747" t="str">
        <f>IF('ATP Fills'!A1747="","",IF('ATP Fills'!Q1747="PHILLIPSG",'ATP Fills'!F1747,""))</f>
        <v/>
      </c>
      <c r="B1747" t="str">
        <f>IF(A1747="","",'ATP Fills'!L1747)</f>
        <v/>
      </c>
      <c r="C1747" t="str">
        <f>IF(A1747="","",'ATP Fills'!M1747)</f>
        <v/>
      </c>
      <c r="D1747" t="str">
        <f>IF(A1747="","",'ATP Fills'!B1747)</f>
        <v/>
      </c>
      <c r="E1747" s="3" t="str">
        <f>IF(A1747="","",IF(DATE(LEFT(D1747,4),MID(D1747,5,2),RIGHT(D1747,2))=Helper1!$P$1,Helper1!$P$1,""))</f>
        <v/>
      </c>
      <c r="F1747" s="3" t="str">
        <f>IF(A1747="","",'ATP Fills'!G1747)</f>
        <v/>
      </c>
      <c r="G1747" t="str">
        <f>IF(A1747="","",'ATP Fills'!H1747)</f>
        <v/>
      </c>
      <c r="H1747" t="str">
        <f>IF(A1747="","",VLOOKUP(G1747,表3_3[],2,0))</f>
        <v/>
      </c>
      <c r="I1747" t="str">
        <f>IF(A1747="","",VLOOKUP(G1747,表3_3[],3,0))</f>
        <v/>
      </c>
      <c r="J1747" t="str">
        <f>IF(A1747="","",IF('ATP Fills'!I1747="3M","",VLOOKUP(RIGHT('ATP Fills'!I1747,2),Helper1!$O$36:$P$48,2,0)))</f>
        <v/>
      </c>
      <c r="K1747" t="str">
        <f>IF(J1747="","",LEFT('ATP Fills'!I1747,4))</f>
        <v/>
      </c>
      <c r="L1747" t="str">
        <f>IF(A1747="","",IF('ATP Fills'!G1747="LME",'ATP Fills'!I1747,""))</f>
        <v/>
      </c>
      <c r="M1747" t="str">
        <f t="shared" si="27"/>
        <v/>
      </c>
    </row>
    <row r="1748" spans="1:13">
      <c r="A1748" t="str">
        <f>IF('ATP Fills'!A1748="","",IF('ATP Fills'!Q1748="PHILLIPSG",'ATP Fills'!F1748,""))</f>
        <v/>
      </c>
      <c r="B1748" t="str">
        <f>IF(A1748="","",'ATP Fills'!L1748)</f>
        <v/>
      </c>
      <c r="C1748" t="str">
        <f>IF(A1748="","",'ATP Fills'!M1748)</f>
        <v/>
      </c>
      <c r="D1748" t="str">
        <f>IF(A1748="","",'ATP Fills'!B1748)</f>
        <v/>
      </c>
      <c r="E1748" s="3" t="str">
        <f>IF(A1748="","",IF(DATE(LEFT(D1748,4),MID(D1748,5,2),RIGHT(D1748,2))=Helper1!$P$1,Helper1!$P$1,""))</f>
        <v/>
      </c>
      <c r="F1748" s="3" t="str">
        <f>IF(A1748="","",'ATP Fills'!G1748)</f>
        <v/>
      </c>
      <c r="G1748" t="str">
        <f>IF(A1748="","",'ATP Fills'!H1748)</f>
        <v/>
      </c>
      <c r="H1748" t="str">
        <f>IF(A1748="","",VLOOKUP(G1748,表3_3[],2,0))</f>
        <v/>
      </c>
      <c r="I1748" t="str">
        <f>IF(A1748="","",VLOOKUP(G1748,表3_3[],3,0))</f>
        <v/>
      </c>
      <c r="J1748" t="str">
        <f>IF(A1748="","",IF('ATP Fills'!I1748="3M","",VLOOKUP(RIGHT('ATP Fills'!I1748,2),Helper1!$O$36:$P$48,2,0)))</f>
        <v/>
      </c>
      <c r="K1748" t="str">
        <f>IF(J1748="","",LEFT('ATP Fills'!I1748,4))</f>
        <v/>
      </c>
      <c r="L1748" t="str">
        <f>IF(A1748="","",IF('ATP Fills'!G1748="LME",'ATP Fills'!I1748,""))</f>
        <v/>
      </c>
      <c r="M1748" t="str">
        <f t="shared" si="27"/>
        <v/>
      </c>
    </row>
    <row r="1749" spans="1:13">
      <c r="A1749" t="str">
        <f>IF('ATP Fills'!A1749="","",IF('ATP Fills'!Q1749="PHILLIPSG",'ATP Fills'!F1749,""))</f>
        <v/>
      </c>
      <c r="B1749" t="str">
        <f>IF(A1749="","",'ATP Fills'!L1749)</f>
        <v/>
      </c>
      <c r="C1749" t="str">
        <f>IF(A1749="","",'ATP Fills'!M1749)</f>
        <v/>
      </c>
      <c r="D1749" t="str">
        <f>IF(A1749="","",'ATP Fills'!B1749)</f>
        <v/>
      </c>
      <c r="E1749" s="3" t="str">
        <f>IF(A1749="","",IF(DATE(LEFT(D1749,4),MID(D1749,5,2),RIGHT(D1749,2))=Helper1!$P$1,Helper1!$P$1,""))</f>
        <v/>
      </c>
      <c r="F1749" s="3" t="str">
        <f>IF(A1749="","",'ATP Fills'!G1749)</f>
        <v/>
      </c>
      <c r="G1749" t="str">
        <f>IF(A1749="","",'ATP Fills'!H1749)</f>
        <v/>
      </c>
      <c r="H1749" t="str">
        <f>IF(A1749="","",VLOOKUP(G1749,表3_3[],2,0))</f>
        <v/>
      </c>
      <c r="I1749" t="str">
        <f>IF(A1749="","",VLOOKUP(G1749,表3_3[],3,0))</f>
        <v/>
      </c>
      <c r="J1749" t="str">
        <f>IF(A1749="","",IF('ATP Fills'!I1749="3M","",VLOOKUP(RIGHT('ATP Fills'!I1749,2),Helper1!$O$36:$P$48,2,0)))</f>
        <v/>
      </c>
      <c r="K1749" t="str">
        <f>IF(J1749="","",LEFT('ATP Fills'!I1749,4))</f>
        <v/>
      </c>
      <c r="L1749" t="str">
        <f>IF(A1749="","",IF('ATP Fills'!G1749="LME",'ATP Fills'!I1749,""))</f>
        <v/>
      </c>
      <c r="M1749" t="str">
        <f t="shared" si="27"/>
        <v/>
      </c>
    </row>
    <row r="1750" spans="1:13">
      <c r="A1750" t="str">
        <f>IF('ATP Fills'!A1750="","",IF('ATP Fills'!Q1750="PHILLIPSG",'ATP Fills'!F1750,""))</f>
        <v/>
      </c>
      <c r="B1750" t="str">
        <f>IF(A1750="","",'ATP Fills'!L1750)</f>
        <v/>
      </c>
      <c r="C1750" t="str">
        <f>IF(A1750="","",'ATP Fills'!M1750)</f>
        <v/>
      </c>
      <c r="D1750" t="str">
        <f>IF(A1750="","",'ATP Fills'!B1750)</f>
        <v/>
      </c>
      <c r="E1750" s="3" t="str">
        <f>IF(A1750="","",IF(DATE(LEFT(D1750,4),MID(D1750,5,2),RIGHT(D1750,2))=Helper1!$P$1,Helper1!$P$1,""))</f>
        <v/>
      </c>
      <c r="F1750" s="3" t="str">
        <f>IF(A1750="","",'ATP Fills'!G1750)</f>
        <v/>
      </c>
      <c r="G1750" t="str">
        <f>IF(A1750="","",'ATP Fills'!H1750)</f>
        <v/>
      </c>
      <c r="H1750" t="str">
        <f>IF(A1750="","",VLOOKUP(G1750,表3_3[],2,0))</f>
        <v/>
      </c>
      <c r="I1750" t="str">
        <f>IF(A1750="","",VLOOKUP(G1750,表3_3[],3,0))</f>
        <v/>
      </c>
      <c r="J1750" t="str">
        <f>IF(A1750="","",IF('ATP Fills'!I1750="3M","",VLOOKUP(RIGHT('ATP Fills'!I1750,2),Helper1!$O$36:$P$48,2,0)))</f>
        <v/>
      </c>
      <c r="K1750" t="str">
        <f>IF(J1750="","",LEFT('ATP Fills'!I1750,4))</f>
        <v/>
      </c>
      <c r="L1750" t="str">
        <f>IF(A1750="","",IF('ATP Fills'!G1750="LME",'ATP Fills'!I1750,""))</f>
        <v/>
      </c>
      <c r="M1750" t="str">
        <f t="shared" si="27"/>
        <v/>
      </c>
    </row>
    <row r="1751" spans="1:13">
      <c r="A1751" t="str">
        <f>IF('ATP Fills'!A1751="","",IF('ATP Fills'!Q1751="PHILLIPSG",'ATP Fills'!F1751,""))</f>
        <v/>
      </c>
      <c r="B1751" t="str">
        <f>IF(A1751="","",'ATP Fills'!L1751)</f>
        <v/>
      </c>
      <c r="C1751" t="str">
        <f>IF(A1751="","",'ATP Fills'!M1751)</f>
        <v/>
      </c>
      <c r="D1751" t="str">
        <f>IF(A1751="","",'ATP Fills'!B1751)</f>
        <v/>
      </c>
      <c r="E1751" s="3" t="str">
        <f>IF(A1751="","",IF(DATE(LEFT(D1751,4),MID(D1751,5,2),RIGHT(D1751,2))=Helper1!$P$1,Helper1!$P$1,""))</f>
        <v/>
      </c>
      <c r="F1751" s="3" t="str">
        <f>IF(A1751="","",'ATP Fills'!G1751)</f>
        <v/>
      </c>
      <c r="G1751" t="str">
        <f>IF(A1751="","",'ATP Fills'!H1751)</f>
        <v/>
      </c>
      <c r="H1751" t="str">
        <f>IF(A1751="","",VLOOKUP(G1751,表3_3[],2,0))</f>
        <v/>
      </c>
      <c r="I1751" t="str">
        <f>IF(A1751="","",VLOOKUP(G1751,表3_3[],3,0))</f>
        <v/>
      </c>
      <c r="J1751" t="str">
        <f>IF(A1751="","",IF('ATP Fills'!I1751="3M","",VLOOKUP(RIGHT('ATP Fills'!I1751,2),Helper1!$O$36:$P$48,2,0)))</f>
        <v/>
      </c>
      <c r="K1751" t="str">
        <f>IF(J1751="","",LEFT('ATP Fills'!I1751,4))</f>
        <v/>
      </c>
      <c r="L1751" t="str">
        <f>IF(A1751="","",IF('ATP Fills'!G1751="LME",'ATP Fills'!I1751,""))</f>
        <v/>
      </c>
      <c r="M1751" t="str">
        <f t="shared" si="27"/>
        <v/>
      </c>
    </row>
    <row r="1752" spans="1:13">
      <c r="A1752" t="str">
        <f>IF('ATP Fills'!A1752="","",IF('ATP Fills'!Q1752="PHILLIPSG",'ATP Fills'!F1752,""))</f>
        <v/>
      </c>
      <c r="B1752" t="str">
        <f>IF(A1752="","",'ATP Fills'!L1752)</f>
        <v/>
      </c>
      <c r="C1752" t="str">
        <f>IF(A1752="","",'ATP Fills'!M1752)</f>
        <v/>
      </c>
      <c r="D1752" t="str">
        <f>IF(A1752="","",'ATP Fills'!B1752)</f>
        <v/>
      </c>
      <c r="E1752" s="3" t="str">
        <f>IF(A1752="","",IF(DATE(LEFT(D1752,4),MID(D1752,5,2),RIGHT(D1752,2))=Helper1!$P$1,Helper1!$P$1,""))</f>
        <v/>
      </c>
      <c r="F1752" s="3" t="str">
        <f>IF(A1752="","",'ATP Fills'!G1752)</f>
        <v/>
      </c>
      <c r="G1752" t="str">
        <f>IF(A1752="","",'ATP Fills'!H1752)</f>
        <v/>
      </c>
      <c r="H1752" t="str">
        <f>IF(A1752="","",VLOOKUP(G1752,表3_3[],2,0))</f>
        <v/>
      </c>
      <c r="I1752" t="str">
        <f>IF(A1752="","",VLOOKUP(G1752,表3_3[],3,0))</f>
        <v/>
      </c>
      <c r="J1752" t="str">
        <f>IF(A1752="","",IF('ATP Fills'!I1752="3M","",VLOOKUP(RIGHT('ATP Fills'!I1752,2),Helper1!$O$36:$P$48,2,0)))</f>
        <v/>
      </c>
      <c r="K1752" t="str">
        <f>IF(J1752="","",LEFT('ATP Fills'!I1752,4))</f>
        <v/>
      </c>
      <c r="L1752" t="str">
        <f>IF(A1752="","",IF('ATP Fills'!G1752="LME",'ATP Fills'!I1752,""))</f>
        <v/>
      </c>
      <c r="M1752" t="str">
        <f t="shared" si="27"/>
        <v/>
      </c>
    </row>
    <row r="1753" spans="1:13">
      <c r="A1753" t="str">
        <f>IF('ATP Fills'!A1753="","",IF('ATP Fills'!Q1753="PHILLIPSG",'ATP Fills'!F1753,""))</f>
        <v/>
      </c>
      <c r="B1753" t="str">
        <f>IF(A1753="","",'ATP Fills'!L1753)</f>
        <v/>
      </c>
      <c r="C1753" t="str">
        <f>IF(A1753="","",'ATP Fills'!M1753)</f>
        <v/>
      </c>
      <c r="D1753" t="str">
        <f>IF(A1753="","",'ATP Fills'!B1753)</f>
        <v/>
      </c>
      <c r="E1753" s="3" t="str">
        <f>IF(A1753="","",IF(DATE(LEFT(D1753,4),MID(D1753,5,2),RIGHT(D1753,2))=Helper1!$P$1,Helper1!$P$1,""))</f>
        <v/>
      </c>
      <c r="F1753" s="3" t="str">
        <f>IF(A1753="","",'ATP Fills'!G1753)</f>
        <v/>
      </c>
      <c r="G1753" t="str">
        <f>IF(A1753="","",'ATP Fills'!H1753)</f>
        <v/>
      </c>
      <c r="H1753" t="str">
        <f>IF(A1753="","",VLOOKUP(G1753,表3_3[],2,0))</f>
        <v/>
      </c>
      <c r="I1753" t="str">
        <f>IF(A1753="","",VLOOKUP(G1753,表3_3[],3,0))</f>
        <v/>
      </c>
      <c r="J1753" t="str">
        <f>IF(A1753="","",IF('ATP Fills'!I1753="3M","",VLOOKUP(RIGHT('ATP Fills'!I1753,2),Helper1!$O$36:$P$48,2,0)))</f>
        <v/>
      </c>
      <c r="K1753" t="str">
        <f>IF(J1753="","",LEFT('ATP Fills'!I1753,4))</f>
        <v/>
      </c>
      <c r="L1753" t="str">
        <f>IF(A1753="","",IF('ATP Fills'!G1753="LME",'ATP Fills'!I1753,""))</f>
        <v/>
      </c>
      <c r="M1753" t="str">
        <f t="shared" si="27"/>
        <v/>
      </c>
    </row>
    <row r="1754" spans="1:13">
      <c r="A1754" t="str">
        <f>IF('ATP Fills'!A1754="","",IF('ATP Fills'!Q1754="PHILLIPSG",'ATP Fills'!F1754,""))</f>
        <v/>
      </c>
      <c r="B1754" t="str">
        <f>IF(A1754="","",'ATP Fills'!L1754)</f>
        <v/>
      </c>
      <c r="C1754" t="str">
        <f>IF(A1754="","",'ATP Fills'!M1754)</f>
        <v/>
      </c>
      <c r="D1754" t="str">
        <f>IF(A1754="","",'ATP Fills'!B1754)</f>
        <v/>
      </c>
      <c r="E1754" s="3" t="str">
        <f>IF(A1754="","",IF(DATE(LEFT(D1754,4),MID(D1754,5,2),RIGHT(D1754,2))=Helper1!$P$1,Helper1!$P$1,""))</f>
        <v/>
      </c>
      <c r="F1754" s="3" t="str">
        <f>IF(A1754="","",'ATP Fills'!G1754)</f>
        <v/>
      </c>
      <c r="G1754" t="str">
        <f>IF(A1754="","",'ATP Fills'!H1754)</f>
        <v/>
      </c>
      <c r="H1754" t="str">
        <f>IF(A1754="","",VLOOKUP(G1754,表3_3[],2,0))</f>
        <v/>
      </c>
      <c r="I1754" t="str">
        <f>IF(A1754="","",VLOOKUP(G1754,表3_3[],3,0))</f>
        <v/>
      </c>
      <c r="J1754" t="str">
        <f>IF(A1754="","",IF('ATP Fills'!I1754="3M","",VLOOKUP(RIGHT('ATP Fills'!I1754,2),Helper1!$O$36:$P$48,2,0)))</f>
        <v/>
      </c>
      <c r="K1754" t="str">
        <f>IF(J1754="","",LEFT('ATP Fills'!I1754,4))</f>
        <v/>
      </c>
      <c r="L1754" t="str">
        <f>IF(A1754="","",IF('ATP Fills'!G1754="LME",'ATP Fills'!I1754,""))</f>
        <v/>
      </c>
      <c r="M1754" t="str">
        <f t="shared" si="27"/>
        <v/>
      </c>
    </row>
    <row r="1755" spans="1:13">
      <c r="A1755" t="str">
        <f>IF('ATP Fills'!A1755="","",IF('ATP Fills'!Q1755="PHILLIPSG",'ATP Fills'!F1755,""))</f>
        <v/>
      </c>
      <c r="B1755" t="str">
        <f>IF(A1755="","",'ATP Fills'!L1755)</f>
        <v/>
      </c>
      <c r="C1755" t="str">
        <f>IF(A1755="","",'ATP Fills'!M1755)</f>
        <v/>
      </c>
      <c r="D1755" t="str">
        <f>IF(A1755="","",'ATP Fills'!B1755)</f>
        <v/>
      </c>
      <c r="E1755" s="3" t="str">
        <f>IF(A1755="","",IF(DATE(LEFT(D1755,4),MID(D1755,5,2),RIGHT(D1755,2))=Helper1!$P$1,Helper1!$P$1,""))</f>
        <v/>
      </c>
      <c r="F1755" s="3" t="str">
        <f>IF(A1755="","",'ATP Fills'!G1755)</f>
        <v/>
      </c>
      <c r="G1755" t="str">
        <f>IF(A1755="","",'ATP Fills'!H1755)</f>
        <v/>
      </c>
      <c r="H1755" t="str">
        <f>IF(A1755="","",VLOOKUP(G1755,表3_3[],2,0))</f>
        <v/>
      </c>
      <c r="I1755" t="str">
        <f>IF(A1755="","",VLOOKUP(G1755,表3_3[],3,0))</f>
        <v/>
      </c>
      <c r="J1755" t="str">
        <f>IF(A1755="","",IF('ATP Fills'!I1755="3M","",VLOOKUP(RIGHT('ATP Fills'!I1755,2),Helper1!$O$36:$P$48,2,0)))</f>
        <v/>
      </c>
      <c r="K1755" t="str">
        <f>IF(J1755="","",LEFT('ATP Fills'!I1755,4))</f>
        <v/>
      </c>
      <c r="L1755" t="str">
        <f>IF(A1755="","",IF('ATP Fills'!G1755="LME",'ATP Fills'!I1755,""))</f>
        <v/>
      </c>
      <c r="M1755" t="str">
        <f t="shared" si="27"/>
        <v/>
      </c>
    </row>
    <row r="1756" spans="1:13">
      <c r="A1756" t="str">
        <f>IF('ATP Fills'!A1756="","",IF('ATP Fills'!Q1756="PHILLIPSG",'ATP Fills'!F1756,""))</f>
        <v/>
      </c>
      <c r="B1756" t="str">
        <f>IF(A1756="","",'ATP Fills'!L1756)</f>
        <v/>
      </c>
      <c r="C1756" t="str">
        <f>IF(A1756="","",'ATP Fills'!M1756)</f>
        <v/>
      </c>
      <c r="D1756" t="str">
        <f>IF(A1756="","",'ATP Fills'!B1756)</f>
        <v/>
      </c>
      <c r="E1756" s="3" t="str">
        <f>IF(A1756="","",IF(DATE(LEFT(D1756,4),MID(D1756,5,2),RIGHT(D1756,2))=Helper1!$P$1,Helper1!$P$1,""))</f>
        <v/>
      </c>
      <c r="F1756" s="3" t="str">
        <f>IF(A1756="","",'ATP Fills'!G1756)</f>
        <v/>
      </c>
      <c r="G1756" t="str">
        <f>IF(A1756="","",'ATP Fills'!H1756)</f>
        <v/>
      </c>
      <c r="H1756" t="str">
        <f>IF(A1756="","",VLOOKUP(G1756,表3_3[],2,0))</f>
        <v/>
      </c>
      <c r="I1756" t="str">
        <f>IF(A1756="","",VLOOKUP(G1756,表3_3[],3,0))</f>
        <v/>
      </c>
      <c r="J1756" t="str">
        <f>IF(A1756="","",IF('ATP Fills'!I1756="3M","",VLOOKUP(RIGHT('ATP Fills'!I1756,2),Helper1!$O$36:$P$48,2,0)))</f>
        <v/>
      </c>
      <c r="K1756" t="str">
        <f>IF(J1756="","",LEFT('ATP Fills'!I1756,4))</f>
        <v/>
      </c>
      <c r="L1756" t="str">
        <f>IF(A1756="","",IF('ATP Fills'!G1756="LME",'ATP Fills'!I1756,""))</f>
        <v/>
      </c>
      <c r="M1756" t="str">
        <f t="shared" si="27"/>
        <v/>
      </c>
    </row>
    <row r="1757" spans="1:13">
      <c r="A1757" t="str">
        <f>IF('ATP Fills'!A1757="","",IF('ATP Fills'!Q1757="PHILLIPSG",'ATP Fills'!F1757,""))</f>
        <v/>
      </c>
      <c r="B1757" t="str">
        <f>IF(A1757="","",'ATP Fills'!L1757)</f>
        <v/>
      </c>
      <c r="C1757" t="str">
        <f>IF(A1757="","",'ATP Fills'!M1757)</f>
        <v/>
      </c>
      <c r="D1757" t="str">
        <f>IF(A1757="","",'ATP Fills'!B1757)</f>
        <v/>
      </c>
      <c r="E1757" s="3" t="str">
        <f>IF(A1757="","",IF(DATE(LEFT(D1757,4),MID(D1757,5,2),RIGHT(D1757,2))=Helper1!$P$1,Helper1!$P$1,""))</f>
        <v/>
      </c>
      <c r="F1757" s="3" t="str">
        <f>IF(A1757="","",'ATP Fills'!G1757)</f>
        <v/>
      </c>
      <c r="G1757" t="str">
        <f>IF(A1757="","",'ATP Fills'!H1757)</f>
        <v/>
      </c>
      <c r="H1757" t="str">
        <f>IF(A1757="","",VLOOKUP(G1757,表3_3[],2,0))</f>
        <v/>
      </c>
      <c r="I1757" t="str">
        <f>IF(A1757="","",VLOOKUP(G1757,表3_3[],3,0))</f>
        <v/>
      </c>
      <c r="J1757" t="str">
        <f>IF(A1757="","",IF('ATP Fills'!I1757="3M","",VLOOKUP(RIGHT('ATP Fills'!I1757,2),Helper1!$O$36:$P$48,2,0)))</f>
        <v/>
      </c>
      <c r="K1757" t="str">
        <f>IF(J1757="","",LEFT('ATP Fills'!I1757,4))</f>
        <v/>
      </c>
      <c r="L1757" t="str">
        <f>IF(A1757="","",IF('ATP Fills'!G1757="LME",'ATP Fills'!I1757,""))</f>
        <v/>
      </c>
      <c r="M1757" t="str">
        <f t="shared" si="27"/>
        <v/>
      </c>
    </row>
    <row r="1758" spans="1:13">
      <c r="A1758" t="str">
        <f>IF('ATP Fills'!A1758="","",IF('ATP Fills'!Q1758="PHILLIPSG",'ATP Fills'!F1758,""))</f>
        <v/>
      </c>
      <c r="B1758" t="str">
        <f>IF(A1758="","",'ATP Fills'!L1758)</f>
        <v/>
      </c>
      <c r="C1758" t="str">
        <f>IF(A1758="","",'ATP Fills'!M1758)</f>
        <v/>
      </c>
      <c r="D1758" t="str">
        <f>IF(A1758="","",'ATP Fills'!B1758)</f>
        <v/>
      </c>
      <c r="E1758" s="3" t="str">
        <f>IF(A1758="","",IF(DATE(LEFT(D1758,4),MID(D1758,5,2),RIGHT(D1758,2))=Helper1!$P$1,Helper1!$P$1,""))</f>
        <v/>
      </c>
      <c r="F1758" s="3" t="str">
        <f>IF(A1758="","",'ATP Fills'!G1758)</f>
        <v/>
      </c>
      <c r="G1758" t="str">
        <f>IF(A1758="","",'ATP Fills'!H1758)</f>
        <v/>
      </c>
      <c r="H1758" t="str">
        <f>IF(A1758="","",VLOOKUP(G1758,表3_3[],2,0))</f>
        <v/>
      </c>
      <c r="I1758" t="str">
        <f>IF(A1758="","",VLOOKUP(G1758,表3_3[],3,0))</f>
        <v/>
      </c>
      <c r="J1758" t="str">
        <f>IF(A1758="","",IF('ATP Fills'!I1758="3M","",VLOOKUP(RIGHT('ATP Fills'!I1758,2),Helper1!$O$36:$P$48,2,0)))</f>
        <v/>
      </c>
      <c r="K1758" t="str">
        <f>IF(J1758="","",LEFT('ATP Fills'!I1758,4))</f>
        <v/>
      </c>
      <c r="L1758" t="str">
        <f>IF(A1758="","",IF('ATP Fills'!G1758="LME",'ATP Fills'!I1758,""))</f>
        <v/>
      </c>
      <c r="M1758" t="str">
        <f t="shared" si="27"/>
        <v/>
      </c>
    </row>
    <row r="1759" spans="1:13">
      <c r="A1759" t="str">
        <f>IF('ATP Fills'!A1759="","",IF('ATP Fills'!Q1759="PHILLIPSG",'ATP Fills'!F1759,""))</f>
        <v/>
      </c>
      <c r="B1759" t="str">
        <f>IF(A1759="","",'ATP Fills'!L1759)</f>
        <v/>
      </c>
      <c r="C1759" t="str">
        <f>IF(A1759="","",'ATP Fills'!M1759)</f>
        <v/>
      </c>
      <c r="D1759" t="str">
        <f>IF(A1759="","",'ATP Fills'!B1759)</f>
        <v/>
      </c>
      <c r="E1759" s="3" t="str">
        <f>IF(A1759="","",IF(DATE(LEFT(D1759,4),MID(D1759,5,2),RIGHT(D1759,2))=Helper1!$P$1,Helper1!$P$1,""))</f>
        <v/>
      </c>
      <c r="F1759" s="3" t="str">
        <f>IF(A1759="","",'ATP Fills'!G1759)</f>
        <v/>
      </c>
      <c r="G1759" t="str">
        <f>IF(A1759="","",'ATP Fills'!H1759)</f>
        <v/>
      </c>
      <c r="H1759" t="str">
        <f>IF(A1759="","",VLOOKUP(G1759,表3_3[],2,0))</f>
        <v/>
      </c>
      <c r="I1759" t="str">
        <f>IF(A1759="","",VLOOKUP(G1759,表3_3[],3,0))</f>
        <v/>
      </c>
      <c r="J1759" t="str">
        <f>IF(A1759="","",IF('ATP Fills'!I1759="3M","",VLOOKUP(RIGHT('ATP Fills'!I1759,2),Helper1!$O$36:$P$48,2,0)))</f>
        <v/>
      </c>
      <c r="K1759" t="str">
        <f>IF(J1759="","",LEFT('ATP Fills'!I1759,4))</f>
        <v/>
      </c>
      <c r="L1759" t="str">
        <f>IF(A1759="","",IF('ATP Fills'!G1759="LME",'ATP Fills'!I1759,""))</f>
        <v/>
      </c>
      <c r="M1759" t="str">
        <f t="shared" si="27"/>
        <v/>
      </c>
    </row>
    <row r="1760" spans="1:13">
      <c r="A1760" t="str">
        <f>IF('ATP Fills'!A1760="","",IF('ATP Fills'!Q1760="PHILLIPSG",'ATP Fills'!F1760,""))</f>
        <v/>
      </c>
      <c r="B1760" t="str">
        <f>IF(A1760="","",'ATP Fills'!L1760)</f>
        <v/>
      </c>
      <c r="C1760" t="str">
        <f>IF(A1760="","",'ATP Fills'!M1760)</f>
        <v/>
      </c>
      <c r="D1760" t="str">
        <f>IF(A1760="","",'ATP Fills'!B1760)</f>
        <v/>
      </c>
      <c r="E1760" s="3" t="str">
        <f>IF(A1760="","",IF(DATE(LEFT(D1760,4),MID(D1760,5,2),RIGHT(D1760,2))=Helper1!$P$1,Helper1!$P$1,""))</f>
        <v/>
      </c>
      <c r="F1760" s="3" t="str">
        <f>IF(A1760="","",'ATP Fills'!G1760)</f>
        <v/>
      </c>
      <c r="G1760" t="str">
        <f>IF(A1760="","",'ATP Fills'!H1760)</f>
        <v/>
      </c>
      <c r="H1760" t="str">
        <f>IF(A1760="","",VLOOKUP(G1760,表3_3[],2,0))</f>
        <v/>
      </c>
      <c r="I1760" t="str">
        <f>IF(A1760="","",VLOOKUP(G1760,表3_3[],3,0))</f>
        <v/>
      </c>
      <c r="J1760" t="str">
        <f>IF(A1760="","",IF('ATP Fills'!I1760="3M","",VLOOKUP(RIGHT('ATP Fills'!I1760,2),Helper1!$O$36:$P$48,2,0)))</f>
        <v/>
      </c>
      <c r="K1760" t="str">
        <f>IF(J1760="","",LEFT('ATP Fills'!I1760,4))</f>
        <v/>
      </c>
      <c r="L1760" t="str">
        <f>IF(A1760="","",IF('ATP Fills'!G1760="LME",'ATP Fills'!I1760,""))</f>
        <v/>
      </c>
      <c r="M1760" t="str">
        <f t="shared" si="27"/>
        <v/>
      </c>
    </row>
    <row r="1761" spans="1:13">
      <c r="A1761" t="str">
        <f>IF('ATP Fills'!A1761="","",IF('ATP Fills'!Q1761="PHILLIPSG",'ATP Fills'!F1761,""))</f>
        <v/>
      </c>
      <c r="B1761" t="str">
        <f>IF(A1761="","",'ATP Fills'!L1761)</f>
        <v/>
      </c>
      <c r="C1761" t="str">
        <f>IF(A1761="","",'ATP Fills'!M1761)</f>
        <v/>
      </c>
      <c r="D1761" t="str">
        <f>IF(A1761="","",'ATP Fills'!B1761)</f>
        <v/>
      </c>
      <c r="E1761" s="3" t="str">
        <f>IF(A1761="","",IF(DATE(LEFT(D1761,4),MID(D1761,5,2),RIGHT(D1761,2))=Helper1!$P$1,Helper1!$P$1,""))</f>
        <v/>
      </c>
      <c r="F1761" s="3" t="str">
        <f>IF(A1761="","",'ATP Fills'!G1761)</f>
        <v/>
      </c>
      <c r="G1761" t="str">
        <f>IF(A1761="","",'ATP Fills'!H1761)</f>
        <v/>
      </c>
      <c r="H1761" t="str">
        <f>IF(A1761="","",VLOOKUP(G1761,表3_3[],2,0))</f>
        <v/>
      </c>
      <c r="I1761" t="str">
        <f>IF(A1761="","",VLOOKUP(G1761,表3_3[],3,0))</f>
        <v/>
      </c>
      <c r="J1761" t="str">
        <f>IF(A1761="","",IF('ATP Fills'!I1761="3M","",VLOOKUP(RIGHT('ATP Fills'!I1761,2),Helper1!$O$36:$P$48,2,0)))</f>
        <v/>
      </c>
      <c r="K1761" t="str">
        <f>IF(J1761="","",LEFT('ATP Fills'!I1761,4))</f>
        <v/>
      </c>
      <c r="L1761" t="str">
        <f>IF(A1761="","",IF('ATP Fills'!G1761="LME",'ATP Fills'!I1761,""))</f>
        <v/>
      </c>
      <c r="M1761" t="str">
        <f t="shared" si="27"/>
        <v/>
      </c>
    </row>
    <row r="1762" spans="1:13">
      <c r="A1762" t="str">
        <f>IF('ATP Fills'!A1762="","",IF('ATP Fills'!Q1762="PHILLIPSG",'ATP Fills'!F1762,""))</f>
        <v/>
      </c>
      <c r="B1762" t="str">
        <f>IF(A1762="","",'ATP Fills'!L1762)</f>
        <v/>
      </c>
      <c r="C1762" t="str">
        <f>IF(A1762="","",'ATP Fills'!M1762)</f>
        <v/>
      </c>
      <c r="D1762" t="str">
        <f>IF(A1762="","",'ATP Fills'!B1762)</f>
        <v/>
      </c>
      <c r="E1762" s="3" t="str">
        <f>IF(A1762="","",IF(DATE(LEFT(D1762,4),MID(D1762,5,2),RIGHT(D1762,2))=Helper1!$P$1,Helper1!$P$1,""))</f>
        <v/>
      </c>
      <c r="F1762" s="3" t="str">
        <f>IF(A1762="","",'ATP Fills'!G1762)</f>
        <v/>
      </c>
      <c r="G1762" t="str">
        <f>IF(A1762="","",'ATP Fills'!H1762)</f>
        <v/>
      </c>
      <c r="H1762" t="str">
        <f>IF(A1762="","",VLOOKUP(G1762,表3_3[],2,0))</f>
        <v/>
      </c>
      <c r="I1762" t="str">
        <f>IF(A1762="","",VLOOKUP(G1762,表3_3[],3,0))</f>
        <v/>
      </c>
      <c r="J1762" t="str">
        <f>IF(A1762="","",IF('ATP Fills'!I1762="3M","",VLOOKUP(RIGHT('ATP Fills'!I1762,2),Helper1!$O$36:$P$48,2,0)))</f>
        <v/>
      </c>
      <c r="K1762" t="str">
        <f>IF(J1762="","",LEFT('ATP Fills'!I1762,4))</f>
        <v/>
      </c>
      <c r="L1762" t="str">
        <f>IF(A1762="","",IF('ATP Fills'!G1762="LME",'ATP Fills'!I1762,""))</f>
        <v/>
      </c>
      <c r="M1762" t="str">
        <f t="shared" si="27"/>
        <v/>
      </c>
    </row>
    <row r="1763" spans="1:13">
      <c r="A1763" t="str">
        <f>IF('ATP Fills'!A1763="","",IF('ATP Fills'!Q1763="PHILLIPSG",'ATP Fills'!F1763,""))</f>
        <v/>
      </c>
      <c r="B1763" t="str">
        <f>IF(A1763="","",'ATP Fills'!L1763)</f>
        <v/>
      </c>
      <c r="C1763" t="str">
        <f>IF(A1763="","",'ATP Fills'!M1763)</f>
        <v/>
      </c>
      <c r="D1763" t="str">
        <f>IF(A1763="","",'ATP Fills'!B1763)</f>
        <v/>
      </c>
      <c r="E1763" s="3" t="str">
        <f>IF(A1763="","",IF(DATE(LEFT(D1763,4),MID(D1763,5,2),RIGHT(D1763,2))=Helper1!$P$1,Helper1!$P$1,""))</f>
        <v/>
      </c>
      <c r="F1763" s="3" t="str">
        <f>IF(A1763="","",'ATP Fills'!G1763)</f>
        <v/>
      </c>
      <c r="G1763" t="str">
        <f>IF(A1763="","",'ATP Fills'!H1763)</f>
        <v/>
      </c>
      <c r="H1763" t="str">
        <f>IF(A1763="","",VLOOKUP(G1763,表3_3[],2,0))</f>
        <v/>
      </c>
      <c r="I1763" t="str">
        <f>IF(A1763="","",VLOOKUP(G1763,表3_3[],3,0))</f>
        <v/>
      </c>
      <c r="J1763" t="str">
        <f>IF(A1763="","",IF('ATP Fills'!I1763="3M","",VLOOKUP(RIGHT('ATP Fills'!I1763,2),Helper1!$O$36:$P$48,2,0)))</f>
        <v/>
      </c>
      <c r="K1763" t="str">
        <f>IF(J1763="","",LEFT('ATP Fills'!I1763,4))</f>
        <v/>
      </c>
      <c r="L1763" t="str">
        <f>IF(A1763="","",IF('ATP Fills'!G1763="LME",'ATP Fills'!I1763,""))</f>
        <v/>
      </c>
      <c r="M1763" t="str">
        <f t="shared" si="27"/>
        <v/>
      </c>
    </row>
    <row r="1764" spans="1:13">
      <c r="A1764" t="str">
        <f>IF('ATP Fills'!A1764="","",IF('ATP Fills'!Q1764="PHILLIPSG",'ATP Fills'!F1764,""))</f>
        <v/>
      </c>
      <c r="B1764" t="str">
        <f>IF(A1764="","",'ATP Fills'!L1764)</f>
        <v/>
      </c>
      <c r="C1764" t="str">
        <f>IF(A1764="","",'ATP Fills'!M1764)</f>
        <v/>
      </c>
      <c r="D1764" t="str">
        <f>IF(A1764="","",'ATP Fills'!B1764)</f>
        <v/>
      </c>
      <c r="E1764" s="3" t="str">
        <f>IF(A1764="","",IF(DATE(LEFT(D1764,4),MID(D1764,5,2),RIGHT(D1764,2))=Helper1!$P$1,Helper1!$P$1,""))</f>
        <v/>
      </c>
      <c r="F1764" s="3" t="str">
        <f>IF(A1764="","",'ATP Fills'!G1764)</f>
        <v/>
      </c>
      <c r="G1764" t="str">
        <f>IF(A1764="","",'ATP Fills'!H1764)</f>
        <v/>
      </c>
      <c r="H1764" t="str">
        <f>IF(A1764="","",VLOOKUP(G1764,表3_3[],2,0))</f>
        <v/>
      </c>
      <c r="I1764" t="str">
        <f>IF(A1764="","",VLOOKUP(G1764,表3_3[],3,0))</f>
        <v/>
      </c>
      <c r="J1764" t="str">
        <f>IF(A1764="","",IF('ATP Fills'!I1764="3M","",VLOOKUP(RIGHT('ATP Fills'!I1764,2),Helper1!$O$36:$P$48,2,0)))</f>
        <v/>
      </c>
      <c r="K1764" t="str">
        <f>IF(J1764="","",LEFT('ATP Fills'!I1764,4))</f>
        <v/>
      </c>
      <c r="L1764" t="str">
        <f>IF(A1764="","",IF('ATP Fills'!G1764="LME",'ATP Fills'!I1764,""))</f>
        <v/>
      </c>
      <c r="M1764" t="str">
        <f t="shared" si="27"/>
        <v/>
      </c>
    </row>
    <row r="1765" spans="1:13">
      <c r="A1765" t="str">
        <f>IF('ATP Fills'!A1765="","",IF('ATP Fills'!Q1765="PHILLIPSG",'ATP Fills'!F1765,""))</f>
        <v/>
      </c>
      <c r="B1765" t="str">
        <f>IF(A1765="","",'ATP Fills'!L1765)</f>
        <v/>
      </c>
      <c r="C1765" t="str">
        <f>IF(A1765="","",'ATP Fills'!M1765)</f>
        <v/>
      </c>
      <c r="D1765" t="str">
        <f>IF(A1765="","",'ATP Fills'!B1765)</f>
        <v/>
      </c>
      <c r="E1765" s="3" t="str">
        <f>IF(A1765="","",IF(DATE(LEFT(D1765,4),MID(D1765,5,2),RIGHT(D1765,2))=Helper1!$P$1,Helper1!$P$1,""))</f>
        <v/>
      </c>
      <c r="F1765" s="3" t="str">
        <f>IF(A1765="","",'ATP Fills'!G1765)</f>
        <v/>
      </c>
      <c r="G1765" t="str">
        <f>IF(A1765="","",'ATP Fills'!H1765)</f>
        <v/>
      </c>
      <c r="H1765" t="str">
        <f>IF(A1765="","",VLOOKUP(G1765,表3_3[],2,0))</f>
        <v/>
      </c>
      <c r="I1765" t="str">
        <f>IF(A1765="","",VLOOKUP(G1765,表3_3[],3,0))</f>
        <v/>
      </c>
      <c r="J1765" t="str">
        <f>IF(A1765="","",IF('ATP Fills'!I1765="3M","",VLOOKUP(RIGHT('ATP Fills'!I1765,2),Helper1!$O$36:$P$48,2,0)))</f>
        <v/>
      </c>
      <c r="K1765" t="str">
        <f>IF(J1765="","",LEFT('ATP Fills'!I1765,4))</f>
        <v/>
      </c>
      <c r="L1765" t="str">
        <f>IF(A1765="","",IF('ATP Fills'!G1765="LME",'ATP Fills'!I1765,""))</f>
        <v/>
      </c>
      <c r="M1765" t="str">
        <f t="shared" si="27"/>
        <v/>
      </c>
    </row>
    <row r="1766" spans="1:13">
      <c r="A1766" t="str">
        <f>IF('ATP Fills'!A1766="","",IF('ATP Fills'!Q1766="PHILLIPSG",'ATP Fills'!F1766,""))</f>
        <v/>
      </c>
      <c r="B1766" t="str">
        <f>IF(A1766="","",'ATP Fills'!L1766)</f>
        <v/>
      </c>
      <c r="C1766" t="str">
        <f>IF(A1766="","",'ATP Fills'!M1766)</f>
        <v/>
      </c>
      <c r="D1766" t="str">
        <f>IF(A1766="","",'ATP Fills'!B1766)</f>
        <v/>
      </c>
      <c r="E1766" s="3" t="str">
        <f>IF(A1766="","",IF(DATE(LEFT(D1766,4),MID(D1766,5,2),RIGHT(D1766,2))=Helper1!$P$1,Helper1!$P$1,""))</f>
        <v/>
      </c>
      <c r="F1766" s="3" t="str">
        <f>IF(A1766="","",'ATP Fills'!G1766)</f>
        <v/>
      </c>
      <c r="G1766" t="str">
        <f>IF(A1766="","",'ATP Fills'!H1766)</f>
        <v/>
      </c>
      <c r="H1766" t="str">
        <f>IF(A1766="","",VLOOKUP(G1766,表3_3[],2,0))</f>
        <v/>
      </c>
      <c r="I1766" t="str">
        <f>IF(A1766="","",VLOOKUP(G1766,表3_3[],3,0))</f>
        <v/>
      </c>
      <c r="J1766" t="str">
        <f>IF(A1766="","",IF('ATP Fills'!I1766="3M","",VLOOKUP(RIGHT('ATP Fills'!I1766,2),Helper1!$O$36:$P$48,2,0)))</f>
        <v/>
      </c>
      <c r="K1766" t="str">
        <f>IF(J1766="","",LEFT('ATP Fills'!I1766,4))</f>
        <v/>
      </c>
      <c r="L1766" t="str">
        <f>IF(A1766="","",IF('ATP Fills'!G1766="LME",'ATP Fills'!I1766,""))</f>
        <v/>
      </c>
      <c r="M1766" t="str">
        <f t="shared" si="27"/>
        <v/>
      </c>
    </row>
    <row r="1767" spans="1:13">
      <c r="A1767" t="str">
        <f>IF('ATP Fills'!A1767="","",IF('ATP Fills'!Q1767="PHILLIPSG",'ATP Fills'!F1767,""))</f>
        <v/>
      </c>
      <c r="B1767" t="str">
        <f>IF(A1767="","",'ATP Fills'!L1767)</f>
        <v/>
      </c>
      <c r="C1767" t="str">
        <f>IF(A1767="","",'ATP Fills'!M1767)</f>
        <v/>
      </c>
      <c r="D1767" t="str">
        <f>IF(A1767="","",'ATP Fills'!B1767)</f>
        <v/>
      </c>
      <c r="E1767" s="3" t="str">
        <f>IF(A1767="","",IF(DATE(LEFT(D1767,4),MID(D1767,5,2),RIGHT(D1767,2))=Helper1!$P$1,Helper1!$P$1,""))</f>
        <v/>
      </c>
      <c r="F1767" s="3" t="str">
        <f>IF(A1767="","",'ATP Fills'!G1767)</f>
        <v/>
      </c>
      <c r="G1767" t="str">
        <f>IF(A1767="","",'ATP Fills'!H1767)</f>
        <v/>
      </c>
      <c r="H1767" t="str">
        <f>IF(A1767="","",VLOOKUP(G1767,表3_3[],2,0))</f>
        <v/>
      </c>
      <c r="I1767" t="str">
        <f>IF(A1767="","",VLOOKUP(G1767,表3_3[],3,0))</f>
        <v/>
      </c>
      <c r="J1767" t="str">
        <f>IF(A1767="","",IF('ATP Fills'!I1767="3M","",VLOOKUP(RIGHT('ATP Fills'!I1767,2),Helper1!$O$36:$P$48,2,0)))</f>
        <v/>
      </c>
      <c r="K1767" t="str">
        <f>IF(J1767="","",LEFT('ATP Fills'!I1767,4))</f>
        <v/>
      </c>
      <c r="L1767" t="str">
        <f>IF(A1767="","",IF('ATP Fills'!G1767="LME",'ATP Fills'!I1767,""))</f>
        <v/>
      </c>
      <c r="M1767" t="str">
        <f t="shared" si="27"/>
        <v/>
      </c>
    </row>
    <row r="1768" spans="1:13">
      <c r="A1768" t="str">
        <f>IF('ATP Fills'!A1768="","",IF('ATP Fills'!Q1768="PHILLIPSG",'ATP Fills'!F1768,""))</f>
        <v/>
      </c>
      <c r="B1768" t="str">
        <f>IF(A1768="","",'ATP Fills'!L1768)</f>
        <v/>
      </c>
      <c r="C1768" t="str">
        <f>IF(A1768="","",'ATP Fills'!M1768)</f>
        <v/>
      </c>
      <c r="D1768" t="str">
        <f>IF(A1768="","",'ATP Fills'!B1768)</f>
        <v/>
      </c>
      <c r="E1768" s="3" t="str">
        <f>IF(A1768="","",IF(DATE(LEFT(D1768,4),MID(D1768,5,2),RIGHT(D1768,2))=Helper1!$P$1,Helper1!$P$1,""))</f>
        <v/>
      </c>
      <c r="F1768" s="3" t="str">
        <f>IF(A1768="","",'ATP Fills'!G1768)</f>
        <v/>
      </c>
      <c r="G1768" t="str">
        <f>IF(A1768="","",'ATP Fills'!H1768)</f>
        <v/>
      </c>
      <c r="H1768" t="str">
        <f>IF(A1768="","",VLOOKUP(G1768,表3_3[],2,0))</f>
        <v/>
      </c>
      <c r="I1768" t="str">
        <f>IF(A1768="","",VLOOKUP(G1768,表3_3[],3,0))</f>
        <v/>
      </c>
      <c r="J1768" t="str">
        <f>IF(A1768="","",IF('ATP Fills'!I1768="3M","",VLOOKUP(RIGHT('ATP Fills'!I1768,2),Helper1!$O$36:$P$48,2,0)))</f>
        <v/>
      </c>
      <c r="K1768" t="str">
        <f>IF(J1768="","",LEFT('ATP Fills'!I1768,4))</f>
        <v/>
      </c>
      <c r="L1768" t="str">
        <f>IF(A1768="","",IF('ATP Fills'!G1768="LME",'ATP Fills'!I1768,""))</f>
        <v/>
      </c>
      <c r="M1768" t="str">
        <f t="shared" si="27"/>
        <v/>
      </c>
    </row>
    <row r="1769" spans="1:13">
      <c r="A1769" t="str">
        <f>IF('ATP Fills'!A1769="","",IF('ATP Fills'!Q1769="PHILLIPSG",'ATP Fills'!F1769,""))</f>
        <v/>
      </c>
      <c r="B1769" t="str">
        <f>IF(A1769="","",'ATP Fills'!L1769)</f>
        <v/>
      </c>
      <c r="C1769" t="str">
        <f>IF(A1769="","",'ATP Fills'!M1769)</f>
        <v/>
      </c>
      <c r="D1769" t="str">
        <f>IF(A1769="","",'ATP Fills'!B1769)</f>
        <v/>
      </c>
      <c r="E1769" s="3" t="str">
        <f>IF(A1769="","",IF(DATE(LEFT(D1769,4),MID(D1769,5,2),RIGHT(D1769,2))=Helper1!$P$1,Helper1!$P$1,""))</f>
        <v/>
      </c>
      <c r="F1769" s="3" t="str">
        <f>IF(A1769="","",'ATP Fills'!G1769)</f>
        <v/>
      </c>
      <c r="G1769" t="str">
        <f>IF(A1769="","",'ATP Fills'!H1769)</f>
        <v/>
      </c>
      <c r="H1769" t="str">
        <f>IF(A1769="","",VLOOKUP(G1769,表3_3[],2,0))</f>
        <v/>
      </c>
      <c r="I1769" t="str">
        <f>IF(A1769="","",VLOOKUP(G1769,表3_3[],3,0))</f>
        <v/>
      </c>
      <c r="J1769" t="str">
        <f>IF(A1769="","",IF('ATP Fills'!I1769="3M","",VLOOKUP(RIGHT('ATP Fills'!I1769,2),Helper1!$O$36:$P$48,2,0)))</f>
        <v/>
      </c>
      <c r="K1769" t="str">
        <f>IF(J1769="","",LEFT('ATP Fills'!I1769,4))</f>
        <v/>
      </c>
      <c r="L1769" t="str">
        <f>IF(A1769="","",IF('ATP Fills'!G1769="LME",'ATP Fills'!I1769,""))</f>
        <v/>
      </c>
      <c r="M1769" t="str">
        <f t="shared" si="27"/>
        <v/>
      </c>
    </row>
    <row r="1770" spans="1:13">
      <c r="A1770" t="str">
        <f>IF('ATP Fills'!A1770="","",IF('ATP Fills'!Q1770="PHILLIPSG",'ATP Fills'!F1770,""))</f>
        <v/>
      </c>
      <c r="B1770" t="str">
        <f>IF(A1770="","",'ATP Fills'!L1770)</f>
        <v/>
      </c>
      <c r="C1770" t="str">
        <f>IF(A1770="","",'ATP Fills'!M1770)</f>
        <v/>
      </c>
      <c r="D1770" t="str">
        <f>IF(A1770="","",'ATP Fills'!B1770)</f>
        <v/>
      </c>
      <c r="E1770" s="3" t="str">
        <f>IF(A1770="","",IF(DATE(LEFT(D1770,4),MID(D1770,5,2),RIGHT(D1770,2))=Helper1!$P$1,Helper1!$P$1,""))</f>
        <v/>
      </c>
      <c r="F1770" s="3" t="str">
        <f>IF(A1770="","",'ATP Fills'!G1770)</f>
        <v/>
      </c>
      <c r="G1770" t="str">
        <f>IF(A1770="","",'ATP Fills'!H1770)</f>
        <v/>
      </c>
      <c r="H1770" t="str">
        <f>IF(A1770="","",VLOOKUP(G1770,表3_3[],2,0))</f>
        <v/>
      </c>
      <c r="I1770" t="str">
        <f>IF(A1770="","",VLOOKUP(G1770,表3_3[],3,0))</f>
        <v/>
      </c>
      <c r="J1770" t="str">
        <f>IF(A1770="","",IF('ATP Fills'!I1770="3M","",VLOOKUP(RIGHT('ATP Fills'!I1770,2),Helper1!$O$36:$P$48,2,0)))</f>
        <v/>
      </c>
      <c r="K1770" t="str">
        <f>IF(J1770="","",LEFT('ATP Fills'!I1770,4))</f>
        <v/>
      </c>
      <c r="L1770" t="str">
        <f>IF(A1770="","",IF('ATP Fills'!G1770="LME",'ATP Fills'!I1770,""))</f>
        <v/>
      </c>
      <c r="M1770" t="str">
        <f t="shared" si="27"/>
        <v/>
      </c>
    </row>
    <row r="1771" spans="1:13">
      <c r="A1771" t="str">
        <f>IF('ATP Fills'!A1771="","",IF('ATP Fills'!Q1771="PHILLIPSG",'ATP Fills'!F1771,""))</f>
        <v/>
      </c>
      <c r="B1771" t="str">
        <f>IF(A1771="","",'ATP Fills'!L1771)</f>
        <v/>
      </c>
      <c r="C1771" t="str">
        <f>IF(A1771="","",'ATP Fills'!M1771)</f>
        <v/>
      </c>
      <c r="D1771" t="str">
        <f>IF(A1771="","",'ATP Fills'!B1771)</f>
        <v/>
      </c>
      <c r="E1771" s="3" t="str">
        <f>IF(A1771="","",IF(DATE(LEFT(D1771,4),MID(D1771,5,2),RIGHT(D1771,2))=Helper1!$P$1,Helper1!$P$1,""))</f>
        <v/>
      </c>
      <c r="F1771" s="3" t="str">
        <f>IF(A1771="","",'ATP Fills'!G1771)</f>
        <v/>
      </c>
      <c r="G1771" t="str">
        <f>IF(A1771="","",'ATP Fills'!H1771)</f>
        <v/>
      </c>
      <c r="H1771" t="str">
        <f>IF(A1771="","",VLOOKUP(G1771,表3_3[],2,0))</f>
        <v/>
      </c>
      <c r="I1771" t="str">
        <f>IF(A1771="","",VLOOKUP(G1771,表3_3[],3,0))</f>
        <v/>
      </c>
      <c r="J1771" t="str">
        <f>IF(A1771="","",IF('ATP Fills'!I1771="3M","",VLOOKUP(RIGHT('ATP Fills'!I1771,2),Helper1!$O$36:$P$48,2,0)))</f>
        <v/>
      </c>
      <c r="K1771" t="str">
        <f>IF(J1771="","",LEFT('ATP Fills'!I1771,4))</f>
        <v/>
      </c>
      <c r="L1771" t="str">
        <f>IF(A1771="","",IF('ATP Fills'!G1771="LME",'ATP Fills'!I1771,""))</f>
        <v/>
      </c>
      <c r="M1771" t="str">
        <f t="shared" si="27"/>
        <v/>
      </c>
    </row>
    <row r="1772" spans="1:13">
      <c r="A1772" t="str">
        <f>IF('ATP Fills'!A1772="","",IF('ATP Fills'!Q1772="PHILLIPSG",'ATP Fills'!F1772,""))</f>
        <v/>
      </c>
      <c r="B1772" t="str">
        <f>IF(A1772="","",'ATP Fills'!L1772)</f>
        <v/>
      </c>
      <c r="C1772" t="str">
        <f>IF(A1772="","",'ATP Fills'!M1772)</f>
        <v/>
      </c>
      <c r="D1772" t="str">
        <f>IF(A1772="","",'ATP Fills'!B1772)</f>
        <v/>
      </c>
      <c r="E1772" s="3" t="str">
        <f>IF(A1772="","",IF(DATE(LEFT(D1772,4),MID(D1772,5,2),RIGHT(D1772,2))=Helper1!$P$1,Helper1!$P$1,""))</f>
        <v/>
      </c>
      <c r="F1772" s="3" t="str">
        <f>IF(A1772="","",'ATP Fills'!G1772)</f>
        <v/>
      </c>
      <c r="G1772" t="str">
        <f>IF(A1772="","",'ATP Fills'!H1772)</f>
        <v/>
      </c>
      <c r="H1772" t="str">
        <f>IF(A1772="","",VLOOKUP(G1772,表3_3[],2,0))</f>
        <v/>
      </c>
      <c r="I1772" t="str">
        <f>IF(A1772="","",VLOOKUP(G1772,表3_3[],3,0))</f>
        <v/>
      </c>
      <c r="J1772" t="str">
        <f>IF(A1772="","",IF('ATP Fills'!I1772="3M","",VLOOKUP(RIGHT('ATP Fills'!I1772,2),Helper1!$O$36:$P$48,2,0)))</f>
        <v/>
      </c>
      <c r="K1772" t="str">
        <f>IF(J1772="","",LEFT('ATP Fills'!I1772,4))</f>
        <v/>
      </c>
      <c r="L1772" t="str">
        <f>IF(A1772="","",IF('ATP Fills'!G1772="LME",'ATP Fills'!I1772,""))</f>
        <v/>
      </c>
      <c r="M1772" t="str">
        <f t="shared" si="27"/>
        <v/>
      </c>
    </row>
    <row r="1773" spans="1:13">
      <c r="A1773" t="str">
        <f>IF('ATP Fills'!A1773="","",IF('ATP Fills'!Q1773="PHILLIPSG",'ATP Fills'!F1773,""))</f>
        <v/>
      </c>
      <c r="B1773" t="str">
        <f>IF(A1773="","",'ATP Fills'!L1773)</f>
        <v/>
      </c>
      <c r="C1773" t="str">
        <f>IF(A1773="","",'ATP Fills'!M1773)</f>
        <v/>
      </c>
      <c r="D1773" t="str">
        <f>IF(A1773="","",'ATP Fills'!B1773)</f>
        <v/>
      </c>
      <c r="E1773" s="3" t="str">
        <f>IF(A1773="","",IF(DATE(LEFT(D1773,4),MID(D1773,5,2),RIGHT(D1773,2))=Helper1!$P$1,Helper1!$P$1,""))</f>
        <v/>
      </c>
      <c r="F1773" s="3" t="str">
        <f>IF(A1773="","",'ATP Fills'!G1773)</f>
        <v/>
      </c>
      <c r="G1773" t="str">
        <f>IF(A1773="","",'ATP Fills'!H1773)</f>
        <v/>
      </c>
      <c r="H1773" t="str">
        <f>IF(A1773="","",VLOOKUP(G1773,表3_3[],2,0))</f>
        <v/>
      </c>
      <c r="I1773" t="str">
        <f>IF(A1773="","",VLOOKUP(G1773,表3_3[],3,0))</f>
        <v/>
      </c>
      <c r="J1773" t="str">
        <f>IF(A1773="","",IF('ATP Fills'!I1773="3M","",VLOOKUP(RIGHT('ATP Fills'!I1773,2),Helper1!$O$36:$P$48,2,0)))</f>
        <v/>
      </c>
      <c r="K1773" t="str">
        <f>IF(J1773="","",LEFT('ATP Fills'!I1773,4))</f>
        <v/>
      </c>
      <c r="L1773" t="str">
        <f>IF(A1773="","",IF('ATP Fills'!G1773="LME",'ATP Fills'!I1773,""))</f>
        <v/>
      </c>
      <c r="M1773" t="str">
        <f t="shared" si="27"/>
        <v/>
      </c>
    </row>
    <row r="1774" spans="1:13">
      <c r="A1774" t="str">
        <f>IF('ATP Fills'!A1774="","",IF('ATP Fills'!Q1774="PHILLIPSG",'ATP Fills'!F1774,""))</f>
        <v/>
      </c>
      <c r="B1774" t="str">
        <f>IF(A1774="","",'ATP Fills'!L1774)</f>
        <v/>
      </c>
      <c r="C1774" t="str">
        <f>IF(A1774="","",'ATP Fills'!M1774)</f>
        <v/>
      </c>
      <c r="D1774" t="str">
        <f>IF(A1774="","",'ATP Fills'!B1774)</f>
        <v/>
      </c>
      <c r="E1774" s="3" t="str">
        <f>IF(A1774="","",IF(DATE(LEFT(D1774,4),MID(D1774,5,2),RIGHT(D1774,2))=Helper1!$P$1,Helper1!$P$1,""))</f>
        <v/>
      </c>
      <c r="F1774" s="3" t="str">
        <f>IF(A1774="","",'ATP Fills'!G1774)</f>
        <v/>
      </c>
      <c r="G1774" t="str">
        <f>IF(A1774="","",'ATP Fills'!H1774)</f>
        <v/>
      </c>
      <c r="H1774" t="str">
        <f>IF(A1774="","",VLOOKUP(G1774,表3_3[],2,0))</f>
        <v/>
      </c>
      <c r="I1774" t="str">
        <f>IF(A1774="","",VLOOKUP(G1774,表3_3[],3,0))</f>
        <v/>
      </c>
      <c r="J1774" t="str">
        <f>IF(A1774="","",IF('ATP Fills'!I1774="3M","",VLOOKUP(RIGHT('ATP Fills'!I1774,2),Helper1!$O$36:$P$48,2,0)))</f>
        <v/>
      </c>
      <c r="K1774" t="str">
        <f>IF(J1774="","",LEFT('ATP Fills'!I1774,4))</f>
        <v/>
      </c>
      <c r="L1774" t="str">
        <f>IF(A1774="","",IF('ATP Fills'!G1774="LME",'ATP Fills'!I1774,""))</f>
        <v/>
      </c>
      <c r="M1774" t="str">
        <f t="shared" si="27"/>
        <v/>
      </c>
    </row>
    <row r="1775" spans="1:13">
      <c r="A1775" t="str">
        <f>IF('ATP Fills'!A1775="","",IF('ATP Fills'!Q1775="PHILLIPSG",'ATP Fills'!F1775,""))</f>
        <v/>
      </c>
      <c r="B1775" t="str">
        <f>IF(A1775="","",'ATP Fills'!L1775)</f>
        <v/>
      </c>
      <c r="C1775" t="str">
        <f>IF(A1775="","",'ATP Fills'!M1775)</f>
        <v/>
      </c>
      <c r="D1775" t="str">
        <f>IF(A1775="","",'ATP Fills'!B1775)</f>
        <v/>
      </c>
      <c r="E1775" s="3" t="str">
        <f>IF(A1775="","",IF(DATE(LEFT(D1775,4),MID(D1775,5,2),RIGHT(D1775,2))=Helper1!$P$1,Helper1!$P$1,""))</f>
        <v/>
      </c>
      <c r="F1775" s="3" t="str">
        <f>IF(A1775="","",'ATP Fills'!G1775)</f>
        <v/>
      </c>
      <c r="G1775" t="str">
        <f>IF(A1775="","",'ATP Fills'!H1775)</f>
        <v/>
      </c>
      <c r="H1775" t="str">
        <f>IF(A1775="","",VLOOKUP(G1775,表3_3[],2,0))</f>
        <v/>
      </c>
      <c r="I1775" t="str">
        <f>IF(A1775="","",VLOOKUP(G1775,表3_3[],3,0))</f>
        <v/>
      </c>
      <c r="J1775" t="str">
        <f>IF(A1775="","",IF('ATP Fills'!I1775="3M","",VLOOKUP(RIGHT('ATP Fills'!I1775,2),Helper1!$O$36:$P$48,2,0)))</f>
        <v/>
      </c>
      <c r="K1775" t="str">
        <f>IF(J1775="","",LEFT('ATP Fills'!I1775,4))</f>
        <v/>
      </c>
      <c r="L1775" t="str">
        <f>IF(A1775="","",IF('ATP Fills'!G1775="LME",'ATP Fills'!I1775,""))</f>
        <v/>
      </c>
      <c r="M1775" t="str">
        <f t="shared" si="27"/>
        <v/>
      </c>
    </row>
    <row r="1776" spans="1:13">
      <c r="A1776" t="str">
        <f>IF('ATP Fills'!A1776="","",IF('ATP Fills'!Q1776="PHILLIPSG",'ATP Fills'!F1776,""))</f>
        <v/>
      </c>
      <c r="B1776" t="str">
        <f>IF(A1776="","",'ATP Fills'!L1776)</f>
        <v/>
      </c>
      <c r="C1776" t="str">
        <f>IF(A1776="","",'ATP Fills'!M1776)</f>
        <v/>
      </c>
      <c r="D1776" t="str">
        <f>IF(A1776="","",'ATP Fills'!B1776)</f>
        <v/>
      </c>
      <c r="E1776" s="3" t="str">
        <f>IF(A1776="","",IF(DATE(LEFT(D1776,4),MID(D1776,5,2),RIGHT(D1776,2))=Helper1!$P$1,Helper1!$P$1,""))</f>
        <v/>
      </c>
      <c r="F1776" s="3" t="str">
        <f>IF(A1776="","",'ATP Fills'!G1776)</f>
        <v/>
      </c>
      <c r="G1776" t="str">
        <f>IF(A1776="","",'ATP Fills'!H1776)</f>
        <v/>
      </c>
      <c r="H1776" t="str">
        <f>IF(A1776="","",VLOOKUP(G1776,表3_3[],2,0))</f>
        <v/>
      </c>
      <c r="I1776" t="str">
        <f>IF(A1776="","",VLOOKUP(G1776,表3_3[],3,0))</f>
        <v/>
      </c>
      <c r="J1776" t="str">
        <f>IF(A1776="","",IF('ATP Fills'!I1776="3M","",VLOOKUP(RIGHT('ATP Fills'!I1776,2),Helper1!$O$36:$P$48,2,0)))</f>
        <v/>
      </c>
      <c r="K1776" t="str">
        <f>IF(J1776="","",LEFT('ATP Fills'!I1776,4))</f>
        <v/>
      </c>
      <c r="L1776" t="str">
        <f>IF(A1776="","",IF('ATP Fills'!G1776="LME",'ATP Fills'!I1776,""))</f>
        <v/>
      </c>
      <c r="M1776" t="str">
        <f t="shared" si="27"/>
        <v/>
      </c>
    </row>
    <row r="1777" spans="1:13">
      <c r="A1777" t="str">
        <f>IF('ATP Fills'!A1777="","",IF('ATP Fills'!Q1777="PHILLIPSG",'ATP Fills'!F1777,""))</f>
        <v/>
      </c>
      <c r="B1777" t="str">
        <f>IF(A1777="","",'ATP Fills'!L1777)</f>
        <v/>
      </c>
      <c r="C1777" t="str">
        <f>IF(A1777="","",'ATP Fills'!M1777)</f>
        <v/>
      </c>
      <c r="D1777" t="str">
        <f>IF(A1777="","",'ATP Fills'!B1777)</f>
        <v/>
      </c>
      <c r="E1777" s="3" t="str">
        <f>IF(A1777="","",IF(DATE(LEFT(D1777,4),MID(D1777,5,2),RIGHT(D1777,2))=Helper1!$P$1,Helper1!$P$1,""))</f>
        <v/>
      </c>
      <c r="F1777" s="3" t="str">
        <f>IF(A1777="","",'ATP Fills'!G1777)</f>
        <v/>
      </c>
      <c r="G1777" t="str">
        <f>IF(A1777="","",'ATP Fills'!H1777)</f>
        <v/>
      </c>
      <c r="H1777" t="str">
        <f>IF(A1777="","",VLOOKUP(G1777,表3_3[],2,0))</f>
        <v/>
      </c>
      <c r="I1777" t="str">
        <f>IF(A1777="","",VLOOKUP(G1777,表3_3[],3,0))</f>
        <v/>
      </c>
      <c r="J1777" t="str">
        <f>IF(A1777="","",IF('ATP Fills'!I1777="3M","",VLOOKUP(RIGHT('ATP Fills'!I1777,2),Helper1!$O$36:$P$48,2,0)))</f>
        <v/>
      </c>
      <c r="K1777" t="str">
        <f>IF(J1777="","",LEFT('ATP Fills'!I1777,4))</f>
        <v/>
      </c>
      <c r="L1777" t="str">
        <f>IF(A1777="","",IF('ATP Fills'!G1777="LME",'ATP Fills'!I1777,""))</f>
        <v/>
      </c>
      <c r="M1777" t="str">
        <f t="shared" si="27"/>
        <v/>
      </c>
    </row>
    <row r="1778" spans="1:13">
      <c r="A1778" t="str">
        <f>IF('ATP Fills'!A1778="","",IF('ATP Fills'!Q1778="PHILLIPSG",'ATP Fills'!F1778,""))</f>
        <v/>
      </c>
      <c r="B1778" t="str">
        <f>IF(A1778="","",'ATP Fills'!L1778)</f>
        <v/>
      </c>
      <c r="C1778" t="str">
        <f>IF(A1778="","",'ATP Fills'!M1778)</f>
        <v/>
      </c>
      <c r="D1778" t="str">
        <f>IF(A1778="","",'ATP Fills'!B1778)</f>
        <v/>
      </c>
      <c r="E1778" s="3" t="str">
        <f>IF(A1778="","",IF(DATE(LEFT(D1778,4),MID(D1778,5,2),RIGHT(D1778,2))=Helper1!$P$1,Helper1!$P$1,""))</f>
        <v/>
      </c>
      <c r="F1778" s="3" t="str">
        <f>IF(A1778="","",'ATP Fills'!G1778)</f>
        <v/>
      </c>
      <c r="G1778" t="str">
        <f>IF(A1778="","",'ATP Fills'!H1778)</f>
        <v/>
      </c>
      <c r="H1778" t="str">
        <f>IF(A1778="","",VLOOKUP(G1778,表3_3[],2,0))</f>
        <v/>
      </c>
      <c r="I1778" t="str">
        <f>IF(A1778="","",VLOOKUP(G1778,表3_3[],3,0))</f>
        <v/>
      </c>
      <c r="J1778" t="str">
        <f>IF(A1778="","",IF('ATP Fills'!I1778="3M","",VLOOKUP(RIGHT('ATP Fills'!I1778,2),Helper1!$O$36:$P$48,2,0)))</f>
        <v/>
      </c>
      <c r="K1778" t="str">
        <f>IF(J1778="","",LEFT('ATP Fills'!I1778,4))</f>
        <v/>
      </c>
      <c r="L1778" t="str">
        <f>IF(A1778="","",IF('ATP Fills'!G1778="LME",'ATP Fills'!I1778,""))</f>
        <v/>
      </c>
      <c r="M1778" t="str">
        <f t="shared" si="27"/>
        <v/>
      </c>
    </row>
    <row r="1779" spans="1:13">
      <c r="A1779" t="str">
        <f>IF('ATP Fills'!A1779="","",IF('ATP Fills'!Q1779="PHILLIPSG",'ATP Fills'!F1779,""))</f>
        <v/>
      </c>
      <c r="B1779" t="str">
        <f>IF(A1779="","",'ATP Fills'!L1779)</f>
        <v/>
      </c>
      <c r="C1779" t="str">
        <f>IF(A1779="","",'ATP Fills'!M1779)</f>
        <v/>
      </c>
      <c r="D1779" t="str">
        <f>IF(A1779="","",'ATP Fills'!B1779)</f>
        <v/>
      </c>
      <c r="E1779" s="3" t="str">
        <f>IF(A1779="","",IF(DATE(LEFT(D1779,4),MID(D1779,5,2),RIGHT(D1779,2))=Helper1!$P$1,Helper1!$P$1,""))</f>
        <v/>
      </c>
      <c r="F1779" s="3" t="str">
        <f>IF(A1779="","",'ATP Fills'!G1779)</f>
        <v/>
      </c>
      <c r="G1779" t="str">
        <f>IF(A1779="","",'ATP Fills'!H1779)</f>
        <v/>
      </c>
      <c r="H1779" t="str">
        <f>IF(A1779="","",VLOOKUP(G1779,表3_3[],2,0))</f>
        <v/>
      </c>
      <c r="I1779" t="str">
        <f>IF(A1779="","",VLOOKUP(G1779,表3_3[],3,0))</f>
        <v/>
      </c>
      <c r="J1779" t="str">
        <f>IF(A1779="","",IF('ATP Fills'!I1779="3M","",VLOOKUP(RIGHT('ATP Fills'!I1779,2),Helper1!$O$36:$P$48,2,0)))</f>
        <v/>
      </c>
      <c r="K1779" t="str">
        <f>IF(J1779="","",LEFT('ATP Fills'!I1779,4))</f>
        <v/>
      </c>
      <c r="L1779" t="str">
        <f>IF(A1779="","",IF('ATP Fills'!G1779="LME",'ATP Fills'!I1779,""))</f>
        <v/>
      </c>
      <c r="M1779" t="str">
        <f t="shared" si="27"/>
        <v/>
      </c>
    </row>
    <row r="1780" spans="1:13">
      <c r="A1780" t="str">
        <f>IF('ATP Fills'!A1780="","",IF('ATP Fills'!Q1780="PHILLIPSG",'ATP Fills'!F1780,""))</f>
        <v/>
      </c>
      <c r="B1780" t="str">
        <f>IF(A1780="","",'ATP Fills'!L1780)</f>
        <v/>
      </c>
      <c r="C1780" t="str">
        <f>IF(A1780="","",'ATP Fills'!M1780)</f>
        <v/>
      </c>
      <c r="D1780" t="str">
        <f>IF(A1780="","",'ATP Fills'!B1780)</f>
        <v/>
      </c>
      <c r="E1780" s="3" t="str">
        <f>IF(A1780="","",IF(DATE(LEFT(D1780,4),MID(D1780,5,2),RIGHT(D1780,2))=Helper1!$P$1,Helper1!$P$1,""))</f>
        <v/>
      </c>
      <c r="F1780" s="3" t="str">
        <f>IF(A1780="","",'ATP Fills'!G1780)</f>
        <v/>
      </c>
      <c r="G1780" t="str">
        <f>IF(A1780="","",'ATP Fills'!H1780)</f>
        <v/>
      </c>
      <c r="H1780" t="str">
        <f>IF(A1780="","",VLOOKUP(G1780,表3_3[],2,0))</f>
        <v/>
      </c>
      <c r="I1780" t="str">
        <f>IF(A1780="","",VLOOKUP(G1780,表3_3[],3,0))</f>
        <v/>
      </c>
      <c r="J1780" t="str">
        <f>IF(A1780="","",IF('ATP Fills'!I1780="3M","",VLOOKUP(RIGHT('ATP Fills'!I1780,2),Helper1!$O$36:$P$48,2,0)))</f>
        <v/>
      </c>
      <c r="K1780" t="str">
        <f>IF(J1780="","",LEFT('ATP Fills'!I1780,4))</f>
        <v/>
      </c>
      <c r="L1780" t="str">
        <f>IF(A1780="","",IF('ATP Fills'!G1780="LME",'ATP Fills'!I1780,""))</f>
        <v/>
      </c>
      <c r="M1780" t="str">
        <f t="shared" si="27"/>
        <v/>
      </c>
    </row>
    <row r="1781" spans="1:13">
      <c r="A1781" t="str">
        <f>IF('ATP Fills'!A1781="","",IF('ATP Fills'!Q1781="PHILLIPSG",'ATP Fills'!F1781,""))</f>
        <v/>
      </c>
      <c r="B1781" t="str">
        <f>IF(A1781="","",'ATP Fills'!L1781)</f>
        <v/>
      </c>
      <c r="C1781" t="str">
        <f>IF(A1781="","",'ATP Fills'!M1781)</f>
        <v/>
      </c>
      <c r="D1781" t="str">
        <f>IF(A1781="","",'ATP Fills'!B1781)</f>
        <v/>
      </c>
      <c r="E1781" s="3" t="str">
        <f>IF(A1781="","",IF(DATE(LEFT(D1781,4),MID(D1781,5,2),RIGHT(D1781,2))=Helper1!$P$1,Helper1!$P$1,""))</f>
        <v/>
      </c>
      <c r="F1781" s="3" t="str">
        <f>IF(A1781="","",'ATP Fills'!G1781)</f>
        <v/>
      </c>
      <c r="G1781" t="str">
        <f>IF(A1781="","",'ATP Fills'!H1781)</f>
        <v/>
      </c>
      <c r="H1781" t="str">
        <f>IF(A1781="","",VLOOKUP(G1781,表3_3[],2,0))</f>
        <v/>
      </c>
      <c r="I1781" t="str">
        <f>IF(A1781="","",VLOOKUP(G1781,表3_3[],3,0))</f>
        <v/>
      </c>
      <c r="J1781" t="str">
        <f>IF(A1781="","",IF('ATP Fills'!I1781="3M","",VLOOKUP(RIGHT('ATP Fills'!I1781,2),Helper1!$O$36:$P$48,2,0)))</f>
        <v/>
      </c>
      <c r="K1781" t="str">
        <f>IF(J1781="","",LEFT('ATP Fills'!I1781,4))</f>
        <v/>
      </c>
      <c r="L1781" t="str">
        <f>IF(A1781="","",IF('ATP Fills'!G1781="LME",'ATP Fills'!I1781,""))</f>
        <v/>
      </c>
      <c r="M1781" t="str">
        <f t="shared" si="27"/>
        <v/>
      </c>
    </row>
    <row r="1782" spans="1:13">
      <c r="A1782" t="str">
        <f>IF('ATP Fills'!A1782="","",IF('ATP Fills'!Q1782="PHILLIPSG",'ATP Fills'!F1782,""))</f>
        <v/>
      </c>
      <c r="B1782" t="str">
        <f>IF(A1782="","",'ATP Fills'!L1782)</f>
        <v/>
      </c>
      <c r="C1782" t="str">
        <f>IF(A1782="","",'ATP Fills'!M1782)</f>
        <v/>
      </c>
      <c r="D1782" t="str">
        <f>IF(A1782="","",'ATP Fills'!B1782)</f>
        <v/>
      </c>
      <c r="E1782" s="3" t="str">
        <f>IF(A1782="","",IF(DATE(LEFT(D1782,4),MID(D1782,5,2),RIGHT(D1782,2))=Helper1!$P$1,Helper1!$P$1,""))</f>
        <v/>
      </c>
      <c r="F1782" s="3" t="str">
        <f>IF(A1782="","",'ATP Fills'!G1782)</f>
        <v/>
      </c>
      <c r="G1782" t="str">
        <f>IF(A1782="","",'ATP Fills'!H1782)</f>
        <v/>
      </c>
      <c r="H1782" t="str">
        <f>IF(A1782="","",VLOOKUP(G1782,表3_3[],2,0))</f>
        <v/>
      </c>
      <c r="I1782" t="str">
        <f>IF(A1782="","",VLOOKUP(G1782,表3_3[],3,0))</f>
        <v/>
      </c>
      <c r="J1782" t="str">
        <f>IF(A1782="","",IF('ATP Fills'!I1782="3M","",VLOOKUP(RIGHT('ATP Fills'!I1782,2),Helper1!$O$36:$P$48,2,0)))</f>
        <v/>
      </c>
      <c r="K1782" t="str">
        <f>IF(J1782="","",LEFT('ATP Fills'!I1782,4))</f>
        <v/>
      </c>
      <c r="L1782" t="str">
        <f>IF(A1782="","",IF('ATP Fills'!G1782="LME",'ATP Fills'!I1782,""))</f>
        <v/>
      </c>
      <c r="M1782" t="str">
        <f t="shared" si="27"/>
        <v/>
      </c>
    </row>
    <row r="1783" spans="1:13">
      <c r="A1783" t="str">
        <f>IF('ATP Fills'!A1783="","",IF('ATP Fills'!Q1783="PHILLIPSG",'ATP Fills'!F1783,""))</f>
        <v/>
      </c>
      <c r="B1783" t="str">
        <f>IF(A1783="","",'ATP Fills'!L1783)</f>
        <v/>
      </c>
      <c r="C1783" t="str">
        <f>IF(A1783="","",'ATP Fills'!M1783)</f>
        <v/>
      </c>
      <c r="D1783" t="str">
        <f>IF(A1783="","",'ATP Fills'!B1783)</f>
        <v/>
      </c>
      <c r="E1783" s="3" t="str">
        <f>IF(A1783="","",IF(DATE(LEFT(D1783,4),MID(D1783,5,2),RIGHT(D1783,2))=Helper1!$P$1,Helper1!$P$1,""))</f>
        <v/>
      </c>
      <c r="F1783" s="3" t="str">
        <f>IF(A1783="","",'ATP Fills'!G1783)</f>
        <v/>
      </c>
      <c r="G1783" t="str">
        <f>IF(A1783="","",'ATP Fills'!H1783)</f>
        <v/>
      </c>
      <c r="H1783" t="str">
        <f>IF(A1783="","",VLOOKUP(G1783,表3_3[],2,0))</f>
        <v/>
      </c>
      <c r="I1783" t="str">
        <f>IF(A1783="","",VLOOKUP(G1783,表3_3[],3,0))</f>
        <v/>
      </c>
      <c r="J1783" t="str">
        <f>IF(A1783="","",IF('ATP Fills'!I1783="3M","",VLOOKUP(RIGHT('ATP Fills'!I1783,2),Helper1!$O$36:$P$48,2,0)))</f>
        <v/>
      </c>
      <c r="K1783" t="str">
        <f>IF(J1783="","",LEFT('ATP Fills'!I1783,4))</f>
        <v/>
      </c>
      <c r="L1783" t="str">
        <f>IF(A1783="","",IF('ATP Fills'!G1783="LME",'ATP Fills'!I1783,""))</f>
        <v/>
      </c>
      <c r="M1783" t="str">
        <f t="shared" si="27"/>
        <v/>
      </c>
    </row>
    <row r="1784" spans="1:13">
      <c r="A1784" t="str">
        <f>IF('ATP Fills'!A1784="","",IF('ATP Fills'!Q1784="PHILLIPSG",'ATP Fills'!F1784,""))</f>
        <v/>
      </c>
      <c r="B1784" t="str">
        <f>IF(A1784="","",'ATP Fills'!L1784)</f>
        <v/>
      </c>
      <c r="C1784" t="str">
        <f>IF(A1784="","",'ATP Fills'!M1784)</f>
        <v/>
      </c>
      <c r="D1784" t="str">
        <f>IF(A1784="","",'ATP Fills'!B1784)</f>
        <v/>
      </c>
      <c r="E1784" s="3" t="str">
        <f>IF(A1784="","",IF(DATE(LEFT(D1784,4),MID(D1784,5,2),RIGHT(D1784,2))=Helper1!$P$1,Helper1!$P$1,""))</f>
        <v/>
      </c>
      <c r="F1784" s="3" t="str">
        <f>IF(A1784="","",'ATP Fills'!G1784)</f>
        <v/>
      </c>
      <c r="G1784" t="str">
        <f>IF(A1784="","",'ATP Fills'!H1784)</f>
        <v/>
      </c>
      <c r="H1784" t="str">
        <f>IF(A1784="","",VLOOKUP(G1784,表3_3[],2,0))</f>
        <v/>
      </c>
      <c r="I1784" t="str">
        <f>IF(A1784="","",VLOOKUP(G1784,表3_3[],3,0))</f>
        <v/>
      </c>
      <c r="J1784" t="str">
        <f>IF(A1784="","",IF('ATP Fills'!I1784="3M","",VLOOKUP(RIGHT('ATP Fills'!I1784,2),Helper1!$O$36:$P$48,2,0)))</f>
        <v/>
      </c>
      <c r="K1784" t="str">
        <f>IF(J1784="","",LEFT('ATP Fills'!I1784,4))</f>
        <v/>
      </c>
      <c r="L1784" t="str">
        <f>IF(A1784="","",IF('ATP Fills'!G1784="LME",'ATP Fills'!I1784,""))</f>
        <v/>
      </c>
      <c r="M1784" t="str">
        <f t="shared" si="27"/>
        <v/>
      </c>
    </row>
    <row r="1785" spans="1:13">
      <c r="A1785" t="str">
        <f>IF('ATP Fills'!A1785="","",IF('ATP Fills'!Q1785="PHILLIPSG",'ATP Fills'!F1785,""))</f>
        <v/>
      </c>
      <c r="B1785" t="str">
        <f>IF(A1785="","",'ATP Fills'!L1785)</f>
        <v/>
      </c>
      <c r="C1785" t="str">
        <f>IF(A1785="","",'ATP Fills'!M1785)</f>
        <v/>
      </c>
      <c r="D1785" t="str">
        <f>IF(A1785="","",'ATP Fills'!B1785)</f>
        <v/>
      </c>
      <c r="E1785" s="3" t="str">
        <f>IF(A1785="","",IF(DATE(LEFT(D1785,4),MID(D1785,5,2),RIGHT(D1785,2))=Helper1!$P$1,Helper1!$P$1,""))</f>
        <v/>
      </c>
      <c r="F1785" s="3" t="str">
        <f>IF(A1785="","",'ATP Fills'!G1785)</f>
        <v/>
      </c>
      <c r="G1785" t="str">
        <f>IF(A1785="","",'ATP Fills'!H1785)</f>
        <v/>
      </c>
      <c r="H1785" t="str">
        <f>IF(A1785="","",VLOOKUP(G1785,表3_3[],2,0))</f>
        <v/>
      </c>
      <c r="I1785" t="str">
        <f>IF(A1785="","",VLOOKUP(G1785,表3_3[],3,0))</f>
        <v/>
      </c>
      <c r="J1785" t="str">
        <f>IF(A1785="","",IF('ATP Fills'!I1785="3M","",VLOOKUP(RIGHT('ATP Fills'!I1785,2),Helper1!$O$36:$P$48,2,0)))</f>
        <v/>
      </c>
      <c r="K1785" t="str">
        <f>IF(J1785="","",LEFT('ATP Fills'!I1785,4))</f>
        <v/>
      </c>
      <c r="L1785" t="str">
        <f>IF(A1785="","",IF('ATP Fills'!G1785="LME",'ATP Fills'!I1785,""))</f>
        <v/>
      </c>
      <c r="M1785" t="str">
        <f t="shared" si="27"/>
        <v/>
      </c>
    </row>
    <row r="1786" spans="1:13">
      <c r="A1786" t="str">
        <f>IF('ATP Fills'!A1786="","",IF('ATP Fills'!Q1786="PHILLIPSG",'ATP Fills'!F1786,""))</f>
        <v/>
      </c>
      <c r="B1786" t="str">
        <f>IF(A1786="","",'ATP Fills'!L1786)</f>
        <v/>
      </c>
      <c r="C1786" t="str">
        <f>IF(A1786="","",'ATP Fills'!M1786)</f>
        <v/>
      </c>
      <c r="D1786" t="str">
        <f>IF(A1786="","",'ATP Fills'!B1786)</f>
        <v/>
      </c>
      <c r="E1786" s="3" t="str">
        <f>IF(A1786="","",IF(DATE(LEFT(D1786,4),MID(D1786,5,2),RIGHT(D1786,2))=Helper1!$P$1,Helper1!$P$1,""))</f>
        <v/>
      </c>
      <c r="F1786" s="3" t="str">
        <f>IF(A1786="","",'ATP Fills'!G1786)</f>
        <v/>
      </c>
      <c r="G1786" t="str">
        <f>IF(A1786="","",'ATP Fills'!H1786)</f>
        <v/>
      </c>
      <c r="H1786" t="str">
        <f>IF(A1786="","",VLOOKUP(G1786,表3_3[],2,0))</f>
        <v/>
      </c>
      <c r="I1786" t="str">
        <f>IF(A1786="","",VLOOKUP(G1786,表3_3[],3,0))</f>
        <v/>
      </c>
      <c r="J1786" t="str">
        <f>IF(A1786="","",IF('ATP Fills'!I1786="3M","",VLOOKUP(RIGHT('ATP Fills'!I1786,2),Helper1!$O$36:$P$48,2,0)))</f>
        <v/>
      </c>
      <c r="K1786" t="str">
        <f>IF(J1786="","",LEFT('ATP Fills'!I1786,4))</f>
        <v/>
      </c>
      <c r="L1786" t="str">
        <f>IF(A1786="","",IF('ATP Fills'!G1786="LME",'ATP Fills'!I1786,""))</f>
        <v/>
      </c>
      <c r="M1786" t="str">
        <f t="shared" si="27"/>
        <v/>
      </c>
    </row>
    <row r="1787" spans="1:13">
      <c r="A1787" t="str">
        <f>IF('ATP Fills'!A1787="","",IF('ATP Fills'!Q1787="PHILLIPSG",'ATP Fills'!F1787,""))</f>
        <v/>
      </c>
      <c r="B1787" t="str">
        <f>IF(A1787="","",'ATP Fills'!L1787)</f>
        <v/>
      </c>
      <c r="C1787" t="str">
        <f>IF(A1787="","",'ATP Fills'!M1787)</f>
        <v/>
      </c>
      <c r="D1787" t="str">
        <f>IF(A1787="","",'ATP Fills'!B1787)</f>
        <v/>
      </c>
      <c r="E1787" s="3" t="str">
        <f>IF(A1787="","",IF(DATE(LEFT(D1787,4),MID(D1787,5,2),RIGHT(D1787,2))=Helper1!$P$1,Helper1!$P$1,""))</f>
        <v/>
      </c>
      <c r="F1787" s="3" t="str">
        <f>IF(A1787="","",'ATP Fills'!G1787)</f>
        <v/>
      </c>
      <c r="G1787" t="str">
        <f>IF(A1787="","",'ATP Fills'!H1787)</f>
        <v/>
      </c>
      <c r="H1787" t="str">
        <f>IF(A1787="","",VLOOKUP(G1787,表3_3[],2,0))</f>
        <v/>
      </c>
      <c r="I1787" t="str">
        <f>IF(A1787="","",VLOOKUP(G1787,表3_3[],3,0))</f>
        <v/>
      </c>
      <c r="J1787" t="str">
        <f>IF(A1787="","",IF('ATP Fills'!I1787="3M","",VLOOKUP(RIGHT('ATP Fills'!I1787,2),Helper1!$O$36:$P$48,2,0)))</f>
        <v/>
      </c>
      <c r="K1787" t="str">
        <f>IF(J1787="","",LEFT('ATP Fills'!I1787,4))</f>
        <v/>
      </c>
      <c r="L1787" t="str">
        <f>IF(A1787="","",IF('ATP Fills'!G1787="LME",'ATP Fills'!I1787,""))</f>
        <v/>
      </c>
      <c r="M1787" t="str">
        <f t="shared" si="27"/>
        <v/>
      </c>
    </row>
    <row r="1788" spans="1:13">
      <c r="A1788" t="str">
        <f>IF('ATP Fills'!A1788="","",IF('ATP Fills'!Q1788="PHILLIPSG",'ATP Fills'!F1788,""))</f>
        <v/>
      </c>
      <c r="B1788" t="str">
        <f>IF(A1788="","",'ATP Fills'!L1788)</f>
        <v/>
      </c>
      <c r="C1788" t="str">
        <f>IF(A1788="","",'ATP Fills'!M1788)</f>
        <v/>
      </c>
      <c r="D1788" t="str">
        <f>IF(A1788="","",'ATP Fills'!B1788)</f>
        <v/>
      </c>
      <c r="E1788" s="3" t="str">
        <f>IF(A1788="","",IF(DATE(LEFT(D1788,4),MID(D1788,5,2),RIGHT(D1788,2))=Helper1!$P$1,Helper1!$P$1,""))</f>
        <v/>
      </c>
      <c r="F1788" s="3" t="str">
        <f>IF(A1788="","",'ATP Fills'!G1788)</f>
        <v/>
      </c>
      <c r="G1788" t="str">
        <f>IF(A1788="","",'ATP Fills'!H1788)</f>
        <v/>
      </c>
      <c r="H1788" t="str">
        <f>IF(A1788="","",VLOOKUP(G1788,表3_3[],2,0))</f>
        <v/>
      </c>
      <c r="I1788" t="str">
        <f>IF(A1788="","",VLOOKUP(G1788,表3_3[],3,0))</f>
        <v/>
      </c>
      <c r="J1788" t="str">
        <f>IF(A1788="","",IF('ATP Fills'!I1788="3M","",VLOOKUP(RIGHT('ATP Fills'!I1788,2),Helper1!$O$36:$P$48,2,0)))</f>
        <v/>
      </c>
      <c r="K1788" t="str">
        <f>IF(J1788="","",LEFT('ATP Fills'!I1788,4))</f>
        <v/>
      </c>
      <c r="L1788" t="str">
        <f>IF(A1788="","",IF('ATP Fills'!G1788="LME",'ATP Fills'!I1788,""))</f>
        <v/>
      </c>
      <c r="M1788" t="str">
        <f t="shared" si="27"/>
        <v/>
      </c>
    </row>
    <row r="1789" spans="1:13">
      <c r="A1789" t="str">
        <f>IF('ATP Fills'!A1789="","",IF('ATP Fills'!Q1789="PHILLIPSG",'ATP Fills'!F1789,""))</f>
        <v/>
      </c>
      <c r="B1789" t="str">
        <f>IF(A1789="","",'ATP Fills'!L1789)</f>
        <v/>
      </c>
      <c r="C1789" t="str">
        <f>IF(A1789="","",'ATP Fills'!M1789)</f>
        <v/>
      </c>
      <c r="D1789" t="str">
        <f>IF(A1789="","",'ATP Fills'!B1789)</f>
        <v/>
      </c>
      <c r="E1789" s="3" t="str">
        <f>IF(A1789="","",IF(DATE(LEFT(D1789,4),MID(D1789,5,2),RIGHT(D1789,2))=Helper1!$P$1,Helper1!$P$1,""))</f>
        <v/>
      </c>
      <c r="F1789" s="3" t="str">
        <f>IF(A1789="","",'ATP Fills'!G1789)</f>
        <v/>
      </c>
      <c r="G1789" t="str">
        <f>IF(A1789="","",'ATP Fills'!H1789)</f>
        <v/>
      </c>
      <c r="H1789" t="str">
        <f>IF(A1789="","",VLOOKUP(G1789,表3_3[],2,0))</f>
        <v/>
      </c>
      <c r="I1789" t="str">
        <f>IF(A1789="","",VLOOKUP(G1789,表3_3[],3,0))</f>
        <v/>
      </c>
      <c r="J1789" t="str">
        <f>IF(A1789="","",IF('ATP Fills'!I1789="3M","",VLOOKUP(RIGHT('ATP Fills'!I1789,2),Helper1!$O$36:$P$48,2,0)))</f>
        <v/>
      </c>
      <c r="K1789" t="str">
        <f>IF(J1789="","",LEFT('ATP Fills'!I1789,4))</f>
        <v/>
      </c>
      <c r="L1789" t="str">
        <f>IF(A1789="","",IF('ATP Fills'!G1789="LME",'ATP Fills'!I1789,""))</f>
        <v/>
      </c>
      <c r="M1789" t="str">
        <f t="shared" si="27"/>
        <v/>
      </c>
    </row>
    <row r="1790" spans="1:13">
      <c r="A1790" t="str">
        <f>IF('ATP Fills'!A1790="","",IF('ATP Fills'!Q1790="PHILLIPSG",'ATP Fills'!F1790,""))</f>
        <v/>
      </c>
      <c r="B1790" t="str">
        <f>IF(A1790="","",'ATP Fills'!L1790)</f>
        <v/>
      </c>
      <c r="C1790" t="str">
        <f>IF(A1790="","",'ATP Fills'!M1790)</f>
        <v/>
      </c>
      <c r="D1790" t="str">
        <f>IF(A1790="","",'ATP Fills'!B1790)</f>
        <v/>
      </c>
      <c r="E1790" s="3" t="str">
        <f>IF(A1790="","",IF(DATE(LEFT(D1790,4),MID(D1790,5,2),RIGHT(D1790,2))=Helper1!$P$1,Helper1!$P$1,""))</f>
        <v/>
      </c>
      <c r="F1790" s="3" t="str">
        <f>IF(A1790="","",'ATP Fills'!G1790)</f>
        <v/>
      </c>
      <c r="G1790" t="str">
        <f>IF(A1790="","",'ATP Fills'!H1790)</f>
        <v/>
      </c>
      <c r="H1790" t="str">
        <f>IF(A1790="","",VLOOKUP(G1790,表3_3[],2,0))</f>
        <v/>
      </c>
      <c r="I1790" t="str">
        <f>IF(A1790="","",VLOOKUP(G1790,表3_3[],3,0))</f>
        <v/>
      </c>
      <c r="J1790" t="str">
        <f>IF(A1790="","",IF('ATP Fills'!I1790="3M","",VLOOKUP(RIGHT('ATP Fills'!I1790,2),Helper1!$O$36:$P$48,2,0)))</f>
        <v/>
      </c>
      <c r="K1790" t="str">
        <f>IF(J1790="","",LEFT('ATP Fills'!I1790,4))</f>
        <v/>
      </c>
      <c r="L1790" t="str">
        <f>IF(A1790="","",IF('ATP Fills'!G1790="LME",'ATP Fills'!I1790,""))</f>
        <v/>
      </c>
      <c r="M1790" t="str">
        <f t="shared" si="27"/>
        <v/>
      </c>
    </row>
    <row r="1791" spans="1:13">
      <c r="A1791" t="str">
        <f>IF('ATP Fills'!A1791="","",IF('ATP Fills'!Q1791="PHILLIPSG",'ATP Fills'!F1791,""))</f>
        <v/>
      </c>
      <c r="B1791" t="str">
        <f>IF(A1791="","",'ATP Fills'!L1791)</f>
        <v/>
      </c>
      <c r="C1791" t="str">
        <f>IF(A1791="","",'ATP Fills'!M1791)</f>
        <v/>
      </c>
      <c r="D1791" t="str">
        <f>IF(A1791="","",'ATP Fills'!B1791)</f>
        <v/>
      </c>
      <c r="E1791" s="3" t="str">
        <f>IF(A1791="","",IF(DATE(LEFT(D1791,4),MID(D1791,5,2),RIGHT(D1791,2))=Helper1!$P$1,Helper1!$P$1,""))</f>
        <v/>
      </c>
      <c r="F1791" s="3" t="str">
        <f>IF(A1791="","",'ATP Fills'!G1791)</f>
        <v/>
      </c>
      <c r="G1791" t="str">
        <f>IF(A1791="","",'ATP Fills'!H1791)</f>
        <v/>
      </c>
      <c r="H1791" t="str">
        <f>IF(A1791="","",VLOOKUP(G1791,表3_3[],2,0))</f>
        <v/>
      </c>
      <c r="I1791" t="str">
        <f>IF(A1791="","",VLOOKUP(G1791,表3_3[],3,0))</f>
        <v/>
      </c>
      <c r="J1791" t="str">
        <f>IF(A1791="","",IF('ATP Fills'!I1791="3M","",VLOOKUP(RIGHT('ATP Fills'!I1791,2),Helper1!$O$36:$P$48,2,0)))</f>
        <v/>
      </c>
      <c r="K1791" t="str">
        <f>IF(J1791="","",LEFT('ATP Fills'!I1791,4))</f>
        <v/>
      </c>
      <c r="L1791" t="str">
        <f>IF(A1791="","",IF('ATP Fills'!G1791="LME",'ATP Fills'!I1791,""))</f>
        <v/>
      </c>
      <c r="M1791" t="str">
        <f t="shared" si="27"/>
        <v/>
      </c>
    </row>
    <row r="1792" spans="1:13">
      <c r="A1792" t="str">
        <f>IF('ATP Fills'!A1792="","",IF('ATP Fills'!Q1792="PHILLIPSG",'ATP Fills'!F1792,""))</f>
        <v/>
      </c>
      <c r="B1792" t="str">
        <f>IF(A1792="","",'ATP Fills'!L1792)</f>
        <v/>
      </c>
      <c r="C1792" t="str">
        <f>IF(A1792="","",'ATP Fills'!M1792)</f>
        <v/>
      </c>
      <c r="D1792" t="str">
        <f>IF(A1792="","",'ATP Fills'!B1792)</f>
        <v/>
      </c>
      <c r="E1792" s="3" t="str">
        <f>IF(A1792="","",IF(DATE(LEFT(D1792,4),MID(D1792,5,2),RIGHT(D1792,2))=Helper1!$P$1,Helper1!$P$1,""))</f>
        <v/>
      </c>
      <c r="F1792" s="3" t="str">
        <f>IF(A1792="","",'ATP Fills'!G1792)</f>
        <v/>
      </c>
      <c r="G1792" t="str">
        <f>IF(A1792="","",'ATP Fills'!H1792)</f>
        <v/>
      </c>
      <c r="H1792" t="str">
        <f>IF(A1792="","",VLOOKUP(G1792,表3_3[],2,0))</f>
        <v/>
      </c>
      <c r="I1792" t="str">
        <f>IF(A1792="","",VLOOKUP(G1792,表3_3[],3,0))</f>
        <v/>
      </c>
      <c r="J1792" t="str">
        <f>IF(A1792="","",IF('ATP Fills'!I1792="3M","",VLOOKUP(RIGHT('ATP Fills'!I1792,2),Helper1!$O$36:$P$48,2,0)))</f>
        <v/>
      </c>
      <c r="K1792" t="str">
        <f>IF(J1792="","",LEFT('ATP Fills'!I1792,4))</f>
        <v/>
      </c>
      <c r="L1792" t="str">
        <f>IF(A1792="","",IF('ATP Fills'!G1792="LME",'ATP Fills'!I1792,""))</f>
        <v/>
      </c>
      <c r="M1792" t="str">
        <f t="shared" si="27"/>
        <v/>
      </c>
    </row>
    <row r="1793" spans="1:13">
      <c r="A1793" t="str">
        <f>IF('ATP Fills'!A1793="","",IF('ATP Fills'!Q1793="PHILLIPSG",'ATP Fills'!F1793,""))</f>
        <v/>
      </c>
      <c r="B1793" t="str">
        <f>IF(A1793="","",'ATP Fills'!L1793)</f>
        <v/>
      </c>
      <c r="C1793" t="str">
        <f>IF(A1793="","",'ATP Fills'!M1793)</f>
        <v/>
      </c>
      <c r="D1793" t="str">
        <f>IF(A1793="","",'ATP Fills'!B1793)</f>
        <v/>
      </c>
      <c r="E1793" s="3" t="str">
        <f>IF(A1793="","",IF(DATE(LEFT(D1793,4),MID(D1793,5,2),RIGHT(D1793,2))=Helper1!$P$1,Helper1!$P$1,""))</f>
        <v/>
      </c>
      <c r="F1793" s="3" t="str">
        <f>IF(A1793="","",'ATP Fills'!G1793)</f>
        <v/>
      </c>
      <c r="G1793" t="str">
        <f>IF(A1793="","",'ATP Fills'!H1793)</f>
        <v/>
      </c>
      <c r="H1793" t="str">
        <f>IF(A1793="","",VLOOKUP(G1793,表3_3[],2,0))</f>
        <v/>
      </c>
      <c r="I1793" t="str">
        <f>IF(A1793="","",VLOOKUP(G1793,表3_3[],3,0))</f>
        <v/>
      </c>
      <c r="J1793" t="str">
        <f>IF(A1793="","",IF('ATP Fills'!I1793="3M","",VLOOKUP(RIGHT('ATP Fills'!I1793,2),Helper1!$O$36:$P$48,2,0)))</f>
        <v/>
      </c>
      <c r="K1793" t="str">
        <f>IF(J1793="","",LEFT('ATP Fills'!I1793,4))</f>
        <v/>
      </c>
      <c r="L1793" t="str">
        <f>IF(A1793="","",IF('ATP Fills'!G1793="LME",'ATP Fills'!I1793,""))</f>
        <v/>
      </c>
      <c r="M1793" t="str">
        <f t="shared" si="27"/>
        <v/>
      </c>
    </row>
    <row r="1794" spans="1:13">
      <c r="A1794" t="str">
        <f>IF('ATP Fills'!A1794="","",IF('ATP Fills'!Q1794="PHILLIPSG",'ATP Fills'!F1794,""))</f>
        <v/>
      </c>
      <c r="B1794" t="str">
        <f>IF(A1794="","",'ATP Fills'!L1794)</f>
        <v/>
      </c>
      <c r="C1794" t="str">
        <f>IF(A1794="","",'ATP Fills'!M1794)</f>
        <v/>
      </c>
      <c r="D1794" t="str">
        <f>IF(A1794="","",'ATP Fills'!B1794)</f>
        <v/>
      </c>
      <c r="E1794" s="3" t="str">
        <f>IF(A1794="","",IF(DATE(LEFT(D1794,4),MID(D1794,5,2),RIGHT(D1794,2))=Helper1!$P$1,Helper1!$P$1,""))</f>
        <v/>
      </c>
      <c r="F1794" s="3" t="str">
        <f>IF(A1794="","",'ATP Fills'!G1794)</f>
        <v/>
      </c>
      <c r="G1794" t="str">
        <f>IF(A1794="","",'ATP Fills'!H1794)</f>
        <v/>
      </c>
      <c r="H1794" t="str">
        <f>IF(A1794="","",VLOOKUP(G1794,表3_3[],2,0))</f>
        <v/>
      </c>
      <c r="I1794" t="str">
        <f>IF(A1794="","",VLOOKUP(G1794,表3_3[],3,0))</f>
        <v/>
      </c>
      <c r="J1794" t="str">
        <f>IF(A1794="","",IF('ATP Fills'!I1794="3M","",VLOOKUP(RIGHT('ATP Fills'!I1794,2),Helper1!$O$36:$P$48,2,0)))</f>
        <v/>
      </c>
      <c r="K1794" t="str">
        <f>IF(J1794="","",LEFT('ATP Fills'!I1794,4))</f>
        <v/>
      </c>
      <c r="L1794" t="str">
        <f>IF(A1794="","",IF('ATP Fills'!G1794="LME",'ATP Fills'!I1794,""))</f>
        <v/>
      </c>
      <c r="M1794" t="str">
        <f t="shared" si="27"/>
        <v/>
      </c>
    </row>
    <row r="1795" spans="1:13">
      <c r="A1795" t="str">
        <f>IF('ATP Fills'!A1795="","",IF('ATP Fills'!Q1795="PHILLIPSG",'ATP Fills'!F1795,""))</f>
        <v/>
      </c>
      <c r="B1795" t="str">
        <f>IF(A1795="","",'ATP Fills'!L1795)</f>
        <v/>
      </c>
      <c r="C1795" t="str">
        <f>IF(A1795="","",'ATP Fills'!M1795)</f>
        <v/>
      </c>
      <c r="D1795" t="str">
        <f>IF(A1795="","",'ATP Fills'!B1795)</f>
        <v/>
      </c>
      <c r="E1795" s="3" t="str">
        <f>IF(A1795="","",IF(DATE(LEFT(D1795,4),MID(D1795,5,2),RIGHT(D1795,2))=Helper1!$P$1,Helper1!$P$1,""))</f>
        <v/>
      </c>
      <c r="F1795" s="3" t="str">
        <f>IF(A1795="","",'ATP Fills'!G1795)</f>
        <v/>
      </c>
      <c r="G1795" t="str">
        <f>IF(A1795="","",'ATP Fills'!H1795)</f>
        <v/>
      </c>
      <c r="H1795" t="str">
        <f>IF(A1795="","",VLOOKUP(G1795,表3_3[],2,0))</f>
        <v/>
      </c>
      <c r="I1795" t="str">
        <f>IF(A1795="","",VLOOKUP(G1795,表3_3[],3,0))</f>
        <v/>
      </c>
      <c r="J1795" t="str">
        <f>IF(A1795="","",IF('ATP Fills'!I1795="3M","",VLOOKUP(RIGHT('ATP Fills'!I1795,2),Helper1!$O$36:$P$48,2,0)))</f>
        <v/>
      </c>
      <c r="K1795" t="str">
        <f>IF(J1795="","",LEFT('ATP Fills'!I1795,4))</f>
        <v/>
      </c>
      <c r="L1795" t="str">
        <f>IF(A1795="","",IF('ATP Fills'!G1795="LME",'ATP Fills'!I1795,""))</f>
        <v/>
      </c>
      <c r="M1795" t="str">
        <f t="shared" ref="M1795:M1858" si="28">IF(A1795="","",IF(F1795="LME",F1795&amp;"-"&amp;I1795&amp;"-"&amp;L1795,J1795&amp;"-"&amp;K1795&amp;"-"&amp;I1795))</f>
        <v/>
      </c>
    </row>
    <row r="1796" spans="1:13">
      <c r="A1796" t="str">
        <f>IF('ATP Fills'!A1796="","",IF('ATP Fills'!Q1796="PHILLIPSG",'ATP Fills'!F1796,""))</f>
        <v/>
      </c>
      <c r="B1796" t="str">
        <f>IF(A1796="","",'ATP Fills'!L1796)</f>
        <v/>
      </c>
      <c r="C1796" t="str">
        <f>IF(A1796="","",'ATP Fills'!M1796)</f>
        <v/>
      </c>
      <c r="D1796" t="str">
        <f>IF(A1796="","",'ATP Fills'!B1796)</f>
        <v/>
      </c>
      <c r="E1796" s="3" t="str">
        <f>IF(A1796="","",IF(DATE(LEFT(D1796,4),MID(D1796,5,2),RIGHT(D1796,2))=Helper1!$P$1,Helper1!$P$1,""))</f>
        <v/>
      </c>
      <c r="F1796" s="3" t="str">
        <f>IF(A1796="","",'ATP Fills'!G1796)</f>
        <v/>
      </c>
      <c r="G1796" t="str">
        <f>IF(A1796="","",'ATP Fills'!H1796)</f>
        <v/>
      </c>
      <c r="H1796" t="str">
        <f>IF(A1796="","",VLOOKUP(G1796,表3_3[],2,0))</f>
        <v/>
      </c>
      <c r="I1796" t="str">
        <f>IF(A1796="","",VLOOKUP(G1796,表3_3[],3,0))</f>
        <v/>
      </c>
      <c r="J1796" t="str">
        <f>IF(A1796="","",IF('ATP Fills'!I1796="3M","",VLOOKUP(RIGHT('ATP Fills'!I1796,2),Helper1!$O$36:$P$48,2,0)))</f>
        <v/>
      </c>
      <c r="K1796" t="str">
        <f>IF(J1796="","",LEFT('ATP Fills'!I1796,4))</f>
        <v/>
      </c>
      <c r="L1796" t="str">
        <f>IF(A1796="","",IF('ATP Fills'!G1796="LME",'ATP Fills'!I1796,""))</f>
        <v/>
      </c>
      <c r="M1796" t="str">
        <f t="shared" si="28"/>
        <v/>
      </c>
    </row>
    <row r="1797" spans="1:13">
      <c r="A1797" t="str">
        <f>IF('ATP Fills'!A1797="","",IF('ATP Fills'!Q1797="PHILLIPSG",'ATP Fills'!F1797,""))</f>
        <v/>
      </c>
      <c r="B1797" t="str">
        <f>IF(A1797="","",'ATP Fills'!L1797)</f>
        <v/>
      </c>
      <c r="C1797" t="str">
        <f>IF(A1797="","",'ATP Fills'!M1797)</f>
        <v/>
      </c>
      <c r="D1797" t="str">
        <f>IF(A1797="","",'ATP Fills'!B1797)</f>
        <v/>
      </c>
      <c r="E1797" s="3" t="str">
        <f>IF(A1797="","",IF(DATE(LEFT(D1797,4),MID(D1797,5,2),RIGHT(D1797,2))=Helper1!$P$1,Helper1!$P$1,""))</f>
        <v/>
      </c>
      <c r="F1797" s="3" t="str">
        <f>IF(A1797="","",'ATP Fills'!G1797)</f>
        <v/>
      </c>
      <c r="G1797" t="str">
        <f>IF(A1797="","",'ATP Fills'!H1797)</f>
        <v/>
      </c>
      <c r="H1797" t="str">
        <f>IF(A1797="","",VLOOKUP(G1797,表3_3[],2,0))</f>
        <v/>
      </c>
      <c r="I1797" t="str">
        <f>IF(A1797="","",VLOOKUP(G1797,表3_3[],3,0))</f>
        <v/>
      </c>
      <c r="J1797" t="str">
        <f>IF(A1797="","",IF('ATP Fills'!I1797="3M","",VLOOKUP(RIGHT('ATP Fills'!I1797,2),Helper1!$O$36:$P$48,2,0)))</f>
        <v/>
      </c>
      <c r="K1797" t="str">
        <f>IF(J1797="","",LEFT('ATP Fills'!I1797,4))</f>
        <v/>
      </c>
      <c r="L1797" t="str">
        <f>IF(A1797="","",IF('ATP Fills'!G1797="LME",'ATP Fills'!I1797,""))</f>
        <v/>
      </c>
      <c r="M1797" t="str">
        <f t="shared" si="28"/>
        <v/>
      </c>
    </row>
    <row r="1798" spans="1:13">
      <c r="A1798" t="str">
        <f>IF('ATP Fills'!A1798="","",IF('ATP Fills'!Q1798="PHILLIPSG",'ATP Fills'!F1798,""))</f>
        <v/>
      </c>
      <c r="B1798" t="str">
        <f>IF(A1798="","",'ATP Fills'!L1798)</f>
        <v/>
      </c>
      <c r="C1798" t="str">
        <f>IF(A1798="","",'ATP Fills'!M1798)</f>
        <v/>
      </c>
      <c r="D1798" t="str">
        <f>IF(A1798="","",'ATP Fills'!B1798)</f>
        <v/>
      </c>
      <c r="E1798" s="3" t="str">
        <f>IF(A1798="","",IF(DATE(LEFT(D1798,4),MID(D1798,5,2),RIGHT(D1798,2))=Helper1!$P$1,Helper1!$P$1,""))</f>
        <v/>
      </c>
      <c r="F1798" s="3" t="str">
        <f>IF(A1798="","",'ATP Fills'!G1798)</f>
        <v/>
      </c>
      <c r="G1798" t="str">
        <f>IF(A1798="","",'ATP Fills'!H1798)</f>
        <v/>
      </c>
      <c r="H1798" t="str">
        <f>IF(A1798="","",VLOOKUP(G1798,表3_3[],2,0))</f>
        <v/>
      </c>
      <c r="I1798" t="str">
        <f>IF(A1798="","",VLOOKUP(G1798,表3_3[],3,0))</f>
        <v/>
      </c>
      <c r="J1798" t="str">
        <f>IF(A1798="","",IF('ATP Fills'!I1798="3M","",VLOOKUP(RIGHT('ATP Fills'!I1798,2),Helper1!$O$36:$P$48,2,0)))</f>
        <v/>
      </c>
      <c r="K1798" t="str">
        <f>IF(J1798="","",LEFT('ATP Fills'!I1798,4))</f>
        <v/>
      </c>
      <c r="L1798" t="str">
        <f>IF(A1798="","",IF('ATP Fills'!G1798="LME",'ATP Fills'!I1798,""))</f>
        <v/>
      </c>
      <c r="M1798" t="str">
        <f t="shared" si="28"/>
        <v/>
      </c>
    </row>
    <row r="1799" spans="1:13">
      <c r="A1799" t="str">
        <f>IF('ATP Fills'!A1799="","",IF('ATP Fills'!Q1799="PHILLIPSG",'ATP Fills'!F1799,""))</f>
        <v/>
      </c>
      <c r="B1799" t="str">
        <f>IF(A1799="","",'ATP Fills'!L1799)</f>
        <v/>
      </c>
      <c r="C1799" t="str">
        <f>IF(A1799="","",'ATP Fills'!M1799)</f>
        <v/>
      </c>
      <c r="D1799" t="str">
        <f>IF(A1799="","",'ATP Fills'!B1799)</f>
        <v/>
      </c>
      <c r="E1799" s="3" t="str">
        <f>IF(A1799="","",IF(DATE(LEFT(D1799,4),MID(D1799,5,2),RIGHT(D1799,2))=Helper1!$P$1,Helper1!$P$1,""))</f>
        <v/>
      </c>
      <c r="F1799" s="3" t="str">
        <f>IF(A1799="","",'ATP Fills'!G1799)</f>
        <v/>
      </c>
      <c r="G1799" t="str">
        <f>IF(A1799="","",'ATP Fills'!H1799)</f>
        <v/>
      </c>
      <c r="H1799" t="str">
        <f>IF(A1799="","",VLOOKUP(G1799,表3_3[],2,0))</f>
        <v/>
      </c>
      <c r="I1799" t="str">
        <f>IF(A1799="","",VLOOKUP(G1799,表3_3[],3,0))</f>
        <v/>
      </c>
      <c r="J1799" t="str">
        <f>IF(A1799="","",IF('ATP Fills'!I1799="3M","",VLOOKUP(RIGHT('ATP Fills'!I1799,2),Helper1!$O$36:$P$48,2,0)))</f>
        <v/>
      </c>
      <c r="K1799" t="str">
        <f>IF(J1799="","",LEFT('ATP Fills'!I1799,4))</f>
        <v/>
      </c>
      <c r="L1799" t="str">
        <f>IF(A1799="","",IF('ATP Fills'!G1799="LME",'ATP Fills'!I1799,""))</f>
        <v/>
      </c>
      <c r="M1799" t="str">
        <f t="shared" si="28"/>
        <v/>
      </c>
    </row>
    <row r="1800" spans="1:13">
      <c r="A1800" t="str">
        <f>IF('ATP Fills'!A1800="","",IF('ATP Fills'!Q1800="PHILLIPSG",'ATP Fills'!F1800,""))</f>
        <v/>
      </c>
      <c r="B1800" t="str">
        <f>IF(A1800="","",'ATP Fills'!L1800)</f>
        <v/>
      </c>
      <c r="C1800" t="str">
        <f>IF(A1800="","",'ATP Fills'!M1800)</f>
        <v/>
      </c>
      <c r="D1800" t="str">
        <f>IF(A1800="","",'ATP Fills'!B1800)</f>
        <v/>
      </c>
      <c r="E1800" s="3" t="str">
        <f>IF(A1800="","",IF(DATE(LEFT(D1800,4),MID(D1800,5,2),RIGHT(D1800,2))=Helper1!$P$1,Helper1!$P$1,""))</f>
        <v/>
      </c>
      <c r="F1800" s="3" t="str">
        <f>IF(A1800="","",'ATP Fills'!G1800)</f>
        <v/>
      </c>
      <c r="G1800" t="str">
        <f>IF(A1800="","",'ATP Fills'!H1800)</f>
        <v/>
      </c>
      <c r="H1800" t="str">
        <f>IF(A1800="","",VLOOKUP(G1800,表3_3[],2,0))</f>
        <v/>
      </c>
      <c r="I1800" t="str">
        <f>IF(A1800="","",VLOOKUP(G1800,表3_3[],3,0))</f>
        <v/>
      </c>
      <c r="J1800" t="str">
        <f>IF(A1800="","",IF('ATP Fills'!I1800="3M","",VLOOKUP(RIGHT('ATP Fills'!I1800,2),Helper1!$O$36:$P$48,2,0)))</f>
        <v/>
      </c>
      <c r="K1800" t="str">
        <f>IF(J1800="","",LEFT('ATP Fills'!I1800,4))</f>
        <v/>
      </c>
      <c r="L1800" t="str">
        <f>IF(A1800="","",IF('ATP Fills'!G1800="LME",'ATP Fills'!I1800,""))</f>
        <v/>
      </c>
      <c r="M1800" t="str">
        <f t="shared" si="28"/>
        <v/>
      </c>
    </row>
    <row r="1801" spans="1:13">
      <c r="A1801" t="str">
        <f>IF('ATP Fills'!A1801="","",IF('ATP Fills'!Q1801="PHILLIPSG",'ATP Fills'!F1801,""))</f>
        <v/>
      </c>
      <c r="B1801" t="str">
        <f>IF(A1801="","",'ATP Fills'!L1801)</f>
        <v/>
      </c>
      <c r="C1801" t="str">
        <f>IF(A1801="","",'ATP Fills'!M1801)</f>
        <v/>
      </c>
      <c r="D1801" t="str">
        <f>IF(A1801="","",'ATP Fills'!B1801)</f>
        <v/>
      </c>
      <c r="E1801" s="3" t="str">
        <f>IF(A1801="","",IF(DATE(LEFT(D1801,4),MID(D1801,5,2),RIGHT(D1801,2))=Helper1!$P$1,Helper1!$P$1,""))</f>
        <v/>
      </c>
      <c r="F1801" s="3" t="str">
        <f>IF(A1801="","",'ATP Fills'!G1801)</f>
        <v/>
      </c>
      <c r="G1801" t="str">
        <f>IF(A1801="","",'ATP Fills'!H1801)</f>
        <v/>
      </c>
      <c r="H1801" t="str">
        <f>IF(A1801="","",VLOOKUP(G1801,表3_3[],2,0))</f>
        <v/>
      </c>
      <c r="I1801" t="str">
        <f>IF(A1801="","",VLOOKUP(G1801,表3_3[],3,0))</f>
        <v/>
      </c>
      <c r="J1801" t="str">
        <f>IF(A1801="","",IF('ATP Fills'!I1801="3M","",VLOOKUP(RIGHT('ATP Fills'!I1801,2),Helper1!$O$36:$P$48,2,0)))</f>
        <v/>
      </c>
      <c r="K1801" t="str">
        <f>IF(J1801="","",LEFT('ATP Fills'!I1801,4))</f>
        <v/>
      </c>
      <c r="L1801" t="str">
        <f>IF(A1801="","",IF('ATP Fills'!G1801="LME",'ATP Fills'!I1801,""))</f>
        <v/>
      </c>
      <c r="M1801" t="str">
        <f t="shared" si="28"/>
        <v/>
      </c>
    </row>
    <row r="1802" spans="1:13">
      <c r="A1802" t="str">
        <f>IF('ATP Fills'!A1802="","",IF('ATP Fills'!Q1802="PHILLIPSG",'ATP Fills'!F1802,""))</f>
        <v/>
      </c>
      <c r="B1802" t="str">
        <f>IF(A1802="","",'ATP Fills'!L1802)</f>
        <v/>
      </c>
      <c r="C1802" t="str">
        <f>IF(A1802="","",'ATP Fills'!M1802)</f>
        <v/>
      </c>
      <c r="D1802" t="str">
        <f>IF(A1802="","",'ATP Fills'!B1802)</f>
        <v/>
      </c>
      <c r="E1802" s="3" t="str">
        <f>IF(A1802="","",IF(DATE(LEFT(D1802,4),MID(D1802,5,2),RIGHT(D1802,2))=Helper1!$P$1,Helper1!$P$1,""))</f>
        <v/>
      </c>
      <c r="F1802" s="3" t="str">
        <f>IF(A1802="","",'ATP Fills'!G1802)</f>
        <v/>
      </c>
      <c r="G1802" t="str">
        <f>IF(A1802="","",'ATP Fills'!H1802)</f>
        <v/>
      </c>
      <c r="H1802" t="str">
        <f>IF(A1802="","",VLOOKUP(G1802,表3_3[],2,0))</f>
        <v/>
      </c>
      <c r="I1802" t="str">
        <f>IF(A1802="","",VLOOKUP(G1802,表3_3[],3,0))</f>
        <v/>
      </c>
      <c r="J1802" t="str">
        <f>IF(A1802="","",IF('ATP Fills'!I1802="3M","",VLOOKUP(RIGHT('ATP Fills'!I1802,2),Helper1!$O$36:$P$48,2,0)))</f>
        <v/>
      </c>
      <c r="K1802" t="str">
        <f>IF(J1802="","",LEFT('ATP Fills'!I1802,4))</f>
        <v/>
      </c>
      <c r="L1802" t="str">
        <f>IF(A1802="","",IF('ATP Fills'!G1802="LME",'ATP Fills'!I1802,""))</f>
        <v/>
      </c>
      <c r="M1802" t="str">
        <f t="shared" si="28"/>
        <v/>
      </c>
    </row>
    <row r="1803" spans="1:13">
      <c r="A1803" t="str">
        <f>IF('ATP Fills'!A1803="","",IF('ATP Fills'!Q1803="PHILLIPSG",'ATP Fills'!F1803,""))</f>
        <v/>
      </c>
      <c r="B1803" t="str">
        <f>IF(A1803="","",'ATP Fills'!L1803)</f>
        <v/>
      </c>
      <c r="C1803" t="str">
        <f>IF(A1803="","",'ATP Fills'!M1803)</f>
        <v/>
      </c>
      <c r="D1803" t="str">
        <f>IF(A1803="","",'ATP Fills'!B1803)</f>
        <v/>
      </c>
      <c r="E1803" s="3" t="str">
        <f>IF(A1803="","",IF(DATE(LEFT(D1803,4),MID(D1803,5,2),RIGHT(D1803,2))=Helper1!$P$1,Helper1!$P$1,""))</f>
        <v/>
      </c>
      <c r="F1803" s="3" t="str">
        <f>IF(A1803="","",'ATP Fills'!G1803)</f>
        <v/>
      </c>
      <c r="G1803" t="str">
        <f>IF(A1803="","",'ATP Fills'!H1803)</f>
        <v/>
      </c>
      <c r="H1803" t="str">
        <f>IF(A1803="","",VLOOKUP(G1803,表3_3[],2,0))</f>
        <v/>
      </c>
      <c r="I1803" t="str">
        <f>IF(A1803="","",VLOOKUP(G1803,表3_3[],3,0))</f>
        <v/>
      </c>
      <c r="J1803" t="str">
        <f>IF(A1803="","",IF('ATP Fills'!I1803="3M","",VLOOKUP(RIGHT('ATP Fills'!I1803,2),Helper1!$O$36:$P$48,2,0)))</f>
        <v/>
      </c>
      <c r="K1803" t="str">
        <f>IF(J1803="","",LEFT('ATP Fills'!I1803,4))</f>
        <v/>
      </c>
      <c r="L1803" t="str">
        <f>IF(A1803="","",IF('ATP Fills'!G1803="LME",'ATP Fills'!I1803,""))</f>
        <v/>
      </c>
      <c r="M1803" t="str">
        <f t="shared" si="28"/>
        <v/>
      </c>
    </row>
    <row r="1804" spans="1:13">
      <c r="A1804" t="str">
        <f>IF('ATP Fills'!A1804="","",IF('ATP Fills'!Q1804="PHILLIPSG",'ATP Fills'!F1804,""))</f>
        <v/>
      </c>
      <c r="B1804" t="str">
        <f>IF(A1804="","",'ATP Fills'!L1804)</f>
        <v/>
      </c>
      <c r="C1804" t="str">
        <f>IF(A1804="","",'ATP Fills'!M1804)</f>
        <v/>
      </c>
      <c r="D1804" t="str">
        <f>IF(A1804="","",'ATP Fills'!B1804)</f>
        <v/>
      </c>
      <c r="E1804" s="3" t="str">
        <f>IF(A1804="","",IF(DATE(LEFT(D1804,4),MID(D1804,5,2),RIGHT(D1804,2))=Helper1!$P$1,Helper1!$P$1,""))</f>
        <v/>
      </c>
      <c r="F1804" s="3" t="str">
        <f>IF(A1804="","",'ATP Fills'!G1804)</f>
        <v/>
      </c>
      <c r="G1804" t="str">
        <f>IF(A1804="","",'ATP Fills'!H1804)</f>
        <v/>
      </c>
      <c r="H1804" t="str">
        <f>IF(A1804="","",VLOOKUP(G1804,表3_3[],2,0))</f>
        <v/>
      </c>
      <c r="I1804" t="str">
        <f>IF(A1804="","",VLOOKUP(G1804,表3_3[],3,0))</f>
        <v/>
      </c>
      <c r="J1804" t="str">
        <f>IF(A1804="","",IF('ATP Fills'!I1804="3M","",VLOOKUP(RIGHT('ATP Fills'!I1804,2),Helper1!$O$36:$P$48,2,0)))</f>
        <v/>
      </c>
      <c r="K1804" t="str">
        <f>IF(J1804="","",LEFT('ATP Fills'!I1804,4))</f>
        <v/>
      </c>
      <c r="L1804" t="str">
        <f>IF(A1804="","",IF('ATP Fills'!G1804="LME",'ATP Fills'!I1804,""))</f>
        <v/>
      </c>
      <c r="M1804" t="str">
        <f t="shared" si="28"/>
        <v/>
      </c>
    </row>
    <row r="1805" spans="1:13">
      <c r="A1805" t="str">
        <f>IF('ATP Fills'!A1805="","",IF('ATP Fills'!Q1805="PHILLIPSG",'ATP Fills'!F1805,""))</f>
        <v/>
      </c>
      <c r="B1805" t="str">
        <f>IF(A1805="","",'ATP Fills'!L1805)</f>
        <v/>
      </c>
      <c r="C1805" t="str">
        <f>IF(A1805="","",'ATP Fills'!M1805)</f>
        <v/>
      </c>
      <c r="D1805" t="str">
        <f>IF(A1805="","",'ATP Fills'!B1805)</f>
        <v/>
      </c>
      <c r="E1805" s="3" t="str">
        <f>IF(A1805="","",IF(DATE(LEFT(D1805,4),MID(D1805,5,2),RIGHT(D1805,2))=Helper1!$P$1,Helper1!$P$1,""))</f>
        <v/>
      </c>
      <c r="F1805" s="3" t="str">
        <f>IF(A1805="","",'ATP Fills'!G1805)</f>
        <v/>
      </c>
      <c r="G1805" t="str">
        <f>IF(A1805="","",'ATP Fills'!H1805)</f>
        <v/>
      </c>
      <c r="H1805" t="str">
        <f>IF(A1805="","",VLOOKUP(G1805,表3_3[],2,0))</f>
        <v/>
      </c>
      <c r="I1805" t="str">
        <f>IF(A1805="","",VLOOKUP(G1805,表3_3[],3,0))</f>
        <v/>
      </c>
      <c r="J1805" t="str">
        <f>IF(A1805="","",IF('ATP Fills'!I1805="3M","",VLOOKUP(RIGHT('ATP Fills'!I1805,2),Helper1!$O$36:$P$48,2,0)))</f>
        <v/>
      </c>
      <c r="K1805" t="str">
        <f>IF(J1805="","",LEFT('ATP Fills'!I1805,4))</f>
        <v/>
      </c>
      <c r="L1805" t="str">
        <f>IF(A1805="","",IF('ATP Fills'!G1805="LME",'ATP Fills'!I1805,""))</f>
        <v/>
      </c>
      <c r="M1805" t="str">
        <f t="shared" si="28"/>
        <v/>
      </c>
    </row>
    <row r="1806" spans="1:13">
      <c r="A1806" t="str">
        <f>IF('ATP Fills'!A1806="","",IF('ATP Fills'!Q1806="PHILLIPSG",'ATP Fills'!F1806,""))</f>
        <v/>
      </c>
      <c r="B1806" t="str">
        <f>IF(A1806="","",'ATP Fills'!L1806)</f>
        <v/>
      </c>
      <c r="C1806" t="str">
        <f>IF(A1806="","",'ATP Fills'!M1806)</f>
        <v/>
      </c>
      <c r="D1806" t="str">
        <f>IF(A1806="","",'ATP Fills'!B1806)</f>
        <v/>
      </c>
      <c r="E1806" s="3" t="str">
        <f>IF(A1806="","",IF(DATE(LEFT(D1806,4),MID(D1806,5,2),RIGHT(D1806,2))=Helper1!$P$1,Helper1!$P$1,""))</f>
        <v/>
      </c>
      <c r="F1806" s="3" t="str">
        <f>IF(A1806="","",'ATP Fills'!G1806)</f>
        <v/>
      </c>
      <c r="G1806" t="str">
        <f>IF(A1806="","",'ATP Fills'!H1806)</f>
        <v/>
      </c>
      <c r="H1806" t="str">
        <f>IF(A1806="","",VLOOKUP(G1806,表3_3[],2,0))</f>
        <v/>
      </c>
      <c r="I1806" t="str">
        <f>IF(A1806="","",VLOOKUP(G1806,表3_3[],3,0))</f>
        <v/>
      </c>
      <c r="J1806" t="str">
        <f>IF(A1806="","",IF('ATP Fills'!I1806="3M","",VLOOKUP(RIGHT('ATP Fills'!I1806,2),Helper1!$O$36:$P$48,2,0)))</f>
        <v/>
      </c>
      <c r="K1806" t="str">
        <f>IF(J1806="","",LEFT('ATP Fills'!I1806,4))</f>
        <v/>
      </c>
      <c r="L1806" t="str">
        <f>IF(A1806="","",IF('ATP Fills'!G1806="LME",'ATP Fills'!I1806,""))</f>
        <v/>
      </c>
      <c r="M1806" t="str">
        <f t="shared" si="28"/>
        <v/>
      </c>
    </row>
    <row r="1807" spans="1:13">
      <c r="A1807" t="str">
        <f>IF('ATP Fills'!A1807="","",IF('ATP Fills'!Q1807="PHILLIPSG",'ATP Fills'!F1807,""))</f>
        <v/>
      </c>
      <c r="B1807" t="str">
        <f>IF(A1807="","",'ATP Fills'!L1807)</f>
        <v/>
      </c>
      <c r="C1807" t="str">
        <f>IF(A1807="","",'ATP Fills'!M1807)</f>
        <v/>
      </c>
      <c r="D1807" t="str">
        <f>IF(A1807="","",'ATP Fills'!B1807)</f>
        <v/>
      </c>
      <c r="E1807" s="3" t="str">
        <f>IF(A1807="","",IF(DATE(LEFT(D1807,4),MID(D1807,5,2),RIGHT(D1807,2))=Helper1!$P$1,Helper1!$P$1,""))</f>
        <v/>
      </c>
      <c r="F1807" s="3" t="str">
        <f>IF(A1807="","",'ATP Fills'!G1807)</f>
        <v/>
      </c>
      <c r="G1807" t="str">
        <f>IF(A1807="","",'ATP Fills'!H1807)</f>
        <v/>
      </c>
      <c r="H1807" t="str">
        <f>IF(A1807="","",VLOOKUP(G1807,表3_3[],2,0))</f>
        <v/>
      </c>
      <c r="I1807" t="str">
        <f>IF(A1807="","",VLOOKUP(G1807,表3_3[],3,0))</f>
        <v/>
      </c>
      <c r="J1807" t="str">
        <f>IF(A1807="","",IF('ATP Fills'!I1807="3M","",VLOOKUP(RIGHT('ATP Fills'!I1807,2),Helper1!$O$36:$P$48,2,0)))</f>
        <v/>
      </c>
      <c r="K1807" t="str">
        <f>IF(J1807="","",LEFT('ATP Fills'!I1807,4))</f>
        <v/>
      </c>
      <c r="L1807" t="str">
        <f>IF(A1807="","",IF('ATP Fills'!G1807="LME",'ATP Fills'!I1807,""))</f>
        <v/>
      </c>
      <c r="M1807" t="str">
        <f t="shared" si="28"/>
        <v/>
      </c>
    </row>
    <row r="1808" spans="1:13">
      <c r="A1808" t="str">
        <f>IF('ATP Fills'!A1808="","",IF('ATP Fills'!Q1808="PHILLIPSG",'ATP Fills'!F1808,""))</f>
        <v/>
      </c>
      <c r="B1808" t="str">
        <f>IF(A1808="","",'ATP Fills'!L1808)</f>
        <v/>
      </c>
      <c r="C1808" t="str">
        <f>IF(A1808="","",'ATP Fills'!M1808)</f>
        <v/>
      </c>
      <c r="D1808" t="str">
        <f>IF(A1808="","",'ATP Fills'!B1808)</f>
        <v/>
      </c>
      <c r="E1808" s="3" t="str">
        <f>IF(A1808="","",IF(DATE(LEFT(D1808,4),MID(D1808,5,2),RIGHT(D1808,2))=Helper1!$P$1,Helper1!$P$1,""))</f>
        <v/>
      </c>
      <c r="F1808" s="3" t="str">
        <f>IF(A1808="","",'ATP Fills'!G1808)</f>
        <v/>
      </c>
      <c r="G1808" t="str">
        <f>IF(A1808="","",'ATP Fills'!H1808)</f>
        <v/>
      </c>
      <c r="H1808" t="str">
        <f>IF(A1808="","",VLOOKUP(G1808,表3_3[],2,0))</f>
        <v/>
      </c>
      <c r="I1808" t="str">
        <f>IF(A1808="","",VLOOKUP(G1808,表3_3[],3,0))</f>
        <v/>
      </c>
      <c r="J1808" t="str">
        <f>IF(A1808="","",IF('ATP Fills'!I1808="3M","",VLOOKUP(RIGHT('ATP Fills'!I1808,2),Helper1!$O$36:$P$48,2,0)))</f>
        <v/>
      </c>
      <c r="K1808" t="str">
        <f>IF(J1808="","",LEFT('ATP Fills'!I1808,4))</f>
        <v/>
      </c>
      <c r="L1808" t="str">
        <f>IF(A1808="","",IF('ATP Fills'!G1808="LME",'ATP Fills'!I1808,""))</f>
        <v/>
      </c>
      <c r="M1808" t="str">
        <f t="shared" si="28"/>
        <v/>
      </c>
    </row>
    <row r="1809" spans="1:13">
      <c r="A1809" t="str">
        <f>IF('ATP Fills'!A1809="","",IF('ATP Fills'!Q1809="PHILLIPSG",'ATP Fills'!F1809,""))</f>
        <v/>
      </c>
      <c r="B1809" t="str">
        <f>IF(A1809="","",'ATP Fills'!L1809)</f>
        <v/>
      </c>
      <c r="C1809" t="str">
        <f>IF(A1809="","",'ATP Fills'!M1809)</f>
        <v/>
      </c>
      <c r="D1809" t="str">
        <f>IF(A1809="","",'ATP Fills'!B1809)</f>
        <v/>
      </c>
      <c r="E1809" s="3" t="str">
        <f>IF(A1809="","",IF(DATE(LEFT(D1809,4),MID(D1809,5,2),RIGHT(D1809,2))=Helper1!$P$1,Helper1!$P$1,""))</f>
        <v/>
      </c>
      <c r="F1809" s="3" t="str">
        <f>IF(A1809="","",'ATP Fills'!G1809)</f>
        <v/>
      </c>
      <c r="G1809" t="str">
        <f>IF(A1809="","",'ATP Fills'!H1809)</f>
        <v/>
      </c>
      <c r="H1809" t="str">
        <f>IF(A1809="","",VLOOKUP(G1809,表3_3[],2,0))</f>
        <v/>
      </c>
      <c r="I1809" t="str">
        <f>IF(A1809="","",VLOOKUP(G1809,表3_3[],3,0))</f>
        <v/>
      </c>
      <c r="J1809" t="str">
        <f>IF(A1809="","",IF('ATP Fills'!I1809="3M","",VLOOKUP(RIGHT('ATP Fills'!I1809,2),Helper1!$O$36:$P$48,2,0)))</f>
        <v/>
      </c>
      <c r="K1809" t="str">
        <f>IF(J1809="","",LEFT('ATP Fills'!I1809,4))</f>
        <v/>
      </c>
      <c r="L1809" t="str">
        <f>IF(A1809="","",IF('ATP Fills'!G1809="LME",'ATP Fills'!I1809,""))</f>
        <v/>
      </c>
      <c r="M1809" t="str">
        <f t="shared" si="28"/>
        <v/>
      </c>
    </row>
    <row r="1810" spans="1:13">
      <c r="A1810" t="str">
        <f>IF('ATP Fills'!A1810="","",IF('ATP Fills'!Q1810="PHILLIPSG",'ATP Fills'!F1810,""))</f>
        <v/>
      </c>
      <c r="B1810" t="str">
        <f>IF(A1810="","",'ATP Fills'!L1810)</f>
        <v/>
      </c>
      <c r="C1810" t="str">
        <f>IF(A1810="","",'ATP Fills'!M1810)</f>
        <v/>
      </c>
      <c r="D1810" t="str">
        <f>IF(A1810="","",'ATP Fills'!B1810)</f>
        <v/>
      </c>
      <c r="E1810" s="3" t="str">
        <f>IF(A1810="","",IF(DATE(LEFT(D1810,4),MID(D1810,5,2),RIGHT(D1810,2))=Helper1!$P$1,Helper1!$P$1,""))</f>
        <v/>
      </c>
      <c r="F1810" s="3" t="str">
        <f>IF(A1810="","",'ATP Fills'!G1810)</f>
        <v/>
      </c>
      <c r="G1810" t="str">
        <f>IF(A1810="","",'ATP Fills'!H1810)</f>
        <v/>
      </c>
      <c r="H1810" t="str">
        <f>IF(A1810="","",VLOOKUP(G1810,表3_3[],2,0))</f>
        <v/>
      </c>
      <c r="I1810" t="str">
        <f>IF(A1810="","",VLOOKUP(G1810,表3_3[],3,0))</f>
        <v/>
      </c>
      <c r="J1810" t="str">
        <f>IF(A1810="","",IF('ATP Fills'!I1810="3M","",VLOOKUP(RIGHT('ATP Fills'!I1810,2),Helper1!$O$36:$P$48,2,0)))</f>
        <v/>
      </c>
      <c r="K1810" t="str">
        <f>IF(J1810="","",LEFT('ATP Fills'!I1810,4))</f>
        <v/>
      </c>
      <c r="L1810" t="str">
        <f>IF(A1810="","",IF('ATP Fills'!G1810="LME",'ATP Fills'!I1810,""))</f>
        <v/>
      </c>
      <c r="M1810" t="str">
        <f t="shared" si="28"/>
        <v/>
      </c>
    </row>
    <row r="1811" spans="1:13">
      <c r="A1811" t="str">
        <f>IF('ATP Fills'!A1811="","",IF('ATP Fills'!Q1811="PHILLIPSG",'ATP Fills'!F1811,""))</f>
        <v/>
      </c>
      <c r="B1811" t="str">
        <f>IF(A1811="","",'ATP Fills'!L1811)</f>
        <v/>
      </c>
      <c r="C1811" t="str">
        <f>IF(A1811="","",'ATP Fills'!M1811)</f>
        <v/>
      </c>
      <c r="D1811" t="str">
        <f>IF(A1811="","",'ATP Fills'!B1811)</f>
        <v/>
      </c>
      <c r="E1811" s="3" t="str">
        <f>IF(A1811="","",IF(DATE(LEFT(D1811,4),MID(D1811,5,2),RIGHT(D1811,2))=Helper1!$P$1,Helper1!$P$1,""))</f>
        <v/>
      </c>
      <c r="F1811" s="3" t="str">
        <f>IF(A1811="","",'ATP Fills'!G1811)</f>
        <v/>
      </c>
      <c r="G1811" t="str">
        <f>IF(A1811="","",'ATP Fills'!H1811)</f>
        <v/>
      </c>
      <c r="H1811" t="str">
        <f>IF(A1811="","",VLOOKUP(G1811,表3_3[],2,0))</f>
        <v/>
      </c>
      <c r="I1811" t="str">
        <f>IF(A1811="","",VLOOKUP(G1811,表3_3[],3,0))</f>
        <v/>
      </c>
      <c r="J1811" t="str">
        <f>IF(A1811="","",IF('ATP Fills'!I1811="3M","",VLOOKUP(RIGHT('ATP Fills'!I1811,2),Helper1!$O$36:$P$48,2,0)))</f>
        <v/>
      </c>
      <c r="K1811" t="str">
        <f>IF(J1811="","",LEFT('ATP Fills'!I1811,4))</f>
        <v/>
      </c>
      <c r="L1811" t="str">
        <f>IF(A1811="","",IF('ATP Fills'!G1811="LME",'ATP Fills'!I1811,""))</f>
        <v/>
      </c>
      <c r="M1811" t="str">
        <f t="shared" si="28"/>
        <v/>
      </c>
    </row>
    <row r="1812" spans="1:13">
      <c r="A1812" t="str">
        <f>IF('ATP Fills'!A1812="","",IF('ATP Fills'!Q1812="PHILLIPSG",'ATP Fills'!F1812,""))</f>
        <v/>
      </c>
      <c r="B1812" t="str">
        <f>IF(A1812="","",'ATP Fills'!L1812)</f>
        <v/>
      </c>
      <c r="C1812" t="str">
        <f>IF(A1812="","",'ATP Fills'!M1812)</f>
        <v/>
      </c>
      <c r="D1812" t="str">
        <f>IF(A1812="","",'ATP Fills'!B1812)</f>
        <v/>
      </c>
      <c r="E1812" s="3" t="str">
        <f>IF(A1812="","",IF(DATE(LEFT(D1812,4),MID(D1812,5,2),RIGHT(D1812,2))=Helper1!$P$1,Helper1!$P$1,""))</f>
        <v/>
      </c>
      <c r="F1812" s="3" t="str">
        <f>IF(A1812="","",'ATP Fills'!G1812)</f>
        <v/>
      </c>
      <c r="G1812" t="str">
        <f>IF(A1812="","",'ATP Fills'!H1812)</f>
        <v/>
      </c>
      <c r="H1812" t="str">
        <f>IF(A1812="","",VLOOKUP(G1812,表3_3[],2,0))</f>
        <v/>
      </c>
      <c r="I1812" t="str">
        <f>IF(A1812="","",VLOOKUP(G1812,表3_3[],3,0))</f>
        <v/>
      </c>
      <c r="J1812" t="str">
        <f>IF(A1812="","",IF('ATP Fills'!I1812="3M","",VLOOKUP(RIGHT('ATP Fills'!I1812,2),Helper1!$O$36:$P$48,2,0)))</f>
        <v/>
      </c>
      <c r="K1812" t="str">
        <f>IF(J1812="","",LEFT('ATP Fills'!I1812,4))</f>
        <v/>
      </c>
      <c r="L1812" t="str">
        <f>IF(A1812="","",IF('ATP Fills'!G1812="LME",'ATP Fills'!I1812,""))</f>
        <v/>
      </c>
      <c r="M1812" t="str">
        <f t="shared" si="28"/>
        <v/>
      </c>
    </row>
    <row r="1813" spans="1:13">
      <c r="A1813" t="str">
        <f>IF('ATP Fills'!A1813="","",IF('ATP Fills'!Q1813="PHILLIPSG",'ATP Fills'!F1813,""))</f>
        <v/>
      </c>
      <c r="B1813" t="str">
        <f>IF(A1813="","",'ATP Fills'!L1813)</f>
        <v/>
      </c>
      <c r="C1813" t="str">
        <f>IF(A1813="","",'ATP Fills'!M1813)</f>
        <v/>
      </c>
      <c r="D1813" t="str">
        <f>IF(A1813="","",'ATP Fills'!B1813)</f>
        <v/>
      </c>
      <c r="E1813" s="3" t="str">
        <f>IF(A1813="","",IF(DATE(LEFT(D1813,4),MID(D1813,5,2),RIGHT(D1813,2))=Helper1!$P$1,Helper1!$P$1,""))</f>
        <v/>
      </c>
      <c r="F1813" s="3" t="str">
        <f>IF(A1813="","",'ATP Fills'!G1813)</f>
        <v/>
      </c>
      <c r="G1813" t="str">
        <f>IF(A1813="","",'ATP Fills'!H1813)</f>
        <v/>
      </c>
      <c r="H1813" t="str">
        <f>IF(A1813="","",VLOOKUP(G1813,表3_3[],2,0))</f>
        <v/>
      </c>
      <c r="I1813" t="str">
        <f>IF(A1813="","",VLOOKUP(G1813,表3_3[],3,0))</f>
        <v/>
      </c>
      <c r="J1813" t="str">
        <f>IF(A1813="","",IF('ATP Fills'!I1813="3M","",VLOOKUP(RIGHT('ATP Fills'!I1813,2),Helper1!$O$36:$P$48,2,0)))</f>
        <v/>
      </c>
      <c r="K1813" t="str">
        <f>IF(J1813="","",LEFT('ATP Fills'!I1813,4))</f>
        <v/>
      </c>
      <c r="L1813" t="str">
        <f>IF(A1813="","",IF('ATP Fills'!G1813="LME",'ATP Fills'!I1813,""))</f>
        <v/>
      </c>
      <c r="M1813" t="str">
        <f t="shared" si="28"/>
        <v/>
      </c>
    </row>
    <row r="1814" spans="1:13">
      <c r="A1814" t="str">
        <f>IF('ATP Fills'!A1814="","",IF('ATP Fills'!Q1814="PHILLIPSG",'ATP Fills'!F1814,""))</f>
        <v/>
      </c>
      <c r="B1814" t="str">
        <f>IF(A1814="","",'ATP Fills'!L1814)</f>
        <v/>
      </c>
      <c r="C1814" t="str">
        <f>IF(A1814="","",'ATP Fills'!M1814)</f>
        <v/>
      </c>
      <c r="D1814" t="str">
        <f>IF(A1814="","",'ATP Fills'!B1814)</f>
        <v/>
      </c>
      <c r="E1814" s="3" t="str">
        <f>IF(A1814="","",IF(DATE(LEFT(D1814,4),MID(D1814,5,2),RIGHT(D1814,2))=Helper1!$P$1,Helper1!$P$1,""))</f>
        <v/>
      </c>
      <c r="F1814" s="3" t="str">
        <f>IF(A1814="","",'ATP Fills'!G1814)</f>
        <v/>
      </c>
      <c r="G1814" t="str">
        <f>IF(A1814="","",'ATP Fills'!H1814)</f>
        <v/>
      </c>
      <c r="H1814" t="str">
        <f>IF(A1814="","",VLOOKUP(G1814,表3_3[],2,0))</f>
        <v/>
      </c>
      <c r="I1814" t="str">
        <f>IF(A1814="","",VLOOKUP(G1814,表3_3[],3,0))</f>
        <v/>
      </c>
      <c r="J1814" t="str">
        <f>IF(A1814="","",IF('ATP Fills'!I1814="3M","",VLOOKUP(RIGHT('ATP Fills'!I1814,2),Helper1!$O$36:$P$48,2,0)))</f>
        <v/>
      </c>
      <c r="K1814" t="str">
        <f>IF(J1814="","",LEFT('ATP Fills'!I1814,4))</f>
        <v/>
      </c>
      <c r="L1814" t="str">
        <f>IF(A1814="","",IF('ATP Fills'!G1814="LME",'ATP Fills'!I1814,""))</f>
        <v/>
      </c>
      <c r="M1814" t="str">
        <f t="shared" si="28"/>
        <v/>
      </c>
    </row>
    <row r="1815" spans="1:13">
      <c r="A1815" t="str">
        <f>IF('ATP Fills'!A1815="","",IF('ATP Fills'!Q1815="PHILLIPSG",'ATP Fills'!F1815,""))</f>
        <v/>
      </c>
      <c r="B1815" t="str">
        <f>IF(A1815="","",'ATP Fills'!L1815)</f>
        <v/>
      </c>
      <c r="C1815" t="str">
        <f>IF(A1815="","",'ATP Fills'!M1815)</f>
        <v/>
      </c>
      <c r="D1815" t="str">
        <f>IF(A1815="","",'ATP Fills'!B1815)</f>
        <v/>
      </c>
      <c r="E1815" s="3" t="str">
        <f>IF(A1815="","",IF(DATE(LEFT(D1815,4),MID(D1815,5,2),RIGHT(D1815,2))=Helper1!$P$1,Helper1!$P$1,""))</f>
        <v/>
      </c>
      <c r="F1815" s="3" t="str">
        <f>IF(A1815="","",'ATP Fills'!G1815)</f>
        <v/>
      </c>
      <c r="G1815" t="str">
        <f>IF(A1815="","",'ATP Fills'!H1815)</f>
        <v/>
      </c>
      <c r="H1815" t="str">
        <f>IF(A1815="","",VLOOKUP(G1815,表3_3[],2,0))</f>
        <v/>
      </c>
      <c r="I1815" t="str">
        <f>IF(A1815="","",VLOOKUP(G1815,表3_3[],3,0))</f>
        <v/>
      </c>
      <c r="J1815" t="str">
        <f>IF(A1815="","",IF('ATP Fills'!I1815="3M","",VLOOKUP(RIGHT('ATP Fills'!I1815,2),Helper1!$O$36:$P$48,2,0)))</f>
        <v/>
      </c>
      <c r="K1815" t="str">
        <f>IF(J1815="","",LEFT('ATP Fills'!I1815,4))</f>
        <v/>
      </c>
      <c r="L1815" t="str">
        <f>IF(A1815="","",IF('ATP Fills'!G1815="LME",'ATP Fills'!I1815,""))</f>
        <v/>
      </c>
      <c r="M1815" t="str">
        <f t="shared" si="28"/>
        <v/>
      </c>
    </row>
    <row r="1816" spans="1:13">
      <c r="A1816" t="str">
        <f>IF('ATP Fills'!A1816="","",IF('ATP Fills'!Q1816="PHILLIPSG",'ATP Fills'!F1816,""))</f>
        <v/>
      </c>
      <c r="B1816" t="str">
        <f>IF(A1816="","",'ATP Fills'!L1816)</f>
        <v/>
      </c>
      <c r="C1816" t="str">
        <f>IF(A1816="","",'ATP Fills'!M1816)</f>
        <v/>
      </c>
      <c r="D1816" t="str">
        <f>IF(A1816="","",'ATP Fills'!B1816)</f>
        <v/>
      </c>
      <c r="E1816" s="3" t="str">
        <f>IF(A1816="","",IF(DATE(LEFT(D1816,4),MID(D1816,5,2),RIGHT(D1816,2))=Helper1!$P$1,Helper1!$P$1,""))</f>
        <v/>
      </c>
      <c r="F1816" s="3" t="str">
        <f>IF(A1816="","",'ATP Fills'!G1816)</f>
        <v/>
      </c>
      <c r="G1816" t="str">
        <f>IF(A1816="","",'ATP Fills'!H1816)</f>
        <v/>
      </c>
      <c r="H1816" t="str">
        <f>IF(A1816="","",VLOOKUP(G1816,表3_3[],2,0))</f>
        <v/>
      </c>
      <c r="I1816" t="str">
        <f>IF(A1816="","",VLOOKUP(G1816,表3_3[],3,0))</f>
        <v/>
      </c>
      <c r="J1816" t="str">
        <f>IF(A1816="","",IF('ATP Fills'!I1816="3M","",VLOOKUP(RIGHT('ATP Fills'!I1816,2),Helper1!$O$36:$P$48,2,0)))</f>
        <v/>
      </c>
      <c r="K1816" t="str">
        <f>IF(J1816="","",LEFT('ATP Fills'!I1816,4))</f>
        <v/>
      </c>
      <c r="L1816" t="str">
        <f>IF(A1816="","",IF('ATP Fills'!G1816="LME",'ATP Fills'!I1816,""))</f>
        <v/>
      </c>
      <c r="M1816" t="str">
        <f t="shared" si="28"/>
        <v/>
      </c>
    </row>
    <row r="1817" spans="1:13">
      <c r="A1817" t="str">
        <f>IF('ATP Fills'!A1817="","",IF('ATP Fills'!Q1817="PHILLIPSG",'ATP Fills'!F1817,""))</f>
        <v/>
      </c>
      <c r="B1817" t="str">
        <f>IF(A1817="","",'ATP Fills'!L1817)</f>
        <v/>
      </c>
      <c r="C1817" t="str">
        <f>IF(A1817="","",'ATP Fills'!M1817)</f>
        <v/>
      </c>
      <c r="D1817" t="str">
        <f>IF(A1817="","",'ATP Fills'!B1817)</f>
        <v/>
      </c>
      <c r="E1817" s="3" t="str">
        <f>IF(A1817="","",IF(DATE(LEFT(D1817,4),MID(D1817,5,2),RIGHT(D1817,2))=Helper1!$P$1,Helper1!$P$1,""))</f>
        <v/>
      </c>
      <c r="F1817" s="3" t="str">
        <f>IF(A1817="","",'ATP Fills'!G1817)</f>
        <v/>
      </c>
      <c r="G1817" t="str">
        <f>IF(A1817="","",'ATP Fills'!H1817)</f>
        <v/>
      </c>
      <c r="H1817" t="str">
        <f>IF(A1817="","",VLOOKUP(G1817,表3_3[],2,0))</f>
        <v/>
      </c>
      <c r="I1817" t="str">
        <f>IF(A1817="","",VLOOKUP(G1817,表3_3[],3,0))</f>
        <v/>
      </c>
      <c r="J1817" t="str">
        <f>IF(A1817="","",IF('ATP Fills'!I1817="3M","",VLOOKUP(RIGHT('ATP Fills'!I1817,2),Helper1!$O$36:$P$48,2,0)))</f>
        <v/>
      </c>
      <c r="K1817" t="str">
        <f>IF(J1817="","",LEFT('ATP Fills'!I1817,4))</f>
        <v/>
      </c>
      <c r="L1817" t="str">
        <f>IF(A1817="","",IF('ATP Fills'!G1817="LME",'ATP Fills'!I1817,""))</f>
        <v/>
      </c>
      <c r="M1817" t="str">
        <f t="shared" si="28"/>
        <v/>
      </c>
    </row>
    <row r="1818" spans="1:13">
      <c r="A1818" t="str">
        <f>IF('ATP Fills'!A1818="","",IF('ATP Fills'!Q1818="PHILLIPSG",'ATP Fills'!F1818,""))</f>
        <v/>
      </c>
      <c r="B1818" t="str">
        <f>IF(A1818="","",'ATP Fills'!L1818)</f>
        <v/>
      </c>
      <c r="C1818" t="str">
        <f>IF(A1818="","",'ATP Fills'!M1818)</f>
        <v/>
      </c>
      <c r="D1818" t="str">
        <f>IF(A1818="","",'ATP Fills'!B1818)</f>
        <v/>
      </c>
      <c r="E1818" s="3" t="str">
        <f>IF(A1818="","",IF(DATE(LEFT(D1818,4),MID(D1818,5,2),RIGHT(D1818,2))=Helper1!$P$1,Helper1!$P$1,""))</f>
        <v/>
      </c>
      <c r="F1818" s="3" t="str">
        <f>IF(A1818="","",'ATP Fills'!G1818)</f>
        <v/>
      </c>
      <c r="G1818" t="str">
        <f>IF(A1818="","",'ATP Fills'!H1818)</f>
        <v/>
      </c>
      <c r="H1818" t="str">
        <f>IF(A1818="","",VLOOKUP(G1818,表3_3[],2,0))</f>
        <v/>
      </c>
      <c r="I1818" t="str">
        <f>IF(A1818="","",VLOOKUP(G1818,表3_3[],3,0))</f>
        <v/>
      </c>
      <c r="J1818" t="str">
        <f>IF(A1818="","",IF('ATP Fills'!I1818="3M","",VLOOKUP(RIGHT('ATP Fills'!I1818,2),Helper1!$O$36:$P$48,2,0)))</f>
        <v/>
      </c>
      <c r="K1818" t="str">
        <f>IF(J1818="","",LEFT('ATP Fills'!I1818,4))</f>
        <v/>
      </c>
      <c r="L1818" t="str">
        <f>IF(A1818="","",IF('ATP Fills'!G1818="LME",'ATP Fills'!I1818,""))</f>
        <v/>
      </c>
      <c r="M1818" t="str">
        <f t="shared" si="28"/>
        <v/>
      </c>
    </row>
    <row r="1819" spans="1:13">
      <c r="A1819" t="str">
        <f>IF('ATP Fills'!A1819="","",IF('ATP Fills'!Q1819="PHILLIPSG",'ATP Fills'!F1819,""))</f>
        <v/>
      </c>
      <c r="B1819" t="str">
        <f>IF(A1819="","",'ATP Fills'!L1819)</f>
        <v/>
      </c>
      <c r="C1819" t="str">
        <f>IF(A1819="","",'ATP Fills'!M1819)</f>
        <v/>
      </c>
      <c r="D1819" t="str">
        <f>IF(A1819="","",'ATP Fills'!B1819)</f>
        <v/>
      </c>
      <c r="E1819" s="3" t="str">
        <f>IF(A1819="","",IF(DATE(LEFT(D1819,4),MID(D1819,5,2),RIGHT(D1819,2))=Helper1!$P$1,Helper1!$P$1,""))</f>
        <v/>
      </c>
      <c r="F1819" s="3" t="str">
        <f>IF(A1819="","",'ATP Fills'!G1819)</f>
        <v/>
      </c>
      <c r="G1819" t="str">
        <f>IF(A1819="","",'ATP Fills'!H1819)</f>
        <v/>
      </c>
      <c r="H1819" t="str">
        <f>IF(A1819="","",VLOOKUP(G1819,表3_3[],2,0))</f>
        <v/>
      </c>
      <c r="I1819" t="str">
        <f>IF(A1819="","",VLOOKUP(G1819,表3_3[],3,0))</f>
        <v/>
      </c>
      <c r="J1819" t="str">
        <f>IF(A1819="","",IF('ATP Fills'!I1819="3M","",VLOOKUP(RIGHT('ATP Fills'!I1819,2),Helper1!$O$36:$P$48,2,0)))</f>
        <v/>
      </c>
      <c r="K1819" t="str">
        <f>IF(J1819="","",LEFT('ATP Fills'!I1819,4))</f>
        <v/>
      </c>
      <c r="L1819" t="str">
        <f>IF(A1819="","",IF('ATP Fills'!G1819="LME",'ATP Fills'!I1819,""))</f>
        <v/>
      </c>
      <c r="M1819" t="str">
        <f t="shared" si="28"/>
        <v/>
      </c>
    </row>
    <row r="1820" spans="1:13">
      <c r="A1820" t="str">
        <f>IF('ATP Fills'!A1820="","",IF('ATP Fills'!Q1820="PHILLIPSG",'ATP Fills'!F1820,""))</f>
        <v/>
      </c>
      <c r="B1820" t="str">
        <f>IF(A1820="","",'ATP Fills'!L1820)</f>
        <v/>
      </c>
      <c r="C1820" t="str">
        <f>IF(A1820="","",'ATP Fills'!M1820)</f>
        <v/>
      </c>
      <c r="D1820" t="str">
        <f>IF(A1820="","",'ATP Fills'!B1820)</f>
        <v/>
      </c>
      <c r="E1820" s="3" t="str">
        <f>IF(A1820="","",IF(DATE(LEFT(D1820,4),MID(D1820,5,2),RIGHT(D1820,2))=Helper1!$P$1,Helper1!$P$1,""))</f>
        <v/>
      </c>
      <c r="F1820" s="3" t="str">
        <f>IF(A1820="","",'ATP Fills'!G1820)</f>
        <v/>
      </c>
      <c r="G1820" t="str">
        <f>IF(A1820="","",'ATP Fills'!H1820)</f>
        <v/>
      </c>
      <c r="H1820" t="str">
        <f>IF(A1820="","",VLOOKUP(G1820,表3_3[],2,0))</f>
        <v/>
      </c>
      <c r="I1820" t="str">
        <f>IF(A1820="","",VLOOKUP(G1820,表3_3[],3,0))</f>
        <v/>
      </c>
      <c r="J1820" t="str">
        <f>IF(A1820="","",IF('ATP Fills'!I1820="3M","",VLOOKUP(RIGHT('ATP Fills'!I1820,2),Helper1!$O$36:$P$48,2,0)))</f>
        <v/>
      </c>
      <c r="K1820" t="str">
        <f>IF(J1820="","",LEFT('ATP Fills'!I1820,4))</f>
        <v/>
      </c>
      <c r="L1820" t="str">
        <f>IF(A1820="","",IF('ATP Fills'!G1820="LME",'ATP Fills'!I1820,""))</f>
        <v/>
      </c>
      <c r="M1820" t="str">
        <f t="shared" si="28"/>
        <v/>
      </c>
    </row>
    <row r="1821" spans="1:13">
      <c r="A1821" t="str">
        <f>IF('ATP Fills'!A1821="","",IF('ATP Fills'!Q1821="PHILLIPSG",'ATP Fills'!F1821,""))</f>
        <v/>
      </c>
      <c r="B1821" t="str">
        <f>IF(A1821="","",'ATP Fills'!L1821)</f>
        <v/>
      </c>
      <c r="C1821" t="str">
        <f>IF(A1821="","",'ATP Fills'!M1821)</f>
        <v/>
      </c>
      <c r="D1821" t="str">
        <f>IF(A1821="","",'ATP Fills'!B1821)</f>
        <v/>
      </c>
      <c r="E1821" s="3" t="str">
        <f>IF(A1821="","",IF(DATE(LEFT(D1821,4),MID(D1821,5,2),RIGHT(D1821,2))=Helper1!$P$1,Helper1!$P$1,""))</f>
        <v/>
      </c>
      <c r="F1821" s="3" t="str">
        <f>IF(A1821="","",'ATP Fills'!G1821)</f>
        <v/>
      </c>
      <c r="G1821" t="str">
        <f>IF(A1821="","",'ATP Fills'!H1821)</f>
        <v/>
      </c>
      <c r="H1821" t="str">
        <f>IF(A1821="","",VLOOKUP(G1821,表3_3[],2,0))</f>
        <v/>
      </c>
      <c r="I1821" t="str">
        <f>IF(A1821="","",VLOOKUP(G1821,表3_3[],3,0))</f>
        <v/>
      </c>
      <c r="J1821" t="str">
        <f>IF(A1821="","",IF('ATP Fills'!I1821="3M","",VLOOKUP(RIGHT('ATP Fills'!I1821,2),Helper1!$O$36:$P$48,2,0)))</f>
        <v/>
      </c>
      <c r="K1821" t="str">
        <f>IF(J1821="","",LEFT('ATP Fills'!I1821,4))</f>
        <v/>
      </c>
      <c r="L1821" t="str">
        <f>IF(A1821="","",IF('ATP Fills'!G1821="LME",'ATP Fills'!I1821,""))</f>
        <v/>
      </c>
      <c r="M1821" t="str">
        <f t="shared" si="28"/>
        <v/>
      </c>
    </row>
    <row r="1822" spans="1:13">
      <c r="A1822" t="str">
        <f>IF('ATP Fills'!A1822="","",IF('ATP Fills'!Q1822="PHILLIPSG",'ATP Fills'!F1822,""))</f>
        <v/>
      </c>
      <c r="B1822" t="str">
        <f>IF(A1822="","",'ATP Fills'!L1822)</f>
        <v/>
      </c>
      <c r="C1822" t="str">
        <f>IF(A1822="","",'ATP Fills'!M1822)</f>
        <v/>
      </c>
      <c r="D1822" t="str">
        <f>IF(A1822="","",'ATP Fills'!B1822)</f>
        <v/>
      </c>
      <c r="E1822" s="3" t="str">
        <f>IF(A1822="","",IF(DATE(LEFT(D1822,4),MID(D1822,5,2),RIGHT(D1822,2))=Helper1!$P$1,Helper1!$P$1,""))</f>
        <v/>
      </c>
      <c r="F1822" s="3" t="str">
        <f>IF(A1822="","",'ATP Fills'!G1822)</f>
        <v/>
      </c>
      <c r="G1822" t="str">
        <f>IF(A1822="","",'ATP Fills'!H1822)</f>
        <v/>
      </c>
      <c r="H1822" t="str">
        <f>IF(A1822="","",VLOOKUP(G1822,表3_3[],2,0))</f>
        <v/>
      </c>
      <c r="I1822" t="str">
        <f>IF(A1822="","",VLOOKUP(G1822,表3_3[],3,0))</f>
        <v/>
      </c>
      <c r="J1822" t="str">
        <f>IF(A1822="","",IF('ATP Fills'!I1822="3M","",VLOOKUP(RIGHT('ATP Fills'!I1822,2),Helper1!$O$36:$P$48,2,0)))</f>
        <v/>
      </c>
      <c r="K1822" t="str">
        <f>IF(J1822="","",LEFT('ATP Fills'!I1822,4))</f>
        <v/>
      </c>
      <c r="L1822" t="str">
        <f>IF(A1822="","",IF('ATP Fills'!G1822="LME",'ATP Fills'!I1822,""))</f>
        <v/>
      </c>
      <c r="M1822" t="str">
        <f t="shared" si="28"/>
        <v/>
      </c>
    </row>
    <row r="1823" spans="1:13">
      <c r="A1823" t="str">
        <f>IF('ATP Fills'!A1823="","",IF('ATP Fills'!Q1823="PHILLIPSG",'ATP Fills'!F1823,""))</f>
        <v/>
      </c>
      <c r="B1823" t="str">
        <f>IF(A1823="","",'ATP Fills'!L1823)</f>
        <v/>
      </c>
      <c r="C1823" t="str">
        <f>IF(A1823="","",'ATP Fills'!M1823)</f>
        <v/>
      </c>
      <c r="D1823" t="str">
        <f>IF(A1823="","",'ATP Fills'!B1823)</f>
        <v/>
      </c>
      <c r="E1823" s="3" t="str">
        <f>IF(A1823="","",IF(DATE(LEFT(D1823,4),MID(D1823,5,2),RIGHT(D1823,2))=Helper1!$P$1,Helper1!$P$1,""))</f>
        <v/>
      </c>
      <c r="F1823" s="3" t="str">
        <f>IF(A1823="","",'ATP Fills'!G1823)</f>
        <v/>
      </c>
      <c r="G1823" t="str">
        <f>IF(A1823="","",'ATP Fills'!H1823)</f>
        <v/>
      </c>
      <c r="H1823" t="str">
        <f>IF(A1823="","",VLOOKUP(G1823,表3_3[],2,0))</f>
        <v/>
      </c>
      <c r="I1823" t="str">
        <f>IF(A1823="","",VLOOKUP(G1823,表3_3[],3,0))</f>
        <v/>
      </c>
      <c r="J1823" t="str">
        <f>IF(A1823="","",IF('ATP Fills'!I1823="3M","",VLOOKUP(RIGHT('ATP Fills'!I1823,2),Helper1!$O$36:$P$48,2,0)))</f>
        <v/>
      </c>
      <c r="K1823" t="str">
        <f>IF(J1823="","",LEFT('ATP Fills'!I1823,4))</f>
        <v/>
      </c>
      <c r="L1823" t="str">
        <f>IF(A1823="","",IF('ATP Fills'!G1823="LME",'ATP Fills'!I1823,""))</f>
        <v/>
      </c>
      <c r="M1823" t="str">
        <f t="shared" si="28"/>
        <v/>
      </c>
    </row>
    <row r="1824" spans="1:13">
      <c r="A1824" t="str">
        <f>IF('ATP Fills'!A1824="","",IF('ATP Fills'!Q1824="PHILLIPSG",'ATP Fills'!F1824,""))</f>
        <v/>
      </c>
      <c r="B1824" t="str">
        <f>IF(A1824="","",'ATP Fills'!L1824)</f>
        <v/>
      </c>
      <c r="C1824" t="str">
        <f>IF(A1824="","",'ATP Fills'!M1824)</f>
        <v/>
      </c>
      <c r="D1824" t="str">
        <f>IF(A1824="","",'ATP Fills'!B1824)</f>
        <v/>
      </c>
      <c r="E1824" s="3" t="str">
        <f>IF(A1824="","",IF(DATE(LEFT(D1824,4),MID(D1824,5,2),RIGHT(D1824,2))=Helper1!$P$1,Helper1!$P$1,""))</f>
        <v/>
      </c>
      <c r="F1824" s="3" t="str">
        <f>IF(A1824="","",'ATP Fills'!G1824)</f>
        <v/>
      </c>
      <c r="G1824" t="str">
        <f>IF(A1824="","",'ATP Fills'!H1824)</f>
        <v/>
      </c>
      <c r="H1824" t="str">
        <f>IF(A1824="","",VLOOKUP(G1824,表3_3[],2,0))</f>
        <v/>
      </c>
      <c r="I1824" t="str">
        <f>IF(A1824="","",VLOOKUP(G1824,表3_3[],3,0))</f>
        <v/>
      </c>
      <c r="J1824" t="str">
        <f>IF(A1824="","",IF('ATP Fills'!I1824="3M","",VLOOKUP(RIGHT('ATP Fills'!I1824,2),Helper1!$O$36:$P$48,2,0)))</f>
        <v/>
      </c>
      <c r="K1824" t="str">
        <f>IF(J1824="","",LEFT('ATP Fills'!I1824,4))</f>
        <v/>
      </c>
      <c r="L1824" t="str">
        <f>IF(A1824="","",IF('ATP Fills'!G1824="LME",'ATP Fills'!I1824,""))</f>
        <v/>
      </c>
      <c r="M1824" t="str">
        <f t="shared" si="28"/>
        <v/>
      </c>
    </row>
    <row r="1825" spans="1:13">
      <c r="A1825" t="str">
        <f>IF('ATP Fills'!A1825="","",IF('ATP Fills'!Q1825="PHILLIPSG",'ATP Fills'!F1825,""))</f>
        <v/>
      </c>
      <c r="B1825" t="str">
        <f>IF(A1825="","",'ATP Fills'!L1825)</f>
        <v/>
      </c>
      <c r="C1825" t="str">
        <f>IF(A1825="","",'ATP Fills'!M1825)</f>
        <v/>
      </c>
      <c r="D1825" t="str">
        <f>IF(A1825="","",'ATP Fills'!B1825)</f>
        <v/>
      </c>
      <c r="E1825" s="3" t="str">
        <f>IF(A1825="","",IF(DATE(LEFT(D1825,4),MID(D1825,5,2),RIGHT(D1825,2))=Helper1!$P$1,Helper1!$P$1,""))</f>
        <v/>
      </c>
      <c r="F1825" s="3" t="str">
        <f>IF(A1825="","",'ATP Fills'!G1825)</f>
        <v/>
      </c>
      <c r="G1825" t="str">
        <f>IF(A1825="","",'ATP Fills'!H1825)</f>
        <v/>
      </c>
      <c r="H1825" t="str">
        <f>IF(A1825="","",VLOOKUP(G1825,表3_3[],2,0))</f>
        <v/>
      </c>
      <c r="I1825" t="str">
        <f>IF(A1825="","",VLOOKUP(G1825,表3_3[],3,0))</f>
        <v/>
      </c>
      <c r="J1825" t="str">
        <f>IF(A1825="","",IF('ATP Fills'!I1825="3M","",VLOOKUP(RIGHT('ATP Fills'!I1825,2),Helper1!$O$36:$P$48,2,0)))</f>
        <v/>
      </c>
      <c r="K1825" t="str">
        <f>IF(J1825="","",LEFT('ATP Fills'!I1825,4))</f>
        <v/>
      </c>
      <c r="L1825" t="str">
        <f>IF(A1825="","",IF('ATP Fills'!G1825="LME",'ATP Fills'!I1825,""))</f>
        <v/>
      </c>
      <c r="M1825" t="str">
        <f t="shared" si="28"/>
        <v/>
      </c>
    </row>
    <row r="1826" spans="1:13">
      <c r="A1826" t="str">
        <f>IF('ATP Fills'!A1826="","",IF('ATP Fills'!Q1826="PHILLIPSG",'ATP Fills'!F1826,""))</f>
        <v/>
      </c>
      <c r="B1826" t="str">
        <f>IF(A1826="","",'ATP Fills'!L1826)</f>
        <v/>
      </c>
      <c r="C1826" t="str">
        <f>IF(A1826="","",'ATP Fills'!M1826)</f>
        <v/>
      </c>
      <c r="D1826" t="str">
        <f>IF(A1826="","",'ATP Fills'!B1826)</f>
        <v/>
      </c>
      <c r="E1826" s="3" t="str">
        <f>IF(A1826="","",IF(DATE(LEFT(D1826,4),MID(D1826,5,2),RIGHT(D1826,2))=Helper1!$P$1,Helper1!$P$1,""))</f>
        <v/>
      </c>
      <c r="F1826" s="3" t="str">
        <f>IF(A1826="","",'ATP Fills'!G1826)</f>
        <v/>
      </c>
      <c r="G1826" t="str">
        <f>IF(A1826="","",'ATP Fills'!H1826)</f>
        <v/>
      </c>
      <c r="H1826" t="str">
        <f>IF(A1826="","",VLOOKUP(G1826,表3_3[],2,0))</f>
        <v/>
      </c>
      <c r="I1826" t="str">
        <f>IF(A1826="","",VLOOKUP(G1826,表3_3[],3,0))</f>
        <v/>
      </c>
      <c r="J1826" t="str">
        <f>IF(A1826="","",IF('ATP Fills'!I1826="3M","",VLOOKUP(RIGHT('ATP Fills'!I1826,2),Helper1!$O$36:$P$48,2,0)))</f>
        <v/>
      </c>
      <c r="K1826" t="str">
        <f>IF(J1826="","",LEFT('ATP Fills'!I1826,4))</f>
        <v/>
      </c>
      <c r="L1826" t="str">
        <f>IF(A1826="","",IF('ATP Fills'!G1826="LME",'ATP Fills'!I1826,""))</f>
        <v/>
      </c>
      <c r="M1826" t="str">
        <f t="shared" si="28"/>
        <v/>
      </c>
    </row>
    <row r="1827" spans="1:13">
      <c r="A1827" t="str">
        <f>IF('ATP Fills'!A1827="","",IF('ATP Fills'!Q1827="PHILLIPSG",'ATP Fills'!F1827,""))</f>
        <v/>
      </c>
      <c r="B1827" t="str">
        <f>IF(A1827="","",'ATP Fills'!L1827)</f>
        <v/>
      </c>
      <c r="C1827" t="str">
        <f>IF(A1827="","",'ATP Fills'!M1827)</f>
        <v/>
      </c>
      <c r="D1827" t="str">
        <f>IF(A1827="","",'ATP Fills'!B1827)</f>
        <v/>
      </c>
      <c r="E1827" s="3" t="str">
        <f>IF(A1827="","",IF(DATE(LEFT(D1827,4),MID(D1827,5,2),RIGHT(D1827,2))=Helper1!$P$1,Helper1!$P$1,""))</f>
        <v/>
      </c>
      <c r="F1827" s="3" t="str">
        <f>IF(A1827="","",'ATP Fills'!G1827)</f>
        <v/>
      </c>
      <c r="G1827" t="str">
        <f>IF(A1827="","",'ATP Fills'!H1827)</f>
        <v/>
      </c>
      <c r="H1827" t="str">
        <f>IF(A1827="","",VLOOKUP(G1827,表3_3[],2,0))</f>
        <v/>
      </c>
      <c r="I1827" t="str">
        <f>IF(A1827="","",VLOOKUP(G1827,表3_3[],3,0))</f>
        <v/>
      </c>
      <c r="J1827" t="str">
        <f>IF(A1827="","",IF('ATP Fills'!I1827="3M","",VLOOKUP(RIGHT('ATP Fills'!I1827,2),Helper1!$O$36:$P$48,2,0)))</f>
        <v/>
      </c>
      <c r="K1827" t="str">
        <f>IF(J1827="","",LEFT('ATP Fills'!I1827,4))</f>
        <v/>
      </c>
      <c r="L1827" t="str">
        <f>IF(A1827="","",IF('ATP Fills'!G1827="LME",'ATP Fills'!I1827,""))</f>
        <v/>
      </c>
      <c r="M1827" t="str">
        <f t="shared" si="28"/>
        <v/>
      </c>
    </row>
    <row r="1828" spans="1:13">
      <c r="A1828" t="str">
        <f>IF('ATP Fills'!A1828="","",IF('ATP Fills'!Q1828="PHILLIPSG",'ATP Fills'!F1828,""))</f>
        <v/>
      </c>
      <c r="B1828" t="str">
        <f>IF(A1828="","",'ATP Fills'!L1828)</f>
        <v/>
      </c>
      <c r="C1828" t="str">
        <f>IF(A1828="","",'ATP Fills'!M1828)</f>
        <v/>
      </c>
      <c r="D1828" t="str">
        <f>IF(A1828="","",'ATP Fills'!B1828)</f>
        <v/>
      </c>
      <c r="E1828" s="3" t="str">
        <f>IF(A1828="","",IF(DATE(LEFT(D1828,4),MID(D1828,5,2),RIGHT(D1828,2))=Helper1!$P$1,Helper1!$P$1,""))</f>
        <v/>
      </c>
      <c r="F1828" s="3" t="str">
        <f>IF(A1828="","",'ATP Fills'!G1828)</f>
        <v/>
      </c>
      <c r="G1828" t="str">
        <f>IF(A1828="","",'ATP Fills'!H1828)</f>
        <v/>
      </c>
      <c r="H1828" t="str">
        <f>IF(A1828="","",VLOOKUP(G1828,表3_3[],2,0))</f>
        <v/>
      </c>
      <c r="I1828" t="str">
        <f>IF(A1828="","",VLOOKUP(G1828,表3_3[],3,0))</f>
        <v/>
      </c>
      <c r="J1828" t="str">
        <f>IF(A1828="","",IF('ATP Fills'!I1828="3M","",VLOOKUP(RIGHT('ATP Fills'!I1828,2),Helper1!$O$36:$P$48,2,0)))</f>
        <v/>
      </c>
      <c r="K1828" t="str">
        <f>IF(J1828="","",LEFT('ATP Fills'!I1828,4))</f>
        <v/>
      </c>
      <c r="L1828" t="str">
        <f>IF(A1828="","",IF('ATP Fills'!G1828="LME",'ATP Fills'!I1828,""))</f>
        <v/>
      </c>
      <c r="M1828" t="str">
        <f t="shared" si="28"/>
        <v/>
      </c>
    </row>
    <row r="1829" spans="1:13">
      <c r="A1829" t="str">
        <f>IF('ATP Fills'!A1829="","",IF('ATP Fills'!Q1829="PHILLIPSG",'ATP Fills'!F1829,""))</f>
        <v/>
      </c>
      <c r="B1829" t="str">
        <f>IF(A1829="","",'ATP Fills'!L1829)</f>
        <v/>
      </c>
      <c r="C1829" t="str">
        <f>IF(A1829="","",'ATP Fills'!M1829)</f>
        <v/>
      </c>
      <c r="D1829" t="str">
        <f>IF(A1829="","",'ATP Fills'!B1829)</f>
        <v/>
      </c>
      <c r="E1829" s="3" t="str">
        <f>IF(A1829="","",IF(DATE(LEFT(D1829,4),MID(D1829,5,2),RIGHT(D1829,2))=Helper1!$P$1,Helper1!$P$1,""))</f>
        <v/>
      </c>
      <c r="F1829" s="3" t="str">
        <f>IF(A1829="","",'ATP Fills'!G1829)</f>
        <v/>
      </c>
      <c r="G1829" t="str">
        <f>IF(A1829="","",'ATP Fills'!H1829)</f>
        <v/>
      </c>
      <c r="H1829" t="str">
        <f>IF(A1829="","",VLOOKUP(G1829,表3_3[],2,0))</f>
        <v/>
      </c>
      <c r="I1829" t="str">
        <f>IF(A1829="","",VLOOKUP(G1829,表3_3[],3,0))</f>
        <v/>
      </c>
      <c r="J1829" t="str">
        <f>IF(A1829="","",IF('ATP Fills'!I1829="3M","",VLOOKUP(RIGHT('ATP Fills'!I1829,2),Helper1!$O$36:$P$48,2,0)))</f>
        <v/>
      </c>
      <c r="K1829" t="str">
        <f>IF(J1829="","",LEFT('ATP Fills'!I1829,4))</f>
        <v/>
      </c>
      <c r="L1829" t="str">
        <f>IF(A1829="","",IF('ATP Fills'!G1829="LME",'ATP Fills'!I1829,""))</f>
        <v/>
      </c>
      <c r="M1829" t="str">
        <f t="shared" si="28"/>
        <v/>
      </c>
    </row>
    <row r="1830" spans="1:13">
      <c r="A1830" t="str">
        <f>IF('ATP Fills'!A1830="","",IF('ATP Fills'!Q1830="PHILLIPSG",'ATP Fills'!F1830,""))</f>
        <v/>
      </c>
      <c r="B1830" t="str">
        <f>IF(A1830="","",'ATP Fills'!L1830)</f>
        <v/>
      </c>
      <c r="C1830" t="str">
        <f>IF(A1830="","",'ATP Fills'!M1830)</f>
        <v/>
      </c>
      <c r="D1830" t="str">
        <f>IF(A1830="","",'ATP Fills'!B1830)</f>
        <v/>
      </c>
      <c r="E1830" s="3" t="str">
        <f>IF(A1830="","",IF(DATE(LEFT(D1830,4),MID(D1830,5,2),RIGHT(D1830,2))=Helper1!$P$1,Helper1!$P$1,""))</f>
        <v/>
      </c>
      <c r="F1830" s="3" t="str">
        <f>IF(A1830="","",'ATP Fills'!G1830)</f>
        <v/>
      </c>
      <c r="G1830" t="str">
        <f>IF(A1830="","",'ATP Fills'!H1830)</f>
        <v/>
      </c>
      <c r="H1830" t="str">
        <f>IF(A1830="","",VLOOKUP(G1830,表3_3[],2,0))</f>
        <v/>
      </c>
      <c r="I1830" t="str">
        <f>IF(A1830="","",VLOOKUP(G1830,表3_3[],3,0))</f>
        <v/>
      </c>
      <c r="J1830" t="str">
        <f>IF(A1830="","",IF('ATP Fills'!I1830="3M","",VLOOKUP(RIGHT('ATP Fills'!I1830,2),Helper1!$O$36:$P$48,2,0)))</f>
        <v/>
      </c>
      <c r="K1830" t="str">
        <f>IF(J1830="","",LEFT('ATP Fills'!I1830,4))</f>
        <v/>
      </c>
      <c r="L1830" t="str">
        <f>IF(A1830="","",IF('ATP Fills'!G1830="LME",'ATP Fills'!I1830,""))</f>
        <v/>
      </c>
      <c r="M1830" t="str">
        <f t="shared" si="28"/>
        <v/>
      </c>
    </row>
    <row r="1831" spans="1:13">
      <c r="A1831" t="str">
        <f>IF('ATP Fills'!A1831="","",IF('ATP Fills'!Q1831="PHILLIPSG",'ATP Fills'!F1831,""))</f>
        <v/>
      </c>
      <c r="B1831" t="str">
        <f>IF(A1831="","",'ATP Fills'!L1831)</f>
        <v/>
      </c>
      <c r="C1831" t="str">
        <f>IF(A1831="","",'ATP Fills'!M1831)</f>
        <v/>
      </c>
      <c r="D1831" t="str">
        <f>IF(A1831="","",'ATP Fills'!B1831)</f>
        <v/>
      </c>
      <c r="E1831" s="3" t="str">
        <f>IF(A1831="","",IF(DATE(LEFT(D1831,4),MID(D1831,5,2),RIGHT(D1831,2))=Helper1!$P$1,Helper1!$P$1,""))</f>
        <v/>
      </c>
      <c r="F1831" s="3" t="str">
        <f>IF(A1831="","",'ATP Fills'!G1831)</f>
        <v/>
      </c>
      <c r="G1831" t="str">
        <f>IF(A1831="","",'ATP Fills'!H1831)</f>
        <v/>
      </c>
      <c r="H1831" t="str">
        <f>IF(A1831="","",VLOOKUP(G1831,表3_3[],2,0))</f>
        <v/>
      </c>
      <c r="I1831" t="str">
        <f>IF(A1831="","",VLOOKUP(G1831,表3_3[],3,0))</f>
        <v/>
      </c>
      <c r="J1831" t="str">
        <f>IF(A1831="","",IF('ATP Fills'!I1831="3M","",VLOOKUP(RIGHT('ATP Fills'!I1831,2),Helper1!$O$36:$P$48,2,0)))</f>
        <v/>
      </c>
      <c r="K1831" t="str">
        <f>IF(J1831="","",LEFT('ATP Fills'!I1831,4))</f>
        <v/>
      </c>
      <c r="L1831" t="str">
        <f>IF(A1831="","",IF('ATP Fills'!G1831="LME",'ATP Fills'!I1831,""))</f>
        <v/>
      </c>
      <c r="M1831" t="str">
        <f t="shared" si="28"/>
        <v/>
      </c>
    </row>
    <row r="1832" spans="1:13">
      <c r="A1832" t="str">
        <f>IF('ATP Fills'!A1832="","",IF('ATP Fills'!Q1832="PHILLIPSG",'ATP Fills'!F1832,""))</f>
        <v/>
      </c>
      <c r="B1832" t="str">
        <f>IF(A1832="","",'ATP Fills'!L1832)</f>
        <v/>
      </c>
      <c r="C1832" t="str">
        <f>IF(A1832="","",'ATP Fills'!M1832)</f>
        <v/>
      </c>
      <c r="D1832" t="str">
        <f>IF(A1832="","",'ATP Fills'!B1832)</f>
        <v/>
      </c>
      <c r="E1832" s="3" t="str">
        <f>IF(A1832="","",IF(DATE(LEFT(D1832,4),MID(D1832,5,2),RIGHT(D1832,2))=Helper1!$P$1,Helper1!$P$1,""))</f>
        <v/>
      </c>
      <c r="F1832" s="3" t="str">
        <f>IF(A1832="","",'ATP Fills'!G1832)</f>
        <v/>
      </c>
      <c r="G1832" t="str">
        <f>IF(A1832="","",'ATP Fills'!H1832)</f>
        <v/>
      </c>
      <c r="H1832" t="str">
        <f>IF(A1832="","",VLOOKUP(G1832,表3_3[],2,0))</f>
        <v/>
      </c>
      <c r="I1832" t="str">
        <f>IF(A1832="","",VLOOKUP(G1832,表3_3[],3,0))</f>
        <v/>
      </c>
      <c r="J1832" t="str">
        <f>IF(A1832="","",IF('ATP Fills'!I1832="3M","",VLOOKUP(RIGHT('ATP Fills'!I1832,2),Helper1!$O$36:$P$48,2,0)))</f>
        <v/>
      </c>
      <c r="K1832" t="str">
        <f>IF(J1832="","",LEFT('ATP Fills'!I1832,4))</f>
        <v/>
      </c>
      <c r="L1832" t="str">
        <f>IF(A1832="","",IF('ATP Fills'!G1832="LME",'ATP Fills'!I1832,""))</f>
        <v/>
      </c>
      <c r="M1832" t="str">
        <f t="shared" si="28"/>
        <v/>
      </c>
    </row>
    <row r="1833" spans="1:13">
      <c r="A1833" t="str">
        <f>IF('ATP Fills'!A1833="","",IF('ATP Fills'!Q1833="PHILLIPSG",'ATP Fills'!F1833,""))</f>
        <v/>
      </c>
      <c r="B1833" t="str">
        <f>IF(A1833="","",'ATP Fills'!L1833)</f>
        <v/>
      </c>
      <c r="C1833" t="str">
        <f>IF(A1833="","",'ATP Fills'!M1833)</f>
        <v/>
      </c>
      <c r="D1833" t="str">
        <f>IF(A1833="","",'ATP Fills'!B1833)</f>
        <v/>
      </c>
      <c r="E1833" s="3" t="str">
        <f>IF(A1833="","",IF(DATE(LEFT(D1833,4),MID(D1833,5,2),RIGHT(D1833,2))=Helper1!$P$1,Helper1!$P$1,""))</f>
        <v/>
      </c>
      <c r="F1833" s="3" t="str">
        <f>IF(A1833="","",'ATP Fills'!G1833)</f>
        <v/>
      </c>
      <c r="G1833" t="str">
        <f>IF(A1833="","",'ATP Fills'!H1833)</f>
        <v/>
      </c>
      <c r="H1833" t="str">
        <f>IF(A1833="","",VLOOKUP(G1833,表3_3[],2,0))</f>
        <v/>
      </c>
      <c r="I1833" t="str">
        <f>IF(A1833="","",VLOOKUP(G1833,表3_3[],3,0))</f>
        <v/>
      </c>
      <c r="J1833" t="str">
        <f>IF(A1833="","",IF('ATP Fills'!I1833="3M","",VLOOKUP(RIGHT('ATP Fills'!I1833,2),Helper1!$O$36:$P$48,2,0)))</f>
        <v/>
      </c>
      <c r="K1833" t="str">
        <f>IF(J1833="","",LEFT('ATP Fills'!I1833,4))</f>
        <v/>
      </c>
      <c r="L1833" t="str">
        <f>IF(A1833="","",IF('ATP Fills'!G1833="LME",'ATP Fills'!I1833,""))</f>
        <v/>
      </c>
      <c r="M1833" t="str">
        <f t="shared" si="28"/>
        <v/>
      </c>
    </row>
    <row r="1834" spans="1:13">
      <c r="A1834" t="str">
        <f>IF('ATP Fills'!A1834="","",IF('ATP Fills'!Q1834="PHILLIPSG",'ATP Fills'!F1834,""))</f>
        <v/>
      </c>
      <c r="B1834" t="str">
        <f>IF(A1834="","",'ATP Fills'!L1834)</f>
        <v/>
      </c>
      <c r="C1834" t="str">
        <f>IF(A1834="","",'ATP Fills'!M1834)</f>
        <v/>
      </c>
      <c r="D1834" t="str">
        <f>IF(A1834="","",'ATP Fills'!B1834)</f>
        <v/>
      </c>
      <c r="E1834" s="3" t="str">
        <f>IF(A1834="","",IF(DATE(LEFT(D1834,4),MID(D1834,5,2),RIGHT(D1834,2))=Helper1!$P$1,Helper1!$P$1,""))</f>
        <v/>
      </c>
      <c r="F1834" s="3" t="str">
        <f>IF(A1834="","",'ATP Fills'!G1834)</f>
        <v/>
      </c>
      <c r="G1834" t="str">
        <f>IF(A1834="","",'ATP Fills'!H1834)</f>
        <v/>
      </c>
      <c r="H1834" t="str">
        <f>IF(A1834="","",VLOOKUP(G1834,表3_3[],2,0))</f>
        <v/>
      </c>
      <c r="I1834" t="str">
        <f>IF(A1834="","",VLOOKUP(G1834,表3_3[],3,0))</f>
        <v/>
      </c>
      <c r="J1834" t="str">
        <f>IF(A1834="","",IF('ATP Fills'!I1834="3M","",VLOOKUP(RIGHT('ATP Fills'!I1834,2),Helper1!$O$36:$P$48,2,0)))</f>
        <v/>
      </c>
      <c r="K1834" t="str">
        <f>IF(J1834="","",LEFT('ATP Fills'!I1834,4))</f>
        <v/>
      </c>
      <c r="L1834" t="str">
        <f>IF(A1834="","",IF('ATP Fills'!G1834="LME",'ATP Fills'!I1834,""))</f>
        <v/>
      </c>
      <c r="M1834" t="str">
        <f t="shared" si="28"/>
        <v/>
      </c>
    </row>
    <row r="1835" spans="1:13">
      <c r="A1835" t="str">
        <f>IF('ATP Fills'!A1835="","",IF('ATP Fills'!Q1835="PHILLIPSG",'ATP Fills'!F1835,""))</f>
        <v/>
      </c>
      <c r="B1835" t="str">
        <f>IF(A1835="","",'ATP Fills'!L1835)</f>
        <v/>
      </c>
      <c r="C1835" t="str">
        <f>IF(A1835="","",'ATP Fills'!M1835)</f>
        <v/>
      </c>
      <c r="D1835" t="str">
        <f>IF(A1835="","",'ATP Fills'!B1835)</f>
        <v/>
      </c>
      <c r="E1835" s="3" t="str">
        <f>IF(A1835="","",IF(DATE(LEFT(D1835,4),MID(D1835,5,2),RIGHT(D1835,2))=Helper1!$P$1,Helper1!$P$1,""))</f>
        <v/>
      </c>
      <c r="F1835" s="3" t="str">
        <f>IF(A1835="","",'ATP Fills'!G1835)</f>
        <v/>
      </c>
      <c r="G1835" t="str">
        <f>IF(A1835="","",'ATP Fills'!H1835)</f>
        <v/>
      </c>
      <c r="H1835" t="str">
        <f>IF(A1835="","",VLOOKUP(G1835,表3_3[],2,0))</f>
        <v/>
      </c>
      <c r="I1835" t="str">
        <f>IF(A1835="","",VLOOKUP(G1835,表3_3[],3,0))</f>
        <v/>
      </c>
      <c r="J1835" t="str">
        <f>IF(A1835="","",IF('ATP Fills'!I1835="3M","",VLOOKUP(RIGHT('ATP Fills'!I1835,2),Helper1!$O$36:$P$48,2,0)))</f>
        <v/>
      </c>
      <c r="K1835" t="str">
        <f>IF(J1835="","",LEFT('ATP Fills'!I1835,4))</f>
        <v/>
      </c>
      <c r="L1835" t="str">
        <f>IF(A1835="","",IF('ATP Fills'!G1835="LME",'ATP Fills'!I1835,""))</f>
        <v/>
      </c>
      <c r="M1835" t="str">
        <f t="shared" si="28"/>
        <v/>
      </c>
    </row>
    <row r="1836" spans="1:13">
      <c r="A1836" t="str">
        <f>IF('ATP Fills'!A1836="","",IF('ATP Fills'!Q1836="PHILLIPSG",'ATP Fills'!F1836,""))</f>
        <v/>
      </c>
      <c r="B1836" t="str">
        <f>IF(A1836="","",'ATP Fills'!L1836)</f>
        <v/>
      </c>
      <c r="C1836" t="str">
        <f>IF(A1836="","",'ATP Fills'!M1836)</f>
        <v/>
      </c>
      <c r="D1836" t="str">
        <f>IF(A1836="","",'ATP Fills'!B1836)</f>
        <v/>
      </c>
      <c r="E1836" s="3" t="str">
        <f>IF(A1836="","",IF(DATE(LEFT(D1836,4),MID(D1836,5,2),RIGHT(D1836,2))=Helper1!$P$1,Helper1!$P$1,""))</f>
        <v/>
      </c>
      <c r="F1836" s="3" t="str">
        <f>IF(A1836="","",'ATP Fills'!G1836)</f>
        <v/>
      </c>
      <c r="G1836" t="str">
        <f>IF(A1836="","",'ATP Fills'!H1836)</f>
        <v/>
      </c>
      <c r="H1836" t="str">
        <f>IF(A1836="","",VLOOKUP(G1836,表3_3[],2,0))</f>
        <v/>
      </c>
      <c r="I1836" t="str">
        <f>IF(A1836="","",VLOOKUP(G1836,表3_3[],3,0))</f>
        <v/>
      </c>
      <c r="J1836" t="str">
        <f>IF(A1836="","",IF('ATP Fills'!I1836="3M","",VLOOKUP(RIGHT('ATP Fills'!I1836,2),Helper1!$O$36:$P$48,2,0)))</f>
        <v/>
      </c>
      <c r="K1836" t="str">
        <f>IF(J1836="","",LEFT('ATP Fills'!I1836,4))</f>
        <v/>
      </c>
      <c r="L1836" t="str">
        <f>IF(A1836="","",IF('ATP Fills'!G1836="LME",'ATP Fills'!I1836,""))</f>
        <v/>
      </c>
      <c r="M1836" t="str">
        <f t="shared" si="28"/>
        <v/>
      </c>
    </row>
    <row r="1837" spans="1:13">
      <c r="A1837" t="str">
        <f>IF('ATP Fills'!A1837="","",IF('ATP Fills'!Q1837="PHILLIPSG",'ATP Fills'!F1837,""))</f>
        <v/>
      </c>
      <c r="B1837" t="str">
        <f>IF(A1837="","",'ATP Fills'!L1837)</f>
        <v/>
      </c>
      <c r="C1837" t="str">
        <f>IF(A1837="","",'ATP Fills'!M1837)</f>
        <v/>
      </c>
      <c r="D1837" t="str">
        <f>IF(A1837="","",'ATP Fills'!B1837)</f>
        <v/>
      </c>
      <c r="E1837" s="3" t="str">
        <f>IF(A1837="","",IF(DATE(LEFT(D1837,4),MID(D1837,5,2),RIGHT(D1837,2))=Helper1!$P$1,Helper1!$P$1,""))</f>
        <v/>
      </c>
      <c r="F1837" s="3" t="str">
        <f>IF(A1837="","",'ATP Fills'!G1837)</f>
        <v/>
      </c>
      <c r="G1837" t="str">
        <f>IF(A1837="","",'ATP Fills'!H1837)</f>
        <v/>
      </c>
      <c r="H1837" t="str">
        <f>IF(A1837="","",VLOOKUP(G1837,表3_3[],2,0))</f>
        <v/>
      </c>
      <c r="I1837" t="str">
        <f>IF(A1837="","",VLOOKUP(G1837,表3_3[],3,0))</f>
        <v/>
      </c>
      <c r="J1837" t="str">
        <f>IF(A1837="","",IF('ATP Fills'!I1837="3M","",VLOOKUP(RIGHT('ATP Fills'!I1837,2),Helper1!$O$36:$P$48,2,0)))</f>
        <v/>
      </c>
      <c r="K1837" t="str">
        <f>IF(J1837="","",LEFT('ATP Fills'!I1837,4))</f>
        <v/>
      </c>
      <c r="L1837" t="str">
        <f>IF(A1837="","",IF('ATP Fills'!G1837="LME",'ATP Fills'!I1837,""))</f>
        <v/>
      </c>
      <c r="M1837" t="str">
        <f t="shared" si="28"/>
        <v/>
      </c>
    </row>
    <row r="1838" spans="1:13">
      <c r="A1838" t="str">
        <f>IF('ATP Fills'!A1838="","",IF('ATP Fills'!Q1838="PHILLIPSG",'ATP Fills'!F1838,""))</f>
        <v/>
      </c>
      <c r="B1838" t="str">
        <f>IF(A1838="","",'ATP Fills'!L1838)</f>
        <v/>
      </c>
      <c r="C1838" t="str">
        <f>IF(A1838="","",'ATP Fills'!M1838)</f>
        <v/>
      </c>
      <c r="D1838" t="str">
        <f>IF(A1838="","",'ATP Fills'!B1838)</f>
        <v/>
      </c>
      <c r="E1838" s="3" t="str">
        <f>IF(A1838="","",IF(DATE(LEFT(D1838,4),MID(D1838,5,2),RIGHT(D1838,2))=Helper1!$P$1,Helper1!$P$1,""))</f>
        <v/>
      </c>
      <c r="F1838" s="3" t="str">
        <f>IF(A1838="","",'ATP Fills'!G1838)</f>
        <v/>
      </c>
      <c r="G1838" t="str">
        <f>IF(A1838="","",'ATP Fills'!H1838)</f>
        <v/>
      </c>
      <c r="H1838" t="str">
        <f>IF(A1838="","",VLOOKUP(G1838,表3_3[],2,0))</f>
        <v/>
      </c>
      <c r="I1838" t="str">
        <f>IF(A1838="","",VLOOKUP(G1838,表3_3[],3,0))</f>
        <v/>
      </c>
      <c r="J1838" t="str">
        <f>IF(A1838="","",IF('ATP Fills'!I1838="3M","",VLOOKUP(RIGHT('ATP Fills'!I1838,2),Helper1!$O$36:$P$48,2,0)))</f>
        <v/>
      </c>
      <c r="K1838" t="str">
        <f>IF(J1838="","",LEFT('ATP Fills'!I1838,4))</f>
        <v/>
      </c>
      <c r="L1838" t="str">
        <f>IF(A1838="","",IF('ATP Fills'!G1838="LME",'ATP Fills'!I1838,""))</f>
        <v/>
      </c>
      <c r="M1838" t="str">
        <f t="shared" si="28"/>
        <v/>
      </c>
    </row>
    <row r="1839" spans="1:13">
      <c r="A1839" t="str">
        <f>IF('ATP Fills'!A1839="","",IF('ATP Fills'!Q1839="PHILLIPSG",'ATP Fills'!F1839,""))</f>
        <v/>
      </c>
      <c r="B1839" t="str">
        <f>IF(A1839="","",'ATP Fills'!L1839)</f>
        <v/>
      </c>
      <c r="C1839" t="str">
        <f>IF(A1839="","",'ATP Fills'!M1839)</f>
        <v/>
      </c>
      <c r="D1839" t="str">
        <f>IF(A1839="","",'ATP Fills'!B1839)</f>
        <v/>
      </c>
      <c r="E1839" s="3" t="str">
        <f>IF(A1839="","",IF(DATE(LEFT(D1839,4),MID(D1839,5,2),RIGHT(D1839,2))=Helper1!$P$1,Helper1!$P$1,""))</f>
        <v/>
      </c>
      <c r="F1839" s="3" t="str">
        <f>IF(A1839="","",'ATP Fills'!G1839)</f>
        <v/>
      </c>
      <c r="G1839" t="str">
        <f>IF(A1839="","",'ATP Fills'!H1839)</f>
        <v/>
      </c>
      <c r="H1839" t="str">
        <f>IF(A1839="","",VLOOKUP(G1839,表3_3[],2,0))</f>
        <v/>
      </c>
      <c r="I1839" t="str">
        <f>IF(A1839="","",VLOOKUP(G1839,表3_3[],3,0))</f>
        <v/>
      </c>
      <c r="J1839" t="str">
        <f>IF(A1839="","",IF('ATP Fills'!I1839="3M","",VLOOKUP(RIGHT('ATP Fills'!I1839,2),Helper1!$O$36:$P$48,2,0)))</f>
        <v/>
      </c>
      <c r="K1839" t="str">
        <f>IF(J1839="","",LEFT('ATP Fills'!I1839,4))</f>
        <v/>
      </c>
      <c r="L1839" t="str">
        <f>IF(A1839="","",IF('ATP Fills'!G1839="LME",'ATP Fills'!I1839,""))</f>
        <v/>
      </c>
      <c r="M1839" t="str">
        <f t="shared" si="28"/>
        <v/>
      </c>
    </row>
    <row r="1840" spans="1:13">
      <c r="A1840" t="str">
        <f>IF('ATP Fills'!A1840="","",IF('ATP Fills'!Q1840="PHILLIPSG",'ATP Fills'!F1840,""))</f>
        <v/>
      </c>
      <c r="B1840" t="str">
        <f>IF(A1840="","",'ATP Fills'!L1840)</f>
        <v/>
      </c>
      <c r="C1840" t="str">
        <f>IF(A1840="","",'ATP Fills'!M1840)</f>
        <v/>
      </c>
      <c r="D1840" t="str">
        <f>IF(A1840="","",'ATP Fills'!B1840)</f>
        <v/>
      </c>
      <c r="E1840" s="3" t="str">
        <f>IF(A1840="","",IF(DATE(LEFT(D1840,4),MID(D1840,5,2),RIGHT(D1840,2))=Helper1!$P$1,Helper1!$P$1,""))</f>
        <v/>
      </c>
      <c r="F1840" s="3" t="str">
        <f>IF(A1840="","",'ATP Fills'!G1840)</f>
        <v/>
      </c>
      <c r="G1840" t="str">
        <f>IF(A1840="","",'ATP Fills'!H1840)</f>
        <v/>
      </c>
      <c r="H1840" t="str">
        <f>IF(A1840="","",VLOOKUP(G1840,表3_3[],2,0))</f>
        <v/>
      </c>
      <c r="I1840" t="str">
        <f>IF(A1840="","",VLOOKUP(G1840,表3_3[],3,0))</f>
        <v/>
      </c>
      <c r="J1840" t="str">
        <f>IF(A1840="","",IF('ATP Fills'!I1840="3M","",VLOOKUP(RIGHT('ATP Fills'!I1840,2),Helper1!$O$36:$P$48,2,0)))</f>
        <v/>
      </c>
      <c r="K1840" t="str">
        <f>IF(J1840="","",LEFT('ATP Fills'!I1840,4))</f>
        <v/>
      </c>
      <c r="L1840" t="str">
        <f>IF(A1840="","",IF('ATP Fills'!G1840="LME",'ATP Fills'!I1840,""))</f>
        <v/>
      </c>
      <c r="M1840" t="str">
        <f t="shared" si="28"/>
        <v/>
      </c>
    </row>
    <row r="1841" spans="1:13">
      <c r="A1841" t="str">
        <f>IF('ATP Fills'!A1841="","",IF('ATP Fills'!Q1841="PHILLIPSG",'ATP Fills'!F1841,""))</f>
        <v/>
      </c>
      <c r="B1841" t="str">
        <f>IF(A1841="","",'ATP Fills'!L1841)</f>
        <v/>
      </c>
      <c r="C1841" t="str">
        <f>IF(A1841="","",'ATP Fills'!M1841)</f>
        <v/>
      </c>
      <c r="D1841" t="str">
        <f>IF(A1841="","",'ATP Fills'!B1841)</f>
        <v/>
      </c>
      <c r="E1841" s="3" t="str">
        <f>IF(A1841="","",IF(DATE(LEFT(D1841,4),MID(D1841,5,2),RIGHT(D1841,2))=Helper1!$P$1,Helper1!$P$1,""))</f>
        <v/>
      </c>
      <c r="F1841" s="3" t="str">
        <f>IF(A1841="","",'ATP Fills'!G1841)</f>
        <v/>
      </c>
      <c r="G1841" t="str">
        <f>IF(A1841="","",'ATP Fills'!H1841)</f>
        <v/>
      </c>
      <c r="H1841" t="str">
        <f>IF(A1841="","",VLOOKUP(G1841,表3_3[],2,0))</f>
        <v/>
      </c>
      <c r="I1841" t="str">
        <f>IF(A1841="","",VLOOKUP(G1841,表3_3[],3,0))</f>
        <v/>
      </c>
      <c r="J1841" t="str">
        <f>IF(A1841="","",IF('ATP Fills'!I1841="3M","",VLOOKUP(RIGHT('ATP Fills'!I1841,2),Helper1!$O$36:$P$48,2,0)))</f>
        <v/>
      </c>
      <c r="K1841" t="str">
        <f>IF(J1841="","",LEFT('ATP Fills'!I1841,4))</f>
        <v/>
      </c>
      <c r="L1841" t="str">
        <f>IF(A1841="","",IF('ATP Fills'!G1841="LME",'ATP Fills'!I1841,""))</f>
        <v/>
      </c>
      <c r="M1841" t="str">
        <f t="shared" si="28"/>
        <v/>
      </c>
    </row>
    <row r="1842" spans="1:13">
      <c r="A1842" t="str">
        <f>IF('ATP Fills'!A1842="","",IF('ATP Fills'!Q1842="PHILLIPSG",'ATP Fills'!F1842,""))</f>
        <v/>
      </c>
      <c r="B1842" t="str">
        <f>IF(A1842="","",'ATP Fills'!L1842)</f>
        <v/>
      </c>
      <c r="C1842" t="str">
        <f>IF(A1842="","",'ATP Fills'!M1842)</f>
        <v/>
      </c>
      <c r="D1842" t="str">
        <f>IF(A1842="","",'ATP Fills'!B1842)</f>
        <v/>
      </c>
      <c r="E1842" s="3" t="str">
        <f>IF(A1842="","",IF(DATE(LEFT(D1842,4),MID(D1842,5,2),RIGHT(D1842,2))=Helper1!$P$1,Helper1!$P$1,""))</f>
        <v/>
      </c>
      <c r="F1842" s="3" t="str">
        <f>IF(A1842="","",'ATP Fills'!G1842)</f>
        <v/>
      </c>
      <c r="G1842" t="str">
        <f>IF(A1842="","",'ATP Fills'!H1842)</f>
        <v/>
      </c>
      <c r="H1842" t="str">
        <f>IF(A1842="","",VLOOKUP(G1842,表3_3[],2,0))</f>
        <v/>
      </c>
      <c r="I1842" t="str">
        <f>IF(A1842="","",VLOOKUP(G1842,表3_3[],3,0))</f>
        <v/>
      </c>
      <c r="J1842" t="str">
        <f>IF(A1842="","",IF('ATP Fills'!I1842="3M","",VLOOKUP(RIGHT('ATP Fills'!I1842,2),Helper1!$O$36:$P$48,2,0)))</f>
        <v/>
      </c>
      <c r="K1842" t="str">
        <f>IF(J1842="","",LEFT('ATP Fills'!I1842,4))</f>
        <v/>
      </c>
      <c r="L1842" t="str">
        <f>IF(A1842="","",IF('ATP Fills'!G1842="LME",'ATP Fills'!I1842,""))</f>
        <v/>
      </c>
      <c r="M1842" t="str">
        <f t="shared" si="28"/>
        <v/>
      </c>
    </row>
    <row r="1843" spans="1:13">
      <c r="A1843" t="str">
        <f>IF('ATP Fills'!A1843="","",IF('ATP Fills'!Q1843="PHILLIPSG",'ATP Fills'!F1843,""))</f>
        <v/>
      </c>
      <c r="B1843" t="str">
        <f>IF(A1843="","",'ATP Fills'!L1843)</f>
        <v/>
      </c>
      <c r="C1843" t="str">
        <f>IF(A1843="","",'ATP Fills'!M1843)</f>
        <v/>
      </c>
      <c r="D1843" t="str">
        <f>IF(A1843="","",'ATP Fills'!B1843)</f>
        <v/>
      </c>
      <c r="E1843" s="3" t="str">
        <f>IF(A1843="","",IF(DATE(LEFT(D1843,4),MID(D1843,5,2),RIGHT(D1843,2))=Helper1!$P$1,Helper1!$P$1,""))</f>
        <v/>
      </c>
      <c r="F1843" s="3" t="str">
        <f>IF(A1843="","",'ATP Fills'!G1843)</f>
        <v/>
      </c>
      <c r="G1843" t="str">
        <f>IF(A1843="","",'ATP Fills'!H1843)</f>
        <v/>
      </c>
      <c r="H1843" t="str">
        <f>IF(A1843="","",VLOOKUP(G1843,表3_3[],2,0))</f>
        <v/>
      </c>
      <c r="I1843" t="str">
        <f>IF(A1843="","",VLOOKUP(G1843,表3_3[],3,0))</f>
        <v/>
      </c>
      <c r="J1843" t="str">
        <f>IF(A1843="","",IF('ATP Fills'!I1843="3M","",VLOOKUP(RIGHT('ATP Fills'!I1843,2),Helper1!$O$36:$P$48,2,0)))</f>
        <v/>
      </c>
      <c r="K1843" t="str">
        <f>IF(J1843="","",LEFT('ATP Fills'!I1843,4))</f>
        <v/>
      </c>
      <c r="L1843" t="str">
        <f>IF(A1843="","",IF('ATP Fills'!G1843="LME",'ATP Fills'!I1843,""))</f>
        <v/>
      </c>
      <c r="M1843" t="str">
        <f t="shared" si="28"/>
        <v/>
      </c>
    </row>
    <row r="1844" spans="1:13">
      <c r="A1844" t="str">
        <f>IF('ATP Fills'!A1844="","",IF('ATP Fills'!Q1844="PHILLIPSG",'ATP Fills'!F1844,""))</f>
        <v/>
      </c>
      <c r="B1844" t="str">
        <f>IF(A1844="","",'ATP Fills'!L1844)</f>
        <v/>
      </c>
      <c r="C1844" t="str">
        <f>IF(A1844="","",'ATP Fills'!M1844)</f>
        <v/>
      </c>
      <c r="D1844" t="str">
        <f>IF(A1844="","",'ATP Fills'!B1844)</f>
        <v/>
      </c>
      <c r="E1844" s="3" t="str">
        <f>IF(A1844="","",IF(DATE(LEFT(D1844,4),MID(D1844,5,2),RIGHT(D1844,2))=Helper1!$P$1,Helper1!$P$1,""))</f>
        <v/>
      </c>
      <c r="F1844" s="3" t="str">
        <f>IF(A1844="","",'ATP Fills'!G1844)</f>
        <v/>
      </c>
      <c r="G1844" t="str">
        <f>IF(A1844="","",'ATP Fills'!H1844)</f>
        <v/>
      </c>
      <c r="H1844" t="str">
        <f>IF(A1844="","",VLOOKUP(G1844,表3_3[],2,0))</f>
        <v/>
      </c>
      <c r="I1844" t="str">
        <f>IF(A1844="","",VLOOKUP(G1844,表3_3[],3,0))</f>
        <v/>
      </c>
      <c r="J1844" t="str">
        <f>IF(A1844="","",IF('ATP Fills'!I1844="3M","",VLOOKUP(RIGHT('ATP Fills'!I1844,2),Helper1!$O$36:$P$48,2,0)))</f>
        <v/>
      </c>
      <c r="K1844" t="str">
        <f>IF(J1844="","",LEFT('ATP Fills'!I1844,4))</f>
        <v/>
      </c>
      <c r="L1844" t="str">
        <f>IF(A1844="","",IF('ATP Fills'!G1844="LME",'ATP Fills'!I1844,""))</f>
        <v/>
      </c>
      <c r="M1844" t="str">
        <f t="shared" si="28"/>
        <v/>
      </c>
    </row>
    <row r="1845" spans="1:13">
      <c r="A1845" t="str">
        <f>IF('ATP Fills'!A1845="","",IF('ATP Fills'!Q1845="PHILLIPSG",'ATP Fills'!F1845,""))</f>
        <v/>
      </c>
      <c r="B1845" t="str">
        <f>IF(A1845="","",'ATP Fills'!L1845)</f>
        <v/>
      </c>
      <c r="C1845" t="str">
        <f>IF(A1845="","",'ATP Fills'!M1845)</f>
        <v/>
      </c>
      <c r="D1845" t="str">
        <f>IF(A1845="","",'ATP Fills'!B1845)</f>
        <v/>
      </c>
      <c r="E1845" s="3" t="str">
        <f>IF(A1845="","",IF(DATE(LEFT(D1845,4),MID(D1845,5,2),RIGHT(D1845,2))=Helper1!$P$1,Helper1!$P$1,""))</f>
        <v/>
      </c>
      <c r="F1845" s="3" t="str">
        <f>IF(A1845="","",'ATP Fills'!G1845)</f>
        <v/>
      </c>
      <c r="G1845" t="str">
        <f>IF(A1845="","",'ATP Fills'!H1845)</f>
        <v/>
      </c>
      <c r="H1845" t="str">
        <f>IF(A1845="","",VLOOKUP(G1845,表3_3[],2,0))</f>
        <v/>
      </c>
      <c r="I1845" t="str">
        <f>IF(A1845="","",VLOOKUP(G1845,表3_3[],3,0))</f>
        <v/>
      </c>
      <c r="J1845" t="str">
        <f>IF(A1845="","",IF('ATP Fills'!I1845="3M","",VLOOKUP(RIGHT('ATP Fills'!I1845,2),Helper1!$O$36:$P$48,2,0)))</f>
        <v/>
      </c>
      <c r="K1845" t="str">
        <f>IF(J1845="","",LEFT('ATP Fills'!I1845,4))</f>
        <v/>
      </c>
      <c r="L1845" t="str">
        <f>IF(A1845="","",IF('ATP Fills'!G1845="LME",'ATP Fills'!I1845,""))</f>
        <v/>
      </c>
      <c r="M1845" t="str">
        <f t="shared" si="28"/>
        <v/>
      </c>
    </row>
    <row r="1846" spans="1:13">
      <c r="A1846" t="str">
        <f>IF('ATP Fills'!A1846="","",IF('ATP Fills'!Q1846="PHILLIPSG",'ATP Fills'!F1846,""))</f>
        <v/>
      </c>
      <c r="B1846" t="str">
        <f>IF(A1846="","",'ATP Fills'!L1846)</f>
        <v/>
      </c>
      <c r="C1846" t="str">
        <f>IF(A1846="","",'ATP Fills'!M1846)</f>
        <v/>
      </c>
      <c r="D1846" t="str">
        <f>IF(A1846="","",'ATP Fills'!B1846)</f>
        <v/>
      </c>
      <c r="E1846" s="3" t="str">
        <f>IF(A1846="","",IF(DATE(LEFT(D1846,4),MID(D1846,5,2),RIGHT(D1846,2))=Helper1!$P$1,Helper1!$P$1,""))</f>
        <v/>
      </c>
      <c r="F1846" s="3" t="str">
        <f>IF(A1846="","",'ATP Fills'!G1846)</f>
        <v/>
      </c>
      <c r="G1846" t="str">
        <f>IF(A1846="","",'ATP Fills'!H1846)</f>
        <v/>
      </c>
      <c r="H1846" t="str">
        <f>IF(A1846="","",VLOOKUP(G1846,表3_3[],2,0))</f>
        <v/>
      </c>
      <c r="I1846" t="str">
        <f>IF(A1846="","",VLOOKUP(G1846,表3_3[],3,0))</f>
        <v/>
      </c>
      <c r="J1846" t="str">
        <f>IF(A1846="","",IF('ATP Fills'!I1846="3M","",VLOOKUP(RIGHT('ATP Fills'!I1846,2),Helper1!$O$36:$P$48,2,0)))</f>
        <v/>
      </c>
      <c r="K1846" t="str">
        <f>IF(J1846="","",LEFT('ATP Fills'!I1846,4))</f>
        <v/>
      </c>
      <c r="L1846" t="str">
        <f>IF(A1846="","",IF('ATP Fills'!G1846="LME",'ATP Fills'!I1846,""))</f>
        <v/>
      </c>
      <c r="M1846" t="str">
        <f t="shared" si="28"/>
        <v/>
      </c>
    </row>
    <row r="1847" spans="1:13">
      <c r="A1847" t="str">
        <f>IF('ATP Fills'!A1847="","",IF('ATP Fills'!Q1847="PHILLIPSG",'ATP Fills'!F1847,""))</f>
        <v/>
      </c>
      <c r="B1847" t="str">
        <f>IF(A1847="","",'ATP Fills'!L1847)</f>
        <v/>
      </c>
      <c r="C1847" t="str">
        <f>IF(A1847="","",'ATP Fills'!M1847)</f>
        <v/>
      </c>
      <c r="D1847" t="str">
        <f>IF(A1847="","",'ATP Fills'!B1847)</f>
        <v/>
      </c>
      <c r="E1847" s="3" t="str">
        <f>IF(A1847="","",IF(DATE(LEFT(D1847,4),MID(D1847,5,2),RIGHT(D1847,2))=Helper1!$P$1,Helper1!$P$1,""))</f>
        <v/>
      </c>
      <c r="F1847" s="3" t="str">
        <f>IF(A1847="","",'ATP Fills'!G1847)</f>
        <v/>
      </c>
      <c r="G1847" t="str">
        <f>IF(A1847="","",'ATP Fills'!H1847)</f>
        <v/>
      </c>
      <c r="H1847" t="str">
        <f>IF(A1847="","",VLOOKUP(G1847,表3_3[],2,0))</f>
        <v/>
      </c>
      <c r="I1847" t="str">
        <f>IF(A1847="","",VLOOKUP(G1847,表3_3[],3,0))</f>
        <v/>
      </c>
      <c r="J1847" t="str">
        <f>IF(A1847="","",IF('ATP Fills'!I1847="3M","",VLOOKUP(RIGHT('ATP Fills'!I1847,2),Helper1!$O$36:$P$48,2,0)))</f>
        <v/>
      </c>
      <c r="K1847" t="str">
        <f>IF(J1847="","",LEFT('ATP Fills'!I1847,4))</f>
        <v/>
      </c>
      <c r="L1847" t="str">
        <f>IF(A1847="","",IF('ATP Fills'!G1847="LME",'ATP Fills'!I1847,""))</f>
        <v/>
      </c>
      <c r="M1847" t="str">
        <f t="shared" si="28"/>
        <v/>
      </c>
    </row>
    <row r="1848" spans="1:13">
      <c r="A1848" t="str">
        <f>IF('ATP Fills'!A1848="","",IF('ATP Fills'!Q1848="PHILLIPSG",'ATP Fills'!F1848,""))</f>
        <v/>
      </c>
      <c r="B1848" t="str">
        <f>IF(A1848="","",'ATP Fills'!L1848)</f>
        <v/>
      </c>
      <c r="C1848" t="str">
        <f>IF(A1848="","",'ATP Fills'!M1848)</f>
        <v/>
      </c>
      <c r="D1848" t="str">
        <f>IF(A1848="","",'ATP Fills'!B1848)</f>
        <v/>
      </c>
      <c r="E1848" s="3" t="str">
        <f>IF(A1848="","",IF(DATE(LEFT(D1848,4),MID(D1848,5,2),RIGHT(D1848,2))=Helper1!$P$1,Helper1!$P$1,""))</f>
        <v/>
      </c>
      <c r="F1848" s="3" t="str">
        <f>IF(A1848="","",'ATP Fills'!G1848)</f>
        <v/>
      </c>
      <c r="G1848" t="str">
        <f>IF(A1848="","",'ATP Fills'!H1848)</f>
        <v/>
      </c>
      <c r="H1848" t="str">
        <f>IF(A1848="","",VLOOKUP(G1848,表3_3[],2,0))</f>
        <v/>
      </c>
      <c r="I1848" t="str">
        <f>IF(A1848="","",VLOOKUP(G1848,表3_3[],3,0))</f>
        <v/>
      </c>
      <c r="J1848" t="str">
        <f>IF(A1848="","",IF('ATP Fills'!I1848="3M","",VLOOKUP(RIGHT('ATP Fills'!I1848,2),Helper1!$O$36:$P$48,2,0)))</f>
        <v/>
      </c>
      <c r="K1848" t="str">
        <f>IF(J1848="","",LEFT('ATP Fills'!I1848,4))</f>
        <v/>
      </c>
      <c r="L1848" t="str">
        <f>IF(A1848="","",IF('ATP Fills'!G1848="LME",'ATP Fills'!I1848,""))</f>
        <v/>
      </c>
      <c r="M1848" t="str">
        <f t="shared" si="28"/>
        <v/>
      </c>
    </row>
    <row r="1849" spans="1:13">
      <c r="A1849" t="str">
        <f>IF('ATP Fills'!A1849="","",IF('ATP Fills'!Q1849="PHILLIPSG",'ATP Fills'!F1849,""))</f>
        <v/>
      </c>
      <c r="B1849" t="str">
        <f>IF(A1849="","",'ATP Fills'!L1849)</f>
        <v/>
      </c>
      <c r="C1849" t="str">
        <f>IF(A1849="","",'ATP Fills'!M1849)</f>
        <v/>
      </c>
      <c r="D1849" t="str">
        <f>IF(A1849="","",'ATP Fills'!B1849)</f>
        <v/>
      </c>
      <c r="E1849" s="3" t="str">
        <f>IF(A1849="","",IF(DATE(LEFT(D1849,4),MID(D1849,5,2),RIGHT(D1849,2))=Helper1!$P$1,Helper1!$P$1,""))</f>
        <v/>
      </c>
      <c r="F1849" s="3" t="str">
        <f>IF(A1849="","",'ATP Fills'!G1849)</f>
        <v/>
      </c>
      <c r="G1849" t="str">
        <f>IF(A1849="","",'ATP Fills'!H1849)</f>
        <v/>
      </c>
      <c r="H1849" t="str">
        <f>IF(A1849="","",VLOOKUP(G1849,表3_3[],2,0))</f>
        <v/>
      </c>
      <c r="I1849" t="str">
        <f>IF(A1849="","",VLOOKUP(G1849,表3_3[],3,0))</f>
        <v/>
      </c>
      <c r="J1849" t="str">
        <f>IF(A1849="","",IF('ATP Fills'!I1849="3M","",VLOOKUP(RIGHT('ATP Fills'!I1849,2),Helper1!$O$36:$P$48,2,0)))</f>
        <v/>
      </c>
      <c r="K1849" t="str">
        <f>IF(J1849="","",LEFT('ATP Fills'!I1849,4))</f>
        <v/>
      </c>
      <c r="L1849" t="str">
        <f>IF(A1849="","",IF('ATP Fills'!G1849="LME",'ATP Fills'!I1849,""))</f>
        <v/>
      </c>
      <c r="M1849" t="str">
        <f t="shared" si="28"/>
        <v/>
      </c>
    </row>
    <row r="1850" spans="1:13">
      <c r="A1850" t="str">
        <f>IF('ATP Fills'!A1850="","",IF('ATP Fills'!Q1850="PHILLIPSG",'ATP Fills'!F1850,""))</f>
        <v/>
      </c>
      <c r="B1850" t="str">
        <f>IF(A1850="","",'ATP Fills'!L1850)</f>
        <v/>
      </c>
      <c r="C1850" t="str">
        <f>IF(A1850="","",'ATP Fills'!M1850)</f>
        <v/>
      </c>
      <c r="D1850" t="str">
        <f>IF(A1850="","",'ATP Fills'!B1850)</f>
        <v/>
      </c>
      <c r="E1850" s="3" t="str">
        <f>IF(A1850="","",IF(DATE(LEFT(D1850,4),MID(D1850,5,2),RIGHT(D1850,2))=Helper1!$P$1,Helper1!$P$1,""))</f>
        <v/>
      </c>
      <c r="F1850" s="3" t="str">
        <f>IF(A1850="","",'ATP Fills'!G1850)</f>
        <v/>
      </c>
      <c r="G1850" t="str">
        <f>IF(A1850="","",'ATP Fills'!H1850)</f>
        <v/>
      </c>
      <c r="H1850" t="str">
        <f>IF(A1850="","",VLOOKUP(G1850,表3_3[],2,0))</f>
        <v/>
      </c>
      <c r="I1850" t="str">
        <f>IF(A1850="","",VLOOKUP(G1850,表3_3[],3,0))</f>
        <v/>
      </c>
      <c r="J1850" t="str">
        <f>IF(A1850="","",IF('ATP Fills'!I1850="3M","",VLOOKUP(RIGHT('ATP Fills'!I1850,2),Helper1!$O$36:$P$48,2,0)))</f>
        <v/>
      </c>
      <c r="K1850" t="str">
        <f>IF(J1850="","",LEFT('ATP Fills'!I1850,4))</f>
        <v/>
      </c>
      <c r="L1850" t="str">
        <f>IF(A1850="","",IF('ATP Fills'!G1850="LME",'ATP Fills'!I1850,""))</f>
        <v/>
      </c>
      <c r="M1850" t="str">
        <f t="shared" si="28"/>
        <v/>
      </c>
    </row>
    <row r="1851" spans="1:13">
      <c r="A1851" t="str">
        <f>IF('ATP Fills'!A1851="","",IF('ATP Fills'!Q1851="PHILLIPSG",'ATP Fills'!F1851,""))</f>
        <v/>
      </c>
      <c r="B1851" t="str">
        <f>IF(A1851="","",'ATP Fills'!L1851)</f>
        <v/>
      </c>
      <c r="C1851" t="str">
        <f>IF(A1851="","",'ATP Fills'!M1851)</f>
        <v/>
      </c>
      <c r="D1851" t="str">
        <f>IF(A1851="","",'ATP Fills'!B1851)</f>
        <v/>
      </c>
      <c r="E1851" s="3" t="str">
        <f>IF(A1851="","",IF(DATE(LEFT(D1851,4),MID(D1851,5,2),RIGHT(D1851,2))=Helper1!$P$1,Helper1!$P$1,""))</f>
        <v/>
      </c>
      <c r="F1851" s="3" t="str">
        <f>IF(A1851="","",'ATP Fills'!G1851)</f>
        <v/>
      </c>
      <c r="G1851" t="str">
        <f>IF(A1851="","",'ATP Fills'!H1851)</f>
        <v/>
      </c>
      <c r="H1851" t="str">
        <f>IF(A1851="","",VLOOKUP(G1851,表3_3[],2,0))</f>
        <v/>
      </c>
      <c r="I1851" t="str">
        <f>IF(A1851="","",VLOOKUP(G1851,表3_3[],3,0))</f>
        <v/>
      </c>
      <c r="J1851" t="str">
        <f>IF(A1851="","",IF('ATP Fills'!I1851="3M","",VLOOKUP(RIGHT('ATP Fills'!I1851,2),Helper1!$O$36:$P$48,2,0)))</f>
        <v/>
      </c>
      <c r="K1851" t="str">
        <f>IF(J1851="","",LEFT('ATP Fills'!I1851,4))</f>
        <v/>
      </c>
      <c r="L1851" t="str">
        <f>IF(A1851="","",IF('ATP Fills'!G1851="LME",'ATP Fills'!I1851,""))</f>
        <v/>
      </c>
      <c r="M1851" t="str">
        <f t="shared" si="28"/>
        <v/>
      </c>
    </row>
    <row r="1852" spans="1:13">
      <c r="A1852" t="str">
        <f>IF('ATP Fills'!A1852="","",IF('ATP Fills'!Q1852="PHILLIPSG",'ATP Fills'!F1852,""))</f>
        <v/>
      </c>
      <c r="B1852" t="str">
        <f>IF(A1852="","",'ATP Fills'!L1852)</f>
        <v/>
      </c>
      <c r="C1852" t="str">
        <f>IF(A1852="","",'ATP Fills'!M1852)</f>
        <v/>
      </c>
      <c r="D1852" t="str">
        <f>IF(A1852="","",'ATP Fills'!B1852)</f>
        <v/>
      </c>
      <c r="E1852" s="3" t="str">
        <f>IF(A1852="","",IF(DATE(LEFT(D1852,4),MID(D1852,5,2),RIGHT(D1852,2))=Helper1!$P$1,Helper1!$P$1,""))</f>
        <v/>
      </c>
      <c r="F1852" s="3" t="str">
        <f>IF(A1852="","",'ATP Fills'!G1852)</f>
        <v/>
      </c>
      <c r="G1852" t="str">
        <f>IF(A1852="","",'ATP Fills'!H1852)</f>
        <v/>
      </c>
      <c r="H1852" t="str">
        <f>IF(A1852="","",VLOOKUP(G1852,表3_3[],2,0))</f>
        <v/>
      </c>
      <c r="I1852" t="str">
        <f>IF(A1852="","",VLOOKUP(G1852,表3_3[],3,0))</f>
        <v/>
      </c>
      <c r="J1852" t="str">
        <f>IF(A1852="","",IF('ATP Fills'!I1852="3M","",VLOOKUP(RIGHT('ATP Fills'!I1852,2),Helper1!$O$36:$P$48,2,0)))</f>
        <v/>
      </c>
      <c r="K1852" t="str">
        <f>IF(J1852="","",LEFT('ATP Fills'!I1852,4))</f>
        <v/>
      </c>
      <c r="L1852" t="str">
        <f>IF(A1852="","",IF('ATP Fills'!G1852="LME",'ATP Fills'!I1852,""))</f>
        <v/>
      </c>
      <c r="M1852" t="str">
        <f t="shared" si="28"/>
        <v/>
      </c>
    </row>
    <row r="1853" spans="1:13">
      <c r="A1853" t="str">
        <f>IF('ATP Fills'!A1853="","",IF('ATP Fills'!Q1853="PHILLIPSG",'ATP Fills'!F1853,""))</f>
        <v/>
      </c>
      <c r="B1853" t="str">
        <f>IF(A1853="","",'ATP Fills'!L1853)</f>
        <v/>
      </c>
      <c r="C1853" t="str">
        <f>IF(A1853="","",'ATP Fills'!M1853)</f>
        <v/>
      </c>
      <c r="D1853" t="str">
        <f>IF(A1853="","",'ATP Fills'!B1853)</f>
        <v/>
      </c>
      <c r="E1853" s="3" t="str">
        <f>IF(A1853="","",IF(DATE(LEFT(D1853,4),MID(D1853,5,2),RIGHT(D1853,2))=Helper1!$P$1,Helper1!$P$1,""))</f>
        <v/>
      </c>
      <c r="F1853" s="3" t="str">
        <f>IF(A1853="","",'ATP Fills'!G1853)</f>
        <v/>
      </c>
      <c r="G1853" t="str">
        <f>IF(A1853="","",'ATP Fills'!H1853)</f>
        <v/>
      </c>
      <c r="H1853" t="str">
        <f>IF(A1853="","",VLOOKUP(G1853,表3_3[],2,0))</f>
        <v/>
      </c>
      <c r="I1853" t="str">
        <f>IF(A1853="","",VLOOKUP(G1853,表3_3[],3,0))</f>
        <v/>
      </c>
      <c r="J1853" t="str">
        <f>IF(A1853="","",IF('ATP Fills'!I1853="3M","",VLOOKUP(RIGHT('ATP Fills'!I1853,2),Helper1!$O$36:$P$48,2,0)))</f>
        <v/>
      </c>
      <c r="K1853" t="str">
        <f>IF(J1853="","",LEFT('ATP Fills'!I1853,4))</f>
        <v/>
      </c>
      <c r="L1853" t="str">
        <f>IF(A1853="","",IF('ATP Fills'!G1853="LME",'ATP Fills'!I1853,""))</f>
        <v/>
      </c>
      <c r="M1853" t="str">
        <f t="shared" si="28"/>
        <v/>
      </c>
    </row>
    <row r="1854" spans="1:13">
      <c r="A1854" t="str">
        <f>IF('ATP Fills'!A1854="","",IF('ATP Fills'!Q1854="PHILLIPSG",'ATP Fills'!F1854,""))</f>
        <v/>
      </c>
      <c r="B1854" t="str">
        <f>IF(A1854="","",'ATP Fills'!L1854)</f>
        <v/>
      </c>
      <c r="C1854" t="str">
        <f>IF(A1854="","",'ATP Fills'!M1854)</f>
        <v/>
      </c>
      <c r="D1854" t="str">
        <f>IF(A1854="","",'ATP Fills'!B1854)</f>
        <v/>
      </c>
      <c r="E1854" s="3" t="str">
        <f>IF(A1854="","",IF(DATE(LEFT(D1854,4),MID(D1854,5,2),RIGHT(D1854,2))=Helper1!$P$1,Helper1!$P$1,""))</f>
        <v/>
      </c>
      <c r="F1854" s="3" t="str">
        <f>IF(A1854="","",'ATP Fills'!G1854)</f>
        <v/>
      </c>
      <c r="G1854" t="str">
        <f>IF(A1854="","",'ATP Fills'!H1854)</f>
        <v/>
      </c>
      <c r="H1854" t="str">
        <f>IF(A1854="","",VLOOKUP(G1854,表3_3[],2,0))</f>
        <v/>
      </c>
      <c r="I1854" t="str">
        <f>IF(A1854="","",VLOOKUP(G1854,表3_3[],3,0))</f>
        <v/>
      </c>
      <c r="J1854" t="str">
        <f>IF(A1854="","",IF('ATP Fills'!I1854="3M","",VLOOKUP(RIGHT('ATP Fills'!I1854,2),Helper1!$O$36:$P$48,2,0)))</f>
        <v/>
      </c>
      <c r="K1854" t="str">
        <f>IF(J1854="","",LEFT('ATP Fills'!I1854,4))</f>
        <v/>
      </c>
      <c r="L1854" t="str">
        <f>IF(A1854="","",IF('ATP Fills'!G1854="LME",'ATP Fills'!I1854,""))</f>
        <v/>
      </c>
      <c r="M1854" t="str">
        <f t="shared" si="28"/>
        <v/>
      </c>
    </row>
    <row r="1855" spans="1:13">
      <c r="A1855" t="str">
        <f>IF('ATP Fills'!A1855="","",IF('ATP Fills'!Q1855="PHILLIPSG",'ATP Fills'!F1855,""))</f>
        <v/>
      </c>
      <c r="B1855" t="str">
        <f>IF(A1855="","",'ATP Fills'!L1855)</f>
        <v/>
      </c>
      <c r="C1855" t="str">
        <f>IF(A1855="","",'ATP Fills'!M1855)</f>
        <v/>
      </c>
      <c r="D1855" t="str">
        <f>IF(A1855="","",'ATP Fills'!B1855)</f>
        <v/>
      </c>
      <c r="E1855" s="3" t="str">
        <f>IF(A1855="","",IF(DATE(LEFT(D1855,4),MID(D1855,5,2),RIGHT(D1855,2))=Helper1!$P$1,Helper1!$P$1,""))</f>
        <v/>
      </c>
      <c r="F1855" s="3" t="str">
        <f>IF(A1855="","",'ATP Fills'!G1855)</f>
        <v/>
      </c>
      <c r="G1855" t="str">
        <f>IF(A1855="","",'ATP Fills'!H1855)</f>
        <v/>
      </c>
      <c r="H1855" t="str">
        <f>IF(A1855="","",VLOOKUP(G1855,表3_3[],2,0))</f>
        <v/>
      </c>
      <c r="I1855" t="str">
        <f>IF(A1855="","",VLOOKUP(G1855,表3_3[],3,0))</f>
        <v/>
      </c>
      <c r="J1855" t="str">
        <f>IF(A1855="","",IF('ATP Fills'!I1855="3M","",VLOOKUP(RIGHT('ATP Fills'!I1855,2),Helper1!$O$36:$P$48,2,0)))</f>
        <v/>
      </c>
      <c r="K1855" t="str">
        <f>IF(J1855="","",LEFT('ATP Fills'!I1855,4))</f>
        <v/>
      </c>
      <c r="L1855" t="str">
        <f>IF(A1855="","",IF('ATP Fills'!G1855="LME",'ATP Fills'!I1855,""))</f>
        <v/>
      </c>
      <c r="M1855" t="str">
        <f t="shared" si="28"/>
        <v/>
      </c>
    </row>
    <row r="1856" spans="1:13">
      <c r="A1856" t="str">
        <f>IF('ATP Fills'!A1856="","",IF('ATP Fills'!Q1856="PHILLIPSG",'ATP Fills'!F1856,""))</f>
        <v/>
      </c>
      <c r="B1856" t="str">
        <f>IF(A1856="","",'ATP Fills'!L1856)</f>
        <v/>
      </c>
      <c r="C1856" t="str">
        <f>IF(A1856="","",'ATP Fills'!M1856)</f>
        <v/>
      </c>
      <c r="D1856" t="str">
        <f>IF(A1856="","",'ATP Fills'!B1856)</f>
        <v/>
      </c>
      <c r="E1856" s="3" t="str">
        <f>IF(A1856="","",IF(DATE(LEFT(D1856,4),MID(D1856,5,2),RIGHT(D1856,2))=Helper1!$P$1,Helper1!$P$1,""))</f>
        <v/>
      </c>
      <c r="F1856" s="3" t="str">
        <f>IF(A1856="","",'ATP Fills'!G1856)</f>
        <v/>
      </c>
      <c r="G1856" t="str">
        <f>IF(A1856="","",'ATP Fills'!H1856)</f>
        <v/>
      </c>
      <c r="H1856" t="str">
        <f>IF(A1856="","",VLOOKUP(G1856,表3_3[],2,0))</f>
        <v/>
      </c>
      <c r="I1856" t="str">
        <f>IF(A1856="","",VLOOKUP(G1856,表3_3[],3,0))</f>
        <v/>
      </c>
      <c r="J1856" t="str">
        <f>IF(A1856="","",IF('ATP Fills'!I1856="3M","",VLOOKUP(RIGHT('ATP Fills'!I1856,2),Helper1!$O$36:$P$48,2,0)))</f>
        <v/>
      </c>
      <c r="K1856" t="str">
        <f>IF(J1856="","",LEFT('ATP Fills'!I1856,4))</f>
        <v/>
      </c>
      <c r="L1856" t="str">
        <f>IF(A1856="","",IF('ATP Fills'!G1856="LME",'ATP Fills'!I1856,""))</f>
        <v/>
      </c>
      <c r="M1856" t="str">
        <f t="shared" si="28"/>
        <v/>
      </c>
    </row>
    <row r="1857" spans="1:13">
      <c r="A1857" t="str">
        <f>IF('ATP Fills'!A1857="","",IF('ATP Fills'!Q1857="PHILLIPSG",'ATP Fills'!F1857,""))</f>
        <v/>
      </c>
      <c r="B1857" t="str">
        <f>IF(A1857="","",'ATP Fills'!L1857)</f>
        <v/>
      </c>
      <c r="C1857" t="str">
        <f>IF(A1857="","",'ATP Fills'!M1857)</f>
        <v/>
      </c>
      <c r="D1857" t="str">
        <f>IF(A1857="","",'ATP Fills'!B1857)</f>
        <v/>
      </c>
      <c r="E1857" s="3" t="str">
        <f>IF(A1857="","",IF(DATE(LEFT(D1857,4),MID(D1857,5,2),RIGHT(D1857,2))=Helper1!$P$1,Helper1!$P$1,""))</f>
        <v/>
      </c>
      <c r="F1857" s="3" t="str">
        <f>IF(A1857="","",'ATP Fills'!G1857)</f>
        <v/>
      </c>
      <c r="G1857" t="str">
        <f>IF(A1857="","",'ATP Fills'!H1857)</f>
        <v/>
      </c>
      <c r="H1857" t="str">
        <f>IF(A1857="","",VLOOKUP(G1857,表3_3[],2,0))</f>
        <v/>
      </c>
      <c r="I1857" t="str">
        <f>IF(A1857="","",VLOOKUP(G1857,表3_3[],3,0))</f>
        <v/>
      </c>
      <c r="J1857" t="str">
        <f>IF(A1857="","",IF('ATP Fills'!I1857="3M","",VLOOKUP(RIGHT('ATP Fills'!I1857,2),Helper1!$O$36:$P$48,2,0)))</f>
        <v/>
      </c>
      <c r="K1857" t="str">
        <f>IF(J1857="","",LEFT('ATP Fills'!I1857,4))</f>
        <v/>
      </c>
      <c r="L1857" t="str">
        <f>IF(A1857="","",IF('ATP Fills'!G1857="LME",'ATP Fills'!I1857,""))</f>
        <v/>
      </c>
      <c r="M1857" t="str">
        <f t="shared" si="28"/>
        <v/>
      </c>
    </row>
    <row r="1858" spans="1:13">
      <c r="A1858" t="str">
        <f>IF('ATP Fills'!A1858="","",IF('ATP Fills'!Q1858="PHILLIPSG",'ATP Fills'!F1858,""))</f>
        <v/>
      </c>
      <c r="B1858" t="str">
        <f>IF(A1858="","",'ATP Fills'!L1858)</f>
        <v/>
      </c>
      <c r="C1858" t="str">
        <f>IF(A1858="","",'ATP Fills'!M1858)</f>
        <v/>
      </c>
      <c r="D1858" t="str">
        <f>IF(A1858="","",'ATP Fills'!B1858)</f>
        <v/>
      </c>
      <c r="E1858" s="3" t="str">
        <f>IF(A1858="","",IF(DATE(LEFT(D1858,4),MID(D1858,5,2),RIGHT(D1858,2))=Helper1!$P$1,Helper1!$P$1,""))</f>
        <v/>
      </c>
      <c r="F1858" s="3" t="str">
        <f>IF(A1858="","",'ATP Fills'!G1858)</f>
        <v/>
      </c>
      <c r="G1858" t="str">
        <f>IF(A1858="","",'ATP Fills'!H1858)</f>
        <v/>
      </c>
      <c r="H1858" t="str">
        <f>IF(A1858="","",VLOOKUP(G1858,表3_3[],2,0))</f>
        <v/>
      </c>
      <c r="I1858" t="str">
        <f>IF(A1858="","",VLOOKUP(G1858,表3_3[],3,0))</f>
        <v/>
      </c>
      <c r="J1858" t="str">
        <f>IF(A1858="","",IF('ATP Fills'!I1858="3M","",VLOOKUP(RIGHT('ATP Fills'!I1858,2),Helper1!$O$36:$P$48,2,0)))</f>
        <v/>
      </c>
      <c r="K1858" t="str">
        <f>IF(J1858="","",LEFT('ATP Fills'!I1858,4))</f>
        <v/>
      </c>
      <c r="L1858" t="str">
        <f>IF(A1858="","",IF('ATP Fills'!G1858="LME",'ATP Fills'!I1858,""))</f>
        <v/>
      </c>
      <c r="M1858" t="str">
        <f t="shared" si="28"/>
        <v/>
      </c>
    </row>
    <row r="1859" spans="1:13">
      <c r="A1859" t="str">
        <f>IF('ATP Fills'!A1859="","",IF('ATP Fills'!Q1859="PHILLIPSG",'ATP Fills'!F1859,""))</f>
        <v/>
      </c>
      <c r="B1859" t="str">
        <f>IF(A1859="","",'ATP Fills'!L1859)</f>
        <v/>
      </c>
      <c r="C1859" t="str">
        <f>IF(A1859="","",'ATP Fills'!M1859)</f>
        <v/>
      </c>
      <c r="D1859" t="str">
        <f>IF(A1859="","",'ATP Fills'!B1859)</f>
        <v/>
      </c>
      <c r="E1859" s="3" t="str">
        <f>IF(A1859="","",IF(DATE(LEFT(D1859,4),MID(D1859,5,2),RIGHT(D1859,2))=Helper1!$P$1,Helper1!$P$1,""))</f>
        <v/>
      </c>
      <c r="F1859" s="3" t="str">
        <f>IF(A1859="","",'ATP Fills'!G1859)</f>
        <v/>
      </c>
      <c r="G1859" t="str">
        <f>IF(A1859="","",'ATP Fills'!H1859)</f>
        <v/>
      </c>
      <c r="H1859" t="str">
        <f>IF(A1859="","",VLOOKUP(G1859,表3_3[],2,0))</f>
        <v/>
      </c>
      <c r="I1859" t="str">
        <f>IF(A1859="","",VLOOKUP(G1859,表3_3[],3,0))</f>
        <v/>
      </c>
      <c r="J1859" t="str">
        <f>IF(A1859="","",IF('ATP Fills'!I1859="3M","",VLOOKUP(RIGHT('ATP Fills'!I1859,2),Helper1!$O$36:$P$48,2,0)))</f>
        <v/>
      </c>
      <c r="K1859" t="str">
        <f>IF(J1859="","",LEFT('ATP Fills'!I1859,4))</f>
        <v/>
      </c>
      <c r="L1859" t="str">
        <f>IF(A1859="","",IF('ATP Fills'!G1859="LME",'ATP Fills'!I1859,""))</f>
        <v/>
      </c>
      <c r="M1859" t="str">
        <f t="shared" ref="M1859:M1922" si="29">IF(A1859="","",IF(F1859="LME",F1859&amp;"-"&amp;I1859&amp;"-"&amp;L1859,J1859&amp;"-"&amp;K1859&amp;"-"&amp;I1859))</f>
        <v/>
      </c>
    </row>
    <row r="1860" spans="1:13">
      <c r="A1860" t="str">
        <f>IF('ATP Fills'!A1860="","",IF('ATP Fills'!Q1860="PHILLIPSG",'ATP Fills'!F1860,""))</f>
        <v/>
      </c>
      <c r="B1860" t="str">
        <f>IF(A1860="","",'ATP Fills'!L1860)</f>
        <v/>
      </c>
      <c r="C1860" t="str">
        <f>IF(A1860="","",'ATP Fills'!M1860)</f>
        <v/>
      </c>
      <c r="D1860" t="str">
        <f>IF(A1860="","",'ATP Fills'!B1860)</f>
        <v/>
      </c>
      <c r="E1860" s="3" t="str">
        <f>IF(A1860="","",IF(DATE(LEFT(D1860,4),MID(D1860,5,2),RIGHT(D1860,2))=Helper1!$P$1,Helper1!$P$1,""))</f>
        <v/>
      </c>
      <c r="F1860" s="3" t="str">
        <f>IF(A1860="","",'ATP Fills'!G1860)</f>
        <v/>
      </c>
      <c r="G1860" t="str">
        <f>IF(A1860="","",'ATP Fills'!H1860)</f>
        <v/>
      </c>
      <c r="H1860" t="str">
        <f>IF(A1860="","",VLOOKUP(G1860,表3_3[],2,0))</f>
        <v/>
      </c>
      <c r="I1860" t="str">
        <f>IF(A1860="","",VLOOKUP(G1860,表3_3[],3,0))</f>
        <v/>
      </c>
      <c r="J1860" t="str">
        <f>IF(A1860="","",IF('ATP Fills'!I1860="3M","",VLOOKUP(RIGHT('ATP Fills'!I1860,2),Helper1!$O$36:$P$48,2,0)))</f>
        <v/>
      </c>
      <c r="K1860" t="str">
        <f>IF(J1860="","",LEFT('ATP Fills'!I1860,4))</f>
        <v/>
      </c>
      <c r="L1860" t="str">
        <f>IF(A1860="","",IF('ATP Fills'!G1860="LME",'ATP Fills'!I1860,""))</f>
        <v/>
      </c>
      <c r="M1860" t="str">
        <f t="shared" si="29"/>
        <v/>
      </c>
    </row>
    <row r="1861" spans="1:13">
      <c r="A1861" t="str">
        <f>IF('ATP Fills'!A1861="","",IF('ATP Fills'!Q1861="PHILLIPSG",'ATP Fills'!F1861,""))</f>
        <v/>
      </c>
      <c r="B1861" t="str">
        <f>IF(A1861="","",'ATP Fills'!L1861)</f>
        <v/>
      </c>
      <c r="C1861" t="str">
        <f>IF(A1861="","",'ATP Fills'!M1861)</f>
        <v/>
      </c>
      <c r="D1861" t="str">
        <f>IF(A1861="","",'ATP Fills'!B1861)</f>
        <v/>
      </c>
      <c r="E1861" s="3" t="str">
        <f>IF(A1861="","",IF(DATE(LEFT(D1861,4),MID(D1861,5,2),RIGHT(D1861,2))=Helper1!$P$1,Helper1!$P$1,""))</f>
        <v/>
      </c>
      <c r="F1861" s="3" t="str">
        <f>IF(A1861="","",'ATP Fills'!G1861)</f>
        <v/>
      </c>
      <c r="G1861" t="str">
        <f>IF(A1861="","",'ATP Fills'!H1861)</f>
        <v/>
      </c>
      <c r="H1861" t="str">
        <f>IF(A1861="","",VLOOKUP(G1861,表3_3[],2,0))</f>
        <v/>
      </c>
      <c r="I1861" t="str">
        <f>IF(A1861="","",VLOOKUP(G1861,表3_3[],3,0))</f>
        <v/>
      </c>
      <c r="J1861" t="str">
        <f>IF(A1861="","",IF('ATP Fills'!I1861="3M","",VLOOKUP(RIGHT('ATP Fills'!I1861,2),Helper1!$O$36:$P$48,2,0)))</f>
        <v/>
      </c>
      <c r="K1861" t="str">
        <f>IF(J1861="","",LEFT('ATP Fills'!I1861,4))</f>
        <v/>
      </c>
      <c r="L1861" t="str">
        <f>IF(A1861="","",IF('ATP Fills'!G1861="LME",'ATP Fills'!I1861,""))</f>
        <v/>
      </c>
      <c r="M1861" t="str">
        <f t="shared" si="29"/>
        <v/>
      </c>
    </row>
    <row r="1862" spans="1:13">
      <c r="A1862" t="str">
        <f>IF('ATP Fills'!A1862="","",IF('ATP Fills'!Q1862="PHILLIPSG",'ATP Fills'!F1862,""))</f>
        <v/>
      </c>
      <c r="B1862" t="str">
        <f>IF(A1862="","",'ATP Fills'!L1862)</f>
        <v/>
      </c>
      <c r="C1862" t="str">
        <f>IF(A1862="","",'ATP Fills'!M1862)</f>
        <v/>
      </c>
      <c r="D1862" t="str">
        <f>IF(A1862="","",'ATP Fills'!B1862)</f>
        <v/>
      </c>
      <c r="E1862" s="3" t="str">
        <f>IF(A1862="","",IF(DATE(LEFT(D1862,4),MID(D1862,5,2),RIGHT(D1862,2))=Helper1!$P$1,Helper1!$P$1,""))</f>
        <v/>
      </c>
      <c r="F1862" s="3" t="str">
        <f>IF(A1862="","",'ATP Fills'!G1862)</f>
        <v/>
      </c>
      <c r="G1862" t="str">
        <f>IF(A1862="","",'ATP Fills'!H1862)</f>
        <v/>
      </c>
      <c r="H1862" t="str">
        <f>IF(A1862="","",VLOOKUP(G1862,表3_3[],2,0))</f>
        <v/>
      </c>
      <c r="I1862" t="str">
        <f>IF(A1862="","",VLOOKUP(G1862,表3_3[],3,0))</f>
        <v/>
      </c>
      <c r="J1862" t="str">
        <f>IF(A1862="","",IF('ATP Fills'!I1862="3M","",VLOOKUP(RIGHT('ATP Fills'!I1862,2),Helper1!$O$36:$P$48,2,0)))</f>
        <v/>
      </c>
      <c r="K1862" t="str">
        <f>IF(J1862="","",LEFT('ATP Fills'!I1862,4))</f>
        <v/>
      </c>
      <c r="L1862" t="str">
        <f>IF(A1862="","",IF('ATP Fills'!G1862="LME",'ATP Fills'!I1862,""))</f>
        <v/>
      </c>
      <c r="M1862" t="str">
        <f t="shared" si="29"/>
        <v/>
      </c>
    </row>
    <row r="1863" spans="1:13">
      <c r="A1863" t="str">
        <f>IF('ATP Fills'!A1863="","",IF('ATP Fills'!Q1863="PHILLIPSG",'ATP Fills'!F1863,""))</f>
        <v/>
      </c>
      <c r="B1863" t="str">
        <f>IF(A1863="","",'ATP Fills'!L1863)</f>
        <v/>
      </c>
      <c r="C1863" t="str">
        <f>IF(A1863="","",'ATP Fills'!M1863)</f>
        <v/>
      </c>
      <c r="D1863" t="str">
        <f>IF(A1863="","",'ATP Fills'!B1863)</f>
        <v/>
      </c>
      <c r="E1863" s="3" t="str">
        <f>IF(A1863="","",IF(DATE(LEFT(D1863,4),MID(D1863,5,2),RIGHT(D1863,2))=Helper1!$P$1,Helper1!$P$1,""))</f>
        <v/>
      </c>
      <c r="F1863" s="3" t="str">
        <f>IF(A1863="","",'ATP Fills'!G1863)</f>
        <v/>
      </c>
      <c r="G1863" t="str">
        <f>IF(A1863="","",'ATP Fills'!H1863)</f>
        <v/>
      </c>
      <c r="H1863" t="str">
        <f>IF(A1863="","",VLOOKUP(G1863,表3_3[],2,0))</f>
        <v/>
      </c>
      <c r="I1863" t="str">
        <f>IF(A1863="","",VLOOKUP(G1863,表3_3[],3,0))</f>
        <v/>
      </c>
      <c r="J1863" t="str">
        <f>IF(A1863="","",IF('ATP Fills'!I1863="3M","",VLOOKUP(RIGHT('ATP Fills'!I1863,2),Helper1!$O$36:$P$48,2,0)))</f>
        <v/>
      </c>
      <c r="K1863" t="str">
        <f>IF(J1863="","",LEFT('ATP Fills'!I1863,4))</f>
        <v/>
      </c>
      <c r="L1863" t="str">
        <f>IF(A1863="","",IF('ATP Fills'!G1863="LME",'ATP Fills'!I1863,""))</f>
        <v/>
      </c>
      <c r="M1863" t="str">
        <f t="shared" si="29"/>
        <v/>
      </c>
    </row>
    <row r="1864" spans="1:13">
      <c r="A1864" t="str">
        <f>IF('ATP Fills'!A1864="","",IF('ATP Fills'!Q1864="PHILLIPSG",'ATP Fills'!F1864,""))</f>
        <v/>
      </c>
      <c r="B1864" t="str">
        <f>IF(A1864="","",'ATP Fills'!L1864)</f>
        <v/>
      </c>
      <c r="C1864" t="str">
        <f>IF(A1864="","",'ATP Fills'!M1864)</f>
        <v/>
      </c>
      <c r="D1864" t="str">
        <f>IF(A1864="","",'ATP Fills'!B1864)</f>
        <v/>
      </c>
      <c r="E1864" s="3" t="str">
        <f>IF(A1864="","",IF(DATE(LEFT(D1864,4),MID(D1864,5,2),RIGHT(D1864,2))=Helper1!$P$1,Helper1!$P$1,""))</f>
        <v/>
      </c>
      <c r="F1864" s="3" t="str">
        <f>IF(A1864="","",'ATP Fills'!G1864)</f>
        <v/>
      </c>
      <c r="G1864" t="str">
        <f>IF(A1864="","",'ATP Fills'!H1864)</f>
        <v/>
      </c>
      <c r="H1864" t="str">
        <f>IF(A1864="","",VLOOKUP(G1864,表3_3[],2,0))</f>
        <v/>
      </c>
      <c r="I1864" t="str">
        <f>IF(A1864="","",VLOOKUP(G1864,表3_3[],3,0))</f>
        <v/>
      </c>
      <c r="J1864" t="str">
        <f>IF(A1864="","",IF('ATP Fills'!I1864="3M","",VLOOKUP(RIGHT('ATP Fills'!I1864,2),Helper1!$O$36:$P$48,2,0)))</f>
        <v/>
      </c>
      <c r="K1864" t="str">
        <f>IF(J1864="","",LEFT('ATP Fills'!I1864,4))</f>
        <v/>
      </c>
      <c r="L1864" t="str">
        <f>IF(A1864="","",IF('ATP Fills'!G1864="LME",'ATP Fills'!I1864,""))</f>
        <v/>
      </c>
      <c r="M1864" t="str">
        <f t="shared" si="29"/>
        <v/>
      </c>
    </row>
    <row r="1865" spans="1:13">
      <c r="A1865" t="str">
        <f>IF('ATP Fills'!A1865="","",IF('ATP Fills'!Q1865="PHILLIPSG",'ATP Fills'!F1865,""))</f>
        <v/>
      </c>
      <c r="B1865" t="str">
        <f>IF(A1865="","",'ATP Fills'!L1865)</f>
        <v/>
      </c>
      <c r="C1865" t="str">
        <f>IF(A1865="","",'ATP Fills'!M1865)</f>
        <v/>
      </c>
      <c r="D1865" t="str">
        <f>IF(A1865="","",'ATP Fills'!B1865)</f>
        <v/>
      </c>
      <c r="E1865" s="3" t="str">
        <f>IF(A1865="","",IF(DATE(LEFT(D1865,4),MID(D1865,5,2),RIGHT(D1865,2))=Helper1!$P$1,Helper1!$P$1,""))</f>
        <v/>
      </c>
      <c r="F1865" s="3" t="str">
        <f>IF(A1865="","",'ATP Fills'!G1865)</f>
        <v/>
      </c>
      <c r="G1865" t="str">
        <f>IF(A1865="","",'ATP Fills'!H1865)</f>
        <v/>
      </c>
      <c r="H1865" t="str">
        <f>IF(A1865="","",VLOOKUP(G1865,表3_3[],2,0))</f>
        <v/>
      </c>
      <c r="I1865" t="str">
        <f>IF(A1865="","",VLOOKUP(G1865,表3_3[],3,0))</f>
        <v/>
      </c>
      <c r="J1865" t="str">
        <f>IF(A1865="","",IF('ATP Fills'!I1865="3M","",VLOOKUP(RIGHT('ATP Fills'!I1865,2),Helper1!$O$36:$P$48,2,0)))</f>
        <v/>
      </c>
      <c r="K1865" t="str">
        <f>IF(J1865="","",LEFT('ATP Fills'!I1865,4))</f>
        <v/>
      </c>
      <c r="L1865" t="str">
        <f>IF(A1865="","",IF('ATP Fills'!G1865="LME",'ATP Fills'!I1865,""))</f>
        <v/>
      </c>
      <c r="M1865" t="str">
        <f t="shared" si="29"/>
        <v/>
      </c>
    </row>
    <row r="1866" spans="1:13">
      <c r="A1866" t="str">
        <f>IF('ATP Fills'!A1866="","",IF('ATP Fills'!Q1866="PHILLIPSG",'ATP Fills'!F1866,""))</f>
        <v/>
      </c>
      <c r="B1866" t="str">
        <f>IF(A1866="","",'ATP Fills'!L1866)</f>
        <v/>
      </c>
      <c r="C1866" t="str">
        <f>IF(A1866="","",'ATP Fills'!M1866)</f>
        <v/>
      </c>
      <c r="D1866" t="str">
        <f>IF(A1866="","",'ATP Fills'!B1866)</f>
        <v/>
      </c>
      <c r="E1866" s="3" t="str">
        <f>IF(A1866="","",IF(DATE(LEFT(D1866,4),MID(D1866,5,2),RIGHT(D1866,2))=Helper1!$P$1,Helper1!$P$1,""))</f>
        <v/>
      </c>
      <c r="F1866" s="3" t="str">
        <f>IF(A1866="","",'ATP Fills'!G1866)</f>
        <v/>
      </c>
      <c r="G1866" t="str">
        <f>IF(A1866="","",'ATP Fills'!H1866)</f>
        <v/>
      </c>
      <c r="H1866" t="str">
        <f>IF(A1866="","",VLOOKUP(G1866,表3_3[],2,0))</f>
        <v/>
      </c>
      <c r="I1866" t="str">
        <f>IF(A1866="","",VLOOKUP(G1866,表3_3[],3,0))</f>
        <v/>
      </c>
      <c r="J1866" t="str">
        <f>IF(A1866="","",IF('ATP Fills'!I1866="3M","",VLOOKUP(RIGHT('ATP Fills'!I1866,2),Helper1!$O$36:$P$48,2,0)))</f>
        <v/>
      </c>
      <c r="K1866" t="str">
        <f>IF(J1866="","",LEFT('ATP Fills'!I1866,4))</f>
        <v/>
      </c>
      <c r="L1866" t="str">
        <f>IF(A1866="","",IF('ATP Fills'!G1866="LME",'ATP Fills'!I1866,""))</f>
        <v/>
      </c>
      <c r="M1866" t="str">
        <f t="shared" si="29"/>
        <v/>
      </c>
    </row>
    <row r="1867" spans="1:13">
      <c r="A1867" t="str">
        <f>IF('ATP Fills'!A1867="","",IF('ATP Fills'!Q1867="PHILLIPSG",'ATP Fills'!F1867,""))</f>
        <v/>
      </c>
      <c r="B1867" t="str">
        <f>IF(A1867="","",'ATP Fills'!L1867)</f>
        <v/>
      </c>
      <c r="C1867" t="str">
        <f>IF(A1867="","",'ATP Fills'!M1867)</f>
        <v/>
      </c>
      <c r="D1867" t="str">
        <f>IF(A1867="","",'ATP Fills'!B1867)</f>
        <v/>
      </c>
      <c r="E1867" s="3" t="str">
        <f>IF(A1867="","",IF(DATE(LEFT(D1867,4),MID(D1867,5,2),RIGHT(D1867,2))=Helper1!$P$1,Helper1!$P$1,""))</f>
        <v/>
      </c>
      <c r="F1867" s="3" t="str">
        <f>IF(A1867="","",'ATP Fills'!G1867)</f>
        <v/>
      </c>
      <c r="G1867" t="str">
        <f>IF(A1867="","",'ATP Fills'!H1867)</f>
        <v/>
      </c>
      <c r="H1867" t="str">
        <f>IF(A1867="","",VLOOKUP(G1867,表3_3[],2,0))</f>
        <v/>
      </c>
      <c r="I1867" t="str">
        <f>IF(A1867="","",VLOOKUP(G1867,表3_3[],3,0))</f>
        <v/>
      </c>
      <c r="J1867" t="str">
        <f>IF(A1867="","",IF('ATP Fills'!I1867="3M","",VLOOKUP(RIGHT('ATP Fills'!I1867,2),Helper1!$O$36:$P$48,2,0)))</f>
        <v/>
      </c>
      <c r="K1867" t="str">
        <f>IF(J1867="","",LEFT('ATP Fills'!I1867,4))</f>
        <v/>
      </c>
      <c r="L1867" t="str">
        <f>IF(A1867="","",IF('ATP Fills'!G1867="LME",'ATP Fills'!I1867,""))</f>
        <v/>
      </c>
      <c r="M1867" t="str">
        <f t="shared" si="29"/>
        <v/>
      </c>
    </row>
    <row r="1868" spans="1:13">
      <c r="A1868" t="str">
        <f>IF('ATP Fills'!A1868="","",IF('ATP Fills'!Q1868="PHILLIPSG",'ATP Fills'!F1868,""))</f>
        <v/>
      </c>
      <c r="B1868" t="str">
        <f>IF(A1868="","",'ATP Fills'!L1868)</f>
        <v/>
      </c>
      <c r="C1868" t="str">
        <f>IF(A1868="","",'ATP Fills'!M1868)</f>
        <v/>
      </c>
      <c r="D1868" t="str">
        <f>IF(A1868="","",'ATP Fills'!B1868)</f>
        <v/>
      </c>
      <c r="E1868" s="3" t="str">
        <f>IF(A1868="","",IF(DATE(LEFT(D1868,4),MID(D1868,5,2),RIGHT(D1868,2))=Helper1!$P$1,Helper1!$P$1,""))</f>
        <v/>
      </c>
      <c r="F1868" s="3" t="str">
        <f>IF(A1868="","",'ATP Fills'!G1868)</f>
        <v/>
      </c>
      <c r="G1868" t="str">
        <f>IF(A1868="","",'ATP Fills'!H1868)</f>
        <v/>
      </c>
      <c r="H1868" t="str">
        <f>IF(A1868="","",VLOOKUP(G1868,表3_3[],2,0))</f>
        <v/>
      </c>
      <c r="I1868" t="str">
        <f>IF(A1868="","",VLOOKUP(G1868,表3_3[],3,0))</f>
        <v/>
      </c>
      <c r="J1868" t="str">
        <f>IF(A1868="","",IF('ATP Fills'!I1868="3M","",VLOOKUP(RIGHT('ATP Fills'!I1868,2),Helper1!$O$36:$P$48,2,0)))</f>
        <v/>
      </c>
      <c r="K1868" t="str">
        <f>IF(J1868="","",LEFT('ATP Fills'!I1868,4))</f>
        <v/>
      </c>
      <c r="L1868" t="str">
        <f>IF(A1868="","",IF('ATP Fills'!G1868="LME",'ATP Fills'!I1868,""))</f>
        <v/>
      </c>
      <c r="M1868" t="str">
        <f t="shared" si="29"/>
        <v/>
      </c>
    </row>
    <row r="1869" spans="1:13">
      <c r="A1869" t="str">
        <f>IF('ATP Fills'!A1869="","",IF('ATP Fills'!Q1869="PHILLIPSG",'ATP Fills'!F1869,""))</f>
        <v/>
      </c>
      <c r="B1869" t="str">
        <f>IF(A1869="","",'ATP Fills'!L1869)</f>
        <v/>
      </c>
      <c r="C1869" t="str">
        <f>IF(A1869="","",'ATP Fills'!M1869)</f>
        <v/>
      </c>
      <c r="D1869" t="str">
        <f>IF(A1869="","",'ATP Fills'!B1869)</f>
        <v/>
      </c>
      <c r="E1869" s="3" t="str">
        <f>IF(A1869="","",IF(DATE(LEFT(D1869,4),MID(D1869,5,2),RIGHT(D1869,2))=Helper1!$P$1,Helper1!$P$1,""))</f>
        <v/>
      </c>
      <c r="F1869" s="3" t="str">
        <f>IF(A1869="","",'ATP Fills'!G1869)</f>
        <v/>
      </c>
      <c r="G1869" t="str">
        <f>IF(A1869="","",'ATP Fills'!H1869)</f>
        <v/>
      </c>
      <c r="H1869" t="str">
        <f>IF(A1869="","",VLOOKUP(G1869,表3_3[],2,0))</f>
        <v/>
      </c>
      <c r="I1869" t="str">
        <f>IF(A1869="","",VLOOKUP(G1869,表3_3[],3,0))</f>
        <v/>
      </c>
      <c r="J1869" t="str">
        <f>IF(A1869="","",IF('ATP Fills'!I1869="3M","",VLOOKUP(RIGHT('ATP Fills'!I1869,2),Helper1!$O$36:$P$48,2,0)))</f>
        <v/>
      </c>
      <c r="K1869" t="str">
        <f>IF(J1869="","",LEFT('ATP Fills'!I1869,4))</f>
        <v/>
      </c>
      <c r="L1869" t="str">
        <f>IF(A1869="","",IF('ATP Fills'!G1869="LME",'ATP Fills'!I1869,""))</f>
        <v/>
      </c>
      <c r="M1869" t="str">
        <f t="shared" si="29"/>
        <v/>
      </c>
    </row>
    <row r="1870" spans="1:13">
      <c r="A1870" t="str">
        <f>IF('ATP Fills'!A1870="","",IF('ATP Fills'!Q1870="PHILLIPSG",'ATP Fills'!F1870,""))</f>
        <v/>
      </c>
      <c r="B1870" t="str">
        <f>IF(A1870="","",'ATP Fills'!L1870)</f>
        <v/>
      </c>
      <c r="C1870" t="str">
        <f>IF(A1870="","",'ATP Fills'!M1870)</f>
        <v/>
      </c>
      <c r="D1870" t="str">
        <f>IF(A1870="","",'ATP Fills'!B1870)</f>
        <v/>
      </c>
      <c r="E1870" s="3" t="str">
        <f>IF(A1870="","",IF(DATE(LEFT(D1870,4),MID(D1870,5,2),RIGHT(D1870,2))=Helper1!$P$1,Helper1!$P$1,""))</f>
        <v/>
      </c>
      <c r="F1870" s="3" t="str">
        <f>IF(A1870="","",'ATP Fills'!G1870)</f>
        <v/>
      </c>
      <c r="G1870" t="str">
        <f>IF(A1870="","",'ATP Fills'!H1870)</f>
        <v/>
      </c>
      <c r="H1870" t="str">
        <f>IF(A1870="","",VLOOKUP(G1870,表3_3[],2,0))</f>
        <v/>
      </c>
      <c r="I1870" t="str">
        <f>IF(A1870="","",VLOOKUP(G1870,表3_3[],3,0))</f>
        <v/>
      </c>
      <c r="J1870" t="str">
        <f>IF(A1870="","",IF('ATP Fills'!I1870="3M","",VLOOKUP(RIGHT('ATP Fills'!I1870,2),Helper1!$O$36:$P$48,2,0)))</f>
        <v/>
      </c>
      <c r="K1870" t="str">
        <f>IF(J1870="","",LEFT('ATP Fills'!I1870,4))</f>
        <v/>
      </c>
      <c r="L1870" t="str">
        <f>IF(A1870="","",IF('ATP Fills'!G1870="LME",'ATP Fills'!I1870,""))</f>
        <v/>
      </c>
      <c r="M1870" t="str">
        <f t="shared" si="29"/>
        <v/>
      </c>
    </row>
    <row r="1871" spans="1:13">
      <c r="A1871" t="str">
        <f>IF('ATP Fills'!A1871="","",IF('ATP Fills'!Q1871="PHILLIPSG",'ATP Fills'!F1871,""))</f>
        <v/>
      </c>
      <c r="B1871" t="str">
        <f>IF(A1871="","",'ATP Fills'!L1871)</f>
        <v/>
      </c>
      <c r="C1871" t="str">
        <f>IF(A1871="","",'ATP Fills'!M1871)</f>
        <v/>
      </c>
      <c r="D1871" t="str">
        <f>IF(A1871="","",'ATP Fills'!B1871)</f>
        <v/>
      </c>
      <c r="E1871" s="3" t="str">
        <f>IF(A1871="","",IF(DATE(LEFT(D1871,4),MID(D1871,5,2),RIGHT(D1871,2))=Helper1!$P$1,Helper1!$P$1,""))</f>
        <v/>
      </c>
      <c r="F1871" s="3" t="str">
        <f>IF(A1871="","",'ATP Fills'!G1871)</f>
        <v/>
      </c>
      <c r="G1871" t="str">
        <f>IF(A1871="","",'ATP Fills'!H1871)</f>
        <v/>
      </c>
      <c r="H1871" t="str">
        <f>IF(A1871="","",VLOOKUP(G1871,表3_3[],2,0))</f>
        <v/>
      </c>
      <c r="I1871" t="str">
        <f>IF(A1871="","",VLOOKUP(G1871,表3_3[],3,0))</f>
        <v/>
      </c>
      <c r="J1871" t="str">
        <f>IF(A1871="","",IF('ATP Fills'!I1871="3M","",VLOOKUP(RIGHT('ATP Fills'!I1871,2),Helper1!$O$36:$P$48,2,0)))</f>
        <v/>
      </c>
      <c r="K1871" t="str">
        <f>IF(J1871="","",LEFT('ATP Fills'!I1871,4))</f>
        <v/>
      </c>
      <c r="L1871" t="str">
        <f>IF(A1871="","",IF('ATP Fills'!G1871="LME",'ATP Fills'!I1871,""))</f>
        <v/>
      </c>
      <c r="M1871" t="str">
        <f t="shared" si="29"/>
        <v/>
      </c>
    </row>
    <row r="1872" spans="1:13">
      <c r="A1872" t="str">
        <f>IF('ATP Fills'!A1872="","",IF('ATP Fills'!Q1872="PHILLIPSG",'ATP Fills'!F1872,""))</f>
        <v/>
      </c>
      <c r="B1872" t="str">
        <f>IF(A1872="","",'ATP Fills'!L1872)</f>
        <v/>
      </c>
      <c r="C1872" t="str">
        <f>IF(A1872="","",'ATP Fills'!M1872)</f>
        <v/>
      </c>
      <c r="D1872" t="str">
        <f>IF(A1872="","",'ATP Fills'!B1872)</f>
        <v/>
      </c>
      <c r="E1872" s="3" t="str">
        <f>IF(A1872="","",IF(DATE(LEFT(D1872,4),MID(D1872,5,2),RIGHT(D1872,2))=Helper1!$P$1,Helper1!$P$1,""))</f>
        <v/>
      </c>
      <c r="F1872" s="3" t="str">
        <f>IF(A1872="","",'ATP Fills'!G1872)</f>
        <v/>
      </c>
      <c r="G1872" t="str">
        <f>IF(A1872="","",'ATP Fills'!H1872)</f>
        <v/>
      </c>
      <c r="H1872" t="str">
        <f>IF(A1872="","",VLOOKUP(G1872,表3_3[],2,0))</f>
        <v/>
      </c>
      <c r="I1872" t="str">
        <f>IF(A1872="","",VLOOKUP(G1872,表3_3[],3,0))</f>
        <v/>
      </c>
      <c r="J1872" t="str">
        <f>IF(A1872="","",IF('ATP Fills'!I1872="3M","",VLOOKUP(RIGHT('ATP Fills'!I1872,2),Helper1!$O$36:$P$48,2,0)))</f>
        <v/>
      </c>
      <c r="K1872" t="str">
        <f>IF(J1872="","",LEFT('ATP Fills'!I1872,4))</f>
        <v/>
      </c>
      <c r="L1872" t="str">
        <f>IF(A1872="","",IF('ATP Fills'!G1872="LME",'ATP Fills'!I1872,""))</f>
        <v/>
      </c>
      <c r="M1872" t="str">
        <f t="shared" si="29"/>
        <v/>
      </c>
    </row>
    <row r="1873" spans="1:13">
      <c r="A1873" t="str">
        <f>IF('ATP Fills'!A1873="","",IF('ATP Fills'!Q1873="PHILLIPSG",'ATP Fills'!F1873,""))</f>
        <v/>
      </c>
      <c r="B1873" t="str">
        <f>IF(A1873="","",'ATP Fills'!L1873)</f>
        <v/>
      </c>
      <c r="C1873" t="str">
        <f>IF(A1873="","",'ATP Fills'!M1873)</f>
        <v/>
      </c>
      <c r="D1873" t="str">
        <f>IF(A1873="","",'ATP Fills'!B1873)</f>
        <v/>
      </c>
      <c r="E1873" s="3" t="str">
        <f>IF(A1873="","",IF(DATE(LEFT(D1873,4),MID(D1873,5,2),RIGHT(D1873,2))=Helper1!$P$1,Helper1!$P$1,""))</f>
        <v/>
      </c>
      <c r="F1873" s="3" t="str">
        <f>IF(A1873="","",'ATP Fills'!G1873)</f>
        <v/>
      </c>
      <c r="G1873" t="str">
        <f>IF(A1873="","",'ATP Fills'!H1873)</f>
        <v/>
      </c>
      <c r="H1873" t="str">
        <f>IF(A1873="","",VLOOKUP(G1873,表3_3[],2,0))</f>
        <v/>
      </c>
      <c r="I1873" t="str">
        <f>IF(A1873="","",VLOOKUP(G1873,表3_3[],3,0))</f>
        <v/>
      </c>
      <c r="J1873" t="str">
        <f>IF(A1873="","",IF('ATP Fills'!I1873="3M","",VLOOKUP(RIGHT('ATP Fills'!I1873,2),Helper1!$O$36:$P$48,2,0)))</f>
        <v/>
      </c>
      <c r="K1873" t="str">
        <f>IF(J1873="","",LEFT('ATP Fills'!I1873,4))</f>
        <v/>
      </c>
      <c r="L1873" t="str">
        <f>IF(A1873="","",IF('ATP Fills'!G1873="LME",'ATP Fills'!I1873,""))</f>
        <v/>
      </c>
      <c r="M1873" t="str">
        <f t="shared" si="29"/>
        <v/>
      </c>
    </row>
    <row r="1874" spans="1:13">
      <c r="A1874" t="str">
        <f>IF('ATP Fills'!A1874="","",IF('ATP Fills'!Q1874="PHILLIPSG",'ATP Fills'!F1874,""))</f>
        <v/>
      </c>
      <c r="B1874" t="str">
        <f>IF(A1874="","",'ATP Fills'!L1874)</f>
        <v/>
      </c>
      <c r="C1874" t="str">
        <f>IF(A1874="","",'ATP Fills'!M1874)</f>
        <v/>
      </c>
      <c r="D1874" t="str">
        <f>IF(A1874="","",'ATP Fills'!B1874)</f>
        <v/>
      </c>
      <c r="E1874" s="3" t="str">
        <f>IF(A1874="","",IF(DATE(LEFT(D1874,4),MID(D1874,5,2),RIGHT(D1874,2))=Helper1!$P$1,Helper1!$P$1,""))</f>
        <v/>
      </c>
      <c r="F1874" s="3" t="str">
        <f>IF(A1874="","",'ATP Fills'!G1874)</f>
        <v/>
      </c>
      <c r="G1874" t="str">
        <f>IF(A1874="","",'ATP Fills'!H1874)</f>
        <v/>
      </c>
      <c r="H1874" t="str">
        <f>IF(A1874="","",VLOOKUP(G1874,表3_3[],2,0))</f>
        <v/>
      </c>
      <c r="I1874" t="str">
        <f>IF(A1874="","",VLOOKUP(G1874,表3_3[],3,0))</f>
        <v/>
      </c>
      <c r="J1874" t="str">
        <f>IF(A1874="","",IF('ATP Fills'!I1874="3M","",VLOOKUP(RIGHT('ATP Fills'!I1874,2),Helper1!$O$36:$P$48,2,0)))</f>
        <v/>
      </c>
      <c r="K1874" t="str">
        <f>IF(J1874="","",LEFT('ATP Fills'!I1874,4))</f>
        <v/>
      </c>
      <c r="L1874" t="str">
        <f>IF(A1874="","",IF('ATP Fills'!G1874="LME",'ATP Fills'!I1874,""))</f>
        <v/>
      </c>
      <c r="M1874" t="str">
        <f t="shared" si="29"/>
        <v/>
      </c>
    </row>
    <row r="1875" spans="1:13">
      <c r="A1875" t="str">
        <f>IF('ATP Fills'!A1875="","",IF('ATP Fills'!Q1875="PHILLIPSG",'ATP Fills'!F1875,""))</f>
        <v/>
      </c>
      <c r="B1875" t="str">
        <f>IF(A1875="","",'ATP Fills'!L1875)</f>
        <v/>
      </c>
      <c r="C1875" t="str">
        <f>IF(A1875="","",'ATP Fills'!M1875)</f>
        <v/>
      </c>
      <c r="D1875" t="str">
        <f>IF(A1875="","",'ATP Fills'!B1875)</f>
        <v/>
      </c>
      <c r="E1875" s="3" t="str">
        <f>IF(A1875="","",IF(DATE(LEFT(D1875,4),MID(D1875,5,2),RIGHT(D1875,2))=Helper1!$P$1,Helper1!$P$1,""))</f>
        <v/>
      </c>
      <c r="F1875" s="3" t="str">
        <f>IF(A1875="","",'ATP Fills'!G1875)</f>
        <v/>
      </c>
      <c r="G1875" t="str">
        <f>IF(A1875="","",'ATP Fills'!H1875)</f>
        <v/>
      </c>
      <c r="H1875" t="str">
        <f>IF(A1875="","",VLOOKUP(G1875,表3_3[],2,0))</f>
        <v/>
      </c>
      <c r="I1875" t="str">
        <f>IF(A1875="","",VLOOKUP(G1875,表3_3[],3,0))</f>
        <v/>
      </c>
      <c r="J1875" t="str">
        <f>IF(A1875="","",IF('ATP Fills'!I1875="3M","",VLOOKUP(RIGHT('ATP Fills'!I1875,2),Helper1!$O$36:$P$48,2,0)))</f>
        <v/>
      </c>
      <c r="K1875" t="str">
        <f>IF(J1875="","",LEFT('ATP Fills'!I1875,4))</f>
        <v/>
      </c>
      <c r="L1875" t="str">
        <f>IF(A1875="","",IF('ATP Fills'!G1875="LME",'ATP Fills'!I1875,""))</f>
        <v/>
      </c>
      <c r="M1875" t="str">
        <f t="shared" si="29"/>
        <v/>
      </c>
    </row>
    <row r="1876" spans="1:13">
      <c r="A1876" t="str">
        <f>IF('ATP Fills'!A1876="","",IF('ATP Fills'!Q1876="PHILLIPSG",'ATP Fills'!F1876,""))</f>
        <v/>
      </c>
      <c r="B1876" t="str">
        <f>IF(A1876="","",'ATP Fills'!L1876)</f>
        <v/>
      </c>
      <c r="C1876" t="str">
        <f>IF(A1876="","",'ATP Fills'!M1876)</f>
        <v/>
      </c>
      <c r="D1876" t="str">
        <f>IF(A1876="","",'ATP Fills'!B1876)</f>
        <v/>
      </c>
      <c r="E1876" s="3" t="str">
        <f>IF(A1876="","",IF(DATE(LEFT(D1876,4),MID(D1876,5,2),RIGHT(D1876,2))=Helper1!$P$1,Helper1!$P$1,""))</f>
        <v/>
      </c>
      <c r="F1876" s="3" t="str">
        <f>IF(A1876="","",'ATP Fills'!G1876)</f>
        <v/>
      </c>
      <c r="G1876" t="str">
        <f>IF(A1876="","",'ATP Fills'!H1876)</f>
        <v/>
      </c>
      <c r="H1876" t="str">
        <f>IF(A1876="","",VLOOKUP(G1876,表3_3[],2,0))</f>
        <v/>
      </c>
      <c r="I1876" t="str">
        <f>IF(A1876="","",VLOOKUP(G1876,表3_3[],3,0))</f>
        <v/>
      </c>
      <c r="J1876" t="str">
        <f>IF(A1876="","",IF('ATP Fills'!I1876="3M","",VLOOKUP(RIGHT('ATP Fills'!I1876,2),Helper1!$O$36:$P$48,2,0)))</f>
        <v/>
      </c>
      <c r="K1876" t="str">
        <f>IF(J1876="","",LEFT('ATP Fills'!I1876,4))</f>
        <v/>
      </c>
      <c r="L1876" t="str">
        <f>IF(A1876="","",IF('ATP Fills'!G1876="LME",'ATP Fills'!I1876,""))</f>
        <v/>
      </c>
      <c r="M1876" t="str">
        <f t="shared" si="29"/>
        <v/>
      </c>
    </row>
    <row r="1877" spans="1:13">
      <c r="A1877" t="str">
        <f>IF('ATP Fills'!A1877="","",IF('ATP Fills'!Q1877="PHILLIPSG",'ATP Fills'!F1877,""))</f>
        <v/>
      </c>
      <c r="B1877" t="str">
        <f>IF(A1877="","",'ATP Fills'!L1877)</f>
        <v/>
      </c>
      <c r="C1877" t="str">
        <f>IF(A1877="","",'ATP Fills'!M1877)</f>
        <v/>
      </c>
      <c r="D1877" t="str">
        <f>IF(A1877="","",'ATP Fills'!B1877)</f>
        <v/>
      </c>
      <c r="E1877" s="3" t="str">
        <f>IF(A1877="","",IF(DATE(LEFT(D1877,4),MID(D1877,5,2),RIGHT(D1877,2))=Helper1!$P$1,Helper1!$P$1,""))</f>
        <v/>
      </c>
      <c r="F1877" s="3" t="str">
        <f>IF(A1877="","",'ATP Fills'!G1877)</f>
        <v/>
      </c>
      <c r="G1877" t="str">
        <f>IF(A1877="","",'ATP Fills'!H1877)</f>
        <v/>
      </c>
      <c r="H1877" t="str">
        <f>IF(A1877="","",VLOOKUP(G1877,表3_3[],2,0))</f>
        <v/>
      </c>
      <c r="I1877" t="str">
        <f>IF(A1877="","",VLOOKUP(G1877,表3_3[],3,0))</f>
        <v/>
      </c>
      <c r="J1877" t="str">
        <f>IF(A1877="","",IF('ATP Fills'!I1877="3M","",VLOOKUP(RIGHT('ATP Fills'!I1877,2),Helper1!$O$36:$P$48,2,0)))</f>
        <v/>
      </c>
      <c r="K1877" t="str">
        <f>IF(J1877="","",LEFT('ATP Fills'!I1877,4))</f>
        <v/>
      </c>
      <c r="L1877" t="str">
        <f>IF(A1877="","",IF('ATP Fills'!G1877="LME",'ATP Fills'!I1877,""))</f>
        <v/>
      </c>
      <c r="M1877" t="str">
        <f t="shared" si="29"/>
        <v/>
      </c>
    </row>
    <row r="1878" spans="1:13">
      <c r="A1878" t="str">
        <f>IF('ATP Fills'!A1878="","",IF('ATP Fills'!Q1878="PHILLIPSG",'ATP Fills'!F1878,""))</f>
        <v/>
      </c>
      <c r="B1878" t="str">
        <f>IF(A1878="","",'ATP Fills'!L1878)</f>
        <v/>
      </c>
      <c r="C1878" t="str">
        <f>IF(A1878="","",'ATP Fills'!M1878)</f>
        <v/>
      </c>
      <c r="D1878" t="str">
        <f>IF(A1878="","",'ATP Fills'!B1878)</f>
        <v/>
      </c>
      <c r="E1878" s="3" t="str">
        <f>IF(A1878="","",IF(DATE(LEFT(D1878,4),MID(D1878,5,2),RIGHT(D1878,2))=Helper1!$P$1,Helper1!$P$1,""))</f>
        <v/>
      </c>
      <c r="F1878" s="3" t="str">
        <f>IF(A1878="","",'ATP Fills'!G1878)</f>
        <v/>
      </c>
      <c r="G1878" t="str">
        <f>IF(A1878="","",'ATP Fills'!H1878)</f>
        <v/>
      </c>
      <c r="H1878" t="str">
        <f>IF(A1878="","",VLOOKUP(G1878,表3_3[],2,0))</f>
        <v/>
      </c>
      <c r="I1878" t="str">
        <f>IF(A1878="","",VLOOKUP(G1878,表3_3[],3,0))</f>
        <v/>
      </c>
      <c r="J1878" t="str">
        <f>IF(A1878="","",IF('ATP Fills'!I1878="3M","",VLOOKUP(RIGHT('ATP Fills'!I1878,2),Helper1!$O$36:$P$48,2,0)))</f>
        <v/>
      </c>
      <c r="K1878" t="str">
        <f>IF(J1878="","",LEFT('ATP Fills'!I1878,4))</f>
        <v/>
      </c>
      <c r="L1878" t="str">
        <f>IF(A1878="","",IF('ATP Fills'!G1878="LME",'ATP Fills'!I1878,""))</f>
        <v/>
      </c>
      <c r="M1878" t="str">
        <f t="shared" si="29"/>
        <v/>
      </c>
    </row>
    <row r="1879" spans="1:13">
      <c r="A1879" t="str">
        <f>IF('ATP Fills'!A1879="","",IF('ATP Fills'!Q1879="PHILLIPSG",'ATP Fills'!F1879,""))</f>
        <v/>
      </c>
      <c r="B1879" t="str">
        <f>IF(A1879="","",'ATP Fills'!L1879)</f>
        <v/>
      </c>
      <c r="C1879" t="str">
        <f>IF(A1879="","",'ATP Fills'!M1879)</f>
        <v/>
      </c>
      <c r="D1879" t="str">
        <f>IF(A1879="","",'ATP Fills'!B1879)</f>
        <v/>
      </c>
      <c r="E1879" s="3" t="str">
        <f>IF(A1879="","",IF(DATE(LEFT(D1879,4),MID(D1879,5,2),RIGHT(D1879,2))=Helper1!$P$1,Helper1!$P$1,""))</f>
        <v/>
      </c>
      <c r="F1879" s="3" t="str">
        <f>IF(A1879="","",'ATP Fills'!G1879)</f>
        <v/>
      </c>
      <c r="G1879" t="str">
        <f>IF(A1879="","",'ATP Fills'!H1879)</f>
        <v/>
      </c>
      <c r="H1879" t="str">
        <f>IF(A1879="","",VLOOKUP(G1879,表3_3[],2,0))</f>
        <v/>
      </c>
      <c r="I1879" t="str">
        <f>IF(A1879="","",VLOOKUP(G1879,表3_3[],3,0))</f>
        <v/>
      </c>
      <c r="J1879" t="str">
        <f>IF(A1879="","",IF('ATP Fills'!I1879="3M","",VLOOKUP(RIGHT('ATP Fills'!I1879,2),Helper1!$O$36:$P$48,2,0)))</f>
        <v/>
      </c>
      <c r="K1879" t="str">
        <f>IF(J1879="","",LEFT('ATP Fills'!I1879,4))</f>
        <v/>
      </c>
      <c r="L1879" t="str">
        <f>IF(A1879="","",IF('ATP Fills'!G1879="LME",'ATP Fills'!I1879,""))</f>
        <v/>
      </c>
      <c r="M1879" t="str">
        <f t="shared" si="29"/>
        <v/>
      </c>
    </row>
    <row r="1880" spans="1:13">
      <c r="A1880" t="str">
        <f>IF('ATP Fills'!A1880="","",IF('ATP Fills'!Q1880="PHILLIPSG",'ATP Fills'!F1880,""))</f>
        <v/>
      </c>
      <c r="B1880" t="str">
        <f>IF(A1880="","",'ATP Fills'!L1880)</f>
        <v/>
      </c>
      <c r="C1880" t="str">
        <f>IF(A1880="","",'ATP Fills'!M1880)</f>
        <v/>
      </c>
      <c r="D1880" t="str">
        <f>IF(A1880="","",'ATP Fills'!B1880)</f>
        <v/>
      </c>
      <c r="E1880" s="3" t="str">
        <f>IF(A1880="","",IF(DATE(LEFT(D1880,4),MID(D1880,5,2),RIGHT(D1880,2))=Helper1!$P$1,Helper1!$P$1,""))</f>
        <v/>
      </c>
      <c r="F1880" s="3" t="str">
        <f>IF(A1880="","",'ATP Fills'!G1880)</f>
        <v/>
      </c>
      <c r="G1880" t="str">
        <f>IF(A1880="","",'ATP Fills'!H1880)</f>
        <v/>
      </c>
      <c r="H1880" t="str">
        <f>IF(A1880="","",VLOOKUP(G1880,表3_3[],2,0))</f>
        <v/>
      </c>
      <c r="I1880" t="str">
        <f>IF(A1880="","",VLOOKUP(G1880,表3_3[],3,0))</f>
        <v/>
      </c>
      <c r="J1880" t="str">
        <f>IF(A1880="","",IF('ATP Fills'!I1880="3M","",VLOOKUP(RIGHT('ATP Fills'!I1880,2),Helper1!$O$36:$P$48,2,0)))</f>
        <v/>
      </c>
      <c r="K1880" t="str">
        <f>IF(J1880="","",LEFT('ATP Fills'!I1880,4))</f>
        <v/>
      </c>
      <c r="L1880" t="str">
        <f>IF(A1880="","",IF('ATP Fills'!G1880="LME",'ATP Fills'!I1880,""))</f>
        <v/>
      </c>
      <c r="M1880" t="str">
        <f t="shared" si="29"/>
        <v/>
      </c>
    </row>
    <row r="1881" spans="1:13">
      <c r="A1881" t="str">
        <f>IF('ATP Fills'!A1881="","",IF('ATP Fills'!Q1881="PHILLIPSG",'ATP Fills'!F1881,""))</f>
        <v/>
      </c>
      <c r="B1881" t="str">
        <f>IF(A1881="","",'ATP Fills'!L1881)</f>
        <v/>
      </c>
      <c r="C1881" t="str">
        <f>IF(A1881="","",'ATP Fills'!M1881)</f>
        <v/>
      </c>
      <c r="D1881" t="str">
        <f>IF(A1881="","",'ATP Fills'!B1881)</f>
        <v/>
      </c>
      <c r="E1881" s="3" t="str">
        <f>IF(A1881="","",IF(DATE(LEFT(D1881,4),MID(D1881,5,2),RIGHT(D1881,2))=Helper1!$P$1,Helper1!$P$1,""))</f>
        <v/>
      </c>
      <c r="F1881" s="3" t="str">
        <f>IF(A1881="","",'ATP Fills'!G1881)</f>
        <v/>
      </c>
      <c r="G1881" t="str">
        <f>IF(A1881="","",'ATP Fills'!H1881)</f>
        <v/>
      </c>
      <c r="H1881" t="str">
        <f>IF(A1881="","",VLOOKUP(G1881,表3_3[],2,0))</f>
        <v/>
      </c>
      <c r="I1881" t="str">
        <f>IF(A1881="","",VLOOKUP(G1881,表3_3[],3,0))</f>
        <v/>
      </c>
      <c r="J1881" t="str">
        <f>IF(A1881="","",IF('ATP Fills'!I1881="3M","",VLOOKUP(RIGHT('ATP Fills'!I1881,2),Helper1!$O$36:$P$48,2,0)))</f>
        <v/>
      </c>
      <c r="K1881" t="str">
        <f>IF(J1881="","",LEFT('ATP Fills'!I1881,4))</f>
        <v/>
      </c>
      <c r="L1881" t="str">
        <f>IF(A1881="","",IF('ATP Fills'!G1881="LME",'ATP Fills'!I1881,""))</f>
        <v/>
      </c>
      <c r="M1881" t="str">
        <f t="shared" si="29"/>
        <v/>
      </c>
    </row>
    <row r="1882" spans="1:13">
      <c r="A1882" t="str">
        <f>IF('ATP Fills'!A1882="","",IF('ATP Fills'!Q1882="PHILLIPSG",'ATP Fills'!F1882,""))</f>
        <v/>
      </c>
      <c r="B1882" t="str">
        <f>IF(A1882="","",'ATP Fills'!L1882)</f>
        <v/>
      </c>
      <c r="C1882" t="str">
        <f>IF(A1882="","",'ATP Fills'!M1882)</f>
        <v/>
      </c>
      <c r="D1882" t="str">
        <f>IF(A1882="","",'ATP Fills'!B1882)</f>
        <v/>
      </c>
      <c r="E1882" s="3" t="str">
        <f>IF(A1882="","",IF(DATE(LEFT(D1882,4),MID(D1882,5,2),RIGHT(D1882,2))=Helper1!$P$1,Helper1!$P$1,""))</f>
        <v/>
      </c>
      <c r="F1882" s="3" t="str">
        <f>IF(A1882="","",'ATP Fills'!G1882)</f>
        <v/>
      </c>
      <c r="G1882" t="str">
        <f>IF(A1882="","",'ATP Fills'!H1882)</f>
        <v/>
      </c>
      <c r="H1882" t="str">
        <f>IF(A1882="","",VLOOKUP(G1882,表3_3[],2,0))</f>
        <v/>
      </c>
      <c r="I1882" t="str">
        <f>IF(A1882="","",VLOOKUP(G1882,表3_3[],3,0))</f>
        <v/>
      </c>
      <c r="J1882" t="str">
        <f>IF(A1882="","",IF('ATP Fills'!I1882="3M","",VLOOKUP(RIGHT('ATP Fills'!I1882,2),Helper1!$O$36:$P$48,2,0)))</f>
        <v/>
      </c>
      <c r="K1882" t="str">
        <f>IF(J1882="","",LEFT('ATP Fills'!I1882,4))</f>
        <v/>
      </c>
      <c r="L1882" t="str">
        <f>IF(A1882="","",IF('ATP Fills'!G1882="LME",'ATP Fills'!I1882,""))</f>
        <v/>
      </c>
      <c r="M1882" t="str">
        <f t="shared" si="29"/>
        <v/>
      </c>
    </row>
    <row r="1883" spans="1:13">
      <c r="A1883" t="str">
        <f>IF('ATP Fills'!A1883="","",IF('ATP Fills'!Q1883="PHILLIPSG",'ATP Fills'!F1883,""))</f>
        <v/>
      </c>
      <c r="B1883" t="str">
        <f>IF(A1883="","",'ATP Fills'!L1883)</f>
        <v/>
      </c>
      <c r="C1883" t="str">
        <f>IF(A1883="","",'ATP Fills'!M1883)</f>
        <v/>
      </c>
      <c r="D1883" t="str">
        <f>IF(A1883="","",'ATP Fills'!B1883)</f>
        <v/>
      </c>
      <c r="E1883" s="3" t="str">
        <f>IF(A1883="","",IF(DATE(LEFT(D1883,4),MID(D1883,5,2),RIGHT(D1883,2))=Helper1!$P$1,Helper1!$P$1,""))</f>
        <v/>
      </c>
      <c r="F1883" s="3" t="str">
        <f>IF(A1883="","",'ATP Fills'!G1883)</f>
        <v/>
      </c>
      <c r="G1883" t="str">
        <f>IF(A1883="","",'ATP Fills'!H1883)</f>
        <v/>
      </c>
      <c r="H1883" t="str">
        <f>IF(A1883="","",VLOOKUP(G1883,表3_3[],2,0))</f>
        <v/>
      </c>
      <c r="I1883" t="str">
        <f>IF(A1883="","",VLOOKUP(G1883,表3_3[],3,0))</f>
        <v/>
      </c>
      <c r="J1883" t="str">
        <f>IF(A1883="","",IF('ATP Fills'!I1883="3M","",VLOOKUP(RIGHT('ATP Fills'!I1883,2),Helper1!$O$36:$P$48,2,0)))</f>
        <v/>
      </c>
      <c r="K1883" t="str">
        <f>IF(J1883="","",LEFT('ATP Fills'!I1883,4))</f>
        <v/>
      </c>
      <c r="L1883" t="str">
        <f>IF(A1883="","",IF('ATP Fills'!G1883="LME",'ATP Fills'!I1883,""))</f>
        <v/>
      </c>
      <c r="M1883" t="str">
        <f t="shared" si="29"/>
        <v/>
      </c>
    </row>
    <row r="1884" spans="1:13">
      <c r="A1884" t="str">
        <f>IF('ATP Fills'!A1884="","",IF('ATP Fills'!Q1884="PHILLIPSG",'ATP Fills'!F1884,""))</f>
        <v/>
      </c>
      <c r="B1884" t="str">
        <f>IF(A1884="","",'ATP Fills'!L1884)</f>
        <v/>
      </c>
      <c r="C1884" t="str">
        <f>IF(A1884="","",'ATP Fills'!M1884)</f>
        <v/>
      </c>
      <c r="D1884" t="str">
        <f>IF(A1884="","",'ATP Fills'!B1884)</f>
        <v/>
      </c>
      <c r="E1884" s="3" t="str">
        <f>IF(A1884="","",IF(DATE(LEFT(D1884,4),MID(D1884,5,2),RIGHT(D1884,2))=Helper1!$P$1,Helper1!$P$1,""))</f>
        <v/>
      </c>
      <c r="F1884" s="3" t="str">
        <f>IF(A1884="","",'ATP Fills'!G1884)</f>
        <v/>
      </c>
      <c r="G1884" t="str">
        <f>IF(A1884="","",'ATP Fills'!H1884)</f>
        <v/>
      </c>
      <c r="H1884" t="str">
        <f>IF(A1884="","",VLOOKUP(G1884,表3_3[],2,0))</f>
        <v/>
      </c>
      <c r="I1884" t="str">
        <f>IF(A1884="","",VLOOKUP(G1884,表3_3[],3,0))</f>
        <v/>
      </c>
      <c r="J1884" t="str">
        <f>IF(A1884="","",IF('ATP Fills'!I1884="3M","",VLOOKUP(RIGHT('ATP Fills'!I1884,2),Helper1!$O$36:$P$48,2,0)))</f>
        <v/>
      </c>
      <c r="K1884" t="str">
        <f>IF(J1884="","",LEFT('ATP Fills'!I1884,4))</f>
        <v/>
      </c>
      <c r="L1884" t="str">
        <f>IF(A1884="","",IF('ATP Fills'!G1884="LME",'ATP Fills'!I1884,""))</f>
        <v/>
      </c>
      <c r="M1884" t="str">
        <f t="shared" si="29"/>
        <v/>
      </c>
    </row>
    <row r="1885" spans="1:13">
      <c r="A1885" t="str">
        <f>IF('ATP Fills'!A1885="","",IF('ATP Fills'!Q1885="PHILLIPSG",'ATP Fills'!F1885,""))</f>
        <v/>
      </c>
      <c r="B1885" t="str">
        <f>IF(A1885="","",'ATP Fills'!L1885)</f>
        <v/>
      </c>
      <c r="C1885" t="str">
        <f>IF(A1885="","",'ATP Fills'!M1885)</f>
        <v/>
      </c>
      <c r="D1885" t="str">
        <f>IF(A1885="","",'ATP Fills'!B1885)</f>
        <v/>
      </c>
      <c r="E1885" s="3" t="str">
        <f>IF(A1885="","",IF(DATE(LEFT(D1885,4),MID(D1885,5,2),RIGHT(D1885,2))=Helper1!$P$1,Helper1!$P$1,""))</f>
        <v/>
      </c>
      <c r="F1885" s="3" t="str">
        <f>IF(A1885="","",'ATP Fills'!G1885)</f>
        <v/>
      </c>
      <c r="G1885" t="str">
        <f>IF(A1885="","",'ATP Fills'!H1885)</f>
        <v/>
      </c>
      <c r="H1885" t="str">
        <f>IF(A1885="","",VLOOKUP(G1885,表3_3[],2,0))</f>
        <v/>
      </c>
      <c r="I1885" t="str">
        <f>IF(A1885="","",VLOOKUP(G1885,表3_3[],3,0))</f>
        <v/>
      </c>
      <c r="J1885" t="str">
        <f>IF(A1885="","",IF('ATP Fills'!I1885="3M","",VLOOKUP(RIGHT('ATP Fills'!I1885,2),Helper1!$O$36:$P$48,2,0)))</f>
        <v/>
      </c>
      <c r="K1885" t="str">
        <f>IF(J1885="","",LEFT('ATP Fills'!I1885,4))</f>
        <v/>
      </c>
      <c r="L1885" t="str">
        <f>IF(A1885="","",IF('ATP Fills'!G1885="LME",'ATP Fills'!I1885,""))</f>
        <v/>
      </c>
      <c r="M1885" t="str">
        <f t="shared" si="29"/>
        <v/>
      </c>
    </row>
    <row r="1886" spans="1:13">
      <c r="A1886" t="str">
        <f>IF('ATP Fills'!A1886="","",IF('ATP Fills'!Q1886="PHILLIPSG",'ATP Fills'!F1886,""))</f>
        <v/>
      </c>
      <c r="B1886" t="str">
        <f>IF(A1886="","",'ATP Fills'!L1886)</f>
        <v/>
      </c>
      <c r="C1886" t="str">
        <f>IF(A1886="","",'ATP Fills'!M1886)</f>
        <v/>
      </c>
      <c r="D1886" t="str">
        <f>IF(A1886="","",'ATP Fills'!B1886)</f>
        <v/>
      </c>
      <c r="E1886" s="3" t="str">
        <f>IF(A1886="","",IF(DATE(LEFT(D1886,4),MID(D1886,5,2),RIGHT(D1886,2))=Helper1!$P$1,Helper1!$P$1,""))</f>
        <v/>
      </c>
      <c r="F1886" s="3" t="str">
        <f>IF(A1886="","",'ATP Fills'!G1886)</f>
        <v/>
      </c>
      <c r="G1886" t="str">
        <f>IF(A1886="","",'ATP Fills'!H1886)</f>
        <v/>
      </c>
      <c r="H1886" t="str">
        <f>IF(A1886="","",VLOOKUP(G1886,表3_3[],2,0))</f>
        <v/>
      </c>
      <c r="I1886" t="str">
        <f>IF(A1886="","",VLOOKUP(G1886,表3_3[],3,0))</f>
        <v/>
      </c>
      <c r="J1886" t="str">
        <f>IF(A1886="","",IF('ATP Fills'!I1886="3M","",VLOOKUP(RIGHT('ATP Fills'!I1886,2),Helper1!$O$36:$P$48,2,0)))</f>
        <v/>
      </c>
      <c r="K1886" t="str">
        <f>IF(J1886="","",LEFT('ATP Fills'!I1886,4))</f>
        <v/>
      </c>
      <c r="L1886" t="str">
        <f>IF(A1886="","",IF('ATP Fills'!G1886="LME",'ATP Fills'!I1886,""))</f>
        <v/>
      </c>
      <c r="M1886" t="str">
        <f t="shared" si="29"/>
        <v/>
      </c>
    </row>
    <row r="1887" spans="1:13">
      <c r="A1887" t="str">
        <f>IF('ATP Fills'!A1887="","",IF('ATP Fills'!Q1887="PHILLIPSG",'ATP Fills'!F1887,""))</f>
        <v/>
      </c>
      <c r="B1887" t="str">
        <f>IF(A1887="","",'ATP Fills'!L1887)</f>
        <v/>
      </c>
      <c r="C1887" t="str">
        <f>IF(A1887="","",'ATP Fills'!M1887)</f>
        <v/>
      </c>
      <c r="D1887" t="str">
        <f>IF(A1887="","",'ATP Fills'!B1887)</f>
        <v/>
      </c>
      <c r="E1887" s="3" t="str">
        <f>IF(A1887="","",IF(DATE(LEFT(D1887,4),MID(D1887,5,2),RIGHT(D1887,2))=Helper1!$P$1,Helper1!$P$1,""))</f>
        <v/>
      </c>
      <c r="F1887" s="3" t="str">
        <f>IF(A1887="","",'ATP Fills'!G1887)</f>
        <v/>
      </c>
      <c r="G1887" t="str">
        <f>IF(A1887="","",'ATP Fills'!H1887)</f>
        <v/>
      </c>
      <c r="H1887" t="str">
        <f>IF(A1887="","",VLOOKUP(G1887,表3_3[],2,0))</f>
        <v/>
      </c>
      <c r="I1887" t="str">
        <f>IF(A1887="","",VLOOKUP(G1887,表3_3[],3,0))</f>
        <v/>
      </c>
      <c r="J1887" t="str">
        <f>IF(A1887="","",IF('ATP Fills'!I1887="3M","",VLOOKUP(RIGHT('ATP Fills'!I1887,2),Helper1!$O$36:$P$48,2,0)))</f>
        <v/>
      </c>
      <c r="K1887" t="str">
        <f>IF(J1887="","",LEFT('ATP Fills'!I1887,4))</f>
        <v/>
      </c>
      <c r="L1887" t="str">
        <f>IF(A1887="","",IF('ATP Fills'!G1887="LME",'ATP Fills'!I1887,""))</f>
        <v/>
      </c>
      <c r="M1887" t="str">
        <f t="shared" si="29"/>
        <v/>
      </c>
    </row>
    <row r="1888" spans="1:13">
      <c r="A1888" t="str">
        <f>IF('ATP Fills'!A1888="","",IF('ATP Fills'!Q1888="PHILLIPSG",'ATP Fills'!F1888,""))</f>
        <v/>
      </c>
      <c r="B1888" t="str">
        <f>IF(A1888="","",'ATP Fills'!L1888)</f>
        <v/>
      </c>
      <c r="C1888" t="str">
        <f>IF(A1888="","",'ATP Fills'!M1888)</f>
        <v/>
      </c>
      <c r="D1888" t="str">
        <f>IF(A1888="","",'ATP Fills'!B1888)</f>
        <v/>
      </c>
      <c r="E1888" s="3" t="str">
        <f>IF(A1888="","",IF(DATE(LEFT(D1888,4),MID(D1888,5,2),RIGHT(D1888,2))=Helper1!$P$1,Helper1!$P$1,""))</f>
        <v/>
      </c>
      <c r="F1888" s="3" t="str">
        <f>IF(A1888="","",'ATP Fills'!G1888)</f>
        <v/>
      </c>
      <c r="G1888" t="str">
        <f>IF(A1888="","",'ATP Fills'!H1888)</f>
        <v/>
      </c>
      <c r="H1888" t="str">
        <f>IF(A1888="","",VLOOKUP(G1888,表3_3[],2,0))</f>
        <v/>
      </c>
      <c r="I1888" t="str">
        <f>IF(A1888="","",VLOOKUP(G1888,表3_3[],3,0))</f>
        <v/>
      </c>
      <c r="J1888" t="str">
        <f>IF(A1888="","",IF('ATP Fills'!I1888="3M","",VLOOKUP(RIGHT('ATP Fills'!I1888,2),Helper1!$O$36:$P$48,2,0)))</f>
        <v/>
      </c>
      <c r="K1888" t="str">
        <f>IF(J1888="","",LEFT('ATP Fills'!I1888,4))</f>
        <v/>
      </c>
      <c r="L1888" t="str">
        <f>IF(A1888="","",IF('ATP Fills'!G1888="LME",'ATP Fills'!I1888,""))</f>
        <v/>
      </c>
      <c r="M1888" t="str">
        <f t="shared" si="29"/>
        <v/>
      </c>
    </row>
    <row r="1889" spans="1:13">
      <c r="A1889" t="str">
        <f>IF('ATP Fills'!A1889="","",IF('ATP Fills'!Q1889="PHILLIPSG",'ATP Fills'!F1889,""))</f>
        <v/>
      </c>
      <c r="B1889" t="str">
        <f>IF(A1889="","",'ATP Fills'!L1889)</f>
        <v/>
      </c>
      <c r="C1889" t="str">
        <f>IF(A1889="","",'ATP Fills'!M1889)</f>
        <v/>
      </c>
      <c r="D1889" t="str">
        <f>IF(A1889="","",'ATP Fills'!B1889)</f>
        <v/>
      </c>
      <c r="E1889" s="3" t="str">
        <f>IF(A1889="","",IF(DATE(LEFT(D1889,4),MID(D1889,5,2),RIGHT(D1889,2))=Helper1!$P$1,Helper1!$P$1,""))</f>
        <v/>
      </c>
      <c r="F1889" s="3" t="str">
        <f>IF(A1889="","",'ATP Fills'!G1889)</f>
        <v/>
      </c>
      <c r="G1889" t="str">
        <f>IF(A1889="","",'ATP Fills'!H1889)</f>
        <v/>
      </c>
      <c r="H1889" t="str">
        <f>IF(A1889="","",VLOOKUP(G1889,表3_3[],2,0))</f>
        <v/>
      </c>
      <c r="I1889" t="str">
        <f>IF(A1889="","",VLOOKUP(G1889,表3_3[],3,0))</f>
        <v/>
      </c>
      <c r="J1889" t="str">
        <f>IF(A1889="","",IF('ATP Fills'!I1889="3M","",VLOOKUP(RIGHT('ATP Fills'!I1889,2),Helper1!$O$36:$P$48,2,0)))</f>
        <v/>
      </c>
      <c r="K1889" t="str">
        <f>IF(J1889="","",LEFT('ATP Fills'!I1889,4))</f>
        <v/>
      </c>
      <c r="L1889" t="str">
        <f>IF(A1889="","",IF('ATP Fills'!G1889="LME",'ATP Fills'!I1889,""))</f>
        <v/>
      </c>
      <c r="M1889" t="str">
        <f t="shared" si="29"/>
        <v/>
      </c>
    </row>
    <row r="1890" spans="1:13">
      <c r="A1890" t="str">
        <f>IF('ATP Fills'!A1890="","",IF('ATP Fills'!Q1890="PHILLIPSG",'ATP Fills'!F1890,""))</f>
        <v/>
      </c>
      <c r="B1890" t="str">
        <f>IF(A1890="","",'ATP Fills'!L1890)</f>
        <v/>
      </c>
      <c r="C1890" t="str">
        <f>IF(A1890="","",'ATP Fills'!M1890)</f>
        <v/>
      </c>
      <c r="D1890" t="str">
        <f>IF(A1890="","",'ATP Fills'!B1890)</f>
        <v/>
      </c>
      <c r="E1890" s="3" t="str">
        <f>IF(A1890="","",IF(DATE(LEFT(D1890,4),MID(D1890,5,2),RIGHT(D1890,2))=Helper1!$P$1,Helper1!$P$1,""))</f>
        <v/>
      </c>
      <c r="F1890" s="3" t="str">
        <f>IF(A1890="","",'ATP Fills'!G1890)</f>
        <v/>
      </c>
      <c r="G1890" t="str">
        <f>IF(A1890="","",'ATP Fills'!H1890)</f>
        <v/>
      </c>
      <c r="H1890" t="str">
        <f>IF(A1890="","",VLOOKUP(G1890,表3_3[],2,0))</f>
        <v/>
      </c>
      <c r="I1890" t="str">
        <f>IF(A1890="","",VLOOKUP(G1890,表3_3[],3,0))</f>
        <v/>
      </c>
      <c r="J1890" t="str">
        <f>IF(A1890="","",IF('ATP Fills'!I1890="3M","",VLOOKUP(RIGHT('ATP Fills'!I1890,2),Helper1!$O$36:$P$48,2,0)))</f>
        <v/>
      </c>
      <c r="K1890" t="str">
        <f>IF(J1890="","",LEFT('ATP Fills'!I1890,4))</f>
        <v/>
      </c>
      <c r="L1890" t="str">
        <f>IF(A1890="","",IF('ATP Fills'!G1890="LME",'ATP Fills'!I1890,""))</f>
        <v/>
      </c>
      <c r="M1890" t="str">
        <f t="shared" si="29"/>
        <v/>
      </c>
    </row>
    <row r="1891" spans="1:13">
      <c r="A1891" t="str">
        <f>IF('ATP Fills'!A1891="","",IF('ATP Fills'!Q1891="PHILLIPSG",'ATP Fills'!F1891,""))</f>
        <v/>
      </c>
      <c r="B1891" t="str">
        <f>IF(A1891="","",'ATP Fills'!L1891)</f>
        <v/>
      </c>
      <c r="C1891" t="str">
        <f>IF(A1891="","",'ATP Fills'!M1891)</f>
        <v/>
      </c>
      <c r="D1891" t="str">
        <f>IF(A1891="","",'ATP Fills'!B1891)</f>
        <v/>
      </c>
      <c r="E1891" s="3" t="str">
        <f>IF(A1891="","",IF(DATE(LEFT(D1891,4),MID(D1891,5,2),RIGHT(D1891,2))=Helper1!$P$1,Helper1!$P$1,""))</f>
        <v/>
      </c>
      <c r="F1891" s="3" t="str">
        <f>IF(A1891="","",'ATP Fills'!G1891)</f>
        <v/>
      </c>
      <c r="G1891" t="str">
        <f>IF(A1891="","",'ATP Fills'!H1891)</f>
        <v/>
      </c>
      <c r="H1891" t="str">
        <f>IF(A1891="","",VLOOKUP(G1891,表3_3[],2,0))</f>
        <v/>
      </c>
      <c r="I1891" t="str">
        <f>IF(A1891="","",VLOOKUP(G1891,表3_3[],3,0))</f>
        <v/>
      </c>
      <c r="J1891" t="str">
        <f>IF(A1891="","",IF('ATP Fills'!I1891="3M","",VLOOKUP(RIGHT('ATP Fills'!I1891,2),Helper1!$O$36:$P$48,2,0)))</f>
        <v/>
      </c>
      <c r="K1891" t="str">
        <f>IF(J1891="","",LEFT('ATP Fills'!I1891,4))</f>
        <v/>
      </c>
      <c r="L1891" t="str">
        <f>IF(A1891="","",IF('ATP Fills'!G1891="LME",'ATP Fills'!I1891,""))</f>
        <v/>
      </c>
      <c r="M1891" t="str">
        <f t="shared" si="29"/>
        <v/>
      </c>
    </row>
    <row r="1892" spans="1:13">
      <c r="A1892" t="str">
        <f>IF('ATP Fills'!A1892="","",IF('ATP Fills'!Q1892="PHILLIPSG",'ATP Fills'!F1892,""))</f>
        <v/>
      </c>
      <c r="B1892" t="str">
        <f>IF(A1892="","",'ATP Fills'!L1892)</f>
        <v/>
      </c>
      <c r="C1892" t="str">
        <f>IF(A1892="","",'ATP Fills'!M1892)</f>
        <v/>
      </c>
      <c r="D1892" t="str">
        <f>IF(A1892="","",'ATP Fills'!B1892)</f>
        <v/>
      </c>
      <c r="E1892" s="3" t="str">
        <f>IF(A1892="","",IF(DATE(LEFT(D1892,4),MID(D1892,5,2),RIGHT(D1892,2))=Helper1!$P$1,Helper1!$P$1,""))</f>
        <v/>
      </c>
      <c r="F1892" s="3" t="str">
        <f>IF(A1892="","",'ATP Fills'!G1892)</f>
        <v/>
      </c>
      <c r="G1892" t="str">
        <f>IF(A1892="","",'ATP Fills'!H1892)</f>
        <v/>
      </c>
      <c r="H1892" t="str">
        <f>IF(A1892="","",VLOOKUP(G1892,表3_3[],2,0))</f>
        <v/>
      </c>
      <c r="I1892" t="str">
        <f>IF(A1892="","",VLOOKUP(G1892,表3_3[],3,0))</f>
        <v/>
      </c>
      <c r="J1892" t="str">
        <f>IF(A1892="","",IF('ATP Fills'!I1892="3M","",VLOOKUP(RIGHT('ATP Fills'!I1892,2),Helper1!$O$36:$P$48,2,0)))</f>
        <v/>
      </c>
      <c r="K1892" t="str">
        <f>IF(J1892="","",LEFT('ATP Fills'!I1892,4))</f>
        <v/>
      </c>
      <c r="L1892" t="str">
        <f>IF(A1892="","",IF('ATP Fills'!G1892="LME",'ATP Fills'!I1892,""))</f>
        <v/>
      </c>
      <c r="M1892" t="str">
        <f t="shared" si="29"/>
        <v/>
      </c>
    </row>
    <row r="1893" spans="1:13">
      <c r="A1893" t="str">
        <f>IF('ATP Fills'!A1893="","",IF('ATP Fills'!Q1893="PHILLIPSG",'ATP Fills'!F1893,""))</f>
        <v/>
      </c>
      <c r="B1893" t="str">
        <f>IF(A1893="","",'ATP Fills'!L1893)</f>
        <v/>
      </c>
      <c r="C1893" t="str">
        <f>IF(A1893="","",'ATP Fills'!M1893)</f>
        <v/>
      </c>
      <c r="D1893" t="str">
        <f>IF(A1893="","",'ATP Fills'!B1893)</f>
        <v/>
      </c>
      <c r="E1893" s="3" t="str">
        <f>IF(A1893="","",IF(DATE(LEFT(D1893,4),MID(D1893,5,2),RIGHT(D1893,2))=Helper1!$P$1,Helper1!$P$1,""))</f>
        <v/>
      </c>
      <c r="F1893" s="3" t="str">
        <f>IF(A1893="","",'ATP Fills'!G1893)</f>
        <v/>
      </c>
      <c r="G1893" t="str">
        <f>IF(A1893="","",'ATP Fills'!H1893)</f>
        <v/>
      </c>
      <c r="H1893" t="str">
        <f>IF(A1893="","",VLOOKUP(G1893,表3_3[],2,0))</f>
        <v/>
      </c>
      <c r="I1893" t="str">
        <f>IF(A1893="","",VLOOKUP(G1893,表3_3[],3,0))</f>
        <v/>
      </c>
      <c r="J1893" t="str">
        <f>IF(A1893="","",IF('ATP Fills'!I1893="3M","",VLOOKUP(RIGHT('ATP Fills'!I1893,2),Helper1!$O$36:$P$48,2,0)))</f>
        <v/>
      </c>
      <c r="K1893" t="str">
        <f>IF(J1893="","",LEFT('ATP Fills'!I1893,4))</f>
        <v/>
      </c>
      <c r="L1893" t="str">
        <f>IF(A1893="","",IF('ATP Fills'!G1893="LME",'ATP Fills'!I1893,""))</f>
        <v/>
      </c>
      <c r="M1893" t="str">
        <f t="shared" si="29"/>
        <v/>
      </c>
    </row>
    <row r="1894" spans="1:13">
      <c r="A1894" t="str">
        <f>IF('ATP Fills'!A1894="","",IF('ATP Fills'!Q1894="PHILLIPSG",'ATP Fills'!F1894,""))</f>
        <v/>
      </c>
      <c r="B1894" t="str">
        <f>IF(A1894="","",'ATP Fills'!L1894)</f>
        <v/>
      </c>
      <c r="C1894" t="str">
        <f>IF(A1894="","",'ATP Fills'!M1894)</f>
        <v/>
      </c>
      <c r="D1894" t="str">
        <f>IF(A1894="","",'ATP Fills'!B1894)</f>
        <v/>
      </c>
      <c r="E1894" s="3" t="str">
        <f>IF(A1894="","",IF(DATE(LEFT(D1894,4),MID(D1894,5,2),RIGHT(D1894,2))=Helper1!$P$1,Helper1!$P$1,""))</f>
        <v/>
      </c>
      <c r="F1894" s="3" t="str">
        <f>IF(A1894="","",'ATP Fills'!G1894)</f>
        <v/>
      </c>
      <c r="G1894" t="str">
        <f>IF(A1894="","",'ATP Fills'!H1894)</f>
        <v/>
      </c>
      <c r="H1894" t="str">
        <f>IF(A1894="","",VLOOKUP(G1894,表3_3[],2,0))</f>
        <v/>
      </c>
      <c r="I1894" t="str">
        <f>IF(A1894="","",VLOOKUP(G1894,表3_3[],3,0))</f>
        <v/>
      </c>
      <c r="J1894" t="str">
        <f>IF(A1894="","",IF('ATP Fills'!I1894="3M","",VLOOKUP(RIGHT('ATP Fills'!I1894,2),Helper1!$O$36:$P$48,2,0)))</f>
        <v/>
      </c>
      <c r="K1894" t="str">
        <f>IF(J1894="","",LEFT('ATP Fills'!I1894,4))</f>
        <v/>
      </c>
      <c r="L1894" t="str">
        <f>IF(A1894="","",IF('ATP Fills'!G1894="LME",'ATP Fills'!I1894,""))</f>
        <v/>
      </c>
      <c r="M1894" t="str">
        <f t="shared" si="29"/>
        <v/>
      </c>
    </row>
    <row r="1895" spans="1:13">
      <c r="A1895" t="str">
        <f>IF('ATP Fills'!A1895="","",IF('ATP Fills'!Q1895="PHILLIPSG",'ATP Fills'!F1895,""))</f>
        <v/>
      </c>
      <c r="B1895" t="str">
        <f>IF(A1895="","",'ATP Fills'!L1895)</f>
        <v/>
      </c>
      <c r="C1895" t="str">
        <f>IF(A1895="","",'ATP Fills'!M1895)</f>
        <v/>
      </c>
      <c r="D1895" t="str">
        <f>IF(A1895="","",'ATP Fills'!B1895)</f>
        <v/>
      </c>
      <c r="E1895" s="3" t="str">
        <f>IF(A1895="","",IF(DATE(LEFT(D1895,4),MID(D1895,5,2),RIGHT(D1895,2))=Helper1!$P$1,Helper1!$P$1,""))</f>
        <v/>
      </c>
      <c r="F1895" s="3" t="str">
        <f>IF(A1895="","",'ATP Fills'!G1895)</f>
        <v/>
      </c>
      <c r="G1895" t="str">
        <f>IF(A1895="","",'ATP Fills'!H1895)</f>
        <v/>
      </c>
      <c r="H1895" t="str">
        <f>IF(A1895="","",VLOOKUP(G1895,表3_3[],2,0))</f>
        <v/>
      </c>
      <c r="I1895" t="str">
        <f>IF(A1895="","",VLOOKUP(G1895,表3_3[],3,0))</f>
        <v/>
      </c>
      <c r="J1895" t="str">
        <f>IF(A1895="","",IF('ATP Fills'!I1895="3M","",VLOOKUP(RIGHT('ATP Fills'!I1895,2),Helper1!$O$36:$P$48,2,0)))</f>
        <v/>
      </c>
      <c r="K1895" t="str">
        <f>IF(J1895="","",LEFT('ATP Fills'!I1895,4))</f>
        <v/>
      </c>
      <c r="L1895" t="str">
        <f>IF(A1895="","",IF('ATP Fills'!G1895="LME",'ATP Fills'!I1895,""))</f>
        <v/>
      </c>
      <c r="M1895" t="str">
        <f t="shared" si="29"/>
        <v/>
      </c>
    </row>
    <row r="1896" spans="1:13">
      <c r="A1896" t="str">
        <f>IF('ATP Fills'!A1896="","",IF('ATP Fills'!Q1896="PHILLIPSG",'ATP Fills'!F1896,""))</f>
        <v/>
      </c>
      <c r="B1896" t="str">
        <f>IF(A1896="","",'ATP Fills'!L1896)</f>
        <v/>
      </c>
      <c r="C1896" t="str">
        <f>IF(A1896="","",'ATP Fills'!M1896)</f>
        <v/>
      </c>
      <c r="D1896" t="str">
        <f>IF(A1896="","",'ATP Fills'!B1896)</f>
        <v/>
      </c>
      <c r="E1896" s="3" t="str">
        <f>IF(A1896="","",IF(DATE(LEFT(D1896,4),MID(D1896,5,2),RIGHT(D1896,2))=Helper1!$P$1,Helper1!$P$1,""))</f>
        <v/>
      </c>
      <c r="F1896" s="3" t="str">
        <f>IF(A1896="","",'ATP Fills'!G1896)</f>
        <v/>
      </c>
      <c r="G1896" t="str">
        <f>IF(A1896="","",'ATP Fills'!H1896)</f>
        <v/>
      </c>
      <c r="H1896" t="str">
        <f>IF(A1896="","",VLOOKUP(G1896,表3_3[],2,0))</f>
        <v/>
      </c>
      <c r="I1896" t="str">
        <f>IF(A1896="","",VLOOKUP(G1896,表3_3[],3,0))</f>
        <v/>
      </c>
      <c r="J1896" t="str">
        <f>IF(A1896="","",IF('ATP Fills'!I1896="3M","",VLOOKUP(RIGHT('ATP Fills'!I1896,2),Helper1!$O$36:$P$48,2,0)))</f>
        <v/>
      </c>
      <c r="K1896" t="str">
        <f>IF(J1896="","",LEFT('ATP Fills'!I1896,4))</f>
        <v/>
      </c>
      <c r="L1896" t="str">
        <f>IF(A1896="","",IF('ATP Fills'!G1896="LME",'ATP Fills'!I1896,""))</f>
        <v/>
      </c>
      <c r="M1896" t="str">
        <f t="shared" si="29"/>
        <v/>
      </c>
    </row>
    <row r="1897" spans="1:13">
      <c r="A1897" t="str">
        <f>IF('ATP Fills'!A1897="","",IF('ATP Fills'!Q1897="PHILLIPSG",'ATP Fills'!F1897,""))</f>
        <v/>
      </c>
      <c r="B1897" t="str">
        <f>IF(A1897="","",'ATP Fills'!L1897)</f>
        <v/>
      </c>
      <c r="C1897" t="str">
        <f>IF(A1897="","",'ATP Fills'!M1897)</f>
        <v/>
      </c>
      <c r="D1897" t="str">
        <f>IF(A1897="","",'ATP Fills'!B1897)</f>
        <v/>
      </c>
      <c r="E1897" s="3" t="str">
        <f>IF(A1897="","",IF(DATE(LEFT(D1897,4),MID(D1897,5,2),RIGHT(D1897,2))=Helper1!$P$1,Helper1!$P$1,""))</f>
        <v/>
      </c>
      <c r="F1897" s="3" t="str">
        <f>IF(A1897="","",'ATP Fills'!G1897)</f>
        <v/>
      </c>
      <c r="G1897" t="str">
        <f>IF(A1897="","",'ATP Fills'!H1897)</f>
        <v/>
      </c>
      <c r="H1897" t="str">
        <f>IF(A1897="","",VLOOKUP(G1897,表3_3[],2,0))</f>
        <v/>
      </c>
      <c r="I1897" t="str">
        <f>IF(A1897="","",VLOOKUP(G1897,表3_3[],3,0))</f>
        <v/>
      </c>
      <c r="J1897" t="str">
        <f>IF(A1897="","",IF('ATP Fills'!I1897="3M","",VLOOKUP(RIGHT('ATP Fills'!I1897,2),Helper1!$O$36:$P$48,2,0)))</f>
        <v/>
      </c>
      <c r="K1897" t="str">
        <f>IF(J1897="","",LEFT('ATP Fills'!I1897,4))</f>
        <v/>
      </c>
      <c r="L1897" t="str">
        <f>IF(A1897="","",IF('ATP Fills'!G1897="LME",'ATP Fills'!I1897,""))</f>
        <v/>
      </c>
      <c r="M1897" t="str">
        <f t="shared" si="29"/>
        <v/>
      </c>
    </row>
    <row r="1898" spans="1:13">
      <c r="A1898" t="str">
        <f>IF('ATP Fills'!A1898="","",IF('ATP Fills'!Q1898="PHILLIPSG",'ATP Fills'!F1898,""))</f>
        <v/>
      </c>
      <c r="B1898" t="str">
        <f>IF(A1898="","",'ATP Fills'!L1898)</f>
        <v/>
      </c>
      <c r="C1898" t="str">
        <f>IF(A1898="","",'ATP Fills'!M1898)</f>
        <v/>
      </c>
      <c r="D1898" t="str">
        <f>IF(A1898="","",'ATP Fills'!B1898)</f>
        <v/>
      </c>
      <c r="E1898" s="3" t="str">
        <f>IF(A1898="","",IF(DATE(LEFT(D1898,4),MID(D1898,5,2),RIGHT(D1898,2))=Helper1!$P$1,Helper1!$P$1,""))</f>
        <v/>
      </c>
      <c r="F1898" s="3" t="str">
        <f>IF(A1898="","",'ATP Fills'!G1898)</f>
        <v/>
      </c>
      <c r="G1898" t="str">
        <f>IF(A1898="","",'ATP Fills'!H1898)</f>
        <v/>
      </c>
      <c r="H1898" t="str">
        <f>IF(A1898="","",VLOOKUP(G1898,表3_3[],2,0))</f>
        <v/>
      </c>
      <c r="I1898" t="str">
        <f>IF(A1898="","",VLOOKUP(G1898,表3_3[],3,0))</f>
        <v/>
      </c>
      <c r="J1898" t="str">
        <f>IF(A1898="","",IF('ATP Fills'!I1898="3M","",VLOOKUP(RIGHT('ATP Fills'!I1898,2),Helper1!$O$36:$P$48,2,0)))</f>
        <v/>
      </c>
      <c r="K1898" t="str">
        <f>IF(J1898="","",LEFT('ATP Fills'!I1898,4))</f>
        <v/>
      </c>
      <c r="L1898" t="str">
        <f>IF(A1898="","",IF('ATP Fills'!G1898="LME",'ATP Fills'!I1898,""))</f>
        <v/>
      </c>
      <c r="M1898" t="str">
        <f t="shared" si="29"/>
        <v/>
      </c>
    </row>
    <row r="1899" spans="1:13">
      <c r="A1899" t="str">
        <f>IF('ATP Fills'!A1899="","",IF('ATP Fills'!Q1899="PHILLIPSG",'ATP Fills'!F1899,""))</f>
        <v/>
      </c>
      <c r="B1899" t="str">
        <f>IF(A1899="","",'ATP Fills'!L1899)</f>
        <v/>
      </c>
      <c r="C1899" t="str">
        <f>IF(A1899="","",'ATP Fills'!M1899)</f>
        <v/>
      </c>
      <c r="D1899" t="str">
        <f>IF(A1899="","",'ATP Fills'!B1899)</f>
        <v/>
      </c>
      <c r="E1899" s="3" t="str">
        <f>IF(A1899="","",IF(DATE(LEFT(D1899,4),MID(D1899,5,2),RIGHT(D1899,2))=Helper1!$P$1,Helper1!$P$1,""))</f>
        <v/>
      </c>
      <c r="F1899" s="3" t="str">
        <f>IF(A1899="","",'ATP Fills'!G1899)</f>
        <v/>
      </c>
      <c r="G1899" t="str">
        <f>IF(A1899="","",'ATP Fills'!H1899)</f>
        <v/>
      </c>
      <c r="H1899" t="str">
        <f>IF(A1899="","",VLOOKUP(G1899,表3_3[],2,0))</f>
        <v/>
      </c>
      <c r="I1899" t="str">
        <f>IF(A1899="","",VLOOKUP(G1899,表3_3[],3,0))</f>
        <v/>
      </c>
      <c r="J1899" t="str">
        <f>IF(A1899="","",IF('ATP Fills'!I1899="3M","",VLOOKUP(RIGHT('ATP Fills'!I1899,2),Helper1!$O$36:$P$48,2,0)))</f>
        <v/>
      </c>
      <c r="K1899" t="str">
        <f>IF(J1899="","",LEFT('ATP Fills'!I1899,4))</f>
        <v/>
      </c>
      <c r="L1899" t="str">
        <f>IF(A1899="","",IF('ATP Fills'!G1899="LME",'ATP Fills'!I1899,""))</f>
        <v/>
      </c>
      <c r="M1899" t="str">
        <f t="shared" si="29"/>
        <v/>
      </c>
    </row>
    <row r="1900" spans="1:13">
      <c r="A1900" t="str">
        <f>IF('ATP Fills'!A1900="","",IF('ATP Fills'!Q1900="PHILLIPSG",'ATP Fills'!F1900,""))</f>
        <v/>
      </c>
      <c r="B1900" t="str">
        <f>IF(A1900="","",'ATP Fills'!L1900)</f>
        <v/>
      </c>
      <c r="C1900" t="str">
        <f>IF(A1900="","",'ATP Fills'!M1900)</f>
        <v/>
      </c>
      <c r="D1900" t="str">
        <f>IF(A1900="","",'ATP Fills'!B1900)</f>
        <v/>
      </c>
      <c r="E1900" s="3" t="str">
        <f>IF(A1900="","",IF(DATE(LEFT(D1900,4),MID(D1900,5,2),RIGHT(D1900,2))=Helper1!$P$1,Helper1!$P$1,""))</f>
        <v/>
      </c>
      <c r="F1900" s="3" t="str">
        <f>IF(A1900="","",'ATP Fills'!G1900)</f>
        <v/>
      </c>
      <c r="G1900" t="str">
        <f>IF(A1900="","",'ATP Fills'!H1900)</f>
        <v/>
      </c>
      <c r="H1900" t="str">
        <f>IF(A1900="","",VLOOKUP(G1900,表3_3[],2,0))</f>
        <v/>
      </c>
      <c r="I1900" t="str">
        <f>IF(A1900="","",VLOOKUP(G1900,表3_3[],3,0))</f>
        <v/>
      </c>
      <c r="J1900" t="str">
        <f>IF(A1900="","",IF('ATP Fills'!I1900="3M","",VLOOKUP(RIGHT('ATP Fills'!I1900,2),Helper1!$O$36:$P$48,2,0)))</f>
        <v/>
      </c>
      <c r="K1900" t="str">
        <f>IF(J1900="","",LEFT('ATP Fills'!I1900,4))</f>
        <v/>
      </c>
      <c r="L1900" t="str">
        <f>IF(A1900="","",IF('ATP Fills'!G1900="LME",'ATP Fills'!I1900,""))</f>
        <v/>
      </c>
      <c r="M1900" t="str">
        <f t="shared" si="29"/>
        <v/>
      </c>
    </row>
    <row r="1901" spans="1:13">
      <c r="A1901" t="str">
        <f>IF('ATP Fills'!A1901="","",IF('ATP Fills'!Q1901="PHILLIPSG",'ATP Fills'!F1901,""))</f>
        <v/>
      </c>
      <c r="B1901" t="str">
        <f>IF(A1901="","",'ATP Fills'!L1901)</f>
        <v/>
      </c>
      <c r="C1901" t="str">
        <f>IF(A1901="","",'ATP Fills'!M1901)</f>
        <v/>
      </c>
      <c r="D1901" t="str">
        <f>IF(A1901="","",'ATP Fills'!B1901)</f>
        <v/>
      </c>
      <c r="E1901" s="3" t="str">
        <f>IF(A1901="","",IF(DATE(LEFT(D1901,4),MID(D1901,5,2),RIGHT(D1901,2))=Helper1!$P$1,Helper1!$P$1,""))</f>
        <v/>
      </c>
      <c r="F1901" s="3" t="str">
        <f>IF(A1901="","",'ATP Fills'!G1901)</f>
        <v/>
      </c>
      <c r="G1901" t="str">
        <f>IF(A1901="","",'ATP Fills'!H1901)</f>
        <v/>
      </c>
      <c r="H1901" t="str">
        <f>IF(A1901="","",VLOOKUP(G1901,表3_3[],2,0))</f>
        <v/>
      </c>
      <c r="I1901" t="str">
        <f>IF(A1901="","",VLOOKUP(G1901,表3_3[],3,0))</f>
        <v/>
      </c>
      <c r="J1901" t="str">
        <f>IF(A1901="","",IF('ATP Fills'!I1901="3M","",VLOOKUP(RIGHT('ATP Fills'!I1901,2),Helper1!$O$36:$P$48,2,0)))</f>
        <v/>
      </c>
      <c r="K1901" t="str">
        <f>IF(J1901="","",LEFT('ATP Fills'!I1901,4))</f>
        <v/>
      </c>
      <c r="L1901" t="str">
        <f>IF(A1901="","",IF('ATP Fills'!G1901="LME",'ATP Fills'!I1901,""))</f>
        <v/>
      </c>
      <c r="M1901" t="str">
        <f t="shared" si="29"/>
        <v/>
      </c>
    </row>
    <row r="1902" spans="1:13">
      <c r="A1902" t="str">
        <f>IF('ATP Fills'!A1902="","",IF('ATP Fills'!Q1902="PHILLIPSG",'ATP Fills'!F1902,""))</f>
        <v/>
      </c>
      <c r="B1902" t="str">
        <f>IF(A1902="","",'ATP Fills'!L1902)</f>
        <v/>
      </c>
      <c r="C1902" t="str">
        <f>IF(A1902="","",'ATP Fills'!M1902)</f>
        <v/>
      </c>
      <c r="D1902" t="str">
        <f>IF(A1902="","",'ATP Fills'!B1902)</f>
        <v/>
      </c>
      <c r="E1902" s="3" t="str">
        <f>IF(A1902="","",IF(DATE(LEFT(D1902,4),MID(D1902,5,2),RIGHT(D1902,2))=Helper1!$P$1,Helper1!$P$1,""))</f>
        <v/>
      </c>
      <c r="F1902" s="3" t="str">
        <f>IF(A1902="","",'ATP Fills'!G1902)</f>
        <v/>
      </c>
      <c r="G1902" t="str">
        <f>IF(A1902="","",'ATP Fills'!H1902)</f>
        <v/>
      </c>
      <c r="H1902" t="str">
        <f>IF(A1902="","",VLOOKUP(G1902,表3_3[],2,0))</f>
        <v/>
      </c>
      <c r="I1902" t="str">
        <f>IF(A1902="","",VLOOKUP(G1902,表3_3[],3,0))</f>
        <v/>
      </c>
      <c r="J1902" t="str">
        <f>IF(A1902="","",IF('ATP Fills'!I1902="3M","",VLOOKUP(RIGHT('ATP Fills'!I1902,2),Helper1!$O$36:$P$48,2,0)))</f>
        <v/>
      </c>
      <c r="K1902" t="str">
        <f>IF(J1902="","",LEFT('ATP Fills'!I1902,4))</f>
        <v/>
      </c>
      <c r="L1902" t="str">
        <f>IF(A1902="","",IF('ATP Fills'!G1902="LME",'ATP Fills'!I1902,""))</f>
        <v/>
      </c>
      <c r="M1902" t="str">
        <f t="shared" si="29"/>
        <v/>
      </c>
    </row>
    <row r="1903" spans="1:13">
      <c r="A1903" t="str">
        <f>IF('ATP Fills'!A1903="","",IF('ATP Fills'!Q1903="PHILLIPSG",'ATP Fills'!F1903,""))</f>
        <v/>
      </c>
      <c r="B1903" t="str">
        <f>IF(A1903="","",'ATP Fills'!L1903)</f>
        <v/>
      </c>
      <c r="C1903" t="str">
        <f>IF(A1903="","",'ATP Fills'!M1903)</f>
        <v/>
      </c>
      <c r="D1903" t="str">
        <f>IF(A1903="","",'ATP Fills'!B1903)</f>
        <v/>
      </c>
      <c r="E1903" s="3" t="str">
        <f>IF(A1903="","",IF(DATE(LEFT(D1903,4),MID(D1903,5,2),RIGHT(D1903,2))=Helper1!$P$1,Helper1!$P$1,""))</f>
        <v/>
      </c>
      <c r="F1903" s="3" t="str">
        <f>IF(A1903="","",'ATP Fills'!G1903)</f>
        <v/>
      </c>
      <c r="G1903" t="str">
        <f>IF(A1903="","",'ATP Fills'!H1903)</f>
        <v/>
      </c>
      <c r="H1903" t="str">
        <f>IF(A1903="","",VLOOKUP(G1903,表3_3[],2,0))</f>
        <v/>
      </c>
      <c r="I1903" t="str">
        <f>IF(A1903="","",VLOOKUP(G1903,表3_3[],3,0))</f>
        <v/>
      </c>
      <c r="J1903" t="str">
        <f>IF(A1903="","",IF('ATP Fills'!I1903="3M","",VLOOKUP(RIGHT('ATP Fills'!I1903,2),Helper1!$O$36:$P$48,2,0)))</f>
        <v/>
      </c>
      <c r="K1903" t="str">
        <f>IF(J1903="","",LEFT('ATP Fills'!I1903,4))</f>
        <v/>
      </c>
      <c r="L1903" t="str">
        <f>IF(A1903="","",IF('ATP Fills'!G1903="LME",'ATP Fills'!I1903,""))</f>
        <v/>
      </c>
      <c r="M1903" t="str">
        <f t="shared" si="29"/>
        <v/>
      </c>
    </row>
    <row r="1904" spans="1:13">
      <c r="A1904" t="str">
        <f>IF('ATP Fills'!A1904="","",IF('ATP Fills'!Q1904="PHILLIPSG",'ATP Fills'!F1904,""))</f>
        <v/>
      </c>
      <c r="B1904" t="str">
        <f>IF(A1904="","",'ATP Fills'!L1904)</f>
        <v/>
      </c>
      <c r="C1904" t="str">
        <f>IF(A1904="","",'ATP Fills'!M1904)</f>
        <v/>
      </c>
      <c r="D1904" t="str">
        <f>IF(A1904="","",'ATP Fills'!B1904)</f>
        <v/>
      </c>
      <c r="E1904" s="3" t="str">
        <f>IF(A1904="","",IF(DATE(LEFT(D1904,4),MID(D1904,5,2),RIGHT(D1904,2))=Helper1!$P$1,Helper1!$P$1,""))</f>
        <v/>
      </c>
      <c r="F1904" s="3" t="str">
        <f>IF(A1904="","",'ATP Fills'!G1904)</f>
        <v/>
      </c>
      <c r="G1904" t="str">
        <f>IF(A1904="","",'ATP Fills'!H1904)</f>
        <v/>
      </c>
      <c r="H1904" t="str">
        <f>IF(A1904="","",VLOOKUP(G1904,表3_3[],2,0))</f>
        <v/>
      </c>
      <c r="I1904" t="str">
        <f>IF(A1904="","",VLOOKUP(G1904,表3_3[],3,0))</f>
        <v/>
      </c>
      <c r="J1904" t="str">
        <f>IF(A1904="","",IF('ATP Fills'!I1904="3M","",VLOOKUP(RIGHT('ATP Fills'!I1904,2),Helper1!$O$36:$P$48,2,0)))</f>
        <v/>
      </c>
      <c r="K1904" t="str">
        <f>IF(J1904="","",LEFT('ATP Fills'!I1904,4))</f>
        <v/>
      </c>
      <c r="L1904" t="str">
        <f>IF(A1904="","",IF('ATP Fills'!G1904="LME",'ATP Fills'!I1904,""))</f>
        <v/>
      </c>
      <c r="M1904" t="str">
        <f t="shared" si="29"/>
        <v/>
      </c>
    </row>
    <row r="1905" spans="1:13">
      <c r="A1905" t="str">
        <f>IF('ATP Fills'!A1905="","",IF('ATP Fills'!Q1905="PHILLIPSG",'ATP Fills'!F1905,""))</f>
        <v/>
      </c>
      <c r="B1905" t="str">
        <f>IF(A1905="","",'ATP Fills'!L1905)</f>
        <v/>
      </c>
      <c r="C1905" t="str">
        <f>IF(A1905="","",'ATP Fills'!M1905)</f>
        <v/>
      </c>
      <c r="D1905" t="str">
        <f>IF(A1905="","",'ATP Fills'!B1905)</f>
        <v/>
      </c>
      <c r="E1905" s="3" t="str">
        <f>IF(A1905="","",IF(DATE(LEFT(D1905,4),MID(D1905,5,2),RIGHT(D1905,2))=Helper1!$P$1,Helper1!$P$1,""))</f>
        <v/>
      </c>
      <c r="F1905" s="3" t="str">
        <f>IF(A1905="","",'ATP Fills'!G1905)</f>
        <v/>
      </c>
      <c r="G1905" t="str">
        <f>IF(A1905="","",'ATP Fills'!H1905)</f>
        <v/>
      </c>
      <c r="H1905" t="str">
        <f>IF(A1905="","",VLOOKUP(G1905,表3_3[],2,0))</f>
        <v/>
      </c>
      <c r="I1905" t="str">
        <f>IF(A1905="","",VLOOKUP(G1905,表3_3[],3,0))</f>
        <v/>
      </c>
      <c r="J1905" t="str">
        <f>IF(A1905="","",IF('ATP Fills'!I1905="3M","",VLOOKUP(RIGHT('ATP Fills'!I1905,2),Helper1!$O$36:$P$48,2,0)))</f>
        <v/>
      </c>
      <c r="K1905" t="str">
        <f>IF(J1905="","",LEFT('ATP Fills'!I1905,4))</f>
        <v/>
      </c>
      <c r="L1905" t="str">
        <f>IF(A1905="","",IF('ATP Fills'!G1905="LME",'ATP Fills'!I1905,""))</f>
        <v/>
      </c>
      <c r="M1905" t="str">
        <f t="shared" si="29"/>
        <v/>
      </c>
    </row>
    <row r="1906" spans="1:13">
      <c r="A1906" t="str">
        <f>IF('ATP Fills'!A1906="","",IF('ATP Fills'!Q1906="PHILLIPSG",'ATP Fills'!F1906,""))</f>
        <v/>
      </c>
      <c r="B1906" t="str">
        <f>IF(A1906="","",'ATP Fills'!L1906)</f>
        <v/>
      </c>
      <c r="C1906" t="str">
        <f>IF(A1906="","",'ATP Fills'!M1906)</f>
        <v/>
      </c>
      <c r="D1906" t="str">
        <f>IF(A1906="","",'ATP Fills'!B1906)</f>
        <v/>
      </c>
      <c r="E1906" s="3" t="str">
        <f>IF(A1906="","",IF(DATE(LEFT(D1906,4),MID(D1906,5,2),RIGHT(D1906,2))=Helper1!$P$1,Helper1!$P$1,""))</f>
        <v/>
      </c>
      <c r="F1906" s="3" t="str">
        <f>IF(A1906="","",'ATP Fills'!G1906)</f>
        <v/>
      </c>
      <c r="G1906" t="str">
        <f>IF(A1906="","",'ATP Fills'!H1906)</f>
        <v/>
      </c>
      <c r="H1906" t="str">
        <f>IF(A1906="","",VLOOKUP(G1906,表3_3[],2,0))</f>
        <v/>
      </c>
      <c r="I1906" t="str">
        <f>IF(A1906="","",VLOOKUP(G1906,表3_3[],3,0))</f>
        <v/>
      </c>
      <c r="J1906" t="str">
        <f>IF(A1906="","",IF('ATP Fills'!I1906="3M","",VLOOKUP(RIGHT('ATP Fills'!I1906,2),Helper1!$O$36:$P$48,2,0)))</f>
        <v/>
      </c>
      <c r="K1906" t="str">
        <f>IF(J1906="","",LEFT('ATP Fills'!I1906,4))</f>
        <v/>
      </c>
      <c r="L1906" t="str">
        <f>IF(A1906="","",IF('ATP Fills'!G1906="LME",'ATP Fills'!I1906,""))</f>
        <v/>
      </c>
      <c r="M1906" t="str">
        <f t="shared" si="29"/>
        <v/>
      </c>
    </row>
    <row r="1907" spans="1:13">
      <c r="A1907" t="str">
        <f>IF('ATP Fills'!A1907="","",IF('ATP Fills'!Q1907="PHILLIPSG",'ATP Fills'!F1907,""))</f>
        <v/>
      </c>
      <c r="B1907" t="str">
        <f>IF(A1907="","",'ATP Fills'!L1907)</f>
        <v/>
      </c>
      <c r="C1907" t="str">
        <f>IF(A1907="","",'ATP Fills'!M1907)</f>
        <v/>
      </c>
      <c r="D1907" t="str">
        <f>IF(A1907="","",'ATP Fills'!B1907)</f>
        <v/>
      </c>
      <c r="E1907" s="3" t="str">
        <f>IF(A1907="","",IF(DATE(LEFT(D1907,4),MID(D1907,5,2),RIGHT(D1907,2))=Helper1!$P$1,Helper1!$P$1,""))</f>
        <v/>
      </c>
      <c r="F1907" s="3" t="str">
        <f>IF(A1907="","",'ATP Fills'!G1907)</f>
        <v/>
      </c>
      <c r="G1907" t="str">
        <f>IF(A1907="","",'ATP Fills'!H1907)</f>
        <v/>
      </c>
      <c r="H1907" t="str">
        <f>IF(A1907="","",VLOOKUP(G1907,表3_3[],2,0))</f>
        <v/>
      </c>
      <c r="I1907" t="str">
        <f>IF(A1907="","",VLOOKUP(G1907,表3_3[],3,0))</f>
        <v/>
      </c>
      <c r="J1907" t="str">
        <f>IF(A1907="","",IF('ATP Fills'!I1907="3M","",VLOOKUP(RIGHT('ATP Fills'!I1907,2),Helper1!$O$36:$P$48,2,0)))</f>
        <v/>
      </c>
      <c r="K1907" t="str">
        <f>IF(J1907="","",LEFT('ATP Fills'!I1907,4))</f>
        <v/>
      </c>
      <c r="L1907" t="str">
        <f>IF(A1907="","",IF('ATP Fills'!G1907="LME",'ATP Fills'!I1907,""))</f>
        <v/>
      </c>
      <c r="M1907" t="str">
        <f t="shared" si="29"/>
        <v/>
      </c>
    </row>
    <row r="1908" spans="1:13">
      <c r="A1908" t="str">
        <f>IF('ATP Fills'!A1908="","",IF('ATP Fills'!Q1908="PHILLIPSG",'ATP Fills'!F1908,""))</f>
        <v/>
      </c>
      <c r="B1908" t="str">
        <f>IF(A1908="","",'ATP Fills'!L1908)</f>
        <v/>
      </c>
      <c r="C1908" t="str">
        <f>IF(A1908="","",'ATP Fills'!M1908)</f>
        <v/>
      </c>
      <c r="D1908" t="str">
        <f>IF(A1908="","",'ATP Fills'!B1908)</f>
        <v/>
      </c>
      <c r="E1908" s="3" t="str">
        <f>IF(A1908="","",IF(DATE(LEFT(D1908,4),MID(D1908,5,2),RIGHT(D1908,2))=Helper1!$P$1,Helper1!$P$1,""))</f>
        <v/>
      </c>
      <c r="F1908" s="3" t="str">
        <f>IF(A1908="","",'ATP Fills'!G1908)</f>
        <v/>
      </c>
      <c r="G1908" t="str">
        <f>IF(A1908="","",'ATP Fills'!H1908)</f>
        <v/>
      </c>
      <c r="H1908" t="str">
        <f>IF(A1908="","",VLOOKUP(G1908,表3_3[],2,0))</f>
        <v/>
      </c>
      <c r="I1908" t="str">
        <f>IF(A1908="","",VLOOKUP(G1908,表3_3[],3,0))</f>
        <v/>
      </c>
      <c r="J1908" t="str">
        <f>IF(A1908="","",IF('ATP Fills'!I1908="3M","",VLOOKUP(RIGHT('ATP Fills'!I1908,2),Helper1!$O$36:$P$48,2,0)))</f>
        <v/>
      </c>
      <c r="K1908" t="str">
        <f>IF(J1908="","",LEFT('ATP Fills'!I1908,4))</f>
        <v/>
      </c>
      <c r="L1908" t="str">
        <f>IF(A1908="","",IF('ATP Fills'!G1908="LME",'ATP Fills'!I1908,""))</f>
        <v/>
      </c>
      <c r="M1908" t="str">
        <f t="shared" si="29"/>
        <v/>
      </c>
    </row>
    <row r="1909" spans="1:13">
      <c r="A1909" t="str">
        <f>IF('ATP Fills'!A1909="","",IF('ATP Fills'!Q1909="PHILLIPSG",'ATP Fills'!F1909,""))</f>
        <v/>
      </c>
      <c r="B1909" t="str">
        <f>IF(A1909="","",'ATP Fills'!L1909)</f>
        <v/>
      </c>
      <c r="C1909" t="str">
        <f>IF(A1909="","",'ATP Fills'!M1909)</f>
        <v/>
      </c>
      <c r="D1909" t="str">
        <f>IF(A1909="","",'ATP Fills'!B1909)</f>
        <v/>
      </c>
      <c r="E1909" s="3" t="str">
        <f>IF(A1909="","",IF(DATE(LEFT(D1909,4),MID(D1909,5,2),RIGHT(D1909,2))=Helper1!$P$1,Helper1!$P$1,""))</f>
        <v/>
      </c>
      <c r="F1909" s="3" t="str">
        <f>IF(A1909="","",'ATP Fills'!G1909)</f>
        <v/>
      </c>
      <c r="G1909" t="str">
        <f>IF(A1909="","",'ATP Fills'!H1909)</f>
        <v/>
      </c>
      <c r="H1909" t="str">
        <f>IF(A1909="","",VLOOKUP(G1909,表3_3[],2,0))</f>
        <v/>
      </c>
      <c r="I1909" t="str">
        <f>IF(A1909="","",VLOOKUP(G1909,表3_3[],3,0))</f>
        <v/>
      </c>
      <c r="J1909" t="str">
        <f>IF(A1909="","",IF('ATP Fills'!I1909="3M","",VLOOKUP(RIGHT('ATP Fills'!I1909,2),Helper1!$O$36:$P$48,2,0)))</f>
        <v/>
      </c>
      <c r="K1909" t="str">
        <f>IF(J1909="","",LEFT('ATP Fills'!I1909,4))</f>
        <v/>
      </c>
      <c r="L1909" t="str">
        <f>IF(A1909="","",IF('ATP Fills'!G1909="LME",'ATP Fills'!I1909,""))</f>
        <v/>
      </c>
      <c r="M1909" t="str">
        <f t="shared" si="29"/>
        <v/>
      </c>
    </row>
    <row r="1910" spans="1:13">
      <c r="A1910" t="str">
        <f>IF('ATP Fills'!A1910="","",IF('ATP Fills'!Q1910="PHILLIPSG",'ATP Fills'!F1910,""))</f>
        <v/>
      </c>
      <c r="B1910" t="str">
        <f>IF(A1910="","",'ATP Fills'!L1910)</f>
        <v/>
      </c>
      <c r="C1910" t="str">
        <f>IF(A1910="","",'ATP Fills'!M1910)</f>
        <v/>
      </c>
      <c r="D1910" t="str">
        <f>IF(A1910="","",'ATP Fills'!B1910)</f>
        <v/>
      </c>
      <c r="E1910" s="3" t="str">
        <f>IF(A1910="","",IF(DATE(LEFT(D1910,4),MID(D1910,5,2),RIGHT(D1910,2))=Helper1!$P$1,Helper1!$P$1,""))</f>
        <v/>
      </c>
      <c r="F1910" s="3" t="str">
        <f>IF(A1910="","",'ATP Fills'!G1910)</f>
        <v/>
      </c>
      <c r="G1910" t="str">
        <f>IF(A1910="","",'ATP Fills'!H1910)</f>
        <v/>
      </c>
      <c r="H1910" t="str">
        <f>IF(A1910="","",VLOOKUP(G1910,表3_3[],2,0))</f>
        <v/>
      </c>
      <c r="I1910" t="str">
        <f>IF(A1910="","",VLOOKUP(G1910,表3_3[],3,0))</f>
        <v/>
      </c>
      <c r="J1910" t="str">
        <f>IF(A1910="","",IF('ATP Fills'!I1910="3M","",VLOOKUP(RIGHT('ATP Fills'!I1910,2),Helper1!$O$36:$P$48,2,0)))</f>
        <v/>
      </c>
      <c r="K1910" t="str">
        <f>IF(J1910="","",LEFT('ATP Fills'!I1910,4))</f>
        <v/>
      </c>
      <c r="L1910" t="str">
        <f>IF(A1910="","",IF('ATP Fills'!G1910="LME",'ATP Fills'!I1910,""))</f>
        <v/>
      </c>
      <c r="M1910" t="str">
        <f t="shared" si="29"/>
        <v/>
      </c>
    </row>
    <row r="1911" spans="1:13">
      <c r="A1911" t="str">
        <f>IF('ATP Fills'!A1911="","",IF('ATP Fills'!Q1911="PHILLIPSG",'ATP Fills'!F1911,""))</f>
        <v/>
      </c>
      <c r="B1911" t="str">
        <f>IF(A1911="","",'ATP Fills'!L1911)</f>
        <v/>
      </c>
      <c r="C1911" t="str">
        <f>IF(A1911="","",'ATP Fills'!M1911)</f>
        <v/>
      </c>
      <c r="D1911" t="str">
        <f>IF(A1911="","",'ATP Fills'!B1911)</f>
        <v/>
      </c>
      <c r="E1911" s="3" t="str">
        <f>IF(A1911="","",IF(DATE(LEFT(D1911,4),MID(D1911,5,2),RIGHT(D1911,2))=Helper1!$P$1,Helper1!$P$1,""))</f>
        <v/>
      </c>
      <c r="F1911" s="3" t="str">
        <f>IF(A1911="","",'ATP Fills'!G1911)</f>
        <v/>
      </c>
      <c r="G1911" t="str">
        <f>IF(A1911="","",'ATP Fills'!H1911)</f>
        <v/>
      </c>
      <c r="H1911" t="str">
        <f>IF(A1911="","",VLOOKUP(G1911,表3_3[],2,0))</f>
        <v/>
      </c>
      <c r="I1911" t="str">
        <f>IF(A1911="","",VLOOKUP(G1911,表3_3[],3,0))</f>
        <v/>
      </c>
      <c r="J1911" t="str">
        <f>IF(A1911="","",IF('ATP Fills'!I1911="3M","",VLOOKUP(RIGHT('ATP Fills'!I1911,2),Helper1!$O$36:$P$48,2,0)))</f>
        <v/>
      </c>
      <c r="K1911" t="str">
        <f>IF(J1911="","",LEFT('ATP Fills'!I1911,4))</f>
        <v/>
      </c>
      <c r="L1911" t="str">
        <f>IF(A1911="","",IF('ATP Fills'!G1911="LME",'ATP Fills'!I1911,""))</f>
        <v/>
      </c>
      <c r="M1911" t="str">
        <f t="shared" si="29"/>
        <v/>
      </c>
    </row>
    <row r="1912" spans="1:13">
      <c r="A1912" t="str">
        <f>IF('ATP Fills'!A1912="","",IF('ATP Fills'!Q1912="PHILLIPSG",'ATP Fills'!F1912,""))</f>
        <v/>
      </c>
      <c r="B1912" t="str">
        <f>IF(A1912="","",'ATP Fills'!L1912)</f>
        <v/>
      </c>
      <c r="C1912" t="str">
        <f>IF(A1912="","",'ATP Fills'!M1912)</f>
        <v/>
      </c>
      <c r="D1912" t="str">
        <f>IF(A1912="","",'ATP Fills'!B1912)</f>
        <v/>
      </c>
      <c r="E1912" s="3" t="str">
        <f>IF(A1912="","",IF(DATE(LEFT(D1912,4),MID(D1912,5,2),RIGHT(D1912,2))=Helper1!$P$1,Helper1!$P$1,""))</f>
        <v/>
      </c>
      <c r="F1912" s="3" t="str">
        <f>IF(A1912="","",'ATP Fills'!G1912)</f>
        <v/>
      </c>
      <c r="G1912" t="str">
        <f>IF(A1912="","",'ATP Fills'!H1912)</f>
        <v/>
      </c>
      <c r="H1912" t="str">
        <f>IF(A1912="","",VLOOKUP(G1912,表3_3[],2,0))</f>
        <v/>
      </c>
      <c r="I1912" t="str">
        <f>IF(A1912="","",VLOOKUP(G1912,表3_3[],3,0))</f>
        <v/>
      </c>
      <c r="J1912" t="str">
        <f>IF(A1912="","",IF('ATP Fills'!I1912="3M","",VLOOKUP(RIGHT('ATP Fills'!I1912,2),Helper1!$O$36:$P$48,2,0)))</f>
        <v/>
      </c>
      <c r="K1912" t="str">
        <f>IF(J1912="","",LEFT('ATP Fills'!I1912,4))</f>
        <v/>
      </c>
      <c r="L1912" t="str">
        <f>IF(A1912="","",IF('ATP Fills'!G1912="LME",'ATP Fills'!I1912,""))</f>
        <v/>
      </c>
      <c r="M1912" t="str">
        <f t="shared" si="29"/>
        <v/>
      </c>
    </row>
    <row r="1913" spans="1:13">
      <c r="A1913" t="str">
        <f>IF('ATP Fills'!A1913="","",IF('ATP Fills'!Q1913="PHILLIPSG",'ATP Fills'!F1913,""))</f>
        <v/>
      </c>
      <c r="B1913" t="str">
        <f>IF(A1913="","",'ATP Fills'!L1913)</f>
        <v/>
      </c>
      <c r="C1913" t="str">
        <f>IF(A1913="","",'ATP Fills'!M1913)</f>
        <v/>
      </c>
      <c r="D1913" t="str">
        <f>IF(A1913="","",'ATP Fills'!B1913)</f>
        <v/>
      </c>
      <c r="E1913" s="3" t="str">
        <f>IF(A1913="","",IF(DATE(LEFT(D1913,4),MID(D1913,5,2),RIGHT(D1913,2))=Helper1!$P$1,Helper1!$P$1,""))</f>
        <v/>
      </c>
      <c r="F1913" s="3" t="str">
        <f>IF(A1913="","",'ATP Fills'!G1913)</f>
        <v/>
      </c>
      <c r="G1913" t="str">
        <f>IF(A1913="","",'ATP Fills'!H1913)</f>
        <v/>
      </c>
      <c r="H1913" t="str">
        <f>IF(A1913="","",VLOOKUP(G1913,表3_3[],2,0))</f>
        <v/>
      </c>
      <c r="I1913" t="str">
        <f>IF(A1913="","",VLOOKUP(G1913,表3_3[],3,0))</f>
        <v/>
      </c>
      <c r="J1913" t="str">
        <f>IF(A1913="","",IF('ATP Fills'!I1913="3M","",VLOOKUP(RIGHT('ATP Fills'!I1913,2),Helper1!$O$36:$P$48,2,0)))</f>
        <v/>
      </c>
      <c r="K1913" t="str">
        <f>IF(J1913="","",LEFT('ATP Fills'!I1913,4))</f>
        <v/>
      </c>
      <c r="L1913" t="str">
        <f>IF(A1913="","",IF('ATP Fills'!G1913="LME",'ATP Fills'!I1913,""))</f>
        <v/>
      </c>
      <c r="M1913" t="str">
        <f t="shared" si="29"/>
        <v/>
      </c>
    </row>
    <row r="1914" spans="1:13">
      <c r="A1914" t="str">
        <f>IF('ATP Fills'!A1914="","",IF('ATP Fills'!Q1914="PHILLIPSG",'ATP Fills'!F1914,""))</f>
        <v/>
      </c>
      <c r="B1914" t="str">
        <f>IF(A1914="","",'ATP Fills'!L1914)</f>
        <v/>
      </c>
      <c r="C1914" t="str">
        <f>IF(A1914="","",'ATP Fills'!M1914)</f>
        <v/>
      </c>
      <c r="D1914" t="str">
        <f>IF(A1914="","",'ATP Fills'!B1914)</f>
        <v/>
      </c>
      <c r="E1914" s="3" t="str">
        <f>IF(A1914="","",IF(DATE(LEFT(D1914,4),MID(D1914,5,2),RIGHT(D1914,2))=Helper1!$P$1,Helper1!$P$1,""))</f>
        <v/>
      </c>
      <c r="F1914" s="3" t="str">
        <f>IF(A1914="","",'ATP Fills'!G1914)</f>
        <v/>
      </c>
      <c r="G1914" t="str">
        <f>IF(A1914="","",'ATP Fills'!H1914)</f>
        <v/>
      </c>
      <c r="H1914" t="str">
        <f>IF(A1914="","",VLOOKUP(G1914,表3_3[],2,0))</f>
        <v/>
      </c>
      <c r="I1914" t="str">
        <f>IF(A1914="","",VLOOKUP(G1914,表3_3[],3,0))</f>
        <v/>
      </c>
      <c r="J1914" t="str">
        <f>IF(A1914="","",IF('ATP Fills'!I1914="3M","",VLOOKUP(RIGHT('ATP Fills'!I1914,2),Helper1!$O$36:$P$48,2,0)))</f>
        <v/>
      </c>
      <c r="K1914" t="str">
        <f>IF(J1914="","",LEFT('ATP Fills'!I1914,4))</f>
        <v/>
      </c>
      <c r="L1914" t="str">
        <f>IF(A1914="","",IF('ATP Fills'!G1914="LME",'ATP Fills'!I1914,""))</f>
        <v/>
      </c>
      <c r="M1914" t="str">
        <f t="shared" si="29"/>
        <v/>
      </c>
    </row>
    <row r="1915" spans="1:13">
      <c r="A1915" t="str">
        <f>IF('ATP Fills'!A1915="","",IF('ATP Fills'!Q1915="PHILLIPSG",'ATP Fills'!F1915,""))</f>
        <v/>
      </c>
      <c r="B1915" t="str">
        <f>IF(A1915="","",'ATP Fills'!L1915)</f>
        <v/>
      </c>
      <c r="C1915" t="str">
        <f>IF(A1915="","",'ATP Fills'!M1915)</f>
        <v/>
      </c>
      <c r="D1915" t="str">
        <f>IF(A1915="","",'ATP Fills'!B1915)</f>
        <v/>
      </c>
      <c r="E1915" s="3" t="str">
        <f>IF(A1915="","",IF(DATE(LEFT(D1915,4),MID(D1915,5,2),RIGHT(D1915,2))=Helper1!$P$1,Helper1!$P$1,""))</f>
        <v/>
      </c>
      <c r="F1915" s="3" t="str">
        <f>IF(A1915="","",'ATP Fills'!G1915)</f>
        <v/>
      </c>
      <c r="G1915" t="str">
        <f>IF(A1915="","",'ATP Fills'!H1915)</f>
        <v/>
      </c>
      <c r="H1915" t="str">
        <f>IF(A1915="","",VLOOKUP(G1915,表3_3[],2,0))</f>
        <v/>
      </c>
      <c r="I1915" t="str">
        <f>IF(A1915="","",VLOOKUP(G1915,表3_3[],3,0))</f>
        <v/>
      </c>
      <c r="J1915" t="str">
        <f>IF(A1915="","",IF('ATP Fills'!I1915="3M","",VLOOKUP(RIGHT('ATP Fills'!I1915,2),Helper1!$O$36:$P$48,2,0)))</f>
        <v/>
      </c>
      <c r="K1915" t="str">
        <f>IF(J1915="","",LEFT('ATP Fills'!I1915,4))</f>
        <v/>
      </c>
      <c r="L1915" t="str">
        <f>IF(A1915="","",IF('ATP Fills'!G1915="LME",'ATP Fills'!I1915,""))</f>
        <v/>
      </c>
      <c r="M1915" t="str">
        <f t="shared" si="29"/>
        <v/>
      </c>
    </row>
    <row r="1916" spans="1:13">
      <c r="A1916" t="str">
        <f>IF('ATP Fills'!A1916="","",IF('ATP Fills'!Q1916="PHILLIPSG",'ATP Fills'!F1916,""))</f>
        <v/>
      </c>
      <c r="B1916" t="str">
        <f>IF(A1916="","",'ATP Fills'!L1916)</f>
        <v/>
      </c>
      <c r="C1916" t="str">
        <f>IF(A1916="","",'ATP Fills'!M1916)</f>
        <v/>
      </c>
      <c r="D1916" t="str">
        <f>IF(A1916="","",'ATP Fills'!B1916)</f>
        <v/>
      </c>
      <c r="E1916" s="3" t="str">
        <f>IF(A1916="","",IF(DATE(LEFT(D1916,4),MID(D1916,5,2),RIGHT(D1916,2))=Helper1!$P$1,Helper1!$P$1,""))</f>
        <v/>
      </c>
      <c r="F1916" s="3" t="str">
        <f>IF(A1916="","",'ATP Fills'!G1916)</f>
        <v/>
      </c>
      <c r="G1916" t="str">
        <f>IF(A1916="","",'ATP Fills'!H1916)</f>
        <v/>
      </c>
      <c r="H1916" t="str">
        <f>IF(A1916="","",VLOOKUP(G1916,表3_3[],2,0))</f>
        <v/>
      </c>
      <c r="I1916" t="str">
        <f>IF(A1916="","",VLOOKUP(G1916,表3_3[],3,0))</f>
        <v/>
      </c>
      <c r="J1916" t="str">
        <f>IF(A1916="","",IF('ATP Fills'!I1916="3M","",VLOOKUP(RIGHT('ATP Fills'!I1916,2),Helper1!$O$36:$P$48,2,0)))</f>
        <v/>
      </c>
      <c r="K1916" t="str">
        <f>IF(J1916="","",LEFT('ATP Fills'!I1916,4))</f>
        <v/>
      </c>
      <c r="L1916" t="str">
        <f>IF(A1916="","",IF('ATP Fills'!G1916="LME",'ATP Fills'!I1916,""))</f>
        <v/>
      </c>
      <c r="M1916" t="str">
        <f t="shared" si="29"/>
        <v/>
      </c>
    </row>
    <row r="1917" spans="1:13">
      <c r="A1917" t="str">
        <f>IF('ATP Fills'!A1917="","",IF('ATP Fills'!Q1917="PHILLIPSG",'ATP Fills'!F1917,""))</f>
        <v/>
      </c>
      <c r="B1917" t="str">
        <f>IF(A1917="","",'ATP Fills'!L1917)</f>
        <v/>
      </c>
      <c r="C1917" t="str">
        <f>IF(A1917="","",'ATP Fills'!M1917)</f>
        <v/>
      </c>
      <c r="D1917" t="str">
        <f>IF(A1917="","",'ATP Fills'!B1917)</f>
        <v/>
      </c>
      <c r="E1917" s="3" t="str">
        <f>IF(A1917="","",IF(DATE(LEFT(D1917,4),MID(D1917,5,2),RIGHT(D1917,2))=Helper1!$P$1,Helper1!$P$1,""))</f>
        <v/>
      </c>
      <c r="F1917" s="3" t="str">
        <f>IF(A1917="","",'ATP Fills'!G1917)</f>
        <v/>
      </c>
      <c r="G1917" t="str">
        <f>IF(A1917="","",'ATP Fills'!H1917)</f>
        <v/>
      </c>
      <c r="H1917" t="str">
        <f>IF(A1917="","",VLOOKUP(G1917,表3_3[],2,0))</f>
        <v/>
      </c>
      <c r="I1917" t="str">
        <f>IF(A1917="","",VLOOKUP(G1917,表3_3[],3,0))</f>
        <v/>
      </c>
      <c r="J1917" t="str">
        <f>IF(A1917="","",IF('ATP Fills'!I1917="3M","",VLOOKUP(RIGHT('ATP Fills'!I1917,2),Helper1!$O$36:$P$48,2,0)))</f>
        <v/>
      </c>
      <c r="K1917" t="str">
        <f>IF(J1917="","",LEFT('ATP Fills'!I1917,4))</f>
        <v/>
      </c>
      <c r="L1917" t="str">
        <f>IF(A1917="","",IF('ATP Fills'!G1917="LME",'ATP Fills'!I1917,""))</f>
        <v/>
      </c>
      <c r="M1917" t="str">
        <f t="shared" si="29"/>
        <v/>
      </c>
    </row>
    <row r="1918" spans="1:13">
      <c r="A1918" t="str">
        <f>IF('ATP Fills'!A1918="","",IF('ATP Fills'!Q1918="PHILLIPSG",'ATP Fills'!F1918,""))</f>
        <v/>
      </c>
      <c r="B1918" t="str">
        <f>IF(A1918="","",'ATP Fills'!L1918)</f>
        <v/>
      </c>
      <c r="C1918" t="str">
        <f>IF(A1918="","",'ATP Fills'!M1918)</f>
        <v/>
      </c>
      <c r="D1918" t="str">
        <f>IF(A1918="","",'ATP Fills'!B1918)</f>
        <v/>
      </c>
      <c r="E1918" s="3" t="str">
        <f>IF(A1918="","",IF(DATE(LEFT(D1918,4),MID(D1918,5,2),RIGHT(D1918,2))=Helper1!$P$1,Helper1!$P$1,""))</f>
        <v/>
      </c>
      <c r="F1918" s="3" t="str">
        <f>IF(A1918="","",'ATP Fills'!G1918)</f>
        <v/>
      </c>
      <c r="G1918" t="str">
        <f>IF(A1918="","",'ATP Fills'!H1918)</f>
        <v/>
      </c>
      <c r="H1918" t="str">
        <f>IF(A1918="","",VLOOKUP(G1918,表3_3[],2,0))</f>
        <v/>
      </c>
      <c r="I1918" t="str">
        <f>IF(A1918="","",VLOOKUP(G1918,表3_3[],3,0))</f>
        <v/>
      </c>
      <c r="J1918" t="str">
        <f>IF(A1918="","",IF('ATP Fills'!I1918="3M","",VLOOKUP(RIGHT('ATP Fills'!I1918,2),Helper1!$O$36:$P$48,2,0)))</f>
        <v/>
      </c>
      <c r="K1918" t="str">
        <f>IF(J1918="","",LEFT('ATP Fills'!I1918,4))</f>
        <v/>
      </c>
      <c r="L1918" t="str">
        <f>IF(A1918="","",IF('ATP Fills'!G1918="LME",'ATP Fills'!I1918,""))</f>
        <v/>
      </c>
      <c r="M1918" t="str">
        <f t="shared" si="29"/>
        <v/>
      </c>
    </row>
    <row r="1919" spans="1:13">
      <c r="A1919" t="str">
        <f>IF('ATP Fills'!A1919="","",IF('ATP Fills'!Q1919="PHILLIPSG",'ATP Fills'!F1919,""))</f>
        <v/>
      </c>
      <c r="B1919" t="str">
        <f>IF(A1919="","",'ATP Fills'!L1919)</f>
        <v/>
      </c>
      <c r="C1919" t="str">
        <f>IF(A1919="","",'ATP Fills'!M1919)</f>
        <v/>
      </c>
      <c r="D1919" t="str">
        <f>IF(A1919="","",'ATP Fills'!B1919)</f>
        <v/>
      </c>
      <c r="E1919" s="3" t="str">
        <f>IF(A1919="","",IF(DATE(LEFT(D1919,4),MID(D1919,5,2),RIGHT(D1919,2))=Helper1!$P$1,Helper1!$P$1,""))</f>
        <v/>
      </c>
      <c r="F1919" s="3" t="str">
        <f>IF(A1919="","",'ATP Fills'!G1919)</f>
        <v/>
      </c>
      <c r="G1919" t="str">
        <f>IF(A1919="","",'ATP Fills'!H1919)</f>
        <v/>
      </c>
      <c r="H1919" t="str">
        <f>IF(A1919="","",VLOOKUP(G1919,表3_3[],2,0))</f>
        <v/>
      </c>
      <c r="I1919" t="str">
        <f>IF(A1919="","",VLOOKUP(G1919,表3_3[],3,0))</f>
        <v/>
      </c>
      <c r="J1919" t="str">
        <f>IF(A1919="","",IF('ATP Fills'!I1919="3M","",VLOOKUP(RIGHT('ATP Fills'!I1919,2),Helper1!$O$36:$P$48,2,0)))</f>
        <v/>
      </c>
      <c r="K1919" t="str">
        <f>IF(J1919="","",LEFT('ATP Fills'!I1919,4))</f>
        <v/>
      </c>
      <c r="L1919" t="str">
        <f>IF(A1919="","",IF('ATP Fills'!G1919="LME",'ATP Fills'!I1919,""))</f>
        <v/>
      </c>
      <c r="M1919" t="str">
        <f t="shared" si="29"/>
        <v/>
      </c>
    </row>
    <row r="1920" spans="1:13">
      <c r="A1920" t="str">
        <f>IF('ATP Fills'!A1920="","",IF('ATP Fills'!Q1920="PHILLIPSG",'ATP Fills'!F1920,""))</f>
        <v/>
      </c>
      <c r="B1920" t="str">
        <f>IF(A1920="","",'ATP Fills'!L1920)</f>
        <v/>
      </c>
      <c r="C1920" t="str">
        <f>IF(A1920="","",'ATP Fills'!M1920)</f>
        <v/>
      </c>
      <c r="D1920" t="str">
        <f>IF(A1920="","",'ATP Fills'!B1920)</f>
        <v/>
      </c>
      <c r="E1920" s="3" t="str">
        <f>IF(A1920="","",IF(DATE(LEFT(D1920,4),MID(D1920,5,2),RIGHT(D1920,2))=Helper1!$P$1,Helper1!$P$1,""))</f>
        <v/>
      </c>
      <c r="F1920" s="3" t="str">
        <f>IF(A1920="","",'ATP Fills'!G1920)</f>
        <v/>
      </c>
      <c r="G1920" t="str">
        <f>IF(A1920="","",'ATP Fills'!H1920)</f>
        <v/>
      </c>
      <c r="H1920" t="str">
        <f>IF(A1920="","",VLOOKUP(G1920,表3_3[],2,0))</f>
        <v/>
      </c>
      <c r="I1920" t="str">
        <f>IF(A1920="","",VLOOKUP(G1920,表3_3[],3,0))</f>
        <v/>
      </c>
      <c r="J1920" t="str">
        <f>IF(A1920="","",IF('ATP Fills'!I1920="3M","",VLOOKUP(RIGHT('ATP Fills'!I1920,2),Helper1!$O$36:$P$48,2,0)))</f>
        <v/>
      </c>
      <c r="K1920" t="str">
        <f>IF(J1920="","",LEFT('ATP Fills'!I1920,4))</f>
        <v/>
      </c>
      <c r="L1920" t="str">
        <f>IF(A1920="","",IF('ATP Fills'!G1920="LME",'ATP Fills'!I1920,""))</f>
        <v/>
      </c>
      <c r="M1920" t="str">
        <f t="shared" si="29"/>
        <v/>
      </c>
    </row>
    <row r="1921" spans="1:13">
      <c r="A1921" t="str">
        <f>IF('ATP Fills'!A1921="","",IF('ATP Fills'!Q1921="PHILLIPSG",'ATP Fills'!F1921,""))</f>
        <v/>
      </c>
      <c r="B1921" t="str">
        <f>IF(A1921="","",'ATP Fills'!L1921)</f>
        <v/>
      </c>
      <c r="C1921" t="str">
        <f>IF(A1921="","",'ATP Fills'!M1921)</f>
        <v/>
      </c>
      <c r="D1921" t="str">
        <f>IF(A1921="","",'ATP Fills'!B1921)</f>
        <v/>
      </c>
      <c r="E1921" s="3" t="str">
        <f>IF(A1921="","",IF(DATE(LEFT(D1921,4),MID(D1921,5,2),RIGHT(D1921,2))=Helper1!$P$1,Helper1!$P$1,""))</f>
        <v/>
      </c>
      <c r="F1921" s="3" t="str">
        <f>IF(A1921="","",'ATP Fills'!G1921)</f>
        <v/>
      </c>
      <c r="G1921" t="str">
        <f>IF(A1921="","",'ATP Fills'!H1921)</f>
        <v/>
      </c>
      <c r="H1921" t="str">
        <f>IF(A1921="","",VLOOKUP(G1921,表3_3[],2,0))</f>
        <v/>
      </c>
      <c r="I1921" t="str">
        <f>IF(A1921="","",VLOOKUP(G1921,表3_3[],3,0))</f>
        <v/>
      </c>
      <c r="J1921" t="str">
        <f>IF(A1921="","",IF('ATP Fills'!I1921="3M","",VLOOKUP(RIGHT('ATP Fills'!I1921,2),Helper1!$O$36:$P$48,2,0)))</f>
        <v/>
      </c>
      <c r="K1921" t="str">
        <f>IF(J1921="","",LEFT('ATP Fills'!I1921,4))</f>
        <v/>
      </c>
      <c r="L1921" t="str">
        <f>IF(A1921="","",IF('ATP Fills'!G1921="LME",'ATP Fills'!I1921,""))</f>
        <v/>
      </c>
      <c r="M1921" t="str">
        <f t="shared" si="29"/>
        <v/>
      </c>
    </row>
    <row r="1922" spans="1:13">
      <c r="A1922" t="str">
        <f>IF('ATP Fills'!A1922="","",IF('ATP Fills'!Q1922="PHILLIPSG",'ATP Fills'!F1922,""))</f>
        <v/>
      </c>
      <c r="B1922" t="str">
        <f>IF(A1922="","",'ATP Fills'!L1922)</f>
        <v/>
      </c>
      <c r="C1922" t="str">
        <f>IF(A1922="","",'ATP Fills'!M1922)</f>
        <v/>
      </c>
      <c r="D1922" t="str">
        <f>IF(A1922="","",'ATP Fills'!B1922)</f>
        <v/>
      </c>
      <c r="E1922" s="3" t="str">
        <f>IF(A1922="","",IF(DATE(LEFT(D1922,4),MID(D1922,5,2),RIGHT(D1922,2))=Helper1!$P$1,Helper1!$P$1,""))</f>
        <v/>
      </c>
      <c r="F1922" s="3" t="str">
        <f>IF(A1922="","",'ATP Fills'!G1922)</f>
        <v/>
      </c>
      <c r="G1922" t="str">
        <f>IF(A1922="","",'ATP Fills'!H1922)</f>
        <v/>
      </c>
      <c r="H1922" t="str">
        <f>IF(A1922="","",VLOOKUP(G1922,表3_3[],2,0))</f>
        <v/>
      </c>
      <c r="I1922" t="str">
        <f>IF(A1922="","",VLOOKUP(G1922,表3_3[],3,0))</f>
        <v/>
      </c>
      <c r="J1922" t="str">
        <f>IF(A1922="","",IF('ATP Fills'!I1922="3M","",VLOOKUP(RIGHT('ATP Fills'!I1922,2),Helper1!$O$36:$P$48,2,0)))</f>
        <v/>
      </c>
      <c r="K1922" t="str">
        <f>IF(J1922="","",LEFT('ATP Fills'!I1922,4))</f>
        <v/>
      </c>
      <c r="L1922" t="str">
        <f>IF(A1922="","",IF('ATP Fills'!G1922="LME",'ATP Fills'!I1922,""))</f>
        <v/>
      </c>
      <c r="M1922" t="str">
        <f t="shared" si="29"/>
        <v/>
      </c>
    </row>
    <row r="1923" spans="1:13">
      <c r="A1923" t="str">
        <f>IF('ATP Fills'!A1923="","",IF('ATP Fills'!Q1923="PHILLIPSG",'ATP Fills'!F1923,""))</f>
        <v/>
      </c>
      <c r="B1923" t="str">
        <f>IF(A1923="","",'ATP Fills'!L1923)</f>
        <v/>
      </c>
      <c r="C1923" t="str">
        <f>IF(A1923="","",'ATP Fills'!M1923)</f>
        <v/>
      </c>
      <c r="D1923" t="str">
        <f>IF(A1923="","",'ATP Fills'!B1923)</f>
        <v/>
      </c>
      <c r="E1923" s="3" t="str">
        <f>IF(A1923="","",IF(DATE(LEFT(D1923,4),MID(D1923,5,2),RIGHT(D1923,2))=Helper1!$P$1,Helper1!$P$1,""))</f>
        <v/>
      </c>
      <c r="F1923" s="3" t="str">
        <f>IF(A1923="","",'ATP Fills'!G1923)</f>
        <v/>
      </c>
      <c r="G1923" t="str">
        <f>IF(A1923="","",'ATP Fills'!H1923)</f>
        <v/>
      </c>
      <c r="H1923" t="str">
        <f>IF(A1923="","",VLOOKUP(G1923,表3_3[],2,0))</f>
        <v/>
      </c>
      <c r="I1923" t="str">
        <f>IF(A1923="","",VLOOKUP(G1923,表3_3[],3,0))</f>
        <v/>
      </c>
      <c r="J1923" t="str">
        <f>IF(A1923="","",IF('ATP Fills'!I1923="3M","",VLOOKUP(RIGHT('ATP Fills'!I1923,2),Helper1!$O$36:$P$48,2,0)))</f>
        <v/>
      </c>
      <c r="K1923" t="str">
        <f>IF(J1923="","",LEFT('ATP Fills'!I1923,4))</f>
        <v/>
      </c>
      <c r="L1923" t="str">
        <f>IF(A1923="","",IF('ATP Fills'!G1923="LME",'ATP Fills'!I1923,""))</f>
        <v/>
      </c>
      <c r="M1923" t="str">
        <f t="shared" ref="M1923:M1986" si="30">IF(A1923="","",IF(F1923="LME",F1923&amp;"-"&amp;I1923&amp;"-"&amp;L1923,J1923&amp;"-"&amp;K1923&amp;"-"&amp;I1923))</f>
        <v/>
      </c>
    </row>
    <row r="1924" spans="1:13">
      <c r="A1924" t="str">
        <f>IF('ATP Fills'!A1924="","",IF('ATP Fills'!Q1924="PHILLIPSG",'ATP Fills'!F1924,""))</f>
        <v/>
      </c>
      <c r="B1924" t="str">
        <f>IF(A1924="","",'ATP Fills'!L1924)</f>
        <v/>
      </c>
      <c r="C1924" t="str">
        <f>IF(A1924="","",'ATP Fills'!M1924)</f>
        <v/>
      </c>
      <c r="D1924" t="str">
        <f>IF(A1924="","",'ATP Fills'!B1924)</f>
        <v/>
      </c>
      <c r="E1924" s="3" t="str">
        <f>IF(A1924="","",IF(DATE(LEFT(D1924,4),MID(D1924,5,2),RIGHT(D1924,2))=Helper1!$P$1,Helper1!$P$1,""))</f>
        <v/>
      </c>
      <c r="F1924" s="3" t="str">
        <f>IF(A1924="","",'ATP Fills'!G1924)</f>
        <v/>
      </c>
      <c r="G1924" t="str">
        <f>IF(A1924="","",'ATP Fills'!H1924)</f>
        <v/>
      </c>
      <c r="H1924" t="str">
        <f>IF(A1924="","",VLOOKUP(G1924,表3_3[],2,0))</f>
        <v/>
      </c>
      <c r="I1924" t="str">
        <f>IF(A1924="","",VLOOKUP(G1924,表3_3[],3,0))</f>
        <v/>
      </c>
      <c r="J1924" t="str">
        <f>IF(A1924="","",IF('ATP Fills'!I1924="3M","",VLOOKUP(RIGHT('ATP Fills'!I1924,2),Helper1!$O$36:$P$48,2,0)))</f>
        <v/>
      </c>
      <c r="K1924" t="str">
        <f>IF(J1924="","",LEFT('ATP Fills'!I1924,4))</f>
        <v/>
      </c>
      <c r="L1924" t="str">
        <f>IF(A1924="","",IF('ATP Fills'!G1924="LME",'ATP Fills'!I1924,""))</f>
        <v/>
      </c>
      <c r="M1924" t="str">
        <f t="shared" si="30"/>
        <v/>
      </c>
    </row>
    <row r="1925" spans="1:13">
      <c r="A1925" t="str">
        <f>IF('ATP Fills'!A1925="","",IF('ATP Fills'!Q1925="PHILLIPSG",'ATP Fills'!F1925,""))</f>
        <v/>
      </c>
      <c r="B1925" t="str">
        <f>IF(A1925="","",'ATP Fills'!L1925)</f>
        <v/>
      </c>
      <c r="C1925" t="str">
        <f>IF(A1925="","",'ATP Fills'!M1925)</f>
        <v/>
      </c>
      <c r="D1925" t="str">
        <f>IF(A1925="","",'ATP Fills'!B1925)</f>
        <v/>
      </c>
      <c r="E1925" s="3" t="str">
        <f>IF(A1925="","",IF(DATE(LEFT(D1925,4),MID(D1925,5,2),RIGHT(D1925,2))=Helper1!$P$1,Helper1!$P$1,""))</f>
        <v/>
      </c>
      <c r="F1925" s="3" t="str">
        <f>IF(A1925="","",'ATP Fills'!G1925)</f>
        <v/>
      </c>
      <c r="G1925" t="str">
        <f>IF(A1925="","",'ATP Fills'!H1925)</f>
        <v/>
      </c>
      <c r="H1925" t="str">
        <f>IF(A1925="","",VLOOKUP(G1925,表3_3[],2,0))</f>
        <v/>
      </c>
      <c r="I1925" t="str">
        <f>IF(A1925="","",VLOOKUP(G1925,表3_3[],3,0))</f>
        <v/>
      </c>
      <c r="J1925" t="str">
        <f>IF(A1925="","",IF('ATP Fills'!I1925="3M","",VLOOKUP(RIGHT('ATP Fills'!I1925,2),Helper1!$O$36:$P$48,2,0)))</f>
        <v/>
      </c>
      <c r="K1925" t="str">
        <f>IF(J1925="","",LEFT('ATP Fills'!I1925,4))</f>
        <v/>
      </c>
      <c r="L1925" t="str">
        <f>IF(A1925="","",IF('ATP Fills'!G1925="LME",'ATP Fills'!I1925,""))</f>
        <v/>
      </c>
      <c r="M1925" t="str">
        <f t="shared" si="30"/>
        <v/>
      </c>
    </row>
    <row r="1926" spans="1:13">
      <c r="A1926" t="str">
        <f>IF('ATP Fills'!A1926="","",IF('ATP Fills'!Q1926="PHILLIPSG",'ATP Fills'!F1926,""))</f>
        <v/>
      </c>
      <c r="B1926" t="str">
        <f>IF(A1926="","",'ATP Fills'!L1926)</f>
        <v/>
      </c>
      <c r="C1926" t="str">
        <f>IF(A1926="","",'ATP Fills'!M1926)</f>
        <v/>
      </c>
      <c r="D1926" t="str">
        <f>IF(A1926="","",'ATP Fills'!B1926)</f>
        <v/>
      </c>
      <c r="E1926" s="3" t="str">
        <f>IF(A1926="","",IF(DATE(LEFT(D1926,4),MID(D1926,5,2),RIGHT(D1926,2))=Helper1!$P$1,Helper1!$P$1,""))</f>
        <v/>
      </c>
      <c r="F1926" s="3" t="str">
        <f>IF(A1926="","",'ATP Fills'!G1926)</f>
        <v/>
      </c>
      <c r="G1926" t="str">
        <f>IF(A1926="","",'ATP Fills'!H1926)</f>
        <v/>
      </c>
      <c r="H1926" t="str">
        <f>IF(A1926="","",VLOOKUP(G1926,表3_3[],2,0))</f>
        <v/>
      </c>
      <c r="I1926" t="str">
        <f>IF(A1926="","",VLOOKUP(G1926,表3_3[],3,0))</f>
        <v/>
      </c>
      <c r="J1926" t="str">
        <f>IF(A1926="","",IF('ATP Fills'!I1926="3M","",VLOOKUP(RIGHT('ATP Fills'!I1926,2),Helper1!$O$36:$P$48,2,0)))</f>
        <v/>
      </c>
      <c r="K1926" t="str">
        <f>IF(J1926="","",LEFT('ATP Fills'!I1926,4))</f>
        <v/>
      </c>
      <c r="L1926" t="str">
        <f>IF(A1926="","",IF('ATP Fills'!G1926="LME",'ATP Fills'!I1926,""))</f>
        <v/>
      </c>
      <c r="M1926" t="str">
        <f t="shared" si="30"/>
        <v/>
      </c>
    </row>
    <row r="1927" spans="1:13">
      <c r="A1927" t="str">
        <f>IF('ATP Fills'!A1927="","",IF('ATP Fills'!Q1927="PHILLIPSG",'ATP Fills'!F1927,""))</f>
        <v/>
      </c>
      <c r="B1927" t="str">
        <f>IF(A1927="","",'ATP Fills'!L1927)</f>
        <v/>
      </c>
      <c r="C1927" t="str">
        <f>IF(A1927="","",'ATP Fills'!M1927)</f>
        <v/>
      </c>
      <c r="D1927" t="str">
        <f>IF(A1927="","",'ATP Fills'!B1927)</f>
        <v/>
      </c>
      <c r="E1927" s="3" t="str">
        <f>IF(A1927="","",IF(DATE(LEFT(D1927,4),MID(D1927,5,2),RIGHT(D1927,2))=Helper1!$P$1,Helper1!$P$1,""))</f>
        <v/>
      </c>
      <c r="F1927" s="3" t="str">
        <f>IF(A1927="","",'ATP Fills'!G1927)</f>
        <v/>
      </c>
      <c r="G1927" t="str">
        <f>IF(A1927="","",'ATP Fills'!H1927)</f>
        <v/>
      </c>
      <c r="H1927" t="str">
        <f>IF(A1927="","",VLOOKUP(G1927,表3_3[],2,0))</f>
        <v/>
      </c>
      <c r="I1927" t="str">
        <f>IF(A1927="","",VLOOKUP(G1927,表3_3[],3,0))</f>
        <v/>
      </c>
      <c r="J1927" t="str">
        <f>IF(A1927="","",IF('ATP Fills'!I1927="3M","",VLOOKUP(RIGHT('ATP Fills'!I1927,2),Helper1!$O$36:$P$48,2,0)))</f>
        <v/>
      </c>
      <c r="K1927" t="str">
        <f>IF(J1927="","",LEFT('ATP Fills'!I1927,4))</f>
        <v/>
      </c>
      <c r="L1927" t="str">
        <f>IF(A1927="","",IF('ATP Fills'!G1927="LME",'ATP Fills'!I1927,""))</f>
        <v/>
      </c>
      <c r="M1927" t="str">
        <f t="shared" si="30"/>
        <v/>
      </c>
    </row>
    <row r="1928" spans="1:13">
      <c r="A1928" t="str">
        <f>IF('ATP Fills'!A1928="","",IF('ATP Fills'!Q1928="PHILLIPSG",'ATP Fills'!F1928,""))</f>
        <v/>
      </c>
      <c r="B1928" t="str">
        <f>IF(A1928="","",'ATP Fills'!L1928)</f>
        <v/>
      </c>
      <c r="C1928" t="str">
        <f>IF(A1928="","",'ATP Fills'!M1928)</f>
        <v/>
      </c>
      <c r="D1928" t="str">
        <f>IF(A1928="","",'ATP Fills'!B1928)</f>
        <v/>
      </c>
      <c r="E1928" s="3" t="str">
        <f>IF(A1928="","",IF(DATE(LEFT(D1928,4),MID(D1928,5,2),RIGHT(D1928,2))=Helper1!$P$1,Helper1!$P$1,""))</f>
        <v/>
      </c>
      <c r="F1928" s="3" t="str">
        <f>IF(A1928="","",'ATP Fills'!G1928)</f>
        <v/>
      </c>
      <c r="G1928" t="str">
        <f>IF(A1928="","",'ATP Fills'!H1928)</f>
        <v/>
      </c>
      <c r="H1928" t="str">
        <f>IF(A1928="","",VLOOKUP(G1928,表3_3[],2,0))</f>
        <v/>
      </c>
      <c r="I1928" t="str">
        <f>IF(A1928="","",VLOOKUP(G1928,表3_3[],3,0))</f>
        <v/>
      </c>
      <c r="J1928" t="str">
        <f>IF(A1928="","",IF('ATP Fills'!I1928="3M","",VLOOKUP(RIGHT('ATP Fills'!I1928,2),Helper1!$O$36:$P$48,2,0)))</f>
        <v/>
      </c>
      <c r="K1928" t="str">
        <f>IF(J1928="","",LEFT('ATP Fills'!I1928,4))</f>
        <v/>
      </c>
      <c r="L1928" t="str">
        <f>IF(A1928="","",IF('ATP Fills'!G1928="LME",'ATP Fills'!I1928,""))</f>
        <v/>
      </c>
      <c r="M1928" t="str">
        <f t="shared" si="30"/>
        <v/>
      </c>
    </row>
    <row r="1929" spans="1:13">
      <c r="A1929" t="str">
        <f>IF('ATP Fills'!A1929="","",IF('ATP Fills'!Q1929="PHILLIPSG",'ATP Fills'!F1929,""))</f>
        <v/>
      </c>
      <c r="B1929" t="str">
        <f>IF(A1929="","",'ATP Fills'!L1929)</f>
        <v/>
      </c>
      <c r="C1929" t="str">
        <f>IF(A1929="","",'ATP Fills'!M1929)</f>
        <v/>
      </c>
      <c r="D1929" t="str">
        <f>IF(A1929="","",'ATP Fills'!B1929)</f>
        <v/>
      </c>
      <c r="E1929" s="3" t="str">
        <f>IF(A1929="","",IF(DATE(LEFT(D1929,4),MID(D1929,5,2),RIGHT(D1929,2))=Helper1!$P$1,Helper1!$P$1,""))</f>
        <v/>
      </c>
      <c r="F1929" s="3" t="str">
        <f>IF(A1929="","",'ATP Fills'!G1929)</f>
        <v/>
      </c>
      <c r="G1929" t="str">
        <f>IF(A1929="","",'ATP Fills'!H1929)</f>
        <v/>
      </c>
      <c r="H1929" t="str">
        <f>IF(A1929="","",VLOOKUP(G1929,表3_3[],2,0))</f>
        <v/>
      </c>
      <c r="I1929" t="str">
        <f>IF(A1929="","",VLOOKUP(G1929,表3_3[],3,0))</f>
        <v/>
      </c>
      <c r="J1929" t="str">
        <f>IF(A1929="","",IF('ATP Fills'!I1929="3M","",VLOOKUP(RIGHT('ATP Fills'!I1929,2),Helper1!$O$36:$P$48,2,0)))</f>
        <v/>
      </c>
      <c r="K1929" t="str">
        <f>IF(J1929="","",LEFT('ATP Fills'!I1929,4))</f>
        <v/>
      </c>
      <c r="L1929" t="str">
        <f>IF(A1929="","",IF('ATP Fills'!G1929="LME",'ATP Fills'!I1929,""))</f>
        <v/>
      </c>
      <c r="M1929" t="str">
        <f t="shared" si="30"/>
        <v/>
      </c>
    </row>
    <row r="1930" spans="1:13">
      <c r="A1930" t="str">
        <f>IF('ATP Fills'!A1930="","",IF('ATP Fills'!Q1930="PHILLIPSG",'ATP Fills'!F1930,""))</f>
        <v/>
      </c>
      <c r="B1930" t="str">
        <f>IF(A1930="","",'ATP Fills'!L1930)</f>
        <v/>
      </c>
      <c r="C1930" t="str">
        <f>IF(A1930="","",'ATP Fills'!M1930)</f>
        <v/>
      </c>
      <c r="D1930" t="str">
        <f>IF(A1930="","",'ATP Fills'!B1930)</f>
        <v/>
      </c>
      <c r="E1930" s="3" t="str">
        <f>IF(A1930="","",IF(DATE(LEFT(D1930,4),MID(D1930,5,2),RIGHT(D1930,2))=Helper1!$P$1,Helper1!$P$1,""))</f>
        <v/>
      </c>
      <c r="F1930" s="3" t="str">
        <f>IF(A1930="","",'ATP Fills'!G1930)</f>
        <v/>
      </c>
      <c r="G1930" t="str">
        <f>IF(A1930="","",'ATP Fills'!H1930)</f>
        <v/>
      </c>
      <c r="H1930" t="str">
        <f>IF(A1930="","",VLOOKUP(G1930,表3_3[],2,0))</f>
        <v/>
      </c>
      <c r="I1930" t="str">
        <f>IF(A1930="","",VLOOKUP(G1930,表3_3[],3,0))</f>
        <v/>
      </c>
      <c r="J1930" t="str">
        <f>IF(A1930="","",IF('ATP Fills'!I1930="3M","",VLOOKUP(RIGHT('ATP Fills'!I1930,2),Helper1!$O$36:$P$48,2,0)))</f>
        <v/>
      </c>
      <c r="K1930" t="str">
        <f>IF(J1930="","",LEFT('ATP Fills'!I1930,4))</f>
        <v/>
      </c>
      <c r="L1930" t="str">
        <f>IF(A1930="","",IF('ATP Fills'!G1930="LME",'ATP Fills'!I1930,""))</f>
        <v/>
      </c>
      <c r="M1930" t="str">
        <f t="shared" si="30"/>
        <v/>
      </c>
    </row>
    <row r="1931" spans="1:13">
      <c r="A1931" t="str">
        <f>IF('ATP Fills'!A1931="","",IF('ATP Fills'!Q1931="PHILLIPSG",'ATP Fills'!F1931,""))</f>
        <v/>
      </c>
      <c r="B1931" t="str">
        <f>IF(A1931="","",'ATP Fills'!L1931)</f>
        <v/>
      </c>
      <c r="C1931" t="str">
        <f>IF(A1931="","",'ATP Fills'!M1931)</f>
        <v/>
      </c>
      <c r="D1931" t="str">
        <f>IF(A1931="","",'ATP Fills'!B1931)</f>
        <v/>
      </c>
      <c r="E1931" s="3" t="str">
        <f>IF(A1931="","",IF(DATE(LEFT(D1931,4),MID(D1931,5,2),RIGHT(D1931,2))=Helper1!$P$1,Helper1!$P$1,""))</f>
        <v/>
      </c>
      <c r="F1931" s="3" t="str">
        <f>IF(A1931="","",'ATP Fills'!G1931)</f>
        <v/>
      </c>
      <c r="G1931" t="str">
        <f>IF(A1931="","",'ATP Fills'!H1931)</f>
        <v/>
      </c>
      <c r="H1931" t="str">
        <f>IF(A1931="","",VLOOKUP(G1931,表3_3[],2,0))</f>
        <v/>
      </c>
      <c r="I1931" t="str">
        <f>IF(A1931="","",VLOOKUP(G1931,表3_3[],3,0))</f>
        <v/>
      </c>
      <c r="J1931" t="str">
        <f>IF(A1931="","",IF('ATP Fills'!I1931="3M","",VLOOKUP(RIGHT('ATP Fills'!I1931,2),Helper1!$O$36:$P$48,2,0)))</f>
        <v/>
      </c>
      <c r="K1931" t="str">
        <f>IF(J1931="","",LEFT('ATP Fills'!I1931,4))</f>
        <v/>
      </c>
      <c r="L1931" t="str">
        <f>IF(A1931="","",IF('ATP Fills'!G1931="LME",'ATP Fills'!I1931,""))</f>
        <v/>
      </c>
      <c r="M1931" t="str">
        <f t="shared" si="30"/>
        <v/>
      </c>
    </row>
    <row r="1932" spans="1:13">
      <c r="A1932" t="str">
        <f>IF('ATP Fills'!A1932="","",IF('ATP Fills'!Q1932="PHILLIPSG",'ATP Fills'!F1932,""))</f>
        <v/>
      </c>
      <c r="B1932" t="str">
        <f>IF(A1932="","",'ATP Fills'!L1932)</f>
        <v/>
      </c>
      <c r="C1932" t="str">
        <f>IF(A1932="","",'ATP Fills'!M1932)</f>
        <v/>
      </c>
      <c r="D1932" t="str">
        <f>IF(A1932="","",'ATP Fills'!B1932)</f>
        <v/>
      </c>
      <c r="E1932" s="3" t="str">
        <f>IF(A1932="","",IF(DATE(LEFT(D1932,4),MID(D1932,5,2),RIGHT(D1932,2))=Helper1!$P$1,Helper1!$P$1,""))</f>
        <v/>
      </c>
      <c r="F1932" s="3" t="str">
        <f>IF(A1932="","",'ATP Fills'!G1932)</f>
        <v/>
      </c>
      <c r="G1932" t="str">
        <f>IF(A1932="","",'ATP Fills'!H1932)</f>
        <v/>
      </c>
      <c r="H1932" t="str">
        <f>IF(A1932="","",VLOOKUP(G1932,表3_3[],2,0))</f>
        <v/>
      </c>
      <c r="I1932" t="str">
        <f>IF(A1932="","",VLOOKUP(G1932,表3_3[],3,0))</f>
        <v/>
      </c>
      <c r="J1932" t="str">
        <f>IF(A1932="","",IF('ATP Fills'!I1932="3M","",VLOOKUP(RIGHT('ATP Fills'!I1932,2),Helper1!$O$36:$P$48,2,0)))</f>
        <v/>
      </c>
      <c r="K1932" t="str">
        <f>IF(J1932="","",LEFT('ATP Fills'!I1932,4))</f>
        <v/>
      </c>
      <c r="L1932" t="str">
        <f>IF(A1932="","",IF('ATP Fills'!G1932="LME",'ATP Fills'!I1932,""))</f>
        <v/>
      </c>
      <c r="M1932" t="str">
        <f t="shared" si="30"/>
        <v/>
      </c>
    </row>
    <row r="1933" spans="1:13">
      <c r="A1933" t="str">
        <f>IF('ATP Fills'!A1933="","",IF('ATP Fills'!Q1933="PHILLIPSG",'ATP Fills'!F1933,""))</f>
        <v/>
      </c>
      <c r="B1933" t="str">
        <f>IF(A1933="","",'ATP Fills'!L1933)</f>
        <v/>
      </c>
      <c r="C1933" t="str">
        <f>IF(A1933="","",'ATP Fills'!M1933)</f>
        <v/>
      </c>
      <c r="D1933" t="str">
        <f>IF(A1933="","",'ATP Fills'!B1933)</f>
        <v/>
      </c>
      <c r="E1933" s="3" t="str">
        <f>IF(A1933="","",IF(DATE(LEFT(D1933,4),MID(D1933,5,2),RIGHT(D1933,2))=Helper1!$P$1,Helper1!$P$1,""))</f>
        <v/>
      </c>
      <c r="F1933" s="3" t="str">
        <f>IF(A1933="","",'ATP Fills'!G1933)</f>
        <v/>
      </c>
      <c r="G1933" t="str">
        <f>IF(A1933="","",'ATP Fills'!H1933)</f>
        <v/>
      </c>
      <c r="H1933" t="str">
        <f>IF(A1933="","",VLOOKUP(G1933,表3_3[],2,0))</f>
        <v/>
      </c>
      <c r="I1933" t="str">
        <f>IF(A1933="","",VLOOKUP(G1933,表3_3[],3,0))</f>
        <v/>
      </c>
      <c r="J1933" t="str">
        <f>IF(A1933="","",IF('ATP Fills'!I1933="3M","",VLOOKUP(RIGHT('ATP Fills'!I1933,2),Helper1!$O$36:$P$48,2,0)))</f>
        <v/>
      </c>
      <c r="K1933" t="str">
        <f>IF(J1933="","",LEFT('ATP Fills'!I1933,4))</f>
        <v/>
      </c>
      <c r="L1933" t="str">
        <f>IF(A1933="","",IF('ATP Fills'!G1933="LME",'ATP Fills'!I1933,""))</f>
        <v/>
      </c>
      <c r="M1933" t="str">
        <f t="shared" si="30"/>
        <v/>
      </c>
    </row>
    <row r="1934" spans="1:13">
      <c r="A1934" t="str">
        <f>IF('ATP Fills'!A1934="","",IF('ATP Fills'!Q1934="PHILLIPSG",'ATP Fills'!F1934,""))</f>
        <v/>
      </c>
      <c r="B1934" t="str">
        <f>IF(A1934="","",'ATP Fills'!L1934)</f>
        <v/>
      </c>
      <c r="C1934" t="str">
        <f>IF(A1934="","",'ATP Fills'!M1934)</f>
        <v/>
      </c>
      <c r="D1934" t="str">
        <f>IF(A1934="","",'ATP Fills'!B1934)</f>
        <v/>
      </c>
      <c r="E1934" s="3" t="str">
        <f>IF(A1934="","",IF(DATE(LEFT(D1934,4),MID(D1934,5,2),RIGHT(D1934,2))=Helper1!$P$1,Helper1!$P$1,""))</f>
        <v/>
      </c>
      <c r="F1934" s="3" t="str">
        <f>IF(A1934="","",'ATP Fills'!G1934)</f>
        <v/>
      </c>
      <c r="G1934" t="str">
        <f>IF(A1934="","",'ATP Fills'!H1934)</f>
        <v/>
      </c>
      <c r="H1934" t="str">
        <f>IF(A1934="","",VLOOKUP(G1934,表3_3[],2,0))</f>
        <v/>
      </c>
      <c r="I1934" t="str">
        <f>IF(A1934="","",VLOOKUP(G1934,表3_3[],3,0))</f>
        <v/>
      </c>
      <c r="J1934" t="str">
        <f>IF(A1934="","",IF('ATP Fills'!I1934="3M","",VLOOKUP(RIGHT('ATP Fills'!I1934,2),Helper1!$O$36:$P$48,2,0)))</f>
        <v/>
      </c>
      <c r="K1934" t="str">
        <f>IF(J1934="","",LEFT('ATP Fills'!I1934,4))</f>
        <v/>
      </c>
      <c r="L1934" t="str">
        <f>IF(A1934="","",IF('ATP Fills'!G1934="LME",'ATP Fills'!I1934,""))</f>
        <v/>
      </c>
      <c r="M1934" t="str">
        <f t="shared" si="30"/>
        <v/>
      </c>
    </row>
    <row r="1935" spans="1:13">
      <c r="A1935" t="str">
        <f>IF('ATP Fills'!A1935="","",IF('ATP Fills'!Q1935="PHILLIPSG",'ATP Fills'!F1935,""))</f>
        <v/>
      </c>
      <c r="B1935" t="str">
        <f>IF(A1935="","",'ATP Fills'!L1935)</f>
        <v/>
      </c>
      <c r="C1935" t="str">
        <f>IF(A1935="","",'ATP Fills'!M1935)</f>
        <v/>
      </c>
      <c r="D1935" t="str">
        <f>IF(A1935="","",'ATP Fills'!B1935)</f>
        <v/>
      </c>
      <c r="E1935" s="3" t="str">
        <f>IF(A1935="","",IF(DATE(LEFT(D1935,4),MID(D1935,5,2),RIGHT(D1935,2))=Helper1!$P$1,Helper1!$P$1,""))</f>
        <v/>
      </c>
      <c r="F1935" s="3" t="str">
        <f>IF(A1935="","",'ATP Fills'!G1935)</f>
        <v/>
      </c>
      <c r="G1935" t="str">
        <f>IF(A1935="","",'ATP Fills'!H1935)</f>
        <v/>
      </c>
      <c r="H1935" t="str">
        <f>IF(A1935="","",VLOOKUP(G1935,表3_3[],2,0))</f>
        <v/>
      </c>
      <c r="I1935" t="str">
        <f>IF(A1935="","",VLOOKUP(G1935,表3_3[],3,0))</f>
        <v/>
      </c>
      <c r="J1935" t="str">
        <f>IF(A1935="","",IF('ATP Fills'!I1935="3M","",VLOOKUP(RIGHT('ATP Fills'!I1935,2),Helper1!$O$36:$P$48,2,0)))</f>
        <v/>
      </c>
      <c r="K1935" t="str">
        <f>IF(J1935="","",LEFT('ATP Fills'!I1935,4))</f>
        <v/>
      </c>
      <c r="L1935" t="str">
        <f>IF(A1935="","",IF('ATP Fills'!G1935="LME",'ATP Fills'!I1935,""))</f>
        <v/>
      </c>
      <c r="M1935" t="str">
        <f t="shared" si="30"/>
        <v/>
      </c>
    </row>
    <row r="1936" spans="1:13">
      <c r="A1936" t="str">
        <f>IF('ATP Fills'!A1936="","",IF('ATP Fills'!Q1936="PHILLIPSG",'ATP Fills'!F1936,""))</f>
        <v/>
      </c>
      <c r="B1936" t="str">
        <f>IF(A1936="","",'ATP Fills'!L1936)</f>
        <v/>
      </c>
      <c r="C1936" t="str">
        <f>IF(A1936="","",'ATP Fills'!M1936)</f>
        <v/>
      </c>
      <c r="D1936" t="str">
        <f>IF(A1936="","",'ATP Fills'!B1936)</f>
        <v/>
      </c>
      <c r="E1936" s="3" t="str">
        <f>IF(A1936="","",IF(DATE(LEFT(D1936,4),MID(D1936,5,2),RIGHT(D1936,2))=Helper1!$P$1,Helper1!$P$1,""))</f>
        <v/>
      </c>
      <c r="F1936" s="3" t="str">
        <f>IF(A1936="","",'ATP Fills'!G1936)</f>
        <v/>
      </c>
      <c r="G1936" t="str">
        <f>IF(A1936="","",'ATP Fills'!H1936)</f>
        <v/>
      </c>
      <c r="H1936" t="str">
        <f>IF(A1936="","",VLOOKUP(G1936,表3_3[],2,0))</f>
        <v/>
      </c>
      <c r="I1936" t="str">
        <f>IF(A1936="","",VLOOKUP(G1936,表3_3[],3,0))</f>
        <v/>
      </c>
      <c r="J1936" t="str">
        <f>IF(A1936="","",IF('ATP Fills'!I1936="3M","",VLOOKUP(RIGHT('ATP Fills'!I1936,2),Helper1!$O$36:$P$48,2,0)))</f>
        <v/>
      </c>
      <c r="K1936" t="str">
        <f>IF(J1936="","",LEFT('ATP Fills'!I1936,4))</f>
        <v/>
      </c>
      <c r="L1936" t="str">
        <f>IF(A1936="","",IF('ATP Fills'!G1936="LME",'ATP Fills'!I1936,""))</f>
        <v/>
      </c>
      <c r="M1936" t="str">
        <f t="shared" si="30"/>
        <v/>
      </c>
    </row>
    <row r="1937" spans="1:13">
      <c r="A1937" t="str">
        <f>IF('ATP Fills'!A1937="","",IF('ATP Fills'!Q1937="PHILLIPSG",'ATP Fills'!F1937,""))</f>
        <v/>
      </c>
      <c r="B1937" t="str">
        <f>IF(A1937="","",'ATP Fills'!L1937)</f>
        <v/>
      </c>
      <c r="C1937" t="str">
        <f>IF(A1937="","",'ATP Fills'!M1937)</f>
        <v/>
      </c>
      <c r="D1937" t="str">
        <f>IF(A1937="","",'ATP Fills'!B1937)</f>
        <v/>
      </c>
      <c r="E1937" s="3" t="str">
        <f>IF(A1937="","",IF(DATE(LEFT(D1937,4),MID(D1937,5,2),RIGHT(D1937,2))=Helper1!$P$1,Helper1!$P$1,""))</f>
        <v/>
      </c>
      <c r="F1937" s="3" t="str">
        <f>IF(A1937="","",'ATP Fills'!G1937)</f>
        <v/>
      </c>
      <c r="G1937" t="str">
        <f>IF(A1937="","",'ATP Fills'!H1937)</f>
        <v/>
      </c>
      <c r="H1937" t="str">
        <f>IF(A1937="","",VLOOKUP(G1937,表3_3[],2,0))</f>
        <v/>
      </c>
      <c r="I1937" t="str">
        <f>IF(A1937="","",VLOOKUP(G1937,表3_3[],3,0))</f>
        <v/>
      </c>
      <c r="J1937" t="str">
        <f>IF(A1937="","",IF('ATP Fills'!I1937="3M","",VLOOKUP(RIGHT('ATP Fills'!I1937,2),Helper1!$O$36:$P$48,2,0)))</f>
        <v/>
      </c>
      <c r="K1937" t="str">
        <f>IF(J1937="","",LEFT('ATP Fills'!I1937,4))</f>
        <v/>
      </c>
      <c r="L1937" t="str">
        <f>IF(A1937="","",IF('ATP Fills'!G1937="LME",'ATP Fills'!I1937,""))</f>
        <v/>
      </c>
      <c r="M1937" t="str">
        <f t="shared" si="30"/>
        <v/>
      </c>
    </row>
    <row r="1938" spans="1:13">
      <c r="A1938" t="str">
        <f>IF('ATP Fills'!A1938="","",IF('ATP Fills'!Q1938="PHILLIPSG",'ATP Fills'!F1938,""))</f>
        <v/>
      </c>
      <c r="B1938" t="str">
        <f>IF(A1938="","",'ATP Fills'!L1938)</f>
        <v/>
      </c>
      <c r="C1938" t="str">
        <f>IF(A1938="","",'ATP Fills'!M1938)</f>
        <v/>
      </c>
      <c r="D1938" t="str">
        <f>IF(A1938="","",'ATP Fills'!B1938)</f>
        <v/>
      </c>
      <c r="E1938" s="3" t="str">
        <f>IF(A1938="","",IF(DATE(LEFT(D1938,4),MID(D1938,5,2),RIGHT(D1938,2))=Helper1!$P$1,Helper1!$P$1,""))</f>
        <v/>
      </c>
      <c r="F1938" s="3" t="str">
        <f>IF(A1938="","",'ATP Fills'!G1938)</f>
        <v/>
      </c>
      <c r="G1938" t="str">
        <f>IF(A1938="","",'ATP Fills'!H1938)</f>
        <v/>
      </c>
      <c r="H1938" t="str">
        <f>IF(A1938="","",VLOOKUP(G1938,表3_3[],2,0))</f>
        <v/>
      </c>
      <c r="I1938" t="str">
        <f>IF(A1938="","",VLOOKUP(G1938,表3_3[],3,0))</f>
        <v/>
      </c>
      <c r="J1938" t="str">
        <f>IF(A1938="","",IF('ATP Fills'!I1938="3M","",VLOOKUP(RIGHT('ATP Fills'!I1938,2),Helper1!$O$36:$P$48,2,0)))</f>
        <v/>
      </c>
      <c r="K1938" t="str">
        <f>IF(J1938="","",LEFT('ATP Fills'!I1938,4))</f>
        <v/>
      </c>
      <c r="L1938" t="str">
        <f>IF(A1938="","",IF('ATP Fills'!G1938="LME",'ATP Fills'!I1938,""))</f>
        <v/>
      </c>
      <c r="M1938" t="str">
        <f t="shared" si="30"/>
        <v/>
      </c>
    </row>
    <row r="1939" spans="1:13">
      <c r="A1939" t="str">
        <f>IF('ATP Fills'!A1939="","",IF('ATP Fills'!Q1939="PHILLIPSG",'ATP Fills'!F1939,""))</f>
        <v/>
      </c>
      <c r="B1939" t="str">
        <f>IF(A1939="","",'ATP Fills'!L1939)</f>
        <v/>
      </c>
      <c r="C1939" t="str">
        <f>IF(A1939="","",'ATP Fills'!M1939)</f>
        <v/>
      </c>
      <c r="D1939" t="str">
        <f>IF(A1939="","",'ATP Fills'!B1939)</f>
        <v/>
      </c>
      <c r="E1939" s="3" t="str">
        <f>IF(A1939="","",IF(DATE(LEFT(D1939,4),MID(D1939,5,2),RIGHT(D1939,2))=Helper1!$P$1,Helper1!$P$1,""))</f>
        <v/>
      </c>
      <c r="F1939" s="3" t="str">
        <f>IF(A1939="","",'ATP Fills'!G1939)</f>
        <v/>
      </c>
      <c r="G1939" t="str">
        <f>IF(A1939="","",'ATP Fills'!H1939)</f>
        <v/>
      </c>
      <c r="H1939" t="str">
        <f>IF(A1939="","",VLOOKUP(G1939,表3_3[],2,0))</f>
        <v/>
      </c>
      <c r="I1939" t="str">
        <f>IF(A1939="","",VLOOKUP(G1939,表3_3[],3,0))</f>
        <v/>
      </c>
      <c r="J1939" t="str">
        <f>IF(A1939="","",IF('ATP Fills'!I1939="3M","",VLOOKUP(RIGHT('ATP Fills'!I1939,2),Helper1!$O$36:$P$48,2,0)))</f>
        <v/>
      </c>
      <c r="K1939" t="str">
        <f>IF(J1939="","",LEFT('ATP Fills'!I1939,4))</f>
        <v/>
      </c>
      <c r="L1939" t="str">
        <f>IF(A1939="","",IF('ATP Fills'!G1939="LME",'ATP Fills'!I1939,""))</f>
        <v/>
      </c>
      <c r="M1939" t="str">
        <f t="shared" si="30"/>
        <v/>
      </c>
    </row>
    <row r="1940" spans="1:13">
      <c r="A1940" t="str">
        <f>IF('ATP Fills'!A1940="","",IF('ATP Fills'!Q1940="PHILLIPSG",'ATP Fills'!F1940,""))</f>
        <v/>
      </c>
      <c r="B1940" t="str">
        <f>IF(A1940="","",'ATP Fills'!L1940)</f>
        <v/>
      </c>
      <c r="C1940" t="str">
        <f>IF(A1940="","",'ATP Fills'!M1940)</f>
        <v/>
      </c>
      <c r="D1940" t="str">
        <f>IF(A1940="","",'ATP Fills'!B1940)</f>
        <v/>
      </c>
      <c r="E1940" s="3" t="str">
        <f>IF(A1940="","",IF(DATE(LEFT(D1940,4),MID(D1940,5,2),RIGHT(D1940,2))=Helper1!$P$1,Helper1!$P$1,""))</f>
        <v/>
      </c>
      <c r="F1940" s="3" t="str">
        <f>IF(A1940="","",'ATP Fills'!G1940)</f>
        <v/>
      </c>
      <c r="G1940" t="str">
        <f>IF(A1940="","",'ATP Fills'!H1940)</f>
        <v/>
      </c>
      <c r="H1940" t="str">
        <f>IF(A1940="","",VLOOKUP(G1940,表3_3[],2,0))</f>
        <v/>
      </c>
      <c r="I1940" t="str">
        <f>IF(A1940="","",VLOOKUP(G1940,表3_3[],3,0))</f>
        <v/>
      </c>
      <c r="J1940" t="str">
        <f>IF(A1940="","",IF('ATP Fills'!I1940="3M","",VLOOKUP(RIGHT('ATP Fills'!I1940,2),Helper1!$O$36:$P$48,2,0)))</f>
        <v/>
      </c>
      <c r="K1940" t="str">
        <f>IF(J1940="","",LEFT('ATP Fills'!I1940,4))</f>
        <v/>
      </c>
      <c r="L1940" t="str">
        <f>IF(A1940="","",IF('ATP Fills'!G1940="LME",'ATP Fills'!I1940,""))</f>
        <v/>
      </c>
      <c r="M1940" t="str">
        <f t="shared" si="30"/>
        <v/>
      </c>
    </row>
    <row r="1941" spans="1:13">
      <c r="A1941" t="str">
        <f>IF('ATP Fills'!A1941="","",IF('ATP Fills'!Q1941="PHILLIPSG",'ATP Fills'!F1941,""))</f>
        <v/>
      </c>
      <c r="B1941" t="str">
        <f>IF(A1941="","",'ATP Fills'!L1941)</f>
        <v/>
      </c>
      <c r="C1941" t="str">
        <f>IF(A1941="","",'ATP Fills'!M1941)</f>
        <v/>
      </c>
      <c r="D1941" t="str">
        <f>IF(A1941="","",'ATP Fills'!B1941)</f>
        <v/>
      </c>
      <c r="E1941" s="3" t="str">
        <f>IF(A1941="","",IF(DATE(LEFT(D1941,4),MID(D1941,5,2),RIGHT(D1941,2))=Helper1!$P$1,Helper1!$P$1,""))</f>
        <v/>
      </c>
      <c r="F1941" s="3" t="str">
        <f>IF(A1941="","",'ATP Fills'!G1941)</f>
        <v/>
      </c>
      <c r="G1941" t="str">
        <f>IF(A1941="","",'ATP Fills'!H1941)</f>
        <v/>
      </c>
      <c r="H1941" t="str">
        <f>IF(A1941="","",VLOOKUP(G1941,表3_3[],2,0))</f>
        <v/>
      </c>
      <c r="I1941" t="str">
        <f>IF(A1941="","",VLOOKUP(G1941,表3_3[],3,0))</f>
        <v/>
      </c>
      <c r="J1941" t="str">
        <f>IF(A1941="","",IF('ATP Fills'!I1941="3M","",VLOOKUP(RIGHT('ATP Fills'!I1941,2),Helper1!$O$36:$P$48,2,0)))</f>
        <v/>
      </c>
      <c r="K1941" t="str">
        <f>IF(J1941="","",LEFT('ATP Fills'!I1941,4))</f>
        <v/>
      </c>
      <c r="L1941" t="str">
        <f>IF(A1941="","",IF('ATP Fills'!G1941="LME",'ATP Fills'!I1941,""))</f>
        <v/>
      </c>
      <c r="M1941" t="str">
        <f t="shared" si="30"/>
        <v/>
      </c>
    </row>
    <row r="1942" spans="1:13">
      <c r="A1942" t="str">
        <f>IF('ATP Fills'!A1942="","",IF('ATP Fills'!Q1942="PHILLIPSG",'ATP Fills'!F1942,""))</f>
        <v/>
      </c>
      <c r="B1942" t="str">
        <f>IF(A1942="","",'ATP Fills'!L1942)</f>
        <v/>
      </c>
      <c r="C1942" t="str">
        <f>IF(A1942="","",'ATP Fills'!M1942)</f>
        <v/>
      </c>
      <c r="D1942" t="str">
        <f>IF(A1942="","",'ATP Fills'!B1942)</f>
        <v/>
      </c>
      <c r="E1942" s="3" t="str">
        <f>IF(A1942="","",IF(DATE(LEFT(D1942,4),MID(D1942,5,2),RIGHT(D1942,2))=Helper1!$P$1,Helper1!$P$1,""))</f>
        <v/>
      </c>
      <c r="F1942" s="3" t="str">
        <f>IF(A1942="","",'ATP Fills'!G1942)</f>
        <v/>
      </c>
      <c r="G1942" t="str">
        <f>IF(A1942="","",'ATP Fills'!H1942)</f>
        <v/>
      </c>
      <c r="H1942" t="str">
        <f>IF(A1942="","",VLOOKUP(G1942,表3_3[],2,0))</f>
        <v/>
      </c>
      <c r="I1942" t="str">
        <f>IF(A1942="","",VLOOKUP(G1942,表3_3[],3,0))</f>
        <v/>
      </c>
      <c r="J1942" t="str">
        <f>IF(A1942="","",IF('ATP Fills'!I1942="3M","",VLOOKUP(RIGHT('ATP Fills'!I1942,2),Helper1!$O$36:$P$48,2,0)))</f>
        <v/>
      </c>
      <c r="K1942" t="str">
        <f>IF(J1942="","",LEFT('ATP Fills'!I1942,4))</f>
        <v/>
      </c>
      <c r="L1942" t="str">
        <f>IF(A1942="","",IF('ATP Fills'!G1942="LME",'ATP Fills'!I1942,""))</f>
        <v/>
      </c>
      <c r="M1942" t="str">
        <f t="shared" si="30"/>
        <v/>
      </c>
    </row>
    <row r="1943" spans="1:13">
      <c r="A1943" t="str">
        <f>IF('ATP Fills'!A1943="","",IF('ATP Fills'!Q1943="PHILLIPSG",'ATP Fills'!F1943,""))</f>
        <v/>
      </c>
      <c r="B1943" t="str">
        <f>IF(A1943="","",'ATP Fills'!L1943)</f>
        <v/>
      </c>
      <c r="C1943" t="str">
        <f>IF(A1943="","",'ATP Fills'!M1943)</f>
        <v/>
      </c>
      <c r="D1943" t="str">
        <f>IF(A1943="","",'ATP Fills'!B1943)</f>
        <v/>
      </c>
      <c r="E1943" s="3" t="str">
        <f>IF(A1943="","",IF(DATE(LEFT(D1943,4),MID(D1943,5,2),RIGHT(D1943,2))=Helper1!$P$1,Helper1!$P$1,""))</f>
        <v/>
      </c>
      <c r="F1943" s="3" t="str">
        <f>IF(A1943="","",'ATP Fills'!G1943)</f>
        <v/>
      </c>
      <c r="G1943" t="str">
        <f>IF(A1943="","",'ATP Fills'!H1943)</f>
        <v/>
      </c>
      <c r="H1943" t="str">
        <f>IF(A1943="","",VLOOKUP(G1943,表3_3[],2,0))</f>
        <v/>
      </c>
      <c r="I1943" t="str">
        <f>IF(A1943="","",VLOOKUP(G1943,表3_3[],3,0))</f>
        <v/>
      </c>
      <c r="J1943" t="str">
        <f>IF(A1943="","",IF('ATP Fills'!I1943="3M","",VLOOKUP(RIGHT('ATP Fills'!I1943,2),Helper1!$O$36:$P$48,2,0)))</f>
        <v/>
      </c>
      <c r="K1943" t="str">
        <f>IF(J1943="","",LEFT('ATP Fills'!I1943,4))</f>
        <v/>
      </c>
      <c r="L1943" t="str">
        <f>IF(A1943="","",IF('ATP Fills'!G1943="LME",'ATP Fills'!I1943,""))</f>
        <v/>
      </c>
      <c r="M1943" t="str">
        <f t="shared" si="30"/>
        <v/>
      </c>
    </row>
    <row r="1944" spans="1:13">
      <c r="A1944" t="str">
        <f>IF('ATP Fills'!A1944="","",IF('ATP Fills'!Q1944="PHILLIPSG",'ATP Fills'!F1944,""))</f>
        <v/>
      </c>
      <c r="B1944" t="str">
        <f>IF(A1944="","",'ATP Fills'!L1944)</f>
        <v/>
      </c>
      <c r="C1944" t="str">
        <f>IF(A1944="","",'ATP Fills'!M1944)</f>
        <v/>
      </c>
      <c r="D1944" t="str">
        <f>IF(A1944="","",'ATP Fills'!B1944)</f>
        <v/>
      </c>
      <c r="E1944" s="3" t="str">
        <f>IF(A1944="","",IF(DATE(LEFT(D1944,4),MID(D1944,5,2),RIGHT(D1944,2))=Helper1!$P$1,Helper1!$P$1,""))</f>
        <v/>
      </c>
      <c r="F1944" s="3" t="str">
        <f>IF(A1944="","",'ATP Fills'!G1944)</f>
        <v/>
      </c>
      <c r="G1944" t="str">
        <f>IF(A1944="","",'ATP Fills'!H1944)</f>
        <v/>
      </c>
      <c r="H1944" t="str">
        <f>IF(A1944="","",VLOOKUP(G1944,表3_3[],2,0))</f>
        <v/>
      </c>
      <c r="I1944" t="str">
        <f>IF(A1944="","",VLOOKUP(G1944,表3_3[],3,0))</f>
        <v/>
      </c>
      <c r="J1944" t="str">
        <f>IF(A1944="","",IF('ATP Fills'!I1944="3M","",VLOOKUP(RIGHT('ATP Fills'!I1944,2),Helper1!$O$36:$P$48,2,0)))</f>
        <v/>
      </c>
      <c r="K1944" t="str">
        <f>IF(J1944="","",LEFT('ATP Fills'!I1944,4))</f>
        <v/>
      </c>
      <c r="L1944" t="str">
        <f>IF(A1944="","",IF('ATP Fills'!G1944="LME",'ATP Fills'!I1944,""))</f>
        <v/>
      </c>
      <c r="M1944" t="str">
        <f t="shared" si="30"/>
        <v/>
      </c>
    </row>
    <row r="1945" spans="1:13">
      <c r="A1945" t="str">
        <f>IF('ATP Fills'!A1945="","",IF('ATP Fills'!Q1945="PHILLIPSG",'ATP Fills'!F1945,""))</f>
        <v/>
      </c>
      <c r="B1945" t="str">
        <f>IF(A1945="","",'ATP Fills'!L1945)</f>
        <v/>
      </c>
      <c r="C1945" t="str">
        <f>IF(A1945="","",'ATP Fills'!M1945)</f>
        <v/>
      </c>
      <c r="D1945" t="str">
        <f>IF(A1945="","",'ATP Fills'!B1945)</f>
        <v/>
      </c>
      <c r="E1945" s="3" t="str">
        <f>IF(A1945="","",IF(DATE(LEFT(D1945,4),MID(D1945,5,2),RIGHT(D1945,2))=Helper1!$P$1,Helper1!$P$1,""))</f>
        <v/>
      </c>
      <c r="F1945" s="3" t="str">
        <f>IF(A1945="","",'ATP Fills'!G1945)</f>
        <v/>
      </c>
      <c r="G1945" t="str">
        <f>IF(A1945="","",'ATP Fills'!H1945)</f>
        <v/>
      </c>
      <c r="H1945" t="str">
        <f>IF(A1945="","",VLOOKUP(G1945,表3_3[],2,0))</f>
        <v/>
      </c>
      <c r="I1945" t="str">
        <f>IF(A1945="","",VLOOKUP(G1945,表3_3[],3,0))</f>
        <v/>
      </c>
      <c r="J1945" t="str">
        <f>IF(A1945="","",IF('ATP Fills'!I1945="3M","",VLOOKUP(RIGHT('ATP Fills'!I1945,2),Helper1!$O$36:$P$48,2,0)))</f>
        <v/>
      </c>
      <c r="K1945" t="str">
        <f>IF(J1945="","",LEFT('ATP Fills'!I1945,4))</f>
        <v/>
      </c>
      <c r="L1945" t="str">
        <f>IF(A1945="","",IF('ATP Fills'!G1945="LME",'ATP Fills'!I1945,""))</f>
        <v/>
      </c>
      <c r="M1945" t="str">
        <f t="shared" si="30"/>
        <v/>
      </c>
    </row>
    <row r="1946" spans="1:13">
      <c r="A1946" t="str">
        <f>IF('ATP Fills'!A1946="","",IF('ATP Fills'!Q1946="PHILLIPSG",'ATP Fills'!F1946,""))</f>
        <v/>
      </c>
      <c r="B1946" t="str">
        <f>IF(A1946="","",'ATP Fills'!L1946)</f>
        <v/>
      </c>
      <c r="C1946" t="str">
        <f>IF(A1946="","",'ATP Fills'!M1946)</f>
        <v/>
      </c>
      <c r="D1946" t="str">
        <f>IF(A1946="","",'ATP Fills'!B1946)</f>
        <v/>
      </c>
      <c r="E1946" s="3" t="str">
        <f>IF(A1946="","",IF(DATE(LEFT(D1946,4),MID(D1946,5,2),RIGHT(D1946,2))=Helper1!$P$1,Helper1!$P$1,""))</f>
        <v/>
      </c>
      <c r="F1946" s="3" t="str">
        <f>IF(A1946="","",'ATP Fills'!G1946)</f>
        <v/>
      </c>
      <c r="G1946" t="str">
        <f>IF(A1946="","",'ATP Fills'!H1946)</f>
        <v/>
      </c>
      <c r="H1946" t="str">
        <f>IF(A1946="","",VLOOKUP(G1946,表3_3[],2,0))</f>
        <v/>
      </c>
      <c r="I1946" t="str">
        <f>IF(A1946="","",VLOOKUP(G1946,表3_3[],3,0))</f>
        <v/>
      </c>
      <c r="J1946" t="str">
        <f>IF(A1946="","",IF('ATP Fills'!I1946="3M","",VLOOKUP(RIGHT('ATP Fills'!I1946,2),Helper1!$O$36:$P$48,2,0)))</f>
        <v/>
      </c>
      <c r="K1946" t="str">
        <f>IF(J1946="","",LEFT('ATP Fills'!I1946,4))</f>
        <v/>
      </c>
      <c r="L1946" t="str">
        <f>IF(A1946="","",IF('ATP Fills'!G1946="LME",'ATP Fills'!I1946,""))</f>
        <v/>
      </c>
      <c r="M1946" t="str">
        <f t="shared" si="30"/>
        <v/>
      </c>
    </row>
    <row r="1947" spans="1:13">
      <c r="A1947" t="str">
        <f>IF('ATP Fills'!A1947="","",IF('ATP Fills'!Q1947="PHILLIPSG",'ATP Fills'!F1947,""))</f>
        <v/>
      </c>
      <c r="B1947" t="str">
        <f>IF(A1947="","",'ATP Fills'!L1947)</f>
        <v/>
      </c>
      <c r="C1947" t="str">
        <f>IF(A1947="","",'ATP Fills'!M1947)</f>
        <v/>
      </c>
      <c r="D1947" t="str">
        <f>IF(A1947="","",'ATP Fills'!B1947)</f>
        <v/>
      </c>
      <c r="E1947" s="3" t="str">
        <f>IF(A1947="","",IF(DATE(LEFT(D1947,4),MID(D1947,5,2),RIGHT(D1947,2))=Helper1!$P$1,Helper1!$P$1,""))</f>
        <v/>
      </c>
      <c r="F1947" s="3" t="str">
        <f>IF(A1947="","",'ATP Fills'!G1947)</f>
        <v/>
      </c>
      <c r="G1947" t="str">
        <f>IF(A1947="","",'ATP Fills'!H1947)</f>
        <v/>
      </c>
      <c r="H1947" t="str">
        <f>IF(A1947="","",VLOOKUP(G1947,表3_3[],2,0))</f>
        <v/>
      </c>
      <c r="I1947" t="str">
        <f>IF(A1947="","",VLOOKUP(G1947,表3_3[],3,0))</f>
        <v/>
      </c>
      <c r="J1947" t="str">
        <f>IF(A1947="","",IF('ATP Fills'!I1947="3M","",VLOOKUP(RIGHT('ATP Fills'!I1947,2),Helper1!$O$36:$P$48,2,0)))</f>
        <v/>
      </c>
      <c r="K1947" t="str">
        <f>IF(J1947="","",LEFT('ATP Fills'!I1947,4))</f>
        <v/>
      </c>
      <c r="L1947" t="str">
        <f>IF(A1947="","",IF('ATP Fills'!G1947="LME",'ATP Fills'!I1947,""))</f>
        <v/>
      </c>
      <c r="M1947" t="str">
        <f t="shared" si="30"/>
        <v/>
      </c>
    </row>
    <row r="1948" spans="1:13">
      <c r="A1948" t="str">
        <f>IF('ATP Fills'!A1948="","",IF('ATP Fills'!Q1948="PHILLIPSG",'ATP Fills'!F1948,""))</f>
        <v/>
      </c>
      <c r="B1948" t="str">
        <f>IF(A1948="","",'ATP Fills'!L1948)</f>
        <v/>
      </c>
      <c r="C1948" t="str">
        <f>IF(A1948="","",'ATP Fills'!M1948)</f>
        <v/>
      </c>
      <c r="D1948" t="str">
        <f>IF(A1948="","",'ATP Fills'!B1948)</f>
        <v/>
      </c>
      <c r="E1948" s="3" t="str">
        <f>IF(A1948="","",IF(DATE(LEFT(D1948,4),MID(D1948,5,2),RIGHT(D1948,2))=Helper1!$P$1,Helper1!$P$1,""))</f>
        <v/>
      </c>
      <c r="F1948" s="3" t="str">
        <f>IF(A1948="","",'ATP Fills'!G1948)</f>
        <v/>
      </c>
      <c r="G1948" t="str">
        <f>IF(A1948="","",'ATP Fills'!H1948)</f>
        <v/>
      </c>
      <c r="H1948" t="str">
        <f>IF(A1948="","",VLOOKUP(G1948,表3_3[],2,0))</f>
        <v/>
      </c>
      <c r="I1948" t="str">
        <f>IF(A1948="","",VLOOKUP(G1948,表3_3[],3,0))</f>
        <v/>
      </c>
      <c r="J1948" t="str">
        <f>IF(A1948="","",IF('ATP Fills'!I1948="3M","",VLOOKUP(RIGHT('ATP Fills'!I1948,2),Helper1!$O$36:$P$48,2,0)))</f>
        <v/>
      </c>
      <c r="K1948" t="str">
        <f>IF(J1948="","",LEFT('ATP Fills'!I1948,4))</f>
        <v/>
      </c>
      <c r="L1948" t="str">
        <f>IF(A1948="","",IF('ATP Fills'!G1948="LME",'ATP Fills'!I1948,""))</f>
        <v/>
      </c>
      <c r="M1948" t="str">
        <f t="shared" si="30"/>
        <v/>
      </c>
    </row>
    <row r="1949" spans="1:13">
      <c r="A1949" t="str">
        <f>IF('ATP Fills'!A1949="","",IF('ATP Fills'!Q1949="PHILLIPSG",'ATP Fills'!F1949,""))</f>
        <v/>
      </c>
      <c r="B1949" t="str">
        <f>IF(A1949="","",'ATP Fills'!L1949)</f>
        <v/>
      </c>
      <c r="C1949" t="str">
        <f>IF(A1949="","",'ATP Fills'!M1949)</f>
        <v/>
      </c>
      <c r="D1949" t="str">
        <f>IF(A1949="","",'ATP Fills'!B1949)</f>
        <v/>
      </c>
      <c r="E1949" s="3" t="str">
        <f>IF(A1949="","",IF(DATE(LEFT(D1949,4),MID(D1949,5,2),RIGHT(D1949,2))=Helper1!$P$1,Helper1!$P$1,""))</f>
        <v/>
      </c>
      <c r="F1949" s="3" t="str">
        <f>IF(A1949="","",'ATP Fills'!G1949)</f>
        <v/>
      </c>
      <c r="G1949" t="str">
        <f>IF(A1949="","",'ATP Fills'!H1949)</f>
        <v/>
      </c>
      <c r="H1949" t="str">
        <f>IF(A1949="","",VLOOKUP(G1949,表3_3[],2,0))</f>
        <v/>
      </c>
      <c r="I1949" t="str">
        <f>IF(A1949="","",VLOOKUP(G1949,表3_3[],3,0))</f>
        <v/>
      </c>
      <c r="J1949" t="str">
        <f>IF(A1949="","",IF('ATP Fills'!I1949="3M","",VLOOKUP(RIGHT('ATP Fills'!I1949,2),Helper1!$O$36:$P$48,2,0)))</f>
        <v/>
      </c>
      <c r="K1949" t="str">
        <f>IF(J1949="","",LEFT('ATP Fills'!I1949,4))</f>
        <v/>
      </c>
      <c r="L1949" t="str">
        <f>IF(A1949="","",IF('ATP Fills'!G1949="LME",'ATP Fills'!I1949,""))</f>
        <v/>
      </c>
      <c r="M1949" t="str">
        <f t="shared" si="30"/>
        <v/>
      </c>
    </row>
    <row r="1950" spans="1:13">
      <c r="A1950" t="str">
        <f>IF('ATP Fills'!A1950="","",IF('ATP Fills'!Q1950="PHILLIPSG",'ATP Fills'!F1950,""))</f>
        <v/>
      </c>
      <c r="B1950" t="str">
        <f>IF(A1950="","",'ATP Fills'!L1950)</f>
        <v/>
      </c>
      <c r="C1950" t="str">
        <f>IF(A1950="","",'ATP Fills'!M1950)</f>
        <v/>
      </c>
      <c r="D1950" t="str">
        <f>IF(A1950="","",'ATP Fills'!B1950)</f>
        <v/>
      </c>
      <c r="E1950" s="3" t="str">
        <f>IF(A1950="","",IF(DATE(LEFT(D1950,4),MID(D1950,5,2),RIGHT(D1950,2))=Helper1!$P$1,Helper1!$P$1,""))</f>
        <v/>
      </c>
      <c r="F1950" s="3" t="str">
        <f>IF(A1950="","",'ATP Fills'!G1950)</f>
        <v/>
      </c>
      <c r="G1950" t="str">
        <f>IF(A1950="","",'ATP Fills'!H1950)</f>
        <v/>
      </c>
      <c r="H1950" t="str">
        <f>IF(A1950="","",VLOOKUP(G1950,表3_3[],2,0))</f>
        <v/>
      </c>
      <c r="I1950" t="str">
        <f>IF(A1950="","",VLOOKUP(G1950,表3_3[],3,0))</f>
        <v/>
      </c>
      <c r="J1950" t="str">
        <f>IF(A1950="","",IF('ATP Fills'!I1950="3M","",VLOOKUP(RIGHT('ATP Fills'!I1950,2),Helper1!$O$36:$P$48,2,0)))</f>
        <v/>
      </c>
      <c r="K1950" t="str">
        <f>IF(J1950="","",LEFT('ATP Fills'!I1950,4))</f>
        <v/>
      </c>
      <c r="L1950" t="str">
        <f>IF(A1950="","",IF('ATP Fills'!G1950="LME",'ATP Fills'!I1950,""))</f>
        <v/>
      </c>
      <c r="M1950" t="str">
        <f t="shared" si="30"/>
        <v/>
      </c>
    </row>
    <row r="1951" spans="1:13">
      <c r="A1951" t="str">
        <f>IF('ATP Fills'!A1951="","",IF('ATP Fills'!Q1951="PHILLIPSG",'ATP Fills'!F1951,""))</f>
        <v/>
      </c>
      <c r="B1951" t="str">
        <f>IF(A1951="","",'ATP Fills'!L1951)</f>
        <v/>
      </c>
      <c r="C1951" t="str">
        <f>IF(A1951="","",'ATP Fills'!M1951)</f>
        <v/>
      </c>
      <c r="D1951" t="str">
        <f>IF(A1951="","",'ATP Fills'!B1951)</f>
        <v/>
      </c>
      <c r="E1951" s="3" t="str">
        <f>IF(A1951="","",IF(DATE(LEFT(D1951,4),MID(D1951,5,2),RIGHT(D1951,2))=Helper1!$P$1,Helper1!$P$1,""))</f>
        <v/>
      </c>
      <c r="F1951" s="3" t="str">
        <f>IF(A1951="","",'ATP Fills'!G1951)</f>
        <v/>
      </c>
      <c r="G1951" t="str">
        <f>IF(A1951="","",'ATP Fills'!H1951)</f>
        <v/>
      </c>
      <c r="H1951" t="str">
        <f>IF(A1951="","",VLOOKUP(G1951,表3_3[],2,0))</f>
        <v/>
      </c>
      <c r="I1951" t="str">
        <f>IF(A1951="","",VLOOKUP(G1951,表3_3[],3,0))</f>
        <v/>
      </c>
      <c r="J1951" t="str">
        <f>IF(A1951="","",IF('ATP Fills'!I1951="3M","",VLOOKUP(RIGHT('ATP Fills'!I1951,2),Helper1!$O$36:$P$48,2,0)))</f>
        <v/>
      </c>
      <c r="K1951" t="str">
        <f>IF(J1951="","",LEFT('ATP Fills'!I1951,4))</f>
        <v/>
      </c>
      <c r="L1951" t="str">
        <f>IF(A1951="","",IF('ATP Fills'!G1951="LME",'ATP Fills'!I1951,""))</f>
        <v/>
      </c>
      <c r="M1951" t="str">
        <f t="shared" si="30"/>
        <v/>
      </c>
    </row>
    <row r="1952" spans="1:13">
      <c r="A1952" t="str">
        <f>IF('ATP Fills'!A1952="","",IF('ATP Fills'!Q1952="PHILLIPSG",'ATP Fills'!F1952,""))</f>
        <v/>
      </c>
      <c r="B1952" t="str">
        <f>IF(A1952="","",'ATP Fills'!L1952)</f>
        <v/>
      </c>
      <c r="C1952" t="str">
        <f>IF(A1952="","",'ATP Fills'!M1952)</f>
        <v/>
      </c>
      <c r="D1952" t="str">
        <f>IF(A1952="","",'ATP Fills'!B1952)</f>
        <v/>
      </c>
      <c r="E1952" s="3" t="str">
        <f>IF(A1952="","",IF(DATE(LEFT(D1952,4),MID(D1952,5,2),RIGHT(D1952,2))=Helper1!$P$1,Helper1!$P$1,""))</f>
        <v/>
      </c>
      <c r="F1952" s="3" t="str">
        <f>IF(A1952="","",'ATP Fills'!G1952)</f>
        <v/>
      </c>
      <c r="G1952" t="str">
        <f>IF(A1952="","",'ATP Fills'!H1952)</f>
        <v/>
      </c>
      <c r="H1952" t="str">
        <f>IF(A1952="","",VLOOKUP(G1952,表3_3[],2,0))</f>
        <v/>
      </c>
      <c r="I1952" t="str">
        <f>IF(A1952="","",VLOOKUP(G1952,表3_3[],3,0))</f>
        <v/>
      </c>
      <c r="J1952" t="str">
        <f>IF(A1952="","",IF('ATP Fills'!I1952="3M","",VLOOKUP(RIGHT('ATP Fills'!I1952,2),Helper1!$O$36:$P$48,2,0)))</f>
        <v/>
      </c>
      <c r="K1952" t="str">
        <f>IF(J1952="","",LEFT('ATP Fills'!I1952,4))</f>
        <v/>
      </c>
      <c r="L1952" t="str">
        <f>IF(A1952="","",IF('ATP Fills'!G1952="LME",'ATP Fills'!I1952,""))</f>
        <v/>
      </c>
      <c r="M1952" t="str">
        <f t="shared" si="30"/>
        <v/>
      </c>
    </row>
    <row r="1953" spans="1:13">
      <c r="A1953" t="str">
        <f>IF('ATP Fills'!A1953="","",IF('ATP Fills'!Q1953="PHILLIPSG",'ATP Fills'!F1953,""))</f>
        <v/>
      </c>
      <c r="B1953" t="str">
        <f>IF(A1953="","",'ATP Fills'!L1953)</f>
        <v/>
      </c>
      <c r="C1953" t="str">
        <f>IF(A1953="","",'ATP Fills'!M1953)</f>
        <v/>
      </c>
      <c r="D1953" t="str">
        <f>IF(A1953="","",'ATP Fills'!B1953)</f>
        <v/>
      </c>
      <c r="E1953" s="3" t="str">
        <f>IF(A1953="","",IF(DATE(LEFT(D1953,4),MID(D1953,5,2),RIGHT(D1953,2))=Helper1!$P$1,Helper1!$P$1,""))</f>
        <v/>
      </c>
      <c r="F1953" s="3" t="str">
        <f>IF(A1953="","",'ATP Fills'!G1953)</f>
        <v/>
      </c>
      <c r="G1953" t="str">
        <f>IF(A1953="","",'ATP Fills'!H1953)</f>
        <v/>
      </c>
      <c r="H1953" t="str">
        <f>IF(A1953="","",VLOOKUP(G1953,表3_3[],2,0))</f>
        <v/>
      </c>
      <c r="I1953" t="str">
        <f>IF(A1953="","",VLOOKUP(G1953,表3_3[],3,0))</f>
        <v/>
      </c>
      <c r="J1953" t="str">
        <f>IF(A1953="","",IF('ATP Fills'!I1953="3M","",VLOOKUP(RIGHT('ATP Fills'!I1953,2),Helper1!$O$36:$P$48,2,0)))</f>
        <v/>
      </c>
      <c r="K1953" t="str">
        <f>IF(J1953="","",LEFT('ATP Fills'!I1953,4))</f>
        <v/>
      </c>
      <c r="L1953" t="str">
        <f>IF(A1953="","",IF('ATP Fills'!G1953="LME",'ATP Fills'!I1953,""))</f>
        <v/>
      </c>
      <c r="M1953" t="str">
        <f t="shared" si="30"/>
        <v/>
      </c>
    </row>
    <row r="1954" spans="1:13">
      <c r="A1954" t="str">
        <f>IF('ATP Fills'!A1954="","",IF('ATP Fills'!Q1954="PHILLIPSG",'ATP Fills'!F1954,""))</f>
        <v/>
      </c>
      <c r="B1954" t="str">
        <f>IF(A1954="","",'ATP Fills'!L1954)</f>
        <v/>
      </c>
      <c r="C1954" t="str">
        <f>IF(A1954="","",'ATP Fills'!M1954)</f>
        <v/>
      </c>
      <c r="D1954" t="str">
        <f>IF(A1954="","",'ATP Fills'!B1954)</f>
        <v/>
      </c>
      <c r="E1954" s="3" t="str">
        <f>IF(A1954="","",IF(DATE(LEFT(D1954,4),MID(D1954,5,2),RIGHT(D1954,2))=Helper1!$P$1,Helper1!$P$1,""))</f>
        <v/>
      </c>
      <c r="F1954" s="3" t="str">
        <f>IF(A1954="","",'ATP Fills'!G1954)</f>
        <v/>
      </c>
      <c r="G1954" t="str">
        <f>IF(A1954="","",'ATP Fills'!H1954)</f>
        <v/>
      </c>
      <c r="H1954" t="str">
        <f>IF(A1954="","",VLOOKUP(G1954,表3_3[],2,0))</f>
        <v/>
      </c>
      <c r="I1954" t="str">
        <f>IF(A1954="","",VLOOKUP(G1954,表3_3[],3,0))</f>
        <v/>
      </c>
      <c r="J1954" t="str">
        <f>IF(A1954="","",IF('ATP Fills'!I1954="3M","",VLOOKUP(RIGHT('ATP Fills'!I1954,2),Helper1!$O$36:$P$48,2,0)))</f>
        <v/>
      </c>
      <c r="K1954" t="str">
        <f>IF(J1954="","",LEFT('ATP Fills'!I1954,4))</f>
        <v/>
      </c>
      <c r="L1954" t="str">
        <f>IF(A1954="","",IF('ATP Fills'!G1954="LME",'ATP Fills'!I1954,""))</f>
        <v/>
      </c>
      <c r="M1954" t="str">
        <f t="shared" si="30"/>
        <v/>
      </c>
    </row>
    <row r="1955" spans="1:13">
      <c r="A1955" t="str">
        <f>IF('ATP Fills'!A1955="","",IF('ATP Fills'!Q1955="PHILLIPSG",'ATP Fills'!F1955,""))</f>
        <v/>
      </c>
      <c r="B1955" t="str">
        <f>IF(A1955="","",'ATP Fills'!L1955)</f>
        <v/>
      </c>
      <c r="C1955" t="str">
        <f>IF(A1955="","",'ATP Fills'!M1955)</f>
        <v/>
      </c>
      <c r="D1955" t="str">
        <f>IF(A1955="","",'ATP Fills'!B1955)</f>
        <v/>
      </c>
      <c r="E1955" s="3" t="str">
        <f>IF(A1955="","",IF(DATE(LEFT(D1955,4),MID(D1955,5,2),RIGHT(D1955,2))=Helper1!$P$1,Helper1!$P$1,""))</f>
        <v/>
      </c>
      <c r="F1955" s="3" t="str">
        <f>IF(A1955="","",'ATP Fills'!G1955)</f>
        <v/>
      </c>
      <c r="G1955" t="str">
        <f>IF(A1955="","",'ATP Fills'!H1955)</f>
        <v/>
      </c>
      <c r="H1955" t="str">
        <f>IF(A1955="","",VLOOKUP(G1955,表3_3[],2,0))</f>
        <v/>
      </c>
      <c r="I1955" t="str">
        <f>IF(A1955="","",VLOOKUP(G1955,表3_3[],3,0))</f>
        <v/>
      </c>
      <c r="J1955" t="str">
        <f>IF(A1955="","",IF('ATP Fills'!I1955="3M","",VLOOKUP(RIGHT('ATP Fills'!I1955,2),Helper1!$O$36:$P$48,2,0)))</f>
        <v/>
      </c>
      <c r="K1955" t="str">
        <f>IF(J1955="","",LEFT('ATP Fills'!I1955,4))</f>
        <v/>
      </c>
      <c r="L1955" t="str">
        <f>IF(A1955="","",IF('ATP Fills'!G1955="LME",'ATP Fills'!I1955,""))</f>
        <v/>
      </c>
      <c r="M1955" t="str">
        <f t="shared" si="30"/>
        <v/>
      </c>
    </row>
    <row r="1956" spans="1:13">
      <c r="A1956" t="str">
        <f>IF('ATP Fills'!A1956="","",IF('ATP Fills'!Q1956="PHILLIPSG",'ATP Fills'!F1956,""))</f>
        <v/>
      </c>
      <c r="B1956" t="str">
        <f>IF(A1956="","",'ATP Fills'!L1956)</f>
        <v/>
      </c>
      <c r="C1956" t="str">
        <f>IF(A1956="","",'ATP Fills'!M1956)</f>
        <v/>
      </c>
      <c r="D1956" t="str">
        <f>IF(A1956="","",'ATP Fills'!B1956)</f>
        <v/>
      </c>
      <c r="E1956" s="3" t="str">
        <f>IF(A1956="","",IF(DATE(LEFT(D1956,4),MID(D1956,5,2),RIGHT(D1956,2))=Helper1!$P$1,Helper1!$P$1,""))</f>
        <v/>
      </c>
      <c r="F1956" s="3" t="str">
        <f>IF(A1956="","",'ATP Fills'!G1956)</f>
        <v/>
      </c>
      <c r="G1956" t="str">
        <f>IF(A1956="","",'ATP Fills'!H1956)</f>
        <v/>
      </c>
      <c r="H1956" t="str">
        <f>IF(A1956="","",VLOOKUP(G1956,表3_3[],2,0))</f>
        <v/>
      </c>
      <c r="I1956" t="str">
        <f>IF(A1956="","",VLOOKUP(G1956,表3_3[],3,0))</f>
        <v/>
      </c>
      <c r="J1956" t="str">
        <f>IF(A1956="","",IF('ATP Fills'!I1956="3M","",VLOOKUP(RIGHT('ATP Fills'!I1956,2),Helper1!$O$36:$P$48,2,0)))</f>
        <v/>
      </c>
      <c r="K1956" t="str">
        <f>IF(J1956="","",LEFT('ATP Fills'!I1956,4))</f>
        <v/>
      </c>
      <c r="L1956" t="str">
        <f>IF(A1956="","",IF('ATP Fills'!G1956="LME",'ATP Fills'!I1956,""))</f>
        <v/>
      </c>
      <c r="M1956" t="str">
        <f t="shared" si="30"/>
        <v/>
      </c>
    </row>
    <row r="1957" spans="1:13">
      <c r="A1957" t="str">
        <f>IF('ATP Fills'!A1957="","",IF('ATP Fills'!Q1957="PHILLIPSG",'ATP Fills'!F1957,""))</f>
        <v/>
      </c>
      <c r="B1957" t="str">
        <f>IF(A1957="","",'ATP Fills'!L1957)</f>
        <v/>
      </c>
      <c r="C1957" t="str">
        <f>IF(A1957="","",'ATP Fills'!M1957)</f>
        <v/>
      </c>
      <c r="D1957" t="str">
        <f>IF(A1957="","",'ATP Fills'!B1957)</f>
        <v/>
      </c>
      <c r="E1957" s="3" t="str">
        <f>IF(A1957="","",IF(DATE(LEFT(D1957,4),MID(D1957,5,2),RIGHT(D1957,2))=Helper1!$P$1,Helper1!$P$1,""))</f>
        <v/>
      </c>
      <c r="F1957" s="3" t="str">
        <f>IF(A1957="","",'ATP Fills'!G1957)</f>
        <v/>
      </c>
      <c r="G1957" t="str">
        <f>IF(A1957="","",'ATP Fills'!H1957)</f>
        <v/>
      </c>
      <c r="H1957" t="str">
        <f>IF(A1957="","",VLOOKUP(G1957,表3_3[],2,0))</f>
        <v/>
      </c>
      <c r="I1957" t="str">
        <f>IF(A1957="","",VLOOKUP(G1957,表3_3[],3,0))</f>
        <v/>
      </c>
      <c r="J1957" t="str">
        <f>IF(A1957="","",IF('ATP Fills'!I1957="3M","",VLOOKUP(RIGHT('ATP Fills'!I1957,2),Helper1!$O$36:$P$48,2,0)))</f>
        <v/>
      </c>
      <c r="K1957" t="str">
        <f>IF(J1957="","",LEFT('ATP Fills'!I1957,4))</f>
        <v/>
      </c>
      <c r="L1957" t="str">
        <f>IF(A1957="","",IF('ATP Fills'!G1957="LME",'ATP Fills'!I1957,""))</f>
        <v/>
      </c>
      <c r="M1957" t="str">
        <f t="shared" si="30"/>
        <v/>
      </c>
    </row>
    <row r="1958" spans="1:13">
      <c r="A1958" t="str">
        <f>IF('ATP Fills'!A1958="","",IF('ATP Fills'!Q1958="PHILLIPSG",'ATP Fills'!F1958,""))</f>
        <v/>
      </c>
      <c r="B1958" t="str">
        <f>IF(A1958="","",'ATP Fills'!L1958)</f>
        <v/>
      </c>
      <c r="C1958" t="str">
        <f>IF(A1958="","",'ATP Fills'!M1958)</f>
        <v/>
      </c>
      <c r="D1958" t="str">
        <f>IF(A1958="","",'ATP Fills'!B1958)</f>
        <v/>
      </c>
      <c r="E1958" s="3" t="str">
        <f>IF(A1958="","",IF(DATE(LEFT(D1958,4),MID(D1958,5,2),RIGHT(D1958,2))=Helper1!$P$1,Helper1!$P$1,""))</f>
        <v/>
      </c>
      <c r="F1958" s="3" t="str">
        <f>IF(A1958="","",'ATP Fills'!G1958)</f>
        <v/>
      </c>
      <c r="G1958" t="str">
        <f>IF(A1958="","",'ATP Fills'!H1958)</f>
        <v/>
      </c>
      <c r="H1958" t="str">
        <f>IF(A1958="","",VLOOKUP(G1958,表3_3[],2,0))</f>
        <v/>
      </c>
      <c r="I1958" t="str">
        <f>IF(A1958="","",VLOOKUP(G1958,表3_3[],3,0))</f>
        <v/>
      </c>
      <c r="J1958" t="str">
        <f>IF(A1958="","",IF('ATP Fills'!I1958="3M","",VLOOKUP(RIGHT('ATP Fills'!I1958,2),Helper1!$O$36:$P$48,2,0)))</f>
        <v/>
      </c>
      <c r="K1958" t="str">
        <f>IF(J1958="","",LEFT('ATP Fills'!I1958,4))</f>
        <v/>
      </c>
      <c r="L1958" t="str">
        <f>IF(A1958="","",IF('ATP Fills'!G1958="LME",'ATP Fills'!I1958,""))</f>
        <v/>
      </c>
      <c r="M1958" t="str">
        <f t="shared" si="30"/>
        <v/>
      </c>
    </row>
    <row r="1959" spans="1:13">
      <c r="A1959" t="str">
        <f>IF('ATP Fills'!A1959="","",IF('ATP Fills'!Q1959="PHILLIPSG",'ATP Fills'!F1959,""))</f>
        <v/>
      </c>
      <c r="B1959" t="str">
        <f>IF(A1959="","",'ATP Fills'!L1959)</f>
        <v/>
      </c>
      <c r="C1959" t="str">
        <f>IF(A1959="","",'ATP Fills'!M1959)</f>
        <v/>
      </c>
      <c r="D1959" t="str">
        <f>IF(A1959="","",'ATP Fills'!B1959)</f>
        <v/>
      </c>
      <c r="E1959" s="3" t="str">
        <f>IF(A1959="","",IF(DATE(LEFT(D1959,4),MID(D1959,5,2),RIGHT(D1959,2))=Helper1!$P$1,Helper1!$P$1,""))</f>
        <v/>
      </c>
      <c r="F1959" s="3" t="str">
        <f>IF(A1959="","",'ATP Fills'!G1959)</f>
        <v/>
      </c>
      <c r="G1959" t="str">
        <f>IF(A1959="","",'ATP Fills'!H1959)</f>
        <v/>
      </c>
      <c r="H1959" t="str">
        <f>IF(A1959="","",VLOOKUP(G1959,表3_3[],2,0))</f>
        <v/>
      </c>
      <c r="I1959" t="str">
        <f>IF(A1959="","",VLOOKUP(G1959,表3_3[],3,0))</f>
        <v/>
      </c>
      <c r="J1959" t="str">
        <f>IF(A1959="","",IF('ATP Fills'!I1959="3M","",VLOOKUP(RIGHT('ATP Fills'!I1959,2),Helper1!$O$36:$P$48,2,0)))</f>
        <v/>
      </c>
      <c r="K1959" t="str">
        <f>IF(J1959="","",LEFT('ATP Fills'!I1959,4))</f>
        <v/>
      </c>
      <c r="L1959" t="str">
        <f>IF(A1959="","",IF('ATP Fills'!G1959="LME",'ATP Fills'!I1959,""))</f>
        <v/>
      </c>
      <c r="M1959" t="str">
        <f t="shared" si="30"/>
        <v/>
      </c>
    </row>
    <row r="1960" spans="1:13">
      <c r="A1960" t="str">
        <f>IF('ATP Fills'!A1960="","",IF('ATP Fills'!Q1960="PHILLIPSG",'ATP Fills'!F1960,""))</f>
        <v/>
      </c>
      <c r="B1960" t="str">
        <f>IF(A1960="","",'ATP Fills'!L1960)</f>
        <v/>
      </c>
      <c r="C1960" t="str">
        <f>IF(A1960="","",'ATP Fills'!M1960)</f>
        <v/>
      </c>
      <c r="D1960" t="str">
        <f>IF(A1960="","",'ATP Fills'!B1960)</f>
        <v/>
      </c>
      <c r="E1960" s="3" t="str">
        <f>IF(A1960="","",IF(DATE(LEFT(D1960,4),MID(D1960,5,2),RIGHT(D1960,2))=Helper1!$P$1,Helper1!$P$1,""))</f>
        <v/>
      </c>
      <c r="F1960" s="3" t="str">
        <f>IF(A1960="","",'ATP Fills'!G1960)</f>
        <v/>
      </c>
      <c r="G1960" t="str">
        <f>IF(A1960="","",'ATP Fills'!H1960)</f>
        <v/>
      </c>
      <c r="H1960" t="str">
        <f>IF(A1960="","",VLOOKUP(G1960,表3_3[],2,0))</f>
        <v/>
      </c>
      <c r="I1960" t="str">
        <f>IF(A1960="","",VLOOKUP(G1960,表3_3[],3,0))</f>
        <v/>
      </c>
      <c r="J1960" t="str">
        <f>IF(A1960="","",IF('ATP Fills'!I1960="3M","",VLOOKUP(RIGHT('ATP Fills'!I1960,2),Helper1!$O$36:$P$48,2,0)))</f>
        <v/>
      </c>
      <c r="K1960" t="str">
        <f>IF(J1960="","",LEFT('ATP Fills'!I1960,4))</f>
        <v/>
      </c>
      <c r="L1960" t="str">
        <f>IF(A1960="","",IF('ATP Fills'!G1960="LME",'ATP Fills'!I1960,""))</f>
        <v/>
      </c>
      <c r="M1960" t="str">
        <f t="shared" si="30"/>
        <v/>
      </c>
    </row>
    <row r="1961" spans="1:13">
      <c r="A1961" t="str">
        <f>IF('ATP Fills'!A1961="","",IF('ATP Fills'!Q1961="PHILLIPSG",'ATP Fills'!F1961,""))</f>
        <v/>
      </c>
      <c r="B1961" t="str">
        <f>IF(A1961="","",'ATP Fills'!L1961)</f>
        <v/>
      </c>
      <c r="C1961" t="str">
        <f>IF(A1961="","",'ATP Fills'!M1961)</f>
        <v/>
      </c>
      <c r="D1961" t="str">
        <f>IF(A1961="","",'ATP Fills'!B1961)</f>
        <v/>
      </c>
      <c r="E1961" s="3" t="str">
        <f>IF(A1961="","",IF(DATE(LEFT(D1961,4),MID(D1961,5,2),RIGHT(D1961,2))=Helper1!$P$1,Helper1!$P$1,""))</f>
        <v/>
      </c>
      <c r="F1961" s="3" t="str">
        <f>IF(A1961="","",'ATP Fills'!G1961)</f>
        <v/>
      </c>
      <c r="G1961" t="str">
        <f>IF(A1961="","",'ATP Fills'!H1961)</f>
        <v/>
      </c>
      <c r="H1961" t="str">
        <f>IF(A1961="","",VLOOKUP(G1961,表3_3[],2,0))</f>
        <v/>
      </c>
      <c r="I1961" t="str">
        <f>IF(A1961="","",VLOOKUP(G1961,表3_3[],3,0))</f>
        <v/>
      </c>
      <c r="J1961" t="str">
        <f>IF(A1961="","",IF('ATP Fills'!I1961="3M","",VLOOKUP(RIGHT('ATP Fills'!I1961,2),Helper1!$O$36:$P$48,2,0)))</f>
        <v/>
      </c>
      <c r="K1961" t="str">
        <f>IF(J1961="","",LEFT('ATP Fills'!I1961,4))</f>
        <v/>
      </c>
      <c r="L1961" t="str">
        <f>IF(A1961="","",IF('ATP Fills'!G1961="LME",'ATP Fills'!I1961,""))</f>
        <v/>
      </c>
      <c r="M1961" t="str">
        <f t="shared" si="30"/>
        <v/>
      </c>
    </row>
    <row r="1962" spans="1:13">
      <c r="A1962" t="str">
        <f>IF('ATP Fills'!A1962="","",IF('ATP Fills'!Q1962="PHILLIPSG",'ATP Fills'!F1962,""))</f>
        <v/>
      </c>
      <c r="B1962" t="str">
        <f>IF(A1962="","",'ATP Fills'!L1962)</f>
        <v/>
      </c>
      <c r="C1962" t="str">
        <f>IF(A1962="","",'ATP Fills'!M1962)</f>
        <v/>
      </c>
      <c r="D1962" t="str">
        <f>IF(A1962="","",'ATP Fills'!B1962)</f>
        <v/>
      </c>
      <c r="E1962" s="3" t="str">
        <f>IF(A1962="","",IF(DATE(LEFT(D1962,4),MID(D1962,5,2),RIGHT(D1962,2))=Helper1!$P$1,Helper1!$P$1,""))</f>
        <v/>
      </c>
      <c r="F1962" s="3" t="str">
        <f>IF(A1962="","",'ATP Fills'!G1962)</f>
        <v/>
      </c>
      <c r="G1962" t="str">
        <f>IF(A1962="","",'ATP Fills'!H1962)</f>
        <v/>
      </c>
      <c r="H1962" t="str">
        <f>IF(A1962="","",VLOOKUP(G1962,表3_3[],2,0))</f>
        <v/>
      </c>
      <c r="I1962" t="str">
        <f>IF(A1962="","",VLOOKUP(G1962,表3_3[],3,0))</f>
        <v/>
      </c>
      <c r="J1962" t="str">
        <f>IF(A1962="","",IF('ATP Fills'!I1962="3M","",VLOOKUP(RIGHT('ATP Fills'!I1962,2),Helper1!$O$36:$P$48,2,0)))</f>
        <v/>
      </c>
      <c r="K1962" t="str">
        <f>IF(J1962="","",LEFT('ATP Fills'!I1962,4))</f>
        <v/>
      </c>
      <c r="L1962" t="str">
        <f>IF(A1962="","",IF('ATP Fills'!G1962="LME",'ATP Fills'!I1962,""))</f>
        <v/>
      </c>
      <c r="M1962" t="str">
        <f t="shared" si="30"/>
        <v/>
      </c>
    </row>
    <row r="1963" spans="1:13">
      <c r="A1963" t="str">
        <f>IF('ATP Fills'!A1963="","",IF('ATP Fills'!Q1963="PHILLIPSG",'ATP Fills'!F1963,""))</f>
        <v/>
      </c>
      <c r="B1963" t="str">
        <f>IF(A1963="","",'ATP Fills'!L1963)</f>
        <v/>
      </c>
      <c r="C1963" t="str">
        <f>IF(A1963="","",'ATP Fills'!M1963)</f>
        <v/>
      </c>
      <c r="D1963" t="str">
        <f>IF(A1963="","",'ATP Fills'!B1963)</f>
        <v/>
      </c>
      <c r="E1963" s="3" t="str">
        <f>IF(A1963="","",IF(DATE(LEFT(D1963,4),MID(D1963,5,2),RIGHT(D1963,2))=Helper1!$P$1,Helper1!$P$1,""))</f>
        <v/>
      </c>
      <c r="F1963" s="3" t="str">
        <f>IF(A1963="","",'ATP Fills'!G1963)</f>
        <v/>
      </c>
      <c r="G1963" t="str">
        <f>IF(A1963="","",'ATP Fills'!H1963)</f>
        <v/>
      </c>
      <c r="H1963" t="str">
        <f>IF(A1963="","",VLOOKUP(G1963,表3_3[],2,0))</f>
        <v/>
      </c>
      <c r="I1963" t="str">
        <f>IF(A1963="","",VLOOKUP(G1963,表3_3[],3,0))</f>
        <v/>
      </c>
      <c r="J1963" t="str">
        <f>IF(A1963="","",IF('ATP Fills'!I1963="3M","",VLOOKUP(RIGHT('ATP Fills'!I1963,2),Helper1!$O$36:$P$48,2,0)))</f>
        <v/>
      </c>
      <c r="K1963" t="str">
        <f>IF(J1963="","",LEFT('ATP Fills'!I1963,4))</f>
        <v/>
      </c>
      <c r="L1963" t="str">
        <f>IF(A1963="","",IF('ATP Fills'!G1963="LME",'ATP Fills'!I1963,""))</f>
        <v/>
      </c>
      <c r="M1963" t="str">
        <f t="shared" si="30"/>
        <v/>
      </c>
    </row>
    <row r="1964" spans="1:13">
      <c r="A1964" t="str">
        <f>IF('ATP Fills'!A1964="","",IF('ATP Fills'!Q1964="PHILLIPSG",'ATP Fills'!F1964,""))</f>
        <v/>
      </c>
      <c r="B1964" t="str">
        <f>IF(A1964="","",'ATP Fills'!L1964)</f>
        <v/>
      </c>
      <c r="C1964" t="str">
        <f>IF(A1964="","",'ATP Fills'!M1964)</f>
        <v/>
      </c>
      <c r="D1964" t="str">
        <f>IF(A1964="","",'ATP Fills'!B1964)</f>
        <v/>
      </c>
      <c r="E1964" s="3" t="str">
        <f>IF(A1964="","",IF(DATE(LEFT(D1964,4),MID(D1964,5,2),RIGHT(D1964,2))=Helper1!$P$1,Helper1!$P$1,""))</f>
        <v/>
      </c>
      <c r="F1964" s="3" t="str">
        <f>IF(A1964="","",'ATP Fills'!G1964)</f>
        <v/>
      </c>
      <c r="G1964" t="str">
        <f>IF(A1964="","",'ATP Fills'!H1964)</f>
        <v/>
      </c>
      <c r="H1964" t="str">
        <f>IF(A1964="","",VLOOKUP(G1964,表3_3[],2,0))</f>
        <v/>
      </c>
      <c r="I1964" t="str">
        <f>IF(A1964="","",VLOOKUP(G1964,表3_3[],3,0))</f>
        <v/>
      </c>
      <c r="J1964" t="str">
        <f>IF(A1964="","",IF('ATP Fills'!I1964="3M","",VLOOKUP(RIGHT('ATP Fills'!I1964,2),Helper1!$O$36:$P$48,2,0)))</f>
        <v/>
      </c>
      <c r="K1964" t="str">
        <f>IF(J1964="","",LEFT('ATP Fills'!I1964,4))</f>
        <v/>
      </c>
      <c r="L1964" t="str">
        <f>IF(A1964="","",IF('ATP Fills'!G1964="LME",'ATP Fills'!I1964,""))</f>
        <v/>
      </c>
      <c r="M1964" t="str">
        <f t="shared" si="30"/>
        <v/>
      </c>
    </row>
    <row r="1965" spans="1:13">
      <c r="A1965" t="str">
        <f>IF('ATP Fills'!A1965="","",IF('ATP Fills'!Q1965="PHILLIPSG",'ATP Fills'!F1965,""))</f>
        <v/>
      </c>
      <c r="B1965" t="str">
        <f>IF(A1965="","",'ATP Fills'!L1965)</f>
        <v/>
      </c>
      <c r="C1965" t="str">
        <f>IF(A1965="","",'ATP Fills'!M1965)</f>
        <v/>
      </c>
      <c r="D1965" t="str">
        <f>IF(A1965="","",'ATP Fills'!B1965)</f>
        <v/>
      </c>
      <c r="E1965" s="3" t="str">
        <f>IF(A1965="","",IF(DATE(LEFT(D1965,4),MID(D1965,5,2),RIGHT(D1965,2))=Helper1!$P$1,Helper1!$P$1,""))</f>
        <v/>
      </c>
      <c r="F1965" s="3" t="str">
        <f>IF(A1965="","",'ATP Fills'!G1965)</f>
        <v/>
      </c>
      <c r="G1965" t="str">
        <f>IF(A1965="","",'ATP Fills'!H1965)</f>
        <v/>
      </c>
      <c r="H1965" t="str">
        <f>IF(A1965="","",VLOOKUP(G1965,表3_3[],2,0))</f>
        <v/>
      </c>
      <c r="I1965" t="str">
        <f>IF(A1965="","",VLOOKUP(G1965,表3_3[],3,0))</f>
        <v/>
      </c>
      <c r="J1965" t="str">
        <f>IF(A1965="","",IF('ATP Fills'!I1965="3M","",VLOOKUP(RIGHT('ATP Fills'!I1965,2),Helper1!$O$36:$P$48,2,0)))</f>
        <v/>
      </c>
      <c r="K1965" t="str">
        <f>IF(J1965="","",LEFT('ATP Fills'!I1965,4))</f>
        <v/>
      </c>
      <c r="L1965" t="str">
        <f>IF(A1965="","",IF('ATP Fills'!G1965="LME",'ATP Fills'!I1965,""))</f>
        <v/>
      </c>
      <c r="M1965" t="str">
        <f t="shared" si="30"/>
        <v/>
      </c>
    </row>
    <row r="1966" spans="1:13">
      <c r="A1966" t="str">
        <f>IF('ATP Fills'!A1966="","",IF('ATP Fills'!Q1966="PHILLIPSG",'ATP Fills'!F1966,""))</f>
        <v/>
      </c>
      <c r="B1966" t="str">
        <f>IF(A1966="","",'ATP Fills'!L1966)</f>
        <v/>
      </c>
      <c r="C1966" t="str">
        <f>IF(A1966="","",'ATP Fills'!M1966)</f>
        <v/>
      </c>
      <c r="D1966" t="str">
        <f>IF(A1966="","",'ATP Fills'!B1966)</f>
        <v/>
      </c>
      <c r="E1966" s="3" t="str">
        <f>IF(A1966="","",IF(DATE(LEFT(D1966,4),MID(D1966,5,2),RIGHT(D1966,2))=Helper1!$P$1,Helper1!$P$1,""))</f>
        <v/>
      </c>
      <c r="F1966" s="3" t="str">
        <f>IF(A1966="","",'ATP Fills'!G1966)</f>
        <v/>
      </c>
      <c r="G1966" t="str">
        <f>IF(A1966="","",'ATP Fills'!H1966)</f>
        <v/>
      </c>
      <c r="H1966" t="str">
        <f>IF(A1966="","",VLOOKUP(G1966,表3_3[],2,0))</f>
        <v/>
      </c>
      <c r="I1966" t="str">
        <f>IF(A1966="","",VLOOKUP(G1966,表3_3[],3,0))</f>
        <v/>
      </c>
      <c r="J1966" t="str">
        <f>IF(A1966="","",IF('ATP Fills'!I1966="3M","",VLOOKUP(RIGHT('ATP Fills'!I1966,2),Helper1!$O$36:$P$48,2,0)))</f>
        <v/>
      </c>
      <c r="K1966" t="str">
        <f>IF(J1966="","",LEFT('ATP Fills'!I1966,4))</f>
        <v/>
      </c>
      <c r="L1966" t="str">
        <f>IF(A1966="","",IF('ATP Fills'!G1966="LME",'ATP Fills'!I1966,""))</f>
        <v/>
      </c>
      <c r="M1966" t="str">
        <f t="shared" si="30"/>
        <v/>
      </c>
    </row>
    <row r="1967" spans="1:13">
      <c r="A1967" t="str">
        <f>IF('ATP Fills'!A1967="","",IF('ATP Fills'!Q1967="PHILLIPSG",'ATP Fills'!F1967,""))</f>
        <v/>
      </c>
      <c r="B1967" t="str">
        <f>IF(A1967="","",'ATP Fills'!L1967)</f>
        <v/>
      </c>
      <c r="C1967" t="str">
        <f>IF(A1967="","",'ATP Fills'!M1967)</f>
        <v/>
      </c>
      <c r="D1967" t="str">
        <f>IF(A1967="","",'ATP Fills'!B1967)</f>
        <v/>
      </c>
      <c r="E1967" s="3" t="str">
        <f>IF(A1967="","",IF(DATE(LEFT(D1967,4),MID(D1967,5,2),RIGHT(D1967,2))=Helper1!$P$1,Helper1!$P$1,""))</f>
        <v/>
      </c>
      <c r="F1967" s="3" t="str">
        <f>IF(A1967="","",'ATP Fills'!G1967)</f>
        <v/>
      </c>
      <c r="G1967" t="str">
        <f>IF(A1967="","",'ATP Fills'!H1967)</f>
        <v/>
      </c>
      <c r="H1967" t="str">
        <f>IF(A1967="","",VLOOKUP(G1967,表3_3[],2,0))</f>
        <v/>
      </c>
      <c r="I1967" t="str">
        <f>IF(A1967="","",VLOOKUP(G1967,表3_3[],3,0))</f>
        <v/>
      </c>
      <c r="J1967" t="str">
        <f>IF(A1967="","",IF('ATP Fills'!I1967="3M","",VLOOKUP(RIGHT('ATP Fills'!I1967,2),Helper1!$O$36:$P$48,2,0)))</f>
        <v/>
      </c>
      <c r="K1967" t="str">
        <f>IF(J1967="","",LEFT('ATP Fills'!I1967,4))</f>
        <v/>
      </c>
      <c r="L1967" t="str">
        <f>IF(A1967="","",IF('ATP Fills'!G1967="LME",'ATP Fills'!I1967,""))</f>
        <v/>
      </c>
      <c r="M1967" t="str">
        <f t="shared" si="30"/>
        <v/>
      </c>
    </row>
    <row r="1968" spans="1:13">
      <c r="A1968" t="str">
        <f>IF('ATP Fills'!A1968="","",IF('ATP Fills'!Q1968="PHILLIPSG",'ATP Fills'!F1968,""))</f>
        <v/>
      </c>
      <c r="B1968" t="str">
        <f>IF(A1968="","",'ATP Fills'!L1968)</f>
        <v/>
      </c>
      <c r="C1968" t="str">
        <f>IF(A1968="","",'ATP Fills'!M1968)</f>
        <v/>
      </c>
      <c r="D1968" t="str">
        <f>IF(A1968="","",'ATP Fills'!B1968)</f>
        <v/>
      </c>
      <c r="E1968" s="3" t="str">
        <f>IF(A1968="","",IF(DATE(LEFT(D1968,4),MID(D1968,5,2),RIGHT(D1968,2))=Helper1!$P$1,Helper1!$P$1,""))</f>
        <v/>
      </c>
      <c r="F1968" s="3" t="str">
        <f>IF(A1968="","",'ATP Fills'!G1968)</f>
        <v/>
      </c>
      <c r="G1968" t="str">
        <f>IF(A1968="","",'ATP Fills'!H1968)</f>
        <v/>
      </c>
      <c r="H1968" t="str">
        <f>IF(A1968="","",VLOOKUP(G1968,表3_3[],2,0))</f>
        <v/>
      </c>
      <c r="I1968" t="str">
        <f>IF(A1968="","",VLOOKUP(G1968,表3_3[],3,0))</f>
        <v/>
      </c>
      <c r="J1968" t="str">
        <f>IF(A1968="","",IF('ATP Fills'!I1968="3M","",VLOOKUP(RIGHT('ATP Fills'!I1968,2),Helper1!$O$36:$P$48,2,0)))</f>
        <v/>
      </c>
      <c r="K1968" t="str">
        <f>IF(J1968="","",LEFT('ATP Fills'!I1968,4))</f>
        <v/>
      </c>
      <c r="L1968" t="str">
        <f>IF(A1968="","",IF('ATP Fills'!G1968="LME",'ATP Fills'!I1968,""))</f>
        <v/>
      </c>
      <c r="M1968" t="str">
        <f t="shared" si="30"/>
        <v/>
      </c>
    </row>
    <row r="1969" spans="1:13">
      <c r="A1969" t="str">
        <f>IF('ATP Fills'!A1969="","",IF('ATP Fills'!Q1969="PHILLIPSG",'ATP Fills'!F1969,""))</f>
        <v/>
      </c>
      <c r="B1969" t="str">
        <f>IF(A1969="","",'ATP Fills'!L1969)</f>
        <v/>
      </c>
      <c r="C1969" t="str">
        <f>IF(A1969="","",'ATP Fills'!M1969)</f>
        <v/>
      </c>
      <c r="D1969" t="str">
        <f>IF(A1969="","",'ATP Fills'!B1969)</f>
        <v/>
      </c>
      <c r="E1969" s="3" t="str">
        <f>IF(A1969="","",IF(DATE(LEFT(D1969,4),MID(D1969,5,2),RIGHT(D1969,2))=Helper1!$P$1,Helper1!$P$1,""))</f>
        <v/>
      </c>
      <c r="F1969" s="3" t="str">
        <f>IF(A1969="","",'ATP Fills'!G1969)</f>
        <v/>
      </c>
      <c r="G1969" t="str">
        <f>IF(A1969="","",'ATP Fills'!H1969)</f>
        <v/>
      </c>
      <c r="H1969" t="str">
        <f>IF(A1969="","",VLOOKUP(G1969,表3_3[],2,0))</f>
        <v/>
      </c>
      <c r="I1969" t="str">
        <f>IF(A1969="","",VLOOKUP(G1969,表3_3[],3,0))</f>
        <v/>
      </c>
      <c r="J1969" t="str">
        <f>IF(A1969="","",IF('ATP Fills'!I1969="3M","",VLOOKUP(RIGHT('ATP Fills'!I1969,2),Helper1!$O$36:$P$48,2,0)))</f>
        <v/>
      </c>
      <c r="K1969" t="str">
        <f>IF(J1969="","",LEFT('ATP Fills'!I1969,4))</f>
        <v/>
      </c>
      <c r="L1969" t="str">
        <f>IF(A1969="","",IF('ATP Fills'!G1969="LME",'ATP Fills'!I1969,""))</f>
        <v/>
      </c>
      <c r="M1969" t="str">
        <f t="shared" si="30"/>
        <v/>
      </c>
    </row>
    <row r="1970" spans="1:13">
      <c r="A1970" t="str">
        <f>IF('ATP Fills'!A1970="","",IF('ATP Fills'!Q1970="PHILLIPSG",'ATP Fills'!F1970,""))</f>
        <v/>
      </c>
      <c r="B1970" t="str">
        <f>IF(A1970="","",'ATP Fills'!L1970)</f>
        <v/>
      </c>
      <c r="C1970" t="str">
        <f>IF(A1970="","",'ATP Fills'!M1970)</f>
        <v/>
      </c>
      <c r="D1970" t="str">
        <f>IF(A1970="","",'ATP Fills'!B1970)</f>
        <v/>
      </c>
      <c r="E1970" s="3" t="str">
        <f>IF(A1970="","",IF(DATE(LEFT(D1970,4),MID(D1970,5,2),RIGHT(D1970,2))=Helper1!$P$1,Helper1!$P$1,""))</f>
        <v/>
      </c>
      <c r="F1970" s="3" t="str">
        <f>IF(A1970="","",'ATP Fills'!G1970)</f>
        <v/>
      </c>
      <c r="G1970" t="str">
        <f>IF(A1970="","",'ATP Fills'!H1970)</f>
        <v/>
      </c>
      <c r="H1970" t="str">
        <f>IF(A1970="","",VLOOKUP(G1970,表3_3[],2,0))</f>
        <v/>
      </c>
      <c r="I1970" t="str">
        <f>IF(A1970="","",VLOOKUP(G1970,表3_3[],3,0))</f>
        <v/>
      </c>
      <c r="J1970" t="str">
        <f>IF(A1970="","",IF('ATP Fills'!I1970="3M","",VLOOKUP(RIGHT('ATP Fills'!I1970,2),Helper1!$O$36:$P$48,2,0)))</f>
        <v/>
      </c>
      <c r="K1970" t="str">
        <f>IF(J1970="","",LEFT('ATP Fills'!I1970,4))</f>
        <v/>
      </c>
      <c r="L1970" t="str">
        <f>IF(A1970="","",IF('ATP Fills'!G1970="LME",'ATP Fills'!I1970,""))</f>
        <v/>
      </c>
      <c r="M1970" t="str">
        <f t="shared" si="30"/>
        <v/>
      </c>
    </row>
    <row r="1971" spans="1:13">
      <c r="A1971" t="str">
        <f>IF('ATP Fills'!A1971="","",IF('ATP Fills'!Q1971="PHILLIPSG",'ATP Fills'!F1971,""))</f>
        <v/>
      </c>
      <c r="B1971" t="str">
        <f>IF(A1971="","",'ATP Fills'!L1971)</f>
        <v/>
      </c>
      <c r="C1971" t="str">
        <f>IF(A1971="","",'ATP Fills'!M1971)</f>
        <v/>
      </c>
      <c r="D1971" t="str">
        <f>IF(A1971="","",'ATP Fills'!B1971)</f>
        <v/>
      </c>
      <c r="E1971" s="3" t="str">
        <f>IF(A1971="","",IF(DATE(LEFT(D1971,4),MID(D1971,5,2),RIGHT(D1971,2))=Helper1!$P$1,Helper1!$P$1,""))</f>
        <v/>
      </c>
      <c r="F1971" s="3" t="str">
        <f>IF(A1971="","",'ATP Fills'!G1971)</f>
        <v/>
      </c>
      <c r="G1971" t="str">
        <f>IF(A1971="","",'ATP Fills'!H1971)</f>
        <v/>
      </c>
      <c r="H1971" t="str">
        <f>IF(A1971="","",VLOOKUP(G1971,表3_3[],2,0))</f>
        <v/>
      </c>
      <c r="I1971" t="str">
        <f>IF(A1971="","",VLOOKUP(G1971,表3_3[],3,0))</f>
        <v/>
      </c>
      <c r="J1971" t="str">
        <f>IF(A1971="","",IF('ATP Fills'!I1971="3M","",VLOOKUP(RIGHT('ATP Fills'!I1971,2),Helper1!$O$36:$P$48,2,0)))</f>
        <v/>
      </c>
      <c r="K1971" t="str">
        <f>IF(J1971="","",LEFT('ATP Fills'!I1971,4))</f>
        <v/>
      </c>
      <c r="L1971" t="str">
        <f>IF(A1971="","",IF('ATP Fills'!G1971="LME",'ATP Fills'!I1971,""))</f>
        <v/>
      </c>
      <c r="M1971" t="str">
        <f t="shared" si="30"/>
        <v/>
      </c>
    </row>
    <row r="1972" spans="1:13">
      <c r="A1972" t="str">
        <f>IF('ATP Fills'!A1972="","",IF('ATP Fills'!Q1972="PHILLIPSG",'ATP Fills'!F1972,""))</f>
        <v/>
      </c>
      <c r="B1972" t="str">
        <f>IF(A1972="","",'ATP Fills'!L1972)</f>
        <v/>
      </c>
      <c r="C1972" t="str">
        <f>IF(A1972="","",'ATP Fills'!M1972)</f>
        <v/>
      </c>
      <c r="D1972" t="str">
        <f>IF(A1972="","",'ATP Fills'!B1972)</f>
        <v/>
      </c>
      <c r="E1972" s="3" t="str">
        <f>IF(A1972="","",IF(DATE(LEFT(D1972,4),MID(D1972,5,2),RIGHT(D1972,2))=Helper1!$P$1,Helper1!$P$1,""))</f>
        <v/>
      </c>
      <c r="F1972" s="3" t="str">
        <f>IF(A1972="","",'ATP Fills'!G1972)</f>
        <v/>
      </c>
      <c r="G1972" t="str">
        <f>IF(A1972="","",'ATP Fills'!H1972)</f>
        <v/>
      </c>
      <c r="H1972" t="str">
        <f>IF(A1972="","",VLOOKUP(G1972,表3_3[],2,0))</f>
        <v/>
      </c>
      <c r="I1972" t="str">
        <f>IF(A1972="","",VLOOKUP(G1972,表3_3[],3,0))</f>
        <v/>
      </c>
      <c r="J1972" t="str">
        <f>IF(A1972="","",IF('ATP Fills'!I1972="3M","",VLOOKUP(RIGHT('ATP Fills'!I1972,2),Helper1!$O$36:$P$48,2,0)))</f>
        <v/>
      </c>
      <c r="K1972" t="str">
        <f>IF(J1972="","",LEFT('ATP Fills'!I1972,4))</f>
        <v/>
      </c>
      <c r="L1972" t="str">
        <f>IF(A1972="","",IF('ATP Fills'!G1972="LME",'ATP Fills'!I1972,""))</f>
        <v/>
      </c>
      <c r="M1972" t="str">
        <f t="shared" si="30"/>
        <v/>
      </c>
    </row>
    <row r="1973" spans="1:13">
      <c r="A1973" t="str">
        <f>IF('ATP Fills'!A1973="","",IF('ATP Fills'!Q1973="PHILLIPSG",'ATP Fills'!F1973,""))</f>
        <v/>
      </c>
      <c r="B1973" t="str">
        <f>IF(A1973="","",'ATP Fills'!L1973)</f>
        <v/>
      </c>
      <c r="C1973" t="str">
        <f>IF(A1973="","",'ATP Fills'!M1973)</f>
        <v/>
      </c>
      <c r="D1973" t="str">
        <f>IF(A1973="","",'ATP Fills'!B1973)</f>
        <v/>
      </c>
      <c r="E1973" s="3" t="str">
        <f>IF(A1973="","",IF(DATE(LEFT(D1973,4),MID(D1973,5,2),RIGHT(D1973,2))=Helper1!$P$1,Helper1!$P$1,""))</f>
        <v/>
      </c>
      <c r="F1973" s="3" t="str">
        <f>IF(A1973="","",'ATP Fills'!G1973)</f>
        <v/>
      </c>
      <c r="G1973" t="str">
        <f>IF(A1973="","",'ATP Fills'!H1973)</f>
        <v/>
      </c>
      <c r="H1973" t="str">
        <f>IF(A1973="","",VLOOKUP(G1973,表3_3[],2,0))</f>
        <v/>
      </c>
      <c r="I1973" t="str">
        <f>IF(A1973="","",VLOOKUP(G1973,表3_3[],3,0))</f>
        <v/>
      </c>
      <c r="J1973" t="str">
        <f>IF(A1973="","",IF('ATP Fills'!I1973="3M","",VLOOKUP(RIGHT('ATP Fills'!I1973,2),Helper1!$O$36:$P$48,2,0)))</f>
        <v/>
      </c>
      <c r="K1973" t="str">
        <f>IF(J1973="","",LEFT('ATP Fills'!I1973,4))</f>
        <v/>
      </c>
      <c r="L1973" t="str">
        <f>IF(A1973="","",IF('ATP Fills'!G1973="LME",'ATP Fills'!I1973,""))</f>
        <v/>
      </c>
      <c r="M1973" t="str">
        <f t="shared" si="30"/>
        <v/>
      </c>
    </row>
    <row r="1974" spans="1:13">
      <c r="A1974" t="str">
        <f>IF('ATP Fills'!A1974="","",IF('ATP Fills'!Q1974="PHILLIPSG",'ATP Fills'!F1974,""))</f>
        <v/>
      </c>
      <c r="B1974" t="str">
        <f>IF(A1974="","",'ATP Fills'!L1974)</f>
        <v/>
      </c>
      <c r="C1974" t="str">
        <f>IF(A1974="","",'ATP Fills'!M1974)</f>
        <v/>
      </c>
      <c r="D1974" t="str">
        <f>IF(A1974="","",'ATP Fills'!B1974)</f>
        <v/>
      </c>
      <c r="E1974" s="3" t="str">
        <f>IF(A1974="","",IF(DATE(LEFT(D1974,4),MID(D1974,5,2),RIGHT(D1974,2))=Helper1!$P$1,Helper1!$P$1,""))</f>
        <v/>
      </c>
      <c r="F1974" s="3" t="str">
        <f>IF(A1974="","",'ATP Fills'!G1974)</f>
        <v/>
      </c>
      <c r="G1974" t="str">
        <f>IF(A1974="","",'ATP Fills'!H1974)</f>
        <v/>
      </c>
      <c r="H1974" t="str">
        <f>IF(A1974="","",VLOOKUP(G1974,表3_3[],2,0))</f>
        <v/>
      </c>
      <c r="I1974" t="str">
        <f>IF(A1974="","",VLOOKUP(G1974,表3_3[],3,0))</f>
        <v/>
      </c>
      <c r="J1974" t="str">
        <f>IF(A1974="","",IF('ATP Fills'!I1974="3M","",VLOOKUP(RIGHT('ATP Fills'!I1974,2),Helper1!$O$36:$P$48,2,0)))</f>
        <v/>
      </c>
      <c r="K1974" t="str">
        <f>IF(J1974="","",LEFT('ATP Fills'!I1974,4))</f>
        <v/>
      </c>
      <c r="L1974" t="str">
        <f>IF(A1974="","",IF('ATP Fills'!G1974="LME",'ATP Fills'!I1974,""))</f>
        <v/>
      </c>
      <c r="M1974" t="str">
        <f t="shared" si="30"/>
        <v/>
      </c>
    </row>
    <row r="1975" spans="1:13">
      <c r="A1975" t="str">
        <f>IF('ATP Fills'!A1975="","",IF('ATP Fills'!Q1975="PHILLIPSG",'ATP Fills'!F1975,""))</f>
        <v/>
      </c>
      <c r="B1975" t="str">
        <f>IF(A1975="","",'ATP Fills'!L1975)</f>
        <v/>
      </c>
      <c r="C1975" t="str">
        <f>IF(A1975="","",'ATP Fills'!M1975)</f>
        <v/>
      </c>
      <c r="D1975" t="str">
        <f>IF(A1975="","",'ATP Fills'!B1975)</f>
        <v/>
      </c>
      <c r="E1975" s="3" t="str">
        <f>IF(A1975="","",IF(DATE(LEFT(D1975,4),MID(D1975,5,2),RIGHT(D1975,2))=Helper1!$P$1,Helper1!$P$1,""))</f>
        <v/>
      </c>
      <c r="F1975" s="3" t="str">
        <f>IF(A1975="","",'ATP Fills'!G1975)</f>
        <v/>
      </c>
      <c r="G1975" t="str">
        <f>IF(A1975="","",'ATP Fills'!H1975)</f>
        <v/>
      </c>
      <c r="H1975" t="str">
        <f>IF(A1975="","",VLOOKUP(G1975,表3_3[],2,0))</f>
        <v/>
      </c>
      <c r="I1975" t="str">
        <f>IF(A1975="","",VLOOKUP(G1975,表3_3[],3,0))</f>
        <v/>
      </c>
      <c r="J1975" t="str">
        <f>IF(A1975="","",IF('ATP Fills'!I1975="3M","",VLOOKUP(RIGHT('ATP Fills'!I1975,2),Helper1!$O$36:$P$48,2,0)))</f>
        <v/>
      </c>
      <c r="K1975" t="str">
        <f>IF(J1975="","",LEFT('ATP Fills'!I1975,4))</f>
        <v/>
      </c>
      <c r="L1975" t="str">
        <f>IF(A1975="","",IF('ATP Fills'!G1975="LME",'ATP Fills'!I1975,""))</f>
        <v/>
      </c>
      <c r="M1975" t="str">
        <f t="shared" si="30"/>
        <v/>
      </c>
    </row>
    <row r="1976" spans="1:13">
      <c r="A1976" t="str">
        <f>IF('ATP Fills'!A1976="","",IF('ATP Fills'!Q1976="PHILLIPSG",'ATP Fills'!F1976,""))</f>
        <v/>
      </c>
      <c r="B1976" t="str">
        <f>IF(A1976="","",'ATP Fills'!L1976)</f>
        <v/>
      </c>
      <c r="C1976" t="str">
        <f>IF(A1976="","",'ATP Fills'!M1976)</f>
        <v/>
      </c>
      <c r="D1976" t="str">
        <f>IF(A1976="","",'ATP Fills'!B1976)</f>
        <v/>
      </c>
      <c r="E1976" s="3" t="str">
        <f>IF(A1976="","",IF(DATE(LEFT(D1976,4),MID(D1976,5,2),RIGHT(D1976,2))=Helper1!$P$1,Helper1!$P$1,""))</f>
        <v/>
      </c>
      <c r="F1976" s="3" t="str">
        <f>IF(A1976="","",'ATP Fills'!G1976)</f>
        <v/>
      </c>
      <c r="G1976" t="str">
        <f>IF(A1976="","",'ATP Fills'!H1976)</f>
        <v/>
      </c>
      <c r="H1976" t="str">
        <f>IF(A1976="","",VLOOKUP(G1976,表3_3[],2,0))</f>
        <v/>
      </c>
      <c r="I1976" t="str">
        <f>IF(A1976="","",VLOOKUP(G1976,表3_3[],3,0))</f>
        <v/>
      </c>
      <c r="J1976" t="str">
        <f>IF(A1976="","",IF('ATP Fills'!I1976="3M","",VLOOKUP(RIGHT('ATP Fills'!I1976,2),Helper1!$O$36:$P$48,2,0)))</f>
        <v/>
      </c>
      <c r="K1976" t="str">
        <f>IF(J1976="","",LEFT('ATP Fills'!I1976,4))</f>
        <v/>
      </c>
      <c r="L1976" t="str">
        <f>IF(A1976="","",IF('ATP Fills'!G1976="LME",'ATP Fills'!I1976,""))</f>
        <v/>
      </c>
      <c r="M1976" t="str">
        <f t="shared" si="30"/>
        <v/>
      </c>
    </row>
    <row r="1977" spans="1:13">
      <c r="A1977" t="str">
        <f>IF('ATP Fills'!A1977="","",IF('ATP Fills'!Q1977="PHILLIPSG",'ATP Fills'!F1977,""))</f>
        <v/>
      </c>
      <c r="B1977" t="str">
        <f>IF(A1977="","",'ATP Fills'!L1977)</f>
        <v/>
      </c>
      <c r="C1977" t="str">
        <f>IF(A1977="","",'ATP Fills'!M1977)</f>
        <v/>
      </c>
      <c r="D1977" t="str">
        <f>IF(A1977="","",'ATP Fills'!B1977)</f>
        <v/>
      </c>
      <c r="E1977" s="3" t="str">
        <f>IF(A1977="","",IF(DATE(LEFT(D1977,4),MID(D1977,5,2),RIGHT(D1977,2))=Helper1!$P$1,Helper1!$P$1,""))</f>
        <v/>
      </c>
      <c r="F1977" s="3" t="str">
        <f>IF(A1977="","",'ATP Fills'!G1977)</f>
        <v/>
      </c>
      <c r="G1977" t="str">
        <f>IF(A1977="","",'ATP Fills'!H1977)</f>
        <v/>
      </c>
      <c r="H1977" t="str">
        <f>IF(A1977="","",VLOOKUP(G1977,表3_3[],2,0))</f>
        <v/>
      </c>
      <c r="I1977" t="str">
        <f>IF(A1977="","",VLOOKUP(G1977,表3_3[],3,0))</f>
        <v/>
      </c>
      <c r="J1977" t="str">
        <f>IF(A1977="","",IF('ATP Fills'!I1977="3M","",VLOOKUP(RIGHT('ATP Fills'!I1977,2),Helper1!$O$36:$P$48,2,0)))</f>
        <v/>
      </c>
      <c r="K1977" t="str">
        <f>IF(J1977="","",LEFT('ATP Fills'!I1977,4))</f>
        <v/>
      </c>
      <c r="L1977" t="str">
        <f>IF(A1977="","",IF('ATP Fills'!G1977="LME",'ATP Fills'!I1977,""))</f>
        <v/>
      </c>
      <c r="M1977" t="str">
        <f t="shared" si="30"/>
        <v/>
      </c>
    </row>
    <row r="1978" spans="1:13">
      <c r="A1978" t="str">
        <f>IF('ATP Fills'!A1978="","",IF('ATP Fills'!Q1978="PHILLIPSG",'ATP Fills'!F1978,""))</f>
        <v/>
      </c>
      <c r="B1978" t="str">
        <f>IF(A1978="","",'ATP Fills'!L1978)</f>
        <v/>
      </c>
      <c r="C1978" t="str">
        <f>IF(A1978="","",'ATP Fills'!M1978)</f>
        <v/>
      </c>
      <c r="D1978" t="str">
        <f>IF(A1978="","",'ATP Fills'!B1978)</f>
        <v/>
      </c>
      <c r="E1978" s="3" t="str">
        <f>IF(A1978="","",IF(DATE(LEFT(D1978,4),MID(D1978,5,2),RIGHT(D1978,2))=Helper1!$P$1,Helper1!$P$1,""))</f>
        <v/>
      </c>
      <c r="F1978" s="3" t="str">
        <f>IF(A1978="","",'ATP Fills'!G1978)</f>
        <v/>
      </c>
      <c r="G1978" t="str">
        <f>IF(A1978="","",'ATP Fills'!H1978)</f>
        <v/>
      </c>
      <c r="H1978" t="str">
        <f>IF(A1978="","",VLOOKUP(G1978,表3_3[],2,0))</f>
        <v/>
      </c>
      <c r="I1978" t="str">
        <f>IF(A1978="","",VLOOKUP(G1978,表3_3[],3,0))</f>
        <v/>
      </c>
      <c r="J1978" t="str">
        <f>IF(A1978="","",IF('ATP Fills'!I1978="3M","",VLOOKUP(RIGHT('ATP Fills'!I1978,2),Helper1!$O$36:$P$48,2,0)))</f>
        <v/>
      </c>
      <c r="K1978" t="str">
        <f>IF(J1978="","",LEFT('ATP Fills'!I1978,4))</f>
        <v/>
      </c>
      <c r="L1978" t="str">
        <f>IF(A1978="","",IF('ATP Fills'!G1978="LME",'ATP Fills'!I1978,""))</f>
        <v/>
      </c>
      <c r="M1978" t="str">
        <f t="shared" si="30"/>
        <v/>
      </c>
    </row>
    <row r="1979" spans="1:13">
      <c r="A1979" t="str">
        <f>IF('ATP Fills'!A1979="","",IF('ATP Fills'!Q1979="PHILLIPSG",'ATP Fills'!F1979,""))</f>
        <v/>
      </c>
      <c r="B1979" t="str">
        <f>IF(A1979="","",'ATP Fills'!L1979)</f>
        <v/>
      </c>
      <c r="C1979" t="str">
        <f>IF(A1979="","",'ATP Fills'!M1979)</f>
        <v/>
      </c>
      <c r="D1979" t="str">
        <f>IF(A1979="","",'ATP Fills'!B1979)</f>
        <v/>
      </c>
      <c r="E1979" s="3" t="str">
        <f>IF(A1979="","",IF(DATE(LEFT(D1979,4),MID(D1979,5,2),RIGHT(D1979,2))=Helper1!$P$1,Helper1!$P$1,""))</f>
        <v/>
      </c>
      <c r="F1979" s="3" t="str">
        <f>IF(A1979="","",'ATP Fills'!G1979)</f>
        <v/>
      </c>
      <c r="G1979" t="str">
        <f>IF(A1979="","",'ATP Fills'!H1979)</f>
        <v/>
      </c>
      <c r="H1979" t="str">
        <f>IF(A1979="","",VLOOKUP(G1979,表3_3[],2,0))</f>
        <v/>
      </c>
      <c r="I1979" t="str">
        <f>IF(A1979="","",VLOOKUP(G1979,表3_3[],3,0))</f>
        <v/>
      </c>
      <c r="J1979" t="str">
        <f>IF(A1979="","",IF('ATP Fills'!I1979="3M","",VLOOKUP(RIGHT('ATP Fills'!I1979,2),Helper1!$O$36:$P$48,2,0)))</f>
        <v/>
      </c>
      <c r="K1979" t="str">
        <f>IF(J1979="","",LEFT('ATP Fills'!I1979,4))</f>
        <v/>
      </c>
      <c r="L1979" t="str">
        <f>IF(A1979="","",IF('ATP Fills'!G1979="LME",'ATP Fills'!I1979,""))</f>
        <v/>
      </c>
      <c r="M1979" t="str">
        <f t="shared" si="30"/>
        <v/>
      </c>
    </row>
    <row r="1980" spans="1:13">
      <c r="A1980" t="str">
        <f>IF('ATP Fills'!A1980="","",IF('ATP Fills'!Q1980="PHILLIPSG",'ATP Fills'!F1980,""))</f>
        <v/>
      </c>
      <c r="B1980" t="str">
        <f>IF(A1980="","",'ATP Fills'!L1980)</f>
        <v/>
      </c>
      <c r="C1980" t="str">
        <f>IF(A1980="","",'ATP Fills'!M1980)</f>
        <v/>
      </c>
      <c r="D1980" t="str">
        <f>IF(A1980="","",'ATP Fills'!B1980)</f>
        <v/>
      </c>
      <c r="E1980" s="3" t="str">
        <f>IF(A1980="","",IF(DATE(LEFT(D1980,4),MID(D1980,5,2),RIGHT(D1980,2))=Helper1!$P$1,Helper1!$P$1,""))</f>
        <v/>
      </c>
      <c r="F1980" s="3" t="str">
        <f>IF(A1980="","",'ATP Fills'!G1980)</f>
        <v/>
      </c>
      <c r="G1980" t="str">
        <f>IF(A1980="","",'ATP Fills'!H1980)</f>
        <v/>
      </c>
      <c r="H1980" t="str">
        <f>IF(A1980="","",VLOOKUP(G1980,表3_3[],2,0))</f>
        <v/>
      </c>
      <c r="I1980" t="str">
        <f>IF(A1980="","",VLOOKUP(G1980,表3_3[],3,0))</f>
        <v/>
      </c>
      <c r="J1980" t="str">
        <f>IF(A1980="","",IF('ATP Fills'!I1980="3M","",VLOOKUP(RIGHT('ATP Fills'!I1980,2),Helper1!$O$36:$P$48,2,0)))</f>
        <v/>
      </c>
      <c r="K1980" t="str">
        <f>IF(J1980="","",LEFT('ATP Fills'!I1980,4))</f>
        <v/>
      </c>
      <c r="L1980" t="str">
        <f>IF(A1980="","",IF('ATP Fills'!G1980="LME",'ATP Fills'!I1980,""))</f>
        <v/>
      </c>
      <c r="M1980" t="str">
        <f t="shared" si="30"/>
        <v/>
      </c>
    </row>
    <row r="1981" spans="1:13">
      <c r="A1981" t="str">
        <f>IF('ATP Fills'!A1981="","",IF('ATP Fills'!Q1981="PHILLIPSG",'ATP Fills'!F1981,""))</f>
        <v/>
      </c>
      <c r="B1981" t="str">
        <f>IF(A1981="","",'ATP Fills'!L1981)</f>
        <v/>
      </c>
      <c r="C1981" t="str">
        <f>IF(A1981="","",'ATP Fills'!M1981)</f>
        <v/>
      </c>
      <c r="D1981" t="str">
        <f>IF(A1981="","",'ATP Fills'!B1981)</f>
        <v/>
      </c>
      <c r="E1981" s="3" t="str">
        <f>IF(A1981="","",IF(DATE(LEFT(D1981,4),MID(D1981,5,2),RIGHT(D1981,2))=Helper1!$P$1,Helper1!$P$1,""))</f>
        <v/>
      </c>
      <c r="F1981" s="3" t="str">
        <f>IF(A1981="","",'ATP Fills'!G1981)</f>
        <v/>
      </c>
      <c r="G1981" t="str">
        <f>IF(A1981="","",'ATP Fills'!H1981)</f>
        <v/>
      </c>
      <c r="H1981" t="str">
        <f>IF(A1981="","",VLOOKUP(G1981,表3_3[],2,0))</f>
        <v/>
      </c>
      <c r="I1981" t="str">
        <f>IF(A1981="","",VLOOKUP(G1981,表3_3[],3,0))</f>
        <v/>
      </c>
      <c r="J1981" t="str">
        <f>IF(A1981="","",IF('ATP Fills'!I1981="3M","",VLOOKUP(RIGHT('ATP Fills'!I1981,2),Helper1!$O$36:$P$48,2,0)))</f>
        <v/>
      </c>
      <c r="K1981" t="str">
        <f>IF(J1981="","",LEFT('ATP Fills'!I1981,4))</f>
        <v/>
      </c>
      <c r="L1981" t="str">
        <f>IF(A1981="","",IF('ATP Fills'!G1981="LME",'ATP Fills'!I1981,""))</f>
        <v/>
      </c>
      <c r="M1981" t="str">
        <f t="shared" si="30"/>
        <v/>
      </c>
    </row>
    <row r="1982" spans="1:13">
      <c r="A1982" t="str">
        <f>IF('ATP Fills'!A1982="","",IF('ATP Fills'!Q1982="PHILLIPSG",'ATP Fills'!F1982,""))</f>
        <v/>
      </c>
      <c r="B1982" t="str">
        <f>IF(A1982="","",'ATP Fills'!L1982)</f>
        <v/>
      </c>
      <c r="C1982" t="str">
        <f>IF(A1982="","",'ATP Fills'!M1982)</f>
        <v/>
      </c>
      <c r="D1982" t="str">
        <f>IF(A1982="","",'ATP Fills'!B1982)</f>
        <v/>
      </c>
      <c r="E1982" s="3" t="str">
        <f>IF(A1982="","",IF(DATE(LEFT(D1982,4),MID(D1982,5,2),RIGHT(D1982,2))=Helper1!$P$1,Helper1!$P$1,""))</f>
        <v/>
      </c>
      <c r="F1982" s="3" t="str">
        <f>IF(A1982="","",'ATP Fills'!G1982)</f>
        <v/>
      </c>
      <c r="G1982" t="str">
        <f>IF(A1982="","",'ATP Fills'!H1982)</f>
        <v/>
      </c>
      <c r="H1982" t="str">
        <f>IF(A1982="","",VLOOKUP(G1982,表3_3[],2,0))</f>
        <v/>
      </c>
      <c r="I1982" t="str">
        <f>IF(A1982="","",VLOOKUP(G1982,表3_3[],3,0))</f>
        <v/>
      </c>
      <c r="J1982" t="str">
        <f>IF(A1982="","",IF('ATP Fills'!I1982="3M","",VLOOKUP(RIGHT('ATP Fills'!I1982,2),Helper1!$O$36:$P$48,2,0)))</f>
        <v/>
      </c>
      <c r="K1982" t="str">
        <f>IF(J1982="","",LEFT('ATP Fills'!I1982,4))</f>
        <v/>
      </c>
      <c r="L1982" t="str">
        <f>IF(A1982="","",IF('ATP Fills'!G1982="LME",'ATP Fills'!I1982,""))</f>
        <v/>
      </c>
      <c r="M1982" t="str">
        <f t="shared" si="30"/>
        <v/>
      </c>
    </row>
    <row r="1983" spans="1:13">
      <c r="A1983" t="str">
        <f>IF('ATP Fills'!A1983="","",IF('ATP Fills'!Q1983="PHILLIPSG",'ATP Fills'!F1983,""))</f>
        <v/>
      </c>
      <c r="B1983" t="str">
        <f>IF(A1983="","",'ATP Fills'!L1983)</f>
        <v/>
      </c>
      <c r="C1983" t="str">
        <f>IF(A1983="","",'ATP Fills'!M1983)</f>
        <v/>
      </c>
      <c r="D1983" t="str">
        <f>IF(A1983="","",'ATP Fills'!B1983)</f>
        <v/>
      </c>
      <c r="E1983" s="3" t="str">
        <f>IF(A1983="","",IF(DATE(LEFT(D1983,4),MID(D1983,5,2),RIGHT(D1983,2))=Helper1!$P$1,Helper1!$P$1,""))</f>
        <v/>
      </c>
      <c r="F1983" s="3" t="str">
        <f>IF(A1983="","",'ATP Fills'!G1983)</f>
        <v/>
      </c>
      <c r="G1983" t="str">
        <f>IF(A1983="","",'ATP Fills'!H1983)</f>
        <v/>
      </c>
      <c r="H1983" t="str">
        <f>IF(A1983="","",VLOOKUP(G1983,表3_3[],2,0))</f>
        <v/>
      </c>
      <c r="I1983" t="str">
        <f>IF(A1983="","",VLOOKUP(G1983,表3_3[],3,0))</f>
        <v/>
      </c>
      <c r="J1983" t="str">
        <f>IF(A1983="","",IF('ATP Fills'!I1983="3M","",VLOOKUP(RIGHT('ATP Fills'!I1983,2),Helper1!$O$36:$P$48,2,0)))</f>
        <v/>
      </c>
      <c r="K1983" t="str">
        <f>IF(J1983="","",LEFT('ATP Fills'!I1983,4))</f>
        <v/>
      </c>
      <c r="L1983" t="str">
        <f>IF(A1983="","",IF('ATP Fills'!G1983="LME",'ATP Fills'!I1983,""))</f>
        <v/>
      </c>
      <c r="M1983" t="str">
        <f t="shared" si="30"/>
        <v/>
      </c>
    </row>
    <row r="1984" spans="1:13">
      <c r="A1984" t="str">
        <f>IF('ATP Fills'!A1984="","",IF('ATP Fills'!Q1984="PHILLIPSG",'ATP Fills'!F1984,""))</f>
        <v/>
      </c>
      <c r="B1984" t="str">
        <f>IF(A1984="","",'ATP Fills'!L1984)</f>
        <v/>
      </c>
      <c r="C1984" t="str">
        <f>IF(A1984="","",'ATP Fills'!M1984)</f>
        <v/>
      </c>
      <c r="D1984" t="str">
        <f>IF(A1984="","",'ATP Fills'!B1984)</f>
        <v/>
      </c>
      <c r="E1984" s="3" t="str">
        <f>IF(A1984="","",IF(DATE(LEFT(D1984,4),MID(D1984,5,2),RIGHT(D1984,2))=Helper1!$P$1,Helper1!$P$1,""))</f>
        <v/>
      </c>
      <c r="F1984" s="3" t="str">
        <f>IF(A1984="","",'ATP Fills'!G1984)</f>
        <v/>
      </c>
      <c r="G1984" t="str">
        <f>IF(A1984="","",'ATP Fills'!H1984)</f>
        <v/>
      </c>
      <c r="H1984" t="str">
        <f>IF(A1984="","",VLOOKUP(G1984,表3_3[],2,0))</f>
        <v/>
      </c>
      <c r="I1984" t="str">
        <f>IF(A1984="","",VLOOKUP(G1984,表3_3[],3,0))</f>
        <v/>
      </c>
      <c r="J1984" t="str">
        <f>IF(A1984="","",IF('ATP Fills'!I1984="3M","",VLOOKUP(RIGHT('ATP Fills'!I1984,2),Helper1!$O$36:$P$48,2,0)))</f>
        <v/>
      </c>
      <c r="K1984" t="str">
        <f>IF(J1984="","",LEFT('ATP Fills'!I1984,4))</f>
        <v/>
      </c>
      <c r="L1984" t="str">
        <f>IF(A1984="","",IF('ATP Fills'!G1984="LME",'ATP Fills'!I1984,""))</f>
        <v/>
      </c>
      <c r="M1984" t="str">
        <f t="shared" si="30"/>
        <v/>
      </c>
    </row>
    <row r="1985" spans="1:13">
      <c r="A1985" t="str">
        <f>IF('ATP Fills'!A1985="","",IF('ATP Fills'!Q1985="PHILLIPSG",'ATP Fills'!F1985,""))</f>
        <v/>
      </c>
      <c r="B1985" t="str">
        <f>IF(A1985="","",'ATP Fills'!L1985)</f>
        <v/>
      </c>
      <c r="C1985" t="str">
        <f>IF(A1985="","",'ATP Fills'!M1985)</f>
        <v/>
      </c>
      <c r="D1985" t="str">
        <f>IF(A1985="","",'ATP Fills'!B1985)</f>
        <v/>
      </c>
      <c r="E1985" s="3" t="str">
        <f>IF(A1985="","",IF(DATE(LEFT(D1985,4),MID(D1985,5,2),RIGHT(D1985,2))=Helper1!$P$1,Helper1!$P$1,""))</f>
        <v/>
      </c>
      <c r="F1985" s="3" t="str">
        <f>IF(A1985="","",'ATP Fills'!G1985)</f>
        <v/>
      </c>
      <c r="G1985" t="str">
        <f>IF(A1985="","",'ATP Fills'!H1985)</f>
        <v/>
      </c>
      <c r="H1985" t="str">
        <f>IF(A1985="","",VLOOKUP(G1985,表3_3[],2,0))</f>
        <v/>
      </c>
      <c r="I1985" t="str">
        <f>IF(A1985="","",VLOOKUP(G1985,表3_3[],3,0))</f>
        <v/>
      </c>
      <c r="J1985" t="str">
        <f>IF(A1985="","",IF('ATP Fills'!I1985="3M","",VLOOKUP(RIGHT('ATP Fills'!I1985,2),Helper1!$O$36:$P$48,2,0)))</f>
        <v/>
      </c>
      <c r="K1985" t="str">
        <f>IF(J1985="","",LEFT('ATP Fills'!I1985,4))</f>
        <v/>
      </c>
      <c r="L1985" t="str">
        <f>IF(A1985="","",IF('ATP Fills'!G1985="LME",'ATP Fills'!I1985,""))</f>
        <v/>
      </c>
      <c r="M1985" t="str">
        <f t="shared" si="30"/>
        <v/>
      </c>
    </row>
    <row r="1986" spans="1:13">
      <c r="A1986" t="str">
        <f>IF('ATP Fills'!A1986="","",IF('ATP Fills'!Q1986="PHILLIPSG",'ATP Fills'!F1986,""))</f>
        <v/>
      </c>
      <c r="B1986" t="str">
        <f>IF(A1986="","",'ATP Fills'!L1986)</f>
        <v/>
      </c>
      <c r="C1986" t="str">
        <f>IF(A1986="","",'ATP Fills'!M1986)</f>
        <v/>
      </c>
      <c r="D1986" t="str">
        <f>IF(A1986="","",'ATP Fills'!B1986)</f>
        <v/>
      </c>
      <c r="E1986" s="3" t="str">
        <f>IF(A1986="","",IF(DATE(LEFT(D1986,4),MID(D1986,5,2),RIGHT(D1986,2))=Helper1!$P$1,Helper1!$P$1,""))</f>
        <v/>
      </c>
      <c r="F1986" s="3" t="str">
        <f>IF(A1986="","",'ATP Fills'!G1986)</f>
        <v/>
      </c>
      <c r="G1986" t="str">
        <f>IF(A1986="","",'ATP Fills'!H1986)</f>
        <v/>
      </c>
      <c r="H1986" t="str">
        <f>IF(A1986="","",VLOOKUP(G1986,表3_3[],2,0))</f>
        <v/>
      </c>
      <c r="I1986" t="str">
        <f>IF(A1986="","",VLOOKUP(G1986,表3_3[],3,0))</f>
        <v/>
      </c>
      <c r="J1986" t="str">
        <f>IF(A1986="","",IF('ATP Fills'!I1986="3M","",VLOOKUP(RIGHT('ATP Fills'!I1986,2),Helper1!$O$36:$P$48,2,0)))</f>
        <v/>
      </c>
      <c r="K1986" t="str">
        <f>IF(J1986="","",LEFT('ATP Fills'!I1986,4))</f>
        <v/>
      </c>
      <c r="L1986" t="str">
        <f>IF(A1986="","",IF('ATP Fills'!G1986="LME",'ATP Fills'!I1986,""))</f>
        <v/>
      </c>
      <c r="M1986" t="str">
        <f t="shared" si="30"/>
        <v/>
      </c>
    </row>
    <row r="1987" spans="1:13">
      <c r="A1987" t="str">
        <f>IF('ATP Fills'!A1987="","",IF('ATP Fills'!Q1987="PHILLIPSG",'ATP Fills'!F1987,""))</f>
        <v/>
      </c>
      <c r="B1987" t="str">
        <f>IF(A1987="","",'ATP Fills'!L1987)</f>
        <v/>
      </c>
      <c r="C1987" t="str">
        <f>IF(A1987="","",'ATP Fills'!M1987)</f>
        <v/>
      </c>
      <c r="D1987" t="str">
        <f>IF(A1987="","",'ATP Fills'!B1987)</f>
        <v/>
      </c>
      <c r="E1987" s="3" t="str">
        <f>IF(A1987="","",IF(DATE(LEFT(D1987,4),MID(D1987,5,2),RIGHT(D1987,2))=Helper1!$P$1,Helper1!$P$1,""))</f>
        <v/>
      </c>
      <c r="F1987" s="3" t="str">
        <f>IF(A1987="","",'ATP Fills'!G1987)</f>
        <v/>
      </c>
      <c r="G1987" t="str">
        <f>IF(A1987="","",'ATP Fills'!H1987)</f>
        <v/>
      </c>
      <c r="H1987" t="str">
        <f>IF(A1987="","",VLOOKUP(G1987,表3_3[],2,0))</f>
        <v/>
      </c>
      <c r="I1987" t="str">
        <f>IF(A1987="","",VLOOKUP(G1987,表3_3[],3,0))</f>
        <v/>
      </c>
      <c r="J1987" t="str">
        <f>IF(A1987="","",IF('ATP Fills'!I1987="3M","",VLOOKUP(RIGHT('ATP Fills'!I1987,2),Helper1!$O$36:$P$48,2,0)))</f>
        <v/>
      </c>
      <c r="K1987" t="str">
        <f>IF(J1987="","",LEFT('ATP Fills'!I1987,4))</f>
        <v/>
      </c>
      <c r="L1987" t="str">
        <f>IF(A1987="","",IF('ATP Fills'!G1987="LME",'ATP Fills'!I1987,""))</f>
        <v/>
      </c>
      <c r="M1987" t="str">
        <f t="shared" ref="M1987:M2050" si="31">IF(A1987="","",IF(F1987="LME",F1987&amp;"-"&amp;I1987&amp;"-"&amp;L1987,J1987&amp;"-"&amp;K1987&amp;"-"&amp;I1987))</f>
        <v/>
      </c>
    </row>
    <row r="1988" spans="1:13">
      <c r="A1988" t="str">
        <f>IF('ATP Fills'!A1988="","",IF('ATP Fills'!Q1988="PHILLIPSG",'ATP Fills'!F1988,""))</f>
        <v/>
      </c>
      <c r="B1988" t="str">
        <f>IF(A1988="","",'ATP Fills'!L1988)</f>
        <v/>
      </c>
      <c r="C1988" t="str">
        <f>IF(A1988="","",'ATP Fills'!M1988)</f>
        <v/>
      </c>
      <c r="D1988" t="str">
        <f>IF(A1988="","",'ATP Fills'!B1988)</f>
        <v/>
      </c>
      <c r="E1988" s="3" t="str">
        <f>IF(A1988="","",IF(DATE(LEFT(D1988,4),MID(D1988,5,2),RIGHT(D1988,2))=Helper1!$P$1,Helper1!$P$1,""))</f>
        <v/>
      </c>
      <c r="F1988" s="3" t="str">
        <f>IF(A1988="","",'ATP Fills'!G1988)</f>
        <v/>
      </c>
      <c r="G1988" t="str">
        <f>IF(A1988="","",'ATP Fills'!H1988)</f>
        <v/>
      </c>
      <c r="H1988" t="str">
        <f>IF(A1988="","",VLOOKUP(G1988,表3_3[],2,0))</f>
        <v/>
      </c>
      <c r="I1988" t="str">
        <f>IF(A1988="","",VLOOKUP(G1988,表3_3[],3,0))</f>
        <v/>
      </c>
      <c r="J1988" t="str">
        <f>IF(A1988="","",IF('ATP Fills'!I1988="3M","",VLOOKUP(RIGHT('ATP Fills'!I1988,2),Helper1!$O$36:$P$48,2,0)))</f>
        <v/>
      </c>
      <c r="K1988" t="str">
        <f>IF(J1988="","",LEFT('ATP Fills'!I1988,4))</f>
        <v/>
      </c>
      <c r="L1988" t="str">
        <f>IF(A1988="","",IF('ATP Fills'!G1988="LME",'ATP Fills'!I1988,""))</f>
        <v/>
      </c>
      <c r="M1988" t="str">
        <f t="shared" si="31"/>
        <v/>
      </c>
    </row>
    <row r="1989" spans="1:13">
      <c r="A1989" t="str">
        <f>IF('ATP Fills'!A1989="","",IF('ATP Fills'!Q1989="PHILLIPSG",'ATP Fills'!F1989,""))</f>
        <v/>
      </c>
      <c r="B1989" t="str">
        <f>IF(A1989="","",'ATP Fills'!L1989)</f>
        <v/>
      </c>
      <c r="C1989" t="str">
        <f>IF(A1989="","",'ATP Fills'!M1989)</f>
        <v/>
      </c>
      <c r="D1989" t="str">
        <f>IF(A1989="","",'ATP Fills'!B1989)</f>
        <v/>
      </c>
      <c r="E1989" s="3" t="str">
        <f>IF(A1989="","",IF(DATE(LEFT(D1989,4),MID(D1989,5,2),RIGHT(D1989,2))=Helper1!$P$1,Helper1!$P$1,""))</f>
        <v/>
      </c>
      <c r="F1989" s="3" t="str">
        <f>IF(A1989="","",'ATP Fills'!G1989)</f>
        <v/>
      </c>
      <c r="G1989" t="str">
        <f>IF(A1989="","",'ATP Fills'!H1989)</f>
        <v/>
      </c>
      <c r="H1989" t="str">
        <f>IF(A1989="","",VLOOKUP(G1989,表3_3[],2,0))</f>
        <v/>
      </c>
      <c r="I1989" t="str">
        <f>IF(A1989="","",VLOOKUP(G1989,表3_3[],3,0))</f>
        <v/>
      </c>
      <c r="J1989" t="str">
        <f>IF(A1989="","",IF('ATP Fills'!I1989="3M","",VLOOKUP(RIGHT('ATP Fills'!I1989,2),Helper1!$O$36:$P$48,2,0)))</f>
        <v/>
      </c>
      <c r="K1989" t="str">
        <f>IF(J1989="","",LEFT('ATP Fills'!I1989,4))</f>
        <v/>
      </c>
      <c r="L1989" t="str">
        <f>IF(A1989="","",IF('ATP Fills'!G1989="LME",'ATP Fills'!I1989,""))</f>
        <v/>
      </c>
      <c r="M1989" t="str">
        <f t="shared" si="31"/>
        <v/>
      </c>
    </row>
    <row r="1990" spans="1:13">
      <c r="A1990" t="str">
        <f>IF('ATP Fills'!A1990="","",IF('ATP Fills'!Q1990="PHILLIPSG",'ATP Fills'!F1990,""))</f>
        <v/>
      </c>
      <c r="B1990" t="str">
        <f>IF(A1990="","",'ATP Fills'!L1990)</f>
        <v/>
      </c>
      <c r="C1990" t="str">
        <f>IF(A1990="","",'ATP Fills'!M1990)</f>
        <v/>
      </c>
      <c r="D1990" t="str">
        <f>IF(A1990="","",'ATP Fills'!B1990)</f>
        <v/>
      </c>
      <c r="E1990" s="3" t="str">
        <f>IF(A1990="","",IF(DATE(LEFT(D1990,4),MID(D1990,5,2),RIGHT(D1990,2))=Helper1!$P$1,Helper1!$P$1,""))</f>
        <v/>
      </c>
      <c r="F1990" s="3" t="str">
        <f>IF(A1990="","",'ATP Fills'!G1990)</f>
        <v/>
      </c>
      <c r="G1990" t="str">
        <f>IF(A1990="","",'ATP Fills'!H1990)</f>
        <v/>
      </c>
      <c r="H1990" t="str">
        <f>IF(A1990="","",VLOOKUP(G1990,表3_3[],2,0))</f>
        <v/>
      </c>
      <c r="I1990" t="str">
        <f>IF(A1990="","",VLOOKUP(G1990,表3_3[],3,0))</f>
        <v/>
      </c>
      <c r="J1990" t="str">
        <f>IF(A1990="","",IF('ATP Fills'!I1990="3M","",VLOOKUP(RIGHT('ATP Fills'!I1990,2),Helper1!$O$36:$P$48,2,0)))</f>
        <v/>
      </c>
      <c r="K1990" t="str">
        <f>IF(J1990="","",LEFT('ATP Fills'!I1990,4))</f>
        <v/>
      </c>
      <c r="L1990" t="str">
        <f>IF(A1990="","",IF('ATP Fills'!G1990="LME",'ATP Fills'!I1990,""))</f>
        <v/>
      </c>
      <c r="M1990" t="str">
        <f t="shared" si="31"/>
        <v/>
      </c>
    </row>
    <row r="1991" spans="1:13">
      <c r="A1991" t="str">
        <f>IF('ATP Fills'!A1991="","",IF('ATP Fills'!Q1991="PHILLIPSG",'ATP Fills'!F1991,""))</f>
        <v/>
      </c>
      <c r="B1991" t="str">
        <f>IF(A1991="","",'ATP Fills'!L1991)</f>
        <v/>
      </c>
      <c r="C1991" t="str">
        <f>IF(A1991="","",'ATP Fills'!M1991)</f>
        <v/>
      </c>
      <c r="D1991" t="str">
        <f>IF(A1991="","",'ATP Fills'!B1991)</f>
        <v/>
      </c>
      <c r="E1991" s="3" t="str">
        <f>IF(A1991="","",IF(DATE(LEFT(D1991,4),MID(D1991,5,2),RIGHT(D1991,2))=Helper1!$P$1,Helper1!$P$1,""))</f>
        <v/>
      </c>
      <c r="F1991" s="3" t="str">
        <f>IF(A1991="","",'ATP Fills'!G1991)</f>
        <v/>
      </c>
      <c r="G1991" t="str">
        <f>IF(A1991="","",'ATP Fills'!H1991)</f>
        <v/>
      </c>
      <c r="H1991" t="str">
        <f>IF(A1991="","",VLOOKUP(G1991,表3_3[],2,0))</f>
        <v/>
      </c>
      <c r="I1991" t="str">
        <f>IF(A1991="","",VLOOKUP(G1991,表3_3[],3,0))</f>
        <v/>
      </c>
      <c r="J1991" t="str">
        <f>IF(A1991="","",IF('ATP Fills'!I1991="3M","",VLOOKUP(RIGHT('ATP Fills'!I1991,2),Helper1!$O$36:$P$48,2,0)))</f>
        <v/>
      </c>
      <c r="K1991" t="str">
        <f>IF(J1991="","",LEFT('ATP Fills'!I1991,4))</f>
        <v/>
      </c>
      <c r="L1991" t="str">
        <f>IF(A1991="","",IF('ATP Fills'!G1991="LME",'ATP Fills'!I1991,""))</f>
        <v/>
      </c>
      <c r="M1991" t="str">
        <f t="shared" si="31"/>
        <v/>
      </c>
    </row>
    <row r="1992" spans="1:13">
      <c r="A1992" t="str">
        <f>IF('ATP Fills'!A1992="","",IF('ATP Fills'!Q1992="PHILLIPSG",'ATP Fills'!F1992,""))</f>
        <v/>
      </c>
      <c r="B1992" t="str">
        <f>IF(A1992="","",'ATP Fills'!L1992)</f>
        <v/>
      </c>
      <c r="C1992" t="str">
        <f>IF(A1992="","",'ATP Fills'!M1992)</f>
        <v/>
      </c>
      <c r="D1992" t="str">
        <f>IF(A1992="","",'ATP Fills'!B1992)</f>
        <v/>
      </c>
      <c r="E1992" s="3" t="str">
        <f>IF(A1992="","",IF(DATE(LEFT(D1992,4),MID(D1992,5,2),RIGHT(D1992,2))=Helper1!$P$1,Helper1!$P$1,""))</f>
        <v/>
      </c>
      <c r="F1992" s="3" t="str">
        <f>IF(A1992="","",'ATP Fills'!G1992)</f>
        <v/>
      </c>
      <c r="G1992" t="str">
        <f>IF(A1992="","",'ATP Fills'!H1992)</f>
        <v/>
      </c>
      <c r="H1992" t="str">
        <f>IF(A1992="","",VLOOKUP(G1992,表3_3[],2,0))</f>
        <v/>
      </c>
      <c r="I1992" t="str">
        <f>IF(A1992="","",VLOOKUP(G1992,表3_3[],3,0))</f>
        <v/>
      </c>
      <c r="J1992" t="str">
        <f>IF(A1992="","",IF('ATP Fills'!I1992="3M","",VLOOKUP(RIGHT('ATP Fills'!I1992,2),Helper1!$O$36:$P$48,2,0)))</f>
        <v/>
      </c>
      <c r="K1992" t="str">
        <f>IF(J1992="","",LEFT('ATP Fills'!I1992,4))</f>
        <v/>
      </c>
      <c r="L1992" t="str">
        <f>IF(A1992="","",IF('ATP Fills'!G1992="LME",'ATP Fills'!I1992,""))</f>
        <v/>
      </c>
      <c r="M1992" t="str">
        <f t="shared" si="31"/>
        <v/>
      </c>
    </row>
    <row r="1993" spans="1:13">
      <c r="A1993" t="str">
        <f>IF('ATP Fills'!A1993="","",IF('ATP Fills'!Q1993="PHILLIPSG",'ATP Fills'!F1993,""))</f>
        <v/>
      </c>
      <c r="B1993" t="str">
        <f>IF(A1993="","",'ATP Fills'!L1993)</f>
        <v/>
      </c>
      <c r="C1993" t="str">
        <f>IF(A1993="","",'ATP Fills'!M1993)</f>
        <v/>
      </c>
      <c r="D1993" t="str">
        <f>IF(A1993="","",'ATP Fills'!B1993)</f>
        <v/>
      </c>
      <c r="E1993" s="3" t="str">
        <f>IF(A1993="","",IF(DATE(LEFT(D1993,4),MID(D1993,5,2),RIGHT(D1993,2))=Helper1!$P$1,Helper1!$P$1,""))</f>
        <v/>
      </c>
      <c r="F1993" s="3" t="str">
        <f>IF(A1993="","",'ATP Fills'!G1993)</f>
        <v/>
      </c>
      <c r="G1993" t="str">
        <f>IF(A1993="","",'ATP Fills'!H1993)</f>
        <v/>
      </c>
      <c r="H1993" t="str">
        <f>IF(A1993="","",VLOOKUP(G1993,表3_3[],2,0))</f>
        <v/>
      </c>
      <c r="I1993" t="str">
        <f>IF(A1993="","",VLOOKUP(G1993,表3_3[],3,0))</f>
        <v/>
      </c>
      <c r="J1993" t="str">
        <f>IF(A1993="","",IF('ATP Fills'!I1993="3M","",VLOOKUP(RIGHT('ATP Fills'!I1993,2),Helper1!$O$36:$P$48,2,0)))</f>
        <v/>
      </c>
      <c r="K1993" t="str">
        <f>IF(J1993="","",LEFT('ATP Fills'!I1993,4))</f>
        <v/>
      </c>
      <c r="L1993" t="str">
        <f>IF(A1993="","",IF('ATP Fills'!G1993="LME",'ATP Fills'!I1993,""))</f>
        <v/>
      </c>
      <c r="M1993" t="str">
        <f t="shared" si="31"/>
        <v/>
      </c>
    </row>
    <row r="1994" spans="1:13">
      <c r="A1994" t="str">
        <f>IF('ATP Fills'!A1994="","",IF('ATP Fills'!Q1994="PHILLIPSG",'ATP Fills'!F1994,""))</f>
        <v/>
      </c>
      <c r="B1994" t="str">
        <f>IF(A1994="","",'ATP Fills'!L1994)</f>
        <v/>
      </c>
      <c r="C1994" t="str">
        <f>IF(A1994="","",'ATP Fills'!M1994)</f>
        <v/>
      </c>
      <c r="D1994" t="str">
        <f>IF(A1994="","",'ATP Fills'!B1994)</f>
        <v/>
      </c>
      <c r="E1994" s="3" t="str">
        <f>IF(A1994="","",IF(DATE(LEFT(D1994,4),MID(D1994,5,2),RIGHT(D1994,2))=Helper1!$P$1,Helper1!$P$1,""))</f>
        <v/>
      </c>
      <c r="F1994" s="3" t="str">
        <f>IF(A1994="","",'ATP Fills'!G1994)</f>
        <v/>
      </c>
      <c r="G1994" t="str">
        <f>IF(A1994="","",'ATP Fills'!H1994)</f>
        <v/>
      </c>
      <c r="H1994" t="str">
        <f>IF(A1994="","",VLOOKUP(G1994,表3_3[],2,0))</f>
        <v/>
      </c>
      <c r="I1994" t="str">
        <f>IF(A1994="","",VLOOKUP(G1994,表3_3[],3,0))</f>
        <v/>
      </c>
      <c r="J1994" t="str">
        <f>IF(A1994="","",IF('ATP Fills'!I1994="3M","",VLOOKUP(RIGHT('ATP Fills'!I1994,2),Helper1!$O$36:$P$48,2,0)))</f>
        <v/>
      </c>
      <c r="K1994" t="str">
        <f>IF(J1994="","",LEFT('ATP Fills'!I1994,4))</f>
        <v/>
      </c>
      <c r="L1994" t="str">
        <f>IF(A1994="","",IF('ATP Fills'!G1994="LME",'ATP Fills'!I1994,""))</f>
        <v/>
      </c>
      <c r="M1994" t="str">
        <f t="shared" si="31"/>
        <v/>
      </c>
    </row>
    <row r="1995" spans="1:13">
      <c r="A1995" t="str">
        <f>IF('ATP Fills'!A1995="","",IF('ATP Fills'!Q1995="PHILLIPSG",'ATP Fills'!F1995,""))</f>
        <v/>
      </c>
      <c r="B1995" t="str">
        <f>IF(A1995="","",'ATP Fills'!L1995)</f>
        <v/>
      </c>
      <c r="C1995" t="str">
        <f>IF(A1995="","",'ATP Fills'!M1995)</f>
        <v/>
      </c>
      <c r="D1995" t="str">
        <f>IF(A1995="","",'ATP Fills'!B1995)</f>
        <v/>
      </c>
      <c r="E1995" s="3" t="str">
        <f>IF(A1995="","",IF(DATE(LEFT(D1995,4),MID(D1995,5,2),RIGHT(D1995,2))=Helper1!$P$1,Helper1!$P$1,""))</f>
        <v/>
      </c>
      <c r="F1995" s="3" t="str">
        <f>IF(A1995="","",'ATP Fills'!G1995)</f>
        <v/>
      </c>
      <c r="G1995" t="str">
        <f>IF(A1995="","",'ATP Fills'!H1995)</f>
        <v/>
      </c>
      <c r="H1995" t="str">
        <f>IF(A1995="","",VLOOKUP(G1995,表3_3[],2,0))</f>
        <v/>
      </c>
      <c r="I1995" t="str">
        <f>IF(A1995="","",VLOOKUP(G1995,表3_3[],3,0))</f>
        <v/>
      </c>
      <c r="J1995" t="str">
        <f>IF(A1995="","",IF('ATP Fills'!I1995="3M","",VLOOKUP(RIGHT('ATP Fills'!I1995,2),Helper1!$O$36:$P$48,2,0)))</f>
        <v/>
      </c>
      <c r="K1995" t="str">
        <f>IF(J1995="","",LEFT('ATP Fills'!I1995,4))</f>
        <v/>
      </c>
      <c r="L1995" t="str">
        <f>IF(A1995="","",IF('ATP Fills'!G1995="LME",'ATP Fills'!I1995,""))</f>
        <v/>
      </c>
      <c r="M1995" t="str">
        <f t="shared" si="31"/>
        <v/>
      </c>
    </row>
    <row r="1996" spans="1:13">
      <c r="A1996" t="str">
        <f>IF('ATP Fills'!A1996="","",IF('ATP Fills'!Q1996="PHILLIPSG",'ATP Fills'!F1996,""))</f>
        <v/>
      </c>
      <c r="B1996" t="str">
        <f>IF(A1996="","",'ATP Fills'!L1996)</f>
        <v/>
      </c>
      <c r="C1996" t="str">
        <f>IF(A1996="","",'ATP Fills'!M1996)</f>
        <v/>
      </c>
      <c r="D1996" t="str">
        <f>IF(A1996="","",'ATP Fills'!B1996)</f>
        <v/>
      </c>
      <c r="E1996" s="3" t="str">
        <f>IF(A1996="","",IF(DATE(LEFT(D1996,4),MID(D1996,5,2),RIGHT(D1996,2))=Helper1!$P$1,Helper1!$P$1,""))</f>
        <v/>
      </c>
      <c r="F1996" s="3" t="str">
        <f>IF(A1996="","",'ATP Fills'!G1996)</f>
        <v/>
      </c>
      <c r="G1996" t="str">
        <f>IF(A1996="","",'ATP Fills'!H1996)</f>
        <v/>
      </c>
      <c r="H1996" t="str">
        <f>IF(A1996="","",VLOOKUP(G1996,表3_3[],2,0))</f>
        <v/>
      </c>
      <c r="I1996" t="str">
        <f>IF(A1996="","",VLOOKUP(G1996,表3_3[],3,0))</f>
        <v/>
      </c>
      <c r="J1996" t="str">
        <f>IF(A1996="","",IF('ATP Fills'!I1996="3M","",VLOOKUP(RIGHT('ATP Fills'!I1996,2),Helper1!$O$36:$P$48,2,0)))</f>
        <v/>
      </c>
      <c r="K1996" t="str">
        <f>IF(J1996="","",LEFT('ATP Fills'!I1996,4))</f>
        <v/>
      </c>
      <c r="L1996" t="str">
        <f>IF(A1996="","",IF('ATP Fills'!G1996="LME",'ATP Fills'!I1996,""))</f>
        <v/>
      </c>
      <c r="M1996" t="str">
        <f t="shared" si="31"/>
        <v/>
      </c>
    </row>
    <row r="1997" spans="1:13">
      <c r="A1997" t="str">
        <f>IF('ATP Fills'!A1997="","",IF('ATP Fills'!Q1997="PHILLIPSG",'ATP Fills'!F1997,""))</f>
        <v/>
      </c>
      <c r="B1997" t="str">
        <f>IF(A1997="","",'ATP Fills'!L1997)</f>
        <v/>
      </c>
      <c r="C1997" t="str">
        <f>IF(A1997="","",'ATP Fills'!M1997)</f>
        <v/>
      </c>
      <c r="D1997" t="str">
        <f>IF(A1997="","",'ATP Fills'!B1997)</f>
        <v/>
      </c>
      <c r="E1997" s="3" t="str">
        <f>IF(A1997="","",IF(DATE(LEFT(D1997,4),MID(D1997,5,2),RIGHT(D1997,2))=Helper1!$P$1,Helper1!$P$1,""))</f>
        <v/>
      </c>
      <c r="F1997" s="3" t="str">
        <f>IF(A1997="","",'ATP Fills'!G1997)</f>
        <v/>
      </c>
      <c r="G1997" t="str">
        <f>IF(A1997="","",'ATP Fills'!H1997)</f>
        <v/>
      </c>
      <c r="H1997" t="str">
        <f>IF(A1997="","",VLOOKUP(G1997,表3_3[],2,0))</f>
        <v/>
      </c>
      <c r="I1997" t="str">
        <f>IF(A1997="","",VLOOKUP(G1997,表3_3[],3,0))</f>
        <v/>
      </c>
      <c r="J1997" t="str">
        <f>IF(A1997="","",IF('ATP Fills'!I1997="3M","",VLOOKUP(RIGHT('ATP Fills'!I1997,2),Helper1!$O$36:$P$48,2,0)))</f>
        <v/>
      </c>
      <c r="K1997" t="str">
        <f>IF(J1997="","",LEFT('ATP Fills'!I1997,4))</f>
        <v/>
      </c>
      <c r="L1997" t="str">
        <f>IF(A1997="","",IF('ATP Fills'!G1997="LME",'ATP Fills'!I1997,""))</f>
        <v/>
      </c>
      <c r="M1997" t="str">
        <f t="shared" si="31"/>
        <v/>
      </c>
    </row>
    <row r="1998" spans="1:13">
      <c r="A1998" t="str">
        <f>IF('ATP Fills'!A1998="","",IF('ATP Fills'!Q1998="PHILLIPSG",'ATP Fills'!F1998,""))</f>
        <v/>
      </c>
      <c r="B1998" t="str">
        <f>IF(A1998="","",'ATP Fills'!L1998)</f>
        <v/>
      </c>
      <c r="C1998" t="str">
        <f>IF(A1998="","",'ATP Fills'!M1998)</f>
        <v/>
      </c>
      <c r="D1998" t="str">
        <f>IF(A1998="","",'ATP Fills'!B1998)</f>
        <v/>
      </c>
      <c r="E1998" s="3" t="str">
        <f>IF(A1998="","",IF(DATE(LEFT(D1998,4),MID(D1998,5,2),RIGHT(D1998,2))=Helper1!$P$1,Helper1!$P$1,""))</f>
        <v/>
      </c>
      <c r="F1998" s="3" t="str">
        <f>IF(A1998="","",'ATP Fills'!G1998)</f>
        <v/>
      </c>
      <c r="G1998" t="str">
        <f>IF(A1998="","",'ATP Fills'!H1998)</f>
        <v/>
      </c>
      <c r="H1998" t="str">
        <f>IF(A1998="","",VLOOKUP(G1998,表3_3[],2,0))</f>
        <v/>
      </c>
      <c r="I1998" t="str">
        <f>IF(A1998="","",VLOOKUP(G1998,表3_3[],3,0))</f>
        <v/>
      </c>
      <c r="J1998" t="str">
        <f>IF(A1998="","",IF('ATP Fills'!I1998="3M","",VLOOKUP(RIGHT('ATP Fills'!I1998,2),Helper1!$O$36:$P$48,2,0)))</f>
        <v/>
      </c>
      <c r="K1998" t="str">
        <f>IF(J1998="","",LEFT('ATP Fills'!I1998,4))</f>
        <v/>
      </c>
      <c r="L1998" t="str">
        <f>IF(A1998="","",IF('ATP Fills'!G1998="LME",'ATP Fills'!I1998,""))</f>
        <v/>
      </c>
      <c r="M1998" t="str">
        <f t="shared" si="31"/>
        <v/>
      </c>
    </row>
    <row r="1999" spans="1:13">
      <c r="A1999" t="str">
        <f>IF('ATP Fills'!A1999="","",IF('ATP Fills'!Q1999="PHILLIPSG",'ATP Fills'!F1999,""))</f>
        <v/>
      </c>
      <c r="B1999" t="str">
        <f>IF(A1999="","",'ATP Fills'!L1999)</f>
        <v/>
      </c>
      <c r="C1999" t="str">
        <f>IF(A1999="","",'ATP Fills'!M1999)</f>
        <v/>
      </c>
      <c r="D1999" t="str">
        <f>IF(A1999="","",'ATP Fills'!B1999)</f>
        <v/>
      </c>
      <c r="E1999" s="3" t="str">
        <f>IF(A1999="","",IF(DATE(LEFT(D1999,4),MID(D1999,5,2),RIGHT(D1999,2))=Helper1!$P$1,Helper1!$P$1,""))</f>
        <v/>
      </c>
      <c r="F1999" s="3" t="str">
        <f>IF(A1999="","",'ATP Fills'!G1999)</f>
        <v/>
      </c>
      <c r="G1999" t="str">
        <f>IF(A1999="","",'ATP Fills'!H1999)</f>
        <v/>
      </c>
      <c r="H1999" t="str">
        <f>IF(A1999="","",VLOOKUP(G1999,表3_3[],2,0))</f>
        <v/>
      </c>
      <c r="I1999" t="str">
        <f>IF(A1999="","",VLOOKUP(G1999,表3_3[],3,0))</f>
        <v/>
      </c>
      <c r="J1999" t="str">
        <f>IF(A1999="","",IF('ATP Fills'!I1999="3M","",VLOOKUP(RIGHT('ATP Fills'!I1999,2),Helper1!$O$36:$P$48,2,0)))</f>
        <v/>
      </c>
      <c r="K1999" t="str">
        <f>IF(J1999="","",LEFT('ATP Fills'!I1999,4))</f>
        <v/>
      </c>
      <c r="L1999" t="str">
        <f>IF(A1999="","",IF('ATP Fills'!G1999="LME",'ATP Fills'!I1999,""))</f>
        <v/>
      </c>
      <c r="M1999" t="str">
        <f t="shared" si="31"/>
        <v/>
      </c>
    </row>
    <row r="2000" spans="1:13">
      <c r="A2000" t="str">
        <f>IF('ATP Fills'!A2000="","",IF('ATP Fills'!Q2000="PHILLIPSG",'ATP Fills'!F2000,""))</f>
        <v/>
      </c>
      <c r="B2000" t="str">
        <f>IF(A2000="","",'ATP Fills'!L2000)</f>
        <v/>
      </c>
      <c r="C2000" t="str">
        <f>IF(A2000="","",'ATP Fills'!M2000)</f>
        <v/>
      </c>
      <c r="D2000" t="str">
        <f>IF(A2000="","",'ATP Fills'!B2000)</f>
        <v/>
      </c>
      <c r="E2000" s="3" t="str">
        <f>IF(A2000="","",IF(DATE(LEFT(D2000,4),MID(D2000,5,2),RIGHT(D2000,2))=Helper1!$P$1,Helper1!$P$1,""))</f>
        <v/>
      </c>
      <c r="F2000" s="3" t="str">
        <f>IF(A2000="","",'ATP Fills'!G2000)</f>
        <v/>
      </c>
      <c r="G2000" t="str">
        <f>IF(A2000="","",'ATP Fills'!H2000)</f>
        <v/>
      </c>
      <c r="H2000" t="str">
        <f>IF(A2000="","",VLOOKUP(G2000,表3_3[],2,0))</f>
        <v/>
      </c>
      <c r="I2000" t="str">
        <f>IF(A2000="","",VLOOKUP(G2000,表3_3[],3,0))</f>
        <v/>
      </c>
      <c r="J2000" t="str">
        <f>IF(A2000="","",IF('ATP Fills'!I2000="3M","",VLOOKUP(RIGHT('ATP Fills'!I2000,2),Helper1!$O$36:$P$48,2,0)))</f>
        <v/>
      </c>
      <c r="K2000" t="str">
        <f>IF(J2000="","",LEFT('ATP Fills'!I2000,4))</f>
        <v/>
      </c>
      <c r="L2000" t="str">
        <f>IF(A2000="","",IF('ATP Fills'!G2000="LME",'ATP Fills'!I2000,""))</f>
        <v/>
      </c>
      <c r="M2000" t="str">
        <f t="shared" si="31"/>
        <v/>
      </c>
    </row>
    <row r="2001" spans="1:13">
      <c r="A2001" t="str">
        <f>IF('ATP Fills'!A2001="","",IF('ATP Fills'!Q2001="PHILLIPSG",'ATP Fills'!F2001,""))</f>
        <v/>
      </c>
      <c r="B2001" t="str">
        <f>IF(A2001="","",'ATP Fills'!L2001)</f>
        <v/>
      </c>
      <c r="C2001" t="str">
        <f>IF(A2001="","",'ATP Fills'!M2001)</f>
        <v/>
      </c>
      <c r="D2001" t="str">
        <f>IF(A2001="","",'ATP Fills'!B2001)</f>
        <v/>
      </c>
      <c r="E2001" s="3" t="str">
        <f>IF(A2001="","",IF(DATE(LEFT(D2001,4),MID(D2001,5,2),RIGHT(D2001,2))=Helper1!$P$1,Helper1!$P$1,""))</f>
        <v/>
      </c>
      <c r="F2001" s="3" t="str">
        <f>IF(A2001="","",'ATP Fills'!G2001)</f>
        <v/>
      </c>
      <c r="G2001" t="str">
        <f>IF(A2001="","",'ATP Fills'!H2001)</f>
        <v/>
      </c>
      <c r="H2001" t="str">
        <f>IF(A2001="","",VLOOKUP(G2001,表3_3[],2,0))</f>
        <v/>
      </c>
      <c r="I2001" t="str">
        <f>IF(A2001="","",VLOOKUP(G2001,表3_3[],3,0))</f>
        <v/>
      </c>
      <c r="J2001" t="str">
        <f>IF(A2001="","",IF('ATP Fills'!I2001="3M","",VLOOKUP(RIGHT('ATP Fills'!I2001,2),Helper1!$O$36:$P$48,2,0)))</f>
        <v/>
      </c>
      <c r="K2001" t="str">
        <f>IF(J2001="","",LEFT('ATP Fills'!I2001,4))</f>
        <v/>
      </c>
      <c r="L2001" t="str">
        <f>IF(A2001="","",IF('ATP Fills'!G2001="LME",'ATP Fills'!I2001,""))</f>
        <v/>
      </c>
      <c r="M2001" t="str">
        <f t="shared" si="31"/>
        <v/>
      </c>
    </row>
    <row r="2002" spans="1:13">
      <c r="A2002" t="str">
        <f>IF('ATP Fills'!A2002="","",IF('ATP Fills'!Q2002="PHILLIPSG",'ATP Fills'!F2002,""))</f>
        <v/>
      </c>
      <c r="B2002" t="str">
        <f>IF(A2002="","",'ATP Fills'!L2002)</f>
        <v/>
      </c>
      <c r="C2002" t="str">
        <f>IF(A2002="","",'ATP Fills'!M2002)</f>
        <v/>
      </c>
      <c r="D2002" t="str">
        <f>IF(A2002="","",'ATP Fills'!B2002)</f>
        <v/>
      </c>
      <c r="E2002" s="3" t="str">
        <f>IF(A2002="","",IF(DATE(LEFT(D2002,4),MID(D2002,5,2),RIGHT(D2002,2))=Helper1!$P$1,Helper1!$P$1,""))</f>
        <v/>
      </c>
      <c r="F2002" s="3" t="str">
        <f>IF(A2002="","",'ATP Fills'!G2002)</f>
        <v/>
      </c>
      <c r="G2002" t="str">
        <f>IF(A2002="","",'ATP Fills'!H2002)</f>
        <v/>
      </c>
      <c r="H2002" t="str">
        <f>IF(A2002="","",VLOOKUP(G2002,表3_3[],2,0))</f>
        <v/>
      </c>
      <c r="I2002" t="str">
        <f>IF(A2002="","",VLOOKUP(G2002,表3_3[],3,0))</f>
        <v/>
      </c>
      <c r="J2002" t="str">
        <f>IF(A2002="","",IF('ATP Fills'!I2002="3M","",VLOOKUP(RIGHT('ATP Fills'!I2002,2),Helper1!$O$36:$P$48,2,0)))</f>
        <v/>
      </c>
      <c r="K2002" t="str">
        <f>IF(J2002="","",LEFT('ATP Fills'!I2002,4))</f>
        <v/>
      </c>
      <c r="L2002" t="str">
        <f>IF(A2002="","",IF('ATP Fills'!G2002="LME",'ATP Fills'!I2002,""))</f>
        <v/>
      </c>
      <c r="M2002" t="str">
        <f t="shared" si="31"/>
        <v/>
      </c>
    </row>
    <row r="2003" spans="1:13">
      <c r="A2003" t="str">
        <f>IF('ATP Fills'!A2003="","",IF('ATP Fills'!Q2003="PHILLIPSG",'ATP Fills'!F2003,""))</f>
        <v/>
      </c>
      <c r="B2003" t="str">
        <f>IF(A2003="","",'ATP Fills'!L2003)</f>
        <v/>
      </c>
      <c r="C2003" t="str">
        <f>IF(A2003="","",'ATP Fills'!M2003)</f>
        <v/>
      </c>
      <c r="D2003" t="str">
        <f>IF(A2003="","",'ATP Fills'!B2003)</f>
        <v/>
      </c>
      <c r="E2003" s="3" t="str">
        <f>IF(A2003="","",IF(DATE(LEFT(D2003,4),MID(D2003,5,2),RIGHT(D2003,2))=Helper1!$P$1,Helper1!$P$1,""))</f>
        <v/>
      </c>
      <c r="F2003" s="3" t="str">
        <f>IF(A2003="","",'ATP Fills'!G2003)</f>
        <v/>
      </c>
      <c r="G2003" t="str">
        <f>IF(A2003="","",'ATP Fills'!H2003)</f>
        <v/>
      </c>
      <c r="H2003" t="str">
        <f>IF(A2003="","",VLOOKUP(G2003,表3_3[],2,0))</f>
        <v/>
      </c>
      <c r="I2003" t="str">
        <f>IF(A2003="","",VLOOKUP(G2003,表3_3[],3,0))</f>
        <v/>
      </c>
      <c r="J2003" t="str">
        <f>IF(A2003="","",IF('ATP Fills'!I2003="3M","",VLOOKUP(RIGHT('ATP Fills'!I2003,2),Helper1!$O$36:$P$48,2,0)))</f>
        <v/>
      </c>
      <c r="K2003" t="str">
        <f>IF(J2003="","",LEFT('ATP Fills'!I2003,4))</f>
        <v/>
      </c>
      <c r="L2003" t="str">
        <f>IF(A2003="","",IF('ATP Fills'!G2003="LME",'ATP Fills'!I2003,""))</f>
        <v/>
      </c>
      <c r="M2003" t="str">
        <f t="shared" si="31"/>
        <v/>
      </c>
    </row>
    <row r="2004" spans="1:13">
      <c r="A2004" t="str">
        <f>IF('ATP Fills'!A2004="","",IF('ATP Fills'!Q2004="PHILLIPSG",'ATP Fills'!F2004,""))</f>
        <v/>
      </c>
      <c r="B2004" t="str">
        <f>IF(A2004="","",'ATP Fills'!L2004)</f>
        <v/>
      </c>
      <c r="C2004" t="str">
        <f>IF(A2004="","",'ATP Fills'!M2004)</f>
        <v/>
      </c>
      <c r="D2004" t="str">
        <f>IF(A2004="","",'ATP Fills'!B2004)</f>
        <v/>
      </c>
      <c r="E2004" s="3" t="str">
        <f>IF(A2004="","",IF(DATE(LEFT(D2004,4),MID(D2004,5,2),RIGHT(D2004,2))=Helper1!$P$1,Helper1!$P$1,""))</f>
        <v/>
      </c>
      <c r="F2004" s="3" t="str">
        <f>IF(A2004="","",'ATP Fills'!G2004)</f>
        <v/>
      </c>
      <c r="G2004" t="str">
        <f>IF(A2004="","",'ATP Fills'!H2004)</f>
        <v/>
      </c>
      <c r="H2004" t="str">
        <f>IF(A2004="","",VLOOKUP(G2004,表3_3[],2,0))</f>
        <v/>
      </c>
      <c r="I2004" t="str">
        <f>IF(A2004="","",VLOOKUP(G2004,表3_3[],3,0))</f>
        <v/>
      </c>
      <c r="J2004" t="str">
        <f>IF(A2004="","",IF('ATP Fills'!I2004="3M","",VLOOKUP(RIGHT('ATP Fills'!I2004,2),Helper1!$O$36:$P$48,2,0)))</f>
        <v/>
      </c>
      <c r="K2004" t="str">
        <f>IF(J2004="","",LEFT('ATP Fills'!I2004,4))</f>
        <v/>
      </c>
      <c r="L2004" t="str">
        <f>IF(A2004="","",IF('ATP Fills'!G2004="LME",'ATP Fills'!I2004,""))</f>
        <v/>
      </c>
      <c r="M2004" t="str">
        <f t="shared" si="31"/>
        <v/>
      </c>
    </row>
    <row r="2005" spans="1:13">
      <c r="A2005" t="str">
        <f>IF('ATP Fills'!A2005="","",IF('ATP Fills'!Q2005="PHILLIPSG",'ATP Fills'!F2005,""))</f>
        <v/>
      </c>
      <c r="B2005" t="str">
        <f>IF(A2005="","",'ATP Fills'!L2005)</f>
        <v/>
      </c>
      <c r="C2005" t="str">
        <f>IF(A2005="","",'ATP Fills'!M2005)</f>
        <v/>
      </c>
      <c r="D2005" t="str">
        <f>IF(A2005="","",'ATP Fills'!B2005)</f>
        <v/>
      </c>
      <c r="E2005" s="3" t="str">
        <f>IF(A2005="","",IF(DATE(LEFT(D2005,4),MID(D2005,5,2),RIGHT(D2005,2))=Helper1!$P$1,Helper1!$P$1,""))</f>
        <v/>
      </c>
      <c r="F2005" s="3" t="str">
        <f>IF(A2005="","",'ATP Fills'!G2005)</f>
        <v/>
      </c>
      <c r="G2005" t="str">
        <f>IF(A2005="","",'ATP Fills'!H2005)</f>
        <v/>
      </c>
      <c r="H2005" t="str">
        <f>IF(A2005="","",VLOOKUP(G2005,表3_3[],2,0))</f>
        <v/>
      </c>
      <c r="I2005" t="str">
        <f>IF(A2005="","",VLOOKUP(G2005,表3_3[],3,0))</f>
        <v/>
      </c>
      <c r="J2005" t="str">
        <f>IF(A2005="","",IF('ATP Fills'!I2005="3M","",VLOOKUP(RIGHT('ATP Fills'!I2005,2),Helper1!$O$36:$P$48,2,0)))</f>
        <v/>
      </c>
      <c r="K2005" t="str">
        <f>IF(J2005="","",LEFT('ATP Fills'!I2005,4))</f>
        <v/>
      </c>
      <c r="L2005" t="str">
        <f>IF(A2005="","",IF('ATP Fills'!G2005="LME",'ATP Fills'!I2005,""))</f>
        <v/>
      </c>
      <c r="M2005" t="str">
        <f t="shared" si="31"/>
        <v/>
      </c>
    </row>
    <row r="2006" spans="1:13">
      <c r="A2006" t="str">
        <f>IF('ATP Fills'!A2006="","",IF('ATP Fills'!Q2006="PHILLIPSG",'ATP Fills'!F2006,""))</f>
        <v/>
      </c>
      <c r="B2006" t="str">
        <f>IF(A2006="","",'ATP Fills'!L2006)</f>
        <v/>
      </c>
      <c r="C2006" t="str">
        <f>IF(A2006="","",'ATP Fills'!M2006)</f>
        <v/>
      </c>
      <c r="D2006" t="str">
        <f>IF(A2006="","",'ATP Fills'!B2006)</f>
        <v/>
      </c>
      <c r="E2006" s="3" t="str">
        <f>IF(A2006="","",IF(DATE(LEFT(D2006,4),MID(D2006,5,2),RIGHT(D2006,2))=Helper1!$P$1,Helper1!$P$1,""))</f>
        <v/>
      </c>
      <c r="F2006" s="3" t="str">
        <f>IF(A2006="","",'ATP Fills'!G2006)</f>
        <v/>
      </c>
      <c r="G2006" t="str">
        <f>IF(A2006="","",'ATP Fills'!H2006)</f>
        <v/>
      </c>
      <c r="H2006" t="str">
        <f>IF(A2006="","",VLOOKUP(G2006,表3_3[],2,0))</f>
        <v/>
      </c>
      <c r="I2006" t="str">
        <f>IF(A2006="","",VLOOKUP(G2006,表3_3[],3,0))</f>
        <v/>
      </c>
      <c r="J2006" t="str">
        <f>IF(A2006="","",IF('ATP Fills'!I2006="3M","",VLOOKUP(RIGHT('ATP Fills'!I2006,2),Helper1!$O$36:$P$48,2,0)))</f>
        <v/>
      </c>
      <c r="K2006" t="str">
        <f>IF(J2006="","",LEFT('ATP Fills'!I2006,4))</f>
        <v/>
      </c>
      <c r="L2006" t="str">
        <f>IF(A2006="","",IF('ATP Fills'!G2006="LME",'ATP Fills'!I2006,""))</f>
        <v/>
      </c>
      <c r="M2006" t="str">
        <f t="shared" si="31"/>
        <v/>
      </c>
    </row>
    <row r="2007" spans="1:13">
      <c r="A2007" t="str">
        <f>IF('ATP Fills'!A2007="","",IF('ATP Fills'!Q2007="PHILLIPSG",'ATP Fills'!F2007,""))</f>
        <v/>
      </c>
      <c r="B2007" t="str">
        <f>IF(A2007="","",'ATP Fills'!L2007)</f>
        <v/>
      </c>
      <c r="C2007" t="str">
        <f>IF(A2007="","",'ATP Fills'!M2007)</f>
        <v/>
      </c>
      <c r="D2007" t="str">
        <f>IF(A2007="","",'ATP Fills'!B2007)</f>
        <v/>
      </c>
      <c r="E2007" s="3" t="str">
        <f>IF(A2007="","",IF(DATE(LEFT(D2007,4),MID(D2007,5,2),RIGHT(D2007,2))=Helper1!$P$1,Helper1!$P$1,""))</f>
        <v/>
      </c>
      <c r="F2007" s="3" t="str">
        <f>IF(A2007="","",'ATP Fills'!G2007)</f>
        <v/>
      </c>
      <c r="G2007" t="str">
        <f>IF(A2007="","",'ATP Fills'!H2007)</f>
        <v/>
      </c>
      <c r="H2007" t="str">
        <f>IF(A2007="","",VLOOKUP(G2007,表3_3[],2,0))</f>
        <v/>
      </c>
      <c r="I2007" t="str">
        <f>IF(A2007="","",VLOOKUP(G2007,表3_3[],3,0))</f>
        <v/>
      </c>
      <c r="J2007" t="str">
        <f>IF(A2007="","",IF('ATP Fills'!I2007="3M","",VLOOKUP(RIGHT('ATP Fills'!I2007,2),Helper1!$O$36:$P$48,2,0)))</f>
        <v/>
      </c>
      <c r="K2007" t="str">
        <f>IF(J2007="","",LEFT('ATP Fills'!I2007,4))</f>
        <v/>
      </c>
      <c r="L2007" t="str">
        <f>IF(A2007="","",IF('ATP Fills'!G2007="LME",'ATP Fills'!I2007,""))</f>
        <v/>
      </c>
      <c r="M2007" t="str">
        <f t="shared" si="31"/>
        <v/>
      </c>
    </row>
    <row r="2008" spans="1:13">
      <c r="A2008" t="str">
        <f>IF('ATP Fills'!A2008="","",IF('ATP Fills'!Q2008="PHILLIPSG",'ATP Fills'!F2008,""))</f>
        <v/>
      </c>
      <c r="B2008" t="str">
        <f>IF(A2008="","",'ATP Fills'!L2008)</f>
        <v/>
      </c>
      <c r="C2008" t="str">
        <f>IF(A2008="","",'ATP Fills'!M2008)</f>
        <v/>
      </c>
      <c r="D2008" t="str">
        <f>IF(A2008="","",'ATP Fills'!B2008)</f>
        <v/>
      </c>
      <c r="E2008" s="3" t="str">
        <f>IF(A2008="","",IF(DATE(LEFT(D2008,4),MID(D2008,5,2),RIGHT(D2008,2))=Helper1!$P$1,Helper1!$P$1,""))</f>
        <v/>
      </c>
      <c r="F2008" s="3" t="str">
        <f>IF(A2008="","",'ATP Fills'!G2008)</f>
        <v/>
      </c>
      <c r="G2008" t="str">
        <f>IF(A2008="","",'ATP Fills'!H2008)</f>
        <v/>
      </c>
      <c r="H2008" t="str">
        <f>IF(A2008="","",VLOOKUP(G2008,表3_3[],2,0))</f>
        <v/>
      </c>
      <c r="I2008" t="str">
        <f>IF(A2008="","",VLOOKUP(G2008,表3_3[],3,0))</f>
        <v/>
      </c>
      <c r="J2008" t="str">
        <f>IF(A2008="","",IF('ATP Fills'!I2008="3M","",VLOOKUP(RIGHT('ATP Fills'!I2008,2),Helper1!$O$36:$P$48,2,0)))</f>
        <v/>
      </c>
      <c r="K2008" t="str">
        <f>IF(J2008="","",LEFT('ATP Fills'!I2008,4))</f>
        <v/>
      </c>
      <c r="L2008" t="str">
        <f>IF(A2008="","",IF('ATP Fills'!G2008="LME",'ATP Fills'!I2008,""))</f>
        <v/>
      </c>
      <c r="M2008" t="str">
        <f t="shared" si="31"/>
        <v/>
      </c>
    </row>
    <row r="2009" spans="1:13">
      <c r="A2009" t="str">
        <f>IF('ATP Fills'!A2009="","",IF('ATP Fills'!Q2009="PHILLIPSG",'ATP Fills'!F2009,""))</f>
        <v/>
      </c>
      <c r="B2009" t="str">
        <f>IF(A2009="","",'ATP Fills'!L2009)</f>
        <v/>
      </c>
      <c r="C2009" t="str">
        <f>IF(A2009="","",'ATP Fills'!M2009)</f>
        <v/>
      </c>
      <c r="D2009" t="str">
        <f>IF(A2009="","",'ATP Fills'!B2009)</f>
        <v/>
      </c>
      <c r="E2009" s="3" t="str">
        <f>IF(A2009="","",IF(DATE(LEFT(D2009,4),MID(D2009,5,2),RIGHT(D2009,2))=Helper1!$P$1,Helper1!$P$1,""))</f>
        <v/>
      </c>
      <c r="F2009" s="3" t="str">
        <f>IF(A2009="","",'ATP Fills'!G2009)</f>
        <v/>
      </c>
      <c r="G2009" t="str">
        <f>IF(A2009="","",'ATP Fills'!H2009)</f>
        <v/>
      </c>
      <c r="H2009" t="str">
        <f>IF(A2009="","",VLOOKUP(G2009,表3_3[],2,0))</f>
        <v/>
      </c>
      <c r="I2009" t="str">
        <f>IF(A2009="","",VLOOKUP(G2009,表3_3[],3,0))</f>
        <v/>
      </c>
      <c r="J2009" t="str">
        <f>IF(A2009="","",IF('ATP Fills'!I2009="3M","",VLOOKUP(RIGHT('ATP Fills'!I2009,2),Helper1!$O$36:$P$48,2,0)))</f>
        <v/>
      </c>
      <c r="K2009" t="str">
        <f>IF(J2009="","",LEFT('ATP Fills'!I2009,4))</f>
        <v/>
      </c>
      <c r="L2009" t="str">
        <f>IF(A2009="","",IF('ATP Fills'!G2009="LME",'ATP Fills'!I2009,""))</f>
        <v/>
      </c>
      <c r="M2009" t="str">
        <f t="shared" si="31"/>
        <v/>
      </c>
    </row>
    <row r="2010" spans="1:13">
      <c r="A2010" t="str">
        <f>IF('ATP Fills'!A2010="","",IF('ATP Fills'!Q2010="PHILLIPSG",'ATP Fills'!F2010,""))</f>
        <v/>
      </c>
      <c r="B2010" t="str">
        <f>IF(A2010="","",'ATP Fills'!L2010)</f>
        <v/>
      </c>
      <c r="C2010" t="str">
        <f>IF(A2010="","",'ATP Fills'!M2010)</f>
        <v/>
      </c>
      <c r="D2010" t="str">
        <f>IF(A2010="","",'ATP Fills'!B2010)</f>
        <v/>
      </c>
      <c r="E2010" s="3" t="str">
        <f>IF(A2010="","",IF(DATE(LEFT(D2010,4),MID(D2010,5,2),RIGHT(D2010,2))=Helper1!$P$1,Helper1!$P$1,""))</f>
        <v/>
      </c>
      <c r="F2010" s="3" t="str">
        <f>IF(A2010="","",'ATP Fills'!G2010)</f>
        <v/>
      </c>
      <c r="G2010" t="str">
        <f>IF(A2010="","",'ATP Fills'!H2010)</f>
        <v/>
      </c>
      <c r="H2010" t="str">
        <f>IF(A2010="","",VLOOKUP(G2010,表3_3[],2,0))</f>
        <v/>
      </c>
      <c r="I2010" t="str">
        <f>IF(A2010="","",VLOOKUP(G2010,表3_3[],3,0))</f>
        <v/>
      </c>
      <c r="J2010" t="str">
        <f>IF(A2010="","",IF('ATP Fills'!I2010="3M","",VLOOKUP(RIGHT('ATP Fills'!I2010,2),Helper1!$O$36:$P$48,2,0)))</f>
        <v/>
      </c>
      <c r="K2010" t="str">
        <f>IF(J2010="","",LEFT('ATP Fills'!I2010,4))</f>
        <v/>
      </c>
      <c r="L2010" t="str">
        <f>IF(A2010="","",IF('ATP Fills'!G2010="LME",'ATP Fills'!I2010,""))</f>
        <v/>
      </c>
      <c r="M2010" t="str">
        <f t="shared" si="31"/>
        <v/>
      </c>
    </row>
    <row r="2011" spans="1:13">
      <c r="A2011" t="str">
        <f>IF('ATP Fills'!A2011="","",IF('ATP Fills'!Q2011="PHILLIPSG",'ATP Fills'!F2011,""))</f>
        <v/>
      </c>
      <c r="B2011" t="str">
        <f>IF(A2011="","",'ATP Fills'!L2011)</f>
        <v/>
      </c>
      <c r="C2011" t="str">
        <f>IF(A2011="","",'ATP Fills'!M2011)</f>
        <v/>
      </c>
      <c r="D2011" t="str">
        <f>IF(A2011="","",'ATP Fills'!B2011)</f>
        <v/>
      </c>
      <c r="E2011" s="3" t="str">
        <f>IF(A2011="","",IF(DATE(LEFT(D2011,4),MID(D2011,5,2),RIGHT(D2011,2))=Helper1!$P$1,Helper1!$P$1,""))</f>
        <v/>
      </c>
      <c r="F2011" s="3" t="str">
        <f>IF(A2011="","",'ATP Fills'!G2011)</f>
        <v/>
      </c>
      <c r="G2011" t="str">
        <f>IF(A2011="","",'ATP Fills'!H2011)</f>
        <v/>
      </c>
      <c r="H2011" t="str">
        <f>IF(A2011="","",VLOOKUP(G2011,表3_3[],2,0))</f>
        <v/>
      </c>
      <c r="I2011" t="str">
        <f>IF(A2011="","",VLOOKUP(G2011,表3_3[],3,0))</f>
        <v/>
      </c>
      <c r="J2011" t="str">
        <f>IF(A2011="","",IF('ATP Fills'!I2011="3M","",VLOOKUP(RIGHT('ATP Fills'!I2011,2),Helper1!$O$36:$P$48,2,0)))</f>
        <v/>
      </c>
      <c r="K2011" t="str">
        <f>IF(J2011="","",LEFT('ATP Fills'!I2011,4))</f>
        <v/>
      </c>
      <c r="L2011" t="str">
        <f>IF(A2011="","",IF('ATP Fills'!G2011="LME",'ATP Fills'!I2011,""))</f>
        <v/>
      </c>
      <c r="M2011" t="str">
        <f t="shared" si="31"/>
        <v/>
      </c>
    </row>
    <row r="2012" spans="1:13">
      <c r="A2012" t="str">
        <f>IF('ATP Fills'!A2012="","",IF('ATP Fills'!Q2012="PHILLIPSG",'ATP Fills'!F2012,""))</f>
        <v/>
      </c>
      <c r="B2012" t="str">
        <f>IF(A2012="","",'ATP Fills'!L2012)</f>
        <v/>
      </c>
      <c r="C2012" t="str">
        <f>IF(A2012="","",'ATP Fills'!M2012)</f>
        <v/>
      </c>
      <c r="D2012" t="str">
        <f>IF(A2012="","",'ATP Fills'!B2012)</f>
        <v/>
      </c>
      <c r="E2012" s="3" t="str">
        <f>IF(A2012="","",IF(DATE(LEFT(D2012,4),MID(D2012,5,2),RIGHT(D2012,2))=Helper1!$P$1,Helper1!$P$1,""))</f>
        <v/>
      </c>
      <c r="F2012" s="3" t="str">
        <f>IF(A2012="","",'ATP Fills'!G2012)</f>
        <v/>
      </c>
      <c r="G2012" t="str">
        <f>IF(A2012="","",'ATP Fills'!H2012)</f>
        <v/>
      </c>
      <c r="H2012" t="str">
        <f>IF(A2012="","",VLOOKUP(G2012,表3_3[],2,0))</f>
        <v/>
      </c>
      <c r="I2012" t="str">
        <f>IF(A2012="","",VLOOKUP(G2012,表3_3[],3,0))</f>
        <v/>
      </c>
      <c r="J2012" t="str">
        <f>IF(A2012="","",IF('ATP Fills'!I2012="3M","",VLOOKUP(RIGHT('ATP Fills'!I2012,2),Helper1!$O$36:$P$48,2,0)))</f>
        <v/>
      </c>
      <c r="K2012" t="str">
        <f>IF(J2012="","",LEFT('ATP Fills'!I2012,4))</f>
        <v/>
      </c>
      <c r="L2012" t="str">
        <f>IF(A2012="","",IF('ATP Fills'!G2012="LME",'ATP Fills'!I2012,""))</f>
        <v/>
      </c>
      <c r="M2012" t="str">
        <f t="shared" si="31"/>
        <v/>
      </c>
    </row>
    <row r="2013" spans="1:13">
      <c r="A2013" t="str">
        <f>IF('ATP Fills'!A2013="","",IF('ATP Fills'!Q2013="PHILLIPSG",'ATP Fills'!F2013,""))</f>
        <v/>
      </c>
      <c r="B2013" t="str">
        <f>IF(A2013="","",'ATP Fills'!L2013)</f>
        <v/>
      </c>
      <c r="C2013" t="str">
        <f>IF(A2013="","",'ATP Fills'!M2013)</f>
        <v/>
      </c>
      <c r="D2013" t="str">
        <f>IF(A2013="","",'ATP Fills'!B2013)</f>
        <v/>
      </c>
      <c r="E2013" s="3" t="str">
        <f>IF(A2013="","",IF(DATE(LEFT(D2013,4),MID(D2013,5,2),RIGHT(D2013,2))=Helper1!$P$1,Helper1!$P$1,""))</f>
        <v/>
      </c>
      <c r="F2013" s="3" t="str">
        <f>IF(A2013="","",'ATP Fills'!G2013)</f>
        <v/>
      </c>
      <c r="G2013" t="str">
        <f>IF(A2013="","",'ATP Fills'!H2013)</f>
        <v/>
      </c>
      <c r="H2013" t="str">
        <f>IF(A2013="","",VLOOKUP(G2013,表3_3[],2,0))</f>
        <v/>
      </c>
      <c r="I2013" t="str">
        <f>IF(A2013="","",VLOOKUP(G2013,表3_3[],3,0))</f>
        <v/>
      </c>
      <c r="J2013" t="str">
        <f>IF(A2013="","",IF('ATP Fills'!I2013="3M","",VLOOKUP(RIGHT('ATP Fills'!I2013,2),Helper1!$O$36:$P$48,2,0)))</f>
        <v/>
      </c>
      <c r="K2013" t="str">
        <f>IF(J2013="","",LEFT('ATP Fills'!I2013,4))</f>
        <v/>
      </c>
      <c r="L2013" t="str">
        <f>IF(A2013="","",IF('ATP Fills'!G2013="LME",'ATP Fills'!I2013,""))</f>
        <v/>
      </c>
      <c r="M2013" t="str">
        <f t="shared" si="31"/>
        <v/>
      </c>
    </row>
    <row r="2014" spans="1:13">
      <c r="A2014" t="str">
        <f>IF('ATP Fills'!A2014="","",IF('ATP Fills'!Q2014="PHILLIPSG",'ATP Fills'!F2014,""))</f>
        <v/>
      </c>
      <c r="B2014" t="str">
        <f>IF(A2014="","",'ATP Fills'!L2014)</f>
        <v/>
      </c>
      <c r="C2014" t="str">
        <f>IF(A2014="","",'ATP Fills'!M2014)</f>
        <v/>
      </c>
      <c r="D2014" t="str">
        <f>IF(A2014="","",'ATP Fills'!B2014)</f>
        <v/>
      </c>
      <c r="E2014" s="3" t="str">
        <f>IF(A2014="","",IF(DATE(LEFT(D2014,4),MID(D2014,5,2),RIGHT(D2014,2))=Helper1!$P$1,Helper1!$P$1,""))</f>
        <v/>
      </c>
      <c r="F2014" s="3" t="str">
        <f>IF(A2014="","",'ATP Fills'!G2014)</f>
        <v/>
      </c>
      <c r="G2014" t="str">
        <f>IF(A2014="","",'ATP Fills'!H2014)</f>
        <v/>
      </c>
      <c r="H2014" t="str">
        <f>IF(A2014="","",VLOOKUP(G2014,表3_3[],2,0))</f>
        <v/>
      </c>
      <c r="I2014" t="str">
        <f>IF(A2014="","",VLOOKUP(G2014,表3_3[],3,0))</f>
        <v/>
      </c>
      <c r="J2014" t="str">
        <f>IF(A2014="","",IF('ATP Fills'!I2014="3M","",VLOOKUP(RIGHT('ATP Fills'!I2014,2),Helper1!$O$36:$P$48,2,0)))</f>
        <v/>
      </c>
      <c r="K2014" t="str">
        <f>IF(J2014="","",LEFT('ATP Fills'!I2014,4))</f>
        <v/>
      </c>
      <c r="L2014" t="str">
        <f>IF(A2014="","",IF('ATP Fills'!G2014="LME",'ATP Fills'!I2014,""))</f>
        <v/>
      </c>
      <c r="M2014" t="str">
        <f t="shared" si="31"/>
        <v/>
      </c>
    </row>
    <row r="2015" spans="1:13">
      <c r="A2015" t="str">
        <f>IF('ATP Fills'!A2015="","",IF('ATP Fills'!Q2015="PHILLIPSG",'ATP Fills'!F2015,""))</f>
        <v/>
      </c>
      <c r="B2015" t="str">
        <f>IF(A2015="","",'ATP Fills'!L2015)</f>
        <v/>
      </c>
      <c r="C2015" t="str">
        <f>IF(A2015="","",'ATP Fills'!M2015)</f>
        <v/>
      </c>
      <c r="D2015" t="str">
        <f>IF(A2015="","",'ATP Fills'!B2015)</f>
        <v/>
      </c>
      <c r="E2015" s="3" t="str">
        <f>IF(A2015="","",IF(DATE(LEFT(D2015,4),MID(D2015,5,2),RIGHT(D2015,2))=Helper1!$P$1,Helper1!$P$1,""))</f>
        <v/>
      </c>
      <c r="F2015" s="3" t="str">
        <f>IF(A2015="","",'ATP Fills'!G2015)</f>
        <v/>
      </c>
      <c r="G2015" t="str">
        <f>IF(A2015="","",'ATP Fills'!H2015)</f>
        <v/>
      </c>
      <c r="H2015" t="str">
        <f>IF(A2015="","",VLOOKUP(G2015,表3_3[],2,0))</f>
        <v/>
      </c>
      <c r="I2015" t="str">
        <f>IF(A2015="","",VLOOKUP(G2015,表3_3[],3,0))</f>
        <v/>
      </c>
      <c r="J2015" t="str">
        <f>IF(A2015="","",IF('ATP Fills'!I2015="3M","",VLOOKUP(RIGHT('ATP Fills'!I2015,2),Helper1!$O$36:$P$48,2,0)))</f>
        <v/>
      </c>
      <c r="K2015" t="str">
        <f>IF(J2015="","",LEFT('ATP Fills'!I2015,4))</f>
        <v/>
      </c>
      <c r="L2015" t="str">
        <f>IF(A2015="","",IF('ATP Fills'!G2015="LME",'ATP Fills'!I2015,""))</f>
        <v/>
      </c>
      <c r="M2015" t="str">
        <f t="shared" si="31"/>
        <v/>
      </c>
    </row>
    <row r="2016" spans="1:13">
      <c r="A2016" t="str">
        <f>IF('ATP Fills'!A2016="","",IF('ATP Fills'!Q2016="PHILLIPSG",'ATP Fills'!F2016,""))</f>
        <v/>
      </c>
      <c r="B2016" t="str">
        <f>IF(A2016="","",'ATP Fills'!L2016)</f>
        <v/>
      </c>
      <c r="C2016" t="str">
        <f>IF(A2016="","",'ATP Fills'!M2016)</f>
        <v/>
      </c>
      <c r="D2016" t="str">
        <f>IF(A2016="","",'ATP Fills'!B2016)</f>
        <v/>
      </c>
      <c r="E2016" s="3" t="str">
        <f>IF(A2016="","",IF(DATE(LEFT(D2016,4),MID(D2016,5,2),RIGHT(D2016,2))=Helper1!$P$1,Helper1!$P$1,""))</f>
        <v/>
      </c>
      <c r="F2016" s="3" t="str">
        <f>IF(A2016="","",'ATP Fills'!G2016)</f>
        <v/>
      </c>
      <c r="G2016" t="str">
        <f>IF(A2016="","",'ATP Fills'!H2016)</f>
        <v/>
      </c>
      <c r="H2016" t="str">
        <f>IF(A2016="","",VLOOKUP(G2016,表3_3[],2,0))</f>
        <v/>
      </c>
      <c r="I2016" t="str">
        <f>IF(A2016="","",VLOOKUP(G2016,表3_3[],3,0))</f>
        <v/>
      </c>
      <c r="J2016" t="str">
        <f>IF(A2016="","",IF('ATP Fills'!I2016="3M","",VLOOKUP(RIGHT('ATP Fills'!I2016,2),Helper1!$O$36:$P$48,2,0)))</f>
        <v/>
      </c>
      <c r="K2016" t="str">
        <f>IF(J2016="","",LEFT('ATP Fills'!I2016,4))</f>
        <v/>
      </c>
      <c r="L2016" t="str">
        <f>IF(A2016="","",IF('ATP Fills'!G2016="LME",'ATP Fills'!I2016,""))</f>
        <v/>
      </c>
      <c r="M2016" t="str">
        <f t="shared" si="31"/>
        <v/>
      </c>
    </row>
    <row r="2017" spans="1:13">
      <c r="A2017" t="str">
        <f>IF('ATP Fills'!A2017="","",IF('ATP Fills'!Q2017="PHILLIPSG",'ATP Fills'!F2017,""))</f>
        <v/>
      </c>
      <c r="B2017" t="str">
        <f>IF(A2017="","",'ATP Fills'!L2017)</f>
        <v/>
      </c>
      <c r="C2017" t="str">
        <f>IF(A2017="","",'ATP Fills'!M2017)</f>
        <v/>
      </c>
      <c r="D2017" t="str">
        <f>IF(A2017="","",'ATP Fills'!B2017)</f>
        <v/>
      </c>
      <c r="E2017" s="3" t="str">
        <f>IF(A2017="","",IF(DATE(LEFT(D2017,4),MID(D2017,5,2),RIGHT(D2017,2))=Helper1!$P$1,Helper1!$P$1,""))</f>
        <v/>
      </c>
      <c r="F2017" s="3" t="str">
        <f>IF(A2017="","",'ATP Fills'!G2017)</f>
        <v/>
      </c>
      <c r="G2017" t="str">
        <f>IF(A2017="","",'ATP Fills'!H2017)</f>
        <v/>
      </c>
      <c r="H2017" t="str">
        <f>IF(A2017="","",VLOOKUP(G2017,表3_3[],2,0))</f>
        <v/>
      </c>
      <c r="I2017" t="str">
        <f>IF(A2017="","",VLOOKUP(G2017,表3_3[],3,0))</f>
        <v/>
      </c>
      <c r="J2017" t="str">
        <f>IF(A2017="","",IF('ATP Fills'!I2017="3M","",VLOOKUP(RIGHT('ATP Fills'!I2017,2),Helper1!$O$36:$P$48,2,0)))</f>
        <v/>
      </c>
      <c r="K2017" t="str">
        <f>IF(J2017="","",LEFT('ATP Fills'!I2017,4))</f>
        <v/>
      </c>
      <c r="L2017" t="str">
        <f>IF(A2017="","",IF('ATP Fills'!G2017="LME",'ATP Fills'!I2017,""))</f>
        <v/>
      </c>
      <c r="M2017" t="str">
        <f t="shared" si="31"/>
        <v/>
      </c>
    </row>
    <row r="2018" spans="1:13">
      <c r="A2018" t="str">
        <f>IF('ATP Fills'!A2018="","",IF('ATP Fills'!Q2018="PHILLIPSG",'ATP Fills'!F2018,""))</f>
        <v/>
      </c>
      <c r="B2018" t="str">
        <f>IF(A2018="","",'ATP Fills'!L2018)</f>
        <v/>
      </c>
      <c r="C2018" t="str">
        <f>IF(A2018="","",'ATP Fills'!M2018)</f>
        <v/>
      </c>
      <c r="D2018" t="str">
        <f>IF(A2018="","",'ATP Fills'!B2018)</f>
        <v/>
      </c>
      <c r="E2018" s="3" t="str">
        <f>IF(A2018="","",IF(DATE(LEFT(D2018,4),MID(D2018,5,2),RIGHT(D2018,2))=Helper1!$P$1,Helper1!$P$1,""))</f>
        <v/>
      </c>
      <c r="F2018" s="3" t="str">
        <f>IF(A2018="","",'ATP Fills'!G2018)</f>
        <v/>
      </c>
      <c r="G2018" t="str">
        <f>IF(A2018="","",'ATP Fills'!H2018)</f>
        <v/>
      </c>
      <c r="H2018" t="str">
        <f>IF(A2018="","",VLOOKUP(G2018,表3_3[],2,0))</f>
        <v/>
      </c>
      <c r="I2018" t="str">
        <f>IF(A2018="","",VLOOKUP(G2018,表3_3[],3,0))</f>
        <v/>
      </c>
      <c r="J2018" t="str">
        <f>IF(A2018="","",IF('ATP Fills'!I2018="3M","",VLOOKUP(RIGHT('ATP Fills'!I2018,2),Helper1!$O$36:$P$48,2,0)))</f>
        <v/>
      </c>
      <c r="K2018" t="str">
        <f>IF(J2018="","",LEFT('ATP Fills'!I2018,4))</f>
        <v/>
      </c>
      <c r="L2018" t="str">
        <f>IF(A2018="","",IF('ATP Fills'!G2018="LME",'ATP Fills'!I2018,""))</f>
        <v/>
      </c>
      <c r="M2018" t="str">
        <f t="shared" si="31"/>
        <v/>
      </c>
    </row>
    <row r="2019" spans="1:13">
      <c r="A2019" t="str">
        <f>IF('ATP Fills'!A2019="","",IF('ATP Fills'!Q2019="PHILLIPSG",'ATP Fills'!F2019,""))</f>
        <v/>
      </c>
      <c r="B2019" t="str">
        <f>IF(A2019="","",'ATP Fills'!L2019)</f>
        <v/>
      </c>
      <c r="C2019" t="str">
        <f>IF(A2019="","",'ATP Fills'!M2019)</f>
        <v/>
      </c>
      <c r="D2019" t="str">
        <f>IF(A2019="","",'ATP Fills'!B2019)</f>
        <v/>
      </c>
      <c r="E2019" s="3" t="str">
        <f>IF(A2019="","",IF(DATE(LEFT(D2019,4),MID(D2019,5,2),RIGHT(D2019,2))=Helper1!$P$1,Helper1!$P$1,""))</f>
        <v/>
      </c>
      <c r="F2019" s="3" t="str">
        <f>IF(A2019="","",'ATP Fills'!G2019)</f>
        <v/>
      </c>
      <c r="G2019" t="str">
        <f>IF(A2019="","",'ATP Fills'!H2019)</f>
        <v/>
      </c>
      <c r="H2019" t="str">
        <f>IF(A2019="","",VLOOKUP(G2019,表3_3[],2,0))</f>
        <v/>
      </c>
      <c r="I2019" t="str">
        <f>IF(A2019="","",VLOOKUP(G2019,表3_3[],3,0))</f>
        <v/>
      </c>
      <c r="J2019" t="str">
        <f>IF(A2019="","",IF('ATP Fills'!I2019="3M","",VLOOKUP(RIGHT('ATP Fills'!I2019,2),Helper1!$O$36:$P$48,2,0)))</f>
        <v/>
      </c>
      <c r="K2019" t="str">
        <f>IF(J2019="","",LEFT('ATP Fills'!I2019,4))</f>
        <v/>
      </c>
      <c r="L2019" t="str">
        <f>IF(A2019="","",IF('ATP Fills'!G2019="LME",'ATP Fills'!I2019,""))</f>
        <v/>
      </c>
      <c r="M2019" t="str">
        <f t="shared" si="31"/>
        <v/>
      </c>
    </row>
    <row r="2020" spans="1:13">
      <c r="A2020" t="str">
        <f>IF('ATP Fills'!A2020="","",IF('ATP Fills'!Q2020="PHILLIPSG",'ATP Fills'!F2020,""))</f>
        <v/>
      </c>
      <c r="B2020" t="str">
        <f>IF(A2020="","",'ATP Fills'!L2020)</f>
        <v/>
      </c>
      <c r="C2020" t="str">
        <f>IF(A2020="","",'ATP Fills'!M2020)</f>
        <v/>
      </c>
      <c r="D2020" t="str">
        <f>IF(A2020="","",'ATP Fills'!B2020)</f>
        <v/>
      </c>
      <c r="E2020" s="3" t="str">
        <f>IF(A2020="","",IF(DATE(LEFT(D2020,4),MID(D2020,5,2),RIGHT(D2020,2))=Helper1!$P$1,Helper1!$P$1,""))</f>
        <v/>
      </c>
      <c r="F2020" s="3" t="str">
        <f>IF(A2020="","",'ATP Fills'!G2020)</f>
        <v/>
      </c>
      <c r="G2020" t="str">
        <f>IF(A2020="","",'ATP Fills'!H2020)</f>
        <v/>
      </c>
      <c r="H2020" t="str">
        <f>IF(A2020="","",VLOOKUP(G2020,表3_3[],2,0))</f>
        <v/>
      </c>
      <c r="I2020" t="str">
        <f>IF(A2020="","",VLOOKUP(G2020,表3_3[],3,0))</f>
        <v/>
      </c>
      <c r="J2020" t="str">
        <f>IF(A2020="","",IF('ATP Fills'!I2020="3M","",VLOOKUP(RIGHT('ATP Fills'!I2020,2),Helper1!$O$36:$P$48,2,0)))</f>
        <v/>
      </c>
      <c r="K2020" t="str">
        <f>IF(J2020="","",LEFT('ATP Fills'!I2020,4))</f>
        <v/>
      </c>
      <c r="L2020" t="str">
        <f>IF(A2020="","",IF('ATP Fills'!G2020="LME",'ATP Fills'!I2020,""))</f>
        <v/>
      </c>
      <c r="M2020" t="str">
        <f t="shared" si="31"/>
        <v/>
      </c>
    </row>
    <row r="2021" spans="1:13">
      <c r="A2021" t="str">
        <f>IF('ATP Fills'!A2021="","",IF('ATP Fills'!Q2021="PHILLIPSG",'ATP Fills'!F2021,""))</f>
        <v/>
      </c>
      <c r="B2021" t="str">
        <f>IF(A2021="","",'ATP Fills'!L2021)</f>
        <v/>
      </c>
      <c r="C2021" t="str">
        <f>IF(A2021="","",'ATP Fills'!M2021)</f>
        <v/>
      </c>
      <c r="D2021" t="str">
        <f>IF(A2021="","",'ATP Fills'!B2021)</f>
        <v/>
      </c>
      <c r="E2021" s="3" t="str">
        <f>IF(A2021="","",IF(DATE(LEFT(D2021,4),MID(D2021,5,2),RIGHT(D2021,2))=Helper1!$P$1,Helper1!$P$1,""))</f>
        <v/>
      </c>
      <c r="F2021" s="3" t="str">
        <f>IF(A2021="","",'ATP Fills'!G2021)</f>
        <v/>
      </c>
      <c r="G2021" t="str">
        <f>IF(A2021="","",'ATP Fills'!H2021)</f>
        <v/>
      </c>
      <c r="H2021" t="str">
        <f>IF(A2021="","",VLOOKUP(G2021,表3_3[],2,0))</f>
        <v/>
      </c>
      <c r="I2021" t="str">
        <f>IF(A2021="","",VLOOKUP(G2021,表3_3[],3,0))</f>
        <v/>
      </c>
      <c r="J2021" t="str">
        <f>IF(A2021="","",IF('ATP Fills'!I2021="3M","",VLOOKUP(RIGHT('ATP Fills'!I2021,2),Helper1!$O$36:$P$48,2,0)))</f>
        <v/>
      </c>
      <c r="K2021" t="str">
        <f>IF(J2021="","",LEFT('ATP Fills'!I2021,4))</f>
        <v/>
      </c>
      <c r="L2021" t="str">
        <f>IF(A2021="","",IF('ATP Fills'!G2021="LME",'ATP Fills'!I2021,""))</f>
        <v/>
      </c>
      <c r="M2021" t="str">
        <f t="shared" si="31"/>
        <v/>
      </c>
    </row>
    <row r="2022" spans="1:13">
      <c r="A2022" t="str">
        <f>IF('ATP Fills'!A2022="","",IF('ATP Fills'!Q2022="PHILLIPSG",'ATP Fills'!F2022,""))</f>
        <v/>
      </c>
      <c r="B2022" t="str">
        <f>IF(A2022="","",'ATP Fills'!L2022)</f>
        <v/>
      </c>
      <c r="C2022" t="str">
        <f>IF(A2022="","",'ATP Fills'!M2022)</f>
        <v/>
      </c>
      <c r="D2022" t="str">
        <f>IF(A2022="","",'ATP Fills'!B2022)</f>
        <v/>
      </c>
      <c r="E2022" s="3" t="str">
        <f>IF(A2022="","",IF(DATE(LEFT(D2022,4),MID(D2022,5,2),RIGHT(D2022,2))=Helper1!$P$1,Helper1!$P$1,""))</f>
        <v/>
      </c>
      <c r="F2022" s="3" t="str">
        <f>IF(A2022="","",'ATP Fills'!G2022)</f>
        <v/>
      </c>
      <c r="G2022" t="str">
        <f>IF(A2022="","",'ATP Fills'!H2022)</f>
        <v/>
      </c>
      <c r="H2022" t="str">
        <f>IF(A2022="","",VLOOKUP(G2022,表3_3[],2,0))</f>
        <v/>
      </c>
      <c r="I2022" t="str">
        <f>IF(A2022="","",VLOOKUP(G2022,表3_3[],3,0))</f>
        <v/>
      </c>
      <c r="J2022" t="str">
        <f>IF(A2022="","",IF('ATP Fills'!I2022="3M","",VLOOKUP(RIGHT('ATP Fills'!I2022,2),Helper1!$O$36:$P$48,2,0)))</f>
        <v/>
      </c>
      <c r="K2022" t="str">
        <f>IF(J2022="","",LEFT('ATP Fills'!I2022,4))</f>
        <v/>
      </c>
      <c r="L2022" t="str">
        <f>IF(A2022="","",IF('ATP Fills'!G2022="LME",'ATP Fills'!I2022,""))</f>
        <v/>
      </c>
      <c r="M2022" t="str">
        <f t="shared" si="31"/>
        <v/>
      </c>
    </row>
    <row r="2023" spans="1:13">
      <c r="A2023" t="str">
        <f>IF('ATP Fills'!A2023="","",IF('ATP Fills'!Q2023="PHILLIPSG",'ATP Fills'!F2023,""))</f>
        <v/>
      </c>
      <c r="B2023" t="str">
        <f>IF(A2023="","",'ATP Fills'!L2023)</f>
        <v/>
      </c>
      <c r="C2023" t="str">
        <f>IF(A2023="","",'ATP Fills'!M2023)</f>
        <v/>
      </c>
      <c r="D2023" t="str">
        <f>IF(A2023="","",'ATP Fills'!B2023)</f>
        <v/>
      </c>
      <c r="E2023" s="3" t="str">
        <f>IF(A2023="","",IF(DATE(LEFT(D2023,4),MID(D2023,5,2),RIGHT(D2023,2))=Helper1!$P$1,Helper1!$P$1,""))</f>
        <v/>
      </c>
      <c r="F2023" s="3" t="str">
        <f>IF(A2023="","",'ATP Fills'!G2023)</f>
        <v/>
      </c>
      <c r="G2023" t="str">
        <f>IF(A2023="","",'ATP Fills'!H2023)</f>
        <v/>
      </c>
      <c r="H2023" t="str">
        <f>IF(A2023="","",VLOOKUP(G2023,表3_3[],2,0))</f>
        <v/>
      </c>
      <c r="I2023" t="str">
        <f>IF(A2023="","",VLOOKUP(G2023,表3_3[],3,0))</f>
        <v/>
      </c>
      <c r="J2023" t="str">
        <f>IF(A2023="","",IF('ATP Fills'!I2023="3M","",VLOOKUP(RIGHT('ATP Fills'!I2023,2),Helper1!$O$36:$P$48,2,0)))</f>
        <v/>
      </c>
      <c r="K2023" t="str">
        <f>IF(J2023="","",LEFT('ATP Fills'!I2023,4))</f>
        <v/>
      </c>
      <c r="L2023" t="str">
        <f>IF(A2023="","",IF('ATP Fills'!G2023="LME",'ATP Fills'!I2023,""))</f>
        <v/>
      </c>
      <c r="M2023" t="str">
        <f t="shared" si="31"/>
        <v/>
      </c>
    </row>
    <row r="2024" spans="1:13">
      <c r="A2024" t="str">
        <f>IF('ATP Fills'!A2024="","",IF('ATP Fills'!Q2024="PHILLIPSG",'ATP Fills'!F2024,""))</f>
        <v/>
      </c>
      <c r="B2024" t="str">
        <f>IF(A2024="","",'ATP Fills'!L2024)</f>
        <v/>
      </c>
      <c r="C2024" t="str">
        <f>IF(A2024="","",'ATP Fills'!M2024)</f>
        <v/>
      </c>
      <c r="D2024" t="str">
        <f>IF(A2024="","",'ATP Fills'!B2024)</f>
        <v/>
      </c>
      <c r="E2024" s="3" t="str">
        <f>IF(A2024="","",IF(DATE(LEFT(D2024,4),MID(D2024,5,2),RIGHT(D2024,2))=Helper1!$P$1,Helper1!$P$1,""))</f>
        <v/>
      </c>
      <c r="F2024" s="3" t="str">
        <f>IF(A2024="","",'ATP Fills'!G2024)</f>
        <v/>
      </c>
      <c r="G2024" t="str">
        <f>IF(A2024="","",'ATP Fills'!H2024)</f>
        <v/>
      </c>
      <c r="H2024" t="str">
        <f>IF(A2024="","",VLOOKUP(G2024,表3_3[],2,0))</f>
        <v/>
      </c>
      <c r="I2024" t="str">
        <f>IF(A2024="","",VLOOKUP(G2024,表3_3[],3,0))</f>
        <v/>
      </c>
      <c r="J2024" t="str">
        <f>IF(A2024="","",IF('ATP Fills'!I2024="3M","",VLOOKUP(RIGHT('ATP Fills'!I2024,2),Helper1!$O$36:$P$48,2,0)))</f>
        <v/>
      </c>
      <c r="K2024" t="str">
        <f>IF(J2024="","",LEFT('ATP Fills'!I2024,4))</f>
        <v/>
      </c>
      <c r="L2024" t="str">
        <f>IF(A2024="","",IF('ATP Fills'!G2024="LME",'ATP Fills'!I2024,""))</f>
        <v/>
      </c>
      <c r="M2024" t="str">
        <f t="shared" si="31"/>
        <v/>
      </c>
    </row>
    <row r="2025" spans="1:13">
      <c r="A2025" t="str">
        <f>IF('ATP Fills'!A2025="","",IF('ATP Fills'!Q2025="PHILLIPSG",'ATP Fills'!F2025,""))</f>
        <v/>
      </c>
      <c r="B2025" t="str">
        <f>IF(A2025="","",'ATP Fills'!L2025)</f>
        <v/>
      </c>
      <c r="C2025" t="str">
        <f>IF(A2025="","",'ATP Fills'!M2025)</f>
        <v/>
      </c>
      <c r="D2025" t="str">
        <f>IF(A2025="","",'ATP Fills'!B2025)</f>
        <v/>
      </c>
      <c r="E2025" s="3" t="str">
        <f>IF(A2025="","",IF(DATE(LEFT(D2025,4),MID(D2025,5,2),RIGHT(D2025,2))=Helper1!$P$1,Helper1!$P$1,""))</f>
        <v/>
      </c>
      <c r="F2025" s="3" t="str">
        <f>IF(A2025="","",'ATP Fills'!G2025)</f>
        <v/>
      </c>
      <c r="G2025" t="str">
        <f>IF(A2025="","",'ATP Fills'!H2025)</f>
        <v/>
      </c>
      <c r="H2025" t="str">
        <f>IF(A2025="","",VLOOKUP(G2025,表3_3[],2,0))</f>
        <v/>
      </c>
      <c r="I2025" t="str">
        <f>IF(A2025="","",VLOOKUP(G2025,表3_3[],3,0))</f>
        <v/>
      </c>
      <c r="J2025" t="str">
        <f>IF(A2025="","",IF('ATP Fills'!I2025="3M","",VLOOKUP(RIGHT('ATP Fills'!I2025,2),Helper1!$O$36:$P$48,2,0)))</f>
        <v/>
      </c>
      <c r="K2025" t="str">
        <f>IF(J2025="","",LEFT('ATP Fills'!I2025,4))</f>
        <v/>
      </c>
      <c r="L2025" t="str">
        <f>IF(A2025="","",IF('ATP Fills'!G2025="LME",'ATP Fills'!I2025,""))</f>
        <v/>
      </c>
      <c r="M2025" t="str">
        <f t="shared" si="31"/>
        <v/>
      </c>
    </row>
    <row r="2026" spans="1:13">
      <c r="A2026" t="str">
        <f>IF('ATP Fills'!A2026="","",IF('ATP Fills'!Q2026="PHILLIPSG",'ATP Fills'!F2026,""))</f>
        <v/>
      </c>
      <c r="B2026" t="str">
        <f>IF(A2026="","",'ATP Fills'!L2026)</f>
        <v/>
      </c>
      <c r="C2026" t="str">
        <f>IF(A2026="","",'ATP Fills'!M2026)</f>
        <v/>
      </c>
      <c r="D2026" t="str">
        <f>IF(A2026="","",'ATP Fills'!B2026)</f>
        <v/>
      </c>
      <c r="E2026" s="3" t="str">
        <f>IF(A2026="","",IF(DATE(LEFT(D2026,4),MID(D2026,5,2),RIGHT(D2026,2))=Helper1!$P$1,Helper1!$P$1,""))</f>
        <v/>
      </c>
      <c r="F2026" s="3" t="str">
        <f>IF(A2026="","",'ATP Fills'!G2026)</f>
        <v/>
      </c>
      <c r="G2026" t="str">
        <f>IF(A2026="","",'ATP Fills'!H2026)</f>
        <v/>
      </c>
      <c r="H2026" t="str">
        <f>IF(A2026="","",VLOOKUP(G2026,表3_3[],2,0))</f>
        <v/>
      </c>
      <c r="I2026" t="str">
        <f>IF(A2026="","",VLOOKUP(G2026,表3_3[],3,0))</f>
        <v/>
      </c>
      <c r="J2026" t="str">
        <f>IF(A2026="","",IF('ATP Fills'!I2026="3M","",VLOOKUP(RIGHT('ATP Fills'!I2026,2),Helper1!$O$36:$P$48,2,0)))</f>
        <v/>
      </c>
      <c r="K2026" t="str">
        <f>IF(J2026="","",LEFT('ATP Fills'!I2026,4))</f>
        <v/>
      </c>
      <c r="L2026" t="str">
        <f>IF(A2026="","",IF('ATP Fills'!G2026="LME",'ATP Fills'!I2026,""))</f>
        <v/>
      </c>
      <c r="M2026" t="str">
        <f t="shared" si="31"/>
        <v/>
      </c>
    </row>
    <row r="2027" spans="1:13">
      <c r="A2027" t="str">
        <f>IF('ATP Fills'!A2027="","",IF('ATP Fills'!Q2027="PHILLIPSG",'ATP Fills'!F2027,""))</f>
        <v/>
      </c>
      <c r="B2027" t="str">
        <f>IF(A2027="","",'ATP Fills'!L2027)</f>
        <v/>
      </c>
      <c r="C2027" t="str">
        <f>IF(A2027="","",'ATP Fills'!M2027)</f>
        <v/>
      </c>
      <c r="D2027" t="str">
        <f>IF(A2027="","",'ATP Fills'!B2027)</f>
        <v/>
      </c>
      <c r="E2027" s="3" t="str">
        <f>IF(A2027="","",IF(DATE(LEFT(D2027,4),MID(D2027,5,2),RIGHT(D2027,2))=Helper1!$P$1,Helper1!$P$1,""))</f>
        <v/>
      </c>
      <c r="F2027" s="3" t="str">
        <f>IF(A2027="","",'ATP Fills'!G2027)</f>
        <v/>
      </c>
      <c r="G2027" t="str">
        <f>IF(A2027="","",'ATP Fills'!H2027)</f>
        <v/>
      </c>
      <c r="H2027" t="str">
        <f>IF(A2027="","",VLOOKUP(G2027,表3_3[],2,0))</f>
        <v/>
      </c>
      <c r="I2027" t="str">
        <f>IF(A2027="","",VLOOKUP(G2027,表3_3[],3,0))</f>
        <v/>
      </c>
      <c r="J2027" t="str">
        <f>IF(A2027="","",IF('ATP Fills'!I2027="3M","",VLOOKUP(RIGHT('ATP Fills'!I2027,2),Helper1!$O$36:$P$48,2,0)))</f>
        <v/>
      </c>
      <c r="K2027" t="str">
        <f>IF(J2027="","",LEFT('ATP Fills'!I2027,4))</f>
        <v/>
      </c>
      <c r="L2027" t="str">
        <f>IF(A2027="","",IF('ATP Fills'!G2027="LME",'ATP Fills'!I2027,""))</f>
        <v/>
      </c>
      <c r="M2027" t="str">
        <f t="shared" si="31"/>
        <v/>
      </c>
    </row>
    <row r="2028" spans="1:13">
      <c r="A2028" t="str">
        <f>IF('ATP Fills'!A2028="","",IF('ATP Fills'!Q2028="PHILLIPSG",'ATP Fills'!F2028,""))</f>
        <v/>
      </c>
      <c r="B2028" t="str">
        <f>IF(A2028="","",'ATP Fills'!L2028)</f>
        <v/>
      </c>
      <c r="C2028" t="str">
        <f>IF(A2028="","",'ATP Fills'!M2028)</f>
        <v/>
      </c>
      <c r="D2028" t="str">
        <f>IF(A2028="","",'ATP Fills'!B2028)</f>
        <v/>
      </c>
      <c r="E2028" s="3" t="str">
        <f>IF(A2028="","",IF(DATE(LEFT(D2028,4),MID(D2028,5,2),RIGHT(D2028,2))=Helper1!$P$1,Helper1!$P$1,""))</f>
        <v/>
      </c>
      <c r="F2028" s="3" t="str">
        <f>IF(A2028="","",'ATP Fills'!G2028)</f>
        <v/>
      </c>
      <c r="G2028" t="str">
        <f>IF(A2028="","",'ATP Fills'!H2028)</f>
        <v/>
      </c>
      <c r="H2028" t="str">
        <f>IF(A2028="","",VLOOKUP(G2028,表3_3[],2,0))</f>
        <v/>
      </c>
      <c r="I2028" t="str">
        <f>IF(A2028="","",VLOOKUP(G2028,表3_3[],3,0))</f>
        <v/>
      </c>
      <c r="J2028" t="str">
        <f>IF(A2028="","",IF('ATP Fills'!I2028="3M","",VLOOKUP(RIGHT('ATP Fills'!I2028,2),Helper1!$O$36:$P$48,2,0)))</f>
        <v/>
      </c>
      <c r="K2028" t="str">
        <f>IF(J2028="","",LEFT('ATP Fills'!I2028,4))</f>
        <v/>
      </c>
      <c r="L2028" t="str">
        <f>IF(A2028="","",IF('ATP Fills'!G2028="LME",'ATP Fills'!I2028,""))</f>
        <v/>
      </c>
      <c r="M2028" t="str">
        <f t="shared" si="31"/>
        <v/>
      </c>
    </row>
    <row r="2029" spans="1:13">
      <c r="A2029" t="str">
        <f>IF('ATP Fills'!A2029="","",IF('ATP Fills'!Q2029="PHILLIPSG",'ATP Fills'!F2029,""))</f>
        <v/>
      </c>
      <c r="B2029" t="str">
        <f>IF(A2029="","",'ATP Fills'!L2029)</f>
        <v/>
      </c>
      <c r="C2029" t="str">
        <f>IF(A2029="","",'ATP Fills'!M2029)</f>
        <v/>
      </c>
      <c r="D2029" t="str">
        <f>IF(A2029="","",'ATP Fills'!B2029)</f>
        <v/>
      </c>
      <c r="E2029" s="3" t="str">
        <f>IF(A2029="","",IF(DATE(LEFT(D2029,4),MID(D2029,5,2),RIGHT(D2029,2))=Helper1!$P$1,Helper1!$P$1,""))</f>
        <v/>
      </c>
      <c r="F2029" s="3" t="str">
        <f>IF(A2029="","",'ATP Fills'!G2029)</f>
        <v/>
      </c>
      <c r="G2029" t="str">
        <f>IF(A2029="","",'ATP Fills'!H2029)</f>
        <v/>
      </c>
      <c r="H2029" t="str">
        <f>IF(A2029="","",VLOOKUP(G2029,表3_3[],2,0))</f>
        <v/>
      </c>
      <c r="I2029" t="str">
        <f>IF(A2029="","",VLOOKUP(G2029,表3_3[],3,0))</f>
        <v/>
      </c>
      <c r="J2029" t="str">
        <f>IF(A2029="","",IF('ATP Fills'!I2029="3M","",VLOOKUP(RIGHT('ATP Fills'!I2029,2),Helper1!$O$36:$P$48,2,0)))</f>
        <v/>
      </c>
      <c r="K2029" t="str">
        <f>IF(J2029="","",LEFT('ATP Fills'!I2029,4))</f>
        <v/>
      </c>
      <c r="L2029" t="str">
        <f>IF(A2029="","",IF('ATP Fills'!G2029="LME",'ATP Fills'!I2029,""))</f>
        <v/>
      </c>
      <c r="M2029" t="str">
        <f t="shared" si="31"/>
        <v/>
      </c>
    </row>
    <row r="2030" spans="1:13">
      <c r="A2030" t="str">
        <f>IF('ATP Fills'!A2030="","",IF('ATP Fills'!Q2030="PHILLIPSG",'ATP Fills'!F2030,""))</f>
        <v/>
      </c>
      <c r="B2030" t="str">
        <f>IF(A2030="","",'ATP Fills'!L2030)</f>
        <v/>
      </c>
      <c r="C2030" t="str">
        <f>IF(A2030="","",'ATP Fills'!M2030)</f>
        <v/>
      </c>
      <c r="D2030" t="str">
        <f>IF(A2030="","",'ATP Fills'!B2030)</f>
        <v/>
      </c>
      <c r="E2030" s="3" t="str">
        <f>IF(A2030="","",IF(DATE(LEFT(D2030,4),MID(D2030,5,2),RIGHT(D2030,2))=Helper1!$P$1,Helper1!$P$1,""))</f>
        <v/>
      </c>
      <c r="F2030" s="3" t="str">
        <f>IF(A2030="","",'ATP Fills'!G2030)</f>
        <v/>
      </c>
      <c r="G2030" t="str">
        <f>IF(A2030="","",'ATP Fills'!H2030)</f>
        <v/>
      </c>
      <c r="H2030" t="str">
        <f>IF(A2030="","",VLOOKUP(G2030,表3_3[],2,0))</f>
        <v/>
      </c>
      <c r="I2030" t="str">
        <f>IF(A2030="","",VLOOKUP(G2030,表3_3[],3,0))</f>
        <v/>
      </c>
      <c r="J2030" t="str">
        <f>IF(A2030="","",IF('ATP Fills'!I2030="3M","",VLOOKUP(RIGHT('ATP Fills'!I2030,2),Helper1!$O$36:$P$48,2,0)))</f>
        <v/>
      </c>
      <c r="K2030" t="str">
        <f>IF(J2030="","",LEFT('ATP Fills'!I2030,4))</f>
        <v/>
      </c>
      <c r="L2030" t="str">
        <f>IF(A2030="","",IF('ATP Fills'!G2030="LME",'ATP Fills'!I2030,""))</f>
        <v/>
      </c>
      <c r="M2030" t="str">
        <f t="shared" si="31"/>
        <v/>
      </c>
    </row>
    <row r="2031" spans="1:13">
      <c r="A2031" t="str">
        <f>IF('ATP Fills'!A2031="","",IF('ATP Fills'!Q2031="PHILLIPSG",'ATP Fills'!F2031,""))</f>
        <v/>
      </c>
      <c r="B2031" t="str">
        <f>IF(A2031="","",'ATP Fills'!L2031)</f>
        <v/>
      </c>
      <c r="C2031" t="str">
        <f>IF(A2031="","",'ATP Fills'!M2031)</f>
        <v/>
      </c>
      <c r="D2031" t="str">
        <f>IF(A2031="","",'ATP Fills'!B2031)</f>
        <v/>
      </c>
      <c r="E2031" s="3" t="str">
        <f>IF(A2031="","",IF(DATE(LEFT(D2031,4),MID(D2031,5,2),RIGHT(D2031,2))=Helper1!$P$1,Helper1!$P$1,""))</f>
        <v/>
      </c>
      <c r="F2031" s="3" t="str">
        <f>IF(A2031="","",'ATP Fills'!G2031)</f>
        <v/>
      </c>
      <c r="G2031" t="str">
        <f>IF(A2031="","",'ATP Fills'!H2031)</f>
        <v/>
      </c>
      <c r="H2031" t="str">
        <f>IF(A2031="","",VLOOKUP(G2031,表3_3[],2,0))</f>
        <v/>
      </c>
      <c r="I2031" t="str">
        <f>IF(A2031="","",VLOOKUP(G2031,表3_3[],3,0))</f>
        <v/>
      </c>
      <c r="J2031" t="str">
        <f>IF(A2031="","",IF('ATP Fills'!I2031="3M","",VLOOKUP(RIGHT('ATP Fills'!I2031,2),Helper1!$O$36:$P$48,2,0)))</f>
        <v/>
      </c>
      <c r="K2031" t="str">
        <f>IF(J2031="","",LEFT('ATP Fills'!I2031,4))</f>
        <v/>
      </c>
      <c r="L2031" t="str">
        <f>IF(A2031="","",IF('ATP Fills'!G2031="LME",'ATP Fills'!I2031,""))</f>
        <v/>
      </c>
      <c r="M2031" t="str">
        <f t="shared" si="31"/>
        <v/>
      </c>
    </row>
    <row r="2032" spans="1:13">
      <c r="A2032" t="str">
        <f>IF('ATP Fills'!A2032="","",IF('ATP Fills'!Q2032="PHILLIPSG",'ATP Fills'!F2032,""))</f>
        <v/>
      </c>
      <c r="B2032" t="str">
        <f>IF(A2032="","",'ATP Fills'!L2032)</f>
        <v/>
      </c>
      <c r="C2032" t="str">
        <f>IF(A2032="","",'ATP Fills'!M2032)</f>
        <v/>
      </c>
      <c r="D2032" t="str">
        <f>IF(A2032="","",'ATP Fills'!B2032)</f>
        <v/>
      </c>
      <c r="E2032" s="3" t="str">
        <f>IF(A2032="","",IF(DATE(LEFT(D2032,4),MID(D2032,5,2),RIGHT(D2032,2))=Helper1!$P$1,Helper1!$P$1,""))</f>
        <v/>
      </c>
      <c r="F2032" s="3" t="str">
        <f>IF(A2032="","",'ATP Fills'!G2032)</f>
        <v/>
      </c>
      <c r="G2032" t="str">
        <f>IF(A2032="","",'ATP Fills'!H2032)</f>
        <v/>
      </c>
      <c r="H2032" t="str">
        <f>IF(A2032="","",VLOOKUP(G2032,表3_3[],2,0))</f>
        <v/>
      </c>
      <c r="I2032" t="str">
        <f>IF(A2032="","",VLOOKUP(G2032,表3_3[],3,0))</f>
        <v/>
      </c>
      <c r="J2032" t="str">
        <f>IF(A2032="","",IF('ATP Fills'!I2032="3M","",VLOOKUP(RIGHT('ATP Fills'!I2032,2),Helper1!$O$36:$P$48,2,0)))</f>
        <v/>
      </c>
      <c r="K2032" t="str">
        <f>IF(J2032="","",LEFT('ATP Fills'!I2032,4))</f>
        <v/>
      </c>
      <c r="L2032" t="str">
        <f>IF(A2032="","",IF('ATP Fills'!G2032="LME",'ATP Fills'!I2032,""))</f>
        <v/>
      </c>
      <c r="M2032" t="str">
        <f t="shared" si="31"/>
        <v/>
      </c>
    </row>
    <row r="2033" spans="1:13">
      <c r="A2033" t="str">
        <f>IF('ATP Fills'!A2033="","",IF('ATP Fills'!Q2033="PHILLIPSG",'ATP Fills'!F2033,""))</f>
        <v/>
      </c>
      <c r="B2033" t="str">
        <f>IF(A2033="","",'ATP Fills'!L2033)</f>
        <v/>
      </c>
      <c r="C2033" t="str">
        <f>IF(A2033="","",'ATP Fills'!M2033)</f>
        <v/>
      </c>
      <c r="D2033" t="str">
        <f>IF(A2033="","",'ATP Fills'!B2033)</f>
        <v/>
      </c>
      <c r="E2033" s="3" t="str">
        <f>IF(A2033="","",IF(DATE(LEFT(D2033,4),MID(D2033,5,2),RIGHT(D2033,2))=Helper1!$P$1,Helper1!$P$1,""))</f>
        <v/>
      </c>
      <c r="F2033" s="3" t="str">
        <f>IF(A2033="","",'ATP Fills'!G2033)</f>
        <v/>
      </c>
      <c r="G2033" t="str">
        <f>IF(A2033="","",'ATP Fills'!H2033)</f>
        <v/>
      </c>
      <c r="H2033" t="str">
        <f>IF(A2033="","",VLOOKUP(G2033,表3_3[],2,0))</f>
        <v/>
      </c>
      <c r="I2033" t="str">
        <f>IF(A2033="","",VLOOKUP(G2033,表3_3[],3,0))</f>
        <v/>
      </c>
      <c r="J2033" t="str">
        <f>IF(A2033="","",IF('ATP Fills'!I2033="3M","",VLOOKUP(RIGHT('ATP Fills'!I2033,2),Helper1!$O$36:$P$48,2,0)))</f>
        <v/>
      </c>
      <c r="K2033" t="str">
        <f>IF(J2033="","",LEFT('ATP Fills'!I2033,4))</f>
        <v/>
      </c>
      <c r="L2033" t="str">
        <f>IF(A2033="","",IF('ATP Fills'!G2033="LME",'ATP Fills'!I2033,""))</f>
        <v/>
      </c>
      <c r="M2033" t="str">
        <f t="shared" si="31"/>
        <v/>
      </c>
    </row>
    <row r="2034" spans="1:13">
      <c r="A2034" t="str">
        <f>IF('ATP Fills'!A2034="","",IF('ATP Fills'!Q2034="PHILLIPSG",'ATP Fills'!F2034,""))</f>
        <v/>
      </c>
      <c r="B2034" t="str">
        <f>IF(A2034="","",'ATP Fills'!L2034)</f>
        <v/>
      </c>
      <c r="C2034" t="str">
        <f>IF(A2034="","",'ATP Fills'!M2034)</f>
        <v/>
      </c>
      <c r="D2034" t="str">
        <f>IF(A2034="","",'ATP Fills'!B2034)</f>
        <v/>
      </c>
      <c r="E2034" s="3" t="str">
        <f>IF(A2034="","",IF(DATE(LEFT(D2034,4),MID(D2034,5,2),RIGHT(D2034,2))=Helper1!$P$1,Helper1!$P$1,""))</f>
        <v/>
      </c>
      <c r="F2034" s="3" t="str">
        <f>IF(A2034="","",'ATP Fills'!G2034)</f>
        <v/>
      </c>
      <c r="G2034" t="str">
        <f>IF(A2034="","",'ATP Fills'!H2034)</f>
        <v/>
      </c>
      <c r="H2034" t="str">
        <f>IF(A2034="","",VLOOKUP(G2034,表3_3[],2,0))</f>
        <v/>
      </c>
      <c r="I2034" t="str">
        <f>IF(A2034="","",VLOOKUP(G2034,表3_3[],3,0))</f>
        <v/>
      </c>
      <c r="J2034" t="str">
        <f>IF(A2034="","",IF('ATP Fills'!I2034="3M","",VLOOKUP(RIGHT('ATP Fills'!I2034,2),Helper1!$O$36:$P$48,2,0)))</f>
        <v/>
      </c>
      <c r="K2034" t="str">
        <f>IF(J2034="","",LEFT('ATP Fills'!I2034,4))</f>
        <v/>
      </c>
      <c r="L2034" t="str">
        <f>IF(A2034="","",IF('ATP Fills'!G2034="LME",'ATP Fills'!I2034,""))</f>
        <v/>
      </c>
      <c r="M2034" t="str">
        <f t="shared" si="31"/>
        <v/>
      </c>
    </row>
    <row r="2035" spans="1:13">
      <c r="A2035" t="str">
        <f>IF('ATP Fills'!A2035="","",IF('ATP Fills'!Q2035="PHILLIPSG",'ATP Fills'!F2035,""))</f>
        <v/>
      </c>
      <c r="B2035" t="str">
        <f>IF(A2035="","",'ATP Fills'!L2035)</f>
        <v/>
      </c>
      <c r="C2035" t="str">
        <f>IF(A2035="","",'ATP Fills'!M2035)</f>
        <v/>
      </c>
      <c r="D2035" t="str">
        <f>IF(A2035="","",'ATP Fills'!B2035)</f>
        <v/>
      </c>
      <c r="E2035" s="3" t="str">
        <f>IF(A2035="","",IF(DATE(LEFT(D2035,4),MID(D2035,5,2),RIGHT(D2035,2))=Helper1!$P$1,Helper1!$P$1,""))</f>
        <v/>
      </c>
      <c r="F2035" s="3" t="str">
        <f>IF(A2035="","",'ATP Fills'!G2035)</f>
        <v/>
      </c>
      <c r="G2035" t="str">
        <f>IF(A2035="","",'ATP Fills'!H2035)</f>
        <v/>
      </c>
      <c r="H2035" t="str">
        <f>IF(A2035="","",VLOOKUP(G2035,表3_3[],2,0))</f>
        <v/>
      </c>
      <c r="I2035" t="str">
        <f>IF(A2035="","",VLOOKUP(G2035,表3_3[],3,0))</f>
        <v/>
      </c>
      <c r="J2035" t="str">
        <f>IF(A2035="","",IF('ATP Fills'!I2035="3M","",VLOOKUP(RIGHT('ATP Fills'!I2035,2),Helper1!$O$36:$P$48,2,0)))</f>
        <v/>
      </c>
      <c r="K2035" t="str">
        <f>IF(J2035="","",LEFT('ATP Fills'!I2035,4))</f>
        <v/>
      </c>
      <c r="L2035" t="str">
        <f>IF(A2035="","",IF('ATP Fills'!G2035="LME",'ATP Fills'!I2035,""))</f>
        <v/>
      </c>
      <c r="M2035" t="str">
        <f t="shared" si="31"/>
        <v/>
      </c>
    </row>
    <row r="2036" spans="1:13">
      <c r="A2036" t="str">
        <f>IF('ATP Fills'!A2036="","",IF('ATP Fills'!Q2036="PHILLIPSG",'ATP Fills'!F2036,""))</f>
        <v/>
      </c>
      <c r="B2036" t="str">
        <f>IF(A2036="","",'ATP Fills'!L2036)</f>
        <v/>
      </c>
      <c r="C2036" t="str">
        <f>IF(A2036="","",'ATP Fills'!M2036)</f>
        <v/>
      </c>
      <c r="D2036" t="str">
        <f>IF(A2036="","",'ATP Fills'!B2036)</f>
        <v/>
      </c>
      <c r="E2036" s="3" t="str">
        <f>IF(A2036="","",IF(DATE(LEFT(D2036,4),MID(D2036,5,2),RIGHT(D2036,2))=Helper1!$P$1,Helper1!$P$1,""))</f>
        <v/>
      </c>
      <c r="F2036" s="3" t="str">
        <f>IF(A2036="","",'ATP Fills'!G2036)</f>
        <v/>
      </c>
      <c r="G2036" t="str">
        <f>IF(A2036="","",'ATP Fills'!H2036)</f>
        <v/>
      </c>
      <c r="H2036" t="str">
        <f>IF(A2036="","",VLOOKUP(G2036,表3_3[],2,0))</f>
        <v/>
      </c>
      <c r="I2036" t="str">
        <f>IF(A2036="","",VLOOKUP(G2036,表3_3[],3,0))</f>
        <v/>
      </c>
      <c r="J2036" t="str">
        <f>IF(A2036="","",IF('ATP Fills'!I2036="3M","",VLOOKUP(RIGHT('ATP Fills'!I2036,2),Helper1!$O$36:$P$48,2,0)))</f>
        <v/>
      </c>
      <c r="K2036" t="str">
        <f>IF(J2036="","",LEFT('ATP Fills'!I2036,4))</f>
        <v/>
      </c>
      <c r="L2036" t="str">
        <f>IF(A2036="","",IF('ATP Fills'!G2036="LME",'ATP Fills'!I2036,""))</f>
        <v/>
      </c>
      <c r="M2036" t="str">
        <f t="shared" si="31"/>
        <v/>
      </c>
    </row>
    <row r="2037" spans="1:13">
      <c r="A2037" t="str">
        <f>IF('ATP Fills'!A2037="","",IF('ATP Fills'!Q2037="PHILLIPSG",'ATP Fills'!F2037,""))</f>
        <v/>
      </c>
      <c r="B2037" t="str">
        <f>IF(A2037="","",'ATP Fills'!L2037)</f>
        <v/>
      </c>
      <c r="C2037" t="str">
        <f>IF(A2037="","",'ATP Fills'!M2037)</f>
        <v/>
      </c>
      <c r="D2037" t="str">
        <f>IF(A2037="","",'ATP Fills'!B2037)</f>
        <v/>
      </c>
      <c r="E2037" s="3" t="str">
        <f>IF(A2037="","",IF(DATE(LEFT(D2037,4),MID(D2037,5,2),RIGHT(D2037,2))=Helper1!$P$1,Helper1!$P$1,""))</f>
        <v/>
      </c>
      <c r="F2037" s="3" t="str">
        <f>IF(A2037="","",'ATP Fills'!G2037)</f>
        <v/>
      </c>
      <c r="G2037" t="str">
        <f>IF(A2037="","",'ATP Fills'!H2037)</f>
        <v/>
      </c>
      <c r="H2037" t="str">
        <f>IF(A2037="","",VLOOKUP(G2037,表3_3[],2,0))</f>
        <v/>
      </c>
      <c r="I2037" t="str">
        <f>IF(A2037="","",VLOOKUP(G2037,表3_3[],3,0))</f>
        <v/>
      </c>
      <c r="J2037" t="str">
        <f>IF(A2037="","",IF('ATP Fills'!I2037="3M","",VLOOKUP(RIGHT('ATP Fills'!I2037,2),Helper1!$O$36:$P$48,2,0)))</f>
        <v/>
      </c>
      <c r="K2037" t="str">
        <f>IF(J2037="","",LEFT('ATP Fills'!I2037,4))</f>
        <v/>
      </c>
      <c r="L2037" t="str">
        <f>IF(A2037="","",IF('ATP Fills'!G2037="LME",'ATP Fills'!I2037,""))</f>
        <v/>
      </c>
      <c r="M2037" t="str">
        <f t="shared" si="31"/>
        <v/>
      </c>
    </row>
    <row r="2038" spans="1:13">
      <c r="A2038" t="str">
        <f>IF('ATP Fills'!A2038="","",IF('ATP Fills'!Q2038="PHILLIPSG",'ATP Fills'!F2038,""))</f>
        <v/>
      </c>
      <c r="B2038" t="str">
        <f>IF(A2038="","",'ATP Fills'!L2038)</f>
        <v/>
      </c>
      <c r="C2038" t="str">
        <f>IF(A2038="","",'ATP Fills'!M2038)</f>
        <v/>
      </c>
      <c r="D2038" t="str">
        <f>IF(A2038="","",'ATP Fills'!B2038)</f>
        <v/>
      </c>
      <c r="E2038" s="3" t="str">
        <f>IF(A2038="","",IF(DATE(LEFT(D2038,4),MID(D2038,5,2),RIGHT(D2038,2))=Helper1!$P$1,Helper1!$P$1,""))</f>
        <v/>
      </c>
      <c r="F2038" s="3" t="str">
        <f>IF(A2038="","",'ATP Fills'!G2038)</f>
        <v/>
      </c>
      <c r="G2038" t="str">
        <f>IF(A2038="","",'ATP Fills'!H2038)</f>
        <v/>
      </c>
      <c r="H2038" t="str">
        <f>IF(A2038="","",VLOOKUP(G2038,表3_3[],2,0))</f>
        <v/>
      </c>
      <c r="I2038" t="str">
        <f>IF(A2038="","",VLOOKUP(G2038,表3_3[],3,0))</f>
        <v/>
      </c>
      <c r="J2038" t="str">
        <f>IF(A2038="","",IF('ATP Fills'!I2038="3M","",VLOOKUP(RIGHT('ATP Fills'!I2038,2),Helper1!$O$36:$P$48,2,0)))</f>
        <v/>
      </c>
      <c r="K2038" t="str">
        <f>IF(J2038="","",LEFT('ATP Fills'!I2038,4))</f>
        <v/>
      </c>
      <c r="L2038" t="str">
        <f>IF(A2038="","",IF('ATP Fills'!G2038="LME",'ATP Fills'!I2038,""))</f>
        <v/>
      </c>
      <c r="M2038" t="str">
        <f t="shared" si="31"/>
        <v/>
      </c>
    </row>
    <row r="2039" spans="1:13">
      <c r="A2039" t="str">
        <f>IF('ATP Fills'!A2039="","",IF('ATP Fills'!Q2039="PHILLIPSG",'ATP Fills'!F2039,""))</f>
        <v/>
      </c>
      <c r="B2039" t="str">
        <f>IF(A2039="","",'ATP Fills'!L2039)</f>
        <v/>
      </c>
      <c r="C2039" t="str">
        <f>IF(A2039="","",'ATP Fills'!M2039)</f>
        <v/>
      </c>
      <c r="D2039" t="str">
        <f>IF(A2039="","",'ATP Fills'!B2039)</f>
        <v/>
      </c>
      <c r="E2039" s="3" t="str">
        <f>IF(A2039="","",IF(DATE(LEFT(D2039,4),MID(D2039,5,2),RIGHT(D2039,2))=Helper1!$P$1,Helper1!$P$1,""))</f>
        <v/>
      </c>
      <c r="F2039" s="3" t="str">
        <f>IF(A2039="","",'ATP Fills'!G2039)</f>
        <v/>
      </c>
      <c r="G2039" t="str">
        <f>IF(A2039="","",'ATP Fills'!H2039)</f>
        <v/>
      </c>
      <c r="H2039" t="str">
        <f>IF(A2039="","",VLOOKUP(G2039,表3_3[],2,0))</f>
        <v/>
      </c>
      <c r="I2039" t="str">
        <f>IF(A2039="","",VLOOKUP(G2039,表3_3[],3,0))</f>
        <v/>
      </c>
      <c r="J2039" t="str">
        <f>IF(A2039="","",IF('ATP Fills'!I2039="3M","",VLOOKUP(RIGHT('ATP Fills'!I2039,2),Helper1!$O$36:$P$48,2,0)))</f>
        <v/>
      </c>
      <c r="K2039" t="str">
        <f>IF(J2039="","",LEFT('ATP Fills'!I2039,4))</f>
        <v/>
      </c>
      <c r="L2039" t="str">
        <f>IF(A2039="","",IF('ATP Fills'!G2039="LME",'ATP Fills'!I2039,""))</f>
        <v/>
      </c>
      <c r="M2039" t="str">
        <f t="shared" si="31"/>
        <v/>
      </c>
    </row>
    <row r="2040" spans="1:13">
      <c r="A2040" t="str">
        <f>IF('ATP Fills'!A2040="","",IF('ATP Fills'!Q2040="PHILLIPSG",'ATP Fills'!F2040,""))</f>
        <v/>
      </c>
      <c r="B2040" t="str">
        <f>IF(A2040="","",'ATP Fills'!L2040)</f>
        <v/>
      </c>
      <c r="C2040" t="str">
        <f>IF(A2040="","",'ATP Fills'!M2040)</f>
        <v/>
      </c>
      <c r="D2040" t="str">
        <f>IF(A2040="","",'ATP Fills'!B2040)</f>
        <v/>
      </c>
      <c r="E2040" s="3" t="str">
        <f>IF(A2040="","",IF(DATE(LEFT(D2040,4),MID(D2040,5,2),RIGHT(D2040,2))=Helper1!$P$1,Helper1!$P$1,""))</f>
        <v/>
      </c>
      <c r="F2040" s="3" t="str">
        <f>IF(A2040="","",'ATP Fills'!G2040)</f>
        <v/>
      </c>
      <c r="G2040" t="str">
        <f>IF(A2040="","",'ATP Fills'!H2040)</f>
        <v/>
      </c>
      <c r="H2040" t="str">
        <f>IF(A2040="","",VLOOKUP(G2040,表3_3[],2,0))</f>
        <v/>
      </c>
      <c r="I2040" t="str">
        <f>IF(A2040="","",VLOOKUP(G2040,表3_3[],3,0))</f>
        <v/>
      </c>
      <c r="J2040" t="str">
        <f>IF(A2040="","",IF('ATP Fills'!I2040="3M","",VLOOKUP(RIGHT('ATP Fills'!I2040,2),Helper1!$O$36:$P$48,2,0)))</f>
        <v/>
      </c>
      <c r="K2040" t="str">
        <f>IF(J2040="","",LEFT('ATP Fills'!I2040,4))</f>
        <v/>
      </c>
      <c r="L2040" t="str">
        <f>IF(A2040="","",IF('ATP Fills'!G2040="LME",'ATP Fills'!I2040,""))</f>
        <v/>
      </c>
      <c r="M2040" t="str">
        <f t="shared" si="31"/>
        <v/>
      </c>
    </row>
    <row r="2041" spans="1:13">
      <c r="A2041" t="str">
        <f>IF('ATP Fills'!A2041="","",IF('ATP Fills'!Q2041="PHILLIPSG",'ATP Fills'!F2041,""))</f>
        <v/>
      </c>
      <c r="B2041" t="str">
        <f>IF(A2041="","",'ATP Fills'!L2041)</f>
        <v/>
      </c>
      <c r="C2041" t="str">
        <f>IF(A2041="","",'ATP Fills'!M2041)</f>
        <v/>
      </c>
      <c r="D2041" t="str">
        <f>IF(A2041="","",'ATP Fills'!B2041)</f>
        <v/>
      </c>
      <c r="E2041" s="3" t="str">
        <f>IF(A2041="","",IF(DATE(LEFT(D2041,4),MID(D2041,5,2),RIGHT(D2041,2))=Helper1!$P$1,Helper1!$P$1,""))</f>
        <v/>
      </c>
      <c r="F2041" s="3" t="str">
        <f>IF(A2041="","",'ATP Fills'!G2041)</f>
        <v/>
      </c>
      <c r="G2041" t="str">
        <f>IF(A2041="","",'ATP Fills'!H2041)</f>
        <v/>
      </c>
      <c r="H2041" t="str">
        <f>IF(A2041="","",VLOOKUP(G2041,表3_3[],2,0))</f>
        <v/>
      </c>
      <c r="I2041" t="str">
        <f>IF(A2041="","",VLOOKUP(G2041,表3_3[],3,0))</f>
        <v/>
      </c>
      <c r="J2041" t="str">
        <f>IF(A2041="","",IF('ATP Fills'!I2041="3M","",VLOOKUP(RIGHT('ATP Fills'!I2041,2),Helper1!$O$36:$P$48,2,0)))</f>
        <v/>
      </c>
      <c r="K2041" t="str">
        <f>IF(J2041="","",LEFT('ATP Fills'!I2041,4))</f>
        <v/>
      </c>
      <c r="L2041" t="str">
        <f>IF(A2041="","",IF('ATP Fills'!G2041="LME",'ATP Fills'!I2041,""))</f>
        <v/>
      </c>
      <c r="M2041" t="str">
        <f t="shared" si="31"/>
        <v/>
      </c>
    </row>
    <row r="2042" spans="1:13">
      <c r="A2042" t="str">
        <f>IF('ATP Fills'!A2042="","",IF('ATP Fills'!Q2042="PHILLIPSG",'ATP Fills'!F2042,""))</f>
        <v/>
      </c>
      <c r="B2042" t="str">
        <f>IF(A2042="","",'ATP Fills'!L2042)</f>
        <v/>
      </c>
      <c r="C2042" t="str">
        <f>IF(A2042="","",'ATP Fills'!M2042)</f>
        <v/>
      </c>
      <c r="D2042" t="str">
        <f>IF(A2042="","",'ATP Fills'!B2042)</f>
        <v/>
      </c>
      <c r="E2042" s="3" t="str">
        <f>IF(A2042="","",IF(DATE(LEFT(D2042,4),MID(D2042,5,2),RIGHT(D2042,2))=Helper1!$P$1,Helper1!$P$1,""))</f>
        <v/>
      </c>
      <c r="F2042" s="3" t="str">
        <f>IF(A2042="","",'ATP Fills'!G2042)</f>
        <v/>
      </c>
      <c r="G2042" t="str">
        <f>IF(A2042="","",'ATP Fills'!H2042)</f>
        <v/>
      </c>
      <c r="H2042" t="str">
        <f>IF(A2042="","",VLOOKUP(G2042,表3_3[],2,0))</f>
        <v/>
      </c>
      <c r="I2042" t="str">
        <f>IF(A2042="","",VLOOKUP(G2042,表3_3[],3,0))</f>
        <v/>
      </c>
      <c r="J2042" t="str">
        <f>IF(A2042="","",IF('ATP Fills'!I2042="3M","",VLOOKUP(RIGHT('ATP Fills'!I2042,2),Helper1!$O$36:$P$48,2,0)))</f>
        <v/>
      </c>
      <c r="K2042" t="str">
        <f>IF(J2042="","",LEFT('ATP Fills'!I2042,4))</f>
        <v/>
      </c>
      <c r="L2042" t="str">
        <f>IF(A2042="","",IF('ATP Fills'!G2042="LME",'ATP Fills'!I2042,""))</f>
        <v/>
      </c>
      <c r="M2042" t="str">
        <f t="shared" si="31"/>
        <v/>
      </c>
    </row>
    <row r="2043" spans="1:13">
      <c r="A2043" t="str">
        <f>IF('ATP Fills'!A2043="","",IF('ATP Fills'!Q2043="PHILLIPSG",'ATP Fills'!F2043,""))</f>
        <v/>
      </c>
      <c r="B2043" t="str">
        <f>IF(A2043="","",'ATP Fills'!L2043)</f>
        <v/>
      </c>
      <c r="C2043" t="str">
        <f>IF(A2043="","",'ATP Fills'!M2043)</f>
        <v/>
      </c>
      <c r="D2043" t="str">
        <f>IF(A2043="","",'ATP Fills'!B2043)</f>
        <v/>
      </c>
      <c r="E2043" s="3" t="str">
        <f>IF(A2043="","",IF(DATE(LEFT(D2043,4),MID(D2043,5,2),RIGHT(D2043,2))=Helper1!$P$1,Helper1!$P$1,""))</f>
        <v/>
      </c>
      <c r="F2043" s="3" t="str">
        <f>IF(A2043="","",'ATP Fills'!G2043)</f>
        <v/>
      </c>
      <c r="G2043" t="str">
        <f>IF(A2043="","",'ATP Fills'!H2043)</f>
        <v/>
      </c>
      <c r="H2043" t="str">
        <f>IF(A2043="","",VLOOKUP(G2043,表3_3[],2,0))</f>
        <v/>
      </c>
      <c r="I2043" t="str">
        <f>IF(A2043="","",VLOOKUP(G2043,表3_3[],3,0))</f>
        <v/>
      </c>
      <c r="J2043" t="str">
        <f>IF(A2043="","",IF('ATP Fills'!I2043="3M","",VLOOKUP(RIGHT('ATP Fills'!I2043,2),Helper1!$O$36:$P$48,2,0)))</f>
        <v/>
      </c>
      <c r="K2043" t="str">
        <f>IF(J2043="","",LEFT('ATP Fills'!I2043,4))</f>
        <v/>
      </c>
      <c r="L2043" t="str">
        <f>IF(A2043="","",IF('ATP Fills'!G2043="LME",'ATP Fills'!I2043,""))</f>
        <v/>
      </c>
      <c r="M2043" t="str">
        <f t="shared" si="31"/>
        <v/>
      </c>
    </row>
    <row r="2044" spans="1:13">
      <c r="A2044" t="str">
        <f>IF('ATP Fills'!A2044="","",IF('ATP Fills'!Q2044="PHILLIPSG",'ATP Fills'!F2044,""))</f>
        <v/>
      </c>
      <c r="B2044" t="str">
        <f>IF(A2044="","",'ATP Fills'!L2044)</f>
        <v/>
      </c>
      <c r="C2044" t="str">
        <f>IF(A2044="","",'ATP Fills'!M2044)</f>
        <v/>
      </c>
      <c r="D2044" t="str">
        <f>IF(A2044="","",'ATP Fills'!B2044)</f>
        <v/>
      </c>
      <c r="E2044" s="3" t="str">
        <f>IF(A2044="","",IF(DATE(LEFT(D2044,4),MID(D2044,5,2),RIGHT(D2044,2))=Helper1!$P$1,Helper1!$P$1,""))</f>
        <v/>
      </c>
      <c r="F2044" s="3" t="str">
        <f>IF(A2044="","",'ATP Fills'!G2044)</f>
        <v/>
      </c>
      <c r="G2044" t="str">
        <f>IF(A2044="","",'ATP Fills'!H2044)</f>
        <v/>
      </c>
      <c r="H2044" t="str">
        <f>IF(A2044="","",VLOOKUP(G2044,表3_3[],2,0))</f>
        <v/>
      </c>
      <c r="I2044" t="str">
        <f>IF(A2044="","",VLOOKUP(G2044,表3_3[],3,0))</f>
        <v/>
      </c>
      <c r="J2044" t="str">
        <f>IF(A2044="","",IF('ATP Fills'!I2044="3M","",VLOOKUP(RIGHT('ATP Fills'!I2044,2),Helper1!$O$36:$P$48,2,0)))</f>
        <v/>
      </c>
      <c r="K2044" t="str">
        <f>IF(J2044="","",LEFT('ATP Fills'!I2044,4))</f>
        <v/>
      </c>
      <c r="L2044" t="str">
        <f>IF(A2044="","",IF('ATP Fills'!G2044="LME",'ATP Fills'!I2044,""))</f>
        <v/>
      </c>
      <c r="M2044" t="str">
        <f t="shared" si="31"/>
        <v/>
      </c>
    </row>
    <row r="2045" spans="1:13">
      <c r="A2045" t="str">
        <f>IF('ATP Fills'!A2045="","",IF('ATP Fills'!Q2045="PHILLIPSG",'ATP Fills'!F2045,""))</f>
        <v/>
      </c>
      <c r="B2045" t="str">
        <f>IF(A2045="","",'ATP Fills'!L2045)</f>
        <v/>
      </c>
      <c r="C2045" t="str">
        <f>IF(A2045="","",'ATP Fills'!M2045)</f>
        <v/>
      </c>
      <c r="D2045" t="str">
        <f>IF(A2045="","",'ATP Fills'!B2045)</f>
        <v/>
      </c>
      <c r="E2045" s="3" t="str">
        <f>IF(A2045="","",IF(DATE(LEFT(D2045,4),MID(D2045,5,2),RIGHT(D2045,2))=Helper1!$P$1,Helper1!$P$1,""))</f>
        <v/>
      </c>
      <c r="F2045" s="3" t="str">
        <f>IF(A2045="","",'ATP Fills'!G2045)</f>
        <v/>
      </c>
      <c r="G2045" t="str">
        <f>IF(A2045="","",'ATP Fills'!H2045)</f>
        <v/>
      </c>
      <c r="H2045" t="str">
        <f>IF(A2045="","",VLOOKUP(G2045,表3_3[],2,0))</f>
        <v/>
      </c>
      <c r="I2045" t="str">
        <f>IF(A2045="","",VLOOKUP(G2045,表3_3[],3,0))</f>
        <v/>
      </c>
      <c r="J2045" t="str">
        <f>IF(A2045="","",IF('ATP Fills'!I2045="3M","",VLOOKUP(RIGHT('ATP Fills'!I2045,2),Helper1!$O$36:$P$48,2,0)))</f>
        <v/>
      </c>
      <c r="K2045" t="str">
        <f>IF(J2045="","",LEFT('ATP Fills'!I2045,4))</f>
        <v/>
      </c>
      <c r="L2045" t="str">
        <f>IF(A2045="","",IF('ATP Fills'!G2045="LME",'ATP Fills'!I2045,""))</f>
        <v/>
      </c>
      <c r="M2045" t="str">
        <f t="shared" si="31"/>
        <v/>
      </c>
    </row>
    <row r="2046" spans="1:13">
      <c r="A2046" t="str">
        <f>IF('ATP Fills'!A2046="","",IF('ATP Fills'!Q2046="PHILLIPSG",'ATP Fills'!F2046,""))</f>
        <v/>
      </c>
      <c r="B2046" t="str">
        <f>IF(A2046="","",'ATP Fills'!L2046)</f>
        <v/>
      </c>
      <c r="C2046" t="str">
        <f>IF(A2046="","",'ATP Fills'!M2046)</f>
        <v/>
      </c>
      <c r="D2046" t="str">
        <f>IF(A2046="","",'ATP Fills'!B2046)</f>
        <v/>
      </c>
      <c r="E2046" s="3" t="str">
        <f>IF(A2046="","",IF(DATE(LEFT(D2046,4),MID(D2046,5,2),RIGHT(D2046,2))=Helper1!$P$1,Helper1!$P$1,""))</f>
        <v/>
      </c>
      <c r="F2046" s="3" t="str">
        <f>IF(A2046="","",'ATP Fills'!G2046)</f>
        <v/>
      </c>
      <c r="G2046" t="str">
        <f>IF(A2046="","",'ATP Fills'!H2046)</f>
        <v/>
      </c>
      <c r="H2046" t="str">
        <f>IF(A2046="","",VLOOKUP(G2046,表3_3[],2,0))</f>
        <v/>
      </c>
      <c r="I2046" t="str">
        <f>IF(A2046="","",VLOOKUP(G2046,表3_3[],3,0))</f>
        <v/>
      </c>
      <c r="J2046" t="str">
        <f>IF(A2046="","",IF('ATP Fills'!I2046="3M","",VLOOKUP(RIGHT('ATP Fills'!I2046,2),Helper1!$O$36:$P$48,2,0)))</f>
        <v/>
      </c>
      <c r="K2046" t="str">
        <f>IF(J2046="","",LEFT('ATP Fills'!I2046,4))</f>
        <v/>
      </c>
      <c r="L2046" t="str">
        <f>IF(A2046="","",IF('ATP Fills'!G2046="LME",'ATP Fills'!I2046,""))</f>
        <v/>
      </c>
      <c r="M2046" t="str">
        <f t="shared" si="31"/>
        <v/>
      </c>
    </row>
    <row r="2047" spans="1:13">
      <c r="A2047" t="str">
        <f>IF('ATP Fills'!A2047="","",IF('ATP Fills'!Q2047="PHILLIPSG",'ATP Fills'!F2047,""))</f>
        <v/>
      </c>
      <c r="B2047" t="str">
        <f>IF(A2047="","",'ATP Fills'!L2047)</f>
        <v/>
      </c>
      <c r="C2047" t="str">
        <f>IF(A2047="","",'ATP Fills'!M2047)</f>
        <v/>
      </c>
      <c r="D2047" t="str">
        <f>IF(A2047="","",'ATP Fills'!B2047)</f>
        <v/>
      </c>
      <c r="E2047" s="3" t="str">
        <f>IF(A2047="","",IF(DATE(LEFT(D2047,4),MID(D2047,5,2),RIGHT(D2047,2))=Helper1!$P$1,Helper1!$P$1,""))</f>
        <v/>
      </c>
      <c r="F2047" s="3" t="str">
        <f>IF(A2047="","",'ATP Fills'!G2047)</f>
        <v/>
      </c>
      <c r="G2047" t="str">
        <f>IF(A2047="","",'ATP Fills'!H2047)</f>
        <v/>
      </c>
      <c r="H2047" t="str">
        <f>IF(A2047="","",VLOOKUP(G2047,表3_3[],2,0))</f>
        <v/>
      </c>
      <c r="I2047" t="str">
        <f>IF(A2047="","",VLOOKUP(G2047,表3_3[],3,0))</f>
        <v/>
      </c>
      <c r="J2047" t="str">
        <f>IF(A2047="","",IF('ATP Fills'!I2047="3M","",VLOOKUP(RIGHT('ATP Fills'!I2047,2),Helper1!$O$36:$P$48,2,0)))</f>
        <v/>
      </c>
      <c r="K2047" t="str">
        <f>IF(J2047="","",LEFT('ATP Fills'!I2047,4))</f>
        <v/>
      </c>
      <c r="L2047" t="str">
        <f>IF(A2047="","",IF('ATP Fills'!G2047="LME",'ATP Fills'!I2047,""))</f>
        <v/>
      </c>
      <c r="M2047" t="str">
        <f t="shared" si="31"/>
        <v/>
      </c>
    </row>
    <row r="2048" spans="1:13">
      <c r="A2048" t="str">
        <f>IF('ATP Fills'!A2048="","",IF('ATP Fills'!Q2048="PHILLIPSG",'ATP Fills'!F2048,""))</f>
        <v/>
      </c>
      <c r="B2048" t="str">
        <f>IF(A2048="","",'ATP Fills'!L2048)</f>
        <v/>
      </c>
      <c r="C2048" t="str">
        <f>IF(A2048="","",'ATP Fills'!M2048)</f>
        <v/>
      </c>
      <c r="D2048" t="str">
        <f>IF(A2048="","",'ATP Fills'!B2048)</f>
        <v/>
      </c>
      <c r="E2048" s="3" t="str">
        <f>IF(A2048="","",IF(DATE(LEFT(D2048,4),MID(D2048,5,2),RIGHT(D2048,2))=Helper1!$P$1,Helper1!$P$1,""))</f>
        <v/>
      </c>
      <c r="F2048" s="3" t="str">
        <f>IF(A2048="","",'ATP Fills'!G2048)</f>
        <v/>
      </c>
      <c r="G2048" t="str">
        <f>IF(A2048="","",'ATP Fills'!H2048)</f>
        <v/>
      </c>
      <c r="H2048" t="str">
        <f>IF(A2048="","",VLOOKUP(G2048,表3_3[],2,0))</f>
        <v/>
      </c>
      <c r="I2048" t="str">
        <f>IF(A2048="","",VLOOKUP(G2048,表3_3[],3,0))</f>
        <v/>
      </c>
      <c r="J2048" t="str">
        <f>IF(A2048="","",IF('ATP Fills'!I2048="3M","",VLOOKUP(RIGHT('ATP Fills'!I2048,2),Helper1!$O$36:$P$48,2,0)))</f>
        <v/>
      </c>
      <c r="K2048" t="str">
        <f>IF(J2048="","",LEFT('ATP Fills'!I2048,4))</f>
        <v/>
      </c>
      <c r="L2048" t="str">
        <f>IF(A2048="","",IF('ATP Fills'!G2048="LME",'ATP Fills'!I2048,""))</f>
        <v/>
      </c>
      <c r="M2048" t="str">
        <f t="shared" si="31"/>
        <v/>
      </c>
    </row>
    <row r="2049" spans="1:13">
      <c r="A2049" t="str">
        <f>IF('ATP Fills'!A2049="","",IF('ATP Fills'!Q2049="PHILLIPSG",'ATP Fills'!F2049,""))</f>
        <v/>
      </c>
      <c r="B2049" t="str">
        <f>IF(A2049="","",'ATP Fills'!L2049)</f>
        <v/>
      </c>
      <c r="C2049" t="str">
        <f>IF(A2049="","",'ATP Fills'!M2049)</f>
        <v/>
      </c>
      <c r="D2049" t="str">
        <f>IF(A2049="","",'ATP Fills'!B2049)</f>
        <v/>
      </c>
      <c r="E2049" s="3" t="str">
        <f>IF(A2049="","",IF(DATE(LEFT(D2049,4),MID(D2049,5,2),RIGHT(D2049,2))=Helper1!$P$1,Helper1!$P$1,""))</f>
        <v/>
      </c>
      <c r="F2049" s="3" t="str">
        <f>IF(A2049="","",'ATP Fills'!G2049)</f>
        <v/>
      </c>
      <c r="G2049" t="str">
        <f>IF(A2049="","",'ATP Fills'!H2049)</f>
        <v/>
      </c>
      <c r="H2049" t="str">
        <f>IF(A2049="","",VLOOKUP(G2049,表3_3[],2,0))</f>
        <v/>
      </c>
      <c r="I2049" t="str">
        <f>IF(A2049="","",VLOOKUP(G2049,表3_3[],3,0))</f>
        <v/>
      </c>
      <c r="J2049" t="str">
        <f>IF(A2049="","",IF('ATP Fills'!I2049="3M","",VLOOKUP(RIGHT('ATP Fills'!I2049,2),Helper1!$O$36:$P$48,2,0)))</f>
        <v/>
      </c>
      <c r="K2049" t="str">
        <f>IF(J2049="","",LEFT('ATP Fills'!I2049,4))</f>
        <v/>
      </c>
      <c r="L2049" t="str">
        <f>IF(A2049="","",IF('ATP Fills'!G2049="LME",'ATP Fills'!I2049,""))</f>
        <v/>
      </c>
      <c r="M2049" t="str">
        <f t="shared" si="31"/>
        <v/>
      </c>
    </row>
    <row r="2050" spans="1:13">
      <c r="A2050" t="str">
        <f>IF('ATP Fills'!A2050="","",IF('ATP Fills'!Q2050="PHILLIPSG",'ATP Fills'!F2050,""))</f>
        <v/>
      </c>
      <c r="B2050" t="str">
        <f>IF(A2050="","",'ATP Fills'!L2050)</f>
        <v/>
      </c>
      <c r="C2050" t="str">
        <f>IF(A2050="","",'ATP Fills'!M2050)</f>
        <v/>
      </c>
      <c r="D2050" t="str">
        <f>IF(A2050="","",'ATP Fills'!B2050)</f>
        <v/>
      </c>
      <c r="E2050" s="3" t="str">
        <f>IF(A2050="","",IF(DATE(LEFT(D2050,4),MID(D2050,5,2),RIGHT(D2050,2))=Helper1!$P$1,Helper1!$P$1,""))</f>
        <v/>
      </c>
      <c r="F2050" s="3" t="str">
        <f>IF(A2050="","",'ATP Fills'!G2050)</f>
        <v/>
      </c>
      <c r="G2050" t="str">
        <f>IF(A2050="","",'ATP Fills'!H2050)</f>
        <v/>
      </c>
      <c r="H2050" t="str">
        <f>IF(A2050="","",VLOOKUP(G2050,表3_3[],2,0))</f>
        <v/>
      </c>
      <c r="I2050" t="str">
        <f>IF(A2050="","",VLOOKUP(G2050,表3_3[],3,0))</f>
        <v/>
      </c>
      <c r="J2050" t="str">
        <f>IF(A2050="","",IF('ATP Fills'!I2050="3M","",VLOOKUP(RIGHT('ATP Fills'!I2050,2),Helper1!$O$36:$P$48,2,0)))</f>
        <v/>
      </c>
      <c r="K2050" t="str">
        <f>IF(J2050="","",LEFT('ATP Fills'!I2050,4))</f>
        <v/>
      </c>
      <c r="L2050" t="str">
        <f>IF(A2050="","",IF('ATP Fills'!G2050="LME",'ATP Fills'!I2050,""))</f>
        <v/>
      </c>
      <c r="M2050" t="str">
        <f t="shared" si="31"/>
        <v/>
      </c>
    </row>
    <row r="2051" spans="1:13">
      <c r="A2051" t="str">
        <f>IF('ATP Fills'!A2051="","",IF('ATP Fills'!Q2051="PHILLIPSG",'ATP Fills'!F2051,""))</f>
        <v/>
      </c>
      <c r="B2051" t="str">
        <f>IF(A2051="","",'ATP Fills'!L2051)</f>
        <v/>
      </c>
      <c r="C2051" t="str">
        <f>IF(A2051="","",'ATP Fills'!M2051)</f>
        <v/>
      </c>
      <c r="D2051" t="str">
        <f>IF(A2051="","",'ATP Fills'!B2051)</f>
        <v/>
      </c>
      <c r="E2051" s="3" t="str">
        <f>IF(A2051="","",IF(DATE(LEFT(D2051,4),MID(D2051,5,2),RIGHT(D2051,2))=Helper1!$P$1,Helper1!$P$1,""))</f>
        <v/>
      </c>
      <c r="F2051" s="3" t="str">
        <f>IF(A2051="","",'ATP Fills'!G2051)</f>
        <v/>
      </c>
      <c r="G2051" t="str">
        <f>IF(A2051="","",'ATP Fills'!H2051)</f>
        <v/>
      </c>
      <c r="H2051" t="str">
        <f>IF(A2051="","",VLOOKUP(G2051,表3_3[],2,0))</f>
        <v/>
      </c>
      <c r="I2051" t="str">
        <f>IF(A2051="","",VLOOKUP(G2051,表3_3[],3,0))</f>
        <v/>
      </c>
      <c r="J2051" t="str">
        <f>IF(A2051="","",IF('ATP Fills'!I2051="3M","",VLOOKUP(RIGHT('ATP Fills'!I2051,2),Helper1!$O$36:$P$48,2,0)))</f>
        <v/>
      </c>
      <c r="K2051" t="str">
        <f>IF(J2051="","",LEFT('ATP Fills'!I2051,4))</f>
        <v/>
      </c>
      <c r="L2051" t="str">
        <f>IF(A2051="","",IF('ATP Fills'!G2051="LME",'ATP Fills'!I2051,""))</f>
        <v/>
      </c>
      <c r="M2051" t="str">
        <f t="shared" ref="M2051:M2114" si="32">IF(A2051="","",IF(F2051="LME",F2051&amp;"-"&amp;I2051&amp;"-"&amp;L2051,J2051&amp;"-"&amp;K2051&amp;"-"&amp;I2051))</f>
        <v/>
      </c>
    </row>
    <row r="2052" spans="1:13">
      <c r="A2052" t="str">
        <f>IF('ATP Fills'!A2052="","",IF('ATP Fills'!Q2052="PHILLIPSG",'ATP Fills'!F2052,""))</f>
        <v/>
      </c>
      <c r="B2052" t="str">
        <f>IF(A2052="","",'ATP Fills'!L2052)</f>
        <v/>
      </c>
      <c r="C2052" t="str">
        <f>IF(A2052="","",'ATP Fills'!M2052)</f>
        <v/>
      </c>
      <c r="D2052" t="str">
        <f>IF(A2052="","",'ATP Fills'!B2052)</f>
        <v/>
      </c>
      <c r="E2052" s="3" t="str">
        <f>IF(A2052="","",IF(DATE(LEFT(D2052,4),MID(D2052,5,2),RIGHT(D2052,2))=Helper1!$P$1,Helper1!$P$1,""))</f>
        <v/>
      </c>
      <c r="F2052" s="3" t="str">
        <f>IF(A2052="","",'ATP Fills'!G2052)</f>
        <v/>
      </c>
      <c r="G2052" t="str">
        <f>IF(A2052="","",'ATP Fills'!H2052)</f>
        <v/>
      </c>
      <c r="H2052" t="str">
        <f>IF(A2052="","",VLOOKUP(G2052,表3_3[],2,0))</f>
        <v/>
      </c>
      <c r="I2052" t="str">
        <f>IF(A2052="","",VLOOKUP(G2052,表3_3[],3,0))</f>
        <v/>
      </c>
      <c r="J2052" t="str">
        <f>IF(A2052="","",IF('ATP Fills'!I2052="3M","",VLOOKUP(RIGHT('ATP Fills'!I2052,2),Helper1!$O$36:$P$48,2,0)))</f>
        <v/>
      </c>
      <c r="K2052" t="str">
        <f>IF(J2052="","",LEFT('ATP Fills'!I2052,4))</f>
        <v/>
      </c>
      <c r="L2052" t="str">
        <f>IF(A2052="","",IF('ATP Fills'!G2052="LME",'ATP Fills'!I2052,""))</f>
        <v/>
      </c>
      <c r="M2052" t="str">
        <f t="shared" si="32"/>
        <v/>
      </c>
    </row>
    <row r="2053" spans="1:13">
      <c r="A2053" t="str">
        <f>IF('ATP Fills'!A2053="","",IF('ATP Fills'!Q2053="PHILLIPSG",'ATP Fills'!F2053,""))</f>
        <v/>
      </c>
      <c r="B2053" t="str">
        <f>IF(A2053="","",'ATP Fills'!L2053)</f>
        <v/>
      </c>
      <c r="C2053" t="str">
        <f>IF(A2053="","",'ATP Fills'!M2053)</f>
        <v/>
      </c>
      <c r="D2053" t="str">
        <f>IF(A2053="","",'ATP Fills'!B2053)</f>
        <v/>
      </c>
      <c r="E2053" s="3" t="str">
        <f>IF(A2053="","",IF(DATE(LEFT(D2053,4),MID(D2053,5,2),RIGHT(D2053,2))=Helper1!$P$1,Helper1!$P$1,""))</f>
        <v/>
      </c>
      <c r="F2053" s="3" t="str">
        <f>IF(A2053="","",'ATP Fills'!G2053)</f>
        <v/>
      </c>
      <c r="G2053" t="str">
        <f>IF(A2053="","",'ATP Fills'!H2053)</f>
        <v/>
      </c>
      <c r="H2053" t="str">
        <f>IF(A2053="","",VLOOKUP(G2053,表3_3[],2,0))</f>
        <v/>
      </c>
      <c r="I2053" t="str">
        <f>IF(A2053="","",VLOOKUP(G2053,表3_3[],3,0))</f>
        <v/>
      </c>
      <c r="J2053" t="str">
        <f>IF(A2053="","",IF('ATP Fills'!I2053="3M","",VLOOKUP(RIGHT('ATP Fills'!I2053,2),Helper1!$O$36:$P$48,2,0)))</f>
        <v/>
      </c>
      <c r="K2053" t="str">
        <f>IF(J2053="","",LEFT('ATP Fills'!I2053,4))</f>
        <v/>
      </c>
      <c r="L2053" t="str">
        <f>IF(A2053="","",IF('ATP Fills'!G2053="LME",'ATP Fills'!I2053,""))</f>
        <v/>
      </c>
      <c r="M2053" t="str">
        <f t="shared" si="32"/>
        <v/>
      </c>
    </row>
    <row r="2054" spans="1:13">
      <c r="A2054" t="str">
        <f>IF('ATP Fills'!A2054="","",IF('ATP Fills'!Q2054="PHILLIPSG",'ATP Fills'!F2054,""))</f>
        <v/>
      </c>
      <c r="B2054" t="str">
        <f>IF(A2054="","",'ATP Fills'!L2054)</f>
        <v/>
      </c>
      <c r="C2054" t="str">
        <f>IF(A2054="","",'ATP Fills'!M2054)</f>
        <v/>
      </c>
      <c r="D2054" t="str">
        <f>IF(A2054="","",'ATP Fills'!B2054)</f>
        <v/>
      </c>
      <c r="E2054" s="3" t="str">
        <f>IF(A2054="","",IF(DATE(LEFT(D2054,4),MID(D2054,5,2),RIGHT(D2054,2))=Helper1!$P$1,Helper1!$P$1,""))</f>
        <v/>
      </c>
      <c r="F2054" s="3" t="str">
        <f>IF(A2054="","",'ATP Fills'!G2054)</f>
        <v/>
      </c>
      <c r="G2054" t="str">
        <f>IF(A2054="","",'ATP Fills'!H2054)</f>
        <v/>
      </c>
      <c r="H2054" t="str">
        <f>IF(A2054="","",VLOOKUP(G2054,表3_3[],2,0))</f>
        <v/>
      </c>
      <c r="I2054" t="str">
        <f>IF(A2054="","",VLOOKUP(G2054,表3_3[],3,0))</f>
        <v/>
      </c>
      <c r="J2054" t="str">
        <f>IF(A2054="","",IF('ATP Fills'!I2054="3M","",VLOOKUP(RIGHT('ATP Fills'!I2054,2),Helper1!$O$36:$P$48,2,0)))</f>
        <v/>
      </c>
      <c r="K2054" t="str">
        <f>IF(J2054="","",LEFT('ATP Fills'!I2054,4))</f>
        <v/>
      </c>
      <c r="L2054" t="str">
        <f>IF(A2054="","",IF('ATP Fills'!G2054="LME",'ATP Fills'!I2054,""))</f>
        <v/>
      </c>
      <c r="M2054" t="str">
        <f t="shared" si="32"/>
        <v/>
      </c>
    </row>
    <row r="2055" spans="1:13">
      <c r="A2055" t="str">
        <f>IF('ATP Fills'!A2055="","",IF('ATP Fills'!Q2055="PHILLIPSG",'ATP Fills'!F2055,""))</f>
        <v/>
      </c>
      <c r="B2055" t="str">
        <f>IF(A2055="","",'ATP Fills'!L2055)</f>
        <v/>
      </c>
      <c r="C2055" t="str">
        <f>IF(A2055="","",'ATP Fills'!M2055)</f>
        <v/>
      </c>
      <c r="D2055" t="str">
        <f>IF(A2055="","",'ATP Fills'!B2055)</f>
        <v/>
      </c>
      <c r="E2055" s="3" t="str">
        <f>IF(A2055="","",IF(DATE(LEFT(D2055,4),MID(D2055,5,2),RIGHT(D2055,2))=Helper1!$P$1,Helper1!$P$1,""))</f>
        <v/>
      </c>
      <c r="F2055" s="3" t="str">
        <f>IF(A2055="","",'ATP Fills'!G2055)</f>
        <v/>
      </c>
      <c r="G2055" t="str">
        <f>IF(A2055="","",'ATP Fills'!H2055)</f>
        <v/>
      </c>
      <c r="H2055" t="str">
        <f>IF(A2055="","",VLOOKUP(G2055,表3_3[],2,0))</f>
        <v/>
      </c>
      <c r="I2055" t="str">
        <f>IF(A2055="","",VLOOKUP(G2055,表3_3[],3,0))</f>
        <v/>
      </c>
      <c r="J2055" t="str">
        <f>IF(A2055="","",IF('ATP Fills'!I2055="3M","",VLOOKUP(RIGHT('ATP Fills'!I2055,2),Helper1!$O$36:$P$48,2,0)))</f>
        <v/>
      </c>
      <c r="K2055" t="str">
        <f>IF(J2055="","",LEFT('ATP Fills'!I2055,4))</f>
        <v/>
      </c>
      <c r="L2055" t="str">
        <f>IF(A2055="","",IF('ATP Fills'!G2055="LME",'ATP Fills'!I2055,""))</f>
        <v/>
      </c>
      <c r="M2055" t="str">
        <f t="shared" si="32"/>
        <v/>
      </c>
    </row>
    <row r="2056" spans="1:13">
      <c r="A2056" t="str">
        <f>IF('ATP Fills'!A2056="","",IF('ATP Fills'!Q2056="PHILLIPSG",'ATP Fills'!F2056,""))</f>
        <v/>
      </c>
      <c r="B2056" t="str">
        <f>IF(A2056="","",'ATP Fills'!L2056)</f>
        <v/>
      </c>
      <c r="C2056" t="str">
        <f>IF(A2056="","",'ATP Fills'!M2056)</f>
        <v/>
      </c>
      <c r="D2056" t="str">
        <f>IF(A2056="","",'ATP Fills'!B2056)</f>
        <v/>
      </c>
      <c r="E2056" s="3" t="str">
        <f>IF(A2056="","",IF(DATE(LEFT(D2056,4),MID(D2056,5,2),RIGHT(D2056,2))=Helper1!$P$1,Helper1!$P$1,""))</f>
        <v/>
      </c>
      <c r="F2056" s="3" t="str">
        <f>IF(A2056="","",'ATP Fills'!G2056)</f>
        <v/>
      </c>
      <c r="G2056" t="str">
        <f>IF(A2056="","",'ATP Fills'!H2056)</f>
        <v/>
      </c>
      <c r="H2056" t="str">
        <f>IF(A2056="","",VLOOKUP(G2056,表3_3[],2,0))</f>
        <v/>
      </c>
      <c r="I2056" t="str">
        <f>IF(A2056="","",VLOOKUP(G2056,表3_3[],3,0))</f>
        <v/>
      </c>
      <c r="J2056" t="str">
        <f>IF(A2056="","",IF('ATP Fills'!I2056="3M","",VLOOKUP(RIGHT('ATP Fills'!I2056,2),Helper1!$O$36:$P$48,2,0)))</f>
        <v/>
      </c>
      <c r="K2056" t="str">
        <f>IF(J2056="","",LEFT('ATP Fills'!I2056,4))</f>
        <v/>
      </c>
      <c r="L2056" t="str">
        <f>IF(A2056="","",IF('ATP Fills'!G2056="LME",'ATP Fills'!I2056,""))</f>
        <v/>
      </c>
      <c r="M2056" t="str">
        <f t="shared" si="32"/>
        <v/>
      </c>
    </row>
    <row r="2057" spans="1:13">
      <c r="A2057" t="str">
        <f>IF('ATP Fills'!A2057="","",IF('ATP Fills'!Q2057="PHILLIPSG",'ATP Fills'!F2057,""))</f>
        <v/>
      </c>
      <c r="B2057" t="str">
        <f>IF(A2057="","",'ATP Fills'!L2057)</f>
        <v/>
      </c>
      <c r="C2057" t="str">
        <f>IF(A2057="","",'ATP Fills'!M2057)</f>
        <v/>
      </c>
      <c r="D2057" t="str">
        <f>IF(A2057="","",'ATP Fills'!B2057)</f>
        <v/>
      </c>
      <c r="E2057" s="3" t="str">
        <f>IF(A2057="","",IF(DATE(LEFT(D2057,4),MID(D2057,5,2),RIGHT(D2057,2))=Helper1!$P$1,Helper1!$P$1,""))</f>
        <v/>
      </c>
      <c r="F2057" s="3" t="str">
        <f>IF(A2057="","",'ATP Fills'!G2057)</f>
        <v/>
      </c>
      <c r="G2057" t="str">
        <f>IF(A2057="","",'ATP Fills'!H2057)</f>
        <v/>
      </c>
      <c r="H2057" t="str">
        <f>IF(A2057="","",VLOOKUP(G2057,表3_3[],2,0))</f>
        <v/>
      </c>
      <c r="I2057" t="str">
        <f>IF(A2057="","",VLOOKUP(G2057,表3_3[],3,0))</f>
        <v/>
      </c>
      <c r="J2057" t="str">
        <f>IF(A2057="","",IF('ATP Fills'!I2057="3M","",VLOOKUP(RIGHT('ATP Fills'!I2057,2),Helper1!$O$36:$P$48,2,0)))</f>
        <v/>
      </c>
      <c r="K2057" t="str">
        <f>IF(J2057="","",LEFT('ATP Fills'!I2057,4))</f>
        <v/>
      </c>
      <c r="L2057" t="str">
        <f>IF(A2057="","",IF('ATP Fills'!G2057="LME",'ATP Fills'!I2057,""))</f>
        <v/>
      </c>
      <c r="M2057" t="str">
        <f t="shared" si="32"/>
        <v/>
      </c>
    </row>
    <row r="2058" spans="1:13">
      <c r="A2058" t="str">
        <f>IF('ATP Fills'!A2058="","",IF('ATP Fills'!Q2058="PHILLIPSG",'ATP Fills'!F2058,""))</f>
        <v/>
      </c>
      <c r="B2058" t="str">
        <f>IF(A2058="","",'ATP Fills'!L2058)</f>
        <v/>
      </c>
      <c r="C2058" t="str">
        <f>IF(A2058="","",'ATP Fills'!M2058)</f>
        <v/>
      </c>
      <c r="D2058" t="str">
        <f>IF(A2058="","",'ATP Fills'!B2058)</f>
        <v/>
      </c>
      <c r="E2058" s="3" t="str">
        <f>IF(A2058="","",IF(DATE(LEFT(D2058,4),MID(D2058,5,2),RIGHT(D2058,2))=Helper1!$P$1,Helper1!$P$1,""))</f>
        <v/>
      </c>
      <c r="F2058" s="3" t="str">
        <f>IF(A2058="","",'ATP Fills'!G2058)</f>
        <v/>
      </c>
      <c r="G2058" t="str">
        <f>IF(A2058="","",'ATP Fills'!H2058)</f>
        <v/>
      </c>
      <c r="H2058" t="str">
        <f>IF(A2058="","",VLOOKUP(G2058,表3_3[],2,0))</f>
        <v/>
      </c>
      <c r="I2058" t="str">
        <f>IF(A2058="","",VLOOKUP(G2058,表3_3[],3,0))</f>
        <v/>
      </c>
      <c r="J2058" t="str">
        <f>IF(A2058="","",IF('ATP Fills'!I2058="3M","",VLOOKUP(RIGHT('ATP Fills'!I2058,2),Helper1!$O$36:$P$48,2,0)))</f>
        <v/>
      </c>
      <c r="K2058" t="str">
        <f>IF(J2058="","",LEFT('ATP Fills'!I2058,4))</f>
        <v/>
      </c>
      <c r="L2058" t="str">
        <f>IF(A2058="","",IF('ATP Fills'!G2058="LME",'ATP Fills'!I2058,""))</f>
        <v/>
      </c>
      <c r="M2058" t="str">
        <f t="shared" si="32"/>
        <v/>
      </c>
    </row>
    <row r="2059" spans="1:13">
      <c r="A2059" t="str">
        <f>IF('ATP Fills'!A2059="","",IF('ATP Fills'!Q2059="PHILLIPSG",'ATP Fills'!F2059,""))</f>
        <v/>
      </c>
      <c r="B2059" t="str">
        <f>IF(A2059="","",'ATP Fills'!L2059)</f>
        <v/>
      </c>
      <c r="C2059" t="str">
        <f>IF(A2059="","",'ATP Fills'!M2059)</f>
        <v/>
      </c>
      <c r="D2059" t="str">
        <f>IF(A2059="","",'ATP Fills'!B2059)</f>
        <v/>
      </c>
      <c r="E2059" s="3" t="str">
        <f>IF(A2059="","",IF(DATE(LEFT(D2059,4),MID(D2059,5,2),RIGHT(D2059,2))=Helper1!$P$1,Helper1!$P$1,""))</f>
        <v/>
      </c>
      <c r="F2059" s="3" t="str">
        <f>IF(A2059="","",'ATP Fills'!G2059)</f>
        <v/>
      </c>
      <c r="G2059" t="str">
        <f>IF(A2059="","",'ATP Fills'!H2059)</f>
        <v/>
      </c>
      <c r="H2059" t="str">
        <f>IF(A2059="","",VLOOKUP(G2059,表3_3[],2,0))</f>
        <v/>
      </c>
      <c r="I2059" t="str">
        <f>IF(A2059="","",VLOOKUP(G2059,表3_3[],3,0))</f>
        <v/>
      </c>
      <c r="J2059" t="str">
        <f>IF(A2059="","",IF('ATP Fills'!I2059="3M","",VLOOKUP(RIGHT('ATP Fills'!I2059,2),Helper1!$O$36:$P$48,2,0)))</f>
        <v/>
      </c>
      <c r="K2059" t="str">
        <f>IF(J2059="","",LEFT('ATP Fills'!I2059,4))</f>
        <v/>
      </c>
      <c r="L2059" t="str">
        <f>IF(A2059="","",IF('ATP Fills'!G2059="LME",'ATP Fills'!I2059,""))</f>
        <v/>
      </c>
      <c r="M2059" t="str">
        <f t="shared" si="32"/>
        <v/>
      </c>
    </row>
    <row r="2060" spans="1:13">
      <c r="A2060" t="str">
        <f>IF('ATP Fills'!A2060="","",IF('ATP Fills'!Q2060="PHILLIPSG",'ATP Fills'!F2060,""))</f>
        <v/>
      </c>
      <c r="B2060" t="str">
        <f>IF(A2060="","",'ATP Fills'!L2060)</f>
        <v/>
      </c>
      <c r="C2060" t="str">
        <f>IF(A2060="","",'ATP Fills'!M2060)</f>
        <v/>
      </c>
      <c r="D2060" t="str">
        <f>IF(A2060="","",'ATP Fills'!B2060)</f>
        <v/>
      </c>
      <c r="E2060" s="3" t="str">
        <f>IF(A2060="","",IF(DATE(LEFT(D2060,4),MID(D2060,5,2),RIGHT(D2060,2))=Helper1!$P$1,Helper1!$P$1,""))</f>
        <v/>
      </c>
      <c r="F2060" s="3" t="str">
        <f>IF(A2060="","",'ATP Fills'!G2060)</f>
        <v/>
      </c>
      <c r="G2060" t="str">
        <f>IF(A2060="","",'ATP Fills'!H2060)</f>
        <v/>
      </c>
      <c r="H2060" t="str">
        <f>IF(A2060="","",VLOOKUP(G2060,表3_3[],2,0))</f>
        <v/>
      </c>
      <c r="I2060" t="str">
        <f>IF(A2060="","",VLOOKUP(G2060,表3_3[],3,0))</f>
        <v/>
      </c>
      <c r="J2060" t="str">
        <f>IF(A2060="","",IF('ATP Fills'!I2060="3M","",VLOOKUP(RIGHT('ATP Fills'!I2060,2),Helper1!$O$36:$P$48,2,0)))</f>
        <v/>
      </c>
      <c r="K2060" t="str">
        <f>IF(J2060="","",LEFT('ATP Fills'!I2060,4))</f>
        <v/>
      </c>
      <c r="L2060" t="str">
        <f>IF(A2060="","",IF('ATP Fills'!G2060="LME",'ATP Fills'!I2060,""))</f>
        <v/>
      </c>
      <c r="M2060" t="str">
        <f t="shared" si="32"/>
        <v/>
      </c>
    </row>
    <row r="2061" spans="1:13">
      <c r="A2061" t="str">
        <f>IF('ATP Fills'!A2061="","",IF('ATP Fills'!Q2061="PHILLIPSG",'ATP Fills'!F2061,""))</f>
        <v/>
      </c>
      <c r="B2061" t="str">
        <f>IF(A2061="","",'ATP Fills'!L2061)</f>
        <v/>
      </c>
      <c r="C2061" t="str">
        <f>IF(A2061="","",'ATP Fills'!M2061)</f>
        <v/>
      </c>
      <c r="D2061" t="str">
        <f>IF(A2061="","",'ATP Fills'!B2061)</f>
        <v/>
      </c>
      <c r="E2061" s="3" t="str">
        <f>IF(A2061="","",IF(DATE(LEFT(D2061,4),MID(D2061,5,2),RIGHT(D2061,2))=Helper1!$P$1,Helper1!$P$1,""))</f>
        <v/>
      </c>
      <c r="F2061" s="3" t="str">
        <f>IF(A2061="","",'ATP Fills'!G2061)</f>
        <v/>
      </c>
      <c r="G2061" t="str">
        <f>IF(A2061="","",'ATP Fills'!H2061)</f>
        <v/>
      </c>
      <c r="H2061" t="str">
        <f>IF(A2061="","",VLOOKUP(G2061,表3_3[],2,0))</f>
        <v/>
      </c>
      <c r="I2061" t="str">
        <f>IF(A2061="","",VLOOKUP(G2061,表3_3[],3,0))</f>
        <v/>
      </c>
      <c r="J2061" t="str">
        <f>IF(A2061="","",IF('ATP Fills'!I2061="3M","",VLOOKUP(RIGHT('ATP Fills'!I2061,2),Helper1!$O$36:$P$48,2,0)))</f>
        <v/>
      </c>
      <c r="K2061" t="str">
        <f>IF(J2061="","",LEFT('ATP Fills'!I2061,4))</f>
        <v/>
      </c>
      <c r="L2061" t="str">
        <f>IF(A2061="","",IF('ATP Fills'!G2061="LME",'ATP Fills'!I2061,""))</f>
        <v/>
      </c>
      <c r="M2061" t="str">
        <f t="shared" si="32"/>
        <v/>
      </c>
    </row>
    <row r="2062" spans="1:13">
      <c r="A2062" t="str">
        <f>IF('ATP Fills'!A2062="","",IF('ATP Fills'!Q2062="PHILLIPSG",'ATP Fills'!F2062,""))</f>
        <v/>
      </c>
      <c r="B2062" t="str">
        <f>IF(A2062="","",'ATP Fills'!L2062)</f>
        <v/>
      </c>
      <c r="C2062" t="str">
        <f>IF(A2062="","",'ATP Fills'!M2062)</f>
        <v/>
      </c>
      <c r="D2062" t="str">
        <f>IF(A2062="","",'ATP Fills'!B2062)</f>
        <v/>
      </c>
      <c r="E2062" s="3" t="str">
        <f>IF(A2062="","",IF(DATE(LEFT(D2062,4),MID(D2062,5,2),RIGHT(D2062,2))=Helper1!$P$1,Helper1!$P$1,""))</f>
        <v/>
      </c>
      <c r="F2062" s="3" t="str">
        <f>IF(A2062="","",'ATP Fills'!G2062)</f>
        <v/>
      </c>
      <c r="G2062" t="str">
        <f>IF(A2062="","",'ATP Fills'!H2062)</f>
        <v/>
      </c>
      <c r="H2062" t="str">
        <f>IF(A2062="","",VLOOKUP(G2062,表3_3[],2,0))</f>
        <v/>
      </c>
      <c r="I2062" t="str">
        <f>IF(A2062="","",VLOOKUP(G2062,表3_3[],3,0))</f>
        <v/>
      </c>
      <c r="J2062" t="str">
        <f>IF(A2062="","",IF('ATP Fills'!I2062="3M","",VLOOKUP(RIGHT('ATP Fills'!I2062,2),Helper1!$O$36:$P$48,2,0)))</f>
        <v/>
      </c>
      <c r="K2062" t="str">
        <f>IF(J2062="","",LEFT('ATP Fills'!I2062,4))</f>
        <v/>
      </c>
      <c r="L2062" t="str">
        <f>IF(A2062="","",IF('ATP Fills'!G2062="LME",'ATP Fills'!I2062,""))</f>
        <v/>
      </c>
      <c r="M2062" t="str">
        <f t="shared" si="32"/>
        <v/>
      </c>
    </row>
    <row r="2063" spans="1:13">
      <c r="A2063" t="str">
        <f>IF('ATP Fills'!A2063="","",IF('ATP Fills'!Q2063="PHILLIPSG",'ATP Fills'!F2063,""))</f>
        <v/>
      </c>
      <c r="B2063" t="str">
        <f>IF(A2063="","",'ATP Fills'!L2063)</f>
        <v/>
      </c>
      <c r="C2063" t="str">
        <f>IF(A2063="","",'ATP Fills'!M2063)</f>
        <v/>
      </c>
      <c r="D2063" t="str">
        <f>IF(A2063="","",'ATP Fills'!B2063)</f>
        <v/>
      </c>
      <c r="E2063" s="3" t="str">
        <f>IF(A2063="","",IF(DATE(LEFT(D2063,4),MID(D2063,5,2),RIGHT(D2063,2))=Helper1!$P$1,Helper1!$P$1,""))</f>
        <v/>
      </c>
      <c r="F2063" s="3" t="str">
        <f>IF(A2063="","",'ATP Fills'!G2063)</f>
        <v/>
      </c>
      <c r="G2063" t="str">
        <f>IF(A2063="","",'ATP Fills'!H2063)</f>
        <v/>
      </c>
      <c r="H2063" t="str">
        <f>IF(A2063="","",VLOOKUP(G2063,表3_3[],2,0))</f>
        <v/>
      </c>
      <c r="I2063" t="str">
        <f>IF(A2063="","",VLOOKUP(G2063,表3_3[],3,0))</f>
        <v/>
      </c>
      <c r="J2063" t="str">
        <f>IF(A2063="","",IF('ATP Fills'!I2063="3M","",VLOOKUP(RIGHT('ATP Fills'!I2063,2),Helper1!$O$36:$P$48,2,0)))</f>
        <v/>
      </c>
      <c r="K2063" t="str">
        <f>IF(J2063="","",LEFT('ATP Fills'!I2063,4))</f>
        <v/>
      </c>
      <c r="L2063" t="str">
        <f>IF(A2063="","",IF('ATP Fills'!G2063="LME",'ATP Fills'!I2063,""))</f>
        <v/>
      </c>
      <c r="M2063" t="str">
        <f t="shared" si="32"/>
        <v/>
      </c>
    </row>
    <row r="2064" spans="1:13">
      <c r="A2064" t="str">
        <f>IF('ATP Fills'!A2064="","",IF('ATP Fills'!Q2064="PHILLIPSG",'ATP Fills'!F2064,""))</f>
        <v/>
      </c>
      <c r="B2064" t="str">
        <f>IF(A2064="","",'ATP Fills'!L2064)</f>
        <v/>
      </c>
      <c r="C2064" t="str">
        <f>IF(A2064="","",'ATP Fills'!M2064)</f>
        <v/>
      </c>
      <c r="D2064" t="str">
        <f>IF(A2064="","",'ATP Fills'!B2064)</f>
        <v/>
      </c>
      <c r="E2064" s="3" t="str">
        <f>IF(A2064="","",IF(DATE(LEFT(D2064,4),MID(D2064,5,2),RIGHT(D2064,2))=Helper1!$P$1,Helper1!$P$1,""))</f>
        <v/>
      </c>
      <c r="F2064" s="3" t="str">
        <f>IF(A2064="","",'ATP Fills'!G2064)</f>
        <v/>
      </c>
      <c r="G2064" t="str">
        <f>IF(A2064="","",'ATP Fills'!H2064)</f>
        <v/>
      </c>
      <c r="H2064" t="str">
        <f>IF(A2064="","",VLOOKUP(G2064,表3_3[],2,0))</f>
        <v/>
      </c>
      <c r="I2064" t="str">
        <f>IF(A2064="","",VLOOKUP(G2064,表3_3[],3,0))</f>
        <v/>
      </c>
      <c r="J2064" t="str">
        <f>IF(A2064="","",IF('ATP Fills'!I2064="3M","",VLOOKUP(RIGHT('ATP Fills'!I2064,2),Helper1!$O$36:$P$48,2,0)))</f>
        <v/>
      </c>
      <c r="K2064" t="str">
        <f>IF(J2064="","",LEFT('ATP Fills'!I2064,4))</f>
        <v/>
      </c>
      <c r="L2064" t="str">
        <f>IF(A2064="","",IF('ATP Fills'!G2064="LME",'ATP Fills'!I2064,""))</f>
        <v/>
      </c>
      <c r="M2064" t="str">
        <f t="shared" si="32"/>
        <v/>
      </c>
    </row>
    <row r="2065" spans="1:13">
      <c r="A2065" t="str">
        <f>IF('ATP Fills'!A2065="","",IF('ATP Fills'!Q2065="PHILLIPSG",'ATP Fills'!F2065,""))</f>
        <v/>
      </c>
      <c r="B2065" t="str">
        <f>IF(A2065="","",'ATP Fills'!L2065)</f>
        <v/>
      </c>
      <c r="C2065" t="str">
        <f>IF(A2065="","",'ATP Fills'!M2065)</f>
        <v/>
      </c>
      <c r="D2065" t="str">
        <f>IF(A2065="","",'ATP Fills'!B2065)</f>
        <v/>
      </c>
      <c r="E2065" s="3" t="str">
        <f>IF(A2065="","",IF(DATE(LEFT(D2065,4),MID(D2065,5,2),RIGHT(D2065,2))=Helper1!$P$1,Helper1!$P$1,""))</f>
        <v/>
      </c>
      <c r="F2065" s="3" t="str">
        <f>IF(A2065="","",'ATP Fills'!G2065)</f>
        <v/>
      </c>
      <c r="G2065" t="str">
        <f>IF(A2065="","",'ATP Fills'!H2065)</f>
        <v/>
      </c>
      <c r="H2065" t="str">
        <f>IF(A2065="","",VLOOKUP(G2065,表3_3[],2,0))</f>
        <v/>
      </c>
      <c r="I2065" t="str">
        <f>IF(A2065="","",VLOOKUP(G2065,表3_3[],3,0))</f>
        <v/>
      </c>
      <c r="J2065" t="str">
        <f>IF(A2065="","",IF('ATP Fills'!I2065="3M","",VLOOKUP(RIGHT('ATP Fills'!I2065,2),Helper1!$O$36:$P$48,2,0)))</f>
        <v/>
      </c>
      <c r="K2065" t="str">
        <f>IF(J2065="","",LEFT('ATP Fills'!I2065,4))</f>
        <v/>
      </c>
      <c r="L2065" t="str">
        <f>IF(A2065="","",IF('ATP Fills'!G2065="LME",'ATP Fills'!I2065,""))</f>
        <v/>
      </c>
      <c r="M2065" t="str">
        <f t="shared" si="32"/>
        <v/>
      </c>
    </row>
    <row r="2066" spans="1:13">
      <c r="A2066" t="str">
        <f>IF('ATP Fills'!A2066="","",IF('ATP Fills'!Q2066="PHILLIPSG",'ATP Fills'!F2066,""))</f>
        <v/>
      </c>
      <c r="B2066" t="str">
        <f>IF(A2066="","",'ATP Fills'!L2066)</f>
        <v/>
      </c>
      <c r="C2066" t="str">
        <f>IF(A2066="","",'ATP Fills'!M2066)</f>
        <v/>
      </c>
      <c r="D2066" t="str">
        <f>IF(A2066="","",'ATP Fills'!B2066)</f>
        <v/>
      </c>
      <c r="E2066" s="3" t="str">
        <f>IF(A2066="","",IF(DATE(LEFT(D2066,4),MID(D2066,5,2),RIGHT(D2066,2))=Helper1!$P$1,Helper1!$P$1,""))</f>
        <v/>
      </c>
      <c r="F2066" s="3" t="str">
        <f>IF(A2066="","",'ATP Fills'!G2066)</f>
        <v/>
      </c>
      <c r="G2066" t="str">
        <f>IF(A2066="","",'ATP Fills'!H2066)</f>
        <v/>
      </c>
      <c r="H2066" t="str">
        <f>IF(A2066="","",VLOOKUP(G2066,表3_3[],2,0))</f>
        <v/>
      </c>
      <c r="I2066" t="str">
        <f>IF(A2066="","",VLOOKUP(G2066,表3_3[],3,0))</f>
        <v/>
      </c>
      <c r="J2066" t="str">
        <f>IF(A2066="","",IF('ATP Fills'!I2066="3M","",VLOOKUP(RIGHT('ATP Fills'!I2066,2),Helper1!$O$36:$P$48,2,0)))</f>
        <v/>
      </c>
      <c r="K2066" t="str">
        <f>IF(J2066="","",LEFT('ATP Fills'!I2066,4))</f>
        <v/>
      </c>
      <c r="L2066" t="str">
        <f>IF(A2066="","",IF('ATP Fills'!G2066="LME",'ATP Fills'!I2066,""))</f>
        <v/>
      </c>
      <c r="M2066" t="str">
        <f t="shared" si="32"/>
        <v/>
      </c>
    </row>
    <row r="2067" spans="1:13">
      <c r="A2067" t="str">
        <f>IF('ATP Fills'!A2067="","",IF('ATP Fills'!Q2067="PHILLIPSG",'ATP Fills'!F2067,""))</f>
        <v/>
      </c>
      <c r="B2067" t="str">
        <f>IF(A2067="","",'ATP Fills'!L2067)</f>
        <v/>
      </c>
      <c r="C2067" t="str">
        <f>IF(A2067="","",'ATP Fills'!M2067)</f>
        <v/>
      </c>
      <c r="D2067" t="str">
        <f>IF(A2067="","",'ATP Fills'!B2067)</f>
        <v/>
      </c>
      <c r="E2067" s="3" t="str">
        <f>IF(A2067="","",IF(DATE(LEFT(D2067,4),MID(D2067,5,2),RIGHT(D2067,2))=Helper1!$P$1,Helper1!$P$1,""))</f>
        <v/>
      </c>
      <c r="F2067" s="3" t="str">
        <f>IF(A2067="","",'ATP Fills'!G2067)</f>
        <v/>
      </c>
      <c r="G2067" t="str">
        <f>IF(A2067="","",'ATP Fills'!H2067)</f>
        <v/>
      </c>
      <c r="H2067" t="str">
        <f>IF(A2067="","",VLOOKUP(G2067,表3_3[],2,0))</f>
        <v/>
      </c>
      <c r="I2067" t="str">
        <f>IF(A2067="","",VLOOKUP(G2067,表3_3[],3,0))</f>
        <v/>
      </c>
      <c r="J2067" t="str">
        <f>IF(A2067="","",IF('ATP Fills'!I2067="3M","",VLOOKUP(RIGHT('ATP Fills'!I2067,2),Helper1!$O$36:$P$48,2,0)))</f>
        <v/>
      </c>
      <c r="K2067" t="str">
        <f>IF(J2067="","",LEFT('ATP Fills'!I2067,4))</f>
        <v/>
      </c>
      <c r="L2067" t="str">
        <f>IF(A2067="","",IF('ATP Fills'!G2067="LME",'ATP Fills'!I2067,""))</f>
        <v/>
      </c>
      <c r="M2067" t="str">
        <f t="shared" si="32"/>
        <v/>
      </c>
    </row>
    <row r="2068" spans="1:13">
      <c r="A2068" t="str">
        <f>IF('ATP Fills'!A2068="","",IF('ATP Fills'!Q2068="PHILLIPSG",'ATP Fills'!F2068,""))</f>
        <v/>
      </c>
      <c r="B2068" t="str">
        <f>IF(A2068="","",'ATP Fills'!L2068)</f>
        <v/>
      </c>
      <c r="C2068" t="str">
        <f>IF(A2068="","",'ATP Fills'!M2068)</f>
        <v/>
      </c>
      <c r="D2068" t="str">
        <f>IF(A2068="","",'ATP Fills'!B2068)</f>
        <v/>
      </c>
      <c r="E2068" s="3" t="str">
        <f>IF(A2068="","",IF(DATE(LEFT(D2068,4),MID(D2068,5,2),RIGHT(D2068,2))=Helper1!$P$1,Helper1!$P$1,""))</f>
        <v/>
      </c>
      <c r="F2068" s="3" t="str">
        <f>IF(A2068="","",'ATP Fills'!G2068)</f>
        <v/>
      </c>
      <c r="G2068" t="str">
        <f>IF(A2068="","",'ATP Fills'!H2068)</f>
        <v/>
      </c>
      <c r="H2068" t="str">
        <f>IF(A2068="","",VLOOKUP(G2068,表3_3[],2,0))</f>
        <v/>
      </c>
      <c r="I2068" t="str">
        <f>IF(A2068="","",VLOOKUP(G2068,表3_3[],3,0))</f>
        <v/>
      </c>
      <c r="J2068" t="str">
        <f>IF(A2068="","",IF('ATP Fills'!I2068="3M","",VLOOKUP(RIGHT('ATP Fills'!I2068,2),Helper1!$O$36:$P$48,2,0)))</f>
        <v/>
      </c>
      <c r="K2068" t="str">
        <f>IF(J2068="","",LEFT('ATP Fills'!I2068,4))</f>
        <v/>
      </c>
      <c r="L2068" t="str">
        <f>IF(A2068="","",IF('ATP Fills'!G2068="LME",'ATP Fills'!I2068,""))</f>
        <v/>
      </c>
      <c r="M2068" t="str">
        <f t="shared" si="32"/>
        <v/>
      </c>
    </row>
    <row r="2069" spans="1:13">
      <c r="A2069" t="str">
        <f>IF('ATP Fills'!A2069="","",IF('ATP Fills'!Q2069="PHILLIPSG",'ATP Fills'!F2069,""))</f>
        <v/>
      </c>
      <c r="B2069" t="str">
        <f>IF(A2069="","",'ATP Fills'!L2069)</f>
        <v/>
      </c>
      <c r="C2069" t="str">
        <f>IF(A2069="","",'ATP Fills'!M2069)</f>
        <v/>
      </c>
      <c r="D2069" t="str">
        <f>IF(A2069="","",'ATP Fills'!B2069)</f>
        <v/>
      </c>
      <c r="E2069" s="3" t="str">
        <f>IF(A2069="","",IF(DATE(LEFT(D2069,4),MID(D2069,5,2),RIGHT(D2069,2))=Helper1!$P$1,Helper1!$P$1,""))</f>
        <v/>
      </c>
      <c r="F2069" s="3" t="str">
        <f>IF(A2069="","",'ATP Fills'!G2069)</f>
        <v/>
      </c>
      <c r="G2069" t="str">
        <f>IF(A2069="","",'ATP Fills'!H2069)</f>
        <v/>
      </c>
      <c r="H2069" t="str">
        <f>IF(A2069="","",VLOOKUP(G2069,表3_3[],2,0))</f>
        <v/>
      </c>
      <c r="I2069" t="str">
        <f>IF(A2069="","",VLOOKUP(G2069,表3_3[],3,0))</f>
        <v/>
      </c>
      <c r="J2069" t="str">
        <f>IF(A2069="","",IF('ATP Fills'!I2069="3M","",VLOOKUP(RIGHT('ATP Fills'!I2069,2),Helper1!$O$36:$P$48,2,0)))</f>
        <v/>
      </c>
      <c r="K2069" t="str">
        <f>IF(J2069="","",LEFT('ATP Fills'!I2069,4))</f>
        <v/>
      </c>
      <c r="L2069" t="str">
        <f>IF(A2069="","",IF('ATP Fills'!G2069="LME",'ATP Fills'!I2069,""))</f>
        <v/>
      </c>
      <c r="M2069" t="str">
        <f t="shared" si="32"/>
        <v/>
      </c>
    </row>
    <row r="2070" spans="1:13">
      <c r="A2070" t="str">
        <f>IF('ATP Fills'!A2070="","",IF('ATP Fills'!Q2070="PHILLIPSG",'ATP Fills'!F2070,""))</f>
        <v/>
      </c>
      <c r="B2070" t="str">
        <f>IF(A2070="","",'ATP Fills'!L2070)</f>
        <v/>
      </c>
      <c r="C2070" t="str">
        <f>IF(A2070="","",'ATP Fills'!M2070)</f>
        <v/>
      </c>
      <c r="D2070" t="str">
        <f>IF(A2070="","",'ATP Fills'!B2070)</f>
        <v/>
      </c>
      <c r="E2070" s="3" t="str">
        <f>IF(A2070="","",IF(DATE(LEFT(D2070,4),MID(D2070,5,2),RIGHT(D2070,2))=Helper1!$P$1,Helper1!$P$1,""))</f>
        <v/>
      </c>
      <c r="F2070" s="3" t="str">
        <f>IF(A2070="","",'ATP Fills'!G2070)</f>
        <v/>
      </c>
      <c r="G2070" t="str">
        <f>IF(A2070="","",'ATP Fills'!H2070)</f>
        <v/>
      </c>
      <c r="H2070" t="str">
        <f>IF(A2070="","",VLOOKUP(G2070,表3_3[],2,0))</f>
        <v/>
      </c>
      <c r="I2070" t="str">
        <f>IF(A2070="","",VLOOKUP(G2070,表3_3[],3,0))</f>
        <v/>
      </c>
      <c r="J2070" t="str">
        <f>IF(A2070="","",IF('ATP Fills'!I2070="3M","",VLOOKUP(RIGHT('ATP Fills'!I2070,2),Helper1!$O$36:$P$48,2,0)))</f>
        <v/>
      </c>
      <c r="K2070" t="str">
        <f>IF(J2070="","",LEFT('ATP Fills'!I2070,4))</f>
        <v/>
      </c>
      <c r="L2070" t="str">
        <f>IF(A2070="","",IF('ATP Fills'!G2070="LME",'ATP Fills'!I2070,""))</f>
        <v/>
      </c>
      <c r="M2070" t="str">
        <f t="shared" si="32"/>
        <v/>
      </c>
    </row>
    <row r="2071" spans="1:13">
      <c r="A2071" t="str">
        <f>IF('ATP Fills'!A2071="","",IF('ATP Fills'!Q2071="PHILLIPSG",'ATP Fills'!F2071,""))</f>
        <v/>
      </c>
      <c r="B2071" t="str">
        <f>IF(A2071="","",'ATP Fills'!L2071)</f>
        <v/>
      </c>
      <c r="C2071" t="str">
        <f>IF(A2071="","",'ATP Fills'!M2071)</f>
        <v/>
      </c>
      <c r="D2071" t="str">
        <f>IF(A2071="","",'ATP Fills'!B2071)</f>
        <v/>
      </c>
      <c r="E2071" s="3" t="str">
        <f>IF(A2071="","",IF(DATE(LEFT(D2071,4),MID(D2071,5,2),RIGHT(D2071,2))=Helper1!$P$1,Helper1!$P$1,""))</f>
        <v/>
      </c>
      <c r="F2071" s="3" t="str">
        <f>IF(A2071="","",'ATP Fills'!G2071)</f>
        <v/>
      </c>
      <c r="G2071" t="str">
        <f>IF(A2071="","",'ATP Fills'!H2071)</f>
        <v/>
      </c>
      <c r="H2071" t="str">
        <f>IF(A2071="","",VLOOKUP(G2071,表3_3[],2,0))</f>
        <v/>
      </c>
      <c r="I2071" t="str">
        <f>IF(A2071="","",VLOOKUP(G2071,表3_3[],3,0))</f>
        <v/>
      </c>
      <c r="J2071" t="str">
        <f>IF(A2071="","",IF('ATP Fills'!I2071="3M","",VLOOKUP(RIGHT('ATP Fills'!I2071,2),Helper1!$O$36:$P$48,2,0)))</f>
        <v/>
      </c>
      <c r="K2071" t="str">
        <f>IF(J2071="","",LEFT('ATP Fills'!I2071,4))</f>
        <v/>
      </c>
      <c r="L2071" t="str">
        <f>IF(A2071="","",IF('ATP Fills'!G2071="LME",'ATP Fills'!I2071,""))</f>
        <v/>
      </c>
      <c r="M2071" t="str">
        <f t="shared" si="32"/>
        <v/>
      </c>
    </row>
    <row r="2072" spans="1:13">
      <c r="A2072" t="str">
        <f>IF('ATP Fills'!A2072="","",IF('ATP Fills'!Q2072="PHILLIPSG",'ATP Fills'!F2072,""))</f>
        <v/>
      </c>
      <c r="B2072" t="str">
        <f>IF(A2072="","",'ATP Fills'!L2072)</f>
        <v/>
      </c>
      <c r="C2072" t="str">
        <f>IF(A2072="","",'ATP Fills'!M2072)</f>
        <v/>
      </c>
      <c r="D2072" t="str">
        <f>IF(A2072="","",'ATP Fills'!B2072)</f>
        <v/>
      </c>
      <c r="E2072" s="3" t="str">
        <f>IF(A2072="","",IF(DATE(LEFT(D2072,4),MID(D2072,5,2),RIGHT(D2072,2))=Helper1!$P$1,Helper1!$P$1,""))</f>
        <v/>
      </c>
      <c r="F2072" s="3" t="str">
        <f>IF(A2072="","",'ATP Fills'!G2072)</f>
        <v/>
      </c>
      <c r="G2072" t="str">
        <f>IF(A2072="","",'ATP Fills'!H2072)</f>
        <v/>
      </c>
      <c r="H2072" t="str">
        <f>IF(A2072="","",VLOOKUP(G2072,表3_3[],2,0))</f>
        <v/>
      </c>
      <c r="I2072" t="str">
        <f>IF(A2072="","",VLOOKUP(G2072,表3_3[],3,0))</f>
        <v/>
      </c>
      <c r="J2072" t="str">
        <f>IF(A2072="","",IF('ATP Fills'!I2072="3M","",VLOOKUP(RIGHT('ATP Fills'!I2072,2),Helper1!$O$36:$P$48,2,0)))</f>
        <v/>
      </c>
      <c r="K2072" t="str">
        <f>IF(J2072="","",LEFT('ATP Fills'!I2072,4))</f>
        <v/>
      </c>
      <c r="L2072" t="str">
        <f>IF(A2072="","",IF('ATP Fills'!G2072="LME",'ATP Fills'!I2072,""))</f>
        <v/>
      </c>
      <c r="M2072" t="str">
        <f t="shared" si="32"/>
        <v/>
      </c>
    </row>
    <row r="2073" spans="1:13">
      <c r="A2073" t="str">
        <f>IF('ATP Fills'!A2073="","",IF('ATP Fills'!Q2073="PHILLIPSG",'ATP Fills'!F2073,""))</f>
        <v/>
      </c>
      <c r="B2073" t="str">
        <f>IF(A2073="","",'ATP Fills'!L2073)</f>
        <v/>
      </c>
      <c r="C2073" t="str">
        <f>IF(A2073="","",'ATP Fills'!M2073)</f>
        <v/>
      </c>
      <c r="D2073" t="str">
        <f>IF(A2073="","",'ATP Fills'!B2073)</f>
        <v/>
      </c>
      <c r="E2073" s="3" t="str">
        <f>IF(A2073="","",IF(DATE(LEFT(D2073,4),MID(D2073,5,2),RIGHT(D2073,2))=Helper1!$P$1,Helper1!$P$1,""))</f>
        <v/>
      </c>
      <c r="F2073" s="3" t="str">
        <f>IF(A2073="","",'ATP Fills'!G2073)</f>
        <v/>
      </c>
      <c r="G2073" t="str">
        <f>IF(A2073="","",'ATP Fills'!H2073)</f>
        <v/>
      </c>
      <c r="H2073" t="str">
        <f>IF(A2073="","",VLOOKUP(G2073,表3_3[],2,0))</f>
        <v/>
      </c>
      <c r="I2073" t="str">
        <f>IF(A2073="","",VLOOKUP(G2073,表3_3[],3,0))</f>
        <v/>
      </c>
      <c r="J2073" t="str">
        <f>IF(A2073="","",IF('ATP Fills'!I2073="3M","",VLOOKUP(RIGHT('ATP Fills'!I2073,2),Helper1!$O$36:$P$48,2,0)))</f>
        <v/>
      </c>
      <c r="K2073" t="str">
        <f>IF(J2073="","",LEFT('ATP Fills'!I2073,4))</f>
        <v/>
      </c>
      <c r="L2073" t="str">
        <f>IF(A2073="","",IF('ATP Fills'!G2073="LME",'ATP Fills'!I2073,""))</f>
        <v/>
      </c>
      <c r="M2073" t="str">
        <f t="shared" si="32"/>
        <v/>
      </c>
    </row>
    <row r="2074" spans="1:13">
      <c r="A2074" t="str">
        <f>IF('ATP Fills'!A2074="","",IF('ATP Fills'!Q2074="PHILLIPSG",'ATP Fills'!F2074,""))</f>
        <v/>
      </c>
      <c r="B2074" t="str">
        <f>IF(A2074="","",'ATP Fills'!L2074)</f>
        <v/>
      </c>
      <c r="C2074" t="str">
        <f>IF(A2074="","",'ATP Fills'!M2074)</f>
        <v/>
      </c>
      <c r="D2074" t="str">
        <f>IF(A2074="","",'ATP Fills'!B2074)</f>
        <v/>
      </c>
      <c r="E2074" s="3" t="str">
        <f>IF(A2074="","",IF(DATE(LEFT(D2074,4),MID(D2074,5,2),RIGHT(D2074,2))=Helper1!$P$1,Helper1!$P$1,""))</f>
        <v/>
      </c>
      <c r="F2074" s="3" t="str">
        <f>IF(A2074="","",'ATP Fills'!G2074)</f>
        <v/>
      </c>
      <c r="G2074" t="str">
        <f>IF(A2074="","",'ATP Fills'!H2074)</f>
        <v/>
      </c>
      <c r="H2074" t="str">
        <f>IF(A2074="","",VLOOKUP(G2074,表3_3[],2,0))</f>
        <v/>
      </c>
      <c r="I2074" t="str">
        <f>IF(A2074="","",VLOOKUP(G2074,表3_3[],3,0))</f>
        <v/>
      </c>
      <c r="J2074" t="str">
        <f>IF(A2074="","",IF('ATP Fills'!I2074="3M","",VLOOKUP(RIGHT('ATP Fills'!I2074,2),Helper1!$O$36:$P$48,2,0)))</f>
        <v/>
      </c>
      <c r="K2074" t="str">
        <f>IF(J2074="","",LEFT('ATP Fills'!I2074,4))</f>
        <v/>
      </c>
      <c r="L2074" t="str">
        <f>IF(A2074="","",IF('ATP Fills'!G2074="LME",'ATP Fills'!I2074,""))</f>
        <v/>
      </c>
      <c r="M2074" t="str">
        <f t="shared" si="32"/>
        <v/>
      </c>
    </row>
    <row r="2075" spans="1:13">
      <c r="A2075" t="str">
        <f>IF('ATP Fills'!A2075="","",IF('ATP Fills'!Q2075="PHILLIPSG",'ATP Fills'!F2075,""))</f>
        <v/>
      </c>
      <c r="B2075" t="str">
        <f>IF(A2075="","",'ATP Fills'!L2075)</f>
        <v/>
      </c>
      <c r="C2075" t="str">
        <f>IF(A2075="","",'ATP Fills'!M2075)</f>
        <v/>
      </c>
      <c r="D2075" t="str">
        <f>IF(A2075="","",'ATP Fills'!B2075)</f>
        <v/>
      </c>
      <c r="E2075" s="3" t="str">
        <f>IF(A2075="","",IF(DATE(LEFT(D2075,4),MID(D2075,5,2),RIGHT(D2075,2))=Helper1!$P$1,Helper1!$P$1,""))</f>
        <v/>
      </c>
      <c r="F2075" s="3" t="str">
        <f>IF(A2075="","",'ATP Fills'!G2075)</f>
        <v/>
      </c>
      <c r="G2075" t="str">
        <f>IF(A2075="","",'ATP Fills'!H2075)</f>
        <v/>
      </c>
      <c r="H2075" t="str">
        <f>IF(A2075="","",VLOOKUP(G2075,表3_3[],2,0))</f>
        <v/>
      </c>
      <c r="I2075" t="str">
        <f>IF(A2075="","",VLOOKUP(G2075,表3_3[],3,0))</f>
        <v/>
      </c>
      <c r="J2075" t="str">
        <f>IF(A2075="","",IF('ATP Fills'!I2075="3M","",VLOOKUP(RIGHT('ATP Fills'!I2075,2),Helper1!$O$36:$P$48,2,0)))</f>
        <v/>
      </c>
      <c r="K2075" t="str">
        <f>IF(J2075="","",LEFT('ATP Fills'!I2075,4))</f>
        <v/>
      </c>
      <c r="L2075" t="str">
        <f>IF(A2075="","",IF('ATP Fills'!G2075="LME",'ATP Fills'!I2075,""))</f>
        <v/>
      </c>
      <c r="M2075" t="str">
        <f t="shared" si="32"/>
        <v/>
      </c>
    </row>
    <row r="2076" spans="1:13">
      <c r="A2076" t="str">
        <f>IF('ATP Fills'!A2076="","",IF('ATP Fills'!Q2076="PHILLIPSG",'ATP Fills'!F2076,""))</f>
        <v/>
      </c>
      <c r="B2076" t="str">
        <f>IF(A2076="","",'ATP Fills'!L2076)</f>
        <v/>
      </c>
      <c r="C2076" t="str">
        <f>IF(A2076="","",'ATP Fills'!M2076)</f>
        <v/>
      </c>
      <c r="D2076" t="str">
        <f>IF(A2076="","",'ATP Fills'!B2076)</f>
        <v/>
      </c>
      <c r="E2076" s="3" t="str">
        <f>IF(A2076="","",IF(DATE(LEFT(D2076,4),MID(D2076,5,2),RIGHT(D2076,2))=Helper1!$P$1,Helper1!$P$1,""))</f>
        <v/>
      </c>
      <c r="F2076" s="3" t="str">
        <f>IF(A2076="","",'ATP Fills'!G2076)</f>
        <v/>
      </c>
      <c r="G2076" t="str">
        <f>IF(A2076="","",'ATP Fills'!H2076)</f>
        <v/>
      </c>
      <c r="H2076" t="str">
        <f>IF(A2076="","",VLOOKUP(G2076,表3_3[],2,0))</f>
        <v/>
      </c>
      <c r="I2076" t="str">
        <f>IF(A2076="","",VLOOKUP(G2076,表3_3[],3,0))</f>
        <v/>
      </c>
      <c r="J2076" t="str">
        <f>IF(A2076="","",IF('ATP Fills'!I2076="3M","",VLOOKUP(RIGHT('ATP Fills'!I2076,2),Helper1!$O$36:$P$48,2,0)))</f>
        <v/>
      </c>
      <c r="K2076" t="str">
        <f>IF(J2076="","",LEFT('ATP Fills'!I2076,4))</f>
        <v/>
      </c>
      <c r="L2076" t="str">
        <f>IF(A2076="","",IF('ATP Fills'!G2076="LME",'ATP Fills'!I2076,""))</f>
        <v/>
      </c>
      <c r="M2076" t="str">
        <f t="shared" si="32"/>
        <v/>
      </c>
    </row>
    <row r="2077" spans="1:13">
      <c r="A2077" t="str">
        <f>IF('ATP Fills'!A2077="","",IF('ATP Fills'!Q2077="PHILLIPSG",'ATP Fills'!F2077,""))</f>
        <v/>
      </c>
      <c r="B2077" t="str">
        <f>IF(A2077="","",'ATP Fills'!L2077)</f>
        <v/>
      </c>
      <c r="C2077" t="str">
        <f>IF(A2077="","",'ATP Fills'!M2077)</f>
        <v/>
      </c>
      <c r="D2077" t="str">
        <f>IF(A2077="","",'ATP Fills'!B2077)</f>
        <v/>
      </c>
      <c r="E2077" s="3" t="str">
        <f>IF(A2077="","",IF(DATE(LEFT(D2077,4),MID(D2077,5,2),RIGHT(D2077,2))=Helper1!$P$1,Helper1!$P$1,""))</f>
        <v/>
      </c>
      <c r="F2077" s="3" t="str">
        <f>IF(A2077="","",'ATP Fills'!G2077)</f>
        <v/>
      </c>
      <c r="G2077" t="str">
        <f>IF(A2077="","",'ATP Fills'!H2077)</f>
        <v/>
      </c>
      <c r="H2077" t="str">
        <f>IF(A2077="","",VLOOKUP(G2077,表3_3[],2,0))</f>
        <v/>
      </c>
      <c r="I2077" t="str">
        <f>IF(A2077="","",VLOOKUP(G2077,表3_3[],3,0))</f>
        <v/>
      </c>
      <c r="J2077" t="str">
        <f>IF(A2077="","",IF('ATP Fills'!I2077="3M","",VLOOKUP(RIGHT('ATP Fills'!I2077,2),Helper1!$O$36:$P$48,2,0)))</f>
        <v/>
      </c>
      <c r="K2077" t="str">
        <f>IF(J2077="","",LEFT('ATP Fills'!I2077,4))</f>
        <v/>
      </c>
      <c r="L2077" t="str">
        <f>IF(A2077="","",IF('ATP Fills'!G2077="LME",'ATP Fills'!I2077,""))</f>
        <v/>
      </c>
      <c r="M2077" t="str">
        <f t="shared" si="32"/>
        <v/>
      </c>
    </row>
    <row r="2078" spans="1:13">
      <c r="A2078" t="str">
        <f>IF('ATP Fills'!A2078="","",IF('ATP Fills'!Q2078="PHILLIPSG",'ATP Fills'!F2078,""))</f>
        <v/>
      </c>
      <c r="B2078" t="str">
        <f>IF(A2078="","",'ATP Fills'!L2078)</f>
        <v/>
      </c>
      <c r="C2078" t="str">
        <f>IF(A2078="","",'ATP Fills'!M2078)</f>
        <v/>
      </c>
      <c r="D2078" t="str">
        <f>IF(A2078="","",'ATP Fills'!B2078)</f>
        <v/>
      </c>
      <c r="E2078" s="3" t="str">
        <f>IF(A2078="","",IF(DATE(LEFT(D2078,4),MID(D2078,5,2),RIGHT(D2078,2))=Helper1!$P$1,Helper1!$P$1,""))</f>
        <v/>
      </c>
      <c r="F2078" s="3" t="str">
        <f>IF(A2078="","",'ATP Fills'!G2078)</f>
        <v/>
      </c>
      <c r="G2078" t="str">
        <f>IF(A2078="","",'ATP Fills'!H2078)</f>
        <v/>
      </c>
      <c r="H2078" t="str">
        <f>IF(A2078="","",VLOOKUP(G2078,表3_3[],2,0))</f>
        <v/>
      </c>
      <c r="I2078" t="str">
        <f>IF(A2078="","",VLOOKUP(G2078,表3_3[],3,0))</f>
        <v/>
      </c>
      <c r="J2078" t="str">
        <f>IF(A2078="","",IF('ATP Fills'!I2078="3M","",VLOOKUP(RIGHT('ATP Fills'!I2078,2),Helper1!$O$36:$P$48,2,0)))</f>
        <v/>
      </c>
      <c r="K2078" t="str">
        <f>IF(J2078="","",LEFT('ATP Fills'!I2078,4))</f>
        <v/>
      </c>
      <c r="L2078" t="str">
        <f>IF(A2078="","",IF('ATP Fills'!G2078="LME",'ATP Fills'!I2078,""))</f>
        <v/>
      </c>
      <c r="M2078" t="str">
        <f t="shared" si="32"/>
        <v/>
      </c>
    </row>
    <row r="2079" spans="1:13">
      <c r="A2079" t="str">
        <f>IF('ATP Fills'!A2079="","",IF('ATP Fills'!Q2079="PHILLIPSG",'ATP Fills'!F2079,""))</f>
        <v/>
      </c>
      <c r="B2079" t="str">
        <f>IF(A2079="","",'ATP Fills'!L2079)</f>
        <v/>
      </c>
      <c r="C2079" t="str">
        <f>IF(A2079="","",'ATP Fills'!M2079)</f>
        <v/>
      </c>
      <c r="D2079" t="str">
        <f>IF(A2079="","",'ATP Fills'!B2079)</f>
        <v/>
      </c>
      <c r="E2079" s="3" t="str">
        <f>IF(A2079="","",IF(DATE(LEFT(D2079,4),MID(D2079,5,2),RIGHT(D2079,2))=Helper1!$P$1,Helper1!$P$1,""))</f>
        <v/>
      </c>
      <c r="F2079" s="3" t="str">
        <f>IF(A2079="","",'ATP Fills'!G2079)</f>
        <v/>
      </c>
      <c r="G2079" t="str">
        <f>IF(A2079="","",'ATP Fills'!H2079)</f>
        <v/>
      </c>
      <c r="H2079" t="str">
        <f>IF(A2079="","",VLOOKUP(G2079,表3_3[],2,0))</f>
        <v/>
      </c>
      <c r="I2079" t="str">
        <f>IF(A2079="","",VLOOKUP(G2079,表3_3[],3,0))</f>
        <v/>
      </c>
      <c r="J2079" t="str">
        <f>IF(A2079="","",IF('ATP Fills'!I2079="3M","",VLOOKUP(RIGHT('ATP Fills'!I2079,2),Helper1!$O$36:$P$48,2,0)))</f>
        <v/>
      </c>
      <c r="K2079" t="str">
        <f>IF(J2079="","",LEFT('ATP Fills'!I2079,4))</f>
        <v/>
      </c>
      <c r="L2079" t="str">
        <f>IF(A2079="","",IF('ATP Fills'!G2079="LME",'ATP Fills'!I2079,""))</f>
        <v/>
      </c>
      <c r="M2079" t="str">
        <f t="shared" si="32"/>
        <v/>
      </c>
    </row>
    <row r="2080" spans="1:13">
      <c r="A2080" t="str">
        <f>IF('ATP Fills'!A2080="","",IF('ATP Fills'!Q2080="PHILLIPSG",'ATP Fills'!F2080,""))</f>
        <v/>
      </c>
      <c r="B2080" t="str">
        <f>IF(A2080="","",'ATP Fills'!L2080)</f>
        <v/>
      </c>
      <c r="C2080" t="str">
        <f>IF(A2080="","",'ATP Fills'!M2080)</f>
        <v/>
      </c>
      <c r="D2080" t="str">
        <f>IF(A2080="","",'ATP Fills'!B2080)</f>
        <v/>
      </c>
      <c r="E2080" s="3" t="str">
        <f>IF(A2080="","",IF(DATE(LEFT(D2080,4),MID(D2080,5,2),RIGHT(D2080,2))=Helper1!$P$1,Helper1!$P$1,""))</f>
        <v/>
      </c>
      <c r="F2080" s="3" t="str">
        <f>IF(A2080="","",'ATP Fills'!G2080)</f>
        <v/>
      </c>
      <c r="G2080" t="str">
        <f>IF(A2080="","",'ATP Fills'!H2080)</f>
        <v/>
      </c>
      <c r="H2080" t="str">
        <f>IF(A2080="","",VLOOKUP(G2080,表3_3[],2,0))</f>
        <v/>
      </c>
      <c r="I2080" t="str">
        <f>IF(A2080="","",VLOOKUP(G2080,表3_3[],3,0))</f>
        <v/>
      </c>
      <c r="J2080" t="str">
        <f>IF(A2080="","",IF('ATP Fills'!I2080="3M","",VLOOKUP(RIGHT('ATP Fills'!I2080,2),Helper1!$O$36:$P$48,2,0)))</f>
        <v/>
      </c>
      <c r="K2080" t="str">
        <f>IF(J2080="","",LEFT('ATP Fills'!I2080,4))</f>
        <v/>
      </c>
      <c r="L2080" t="str">
        <f>IF(A2080="","",IF('ATP Fills'!G2080="LME",'ATP Fills'!I2080,""))</f>
        <v/>
      </c>
      <c r="M2080" t="str">
        <f t="shared" si="32"/>
        <v/>
      </c>
    </row>
    <row r="2081" spans="1:13">
      <c r="A2081" t="str">
        <f>IF('ATP Fills'!A2081="","",IF('ATP Fills'!Q2081="PHILLIPSG",'ATP Fills'!F2081,""))</f>
        <v/>
      </c>
      <c r="B2081" t="str">
        <f>IF(A2081="","",'ATP Fills'!L2081)</f>
        <v/>
      </c>
      <c r="C2081" t="str">
        <f>IF(A2081="","",'ATP Fills'!M2081)</f>
        <v/>
      </c>
      <c r="D2081" t="str">
        <f>IF(A2081="","",'ATP Fills'!B2081)</f>
        <v/>
      </c>
      <c r="E2081" s="3" t="str">
        <f>IF(A2081="","",IF(DATE(LEFT(D2081,4),MID(D2081,5,2),RIGHT(D2081,2))=Helper1!$P$1,Helper1!$P$1,""))</f>
        <v/>
      </c>
      <c r="F2081" s="3" t="str">
        <f>IF(A2081="","",'ATP Fills'!G2081)</f>
        <v/>
      </c>
      <c r="G2081" t="str">
        <f>IF(A2081="","",'ATP Fills'!H2081)</f>
        <v/>
      </c>
      <c r="H2081" t="str">
        <f>IF(A2081="","",VLOOKUP(G2081,表3_3[],2,0))</f>
        <v/>
      </c>
      <c r="I2081" t="str">
        <f>IF(A2081="","",VLOOKUP(G2081,表3_3[],3,0))</f>
        <v/>
      </c>
      <c r="J2081" t="str">
        <f>IF(A2081="","",IF('ATP Fills'!I2081="3M","",VLOOKUP(RIGHT('ATP Fills'!I2081,2),Helper1!$O$36:$P$48,2,0)))</f>
        <v/>
      </c>
      <c r="K2081" t="str">
        <f>IF(J2081="","",LEFT('ATP Fills'!I2081,4))</f>
        <v/>
      </c>
      <c r="L2081" t="str">
        <f>IF(A2081="","",IF('ATP Fills'!G2081="LME",'ATP Fills'!I2081,""))</f>
        <v/>
      </c>
      <c r="M2081" t="str">
        <f t="shared" si="32"/>
        <v/>
      </c>
    </row>
    <row r="2082" spans="1:13">
      <c r="A2082" t="str">
        <f>IF('ATP Fills'!A2082="","",IF('ATP Fills'!Q2082="PHILLIPSG",'ATP Fills'!F2082,""))</f>
        <v/>
      </c>
      <c r="B2082" t="str">
        <f>IF(A2082="","",'ATP Fills'!L2082)</f>
        <v/>
      </c>
      <c r="C2082" t="str">
        <f>IF(A2082="","",'ATP Fills'!M2082)</f>
        <v/>
      </c>
      <c r="D2082" t="str">
        <f>IF(A2082="","",'ATP Fills'!B2082)</f>
        <v/>
      </c>
      <c r="E2082" s="3" t="str">
        <f>IF(A2082="","",IF(DATE(LEFT(D2082,4),MID(D2082,5,2),RIGHT(D2082,2))=Helper1!$P$1,Helper1!$P$1,""))</f>
        <v/>
      </c>
      <c r="F2082" s="3" t="str">
        <f>IF(A2082="","",'ATP Fills'!G2082)</f>
        <v/>
      </c>
      <c r="G2082" t="str">
        <f>IF(A2082="","",'ATP Fills'!H2082)</f>
        <v/>
      </c>
      <c r="H2082" t="str">
        <f>IF(A2082="","",VLOOKUP(G2082,表3_3[],2,0))</f>
        <v/>
      </c>
      <c r="I2082" t="str">
        <f>IF(A2082="","",VLOOKUP(G2082,表3_3[],3,0))</f>
        <v/>
      </c>
      <c r="J2082" t="str">
        <f>IF(A2082="","",IF('ATP Fills'!I2082="3M","",VLOOKUP(RIGHT('ATP Fills'!I2082,2),Helper1!$O$36:$P$48,2,0)))</f>
        <v/>
      </c>
      <c r="K2082" t="str">
        <f>IF(J2082="","",LEFT('ATP Fills'!I2082,4))</f>
        <v/>
      </c>
      <c r="L2082" t="str">
        <f>IF(A2082="","",IF('ATP Fills'!G2082="LME",'ATP Fills'!I2082,""))</f>
        <v/>
      </c>
      <c r="M2082" t="str">
        <f t="shared" si="32"/>
        <v/>
      </c>
    </row>
    <row r="2083" spans="1:13">
      <c r="A2083" t="str">
        <f>IF('ATP Fills'!A2083="","",IF('ATP Fills'!Q2083="PHILLIPSG",'ATP Fills'!F2083,""))</f>
        <v/>
      </c>
      <c r="B2083" t="str">
        <f>IF(A2083="","",'ATP Fills'!L2083)</f>
        <v/>
      </c>
      <c r="C2083" t="str">
        <f>IF(A2083="","",'ATP Fills'!M2083)</f>
        <v/>
      </c>
      <c r="D2083" t="str">
        <f>IF(A2083="","",'ATP Fills'!B2083)</f>
        <v/>
      </c>
      <c r="E2083" s="3" t="str">
        <f>IF(A2083="","",IF(DATE(LEFT(D2083,4),MID(D2083,5,2),RIGHT(D2083,2))=Helper1!$P$1,Helper1!$P$1,""))</f>
        <v/>
      </c>
      <c r="F2083" s="3" t="str">
        <f>IF(A2083="","",'ATP Fills'!G2083)</f>
        <v/>
      </c>
      <c r="G2083" t="str">
        <f>IF(A2083="","",'ATP Fills'!H2083)</f>
        <v/>
      </c>
      <c r="H2083" t="str">
        <f>IF(A2083="","",VLOOKUP(G2083,表3_3[],2,0))</f>
        <v/>
      </c>
      <c r="I2083" t="str">
        <f>IF(A2083="","",VLOOKUP(G2083,表3_3[],3,0))</f>
        <v/>
      </c>
      <c r="J2083" t="str">
        <f>IF(A2083="","",IF('ATP Fills'!I2083="3M","",VLOOKUP(RIGHT('ATP Fills'!I2083,2),Helper1!$O$36:$P$48,2,0)))</f>
        <v/>
      </c>
      <c r="K2083" t="str">
        <f>IF(J2083="","",LEFT('ATP Fills'!I2083,4))</f>
        <v/>
      </c>
      <c r="L2083" t="str">
        <f>IF(A2083="","",IF('ATP Fills'!G2083="LME",'ATP Fills'!I2083,""))</f>
        <v/>
      </c>
      <c r="M2083" t="str">
        <f t="shared" si="32"/>
        <v/>
      </c>
    </row>
    <row r="2084" spans="1:13">
      <c r="A2084" t="str">
        <f>IF('ATP Fills'!A2084="","",IF('ATP Fills'!Q2084="PHILLIPSG",'ATP Fills'!F2084,""))</f>
        <v/>
      </c>
      <c r="B2084" t="str">
        <f>IF(A2084="","",'ATP Fills'!L2084)</f>
        <v/>
      </c>
      <c r="C2084" t="str">
        <f>IF(A2084="","",'ATP Fills'!M2084)</f>
        <v/>
      </c>
      <c r="D2084" t="str">
        <f>IF(A2084="","",'ATP Fills'!B2084)</f>
        <v/>
      </c>
      <c r="E2084" s="3" t="str">
        <f>IF(A2084="","",IF(DATE(LEFT(D2084,4),MID(D2084,5,2),RIGHT(D2084,2))=Helper1!$P$1,Helper1!$P$1,""))</f>
        <v/>
      </c>
      <c r="F2084" s="3" t="str">
        <f>IF(A2084="","",'ATP Fills'!G2084)</f>
        <v/>
      </c>
      <c r="G2084" t="str">
        <f>IF(A2084="","",'ATP Fills'!H2084)</f>
        <v/>
      </c>
      <c r="H2084" t="str">
        <f>IF(A2084="","",VLOOKUP(G2084,表3_3[],2,0))</f>
        <v/>
      </c>
      <c r="I2084" t="str">
        <f>IF(A2084="","",VLOOKUP(G2084,表3_3[],3,0))</f>
        <v/>
      </c>
      <c r="J2084" t="str">
        <f>IF(A2084="","",IF('ATP Fills'!I2084="3M","",VLOOKUP(RIGHT('ATP Fills'!I2084,2),Helper1!$O$36:$P$48,2,0)))</f>
        <v/>
      </c>
      <c r="K2084" t="str">
        <f>IF(J2084="","",LEFT('ATP Fills'!I2084,4))</f>
        <v/>
      </c>
      <c r="L2084" t="str">
        <f>IF(A2084="","",IF('ATP Fills'!G2084="LME",'ATP Fills'!I2084,""))</f>
        <v/>
      </c>
      <c r="M2084" t="str">
        <f t="shared" si="32"/>
        <v/>
      </c>
    </row>
    <row r="2085" spans="1:13">
      <c r="A2085" t="str">
        <f>IF('ATP Fills'!A2085="","",IF('ATP Fills'!Q2085="PHILLIPSG",'ATP Fills'!F2085,""))</f>
        <v/>
      </c>
      <c r="B2085" t="str">
        <f>IF(A2085="","",'ATP Fills'!L2085)</f>
        <v/>
      </c>
      <c r="C2085" t="str">
        <f>IF(A2085="","",'ATP Fills'!M2085)</f>
        <v/>
      </c>
      <c r="D2085" t="str">
        <f>IF(A2085="","",'ATP Fills'!B2085)</f>
        <v/>
      </c>
      <c r="E2085" s="3" t="str">
        <f>IF(A2085="","",IF(DATE(LEFT(D2085,4),MID(D2085,5,2),RIGHT(D2085,2))=Helper1!$P$1,Helper1!$P$1,""))</f>
        <v/>
      </c>
      <c r="F2085" s="3" t="str">
        <f>IF(A2085="","",'ATP Fills'!G2085)</f>
        <v/>
      </c>
      <c r="G2085" t="str">
        <f>IF(A2085="","",'ATP Fills'!H2085)</f>
        <v/>
      </c>
      <c r="H2085" t="str">
        <f>IF(A2085="","",VLOOKUP(G2085,表3_3[],2,0))</f>
        <v/>
      </c>
      <c r="I2085" t="str">
        <f>IF(A2085="","",VLOOKUP(G2085,表3_3[],3,0))</f>
        <v/>
      </c>
      <c r="J2085" t="str">
        <f>IF(A2085="","",IF('ATP Fills'!I2085="3M","",VLOOKUP(RIGHT('ATP Fills'!I2085,2),Helper1!$O$36:$P$48,2,0)))</f>
        <v/>
      </c>
      <c r="K2085" t="str">
        <f>IF(J2085="","",LEFT('ATP Fills'!I2085,4))</f>
        <v/>
      </c>
      <c r="L2085" t="str">
        <f>IF(A2085="","",IF('ATP Fills'!G2085="LME",'ATP Fills'!I2085,""))</f>
        <v/>
      </c>
      <c r="M2085" t="str">
        <f t="shared" si="32"/>
        <v/>
      </c>
    </row>
    <row r="2086" spans="1:13">
      <c r="A2086" t="str">
        <f>IF('ATP Fills'!A2086="","",IF('ATP Fills'!Q2086="PHILLIPSG",'ATP Fills'!F2086,""))</f>
        <v/>
      </c>
      <c r="B2086" t="str">
        <f>IF(A2086="","",'ATP Fills'!L2086)</f>
        <v/>
      </c>
      <c r="C2086" t="str">
        <f>IF(A2086="","",'ATP Fills'!M2086)</f>
        <v/>
      </c>
      <c r="D2086" t="str">
        <f>IF(A2086="","",'ATP Fills'!B2086)</f>
        <v/>
      </c>
      <c r="E2086" s="3" t="str">
        <f>IF(A2086="","",IF(DATE(LEFT(D2086,4),MID(D2086,5,2),RIGHT(D2086,2))=Helper1!$P$1,Helper1!$P$1,""))</f>
        <v/>
      </c>
      <c r="F2086" s="3" t="str">
        <f>IF(A2086="","",'ATP Fills'!G2086)</f>
        <v/>
      </c>
      <c r="G2086" t="str">
        <f>IF(A2086="","",'ATP Fills'!H2086)</f>
        <v/>
      </c>
      <c r="H2086" t="str">
        <f>IF(A2086="","",VLOOKUP(G2086,表3_3[],2,0))</f>
        <v/>
      </c>
      <c r="I2086" t="str">
        <f>IF(A2086="","",VLOOKUP(G2086,表3_3[],3,0))</f>
        <v/>
      </c>
      <c r="J2086" t="str">
        <f>IF(A2086="","",IF('ATP Fills'!I2086="3M","",VLOOKUP(RIGHT('ATP Fills'!I2086,2),Helper1!$O$36:$P$48,2,0)))</f>
        <v/>
      </c>
      <c r="K2086" t="str">
        <f>IF(J2086="","",LEFT('ATP Fills'!I2086,4))</f>
        <v/>
      </c>
      <c r="L2086" t="str">
        <f>IF(A2086="","",IF('ATP Fills'!G2086="LME",'ATP Fills'!I2086,""))</f>
        <v/>
      </c>
      <c r="M2086" t="str">
        <f t="shared" si="32"/>
        <v/>
      </c>
    </row>
    <row r="2087" spans="1:13">
      <c r="A2087" t="str">
        <f>IF('ATP Fills'!A2087="","",IF('ATP Fills'!Q2087="PHILLIPSG",'ATP Fills'!F2087,""))</f>
        <v/>
      </c>
      <c r="B2087" t="str">
        <f>IF(A2087="","",'ATP Fills'!L2087)</f>
        <v/>
      </c>
      <c r="C2087" t="str">
        <f>IF(A2087="","",'ATP Fills'!M2087)</f>
        <v/>
      </c>
      <c r="D2087" t="str">
        <f>IF(A2087="","",'ATP Fills'!B2087)</f>
        <v/>
      </c>
      <c r="E2087" s="3" t="str">
        <f>IF(A2087="","",IF(DATE(LEFT(D2087,4),MID(D2087,5,2),RIGHT(D2087,2))=Helper1!$P$1,Helper1!$P$1,""))</f>
        <v/>
      </c>
      <c r="F2087" s="3" t="str">
        <f>IF(A2087="","",'ATP Fills'!G2087)</f>
        <v/>
      </c>
      <c r="G2087" t="str">
        <f>IF(A2087="","",'ATP Fills'!H2087)</f>
        <v/>
      </c>
      <c r="H2087" t="str">
        <f>IF(A2087="","",VLOOKUP(G2087,表3_3[],2,0))</f>
        <v/>
      </c>
      <c r="I2087" t="str">
        <f>IF(A2087="","",VLOOKUP(G2087,表3_3[],3,0))</f>
        <v/>
      </c>
      <c r="J2087" t="str">
        <f>IF(A2087="","",IF('ATP Fills'!I2087="3M","",VLOOKUP(RIGHT('ATP Fills'!I2087,2),Helper1!$O$36:$P$48,2,0)))</f>
        <v/>
      </c>
      <c r="K2087" t="str">
        <f>IF(J2087="","",LEFT('ATP Fills'!I2087,4))</f>
        <v/>
      </c>
      <c r="L2087" t="str">
        <f>IF(A2087="","",IF('ATP Fills'!G2087="LME",'ATP Fills'!I2087,""))</f>
        <v/>
      </c>
      <c r="M2087" t="str">
        <f t="shared" si="32"/>
        <v/>
      </c>
    </row>
    <row r="2088" spans="1:13">
      <c r="A2088" t="str">
        <f>IF('ATP Fills'!A2088="","",IF('ATP Fills'!Q2088="PHILLIPSG",'ATP Fills'!F2088,""))</f>
        <v/>
      </c>
      <c r="B2088" t="str">
        <f>IF(A2088="","",'ATP Fills'!L2088)</f>
        <v/>
      </c>
      <c r="C2088" t="str">
        <f>IF(A2088="","",'ATP Fills'!M2088)</f>
        <v/>
      </c>
      <c r="D2088" t="str">
        <f>IF(A2088="","",'ATP Fills'!B2088)</f>
        <v/>
      </c>
      <c r="E2088" s="3" t="str">
        <f>IF(A2088="","",IF(DATE(LEFT(D2088,4),MID(D2088,5,2),RIGHT(D2088,2))=Helper1!$P$1,Helper1!$P$1,""))</f>
        <v/>
      </c>
      <c r="F2088" s="3" t="str">
        <f>IF(A2088="","",'ATP Fills'!G2088)</f>
        <v/>
      </c>
      <c r="G2088" t="str">
        <f>IF(A2088="","",'ATP Fills'!H2088)</f>
        <v/>
      </c>
      <c r="H2088" t="str">
        <f>IF(A2088="","",VLOOKUP(G2088,表3_3[],2,0))</f>
        <v/>
      </c>
      <c r="I2088" t="str">
        <f>IF(A2088="","",VLOOKUP(G2088,表3_3[],3,0))</f>
        <v/>
      </c>
      <c r="J2088" t="str">
        <f>IF(A2088="","",IF('ATP Fills'!I2088="3M","",VLOOKUP(RIGHT('ATP Fills'!I2088,2),Helper1!$O$36:$P$48,2,0)))</f>
        <v/>
      </c>
      <c r="K2088" t="str">
        <f>IF(J2088="","",LEFT('ATP Fills'!I2088,4))</f>
        <v/>
      </c>
      <c r="L2088" t="str">
        <f>IF(A2088="","",IF('ATP Fills'!G2088="LME",'ATP Fills'!I2088,""))</f>
        <v/>
      </c>
      <c r="M2088" t="str">
        <f t="shared" si="32"/>
        <v/>
      </c>
    </row>
    <row r="2089" spans="1:13">
      <c r="A2089" t="str">
        <f>IF('ATP Fills'!A2089="","",IF('ATP Fills'!Q2089="PHILLIPSG",'ATP Fills'!F2089,""))</f>
        <v/>
      </c>
      <c r="B2089" t="str">
        <f>IF(A2089="","",'ATP Fills'!L2089)</f>
        <v/>
      </c>
      <c r="C2089" t="str">
        <f>IF(A2089="","",'ATP Fills'!M2089)</f>
        <v/>
      </c>
      <c r="D2089" t="str">
        <f>IF(A2089="","",'ATP Fills'!B2089)</f>
        <v/>
      </c>
      <c r="E2089" s="3" t="str">
        <f>IF(A2089="","",IF(DATE(LEFT(D2089,4),MID(D2089,5,2),RIGHT(D2089,2))=Helper1!$P$1,Helper1!$P$1,""))</f>
        <v/>
      </c>
      <c r="F2089" s="3" t="str">
        <f>IF(A2089="","",'ATP Fills'!G2089)</f>
        <v/>
      </c>
      <c r="G2089" t="str">
        <f>IF(A2089="","",'ATP Fills'!H2089)</f>
        <v/>
      </c>
      <c r="H2089" t="str">
        <f>IF(A2089="","",VLOOKUP(G2089,表3_3[],2,0))</f>
        <v/>
      </c>
      <c r="I2089" t="str">
        <f>IF(A2089="","",VLOOKUP(G2089,表3_3[],3,0))</f>
        <v/>
      </c>
      <c r="J2089" t="str">
        <f>IF(A2089="","",IF('ATP Fills'!I2089="3M","",VLOOKUP(RIGHT('ATP Fills'!I2089,2),Helper1!$O$36:$P$48,2,0)))</f>
        <v/>
      </c>
      <c r="K2089" t="str">
        <f>IF(J2089="","",LEFT('ATP Fills'!I2089,4))</f>
        <v/>
      </c>
      <c r="L2089" t="str">
        <f>IF(A2089="","",IF('ATP Fills'!G2089="LME",'ATP Fills'!I2089,""))</f>
        <v/>
      </c>
      <c r="M2089" t="str">
        <f t="shared" si="32"/>
        <v/>
      </c>
    </row>
    <row r="2090" spans="1:13">
      <c r="A2090" t="str">
        <f>IF('ATP Fills'!A2090="","",IF('ATP Fills'!Q2090="PHILLIPSG",'ATP Fills'!F2090,""))</f>
        <v/>
      </c>
      <c r="B2090" t="str">
        <f>IF(A2090="","",'ATP Fills'!L2090)</f>
        <v/>
      </c>
      <c r="C2090" t="str">
        <f>IF(A2090="","",'ATP Fills'!M2090)</f>
        <v/>
      </c>
      <c r="D2090" t="str">
        <f>IF(A2090="","",'ATP Fills'!B2090)</f>
        <v/>
      </c>
      <c r="E2090" s="3" t="str">
        <f>IF(A2090="","",IF(DATE(LEFT(D2090,4),MID(D2090,5,2),RIGHT(D2090,2))=Helper1!$P$1,Helper1!$P$1,""))</f>
        <v/>
      </c>
      <c r="F2090" s="3" t="str">
        <f>IF(A2090="","",'ATP Fills'!G2090)</f>
        <v/>
      </c>
      <c r="G2090" t="str">
        <f>IF(A2090="","",'ATP Fills'!H2090)</f>
        <v/>
      </c>
      <c r="H2090" t="str">
        <f>IF(A2090="","",VLOOKUP(G2090,表3_3[],2,0))</f>
        <v/>
      </c>
      <c r="I2090" t="str">
        <f>IF(A2090="","",VLOOKUP(G2090,表3_3[],3,0))</f>
        <v/>
      </c>
      <c r="J2090" t="str">
        <f>IF(A2090="","",IF('ATP Fills'!I2090="3M","",VLOOKUP(RIGHT('ATP Fills'!I2090,2),Helper1!$O$36:$P$48,2,0)))</f>
        <v/>
      </c>
      <c r="K2090" t="str">
        <f>IF(J2090="","",LEFT('ATP Fills'!I2090,4))</f>
        <v/>
      </c>
      <c r="L2090" t="str">
        <f>IF(A2090="","",IF('ATP Fills'!G2090="LME",'ATP Fills'!I2090,""))</f>
        <v/>
      </c>
      <c r="M2090" t="str">
        <f t="shared" si="32"/>
        <v/>
      </c>
    </row>
    <row r="2091" spans="1:13">
      <c r="A2091" t="str">
        <f>IF('ATP Fills'!A2091="","",IF('ATP Fills'!Q2091="PHILLIPSG",'ATP Fills'!F2091,""))</f>
        <v/>
      </c>
      <c r="B2091" t="str">
        <f>IF(A2091="","",'ATP Fills'!L2091)</f>
        <v/>
      </c>
      <c r="C2091" t="str">
        <f>IF(A2091="","",'ATP Fills'!M2091)</f>
        <v/>
      </c>
      <c r="D2091" t="str">
        <f>IF(A2091="","",'ATP Fills'!B2091)</f>
        <v/>
      </c>
      <c r="E2091" s="3" t="str">
        <f>IF(A2091="","",IF(DATE(LEFT(D2091,4),MID(D2091,5,2),RIGHT(D2091,2))=Helper1!$P$1,Helper1!$P$1,""))</f>
        <v/>
      </c>
      <c r="F2091" s="3" t="str">
        <f>IF(A2091="","",'ATP Fills'!G2091)</f>
        <v/>
      </c>
      <c r="G2091" t="str">
        <f>IF(A2091="","",'ATP Fills'!H2091)</f>
        <v/>
      </c>
      <c r="H2091" t="str">
        <f>IF(A2091="","",VLOOKUP(G2091,表3_3[],2,0))</f>
        <v/>
      </c>
      <c r="I2091" t="str">
        <f>IF(A2091="","",VLOOKUP(G2091,表3_3[],3,0))</f>
        <v/>
      </c>
      <c r="J2091" t="str">
        <f>IF(A2091="","",IF('ATP Fills'!I2091="3M","",VLOOKUP(RIGHT('ATP Fills'!I2091,2),Helper1!$O$36:$P$48,2,0)))</f>
        <v/>
      </c>
      <c r="K2091" t="str">
        <f>IF(J2091="","",LEFT('ATP Fills'!I2091,4))</f>
        <v/>
      </c>
      <c r="L2091" t="str">
        <f>IF(A2091="","",IF('ATP Fills'!G2091="LME",'ATP Fills'!I2091,""))</f>
        <v/>
      </c>
      <c r="M2091" t="str">
        <f t="shared" si="32"/>
        <v/>
      </c>
    </row>
    <row r="2092" spans="1:13">
      <c r="A2092" t="str">
        <f>IF('ATP Fills'!A2092="","",IF('ATP Fills'!Q2092="PHILLIPSG",'ATP Fills'!F2092,""))</f>
        <v/>
      </c>
      <c r="B2092" t="str">
        <f>IF(A2092="","",'ATP Fills'!L2092)</f>
        <v/>
      </c>
      <c r="C2092" t="str">
        <f>IF(A2092="","",'ATP Fills'!M2092)</f>
        <v/>
      </c>
      <c r="D2092" t="str">
        <f>IF(A2092="","",'ATP Fills'!B2092)</f>
        <v/>
      </c>
      <c r="E2092" s="3" t="str">
        <f>IF(A2092="","",IF(DATE(LEFT(D2092,4),MID(D2092,5,2),RIGHT(D2092,2))=Helper1!$P$1,Helper1!$P$1,""))</f>
        <v/>
      </c>
      <c r="F2092" s="3" t="str">
        <f>IF(A2092="","",'ATP Fills'!G2092)</f>
        <v/>
      </c>
      <c r="G2092" t="str">
        <f>IF(A2092="","",'ATP Fills'!H2092)</f>
        <v/>
      </c>
      <c r="H2092" t="str">
        <f>IF(A2092="","",VLOOKUP(G2092,表3_3[],2,0))</f>
        <v/>
      </c>
      <c r="I2092" t="str">
        <f>IF(A2092="","",VLOOKUP(G2092,表3_3[],3,0))</f>
        <v/>
      </c>
      <c r="J2092" t="str">
        <f>IF(A2092="","",IF('ATP Fills'!I2092="3M","",VLOOKUP(RIGHT('ATP Fills'!I2092,2),Helper1!$O$36:$P$48,2,0)))</f>
        <v/>
      </c>
      <c r="K2092" t="str">
        <f>IF(J2092="","",LEFT('ATP Fills'!I2092,4))</f>
        <v/>
      </c>
      <c r="L2092" t="str">
        <f>IF(A2092="","",IF('ATP Fills'!G2092="LME",'ATP Fills'!I2092,""))</f>
        <v/>
      </c>
      <c r="M2092" t="str">
        <f t="shared" si="32"/>
        <v/>
      </c>
    </row>
    <row r="2093" spans="1:13">
      <c r="A2093" t="str">
        <f>IF('ATP Fills'!A2093="","",IF('ATP Fills'!Q2093="PHILLIPSG",'ATP Fills'!F2093,""))</f>
        <v/>
      </c>
      <c r="B2093" t="str">
        <f>IF(A2093="","",'ATP Fills'!L2093)</f>
        <v/>
      </c>
      <c r="C2093" t="str">
        <f>IF(A2093="","",'ATP Fills'!M2093)</f>
        <v/>
      </c>
      <c r="D2093" t="str">
        <f>IF(A2093="","",'ATP Fills'!B2093)</f>
        <v/>
      </c>
      <c r="E2093" s="3" t="str">
        <f>IF(A2093="","",IF(DATE(LEFT(D2093,4),MID(D2093,5,2),RIGHT(D2093,2))=Helper1!$P$1,Helper1!$P$1,""))</f>
        <v/>
      </c>
      <c r="F2093" s="3" t="str">
        <f>IF(A2093="","",'ATP Fills'!G2093)</f>
        <v/>
      </c>
      <c r="G2093" t="str">
        <f>IF(A2093="","",'ATP Fills'!H2093)</f>
        <v/>
      </c>
      <c r="H2093" t="str">
        <f>IF(A2093="","",VLOOKUP(G2093,表3_3[],2,0))</f>
        <v/>
      </c>
      <c r="I2093" t="str">
        <f>IF(A2093="","",VLOOKUP(G2093,表3_3[],3,0))</f>
        <v/>
      </c>
      <c r="J2093" t="str">
        <f>IF(A2093="","",IF('ATP Fills'!I2093="3M","",VLOOKUP(RIGHT('ATP Fills'!I2093,2),Helper1!$O$36:$P$48,2,0)))</f>
        <v/>
      </c>
      <c r="K2093" t="str">
        <f>IF(J2093="","",LEFT('ATP Fills'!I2093,4))</f>
        <v/>
      </c>
      <c r="L2093" t="str">
        <f>IF(A2093="","",IF('ATP Fills'!G2093="LME",'ATP Fills'!I2093,""))</f>
        <v/>
      </c>
      <c r="M2093" t="str">
        <f t="shared" si="32"/>
        <v/>
      </c>
    </row>
    <row r="2094" spans="1:13">
      <c r="A2094" t="str">
        <f>IF('ATP Fills'!A2094="","",IF('ATP Fills'!Q2094="PHILLIPSG",'ATP Fills'!F2094,""))</f>
        <v/>
      </c>
      <c r="B2094" t="str">
        <f>IF(A2094="","",'ATP Fills'!L2094)</f>
        <v/>
      </c>
      <c r="C2094" t="str">
        <f>IF(A2094="","",'ATP Fills'!M2094)</f>
        <v/>
      </c>
      <c r="D2094" t="str">
        <f>IF(A2094="","",'ATP Fills'!B2094)</f>
        <v/>
      </c>
      <c r="E2094" s="3" t="str">
        <f>IF(A2094="","",IF(DATE(LEFT(D2094,4),MID(D2094,5,2),RIGHT(D2094,2))=Helper1!$P$1,Helper1!$P$1,""))</f>
        <v/>
      </c>
      <c r="F2094" s="3" t="str">
        <f>IF(A2094="","",'ATP Fills'!G2094)</f>
        <v/>
      </c>
      <c r="G2094" t="str">
        <f>IF(A2094="","",'ATP Fills'!H2094)</f>
        <v/>
      </c>
      <c r="H2094" t="str">
        <f>IF(A2094="","",VLOOKUP(G2094,表3_3[],2,0))</f>
        <v/>
      </c>
      <c r="I2094" t="str">
        <f>IF(A2094="","",VLOOKUP(G2094,表3_3[],3,0))</f>
        <v/>
      </c>
      <c r="J2094" t="str">
        <f>IF(A2094="","",IF('ATP Fills'!I2094="3M","",VLOOKUP(RIGHT('ATP Fills'!I2094,2),Helper1!$O$36:$P$48,2,0)))</f>
        <v/>
      </c>
      <c r="K2094" t="str">
        <f>IF(J2094="","",LEFT('ATP Fills'!I2094,4))</f>
        <v/>
      </c>
      <c r="L2094" t="str">
        <f>IF(A2094="","",IF('ATP Fills'!G2094="LME",'ATP Fills'!I2094,""))</f>
        <v/>
      </c>
      <c r="M2094" t="str">
        <f t="shared" si="32"/>
        <v/>
      </c>
    </row>
    <row r="2095" spans="1:13">
      <c r="A2095" t="str">
        <f>IF('ATP Fills'!A2095="","",IF('ATP Fills'!Q2095="PHILLIPSG",'ATP Fills'!F2095,""))</f>
        <v/>
      </c>
      <c r="B2095" t="str">
        <f>IF(A2095="","",'ATP Fills'!L2095)</f>
        <v/>
      </c>
      <c r="C2095" t="str">
        <f>IF(A2095="","",'ATP Fills'!M2095)</f>
        <v/>
      </c>
      <c r="D2095" t="str">
        <f>IF(A2095="","",'ATP Fills'!B2095)</f>
        <v/>
      </c>
      <c r="E2095" s="3" t="str">
        <f>IF(A2095="","",IF(DATE(LEFT(D2095,4),MID(D2095,5,2),RIGHT(D2095,2))=Helper1!$P$1,Helper1!$P$1,""))</f>
        <v/>
      </c>
      <c r="F2095" s="3" t="str">
        <f>IF(A2095="","",'ATP Fills'!G2095)</f>
        <v/>
      </c>
      <c r="G2095" t="str">
        <f>IF(A2095="","",'ATP Fills'!H2095)</f>
        <v/>
      </c>
      <c r="H2095" t="str">
        <f>IF(A2095="","",VLOOKUP(G2095,表3_3[],2,0))</f>
        <v/>
      </c>
      <c r="I2095" t="str">
        <f>IF(A2095="","",VLOOKUP(G2095,表3_3[],3,0))</f>
        <v/>
      </c>
      <c r="J2095" t="str">
        <f>IF(A2095="","",IF('ATP Fills'!I2095="3M","",VLOOKUP(RIGHT('ATP Fills'!I2095,2),Helper1!$O$36:$P$48,2,0)))</f>
        <v/>
      </c>
      <c r="K2095" t="str">
        <f>IF(J2095="","",LEFT('ATP Fills'!I2095,4))</f>
        <v/>
      </c>
      <c r="L2095" t="str">
        <f>IF(A2095="","",IF('ATP Fills'!G2095="LME",'ATP Fills'!I2095,""))</f>
        <v/>
      </c>
      <c r="M2095" t="str">
        <f t="shared" si="32"/>
        <v/>
      </c>
    </row>
    <row r="2096" spans="1:13">
      <c r="A2096" t="str">
        <f>IF('ATP Fills'!A2096="","",IF('ATP Fills'!Q2096="PHILLIPSG",'ATP Fills'!F2096,""))</f>
        <v/>
      </c>
      <c r="B2096" t="str">
        <f>IF(A2096="","",'ATP Fills'!L2096)</f>
        <v/>
      </c>
      <c r="C2096" t="str">
        <f>IF(A2096="","",'ATP Fills'!M2096)</f>
        <v/>
      </c>
      <c r="D2096" t="str">
        <f>IF(A2096="","",'ATP Fills'!B2096)</f>
        <v/>
      </c>
      <c r="E2096" s="3" t="str">
        <f>IF(A2096="","",IF(DATE(LEFT(D2096,4),MID(D2096,5,2),RIGHT(D2096,2))=Helper1!$P$1,Helper1!$P$1,""))</f>
        <v/>
      </c>
      <c r="F2096" s="3" t="str">
        <f>IF(A2096="","",'ATP Fills'!G2096)</f>
        <v/>
      </c>
      <c r="G2096" t="str">
        <f>IF(A2096="","",'ATP Fills'!H2096)</f>
        <v/>
      </c>
      <c r="H2096" t="str">
        <f>IF(A2096="","",VLOOKUP(G2096,表3_3[],2,0))</f>
        <v/>
      </c>
      <c r="I2096" t="str">
        <f>IF(A2096="","",VLOOKUP(G2096,表3_3[],3,0))</f>
        <v/>
      </c>
      <c r="J2096" t="str">
        <f>IF(A2096="","",IF('ATP Fills'!I2096="3M","",VLOOKUP(RIGHT('ATP Fills'!I2096,2),Helper1!$O$36:$P$48,2,0)))</f>
        <v/>
      </c>
      <c r="K2096" t="str">
        <f>IF(J2096="","",LEFT('ATP Fills'!I2096,4))</f>
        <v/>
      </c>
      <c r="L2096" t="str">
        <f>IF(A2096="","",IF('ATP Fills'!G2096="LME",'ATP Fills'!I2096,""))</f>
        <v/>
      </c>
      <c r="M2096" t="str">
        <f t="shared" si="32"/>
        <v/>
      </c>
    </row>
    <row r="2097" spans="1:13">
      <c r="A2097" t="str">
        <f>IF('ATP Fills'!A2097="","",IF('ATP Fills'!Q2097="PHILLIPSG",'ATP Fills'!F2097,""))</f>
        <v/>
      </c>
      <c r="B2097" t="str">
        <f>IF(A2097="","",'ATP Fills'!L2097)</f>
        <v/>
      </c>
      <c r="C2097" t="str">
        <f>IF(A2097="","",'ATP Fills'!M2097)</f>
        <v/>
      </c>
      <c r="D2097" t="str">
        <f>IF(A2097="","",'ATP Fills'!B2097)</f>
        <v/>
      </c>
      <c r="E2097" s="3" t="str">
        <f>IF(A2097="","",IF(DATE(LEFT(D2097,4),MID(D2097,5,2),RIGHT(D2097,2))=Helper1!$P$1,Helper1!$P$1,""))</f>
        <v/>
      </c>
      <c r="F2097" s="3" t="str">
        <f>IF(A2097="","",'ATP Fills'!G2097)</f>
        <v/>
      </c>
      <c r="G2097" t="str">
        <f>IF(A2097="","",'ATP Fills'!H2097)</f>
        <v/>
      </c>
      <c r="H2097" t="str">
        <f>IF(A2097="","",VLOOKUP(G2097,表3_3[],2,0))</f>
        <v/>
      </c>
      <c r="I2097" t="str">
        <f>IF(A2097="","",VLOOKUP(G2097,表3_3[],3,0))</f>
        <v/>
      </c>
      <c r="J2097" t="str">
        <f>IF(A2097="","",IF('ATP Fills'!I2097="3M","",VLOOKUP(RIGHT('ATP Fills'!I2097,2),Helper1!$O$36:$P$48,2,0)))</f>
        <v/>
      </c>
      <c r="K2097" t="str">
        <f>IF(J2097="","",LEFT('ATP Fills'!I2097,4))</f>
        <v/>
      </c>
      <c r="L2097" t="str">
        <f>IF(A2097="","",IF('ATP Fills'!G2097="LME",'ATP Fills'!I2097,""))</f>
        <v/>
      </c>
      <c r="M2097" t="str">
        <f t="shared" si="32"/>
        <v/>
      </c>
    </row>
    <row r="2098" spans="1:13">
      <c r="A2098" t="str">
        <f>IF('ATP Fills'!A2098="","",IF('ATP Fills'!Q2098="PHILLIPSG",'ATP Fills'!F2098,""))</f>
        <v/>
      </c>
      <c r="B2098" t="str">
        <f>IF(A2098="","",'ATP Fills'!L2098)</f>
        <v/>
      </c>
      <c r="C2098" t="str">
        <f>IF(A2098="","",'ATP Fills'!M2098)</f>
        <v/>
      </c>
      <c r="D2098" t="str">
        <f>IF(A2098="","",'ATP Fills'!B2098)</f>
        <v/>
      </c>
      <c r="E2098" s="3" t="str">
        <f>IF(A2098="","",IF(DATE(LEFT(D2098,4),MID(D2098,5,2),RIGHT(D2098,2))=Helper1!$P$1,Helper1!$P$1,""))</f>
        <v/>
      </c>
      <c r="F2098" s="3" t="str">
        <f>IF(A2098="","",'ATP Fills'!G2098)</f>
        <v/>
      </c>
      <c r="G2098" t="str">
        <f>IF(A2098="","",'ATP Fills'!H2098)</f>
        <v/>
      </c>
      <c r="H2098" t="str">
        <f>IF(A2098="","",VLOOKUP(G2098,表3_3[],2,0))</f>
        <v/>
      </c>
      <c r="I2098" t="str">
        <f>IF(A2098="","",VLOOKUP(G2098,表3_3[],3,0))</f>
        <v/>
      </c>
      <c r="J2098" t="str">
        <f>IF(A2098="","",IF('ATP Fills'!I2098="3M","",VLOOKUP(RIGHT('ATP Fills'!I2098,2),Helper1!$O$36:$P$48,2,0)))</f>
        <v/>
      </c>
      <c r="K2098" t="str">
        <f>IF(J2098="","",LEFT('ATP Fills'!I2098,4))</f>
        <v/>
      </c>
      <c r="L2098" t="str">
        <f>IF(A2098="","",IF('ATP Fills'!G2098="LME",'ATP Fills'!I2098,""))</f>
        <v/>
      </c>
      <c r="M2098" t="str">
        <f t="shared" si="32"/>
        <v/>
      </c>
    </row>
    <row r="2099" spans="1:13">
      <c r="A2099" t="str">
        <f>IF('ATP Fills'!A2099="","",IF('ATP Fills'!Q2099="PHILLIPSG",'ATP Fills'!F2099,""))</f>
        <v/>
      </c>
      <c r="B2099" t="str">
        <f>IF(A2099="","",'ATP Fills'!L2099)</f>
        <v/>
      </c>
      <c r="C2099" t="str">
        <f>IF(A2099="","",'ATP Fills'!M2099)</f>
        <v/>
      </c>
      <c r="D2099" t="str">
        <f>IF(A2099="","",'ATP Fills'!B2099)</f>
        <v/>
      </c>
      <c r="E2099" s="3" t="str">
        <f>IF(A2099="","",IF(DATE(LEFT(D2099,4),MID(D2099,5,2),RIGHT(D2099,2))=Helper1!$P$1,Helper1!$P$1,""))</f>
        <v/>
      </c>
      <c r="F2099" s="3" t="str">
        <f>IF(A2099="","",'ATP Fills'!G2099)</f>
        <v/>
      </c>
      <c r="G2099" t="str">
        <f>IF(A2099="","",'ATP Fills'!H2099)</f>
        <v/>
      </c>
      <c r="H2099" t="str">
        <f>IF(A2099="","",VLOOKUP(G2099,表3_3[],2,0))</f>
        <v/>
      </c>
      <c r="I2099" t="str">
        <f>IF(A2099="","",VLOOKUP(G2099,表3_3[],3,0))</f>
        <v/>
      </c>
      <c r="J2099" t="str">
        <f>IF(A2099="","",IF('ATP Fills'!I2099="3M","",VLOOKUP(RIGHT('ATP Fills'!I2099,2),Helper1!$O$36:$P$48,2,0)))</f>
        <v/>
      </c>
      <c r="K2099" t="str">
        <f>IF(J2099="","",LEFT('ATP Fills'!I2099,4))</f>
        <v/>
      </c>
      <c r="L2099" t="str">
        <f>IF(A2099="","",IF('ATP Fills'!G2099="LME",'ATP Fills'!I2099,""))</f>
        <v/>
      </c>
      <c r="M2099" t="str">
        <f t="shared" si="32"/>
        <v/>
      </c>
    </row>
    <row r="2100" spans="1:13">
      <c r="A2100" t="str">
        <f>IF('ATP Fills'!A2100="","",IF('ATP Fills'!Q2100="PHILLIPSG",'ATP Fills'!F2100,""))</f>
        <v/>
      </c>
      <c r="B2100" t="str">
        <f>IF(A2100="","",'ATP Fills'!L2100)</f>
        <v/>
      </c>
      <c r="C2100" t="str">
        <f>IF(A2100="","",'ATP Fills'!M2100)</f>
        <v/>
      </c>
      <c r="D2100" t="str">
        <f>IF(A2100="","",'ATP Fills'!B2100)</f>
        <v/>
      </c>
      <c r="E2100" s="3" t="str">
        <f>IF(A2100="","",IF(DATE(LEFT(D2100,4),MID(D2100,5,2),RIGHT(D2100,2))=Helper1!$P$1,Helper1!$P$1,""))</f>
        <v/>
      </c>
      <c r="F2100" s="3" t="str">
        <f>IF(A2100="","",'ATP Fills'!G2100)</f>
        <v/>
      </c>
      <c r="G2100" t="str">
        <f>IF(A2100="","",'ATP Fills'!H2100)</f>
        <v/>
      </c>
      <c r="H2100" t="str">
        <f>IF(A2100="","",VLOOKUP(G2100,表3_3[],2,0))</f>
        <v/>
      </c>
      <c r="I2100" t="str">
        <f>IF(A2100="","",VLOOKUP(G2100,表3_3[],3,0))</f>
        <v/>
      </c>
      <c r="J2100" t="str">
        <f>IF(A2100="","",IF('ATP Fills'!I2100="3M","",VLOOKUP(RIGHT('ATP Fills'!I2100,2),Helper1!$O$36:$P$48,2,0)))</f>
        <v/>
      </c>
      <c r="K2100" t="str">
        <f>IF(J2100="","",LEFT('ATP Fills'!I2100,4))</f>
        <v/>
      </c>
      <c r="L2100" t="str">
        <f>IF(A2100="","",IF('ATP Fills'!G2100="LME",'ATP Fills'!I2100,""))</f>
        <v/>
      </c>
      <c r="M2100" t="str">
        <f t="shared" si="32"/>
        <v/>
      </c>
    </row>
    <row r="2101" spans="1:13">
      <c r="A2101" t="str">
        <f>IF('ATP Fills'!A2101="","",IF('ATP Fills'!Q2101="PHILLIPSG",'ATP Fills'!F2101,""))</f>
        <v/>
      </c>
      <c r="B2101" t="str">
        <f>IF(A2101="","",'ATP Fills'!L2101)</f>
        <v/>
      </c>
      <c r="C2101" t="str">
        <f>IF(A2101="","",'ATP Fills'!M2101)</f>
        <v/>
      </c>
      <c r="D2101" t="str">
        <f>IF(A2101="","",'ATP Fills'!B2101)</f>
        <v/>
      </c>
      <c r="E2101" s="3" t="str">
        <f>IF(A2101="","",IF(DATE(LEFT(D2101,4),MID(D2101,5,2),RIGHT(D2101,2))=Helper1!$P$1,Helper1!$P$1,""))</f>
        <v/>
      </c>
      <c r="F2101" s="3" t="str">
        <f>IF(A2101="","",'ATP Fills'!G2101)</f>
        <v/>
      </c>
      <c r="G2101" t="str">
        <f>IF(A2101="","",'ATP Fills'!H2101)</f>
        <v/>
      </c>
      <c r="H2101" t="str">
        <f>IF(A2101="","",VLOOKUP(G2101,表3_3[],2,0))</f>
        <v/>
      </c>
      <c r="I2101" t="str">
        <f>IF(A2101="","",VLOOKUP(G2101,表3_3[],3,0))</f>
        <v/>
      </c>
      <c r="J2101" t="str">
        <f>IF(A2101="","",IF('ATP Fills'!I2101="3M","",VLOOKUP(RIGHT('ATP Fills'!I2101,2),Helper1!$O$36:$P$48,2,0)))</f>
        <v/>
      </c>
      <c r="K2101" t="str">
        <f>IF(J2101="","",LEFT('ATP Fills'!I2101,4))</f>
        <v/>
      </c>
      <c r="L2101" t="str">
        <f>IF(A2101="","",IF('ATP Fills'!G2101="LME",'ATP Fills'!I2101,""))</f>
        <v/>
      </c>
      <c r="M2101" t="str">
        <f t="shared" si="32"/>
        <v/>
      </c>
    </row>
    <row r="2102" spans="1:13">
      <c r="A2102" t="str">
        <f>IF('ATP Fills'!A2102="","",IF('ATP Fills'!Q2102="PHILLIPSG",'ATP Fills'!F2102,""))</f>
        <v/>
      </c>
      <c r="B2102" t="str">
        <f>IF(A2102="","",'ATP Fills'!L2102)</f>
        <v/>
      </c>
      <c r="C2102" t="str">
        <f>IF(A2102="","",'ATP Fills'!M2102)</f>
        <v/>
      </c>
      <c r="D2102" t="str">
        <f>IF(A2102="","",'ATP Fills'!B2102)</f>
        <v/>
      </c>
      <c r="E2102" s="3" t="str">
        <f>IF(A2102="","",IF(DATE(LEFT(D2102,4),MID(D2102,5,2),RIGHT(D2102,2))=Helper1!$P$1,Helper1!$P$1,""))</f>
        <v/>
      </c>
      <c r="F2102" s="3" t="str">
        <f>IF(A2102="","",'ATP Fills'!G2102)</f>
        <v/>
      </c>
      <c r="G2102" t="str">
        <f>IF(A2102="","",'ATP Fills'!H2102)</f>
        <v/>
      </c>
      <c r="H2102" t="str">
        <f>IF(A2102="","",VLOOKUP(G2102,表3_3[],2,0))</f>
        <v/>
      </c>
      <c r="I2102" t="str">
        <f>IF(A2102="","",VLOOKUP(G2102,表3_3[],3,0))</f>
        <v/>
      </c>
      <c r="J2102" t="str">
        <f>IF(A2102="","",IF('ATP Fills'!I2102="3M","",VLOOKUP(RIGHT('ATP Fills'!I2102,2),Helper1!$O$36:$P$48,2,0)))</f>
        <v/>
      </c>
      <c r="K2102" t="str">
        <f>IF(J2102="","",LEFT('ATP Fills'!I2102,4))</f>
        <v/>
      </c>
      <c r="L2102" t="str">
        <f>IF(A2102="","",IF('ATP Fills'!G2102="LME",'ATP Fills'!I2102,""))</f>
        <v/>
      </c>
      <c r="M2102" t="str">
        <f t="shared" si="32"/>
        <v/>
      </c>
    </row>
    <row r="2103" spans="1:13">
      <c r="A2103" t="str">
        <f>IF('ATP Fills'!A2103="","",IF('ATP Fills'!Q2103="PHILLIPSG",'ATP Fills'!F2103,""))</f>
        <v/>
      </c>
      <c r="B2103" t="str">
        <f>IF(A2103="","",'ATP Fills'!L2103)</f>
        <v/>
      </c>
      <c r="C2103" t="str">
        <f>IF(A2103="","",'ATP Fills'!M2103)</f>
        <v/>
      </c>
      <c r="D2103" t="str">
        <f>IF(A2103="","",'ATP Fills'!B2103)</f>
        <v/>
      </c>
      <c r="E2103" s="3" t="str">
        <f>IF(A2103="","",IF(DATE(LEFT(D2103,4),MID(D2103,5,2),RIGHT(D2103,2))=Helper1!$P$1,Helper1!$P$1,""))</f>
        <v/>
      </c>
      <c r="F2103" s="3" t="str">
        <f>IF(A2103="","",'ATP Fills'!G2103)</f>
        <v/>
      </c>
      <c r="G2103" t="str">
        <f>IF(A2103="","",'ATP Fills'!H2103)</f>
        <v/>
      </c>
      <c r="H2103" t="str">
        <f>IF(A2103="","",VLOOKUP(G2103,表3_3[],2,0))</f>
        <v/>
      </c>
      <c r="I2103" t="str">
        <f>IF(A2103="","",VLOOKUP(G2103,表3_3[],3,0))</f>
        <v/>
      </c>
      <c r="J2103" t="str">
        <f>IF(A2103="","",IF('ATP Fills'!I2103="3M","",VLOOKUP(RIGHT('ATP Fills'!I2103,2),Helper1!$O$36:$P$48,2,0)))</f>
        <v/>
      </c>
      <c r="K2103" t="str">
        <f>IF(J2103="","",LEFT('ATP Fills'!I2103,4))</f>
        <v/>
      </c>
      <c r="L2103" t="str">
        <f>IF(A2103="","",IF('ATP Fills'!G2103="LME",'ATP Fills'!I2103,""))</f>
        <v/>
      </c>
      <c r="M2103" t="str">
        <f t="shared" si="32"/>
        <v/>
      </c>
    </row>
    <row r="2104" spans="1:13">
      <c r="A2104" t="str">
        <f>IF('ATP Fills'!A2104="","",IF('ATP Fills'!Q2104="PHILLIPSG",'ATP Fills'!F2104,""))</f>
        <v/>
      </c>
      <c r="B2104" t="str">
        <f>IF(A2104="","",'ATP Fills'!L2104)</f>
        <v/>
      </c>
      <c r="C2104" t="str">
        <f>IF(A2104="","",'ATP Fills'!M2104)</f>
        <v/>
      </c>
      <c r="D2104" t="str">
        <f>IF(A2104="","",'ATP Fills'!B2104)</f>
        <v/>
      </c>
      <c r="E2104" s="3" t="str">
        <f>IF(A2104="","",IF(DATE(LEFT(D2104,4),MID(D2104,5,2),RIGHT(D2104,2))=Helper1!$P$1,Helper1!$P$1,""))</f>
        <v/>
      </c>
      <c r="F2104" s="3" t="str">
        <f>IF(A2104="","",'ATP Fills'!G2104)</f>
        <v/>
      </c>
      <c r="G2104" t="str">
        <f>IF(A2104="","",'ATP Fills'!H2104)</f>
        <v/>
      </c>
      <c r="H2104" t="str">
        <f>IF(A2104="","",VLOOKUP(G2104,表3_3[],2,0))</f>
        <v/>
      </c>
      <c r="I2104" t="str">
        <f>IF(A2104="","",VLOOKUP(G2104,表3_3[],3,0))</f>
        <v/>
      </c>
      <c r="J2104" t="str">
        <f>IF(A2104="","",IF('ATP Fills'!I2104="3M","",VLOOKUP(RIGHT('ATP Fills'!I2104,2),Helper1!$O$36:$P$48,2,0)))</f>
        <v/>
      </c>
      <c r="K2104" t="str">
        <f>IF(J2104="","",LEFT('ATP Fills'!I2104,4))</f>
        <v/>
      </c>
      <c r="L2104" t="str">
        <f>IF(A2104="","",IF('ATP Fills'!G2104="LME",'ATP Fills'!I2104,""))</f>
        <v/>
      </c>
      <c r="M2104" t="str">
        <f t="shared" si="32"/>
        <v/>
      </c>
    </row>
    <row r="2105" spans="1:13">
      <c r="A2105" t="str">
        <f>IF('ATP Fills'!A2105="","",IF('ATP Fills'!Q2105="PHILLIPSG",'ATP Fills'!F2105,""))</f>
        <v/>
      </c>
      <c r="B2105" t="str">
        <f>IF(A2105="","",'ATP Fills'!L2105)</f>
        <v/>
      </c>
      <c r="C2105" t="str">
        <f>IF(A2105="","",'ATP Fills'!M2105)</f>
        <v/>
      </c>
      <c r="D2105" t="str">
        <f>IF(A2105="","",'ATP Fills'!B2105)</f>
        <v/>
      </c>
      <c r="E2105" s="3" t="str">
        <f>IF(A2105="","",IF(DATE(LEFT(D2105,4),MID(D2105,5,2),RIGHT(D2105,2))=Helper1!$P$1,Helper1!$P$1,""))</f>
        <v/>
      </c>
      <c r="F2105" s="3" t="str">
        <f>IF(A2105="","",'ATP Fills'!G2105)</f>
        <v/>
      </c>
      <c r="G2105" t="str">
        <f>IF(A2105="","",'ATP Fills'!H2105)</f>
        <v/>
      </c>
      <c r="H2105" t="str">
        <f>IF(A2105="","",VLOOKUP(G2105,表3_3[],2,0))</f>
        <v/>
      </c>
      <c r="I2105" t="str">
        <f>IF(A2105="","",VLOOKUP(G2105,表3_3[],3,0))</f>
        <v/>
      </c>
      <c r="J2105" t="str">
        <f>IF(A2105="","",IF('ATP Fills'!I2105="3M","",VLOOKUP(RIGHT('ATP Fills'!I2105,2),Helper1!$O$36:$P$48,2,0)))</f>
        <v/>
      </c>
      <c r="K2105" t="str">
        <f>IF(J2105="","",LEFT('ATP Fills'!I2105,4))</f>
        <v/>
      </c>
      <c r="L2105" t="str">
        <f>IF(A2105="","",IF('ATP Fills'!G2105="LME",'ATP Fills'!I2105,""))</f>
        <v/>
      </c>
      <c r="M2105" t="str">
        <f t="shared" si="32"/>
        <v/>
      </c>
    </row>
    <row r="2106" spans="1:13">
      <c r="A2106" t="str">
        <f>IF('ATP Fills'!A2106="","",IF('ATP Fills'!Q2106="PHILLIPSG",'ATP Fills'!F2106,""))</f>
        <v/>
      </c>
      <c r="B2106" t="str">
        <f>IF(A2106="","",'ATP Fills'!L2106)</f>
        <v/>
      </c>
      <c r="C2106" t="str">
        <f>IF(A2106="","",'ATP Fills'!M2106)</f>
        <v/>
      </c>
      <c r="D2106" t="str">
        <f>IF(A2106="","",'ATP Fills'!B2106)</f>
        <v/>
      </c>
      <c r="E2106" s="3" t="str">
        <f>IF(A2106="","",IF(DATE(LEFT(D2106,4),MID(D2106,5,2),RIGHT(D2106,2))=Helper1!$P$1,Helper1!$P$1,""))</f>
        <v/>
      </c>
      <c r="F2106" s="3" t="str">
        <f>IF(A2106="","",'ATP Fills'!G2106)</f>
        <v/>
      </c>
      <c r="G2106" t="str">
        <f>IF(A2106="","",'ATP Fills'!H2106)</f>
        <v/>
      </c>
      <c r="H2106" t="str">
        <f>IF(A2106="","",VLOOKUP(G2106,表3_3[],2,0))</f>
        <v/>
      </c>
      <c r="I2106" t="str">
        <f>IF(A2106="","",VLOOKUP(G2106,表3_3[],3,0))</f>
        <v/>
      </c>
      <c r="J2106" t="str">
        <f>IF(A2106="","",IF('ATP Fills'!I2106="3M","",VLOOKUP(RIGHT('ATP Fills'!I2106,2),Helper1!$O$36:$P$48,2,0)))</f>
        <v/>
      </c>
      <c r="K2106" t="str">
        <f>IF(J2106="","",LEFT('ATP Fills'!I2106,4))</f>
        <v/>
      </c>
      <c r="L2106" t="str">
        <f>IF(A2106="","",IF('ATP Fills'!G2106="LME",'ATP Fills'!I2106,""))</f>
        <v/>
      </c>
      <c r="M2106" t="str">
        <f t="shared" si="32"/>
        <v/>
      </c>
    </row>
    <row r="2107" spans="1:13">
      <c r="A2107" t="str">
        <f>IF('ATP Fills'!A2107="","",IF('ATP Fills'!Q2107="PHILLIPSG",'ATP Fills'!F2107,""))</f>
        <v/>
      </c>
      <c r="B2107" t="str">
        <f>IF(A2107="","",'ATP Fills'!L2107)</f>
        <v/>
      </c>
      <c r="C2107" t="str">
        <f>IF(A2107="","",'ATP Fills'!M2107)</f>
        <v/>
      </c>
      <c r="D2107" t="str">
        <f>IF(A2107="","",'ATP Fills'!B2107)</f>
        <v/>
      </c>
      <c r="E2107" s="3" t="str">
        <f>IF(A2107="","",IF(DATE(LEFT(D2107,4),MID(D2107,5,2),RIGHT(D2107,2))=Helper1!$P$1,Helper1!$P$1,""))</f>
        <v/>
      </c>
      <c r="F2107" s="3" t="str">
        <f>IF(A2107="","",'ATP Fills'!G2107)</f>
        <v/>
      </c>
      <c r="G2107" t="str">
        <f>IF(A2107="","",'ATP Fills'!H2107)</f>
        <v/>
      </c>
      <c r="H2107" t="str">
        <f>IF(A2107="","",VLOOKUP(G2107,表3_3[],2,0))</f>
        <v/>
      </c>
      <c r="I2107" t="str">
        <f>IF(A2107="","",VLOOKUP(G2107,表3_3[],3,0))</f>
        <v/>
      </c>
      <c r="J2107" t="str">
        <f>IF(A2107="","",IF('ATP Fills'!I2107="3M","",VLOOKUP(RIGHT('ATP Fills'!I2107,2),Helper1!$O$36:$P$48,2,0)))</f>
        <v/>
      </c>
      <c r="K2107" t="str">
        <f>IF(J2107="","",LEFT('ATP Fills'!I2107,4))</f>
        <v/>
      </c>
      <c r="L2107" t="str">
        <f>IF(A2107="","",IF('ATP Fills'!G2107="LME",'ATP Fills'!I2107,""))</f>
        <v/>
      </c>
      <c r="M2107" t="str">
        <f t="shared" si="32"/>
        <v/>
      </c>
    </row>
    <row r="2108" spans="1:13">
      <c r="A2108" t="str">
        <f>IF('ATP Fills'!A2108="","",IF('ATP Fills'!Q2108="PHILLIPSG",'ATP Fills'!F2108,""))</f>
        <v/>
      </c>
      <c r="B2108" t="str">
        <f>IF(A2108="","",'ATP Fills'!L2108)</f>
        <v/>
      </c>
      <c r="C2108" t="str">
        <f>IF(A2108="","",'ATP Fills'!M2108)</f>
        <v/>
      </c>
      <c r="D2108" t="str">
        <f>IF(A2108="","",'ATP Fills'!B2108)</f>
        <v/>
      </c>
      <c r="E2108" s="3" t="str">
        <f>IF(A2108="","",IF(DATE(LEFT(D2108,4),MID(D2108,5,2),RIGHT(D2108,2))=Helper1!$P$1,Helper1!$P$1,""))</f>
        <v/>
      </c>
      <c r="F2108" s="3" t="str">
        <f>IF(A2108="","",'ATP Fills'!G2108)</f>
        <v/>
      </c>
      <c r="G2108" t="str">
        <f>IF(A2108="","",'ATP Fills'!H2108)</f>
        <v/>
      </c>
      <c r="H2108" t="str">
        <f>IF(A2108="","",VLOOKUP(G2108,表3_3[],2,0))</f>
        <v/>
      </c>
      <c r="I2108" t="str">
        <f>IF(A2108="","",VLOOKUP(G2108,表3_3[],3,0))</f>
        <v/>
      </c>
      <c r="J2108" t="str">
        <f>IF(A2108="","",IF('ATP Fills'!I2108="3M","",VLOOKUP(RIGHT('ATP Fills'!I2108,2),Helper1!$O$36:$P$48,2,0)))</f>
        <v/>
      </c>
      <c r="K2108" t="str">
        <f>IF(J2108="","",LEFT('ATP Fills'!I2108,4))</f>
        <v/>
      </c>
      <c r="L2108" t="str">
        <f>IF(A2108="","",IF('ATP Fills'!G2108="LME",'ATP Fills'!I2108,""))</f>
        <v/>
      </c>
      <c r="M2108" t="str">
        <f t="shared" si="32"/>
        <v/>
      </c>
    </row>
    <row r="2109" spans="1:13">
      <c r="A2109" t="str">
        <f>IF('ATP Fills'!A2109="","",IF('ATP Fills'!Q2109="PHILLIPSG",'ATP Fills'!F2109,""))</f>
        <v/>
      </c>
      <c r="B2109" t="str">
        <f>IF(A2109="","",'ATP Fills'!L2109)</f>
        <v/>
      </c>
      <c r="C2109" t="str">
        <f>IF(A2109="","",'ATP Fills'!M2109)</f>
        <v/>
      </c>
      <c r="D2109" t="str">
        <f>IF(A2109="","",'ATP Fills'!B2109)</f>
        <v/>
      </c>
      <c r="E2109" s="3" t="str">
        <f>IF(A2109="","",IF(DATE(LEFT(D2109,4),MID(D2109,5,2),RIGHT(D2109,2))=Helper1!$P$1,Helper1!$P$1,""))</f>
        <v/>
      </c>
      <c r="F2109" s="3" t="str">
        <f>IF(A2109="","",'ATP Fills'!G2109)</f>
        <v/>
      </c>
      <c r="G2109" t="str">
        <f>IF(A2109="","",'ATP Fills'!H2109)</f>
        <v/>
      </c>
      <c r="H2109" t="str">
        <f>IF(A2109="","",VLOOKUP(G2109,表3_3[],2,0))</f>
        <v/>
      </c>
      <c r="I2109" t="str">
        <f>IF(A2109="","",VLOOKUP(G2109,表3_3[],3,0))</f>
        <v/>
      </c>
      <c r="J2109" t="str">
        <f>IF(A2109="","",IF('ATP Fills'!I2109="3M","",VLOOKUP(RIGHT('ATP Fills'!I2109,2),Helper1!$O$36:$P$48,2,0)))</f>
        <v/>
      </c>
      <c r="K2109" t="str">
        <f>IF(J2109="","",LEFT('ATP Fills'!I2109,4))</f>
        <v/>
      </c>
      <c r="L2109" t="str">
        <f>IF(A2109="","",IF('ATP Fills'!G2109="LME",'ATP Fills'!I2109,""))</f>
        <v/>
      </c>
      <c r="M2109" t="str">
        <f t="shared" si="32"/>
        <v/>
      </c>
    </row>
    <row r="2110" spans="1:13">
      <c r="A2110" t="str">
        <f>IF('ATP Fills'!A2110="","",IF('ATP Fills'!Q2110="PHILLIPSG",'ATP Fills'!F2110,""))</f>
        <v/>
      </c>
      <c r="B2110" t="str">
        <f>IF(A2110="","",'ATP Fills'!L2110)</f>
        <v/>
      </c>
      <c r="C2110" t="str">
        <f>IF(A2110="","",'ATP Fills'!M2110)</f>
        <v/>
      </c>
      <c r="D2110" t="str">
        <f>IF(A2110="","",'ATP Fills'!B2110)</f>
        <v/>
      </c>
      <c r="E2110" s="3" t="str">
        <f>IF(A2110="","",IF(DATE(LEFT(D2110,4),MID(D2110,5,2),RIGHT(D2110,2))=Helper1!$P$1,Helper1!$P$1,""))</f>
        <v/>
      </c>
      <c r="F2110" s="3" t="str">
        <f>IF(A2110="","",'ATP Fills'!G2110)</f>
        <v/>
      </c>
      <c r="G2110" t="str">
        <f>IF(A2110="","",'ATP Fills'!H2110)</f>
        <v/>
      </c>
      <c r="H2110" t="str">
        <f>IF(A2110="","",VLOOKUP(G2110,表3_3[],2,0))</f>
        <v/>
      </c>
      <c r="I2110" t="str">
        <f>IF(A2110="","",VLOOKUP(G2110,表3_3[],3,0))</f>
        <v/>
      </c>
      <c r="J2110" t="str">
        <f>IF(A2110="","",IF('ATP Fills'!I2110="3M","",VLOOKUP(RIGHT('ATP Fills'!I2110,2),Helper1!$O$36:$P$48,2,0)))</f>
        <v/>
      </c>
      <c r="K2110" t="str">
        <f>IF(J2110="","",LEFT('ATP Fills'!I2110,4))</f>
        <v/>
      </c>
      <c r="L2110" t="str">
        <f>IF(A2110="","",IF('ATP Fills'!G2110="LME",'ATP Fills'!I2110,""))</f>
        <v/>
      </c>
      <c r="M2110" t="str">
        <f t="shared" si="32"/>
        <v/>
      </c>
    </row>
    <row r="2111" spans="1:13">
      <c r="A2111" t="str">
        <f>IF('ATP Fills'!A2111="","",IF('ATP Fills'!Q2111="PHILLIPSG",'ATP Fills'!F2111,""))</f>
        <v/>
      </c>
      <c r="B2111" t="str">
        <f>IF(A2111="","",'ATP Fills'!L2111)</f>
        <v/>
      </c>
      <c r="C2111" t="str">
        <f>IF(A2111="","",'ATP Fills'!M2111)</f>
        <v/>
      </c>
      <c r="D2111" t="str">
        <f>IF(A2111="","",'ATP Fills'!B2111)</f>
        <v/>
      </c>
      <c r="E2111" s="3" t="str">
        <f>IF(A2111="","",IF(DATE(LEFT(D2111,4),MID(D2111,5,2),RIGHT(D2111,2))=Helper1!$P$1,Helper1!$P$1,""))</f>
        <v/>
      </c>
      <c r="F2111" s="3" t="str">
        <f>IF(A2111="","",'ATP Fills'!G2111)</f>
        <v/>
      </c>
      <c r="G2111" t="str">
        <f>IF(A2111="","",'ATP Fills'!H2111)</f>
        <v/>
      </c>
      <c r="H2111" t="str">
        <f>IF(A2111="","",VLOOKUP(G2111,表3_3[],2,0))</f>
        <v/>
      </c>
      <c r="I2111" t="str">
        <f>IF(A2111="","",VLOOKUP(G2111,表3_3[],3,0))</f>
        <v/>
      </c>
      <c r="J2111" t="str">
        <f>IF(A2111="","",IF('ATP Fills'!I2111="3M","",VLOOKUP(RIGHT('ATP Fills'!I2111,2),Helper1!$O$36:$P$48,2,0)))</f>
        <v/>
      </c>
      <c r="K2111" t="str">
        <f>IF(J2111="","",LEFT('ATP Fills'!I2111,4))</f>
        <v/>
      </c>
      <c r="L2111" t="str">
        <f>IF(A2111="","",IF('ATP Fills'!G2111="LME",'ATP Fills'!I2111,""))</f>
        <v/>
      </c>
      <c r="M2111" t="str">
        <f t="shared" si="32"/>
        <v/>
      </c>
    </row>
    <row r="2112" spans="1:13">
      <c r="A2112" t="str">
        <f>IF('ATP Fills'!A2112="","",IF('ATP Fills'!Q2112="PHILLIPSG",'ATP Fills'!F2112,""))</f>
        <v/>
      </c>
      <c r="B2112" t="str">
        <f>IF(A2112="","",'ATP Fills'!L2112)</f>
        <v/>
      </c>
      <c r="C2112" t="str">
        <f>IF(A2112="","",'ATP Fills'!M2112)</f>
        <v/>
      </c>
      <c r="D2112" t="str">
        <f>IF(A2112="","",'ATP Fills'!B2112)</f>
        <v/>
      </c>
      <c r="E2112" s="3" t="str">
        <f>IF(A2112="","",IF(DATE(LEFT(D2112,4),MID(D2112,5,2),RIGHT(D2112,2))=Helper1!$P$1,Helper1!$P$1,""))</f>
        <v/>
      </c>
      <c r="F2112" s="3" t="str">
        <f>IF(A2112="","",'ATP Fills'!G2112)</f>
        <v/>
      </c>
      <c r="G2112" t="str">
        <f>IF(A2112="","",'ATP Fills'!H2112)</f>
        <v/>
      </c>
      <c r="H2112" t="str">
        <f>IF(A2112="","",VLOOKUP(G2112,表3_3[],2,0))</f>
        <v/>
      </c>
      <c r="I2112" t="str">
        <f>IF(A2112="","",VLOOKUP(G2112,表3_3[],3,0))</f>
        <v/>
      </c>
      <c r="J2112" t="str">
        <f>IF(A2112="","",IF('ATP Fills'!I2112="3M","",VLOOKUP(RIGHT('ATP Fills'!I2112,2),Helper1!$O$36:$P$48,2,0)))</f>
        <v/>
      </c>
      <c r="K2112" t="str">
        <f>IF(J2112="","",LEFT('ATP Fills'!I2112,4))</f>
        <v/>
      </c>
      <c r="L2112" t="str">
        <f>IF(A2112="","",IF('ATP Fills'!G2112="LME",'ATP Fills'!I2112,""))</f>
        <v/>
      </c>
      <c r="M2112" t="str">
        <f t="shared" si="32"/>
        <v/>
      </c>
    </row>
    <row r="2113" spans="1:13">
      <c r="A2113" t="str">
        <f>IF('ATP Fills'!A2113="","",IF('ATP Fills'!Q2113="PHILLIPSG",'ATP Fills'!F2113,""))</f>
        <v/>
      </c>
      <c r="B2113" t="str">
        <f>IF(A2113="","",'ATP Fills'!L2113)</f>
        <v/>
      </c>
      <c r="C2113" t="str">
        <f>IF(A2113="","",'ATP Fills'!M2113)</f>
        <v/>
      </c>
      <c r="D2113" t="str">
        <f>IF(A2113="","",'ATP Fills'!B2113)</f>
        <v/>
      </c>
      <c r="E2113" s="3" t="str">
        <f>IF(A2113="","",IF(DATE(LEFT(D2113,4),MID(D2113,5,2),RIGHT(D2113,2))=Helper1!$P$1,Helper1!$P$1,""))</f>
        <v/>
      </c>
      <c r="F2113" s="3" t="str">
        <f>IF(A2113="","",'ATP Fills'!G2113)</f>
        <v/>
      </c>
      <c r="G2113" t="str">
        <f>IF(A2113="","",'ATP Fills'!H2113)</f>
        <v/>
      </c>
      <c r="H2113" t="str">
        <f>IF(A2113="","",VLOOKUP(G2113,表3_3[],2,0))</f>
        <v/>
      </c>
      <c r="I2113" t="str">
        <f>IF(A2113="","",VLOOKUP(G2113,表3_3[],3,0))</f>
        <v/>
      </c>
      <c r="J2113" t="str">
        <f>IF(A2113="","",IF('ATP Fills'!I2113="3M","",VLOOKUP(RIGHT('ATP Fills'!I2113,2),Helper1!$O$36:$P$48,2,0)))</f>
        <v/>
      </c>
      <c r="K2113" t="str">
        <f>IF(J2113="","",LEFT('ATP Fills'!I2113,4))</f>
        <v/>
      </c>
      <c r="L2113" t="str">
        <f>IF(A2113="","",IF('ATP Fills'!G2113="LME",'ATP Fills'!I2113,""))</f>
        <v/>
      </c>
      <c r="M2113" t="str">
        <f t="shared" si="32"/>
        <v/>
      </c>
    </row>
    <row r="2114" spans="1:13">
      <c r="A2114" t="str">
        <f>IF('ATP Fills'!A2114="","",IF('ATP Fills'!Q2114="PHILLIPSG",'ATP Fills'!F2114,""))</f>
        <v/>
      </c>
      <c r="B2114" t="str">
        <f>IF(A2114="","",'ATP Fills'!L2114)</f>
        <v/>
      </c>
      <c r="C2114" t="str">
        <f>IF(A2114="","",'ATP Fills'!M2114)</f>
        <v/>
      </c>
      <c r="D2114" t="str">
        <f>IF(A2114="","",'ATP Fills'!B2114)</f>
        <v/>
      </c>
      <c r="E2114" s="3" t="str">
        <f>IF(A2114="","",IF(DATE(LEFT(D2114,4),MID(D2114,5,2),RIGHT(D2114,2))=Helper1!$P$1,Helper1!$P$1,""))</f>
        <v/>
      </c>
      <c r="F2114" s="3" t="str">
        <f>IF(A2114="","",'ATP Fills'!G2114)</f>
        <v/>
      </c>
      <c r="G2114" t="str">
        <f>IF(A2114="","",'ATP Fills'!H2114)</f>
        <v/>
      </c>
      <c r="H2114" t="str">
        <f>IF(A2114="","",VLOOKUP(G2114,表3_3[],2,0))</f>
        <v/>
      </c>
      <c r="I2114" t="str">
        <f>IF(A2114="","",VLOOKUP(G2114,表3_3[],3,0))</f>
        <v/>
      </c>
      <c r="J2114" t="str">
        <f>IF(A2114="","",IF('ATP Fills'!I2114="3M","",VLOOKUP(RIGHT('ATP Fills'!I2114,2),Helper1!$O$36:$P$48,2,0)))</f>
        <v/>
      </c>
      <c r="K2114" t="str">
        <f>IF(J2114="","",LEFT('ATP Fills'!I2114,4))</f>
        <v/>
      </c>
      <c r="L2114" t="str">
        <f>IF(A2114="","",IF('ATP Fills'!G2114="LME",'ATP Fills'!I2114,""))</f>
        <v/>
      </c>
      <c r="M2114" t="str">
        <f t="shared" si="32"/>
        <v/>
      </c>
    </row>
    <row r="2115" spans="1:13">
      <c r="A2115" t="str">
        <f>IF('ATP Fills'!A2115="","",IF('ATP Fills'!Q2115="PHILLIPSG",'ATP Fills'!F2115,""))</f>
        <v/>
      </c>
      <c r="B2115" t="str">
        <f>IF(A2115="","",'ATP Fills'!L2115)</f>
        <v/>
      </c>
      <c r="C2115" t="str">
        <f>IF(A2115="","",'ATP Fills'!M2115)</f>
        <v/>
      </c>
      <c r="D2115" t="str">
        <f>IF(A2115="","",'ATP Fills'!B2115)</f>
        <v/>
      </c>
      <c r="E2115" s="3" t="str">
        <f>IF(A2115="","",IF(DATE(LEFT(D2115,4),MID(D2115,5,2),RIGHT(D2115,2))=Helper1!$P$1,Helper1!$P$1,""))</f>
        <v/>
      </c>
      <c r="F2115" s="3" t="str">
        <f>IF(A2115="","",'ATP Fills'!G2115)</f>
        <v/>
      </c>
      <c r="G2115" t="str">
        <f>IF(A2115="","",'ATP Fills'!H2115)</f>
        <v/>
      </c>
      <c r="H2115" t="str">
        <f>IF(A2115="","",VLOOKUP(G2115,表3_3[],2,0))</f>
        <v/>
      </c>
      <c r="I2115" t="str">
        <f>IF(A2115="","",VLOOKUP(G2115,表3_3[],3,0))</f>
        <v/>
      </c>
      <c r="J2115" t="str">
        <f>IF(A2115="","",IF('ATP Fills'!I2115="3M","",VLOOKUP(RIGHT('ATP Fills'!I2115,2),Helper1!$O$36:$P$48,2,0)))</f>
        <v/>
      </c>
      <c r="K2115" t="str">
        <f>IF(J2115="","",LEFT('ATP Fills'!I2115,4))</f>
        <v/>
      </c>
      <c r="L2115" t="str">
        <f>IF(A2115="","",IF('ATP Fills'!G2115="LME",'ATP Fills'!I2115,""))</f>
        <v/>
      </c>
      <c r="M2115" t="str">
        <f t="shared" ref="M2115:M2178" si="33">IF(A2115="","",IF(F2115="LME",F2115&amp;"-"&amp;I2115&amp;"-"&amp;L2115,J2115&amp;"-"&amp;K2115&amp;"-"&amp;I2115))</f>
        <v/>
      </c>
    </row>
    <row r="2116" spans="1:13">
      <c r="A2116" t="str">
        <f>IF('ATP Fills'!A2116="","",IF('ATP Fills'!Q2116="PHILLIPSG",'ATP Fills'!F2116,""))</f>
        <v/>
      </c>
      <c r="B2116" t="str">
        <f>IF(A2116="","",'ATP Fills'!L2116)</f>
        <v/>
      </c>
      <c r="C2116" t="str">
        <f>IF(A2116="","",'ATP Fills'!M2116)</f>
        <v/>
      </c>
      <c r="D2116" t="str">
        <f>IF(A2116="","",'ATP Fills'!B2116)</f>
        <v/>
      </c>
      <c r="E2116" s="3" t="str">
        <f>IF(A2116="","",IF(DATE(LEFT(D2116,4),MID(D2116,5,2),RIGHT(D2116,2))=Helper1!$P$1,Helper1!$P$1,""))</f>
        <v/>
      </c>
      <c r="F2116" s="3" t="str">
        <f>IF(A2116="","",'ATP Fills'!G2116)</f>
        <v/>
      </c>
      <c r="G2116" t="str">
        <f>IF(A2116="","",'ATP Fills'!H2116)</f>
        <v/>
      </c>
      <c r="H2116" t="str">
        <f>IF(A2116="","",VLOOKUP(G2116,表3_3[],2,0))</f>
        <v/>
      </c>
      <c r="I2116" t="str">
        <f>IF(A2116="","",VLOOKUP(G2116,表3_3[],3,0))</f>
        <v/>
      </c>
      <c r="J2116" t="str">
        <f>IF(A2116="","",IF('ATP Fills'!I2116="3M","",VLOOKUP(RIGHT('ATP Fills'!I2116,2),Helper1!$O$36:$P$48,2,0)))</f>
        <v/>
      </c>
      <c r="K2116" t="str">
        <f>IF(J2116="","",LEFT('ATP Fills'!I2116,4))</f>
        <v/>
      </c>
      <c r="L2116" t="str">
        <f>IF(A2116="","",IF('ATP Fills'!G2116="LME",'ATP Fills'!I2116,""))</f>
        <v/>
      </c>
      <c r="M2116" t="str">
        <f t="shared" si="33"/>
        <v/>
      </c>
    </row>
    <row r="2117" spans="1:13">
      <c r="A2117" t="str">
        <f>IF('ATP Fills'!A2117="","",IF('ATP Fills'!Q2117="PHILLIPSG",'ATP Fills'!F2117,""))</f>
        <v/>
      </c>
      <c r="B2117" t="str">
        <f>IF(A2117="","",'ATP Fills'!L2117)</f>
        <v/>
      </c>
      <c r="C2117" t="str">
        <f>IF(A2117="","",'ATP Fills'!M2117)</f>
        <v/>
      </c>
      <c r="D2117" t="str">
        <f>IF(A2117="","",'ATP Fills'!B2117)</f>
        <v/>
      </c>
      <c r="E2117" s="3" t="str">
        <f>IF(A2117="","",IF(DATE(LEFT(D2117,4),MID(D2117,5,2),RIGHT(D2117,2))=Helper1!$P$1,Helper1!$P$1,""))</f>
        <v/>
      </c>
      <c r="F2117" s="3" t="str">
        <f>IF(A2117="","",'ATP Fills'!G2117)</f>
        <v/>
      </c>
      <c r="G2117" t="str">
        <f>IF(A2117="","",'ATP Fills'!H2117)</f>
        <v/>
      </c>
      <c r="H2117" t="str">
        <f>IF(A2117="","",VLOOKUP(G2117,表3_3[],2,0))</f>
        <v/>
      </c>
      <c r="I2117" t="str">
        <f>IF(A2117="","",VLOOKUP(G2117,表3_3[],3,0))</f>
        <v/>
      </c>
      <c r="J2117" t="str">
        <f>IF(A2117="","",IF('ATP Fills'!I2117="3M","",VLOOKUP(RIGHT('ATP Fills'!I2117,2),Helper1!$O$36:$P$48,2,0)))</f>
        <v/>
      </c>
      <c r="K2117" t="str">
        <f>IF(J2117="","",LEFT('ATP Fills'!I2117,4))</f>
        <v/>
      </c>
      <c r="L2117" t="str">
        <f>IF(A2117="","",IF('ATP Fills'!G2117="LME",'ATP Fills'!I2117,""))</f>
        <v/>
      </c>
      <c r="M2117" t="str">
        <f t="shared" si="33"/>
        <v/>
      </c>
    </row>
    <row r="2118" spans="1:13">
      <c r="A2118" t="str">
        <f>IF('ATP Fills'!A2118="","",IF('ATP Fills'!Q2118="PHILLIPSG",'ATP Fills'!F2118,""))</f>
        <v/>
      </c>
      <c r="B2118" t="str">
        <f>IF(A2118="","",'ATP Fills'!L2118)</f>
        <v/>
      </c>
      <c r="C2118" t="str">
        <f>IF(A2118="","",'ATP Fills'!M2118)</f>
        <v/>
      </c>
      <c r="D2118" t="str">
        <f>IF(A2118="","",'ATP Fills'!B2118)</f>
        <v/>
      </c>
      <c r="E2118" s="3" t="str">
        <f>IF(A2118="","",IF(DATE(LEFT(D2118,4),MID(D2118,5,2),RIGHT(D2118,2))=Helper1!$P$1,Helper1!$P$1,""))</f>
        <v/>
      </c>
      <c r="F2118" s="3" t="str">
        <f>IF(A2118="","",'ATP Fills'!G2118)</f>
        <v/>
      </c>
      <c r="G2118" t="str">
        <f>IF(A2118="","",'ATP Fills'!H2118)</f>
        <v/>
      </c>
      <c r="H2118" t="str">
        <f>IF(A2118="","",VLOOKUP(G2118,表3_3[],2,0))</f>
        <v/>
      </c>
      <c r="I2118" t="str">
        <f>IF(A2118="","",VLOOKUP(G2118,表3_3[],3,0))</f>
        <v/>
      </c>
      <c r="J2118" t="str">
        <f>IF(A2118="","",IF('ATP Fills'!I2118="3M","",VLOOKUP(RIGHT('ATP Fills'!I2118,2),Helper1!$O$36:$P$48,2,0)))</f>
        <v/>
      </c>
      <c r="K2118" t="str">
        <f>IF(J2118="","",LEFT('ATP Fills'!I2118,4))</f>
        <v/>
      </c>
      <c r="L2118" t="str">
        <f>IF(A2118="","",IF('ATP Fills'!G2118="LME",'ATP Fills'!I2118,""))</f>
        <v/>
      </c>
      <c r="M2118" t="str">
        <f t="shared" si="33"/>
        <v/>
      </c>
    </row>
    <row r="2119" spans="1:13">
      <c r="A2119" t="str">
        <f>IF('ATP Fills'!A2119="","",IF('ATP Fills'!Q2119="PHILLIPSG",'ATP Fills'!F2119,""))</f>
        <v/>
      </c>
      <c r="B2119" t="str">
        <f>IF(A2119="","",'ATP Fills'!L2119)</f>
        <v/>
      </c>
      <c r="C2119" t="str">
        <f>IF(A2119="","",'ATP Fills'!M2119)</f>
        <v/>
      </c>
      <c r="D2119" t="str">
        <f>IF(A2119="","",'ATP Fills'!B2119)</f>
        <v/>
      </c>
      <c r="E2119" s="3" t="str">
        <f>IF(A2119="","",IF(DATE(LEFT(D2119,4),MID(D2119,5,2),RIGHT(D2119,2))=Helper1!$P$1,Helper1!$P$1,""))</f>
        <v/>
      </c>
      <c r="F2119" s="3" t="str">
        <f>IF(A2119="","",'ATP Fills'!G2119)</f>
        <v/>
      </c>
      <c r="G2119" t="str">
        <f>IF(A2119="","",'ATP Fills'!H2119)</f>
        <v/>
      </c>
      <c r="H2119" t="str">
        <f>IF(A2119="","",VLOOKUP(G2119,表3_3[],2,0))</f>
        <v/>
      </c>
      <c r="I2119" t="str">
        <f>IF(A2119="","",VLOOKUP(G2119,表3_3[],3,0))</f>
        <v/>
      </c>
      <c r="J2119" t="str">
        <f>IF(A2119="","",IF('ATP Fills'!I2119="3M","",VLOOKUP(RIGHT('ATP Fills'!I2119,2),Helper1!$O$36:$P$48,2,0)))</f>
        <v/>
      </c>
      <c r="K2119" t="str">
        <f>IF(J2119="","",LEFT('ATP Fills'!I2119,4))</f>
        <v/>
      </c>
      <c r="L2119" t="str">
        <f>IF(A2119="","",IF('ATP Fills'!G2119="LME",'ATP Fills'!I2119,""))</f>
        <v/>
      </c>
      <c r="M2119" t="str">
        <f t="shared" si="33"/>
        <v/>
      </c>
    </row>
    <row r="2120" spans="1:13">
      <c r="A2120" t="str">
        <f>IF('ATP Fills'!A2120="","",IF('ATP Fills'!Q2120="PHILLIPSG",'ATP Fills'!F2120,""))</f>
        <v/>
      </c>
      <c r="B2120" t="str">
        <f>IF(A2120="","",'ATP Fills'!L2120)</f>
        <v/>
      </c>
      <c r="C2120" t="str">
        <f>IF(A2120="","",'ATP Fills'!M2120)</f>
        <v/>
      </c>
      <c r="D2120" t="str">
        <f>IF(A2120="","",'ATP Fills'!B2120)</f>
        <v/>
      </c>
      <c r="E2120" s="3" t="str">
        <f>IF(A2120="","",IF(DATE(LEFT(D2120,4),MID(D2120,5,2),RIGHT(D2120,2))=Helper1!$P$1,Helper1!$P$1,""))</f>
        <v/>
      </c>
      <c r="F2120" s="3" t="str">
        <f>IF(A2120="","",'ATP Fills'!G2120)</f>
        <v/>
      </c>
      <c r="G2120" t="str">
        <f>IF(A2120="","",'ATP Fills'!H2120)</f>
        <v/>
      </c>
      <c r="H2120" t="str">
        <f>IF(A2120="","",VLOOKUP(G2120,表3_3[],2,0))</f>
        <v/>
      </c>
      <c r="I2120" t="str">
        <f>IF(A2120="","",VLOOKUP(G2120,表3_3[],3,0))</f>
        <v/>
      </c>
      <c r="J2120" t="str">
        <f>IF(A2120="","",IF('ATP Fills'!I2120="3M","",VLOOKUP(RIGHT('ATP Fills'!I2120,2),Helper1!$O$36:$P$48,2,0)))</f>
        <v/>
      </c>
      <c r="K2120" t="str">
        <f>IF(J2120="","",LEFT('ATP Fills'!I2120,4))</f>
        <v/>
      </c>
      <c r="L2120" t="str">
        <f>IF(A2120="","",IF('ATP Fills'!G2120="LME",'ATP Fills'!I2120,""))</f>
        <v/>
      </c>
      <c r="M2120" t="str">
        <f t="shared" si="33"/>
        <v/>
      </c>
    </row>
    <row r="2121" spans="1:13">
      <c r="A2121" t="str">
        <f>IF('ATP Fills'!A2121="","",IF('ATP Fills'!Q2121="PHILLIPSG",'ATP Fills'!F2121,""))</f>
        <v/>
      </c>
      <c r="B2121" t="str">
        <f>IF(A2121="","",'ATP Fills'!L2121)</f>
        <v/>
      </c>
      <c r="C2121" t="str">
        <f>IF(A2121="","",'ATP Fills'!M2121)</f>
        <v/>
      </c>
      <c r="D2121" t="str">
        <f>IF(A2121="","",'ATP Fills'!B2121)</f>
        <v/>
      </c>
      <c r="E2121" s="3" t="str">
        <f>IF(A2121="","",IF(DATE(LEFT(D2121,4),MID(D2121,5,2),RIGHT(D2121,2))=Helper1!$P$1,Helper1!$P$1,""))</f>
        <v/>
      </c>
      <c r="F2121" s="3" t="str">
        <f>IF(A2121="","",'ATP Fills'!G2121)</f>
        <v/>
      </c>
      <c r="G2121" t="str">
        <f>IF(A2121="","",'ATP Fills'!H2121)</f>
        <v/>
      </c>
      <c r="H2121" t="str">
        <f>IF(A2121="","",VLOOKUP(G2121,表3_3[],2,0))</f>
        <v/>
      </c>
      <c r="I2121" t="str">
        <f>IF(A2121="","",VLOOKUP(G2121,表3_3[],3,0))</f>
        <v/>
      </c>
      <c r="J2121" t="str">
        <f>IF(A2121="","",IF('ATP Fills'!I2121="3M","",VLOOKUP(RIGHT('ATP Fills'!I2121,2),Helper1!$O$36:$P$48,2,0)))</f>
        <v/>
      </c>
      <c r="K2121" t="str">
        <f>IF(J2121="","",LEFT('ATP Fills'!I2121,4))</f>
        <v/>
      </c>
      <c r="L2121" t="str">
        <f>IF(A2121="","",IF('ATP Fills'!G2121="LME",'ATP Fills'!I2121,""))</f>
        <v/>
      </c>
      <c r="M2121" t="str">
        <f t="shared" si="33"/>
        <v/>
      </c>
    </row>
    <row r="2122" spans="1:13">
      <c r="A2122" t="str">
        <f>IF('ATP Fills'!A2122="","",IF('ATP Fills'!Q2122="PHILLIPSG",'ATP Fills'!F2122,""))</f>
        <v/>
      </c>
      <c r="B2122" t="str">
        <f>IF(A2122="","",'ATP Fills'!L2122)</f>
        <v/>
      </c>
      <c r="C2122" t="str">
        <f>IF(A2122="","",'ATP Fills'!M2122)</f>
        <v/>
      </c>
      <c r="D2122" t="str">
        <f>IF(A2122="","",'ATP Fills'!B2122)</f>
        <v/>
      </c>
      <c r="E2122" s="3" t="str">
        <f>IF(A2122="","",IF(DATE(LEFT(D2122,4),MID(D2122,5,2),RIGHT(D2122,2))=Helper1!$P$1,Helper1!$P$1,""))</f>
        <v/>
      </c>
      <c r="F2122" s="3" t="str">
        <f>IF(A2122="","",'ATP Fills'!G2122)</f>
        <v/>
      </c>
      <c r="G2122" t="str">
        <f>IF(A2122="","",'ATP Fills'!H2122)</f>
        <v/>
      </c>
      <c r="H2122" t="str">
        <f>IF(A2122="","",VLOOKUP(G2122,表3_3[],2,0))</f>
        <v/>
      </c>
      <c r="I2122" t="str">
        <f>IF(A2122="","",VLOOKUP(G2122,表3_3[],3,0))</f>
        <v/>
      </c>
      <c r="J2122" t="str">
        <f>IF(A2122="","",IF('ATP Fills'!I2122="3M","",VLOOKUP(RIGHT('ATP Fills'!I2122,2),Helper1!$O$36:$P$48,2,0)))</f>
        <v/>
      </c>
      <c r="K2122" t="str">
        <f>IF(J2122="","",LEFT('ATP Fills'!I2122,4))</f>
        <v/>
      </c>
      <c r="L2122" t="str">
        <f>IF(A2122="","",IF('ATP Fills'!G2122="LME",'ATP Fills'!I2122,""))</f>
        <v/>
      </c>
      <c r="M2122" t="str">
        <f t="shared" si="33"/>
        <v/>
      </c>
    </row>
    <row r="2123" spans="1:13">
      <c r="A2123" t="str">
        <f>IF('ATP Fills'!A2123="","",IF('ATP Fills'!Q2123="PHILLIPSG",'ATP Fills'!F2123,""))</f>
        <v/>
      </c>
      <c r="B2123" t="str">
        <f>IF(A2123="","",'ATP Fills'!L2123)</f>
        <v/>
      </c>
      <c r="C2123" t="str">
        <f>IF(A2123="","",'ATP Fills'!M2123)</f>
        <v/>
      </c>
      <c r="D2123" t="str">
        <f>IF(A2123="","",'ATP Fills'!B2123)</f>
        <v/>
      </c>
      <c r="E2123" s="3" t="str">
        <f>IF(A2123="","",IF(DATE(LEFT(D2123,4),MID(D2123,5,2),RIGHT(D2123,2))=Helper1!$P$1,Helper1!$P$1,""))</f>
        <v/>
      </c>
      <c r="F2123" s="3" t="str">
        <f>IF(A2123="","",'ATP Fills'!G2123)</f>
        <v/>
      </c>
      <c r="G2123" t="str">
        <f>IF(A2123="","",'ATP Fills'!H2123)</f>
        <v/>
      </c>
      <c r="H2123" t="str">
        <f>IF(A2123="","",VLOOKUP(G2123,表3_3[],2,0))</f>
        <v/>
      </c>
      <c r="I2123" t="str">
        <f>IF(A2123="","",VLOOKUP(G2123,表3_3[],3,0))</f>
        <v/>
      </c>
      <c r="J2123" t="str">
        <f>IF(A2123="","",IF('ATP Fills'!I2123="3M","",VLOOKUP(RIGHT('ATP Fills'!I2123,2),Helper1!$O$36:$P$48,2,0)))</f>
        <v/>
      </c>
      <c r="K2123" t="str">
        <f>IF(J2123="","",LEFT('ATP Fills'!I2123,4))</f>
        <v/>
      </c>
      <c r="L2123" t="str">
        <f>IF(A2123="","",IF('ATP Fills'!G2123="LME",'ATP Fills'!I2123,""))</f>
        <v/>
      </c>
      <c r="M2123" t="str">
        <f t="shared" si="33"/>
        <v/>
      </c>
    </row>
    <row r="2124" spans="1:13">
      <c r="A2124" t="str">
        <f>IF('ATP Fills'!A2124="","",IF('ATP Fills'!Q2124="PHILLIPSG",'ATP Fills'!F2124,""))</f>
        <v/>
      </c>
      <c r="B2124" t="str">
        <f>IF(A2124="","",'ATP Fills'!L2124)</f>
        <v/>
      </c>
      <c r="C2124" t="str">
        <f>IF(A2124="","",'ATP Fills'!M2124)</f>
        <v/>
      </c>
      <c r="D2124" t="str">
        <f>IF(A2124="","",'ATP Fills'!B2124)</f>
        <v/>
      </c>
      <c r="E2124" s="3" t="str">
        <f>IF(A2124="","",IF(DATE(LEFT(D2124,4),MID(D2124,5,2),RIGHT(D2124,2))=Helper1!$P$1,Helper1!$P$1,""))</f>
        <v/>
      </c>
      <c r="F2124" s="3" t="str">
        <f>IF(A2124="","",'ATP Fills'!G2124)</f>
        <v/>
      </c>
      <c r="G2124" t="str">
        <f>IF(A2124="","",'ATP Fills'!H2124)</f>
        <v/>
      </c>
      <c r="H2124" t="str">
        <f>IF(A2124="","",VLOOKUP(G2124,表3_3[],2,0))</f>
        <v/>
      </c>
      <c r="I2124" t="str">
        <f>IF(A2124="","",VLOOKUP(G2124,表3_3[],3,0))</f>
        <v/>
      </c>
      <c r="J2124" t="str">
        <f>IF(A2124="","",IF('ATP Fills'!I2124="3M","",VLOOKUP(RIGHT('ATP Fills'!I2124,2),Helper1!$O$36:$P$48,2,0)))</f>
        <v/>
      </c>
      <c r="K2124" t="str">
        <f>IF(J2124="","",LEFT('ATP Fills'!I2124,4))</f>
        <v/>
      </c>
      <c r="L2124" t="str">
        <f>IF(A2124="","",IF('ATP Fills'!G2124="LME",'ATP Fills'!I2124,""))</f>
        <v/>
      </c>
      <c r="M2124" t="str">
        <f t="shared" si="33"/>
        <v/>
      </c>
    </row>
    <row r="2125" spans="1:13">
      <c r="A2125" t="str">
        <f>IF('ATP Fills'!A2125="","",IF('ATP Fills'!Q2125="PHILLIPSG",'ATP Fills'!F2125,""))</f>
        <v/>
      </c>
      <c r="B2125" t="str">
        <f>IF(A2125="","",'ATP Fills'!L2125)</f>
        <v/>
      </c>
      <c r="C2125" t="str">
        <f>IF(A2125="","",'ATP Fills'!M2125)</f>
        <v/>
      </c>
      <c r="D2125" t="str">
        <f>IF(A2125="","",'ATP Fills'!B2125)</f>
        <v/>
      </c>
      <c r="E2125" s="3" t="str">
        <f>IF(A2125="","",IF(DATE(LEFT(D2125,4),MID(D2125,5,2),RIGHT(D2125,2))=Helper1!$P$1,Helper1!$P$1,""))</f>
        <v/>
      </c>
      <c r="F2125" s="3" t="str">
        <f>IF(A2125="","",'ATP Fills'!G2125)</f>
        <v/>
      </c>
      <c r="G2125" t="str">
        <f>IF(A2125="","",'ATP Fills'!H2125)</f>
        <v/>
      </c>
      <c r="H2125" t="str">
        <f>IF(A2125="","",VLOOKUP(G2125,表3_3[],2,0))</f>
        <v/>
      </c>
      <c r="I2125" t="str">
        <f>IF(A2125="","",VLOOKUP(G2125,表3_3[],3,0))</f>
        <v/>
      </c>
      <c r="J2125" t="str">
        <f>IF(A2125="","",IF('ATP Fills'!I2125="3M","",VLOOKUP(RIGHT('ATP Fills'!I2125,2),Helper1!$O$36:$P$48,2,0)))</f>
        <v/>
      </c>
      <c r="K2125" t="str">
        <f>IF(J2125="","",LEFT('ATP Fills'!I2125,4))</f>
        <v/>
      </c>
      <c r="L2125" t="str">
        <f>IF(A2125="","",IF('ATP Fills'!G2125="LME",'ATP Fills'!I2125,""))</f>
        <v/>
      </c>
      <c r="M2125" t="str">
        <f t="shared" si="33"/>
        <v/>
      </c>
    </row>
    <row r="2126" spans="1:13">
      <c r="A2126" t="str">
        <f>IF('ATP Fills'!A2126="","",IF('ATP Fills'!Q2126="PHILLIPSG",'ATP Fills'!F2126,""))</f>
        <v/>
      </c>
      <c r="B2126" t="str">
        <f>IF(A2126="","",'ATP Fills'!L2126)</f>
        <v/>
      </c>
      <c r="C2126" t="str">
        <f>IF(A2126="","",'ATP Fills'!M2126)</f>
        <v/>
      </c>
      <c r="D2126" t="str">
        <f>IF(A2126="","",'ATP Fills'!B2126)</f>
        <v/>
      </c>
      <c r="E2126" s="3" t="str">
        <f>IF(A2126="","",IF(DATE(LEFT(D2126,4),MID(D2126,5,2),RIGHT(D2126,2))=Helper1!$P$1,Helper1!$P$1,""))</f>
        <v/>
      </c>
      <c r="F2126" s="3" t="str">
        <f>IF(A2126="","",'ATP Fills'!G2126)</f>
        <v/>
      </c>
      <c r="G2126" t="str">
        <f>IF(A2126="","",'ATP Fills'!H2126)</f>
        <v/>
      </c>
      <c r="H2126" t="str">
        <f>IF(A2126="","",VLOOKUP(G2126,表3_3[],2,0))</f>
        <v/>
      </c>
      <c r="I2126" t="str">
        <f>IF(A2126="","",VLOOKUP(G2126,表3_3[],3,0))</f>
        <v/>
      </c>
      <c r="J2126" t="str">
        <f>IF(A2126="","",IF('ATP Fills'!I2126="3M","",VLOOKUP(RIGHT('ATP Fills'!I2126,2),Helper1!$O$36:$P$48,2,0)))</f>
        <v/>
      </c>
      <c r="K2126" t="str">
        <f>IF(J2126="","",LEFT('ATP Fills'!I2126,4))</f>
        <v/>
      </c>
      <c r="L2126" t="str">
        <f>IF(A2126="","",IF('ATP Fills'!G2126="LME",'ATP Fills'!I2126,""))</f>
        <v/>
      </c>
      <c r="M2126" t="str">
        <f t="shared" si="33"/>
        <v/>
      </c>
    </row>
    <row r="2127" spans="1:13">
      <c r="A2127" t="str">
        <f>IF('ATP Fills'!A2127="","",IF('ATP Fills'!Q2127="PHILLIPSG",'ATP Fills'!F2127,""))</f>
        <v/>
      </c>
      <c r="B2127" t="str">
        <f>IF(A2127="","",'ATP Fills'!L2127)</f>
        <v/>
      </c>
      <c r="C2127" t="str">
        <f>IF(A2127="","",'ATP Fills'!M2127)</f>
        <v/>
      </c>
      <c r="D2127" t="str">
        <f>IF(A2127="","",'ATP Fills'!B2127)</f>
        <v/>
      </c>
      <c r="E2127" s="3" t="str">
        <f>IF(A2127="","",IF(DATE(LEFT(D2127,4),MID(D2127,5,2),RIGHT(D2127,2))=Helper1!$P$1,Helper1!$P$1,""))</f>
        <v/>
      </c>
      <c r="F2127" s="3" t="str">
        <f>IF(A2127="","",'ATP Fills'!G2127)</f>
        <v/>
      </c>
      <c r="G2127" t="str">
        <f>IF(A2127="","",'ATP Fills'!H2127)</f>
        <v/>
      </c>
      <c r="H2127" t="str">
        <f>IF(A2127="","",VLOOKUP(G2127,表3_3[],2,0))</f>
        <v/>
      </c>
      <c r="I2127" t="str">
        <f>IF(A2127="","",VLOOKUP(G2127,表3_3[],3,0))</f>
        <v/>
      </c>
      <c r="J2127" t="str">
        <f>IF(A2127="","",IF('ATP Fills'!I2127="3M","",VLOOKUP(RIGHT('ATP Fills'!I2127,2),Helper1!$O$36:$P$48,2,0)))</f>
        <v/>
      </c>
      <c r="K2127" t="str">
        <f>IF(J2127="","",LEFT('ATP Fills'!I2127,4))</f>
        <v/>
      </c>
      <c r="L2127" t="str">
        <f>IF(A2127="","",IF('ATP Fills'!G2127="LME",'ATP Fills'!I2127,""))</f>
        <v/>
      </c>
      <c r="M2127" t="str">
        <f t="shared" si="33"/>
        <v/>
      </c>
    </row>
    <row r="2128" spans="1:13">
      <c r="A2128" t="str">
        <f>IF('ATP Fills'!A2128="","",IF('ATP Fills'!Q2128="PHILLIPSG",'ATP Fills'!F2128,""))</f>
        <v/>
      </c>
      <c r="B2128" t="str">
        <f>IF(A2128="","",'ATP Fills'!L2128)</f>
        <v/>
      </c>
      <c r="C2128" t="str">
        <f>IF(A2128="","",'ATP Fills'!M2128)</f>
        <v/>
      </c>
      <c r="D2128" t="str">
        <f>IF(A2128="","",'ATP Fills'!B2128)</f>
        <v/>
      </c>
      <c r="E2128" s="3" t="str">
        <f>IF(A2128="","",IF(DATE(LEFT(D2128,4),MID(D2128,5,2),RIGHT(D2128,2))=Helper1!$P$1,Helper1!$P$1,""))</f>
        <v/>
      </c>
      <c r="F2128" s="3" t="str">
        <f>IF(A2128="","",'ATP Fills'!G2128)</f>
        <v/>
      </c>
      <c r="G2128" t="str">
        <f>IF(A2128="","",'ATP Fills'!H2128)</f>
        <v/>
      </c>
      <c r="H2128" t="str">
        <f>IF(A2128="","",VLOOKUP(G2128,表3_3[],2,0))</f>
        <v/>
      </c>
      <c r="I2128" t="str">
        <f>IF(A2128="","",VLOOKUP(G2128,表3_3[],3,0))</f>
        <v/>
      </c>
      <c r="J2128" t="str">
        <f>IF(A2128="","",IF('ATP Fills'!I2128="3M","",VLOOKUP(RIGHT('ATP Fills'!I2128,2),Helper1!$O$36:$P$48,2,0)))</f>
        <v/>
      </c>
      <c r="K2128" t="str">
        <f>IF(J2128="","",LEFT('ATP Fills'!I2128,4))</f>
        <v/>
      </c>
      <c r="L2128" t="str">
        <f>IF(A2128="","",IF('ATP Fills'!G2128="LME",'ATP Fills'!I2128,""))</f>
        <v/>
      </c>
      <c r="M2128" t="str">
        <f t="shared" si="33"/>
        <v/>
      </c>
    </row>
    <row r="2129" spans="1:13">
      <c r="A2129" t="str">
        <f>IF('ATP Fills'!A2129="","",IF('ATP Fills'!Q2129="PHILLIPSG",'ATP Fills'!F2129,""))</f>
        <v/>
      </c>
      <c r="B2129" t="str">
        <f>IF(A2129="","",'ATP Fills'!L2129)</f>
        <v/>
      </c>
      <c r="C2129" t="str">
        <f>IF(A2129="","",'ATP Fills'!M2129)</f>
        <v/>
      </c>
      <c r="D2129" t="str">
        <f>IF(A2129="","",'ATP Fills'!B2129)</f>
        <v/>
      </c>
      <c r="E2129" s="3" t="str">
        <f>IF(A2129="","",IF(DATE(LEFT(D2129,4),MID(D2129,5,2),RIGHT(D2129,2))=Helper1!$P$1,Helper1!$P$1,""))</f>
        <v/>
      </c>
      <c r="F2129" s="3" t="str">
        <f>IF(A2129="","",'ATP Fills'!G2129)</f>
        <v/>
      </c>
      <c r="G2129" t="str">
        <f>IF(A2129="","",'ATP Fills'!H2129)</f>
        <v/>
      </c>
      <c r="H2129" t="str">
        <f>IF(A2129="","",VLOOKUP(G2129,表3_3[],2,0))</f>
        <v/>
      </c>
      <c r="I2129" t="str">
        <f>IF(A2129="","",VLOOKUP(G2129,表3_3[],3,0))</f>
        <v/>
      </c>
      <c r="J2129" t="str">
        <f>IF(A2129="","",IF('ATP Fills'!I2129="3M","",VLOOKUP(RIGHT('ATP Fills'!I2129,2),Helper1!$O$36:$P$48,2,0)))</f>
        <v/>
      </c>
      <c r="K2129" t="str">
        <f>IF(J2129="","",LEFT('ATP Fills'!I2129,4))</f>
        <v/>
      </c>
      <c r="L2129" t="str">
        <f>IF(A2129="","",IF('ATP Fills'!G2129="LME",'ATP Fills'!I2129,""))</f>
        <v/>
      </c>
      <c r="M2129" t="str">
        <f t="shared" si="33"/>
        <v/>
      </c>
    </row>
    <row r="2130" spans="1:13">
      <c r="A2130" t="str">
        <f>IF('ATP Fills'!A2130="","",IF('ATP Fills'!Q2130="PHILLIPSG",'ATP Fills'!F2130,""))</f>
        <v/>
      </c>
      <c r="B2130" t="str">
        <f>IF(A2130="","",'ATP Fills'!L2130)</f>
        <v/>
      </c>
      <c r="C2130" t="str">
        <f>IF(A2130="","",'ATP Fills'!M2130)</f>
        <v/>
      </c>
      <c r="D2130" t="str">
        <f>IF(A2130="","",'ATP Fills'!B2130)</f>
        <v/>
      </c>
      <c r="E2130" s="3" t="str">
        <f>IF(A2130="","",IF(DATE(LEFT(D2130,4),MID(D2130,5,2),RIGHT(D2130,2))=Helper1!$P$1,Helper1!$P$1,""))</f>
        <v/>
      </c>
      <c r="F2130" s="3" t="str">
        <f>IF(A2130="","",'ATP Fills'!G2130)</f>
        <v/>
      </c>
      <c r="G2130" t="str">
        <f>IF(A2130="","",'ATP Fills'!H2130)</f>
        <v/>
      </c>
      <c r="H2130" t="str">
        <f>IF(A2130="","",VLOOKUP(G2130,表3_3[],2,0))</f>
        <v/>
      </c>
      <c r="I2130" t="str">
        <f>IF(A2130="","",VLOOKUP(G2130,表3_3[],3,0))</f>
        <v/>
      </c>
      <c r="J2130" t="str">
        <f>IF(A2130="","",IF('ATP Fills'!I2130="3M","",VLOOKUP(RIGHT('ATP Fills'!I2130,2),Helper1!$O$36:$P$48,2,0)))</f>
        <v/>
      </c>
      <c r="K2130" t="str">
        <f>IF(J2130="","",LEFT('ATP Fills'!I2130,4))</f>
        <v/>
      </c>
      <c r="L2130" t="str">
        <f>IF(A2130="","",IF('ATP Fills'!G2130="LME",'ATP Fills'!I2130,""))</f>
        <v/>
      </c>
      <c r="M2130" t="str">
        <f t="shared" si="33"/>
        <v/>
      </c>
    </row>
    <row r="2131" spans="1:13">
      <c r="A2131" t="str">
        <f>IF('ATP Fills'!A2131="","",IF('ATP Fills'!Q2131="PHILLIPSG",'ATP Fills'!F2131,""))</f>
        <v/>
      </c>
      <c r="B2131" t="str">
        <f>IF(A2131="","",'ATP Fills'!L2131)</f>
        <v/>
      </c>
      <c r="C2131" t="str">
        <f>IF(A2131="","",'ATP Fills'!M2131)</f>
        <v/>
      </c>
      <c r="D2131" t="str">
        <f>IF(A2131="","",'ATP Fills'!B2131)</f>
        <v/>
      </c>
      <c r="E2131" s="3" t="str">
        <f>IF(A2131="","",IF(DATE(LEFT(D2131,4),MID(D2131,5,2),RIGHT(D2131,2))=Helper1!$P$1,Helper1!$P$1,""))</f>
        <v/>
      </c>
      <c r="F2131" s="3" t="str">
        <f>IF(A2131="","",'ATP Fills'!G2131)</f>
        <v/>
      </c>
      <c r="G2131" t="str">
        <f>IF(A2131="","",'ATP Fills'!H2131)</f>
        <v/>
      </c>
      <c r="H2131" t="str">
        <f>IF(A2131="","",VLOOKUP(G2131,表3_3[],2,0))</f>
        <v/>
      </c>
      <c r="I2131" t="str">
        <f>IF(A2131="","",VLOOKUP(G2131,表3_3[],3,0))</f>
        <v/>
      </c>
      <c r="J2131" t="str">
        <f>IF(A2131="","",IF('ATP Fills'!I2131="3M","",VLOOKUP(RIGHT('ATP Fills'!I2131,2),Helper1!$O$36:$P$48,2,0)))</f>
        <v/>
      </c>
      <c r="K2131" t="str">
        <f>IF(J2131="","",LEFT('ATP Fills'!I2131,4))</f>
        <v/>
      </c>
      <c r="L2131" t="str">
        <f>IF(A2131="","",IF('ATP Fills'!G2131="LME",'ATP Fills'!I2131,""))</f>
        <v/>
      </c>
      <c r="M2131" t="str">
        <f t="shared" si="33"/>
        <v/>
      </c>
    </row>
    <row r="2132" spans="1:13">
      <c r="A2132" t="str">
        <f>IF('ATP Fills'!A2132="","",IF('ATP Fills'!Q2132="PHILLIPSG",'ATP Fills'!F2132,""))</f>
        <v/>
      </c>
      <c r="B2132" t="str">
        <f>IF(A2132="","",'ATP Fills'!L2132)</f>
        <v/>
      </c>
      <c r="C2132" t="str">
        <f>IF(A2132="","",'ATP Fills'!M2132)</f>
        <v/>
      </c>
      <c r="D2132" t="str">
        <f>IF(A2132="","",'ATP Fills'!B2132)</f>
        <v/>
      </c>
      <c r="E2132" s="3" t="str">
        <f>IF(A2132="","",IF(DATE(LEFT(D2132,4),MID(D2132,5,2),RIGHT(D2132,2))=Helper1!$P$1,Helper1!$P$1,""))</f>
        <v/>
      </c>
      <c r="F2132" s="3" t="str">
        <f>IF(A2132="","",'ATP Fills'!G2132)</f>
        <v/>
      </c>
      <c r="G2132" t="str">
        <f>IF(A2132="","",'ATP Fills'!H2132)</f>
        <v/>
      </c>
      <c r="H2132" t="str">
        <f>IF(A2132="","",VLOOKUP(G2132,表3_3[],2,0))</f>
        <v/>
      </c>
      <c r="I2132" t="str">
        <f>IF(A2132="","",VLOOKUP(G2132,表3_3[],3,0))</f>
        <v/>
      </c>
      <c r="J2132" t="str">
        <f>IF(A2132="","",IF('ATP Fills'!I2132="3M","",VLOOKUP(RIGHT('ATP Fills'!I2132,2),Helper1!$O$36:$P$48,2,0)))</f>
        <v/>
      </c>
      <c r="K2132" t="str">
        <f>IF(J2132="","",LEFT('ATP Fills'!I2132,4))</f>
        <v/>
      </c>
      <c r="L2132" t="str">
        <f>IF(A2132="","",IF('ATP Fills'!G2132="LME",'ATP Fills'!I2132,""))</f>
        <v/>
      </c>
      <c r="M2132" t="str">
        <f t="shared" si="33"/>
        <v/>
      </c>
    </row>
    <row r="2133" spans="1:13">
      <c r="A2133" t="str">
        <f>IF('ATP Fills'!A2133="","",IF('ATP Fills'!Q2133="PHILLIPSG",'ATP Fills'!F2133,""))</f>
        <v/>
      </c>
      <c r="B2133" t="str">
        <f>IF(A2133="","",'ATP Fills'!L2133)</f>
        <v/>
      </c>
      <c r="C2133" t="str">
        <f>IF(A2133="","",'ATP Fills'!M2133)</f>
        <v/>
      </c>
      <c r="D2133" t="str">
        <f>IF(A2133="","",'ATP Fills'!B2133)</f>
        <v/>
      </c>
      <c r="E2133" s="3" t="str">
        <f>IF(A2133="","",IF(DATE(LEFT(D2133,4),MID(D2133,5,2),RIGHT(D2133,2))=Helper1!$P$1,Helper1!$P$1,""))</f>
        <v/>
      </c>
      <c r="F2133" s="3" t="str">
        <f>IF(A2133="","",'ATP Fills'!G2133)</f>
        <v/>
      </c>
      <c r="G2133" t="str">
        <f>IF(A2133="","",'ATP Fills'!H2133)</f>
        <v/>
      </c>
      <c r="H2133" t="str">
        <f>IF(A2133="","",VLOOKUP(G2133,表3_3[],2,0))</f>
        <v/>
      </c>
      <c r="I2133" t="str">
        <f>IF(A2133="","",VLOOKUP(G2133,表3_3[],3,0))</f>
        <v/>
      </c>
      <c r="J2133" t="str">
        <f>IF(A2133="","",IF('ATP Fills'!I2133="3M","",VLOOKUP(RIGHT('ATP Fills'!I2133,2),Helper1!$O$36:$P$48,2,0)))</f>
        <v/>
      </c>
      <c r="K2133" t="str">
        <f>IF(J2133="","",LEFT('ATP Fills'!I2133,4))</f>
        <v/>
      </c>
      <c r="L2133" t="str">
        <f>IF(A2133="","",IF('ATP Fills'!G2133="LME",'ATP Fills'!I2133,""))</f>
        <v/>
      </c>
      <c r="M2133" t="str">
        <f t="shared" si="33"/>
        <v/>
      </c>
    </row>
    <row r="2134" spans="1:13">
      <c r="A2134" t="str">
        <f>IF('ATP Fills'!A2134="","",IF('ATP Fills'!Q2134="PHILLIPSG",'ATP Fills'!F2134,""))</f>
        <v/>
      </c>
      <c r="B2134" t="str">
        <f>IF(A2134="","",'ATP Fills'!L2134)</f>
        <v/>
      </c>
      <c r="C2134" t="str">
        <f>IF(A2134="","",'ATP Fills'!M2134)</f>
        <v/>
      </c>
      <c r="D2134" t="str">
        <f>IF(A2134="","",'ATP Fills'!B2134)</f>
        <v/>
      </c>
      <c r="E2134" s="3" t="str">
        <f>IF(A2134="","",IF(DATE(LEFT(D2134,4),MID(D2134,5,2),RIGHT(D2134,2))=Helper1!$P$1,Helper1!$P$1,""))</f>
        <v/>
      </c>
      <c r="F2134" s="3" t="str">
        <f>IF(A2134="","",'ATP Fills'!G2134)</f>
        <v/>
      </c>
      <c r="G2134" t="str">
        <f>IF(A2134="","",'ATP Fills'!H2134)</f>
        <v/>
      </c>
      <c r="H2134" t="str">
        <f>IF(A2134="","",VLOOKUP(G2134,表3_3[],2,0))</f>
        <v/>
      </c>
      <c r="I2134" t="str">
        <f>IF(A2134="","",VLOOKUP(G2134,表3_3[],3,0))</f>
        <v/>
      </c>
      <c r="J2134" t="str">
        <f>IF(A2134="","",IF('ATP Fills'!I2134="3M","",VLOOKUP(RIGHT('ATP Fills'!I2134,2),Helper1!$O$36:$P$48,2,0)))</f>
        <v/>
      </c>
      <c r="K2134" t="str">
        <f>IF(J2134="","",LEFT('ATP Fills'!I2134,4))</f>
        <v/>
      </c>
      <c r="L2134" t="str">
        <f>IF(A2134="","",IF('ATP Fills'!G2134="LME",'ATP Fills'!I2134,""))</f>
        <v/>
      </c>
      <c r="M2134" t="str">
        <f t="shared" si="33"/>
        <v/>
      </c>
    </row>
    <row r="2135" spans="1:13">
      <c r="A2135" t="str">
        <f>IF('ATP Fills'!A2135="","",IF('ATP Fills'!Q2135="PHILLIPSG",'ATP Fills'!F2135,""))</f>
        <v/>
      </c>
      <c r="B2135" t="str">
        <f>IF(A2135="","",'ATP Fills'!L2135)</f>
        <v/>
      </c>
      <c r="C2135" t="str">
        <f>IF(A2135="","",'ATP Fills'!M2135)</f>
        <v/>
      </c>
      <c r="D2135" t="str">
        <f>IF(A2135="","",'ATP Fills'!B2135)</f>
        <v/>
      </c>
      <c r="E2135" s="3" t="str">
        <f>IF(A2135="","",IF(DATE(LEFT(D2135,4),MID(D2135,5,2),RIGHT(D2135,2))=Helper1!$P$1,Helper1!$P$1,""))</f>
        <v/>
      </c>
      <c r="F2135" s="3" t="str">
        <f>IF(A2135="","",'ATP Fills'!G2135)</f>
        <v/>
      </c>
      <c r="G2135" t="str">
        <f>IF(A2135="","",'ATP Fills'!H2135)</f>
        <v/>
      </c>
      <c r="H2135" t="str">
        <f>IF(A2135="","",VLOOKUP(G2135,表3_3[],2,0))</f>
        <v/>
      </c>
      <c r="I2135" t="str">
        <f>IF(A2135="","",VLOOKUP(G2135,表3_3[],3,0))</f>
        <v/>
      </c>
      <c r="J2135" t="str">
        <f>IF(A2135="","",IF('ATP Fills'!I2135="3M","",VLOOKUP(RIGHT('ATP Fills'!I2135,2),Helper1!$O$36:$P$48,2,0)))</f>
        <v/>
      </c>
      <c r="K2135" t="str">
        <f>IF(J2135="","",LEFT('ATP Fills'!I2135,4))</f>
        <v/>
      </c>
      <c r="L2135" t="str">
        <f>IF(A2135="","",IF('ATP Fills'!G2135="LME",'ATP Fills'!I2135,""))</f>
        <v/>
      </c>
      <c r="M2135" t="str">
        <f t="shared" si="33"/>
        <v/>
      </c>
    </row>
    <row r="2136" spans="1:13">
      <c r="A2136" t="str">
        <f>IF('ATP Fills'!A2136="","",IF('ATP Fills'!Q2136="PHILLIPSG",'ATP Fills'!F2136,""))</f>
        <v/>
      </c>
      <c r="B2136" t="str">
        <f>IF(A2136="","",'ATP Fills'!L2136)</f>
        <v/>
      </c>
      <c r="C2136" t="str">
        <f>IF(A2136="","",'ATP Fills'!M2136)</f>
        <v/>
      </c>
      <c r="D2136" t="str">
        <f>IF(A2136="","",'ATP Fills'!B2136)</f>
        <v/>
      </c>
      <c r="E2136" s="3" t="str">
        <f>IF(A2136="","",IF(DATE(LEFT(D2136,4),MID(D2136,5,2),RIGHT(D2136,2))=Helper1!$P$1,Helper1!$P$1,""))</f>
        <v/>
      </c>
      <c r="F2136" s="3" t="str">
        <f>IF(A2136="","",'ATP Fills'!G2136)</f>
        <v/>
      </c>
      <c r="G2136" t="str">
        <f>IF(A2136="","",'ATP Fills'!H2136)</f>
        <v/>
      </c>
      <c r="H2136" t="str">
        <f>IF(A2136="","",VLOOKUP(G2136,表3_3[],2,0))</f>
        <v/>
      </c>
      <c r="I2136" t="str">
        <f>IF(A2136="","",VLOOKUP(G2136,表3_3[],3,0))</f>
        <v/>
      </c>
      <c r="J2136" t="str">
        <f>IF(A2136="","",IF('ATP Fills'!I2136="3M","",VLOOKUP(RIGHT('ATP Fills'!I2136,2),Helper1!$O$36:$P$48,2,0)))</f>
        <v/>
      </c>
      <c r="K2136" t="str">
        <f>IF(J2136="","",LEFT('ATP Fills'!I2136,4))</f>
        <v/>
      </c>
      <c r="L2136" t="str">
        <f>IF(A2136="","",IF('ATP Fills'!G2136="LME",'ATP Fills'!I2136,""))</f>
        <v/>
      </c>
      <c r="M2136" t="str">
        <f t="shared" si="33"/>
        <v/>
      </c>
    </row>
    <row r="2137" spans="1:13">
      <c r="A2137" t="str">
        <f>IF('ATP Fills'!A2137="","",IF('ATP Fills'!Q2137="PHILLIPSG",'ATP Fills'!F2137,""))</f>
        <v/>
      </c>
      <c r="B2137" t="str">
        <f>IF(A2137="","",'ATP Fills'!L2137)</f>
        <v/>
      </c>
      <c r="C2137" t="str">
        <f>IF(A2137="","",'ATP Fills'!M2137)</f>
        <v/>
      </c>
      <c r="D2137" t="str">
        <f>IF(A2137="","",'ATP Fills'!B2137)</f>
        <v/>
      </c>
      <c r="E2137" s="3" t="str">
        <f>IF(A2137="","",IF(DATE(LEFT(D2137,4),MID(D2137,5,2),RIGHT(D2137,2))=Helper1!$P$1,Helper1!$P$1,""))</f>
        <v/>
      </c>
      <c r="F2137" s="3" t="str">
        <f>IF(A2137="","",'ATP Fills'!G2137)</f>
        <v/>
      </c>
      <c r="G2137" t="str">
        <f>IF(A2137="","",'ATP Fills'!H2137)</f>
        <v/>
      </c>
      <c r="H2137" t="str">
        <f>IF(A2137="","",VLOOKUP(G2137,表3_3[],2,0))</f>
        <v/>
      </c>
      <c r="I2137" t="str">
        <f>IF(A2137="","",VLOOKUP(G2137,表3_3[],3,0))</f>
        <v/>
      </c>
      <c r="J2137" t="str">
        <f>IF(A2137="","",IF('ATP Fills'!I2137="3M","",VLOOKUP(RIGHT('ATP Fills'!I2137,2),Helper1!$O$36:$P$48,2,0)))</f>
        <v/>
      </c>
      <c r="K2137" t="str">
        <f>IF(J2137="","",LEFT('ATP Fills'!I2137,4))</f>
        <v/>
      </c>
      <c r="L2137" t="str">
        <f>IF(A2137="","",IF('ATP Fills'!G2137="LME",'ATP Fills'!I2137,""))</f>
        <v/>
      </c>
      <c r="M2137" t="str">
        <f t="shared" si="33"/>
        <v/>
      </c>
    </row>
    <row r="2138" spans="1:13">
      <c r="A2138" t="str">
        <f>IF('ATP Fills'!A2138="","",IF('ATP Fills'!Q2138="PHILLIPSG",'ATP Fills'!F2138,""))</f>
        <v/>
      </c>
      <c r="B2138" t="str">
        <f>IF(A2138="","",'ATP Fills'!L2138)</f>
        <v/>
      </c>
      <c r="C2138" t="str">
        <f>IF(A2138="","",'ATP Fills'!M2138)</f>
        <v/>
      </c>
      <c r="D2138" t="str">
        <f>IF(A2138="","",'ATP Fills'!B2138)</f>
        <v/>
      </c>
      <c r="E2138" s="3" t="str">
        <f>IF(A2138="","",IF(DATE(LEFT(D2138,4),MID(D2138,5,2),RIGHT(D2138,2))=Helper1!$P$1,Helper1!$P$1,""))</f>
        <v/>
      </c>
      <c r="F2138" s="3" t="str">
        <f>IF(A2138="","",'ATP Fills'!G2138)</f>
        <v/>
      </c>
      <c r="G2138" t="str">
        <f>IF(A2138="","",'ATP Fills'!H2138)</f>
        <v/>
      </c>
      <c r="H2138" t="str">
        <f>IF(A2138="","",VLOOKUP(G2138,表3_3[],2,0))</f>
        <v/>
      </c>
      <c r="I2138" t="str">
        <f>IF(A2138="","",VLOOKUP(G2138,表3_3[],3,0))</f>
        <v/>
      </c>
      <c r="J2138" t="str">
        <f>IF(A2138="","",IF('ATP Fills'!I2138="3M","",VLOOKUP(RIGHT('ATP Fills'!I2138,2),Helper1!$O$36:$P$48,2,0)))</f>
        <v/>
      </c>
      <c r="K2138" t="str">
        <f>IF(J2138="","",LEFT('ATP Fills'!I2138,4))</f>
        <v/>
      </c>
      <c r="L2138" t="str">
        <f>IF(A2138="","",IF('ATP Fills'!G2138="LME",'ATP Fills'!I2138,""))</f>
        <v/>
      </c>
      <c r="M2138" t="str">
        <f t="shared" si="33"/>
        <v/>
      </c>
    </row>
    <row r="2139" spans="1:13">
      <c r="A2139" t="str">
        <f>IF('ATP Fills'!A2139="","",IF('ATP Fills'!Q2139="PHILLIPSG",'ATP Fills'!F2139,""))</f>
        <v/>
      </c>
      <c r="B2139" t="str">
        <f>IF(A2139="","",'ATP Fills'!L2139)</f>
        <v/>
      </c>
      <c r="C2139" t="str">
        <f>IF(A2139="","",'ATP Fills'!M2139)</f>
        <v/>
      </c>
      <c r="D2139" t="str">
        <f>IF(A2139="","",'ATP Fills'!B2139)</f>
        <v/>
      </c>
      <c r="E2139" s="3" t="str">
        <f>IF(A2139="","",IF(DATE(LEFT(D2139,4),MID(D2139,5,2),RIGHT(D2139,2))=Helper1!$P$1,Helper1!$P$1,""))</f>
        <v/>
      </c>
      <c r="F2139" s="3" t="str">
        <f>IF(A2139="","",'ATP Fills'!G2139)</f>
        <v/>
      </c>
      <c r="G2139" t="str">
        <f>IF(A2139="","",'ATP Fills'!H2139)</f>
        <v/>
      </c>
      <c r="H2139" t="str">
        <f>IF(A2139="","",VLOOKUP(G2139,表3_3[],2,0))</f>
        <v/>
      </c>
      <c r="I2139" t="str">
        <f>IF(A2139="","",VLOOKUP(G2139,表3_3[],3,0))</f>
        <v/>
      </c>
      <c r="J2139" t="str">
        <f>IF(A2139="","",IF('ATP Fills'!I2139="3M","",VLOOKUP(RIGHT('ATP Fills'!I2139,2),Helper1!$O$36:$P$48,2,0)))</f>
        <v/>
      </c>
      <c r="K2139" t="str">
        <f>IF(J2139="","",LEFT('ATP Fills'!I2139,4))</f>
        <v/>
      </c>
      <c r="L2139" t="str">
        <f>IF(A2139="","",IF('ATP Fills'!G2139="LME",'ATP Fills'!I2139,""))</f>
        <v/>
      </c>
      <c r="M2139" t="str">
        <f t="shared" si="33"/>
        <v/>
      </c>
    </row>
    <row r="2140" spans="1:13">
      <c r="A2140" t="str">
        <f>IF('ATP Fills'!A2140="","",IF('ATP Fills'!Q2140="PHILLIPSG",'ATP Fills'!F2140,""))</f>
        <v/>
      </c>
      <c r="B2140" t="str">
        <f>IF(A2140="","",'ATP Fills'!L2140)</f>
        <v/>
      </c>
      <c r="C2140" t="str">
        <f>IF(A2140="","",'ATP Fills'!M2140)</f>
        <v/>
      </c>
      <c r="D2140" t="str">
        <f>IF(A2140="","",'ATP Fills'!B2140)</f>
        <v/>
      </c>
      <c r="E2140" s="3" t="str">
        <f>IF(A2140="","",IF(DATE(LEFT(D2140,4),MID(D2140,5,2),RIGHT(D2140,2))=Helper1!$P$1,Helper1!$P$1,""))</f>
        <v/>
      </c>
      <c r="F2140" s="3" t="str">
        <f>IF(A2140="","",'ATP Fills'!G2140)</f>
        <v/>
      </c>
      <c r="G2140" t="str">
        <f>IF(A2140="","",'ATP Fills'!H2140)</f>
        <v/>
      </c>
      <c r="H2140" t="str">
        <f>IF(A2140="","",VLOOKUP(G2140,表3_3[],2,0))</f>
        <v/>
      </c>
      <c r="I2140" t="str">
        <f>IF(A2140="","",VLOOKUP(G2140,表3_3[],3,0))</f>
        <v/>
      </c>
      <c r="J2140" t="str">
        <f>IF(A2140="","",IF('ATP Fills'!I2140="3M","",VLOOKUP(RIGHT('ATP Fills'!I2140,2),Helper1!$O$36:$P$48,2,0)))</f>
        <v/>
      </c>
      <c r="K2140" t="str">
        <f>IF(J2140="","",LEFT('ATP Fills'!I2140,4))</f>
        <v/>
      </c>
      <c r="L2140" t="str">
        <f>IF(A2140="","",IF('ATP Fills'!G2140="LME",'ATP Fills'!I2140,""))</f>
        <v/>
      </c>
      <c r="M2140" t="str">
        <f t="shared" si="33"/>
        <v/>
      </c>
    </row>
    <row r="2141" spans="1:13">
      <c r="A2141" t="str">
        <f>IF('ATP Fills'!A2141="","",IF('ATP Fills'!Q2141="PHILLIPSG",'ATP Fills'!F2141,""))</f>
        <v/>
      </c>
      <c r="B2141" t="str">
        <f>IF(A2141="","",'ATP Fills'!L2141)</f>
        <v/>
      </c>
      <c r="C2141" t="str">
        <f>IF(A2141="","",'ATP Fills'!M2141)</f>
        <v/>
      </c>
      <c r="D2141" t="str">
        <f>IF(A2141="","",'ATP Fills'!B2141)</f>
        <v/>
      </c>
      <c r="E2141" s="3" t="str">
        <f>IF(A2141="","",IF(DATE(LEFT(D2141,4),MID(D2141,5,2),RIGHT(D2141,2))=Helper1!$P$1,Helper1!$P$1,""))</f>
        <v/>
      </c>
      <c r="F2141" s="3" t="str">
        <f>IF(A2141="","",'ATP Fills'!G2141)</f>
        <v/>
      </c>
      <c r="G2141" t="str">
        <f>IF(A2141="","",'ATP Fills'!H2141)</f>
        <v/>
      </c>
      <c r="H2141" t="str">
        <f>IF(A2141="","",VLOOKUP(G2141,表3_3[],2,0))</f>
        <v/>
      </c>
      <c r="I2141" t="str">
        <f>IF(A2141="","",VLOOKUP(G2141,表3_3[],3,0))</f>
        <v/>
      </c>
      <c r="J2141" t="str">
        <f>IF(A2141="","",IF('ATP Fills'!I2141="3M","",VLOOKUP(RIGHT('ATP Fills'!I2141,2),Helper1!$O$36:$P$48,2,0)))</f>
        <v/>
      </c>
      <c r="K2141" t="str">
        <f>IF(J2141="","",LEFT('ATP Fills'!I2141,4))</f>
        <v/>
      </c>
      <c r="L2141" t="str">
        <f>IF(A2141="","",IF('ATP Fills'!G2141="LME",'ATP Fills'!I2141,""))</f>
        <v/>
      </c>
      <c r="M2141" t="str">
        <f t="shared" si="33"/>
        <v/>
      </c>
    </row>
    <row r="2142" spans="1:13">
      <c r="A2142" t="str">
        <f>IF('ATP Fills'!A2142="","",IF('ATP Fills'!Q2142="PHILLIPSG",'ATP Fills'!F2142,""))</f>
        <v/>
      </c>
      <c r="B2142" t="str">
        <f>IF(A2142="","",'ATP Fills'!L2142)</f>
        <v/>
      </c>
      <c r="C2142" t="str">
        <f>IF(A2142="","",'ATP Fills'!M2142)</f>
        <v/>
      </c>
      <c r="D2142" t="str">
        <f>IF(A2142="","",'ATP Fills'!B2142)</f>
        <v/>
      </c>
      <c r="E2142" s="3" t="str">
        <f>IF(A2142="","",IF(DATE(LEFT(D2142,4),MID(D2142,5,2),RIGHT(D2142,2))=Helper1!$P$1,Helper1!$P$1,""))</f>
        <v/>
      </c>
      <c r="F2142" s="3" t="str">
        <f>IF(A2142="","",'ATP Fills'!G2142)</f>
        <v/>
      </c>
      <c r="G2142" t="str">
        <f>IF(A2142="","",'ATP Fills'!H2142)</f>
        <v/>
      </c>
      <c r="H2142" t="str">
        <f>IF(A2142="","",VLOOKUP(G2142,表3_3[],2,0))</f>
        <v/>
      </c>
      <c r="I2142" t="str">
        <f>IF(A2142="","",VLOOKUP(G2142,表3_3[],3,0))</f>
        <v/>
      </c>
      <c r="J2142" t="str">
        <f>IF(A2142="","",IF('ATP Fills'!I2142="3M","",VLOOKUP(RIGHT('ATP Fills'!I2142,2),Helper1!$O$36:$P$48,2,0)))</f>
        <v/>
      </c>
      <c r="K2142" t="str">
        <f>IF(J2142="","",LEFT('ATP Fills'!I2142,4))</f>
        <v/>
      </c>
      <c r="L2142" t="str">
        <f>IF(A2142="","",IF('ATP Fills'!G2142="LME",'ATP Fills'!I2142,""))</f>
        <v/>
      </c>
      <c r="M2142" t="str">
        <f t="shared" si="33"/>
        <v/>
      </c>
    </row>
    <row r="2143" spans="1:13">
      <c r="A2143" t="str">
        <f>IF('ATP Fills'!A2143="","",IF('ATP Fills'!Q2143="PHILLIPSG",'ATP Fills'!F2143,""))</f>
        <v/>
      </c>
      <c r="B2143" t="str">
        <f>IF(A2143="","",'ATP Fills'!L2143)</f>
        <v/>
      </c>
      <c r="C2143" t="str">
        <f>IF(A2143="","",'ATP Fills'!M2143)</f>
        <v/>
      </c>
      <c r="D2143" t="str">
        <f>IF(A2143="","",'ATP Fills'!B2143)</f>
        <v/>
      </c>
      <c r="E2143" s="3" t="str">
        <f>IF(A2143="","",IF(DATE(LEFT(D2143,4),MID(D2143,5,2),RIGHT(D2143,2))=Helper1!$P$1,Helper1!$P$1,""))</f>
        <v/>
      </c>
      <c r="F2143" s="3" t="str">
        <f>IF(A2143="","",'ATP Fills'!G2143)</f>
        <v/>
      </c>
      <c r="G2143" t="str">
        <f>IF(A2143="","",'ATP Fills'!H2143)</f>
        <v/>
      </c>
      <c r="H2143" t="str">
        <f>IF(A2143="","",VLOOKUP(G2143,表3_3[],2,0))</f>
        <v/>
      </c>
      <c r="I2143" t="str">
        <f>IF(A2143="","",VLOOKUP(G2143,表3_3[],3,0))</f>
        <v/>
      </c>
      <c r="J2143" t="str">
        <f>IF(A2143="","",IF('ATP Fills'!I2143="3M","",VLOOKUP(RIGHT('ATP Fills'!I2143,2),Helper1!$O$36:$P$48,2,0)))</f>
        <v/>
      </c>
      <c r="K2143" t="str">
        <f>IF(J2143="","",LEFT('ATP Fills'!I2143,4))</f>
        <v/>
      </c>
      <c r="L2143" t="str">
        <f>IF(A2143="","",IF('ATP Fills'!G2143="LME",'ATP Fills'!I2143,""))</f>
        <v/>
      </c>
      <c r="M2143" t="str">
        <f t="shared" si="33"/>
        <v/>
      </c>
    </row>
    <row r="2144" spans="1:13">
      <c r="A2144" t="str">
        <f>IF('ATP Fills'!A2144="","",IF('ATP Fills'!Q2144="PHILLIPSG",'ATP Fills'!F2144,""))</f>
        <v/>
      </c>
      <c r="B2144" t="str">
        <f>IF(A2144="","",'ATP Fills'!L2144)</f>
        <v/>
      </c>
      <c r="C2144" t="str">
        <f>IF(A2144="","",'ATP Fills'!M2144)</f>
        <v/>
      </c>
      <c r="D2144" t="str">
        <f>IF(A2144="","",'ATP Fills'!B2144)</f>
        <v/>
      </c>
      <c r="E2144" s="3" t="str">
        <f>IF(A2144="","",IF(DATE(LEFT(D2144,4),MID(D2144,5,2),RIGHT(D2144,2))=Helper1!$P$1,Helper1!$P$1,""))</f>
        <v/>
      </c>
      <c r="F2144" s="3" t="str">
        <f>IF(A2144="","",'ATP Fills'!G2144)</f>
        <v/>
      </c>
      <c r="G2144" t="str">
        <f>IF(A2144="","",'ATP Fills'!H2144)</f>
        <v/>
      </c>
      <c r="H2144" t="str">
        <f>IF(A2144="","",VLOOKUP(G2144,表3_3[],2,0))</f>
        <v/>
      </c>
      <c r="I2144" t="str">
        <f>IF(A2144="","",VLOOKUP(G2144,表3_3[],3,0))</f>
        <v/>
      </c>
      <c r="J2144" t="str">
        <f>IF(A2144="","",IF('ATP Fills'!I2144="3M","",VLOOKUP(RIGHT('ATP Fills'!I2144,2),Helper1!$O$36:$P$48,2,0)))</f>
        <v/>
      </c>
      <c r="K2144" t="str">
        <f>IF(J2144="","",LEFT('ATP Fills'!I2144,4))</f>
        <v/>
      </c>
      <c r="L2144" t="str">
        <f>IF(A2144="","",IF('ATP Fills'!G2144="LME",'ATP Fills'!I2144,""))</f>
        <v/>
      </c>
      <c r="M2144" t="str">
        <f t="shared" si="33"/>
        <v/>
      </c>
    </row>
    <row r="2145" spans="1:13">
      <c r="A2145" t="str">
        <f>IF('ATP Fills'!A2145="","",IF('ATP Fills'!Q2145="PHILLIPSG",'ATP Fills'!F2145,""))</f>
        <v/>
      </c>
      <c r="B2145" t="str">
        <f>IF(A2145="","",'ATP Fills'!L2145)</f>
        <v/>
      </c>
      <c r="C2145" t="str">
        <f>IF(A2145="","",'ATP Fills'!M2145)</f>
        <v/>
      </c>
      <c r="D2145" t="str">
        <f>IF(A2145="","",'ATP Fills'!B2145)</f>
        <v/>
      </c>
      <c r="E2145" s="3" t="str">
        <f>IF(A2145="","",IF(DATE(LEFT(D2145,4),MID(D2145,5,2),RIGHT(D2145,2))=Helper1!$P$1,Helper1!$P$1,""))</f>
        <v/>
      </c>
      <c r="F2145" s="3" t="str">
        <f>IF(A2145="","",'ATP Fills'!G2145)</f>
        <v/>
      </c>
      <c r="G2145" t="str">
        <f>IF(A2145="","",'ATP Fills'!H2145)</f>
        <v/>
      </c>
      <c r="H2145" t="str">
        <f>IF(A2145="","",VLOOKUP(G2145,表3_3[],2,0))</f>
        <v/>
      </c>
      <c r="I2145" t="str">
        <f>IF(A2145="","",VLOOKUP(G2145,表3_3[],3,0))</f>
        <v/>
      </c>
      <c r="J2145" t="str">
        <f>IF(A2145="","",IF('ATP Fills'!I2145="3M","",VLOOKUP(RIGHT('ATP Fills'!I2145,2),Helper1!$O$36:$P$48,2,0)))</f>
        <v/>
      </c>
      <c r="K2145" t="str">
        <f>IF(J2145="","",LEFT('ATP Fills'!I2145,4))</f>
        <v/>
      </c>
      <c r="L2145" t="str">
        <f>IF(A2145="","",IF('ATP Fills'!G2145="LME",'ATP Fills'!I2145,""))</f>
        <v/>
      </c>
      <c r="M2145" t="str">
        <f t="shared" si="33"/>
        <v/>
      </c>
    </row>
    <row r="2146" spans="1:13">
      <c r="A2146" t="str">
        <f>IF('ATP Fills'!A2146="","",IF('ATP Fills'!Q2146="PHILLIPSG",'ATP Fills'!F2146,""))</f>
        <v/>
      </c>
      <c r="B2146" t="str">
        <f>IF(A2146="","",'ATP Fills'!L2146)</f>
        <v/>
      </c>
      <c r="C2146" t="str">
        <f>IF(A2146="","",'ATP Fills'!M2146)</f>
        <v/>
      </c>
      <c r="D2146" t="str">
        <f>IF(A2146="","",'ATP Fills'!B2146)</f>
        <v/>
      </c>
      <c r="E2146" s="3" t="str">
        <f>IF(A2146="","",IF(DATE(LEFT(D2146,4),MID(D2146,5,2),RIGHT(D2146,2))=Helper1!$P$1,Helper1!$P$1,""))</f>
        <v/>
      </c>
      <c r="F2146" s="3" t="str">
        <f>IF(A2146="","",'ATP Fills'!G2146)</f>
        <v/>
      </c>
      <c r="G2146" t="str">
        <f>IF(A2146="","",'ATP Fills'!H2146)</f>
        <v/>
      </c>
      <c r="H2146" t="str">
        <f>IF(A2146="","",VLOOKUP(G2146,表3_3[],2,0))</f>
        <v/>
      </c>
      <c r="I2146" t="str">
        <f>IF(A2146="","",VLOOKUP(G2146,表3_3[],3,0))</f>
        <v/>
      </c>
      <c r="J2146" t="str">
        <f>IF(A2146="","",IF('ATP Fills'!I2146="3M","",VLOOKUP(RIGHT('ATP Fills'!I2146,2),Helper1!$O$36:$P$48,2,0)))</f>
        <v/>
      </c>
      <c r="K2146" t="str">
        <f>IF(J2146="","",LEFT('ATP Fills'!I2146,4))</f>
        <v/>
      </c>
      <c r="L2146" t="str">
        <f>IF(A2146="","",IF('ATP Fills'!G2146="LME",'ATP Fills'!I2146,""))</f>
        <v/>
      </c>
      <c r="M2146" t="str">
        <f t="shared" si="33"/>
        <v/>
      </c>
    </row>
    <row r="2147" spans="1:13">
      <c r="A2147" t="str">
        <f>IF('ATP Fills'!A2147="","",IF('ATP Fills'!Q2147="PHILLIPSG",'ATP Fills'!F2147,""))</f>
        <v/>
      </c>
      <c r="B2147" t="str">
        <f>IF(A2147="","",'ATP Fills'!L2147)</f>
        <v/>
      </c>
      <c r="C2147" t="str">
        <f>IF(A2147="","",'ATP Fills'!M2147)</f>
        <v/>
      </c>
      <c r="D2147" t="str">
        <f>IF(A2147="","",'ATP Fills'!B2147)</f>
        <v/>
      </c>
      <c r="E2147" s="3" t="str">
        <f>IF(A2147="","",IF(DATE(LEFT(D2147,4),MID(D2147,5,2),RIGHT(D2147,2))=Helper1!$P$1,Helper1!$P$1,""))</f>
        <v/>
      </c>
      <c r="F2147" s="3" t="str">
        <f>IF(A2147="","",'ATP Fills'!G2147)</f>
        <v/>
      </c>
      <c r="G2147" t="str">
        <f>IF(A2147="","",'ATP Fills'!H2147)</f>
        <v/>
      </c>
      <c r="H2147" t="str">
        <f>IF(A2147="","",VLOOKUP(G2147,表3_3[],2,0))</f>
        <v/>
      </c>
      <c r="I2147" t="str">
        <f>IF(A2147="","",VLOOKUP(G2147,表3_3[],3,0))</f>
        <v/>
      </c>
      <c r="J2147" t="str">
        <f>IF(A2147="","",IF('ATP Fills'!I2147="3M","",VLOOKUP(RIGHT('ATP Fills'!I2147,2),Helper1!$O$36:$P$48,2,0)))</f>
        <v/>
      </c>
      <c r="K2147" t="str">
        <f>IF(J2147="","",LEFT('ATP Fills'!I2147,4))</f>
        <v/>
      </c>
      <c r="L2147" t="str">
        <f>IF(A2147="","",IF('ATP Fills'!G2147="LME",'ATP Fills'!I2147,""))</f>
        <v/>
      </c>
      <c r="M2147" t="str">
        <f t="shared" si="33"/>
        <v/>
      </c>
    </row>
    <row r="2148" spans="1:13">
      <c r="A2148" t="str">
        <f>IF('ATP Fills'!A2148="","",IF('ATP Fills'!Q2148="PHILLIPSG",'ATP Fills'!F2148,""))</f>
        <v/>
      </c>
      <c r="B2148" t="str">
        <f>IF(A2148="","",'ATP Fills'!L2148)</f>
        <v/>
      </c>
      <c r="C2148" t="str">
        <f>IF(A2148="","",'ATP Fills'!M2148)</f>
        <v/>
      </c>
      <c r="D2148" t="str">
        <f>IF(A2148="","",'ATP Fills'!B2148)</f>
        <v/>
      </c>
      <c r="E2148" s="3" t="str">
        <f>IF(A2148="","",IF(DATE(LEFT(D2148,4),MID(D2148,5,2),RIGHT(D2148,2))=Helper1!$P$1,Helper1!$P$1,""))</f>
        <v/>
      </c>
      <c r="F2148" s="3" t="str">
        <f>IF(A2148="","",'ATP Fills'!G2148)</f>
        <v/>
      </c>
      <c r="G2148" t="str">
        <f>IF(A2148="","",'ATP Fills'!H2148)</f>
        <v/>
      </c>
      <c r="H2148" t="str">
        <f>IF(A2148="","",VLOOKUP(G2148,表3_3[],2,0))</f>
        <v/>
      </c>
      <c r="I2148" t="str">
        <f>IF(A2148="","",VLOOKUP(G2148,表3_3[],3,0))</f>
        <v/>
      </c>
      <c r="J2148" t="str">
        <f>IF(A2148="","",IF('ATP Fills'!I2148="3M","",VLOOKUP(RIGHT('ATP Fills'!I2148,2),Helper1!$O$36:$P$48,2,0)))</f>
        <v/>
      </c>
      <c r="K2148" t="str">
        <f>IF(J2148="","",LEFT('ATP Fills'!I2148,4))</f>
        <v/>
      </c>
      <c r="L2148" t="str">
        <f>IF(A2148="","",IF('ATP Fills'!G2148="LME",'ATP Fills'!I2148,""))</f>
        <v/>
      </c>
      <c r="M2148" t="str">
        <f t="shared" si="33"/>
        <v/>
      </c>
    </row>
    <row r="2149" spans="1:13">
      <c r="A2149" t="str">
        <f>IF('ATP Fills'!A2149="","",IF('ATP Fills'!Q2149="PHILLIPSG",'ATP Fills'!F2149,""))</f>
        <v/>
      </c>
      <c r="B2149" t="str">
        <f>IF(A2149="","",'ATP Fills'!L2149)</f>
        <v/>
      </c>
      <c r="C2149" t="str">
        <f>IF(A2149="","",'ATP Fills'!M2149)</f>
        <v/>
      </c>
      <c r="D2149" t="str">
        <f>IF(A2149="","",'ATP Fills'!B2149)</f>
        <v/>
      </c>
      <c r="E2149" s="3" t="str">
        <f>IF(A2149="","",IF(DATE(LEFT(D2149,4),MID(D2149,5,2),RIGHT(D2149,2))=Helper1!$P$1,Helper1!$P$1,""))</f>
        <v/>
      </c>
      <c r="F2149" s="3" t="str">
        <f>IF(A2149="","",'ATP Fills'!G2149)</f>
        <v/>
      </c>
      <c r="G2149" t="str">
        <f>IF(A2149="","",'ATP Fills'!H2149)</f>
        <v/>
      </c>
      <c r="H2149" t="str">
        <f>IF(A2149="","",VLOOKUP(G2149,表3_3[],2,0))</f>
        <v/>
      </c>
      <c r="I2149" t="str">
        <f>IF(A2149="","",VLOOKUP(G2149,表3_3[],3,0))</f>
        <v/>
      </c>
      <c r="J2149" t="str">
        <f>IF(A2149="","",IF('ATP Fills'!I2149="3M","",VLOOKUP(RIGHT('ATP Fills'!I2149,2),Helper1!$O$36:$P$48,2,0)))</f>
        <v/>
      </c>
      <c r="K2149" t="str">
        <f>IF(J2149="","",LEFT('ATP Fills'!I2149,4))</f>
        <v/>
      </c>
      <c r="L2149" t="str">
        <f>IF(A2149="","",IF('ATP Fills'!G2149="LME",'ATP Fills'!I2149,""))</f>
        <v/>
      </c>
      <c r="M2149" t="str">
        <f t="shared" si="33"/>
        <v/>
      </c>
    </row>
    <row r="2150" spans="1:13">
      <c r="A2150" t="str">
        <f>IF('ATP Fills'!A2150="","",IF('ATP Fills'!Q2150="PHILLIPSG",'ATP Fills'!F2150,""))</f>
        <v/>
      </c>
      <c r="B2150" t="str">
        <f>IF(A2150="","",'ATP Fills'!L2150)</f>
        <v/>
      </c>
      <c r="C2150" t="str">
        <f>IF(A2150="","",'ATP Fills'!M2150)</f>
        <v/>
      </c>
      <c r="D2150" t="str">
        <f>IF(A2150="","",'ATP Fills'!B2150)</f>
        <v/>
      </c>
      <c r="E2150" s="3" t="str">
        <f>IF(A2150="","",IF(DATE(LEFT(D2150,4),MID(D2150,5,2),RIGHT(D2150,2))=Helper1!$P$1,Helper1!$P$1,""))</f>
        <v/>
      </c>
      <c r="F2150" s="3" t="str">
        <f>IF(A2150="","",'ATP Fills'!G2150)</f>
        <v/>
      </c>
      <c r="G2150" t="str">
        <f>IF(A2150="","",'ATP Fills'!H2150)</f>
        <v/>
      </c>
      <c r="H2150" t="str">
        <f>IF(A2150="","",VLOOKUP(G2150,表3_3[],2,0))</f>
        <v/>
      </c>
      <c r="I2150" t="str">
        <f>IF(A2150="","",VLOOKUP(G2150,表3_3[],3,0))</f>
        <v/>
      </c>
      <c r="J2150" t="str">
        <f>IF(A2150="","",IF('ATP Fills'!I2150="3M","",VLOOKUP(RIGHT('ATP Fills'!I2150,2),Helper1!$O$36:$P$48,2,0)))</f>
        <v/>
      </c>
      <c r="K2150" t="str">
        <f>IF(J2150="","",LEFT('ATP Fills'!I2150,4))</f>
        <v/>
      </c>
      <c r="L2150" t="str">
        <f>IF(A2150="","",IF('ATP Fills'!G2150="LME",'ATP Fills'!I2150,""))</f>
        <v/>
      </c>
      <c r="M2150" t="str">
        <f t="shared" si="33"/>
        <v/>
      </c>
    </row>
    <row r="2151" spans="1:13">
      <c r="A2151" t="str">
        <f>IF('ATP Fills'!A2151="","",IF('ATP Fills'!Q2151="PHILLIPSG",'ATP Fills'!F2151,""))</f>
        <v/>
      </c>
      <c r="B2151" t="str">
        <f>IF(A2151="","",'ATP Fills'!L2151)</f>
        <v/>
      </c>
      <c r="C2151" t="str">
        <f>IF(A2151="","",'ATP Fills'!M2151)</f>
        <v/>
      </c>
      <c r="D2151" t="str">
        <f>IF(A2151="","",'ATP Fills'!B2151)</f>
        <v/>
      </c>
      <c r="E2151" s="3" t="str">
        <f>IF(A2151="","",IF(DATE(LEFT(D2151,4),MID(D2151,5,2),RIGHT(D2151,2))=Helper1!$P$1,Helper1!$P$1,""))</f>
        <v/>
      </c>
      <c r="F2151" s="3" t="str">
        <f>IF(A2151="","",'ATP Fills'!G2151)</f>
        <v/>
      </c>
      <c r="G2151" t="str">
        <f>IF(A2151="","",'ATP Fills'!H2151)</f>
        <v/>
      </c>
      <c r="H2151" t="str">
        <f>IF(A2151="","",VLOOKUP(G2151,表3_3[],2,0))</f>
        <v/>
      </c>
      <c r="I2151" t="str">
        <f>IF(A2151="","",VLOOKUP(G2151,表3_3[],3,0))</f>
        <v/>
      </c>
      <c r="J2151" t="str">
        <f>IF(A2151="","",IF('ATP Fills'!I2151="3M","",VLOOKUP(RIGHT('ATP Fills'!I2151,2),Helper1!$O$36:$P$48,2,0)))</f>
        <v/>
      </c>
      <c r="K2151" t="str">
        <f>IF(J2151="","",LEFT('ATP Fills'!I2151,4))</f>
        <v/>
      </c>
      <c r="L2151" t="str">
        <f>IF(A2151="","",IF('ATP Fills'!G2151="LME",'ATP Fills'!I2151,""))</f>
        <v/>
      </c>
      <c r="M2151" t="str">
        <f t="shared" si="33"/>
        <v/>
      </c>
    </row>
    <row r="2152" spans="1:13">
      <c r="A2152" t="str">
        <f>IF('ATP Fills'!A2152="","",IF('ATP Fills'!Q2152="PHILLIPSG",'ATP Fills'!F2152,""))</f>
        <v/>
      </c>
      <c r="B2152" t="str">
        <f>IF(A2152="","",'ATP Fills'!L2152)</f>
        <v/>
      </c>
      <c r="C2152" t="str">
        <f>IF(A2152="","",'ATP Fills'!M2152)</f>
        <v/>
      </c>
      <c r="D2152" t="str">
        <f>IF(A2152="","",'ATP Fills'!B2152)</f>
        <v/>
      </c>
      <c r="E2152" s="3" t="str">
        <f>IF(A2152="","",IF(DATE(LEFT(D2152,4),MID(D2152,5,2),RIGHT(D2152,2))=Helper1!$P$1,Helper1!$P$1,""))</f>
        <v/>
      </c>
      <c r="F2152" s="3" t="str">
        <f>IF(A2152="","",'ATP Fills'!G2152)</f>
        <v/>
      </c>
      <c r="G2152" t="str">
        <f>IF(A2152="","",'ATP Fills'!H2152)</f>
        <v/>
      </c>
      <c r="H2152" t="str">
        <f>IF(A2152="","",VLOOKUP(G2152,表3_3[],2,0))</f>
        <v/>
      </c>
      <c r="I2152" t="str">
        <f>IF(A2152="","",VLOOKUP(G2152,表3_3[],3,0))</f>
        <v/>
      </c>
      <c r="J2152" t="str">
        <f>IF(A2152="","",IF('ATP Fills'!I2152="3M","",VLOOKUP(RIGHT('ATP Fills'!I2152,2),Helper1!$O$36:$P$48,2,0)))</f>
        <v/>
      </c>
      <c r="K2152" t="str">
        <f>IF(J2152="","",LEFT('ATP Fills'!I2152,4))</f>
        <v/>
      </c>
      <c r="L2152" t="str">
        <f>IF(A2152="","",IF('ATP Fills'!G2152="LME",'ATP Fills'!I2152,""))</f>
        <v/>
      </c>
      <c r="M2152" t="str">
        <f t="shared" si="33"/>
        <v/>
      </c>
    </row>
    <row r="2153" spans="1:13">
      <c r="A2153" t="str">
        <f>IF('ATP Fills'!A2153="","",IF('ATP Fills'!Q2153="PHILLIPSG",'ATP Fills'!F2153,""))</f>
        <v/>
      </c>
      <c r="B2153" t="str">
        <f>IF(A2153="","",'ATP Fills'!L2153)</f>
        <v/>
      </c>
      <c r="C2153" t="str">
        <f>IF(A2153="","",'ATP Fills'!M2153)</f>
        <v/>
      </c>
      <c r="D2153" t="str">
        <f>IF(A2153="","",'ATP Fills'!B2153)</f>
        <v/>
      </c>
      <c r="E2153" s="3" t="str">
        <f>IF(A2153="","",IF(DATE(LEFT(D2153,4),MID(D2153,5,2),RIGHT(D2153,2))=Helper1!$P$1,Helper1!$P$1,""))</f>
        <v/>
      </c>
      <c r="F2153" s="3" t="str">
        <f>IF(A2153="","",'ATP Fills'!G2153)</f>
        <v/>
      </c>
      <c r="G2153" t="str">
        <f>IF(A2153="","",'ATP Fills'!H2153)</f>
        <v/>
      </c>
      <c r="H2153" t="str">
        <f>IF(A2153="","",VLOOKUP(G2153,表3_3[],2,0))</f>
        <v/>
      </c>
      <c r="I2153" t="str">
        <f>IF(A2153="","",VLOOKUP(G2153,表3_3[],3,0))</f>
        <v/>
      </c>
      <c r="J2153" t="str">
        <f>IF(A2153="","",IF('ATP Fills'!I2153="3M","",VLOOKUP(RIGHT('ATP Fills'!I2153,2),Helper1!$O$36:$P$48,2,0)))</f>
        <v/>
      </c>
      <c r="K2153" t="str">
        <f>IF(J2153="","",LEFT('ATP Fills'!I2153,4))</f>
        <v/>
      </c>
      <c r="L2153" t="str">
        <f>IF(A2153="","",IF('ATP Fills'!G2153="LME",'ATP Fills'!I2153,""))</f>
        <v/>
      </c>
      <c r="M2153" t="str">
        <f t="shared" si="33"/>
        <v/>
      </c>
    </row>
    <row r="2154" spans="1:13">
      <c r="A2154" t="str">
        <f>IF('ATP Fills'!A2154="","",IF('ATP Fills'!Q2154="PHILLIPSG",'ATP Fills'!F2154,""))</f>
        <v/>
      </c>
      <c r="B2154" t="str">
        <f>IF(A2154="","",'ATP Fills'!L2154)</f>
        <v/>
      </c>
      <c r="C2154" t="str">
        <f>IF(A2154="","",'ATP Fills'!M2154)</f>
        <v/>
      </c>
      <c r="D2154" t="str">
        <f>IF(A2154="","",'ATP Fills'!B2154)</f>
        <v/>
      </c>
      <c r="E2154" s="3" t="str">
        <f>IF(A2154="","",IF(DATE(LEFT(D2154,4),MID(D2154,5,2),RIGHT(D2154,2))=Helper1!$P$1,Helper1!$P$1,""))</f>
        <v/>
      </c>
      <c r="F2154" s="3" t="str">
        <f>IF(A2154="","",'ATP Fills'!G2154)</f>
        <v/>
      </c>
      <c r="G2154" t="str">
        <f>IF(A2154="","",'ATP Fills'!H2154)</f>
        <v/>
      </c>
      <c r="H2154" t="str">
        <f>IF(A2154="","",VLOOKUP(G2154,表3_3[],2,0))</f>
        <v/>
      </c>
      <c r="I2154" t="str">
        <f>IF(A2154="","",VLOOKUP(G2154,表3_3[],3,0))</f>
        <v/>
      </c>
      <c r="J2154" t="str">
        <f>IF(A2154="","",IF('ATP Fills'!I2154="3M","",VLOOKUP(RIGHT('ATP Fills'!I2154,2),Helper1!$O$36:$P$48,2,0)))</f>
        <v/>
      </c>
      <c r="K2154" t="str">
        <f>IF(J2154="","",LEFT('ATP Fills'!I2154,4))</f>
        <v/>
      </c>
      <c r="L2154" t="str">
        <f>IF(A2154="","",IF('ATP Fills'!G2154="LME",'ATP Fills'!I2154,""))</f>
        <v/>
      </c>
      <c r="M2154" t="str">
        <f t="shared" si="33"/>
        <v/>
      </c>
    </row>
    <row r="2155" spans="1:13">
      <c r="A2155" t="str">
        <f>IF('ATP Fills'!A2155="","",IF('ATP Fills'!Q2155="PHILLIPSG",'ATP Fills'!F2155,""))</f>
        <v/>
      </c>
      <c r="B2155" t="str">
        <f>IF(A2155="","",'ATP Fills'!L2155)</f>
        <v/>
      </c>
      <c r="C2155" t="str">
        <f>IF(A2155="","",'ATP Fills'!M2155)</f>
        <v/>
      </c>
      <c r="D2155" t="str">
        <f>IF(A2155="","",'ATP Fills'!B2155)</f>
        <v/>
      </c>
      <c r="E2155" s="3" t="str">
        <f>IF(A2155="","",IF(DATE(LEFT(D2155,4),MID(D2155,5,2),RIGHT(D2155,2))=Helper1!$P$1,Helper1!$P$1,""))</f>
        <v/>
      </c>
      <c r="F2155" s="3" t="str">
        <f>IF(A2155="","",'ATP Fills'!G2155)</f>
        <v/>
      </c>
      <c r="G2155" t="str">
        <f>IF(A2155="","",'ATP Fills'!H2155)</f>
        <v/>
      </c>
      <c r="H2155" t="str">
        <f>IF(A2155="","",VLOOKUP(G2155,表3_3[],2,0))</f>
        <v/>
      </c>
      <c r="I2155" t="str">
        <f>IF(A2155="","",VLOOKUP(G2155,表3_3[],3,0))</f>
        <v/>
      </c>
      <c r="J2155" t="str">
        <f>IF(A2155="","",IF('ATP Fills'!I2155="3M","",VLOOKUP(RIGHT('ATP Fills'!I2155,2),Helper1!$O$36:$P$48,2,0)))</f>
        <v/>
      </c>
      <c r="K2155" t="str">
        <f>IF(J2155="","",LEFT('ATP Fills'!I2155,4))</f>
        <v/>
      </c>
      <c r="L2155" t="str">
        <f>IF(A2155="","",IF('ATP Fills'!G2155="LME",'ATP Fills'!I2155,""))</f>
        <v/>
      </c>
      <c r="M2155" t="str">
        <f t="shared" si="33"/>
        <v/>
      </c>
    </row>
    <row r="2156" spans="1:13">
      <c r="A2156" t="str">
        <f>IF('ATP Fills'!A2156="","",IF('ATP Fills'!Q2156="PHILLIPSG",'ATP Fills'!F2156,""))</f>
        <v/>
      </c>
      <c r="B2156" t="str">
        <f>IF(A2156="","",'ATP Fills'!L2156)</f>
        <v/>
      </c>
      <c r="C2156" t="str">
        <f>IF(A2156="","",'ATP Fills'!M2156)</f>
        <v/>
      </c>
      <c r="D2156" t="str">
        <f>IF(A2156="","",'ATP Fills'!B2156)</f>
        <v/>
      </c>
      <c r="E2156" s="3" t="str">
        <f>IF(A2156="","",IF(DATE(LEFT(D2156,4),MID(D2156,5,2),RIGHT(D2156,2))=Helper1!$P$1,Helper1!$P$1,""))</f>
        <v/>
      </c>
      <c r="F2156" s="3" t="str">
        <f>IF(A2156="","",'ATP Fills'!G2156)</f>
        <v/>
      </c>
      <c r="G2156" t="str">
        <f>IF(A2156="","",'ATP Fills'!H2156)</f>
        <v/>
      </c>
      <c r="H2156" t="str">
        <f>IF(A2156="","",VLOOKUP(G2156,表3_3[],2,0))</f>
        <v/>
      </c>
      <c r="I2156" t="str">
        <f>IF(A2156="","",VLOOKUP(G2156,表3_3[],3,0))</f>
        <v/>
      </c>
      <c r="J2156" t="str">
        <f>IF(A2156="","",IF('ATP Fills'!I2156="3M","",VLOOKUP(RIGHT('ATP Fills'!I2156,2),Helper1!$O$36:$P$48,2,0)))</f>
        <v/>
      </c>
      <c r="K2156" t="str">
        <f>IF(J2156="","",LEFT('ATP Fills'!I2156,4))</f>
        <v/>
      </c>
      <c r="L2156" t="str">
        <f>IF(A2156="","",IF('ATP Fills'!G2156="LME",'ATP Fills'!I2156,""))</f>
        <v/>
      </c>
      <c r="M2156" t="str">
        <f t="shared" si="33"/>
        <v/>
      </c>
    </row>
    <row r="2157" spans="1:13">
      <c r="A2157" t="str">
        <f>IF('ATP Fills'!A2157="","",IF('ATP Fills'!Q2157="PHILLIPSG",'ATP Fills'!F2157,""))</f>
        <v/>
      </c>
      <c r="B2157" t="str">
        <f>IF(A2157="","",'ATP Fills'!L2157)</f>
        <v/>
      </c>
      <c r="C2157" t="str">
        <f>IF(A2157="","",'ATP Fills'!M2157)</f>
        <v/>
      </c>
      <c r="D2157" t="str">
        <f>IF(A2157="","",'ATP Fills'!B2157)</f>
        <v/>
      </c>
      <c r="E2157" s="3" t="str">
        <f>IF(A2157="","",IF(DATE(LEFT(D2157,4),MID(D2157,5,2),RIGHT(D2157,2))=Helper1!$P$1,Helper1!$P$1,""))</f>
        <v/>
      </c>
      <c r="F2157" s="3" t="str">
        <f>IF(A2157="","",'ATP Fills'!G2157)</f>
        <v/>
      </c>
      <c r="G2157" t="str">
        <f>IF(A2157="","",'ATP Fills'!H2157)</f>
        <v/>
      </c>
      <c r="H2157" t="str">
        <f>IF(A2157="","",VLOOKUP(G2157,表3_3[],2,0))</f>
        <v/>
      </c>
      <c r="I2157" t="str">
        <f>IF(A2157="","",VLOOKUP(G2157,表3_3[],3,0))</f>
        <v/>
      </c>
      <c r="J2157" t="str">
        <f>IF(A2157="","",IF('ATP Fills'!I2157="3M","",VLOOKUP(RIGHT('ATP Fills'!I2157,2),Helper1!$O$36:$P$48,2,0)))</f>
        <v/>
      </c>
      <c r="K2157" t="str">
        <f>IF(J2157="","",LEFT('ATP Fills'!I2157,4))</f>
        <v/>
      </c>
      <c r="L2157" t="str">
        <f>IF(A2157="","",IF('ATP Fills'!G2157="LME",'ATP Fills'!I2157,""))</f>
        <v/>
      </c>
      <c r="M2157" t="str">
        <f t="shared" si="33"/>
        <v/>
      </c>
    </row>
    <row r="2158" spans="1:13">
      <c r="A2158" t="str">
        <f>IF('ATP Fills'!A2158="","",IF('ATP Fills'!Q2158="PHILLIPSG",'ATP Fills'!F2158,""))</f>
        <v/>
      </c>
      <c r="B2158" t="str">
        <f>IF(A2158="","",'ATP Fills'!L2158)</f>
        <v/>
      </c>
      <c r="C2158" t="str">
        <f>IF(A2158="","",'ATP Fills'!M2158)</f>
        <v/>
      </c>
      <c r="D2158" t="str">
        <f>IF(A2158="","",'ATP Fills'!B2158)</f>
        <v/>
      </c>
      <c r="E2158" s="3" t="str">
        <f>IF(A2158="","",IF(DATE(LEFT(D2158,4),MID(D2158,5,2),RIGHT(D2158,2))=Helper1!$P$1,Helper1!$P$1,""))</f>
        <v/>
      </c>
      <c r="F2158" s="3" t="str">
        <f>IF(A2158="","",'ATP Fills'!G2158)</f>
        <v/>
      </c>
      <c r="G2158" t="str">
        <f>IF(A2158="","",'ATP Fills'!H2158)</f>
        <v/>
      </c>
      <c r="H2158" t="str">
        <f>IF(A2158="","",VLOOKUP(G2158,表3_3[],2,0))</f>
        <v/>
      </c>
      <c r="I2158" t="str">
        <f>IF(A2158="","",VLOOKUP(G2158,表3_3[],3,0))</f>
        <v/>
      </c>
      <c r="J2158" t="str">
        <f>IF(A2158="","",IF('ATP Fills'!I2158="3M","",VLOOKUP(RIGHT('ATP Fills'!I2158,2),Helper1!$O$36:$P$48,2,0)))</f>
        <v/>
      </c>
      <c r="K2158" t="str">
        <f>IF(J2158="","",LEFT('ATP Fills'!I2158,4))</f>
        <v/>
      </c>
      <c r="L2158" t="str">
        <f>IF(A2158="","",IF('ATP Fills'!G2158="LME",'ATP Fills'!I2158,""))</f>
        <v/>
      </c>
      <c r="M2158" t="str">
        <f t="shared" si="33"/>
        <v/>
      </c>
    </row>
    <row r="2159" spans="1:13">
      <c r="A2159" t="str">
        <f>IF('ATP Fills'!A2159="","",IF('ATP Fills'!Q2159="PHILLIPSG",'ATP Fills'!F2159,""))</f>
        <v/>
      </c>
      <c r="B2159" t="str">
        <f>IF(A2159="","",'ATP Fills'!L2159)</f>
        <v/>
      </c>
      <c r="C2159" t="str">
        <f>IF(A2159="","",'ATP Fills'!M2159)</f>
        <v/>
      </c>
      <c r="D2159" t="str">
        <f>IF(A2159="","",'ATP Fills'!B2159)</f>
        <v/>
      </c>
      <c r="E2159" s="3" t="str">
        <f>IF(A2159="","",IF(DATE(LEFT(D2159,4),MID(D2159,5,2),RIGHT(D2159,2))=Helper1!$P$1,Helper1!$P$1,""))</f>
        <v/>
      </c>
      <c r="F2159" s="3" t="str">
        <f>IF(A2159="","",'ATP Fills'!G2159)</f>
        <v/>
      </c>
      <c r="G2159" t="str">
        <f>IF(A2159="","",'ATP Fills'!H2159)</f>
        <v/>
      </c>
      <c r="H2159" t="str">
        <f>IF(A2159="","",VLOOKUP(G2159,表3_3[],2,0))</f>
        <v/>
      </c>
      <c r="I2159" t="str">
        <f>IF(A2159="","",VLOOKUP(G2159,表3_3[],3,0))</f>
        <v/>
      </c>
      <c r="J2159" t="str">
        <f>IF(A2159="","",IF('ATP Fills'!I2159="3M","",VLOOKUP(RIGHT('ATP Fills'!I2159,2),Helper1!$O$36:$P$48,2,0)))</f>
        <v/>
      </c>
      <c r="K2159" t="str">
        <f>IF(J2159="","",LEFT('ATP Fills'!I2159,4))</f>
        <v/>
      </c>
      <c r="L2159" t="str">
        <f>IF(A2159="","",IF('ATP Fills'!G2159="LME",'ATP Fills'!I2159,""))</f>
        <v/>
      </c>
      <c r="M2159" t="str">
        <f t="shared" si="33"/>
        <v/>
      </c>
    </row>
    <row r="2160" spans="1:13">
      <c r="A2160" t="str">
        <f>IF('ATP Fills'!A2160="","",IF('ATP Fills'!Q2160="PHILLIPSG",'ATP Fills'!F2160,""))</f>
        <v/>
      </c>
      <c r="B2160" t="str">
        <f>IF(A2160="","",'ATP Fills'!L2160)</f>
        <v/>
      </c>
      <c r="C2160" t="str">
        <f>IF(A2160="","",'ATP Fills'!M2160)</f>
        <v/>
      </c>
      <c r="D2160" t="str">
        <f>IF(A2160="","",'ATP Fills'!B2160)</f>
        <v/>
      </c>
      <c r="E2160" s="3" t="str">
        <f>IF(A2160="","",IF(DATE(LEFT(D2160,4),MID(D2160,5,2),RIGHT(D2160,2))=Helper1!$P$1,Helper1!$P$1,""))</f>
        <v/>
      </c>
      <c r="F2160" s="3" t="str">
        <f>IF(A2160="","",'ATP Fills'!G2160)</f>
        <v/>
      </c>
      <c r="G2160" t="str">
        <f>IF(A2160="","",'ATP Fills'!H2160)</f>
        <v/>
      </c>
      <c r="H2160" t="str">
        <f>IF(A2160="","",VLOOKUP(G2160,表3_3[],2,0))</f>
        <v/>
      </c>
      <c r="I2160" t="str">
        <f>IF(A2160="","",VLOOKUP(G2160,表3_3[],3,0))</f>
        <v/>
      </c>
      <c r="J2160" t="str">
        <f>IF(A2160="","",IF('ATP Fills'!I2160="3M","",VLOOKUP(RIGHT('ATP Fills'!I2160,2),Helper1!$O$36:$P$48,2,0)))</f>
        <v/>
      </c>
      <c r="K2160" t="str">
        <f>IF(J2160="","",LEFT('ATP Fills'!I2160,4))</f>
        <v/>
      </c>
      <c r="L2160" t="str">
        <f>IF(A2160="","",IF('ATP Fills'!G2160="LME",'ATP Fills'!I2160,""))</f>
        <v/>
      </c>
      <c r="M2160" t="str">
        <f t="shared" si="33"/>
        <v/>
      </c>
    </row>
    <row r="2161" spans="1:13">
      <c r="A2161" t="str">
        <f>IF('ATP Fills'!A2161="","",IF('ATP Fills'!Q2161="PHILLIPSG",'ATP Fills'!F2161,""))</f>
        <v/>
      </c>
      <c r="B2161" t="str">
        <f>IF(A2161="","",'ATP Fills'!L2161)</f>
        <v/>
      </c>
      <c r="C2161" t="str">
        <f>IF(A2161="","",'ATP Fills'!M2161)</f>
        <v/>
      </c>
      <c r="D2161" t="str">
        <f>IF(A2161="","",'ATP Fills'!B2161)</f>
        <v/>
      </c>
      <c r="E2161" s="3" t="str">
        <f>IF(A2161="","",IF(DATE(LEFT(D2161,4),MID(D2161,5,2),RIGHT(D2161,2))=Helper1!$P$1,Helper1!$P$1,""))</f>
        <v/>
      </c>
      <c r="F2161" s="3" t="str">
        <f>IF(A2161="","",'ATP Fills'!G2161)</f>
        <v/>
      </c>
      <c r="G2161" t="str">
        <f>IF(A2161="","",'ATP Fills'!H2161)</f>
        <v/>
      </c>
      <c r="H2161" t="str">
        <f>IF(A2161="","",VLOOKUP(G2161,表3_3[],2,0))</f>
        <v/>
      </c>
      <c r="I2161" t="str">
        <f>IF(A2161="","",VLOOKUP(G2161,表3_3[],3,0))</f>
        <v/>
      </c>
      <c r="J2161" t="str">
        <f>IF(A2161="","",IF('ATP Fills'!I2161="3M","",VLOOKUP(RIGHT('ATP Fills'!I2161,2),Helper1!$O$36:$P$48,2,0)))</f>
        <v/>
      </c>
      <c r="K2161" t="str">
        <f>IF(J2161="","",LEFT('ATP Fills'!I2161,4))</f>
        <v/>
      </c>
      <c r="L2161" t="str">
        <f>IF(A2161="","",IF('ATP Fills'!G2161="LME",'ATP Fills'!I2161,""))</f>
        <v/>
      </c>
      <c r="M2161" t="str">
        <f t="shared" si="33"/>
        <v/>
      </c>
    </row>
    <row r="2162" spans="1:13">
      <c r="A2162" t="str">
        <f>IF('ATP Fills'!A2162="","",IF('ATP Fills'!Q2162="PHILLIPSG",'ATP Fills'!F2162,""))</f>
        <v/>
      </c>
      <c r="B2162" t="str">
        <f>IF(A2162="","",'ATP Fills'!L2162)</f>
        <v/>
      </c>
      <c r="C2162" t="str">
        <f>IF(A2162="","",'ATP Fills'!M2162)</f>
        <v/>
      </c>
      <c r="D2162" t="str">
        <f>IF(A2162="","",'ATP Fills'!B2162)</f>
        <v/>
      </c>
      <c r="E2162" s="3" t="str">
        <f>IF(A2162="","",IF(DATE(LEFT(D2162,4),MID(D2162,5,2),RIGHT(D2162,2))=Helper1!$P$1,Helper1!$P$1,""))</f>
        <v/>
      </c>
      <c r="F2162" s="3" t="str">
        <f>IF(A2162="","",'ATP Fills'!G2162)</f>
        <v/>
      </c>
      <c r="G2162" t="str">
        <f>IF(A2162="","",'ATP Fills'!H2162)</f>
        <v/>
      </c>
      <c r="H2162" t="str">
        <f>IF(A2162="","",VLOOKUP(G2162,表3_3[],2,0))</f>
        <v/>
      </c>
      <c r="I2162" t="str">
        <f>IF(A2162="","",VLOOKUP(G2162,表3_3[],3,0))</f>
        <v/>
      </c>
      <c r="J2162" t="str">
        <f>IF(A2162="","",IF('ATP Fills'!I2162="3M","",VLOOKUP(RIGHT('ATP Fills'!I2162,2),Helper1!$O$36:$P$48,2,0)))</f>
        <v/>
      </c>
      <c r="K2162" t="str">
        <f>IF(J2162="","",LEFT('ATP Fills'!I2162,4))</f>
        <v/>
      </c>
      <c r="L2162" t="str">
        <f>IF(A2162="","",IF('ATP Fills'!G2162="LME",'ATP Fills'!I2162,""))</f>
        <v/>
      </c>
      <c r="M2162" t="str">
        <f t="shared" si="33"/>
        <v/>
      </c>
    </row>
    <row r="2163" spans="1:13">
      <c r="A2163" t="str">
        <f>IF('ATP Fills'!A2163="","",IF('ATP Fills'!Q2163="PHILLIPSG",'ATP Fills'!F2163,""))</f>
        <v/>
      </c>
      <c r="B2163" t="str">
        <f>IF(A2163="","",'ATP Fills'!L2163)</f>
        <v/>
      </c>
      <c r="C2163" t="str">
        <f>IF(A2163="","",'ATP Fills'!M2163)</f>
        <v/>
      </c>
      <c r="D2163" t="str">
        <f>IF(A2163="","",'ATP Fills'!B2163)</f>
        <v/>
      </c>
      <c r="E2163" s="3" t="str">
        <f>IF(A2163="","",IF(DATE(LEFT(D2163,4),MID(D2163,5,2),RIGHT(D2163,2))=Helper1!$P$1,Helper1!$P$1,""))</f>
        <v/>
      </c>
      <c r="F2163" s="3" t="str">
        <f>IF(A2163="","",'ATP Fills'!G2163)</f>
        <v/>
      </c>
      <c r="G2163" t="str">
        <f>IF(A2163="","",'ATP Fills'!H2163)</f>
        <v/>
      </c>
      <c r="H2163" t="str">
        <f>IF(A2163="","",VLOOKUP(G2163,表3_3[],2,0))</f>
        <v/>
      </c>
      <c r="I2163" t="str">
        <f>IF(A2163="","",VLOOKUP(G2163,表3_3[],3,0))</f>
        <v/>
      </c>
      <c r="J2163" t="str">
        <f>IF(A2163="","",IF('ATP Fills'!I2163="3M","",VLOOKUP(RIGHT('ATP Fills'!I2163,2),Helper1!$O$36:$P$48,2,0)))</f>
        <v/>
      </c>
      <c r="K2163" t="str">
        <f>IF(J2163="","",LEFT('ATP Fills'!I2163,4))</f>
        <v/>
      </c>
      <c r="L2163" t="str">
        <f>IF(A2163="","",IF('ATP Fills'!G2163="LME",'ATP Fills'!I2163,""))</f>
        <v/>
      </c>
      <c r="M2163" t="str">
        <f t="shared" si="33"/>
        <v/>
      </c>
    </row>
    <row r="2164" spans="1:13">
      <c r="A2164" t="str">
        <f>IF('ATP Fills'!A2164="","",IF('ATP Fills'!Q2164="PHILLIPSG",'ATP Fills'!F2164,""))</f>
        <v/>
      </c>
      <c r="B2164" t="str">
        <f>IF(A2164="","",'ATP Fills'!L2164)</f>
        <v/>
      </c>
      <c r="C2164" t="str">
        <f>IF(A2164="","",'ATP Fills'!M2164)</f>
        <v/>
      </c>
      <c r="D2164" t="str">
        <f>IF(A2164="","",'ATP Fills'!B2164)</f>
        <v/>
      </c>
      <c r="E2164" s="3" t="str">
        <f>IF(A2164="","",IF(DATE(LEFT(D2164,4),MID(D2164,5,2),RIGHT(D2164,2))=Helper1!$P$1,Helper1!$P$1,""))</f>
        <v/>
      </c>
      <c r="F2164" s="3" t="str">
        <f>IF(A2164="","",'ATP Fills'!G2164)</f>
        <v/>
      </c>
      <c r="G2164" t="str">
        <f>IF(A2164="","",'ATP Fills'!H2164)</f>
        <v/>
      </c>
      <c r="H2164" t="str">
        <f>IF(A2164="","",VLOOKUP(G2164,表3_3[],2,0))</f>
        <v/>
      </c>
      <c r="I2164" t="str">
        <f>IF(A2164="","",VLOOKUP(G2164,表3_3[],3,0))</f>
        <v/>
      </c>
      <c r="J2164" t="str">
        <f>IF(A2164="","",IF('ATP Fills'!I2164="3M","",VLOOKUP(RIGHT('ATP Fills'!I2164,2),Helper1!$O$36:$P$48,2,0)))</f>
        <v/>
      </c>
      <c r="K2164" t="str">
        <f>IF(J2164="","",LEFT('ATP Fills'!I2164,4))</f>
        <v/>
      </c>
      <c r="L2164" t="str">
        <f>IF(A2164="","",IF('ATP Fills'!G2164="LME",'ATP Fills'!I2164,""))</f>
        <v/>
      </c>
      <c r="M2164" t="str">
        <f t="shared" si="33"/>
        <v/>
      </c>
    </row>
    <row r="2165" spans="1:13">
      <c r="A2165" t="str">
        <f>IF('ATP Fills'!A2165="","",IF('ATP Fills'!Q2165="PHILLIPSG",'ATP Fills'!F2165,""))</f>
        <v/>
      </c>
      <c r="B2165" t="str">
        <f>IF(A2165="","",'ATP Fills'!L2165)</f>
        <v/>
      </c>
      <c r="C2165" t="str">
        <f>IF(A2165="","",'ATP Fills'!M2165)</f>
        <v/>
      </c>
      <c r="D2165" t="str">
        <f>IF(A2165="","",'ATP Fills'!B2165)</f>
        <v/>
      </c>
      <c r="E2165" s="3" t="str">
        <f>IF(A2165="","",IF(DATE(LEFT(D2165,4),MID(D2165,5,2),RIGHT(D2165,2))=Helper1!$P$1,Helper1!$P$1,""))</f>
        <v/>
      </c>
      <c r="F2165" s="3" t="str">
        <f>IF(A2165="","",'ATP Fills'!G2165)</f>
        <v/>
      </c>
      <c r="G2165" t="str">
        <f>IF(A2165="","",'ATP Fills'!H2165)</f>
        <v/>
      </c>
      <c r="H2165" t="str">
        <f>IF(A2165="","",VLOOKUP(G2165,表3_3[],2,0))</f>
        <v/>
      </c>
      <c r="I2165" t="str">
        <f>IF(A2165="","",VLOOKUP(G2165,表3_3[],3,0))</f>
        <v/>
      </c>
      <c r="J2165" t="str">
        <f>IF(A2165="","",IF('ATP Fills'!I2165="3M","",VLOOKUP(RIGHT('ATP Fills'!I2165,2),Helper1!$O$36:$P$48,2,0)))</f>
        <v/>
      </c>
      <c r="K2165" t="str">
        <f>IF(J2165="","",LEFT('ATP Fills'!I2165,4))</f>
        <v/>
      </c>
      <c r="L2165" t="str">
        <f>IF(A2165="","",IF('ATP Fills'!G2165="LME",'ATP Fills'!I2165,""))</f>
        <v/>
      </c>
      <c r="M2165" t="str">
        <f t="shared" si="33"/>
        <v/>
      </c>
    </row>
    <row r="2166" spans="1:13">
      <c r="A2166" t="str">
        <f>IF('ATP Fills'!A2166="","",IF('ATP Fills'!Q2166="PHILLIPSG",'ATP Fills'!F2166,""))</f>
        <v/>
      </c>
      <c r="B2166" t="str">
        <f>IF(A2166="","",'ATP Fills'!L2166)</f>
        <v/>
      </c>
      <c r="C2166" t="str">
        <f>IF(A2166="","",'ATP Fills'!M2166)</f>
        <v/>
      </c>
      <c r="D2166" t="str">
        <f>IF(A2166="","",'ATP Fills'!B2166)</f>
        <v/>
      </c>
      <c r="E2166" s="3" t="str">
        <f>IF(A2166="","",IF(DATE(LEFT(D2166,4),MID(D2166,5,2),RIGHT(D2166,2))=Helper1!$P$1,Helper1!$P$1,""))</f>
        <v/>
      </c>
      <c r="F2166" s="3" t="str">
        <f>IF(A2166="","",'ATP Fills'!G2166)</f>
        <v/>
      </c>
      <c r="G2166" t="str">
        <f>IF(A2166="","",'ATP Fills'!H2166)</f>
        <v/>
      </c>
      <c r="H2166" t="str">
        <f>IF(A2166="","",VLOOKUP(G2166,表3_3[],2,0))</f>
        <v/>
      </c>
      <c r="I2166" t="str">
        <f>IF(A2166="","",VLOOKUP(G2166,表3_3[],3,0))</f>
        <v/>
      </c>
      <c r="J2166" t="str">
        <f>IF(A2166="","",IF('ATP Fills'!I2166="3M","",VLOOKUP(RIGHT('ATP Fills'!I2166,2),Helper1!$O$36:$P$48,2,0)))</f>
        <v/>
      </c>
      <c r="K2166" t="str">
        <f>IF(J2166="","",LEFT('ATP Fills'!I2166,4))</f>
        <v/>
      </c>
      <c r="L2166" t="str">
        <f>IF(A2166="","",IF('ATP Fills'!G2166="LME",'ATP Fills'!I2166,""))</f>
        <v/>
      </c>
      <c r="M2166" t="str">
        <f t="shared" si="33"/>
        <v/>
      </c>
    </row>
    <row r="2167" spans="1:13">
      <c r="A2167" t="str">
        <f>IF('ATP Fills'!A2167="","",IF('ATP Fills'!Q2167="PHILLIPSG",'ATP Fills'!F2167,""))</f>
        <v/>
      </c>
      <c r="B2167" t="str">
        <f>IF(A2167="","",'ATP Fills'!L2167)</f>
        <v/>
      </c>
      <c r="C2167" t="str">
        <f>IF(A2167="","",'ATP Fills'!M2167)</f>
        <v/>
      </c>
      <c r="D2167" t="str">
        <f>IF(A2167="","",'ATP Fills'!B2167)</f>
        <v/>
      </c>
      <c r="E2167" s="3" t="str">
        <f>IF(A2167="","",IF(DATE(LEFT(D2167,4),MID(D2167,5,2),RIGHT(D2167,2))=Helper1!$P$1,Helper1!$P$1,""))</f>
        <v/>
      </c>
      <c r="F2167" s="3" t="str">
        <f>IF(A2167="","",'ATP Fills'!G2167)</f>
        <v/>
      </c>
      <c r="G2167" t="str">
        <f>IF(A2167="","",'ATP Fills'!H2167)</f>
        <v/>
      </c>
      <c r="H2167" t="str">
        <f>IF(A2167="","",VLOOKUP(G2167,表3_3[],2,0))</f>
        <v/>
      </c>
      <c r="I2167" t="str">
        <f>IF(A2167="","",VLOOKUP(G2167,表3_3[],3,0))</f>
        <v/>
      </c>
      <c r="J2167" t="str">
        <f>IF(A2167="","",IF('ATP Fills'!I2167="3M","",VLOOKUP(RIGHT('ATP Fills'!I2167,2),Helper1!$O$36:$P$48,2,0)))</f>
        <v/>
      </c>
      <c r="K2167" t="str">
        <f>IF(J2167="","",LEFT('ATP Fills'!I2167,4))</f>
        <v/>
      </c>
      <c r="L2167" t="str">
        <f>IF(A2167="","",IF('ATP Fills'!G2167="LME",'ATP Fills'!I2167,""))</f>
        <v/>
      </c>
      <c r="M2167" t="str">
        <f t="shared" si="33"/>
        <v/>
      </c>
    </row>
    <row r="2168" spans="1:13">
      <c r="A2168" t="str">
        <f>IF('ATP Fills'!A2168="","",IF('ATP Fills'!Q2168="PHILLIPSG",'ATP Fills'!F2168,""))</f>
        <v/>
      </c>
      <c r="B2168" t="str">
        <f>IF(A2168="","",'ATP Fills'!L2168)</f>
        <v/>
      </c>
      <c r="C2168" t="str">
        <f>IF(A2168="","",'ATP Fills'!M2168)</f>
        <v/>
      </c>
      <c r="D2168" t="str">
        <f>IF(A2168="","",'ATP Fills'!B2168)</f>
        <v/>
      </c>
      <c r="E2168" s="3" t="str">
        <f>IF(A2168="","",IF(DATE(LEFT(D2168,4),MID(D2168,5,2),RIGHT(D2168,2))=Helper1!$P$1,Helper1!$P$1,""))</f>
        <v/>
      </c>
      <c r="F2168" s="3" t="str">
        <f>IF(A2168="","",'ATP Fills'!G2168)</f>
        <v/>
      </c>
      <c r="G2168" t="str">
        <f>IF(A2168="","",'ATP Fills'!H2168)</f>
        <v/>
      </c>
      <c r="H2168" t="str">
        <f>IF(A2168="","",VLOOKUP(G2168,表3_3[],2,0))</f>
        <v/>
      </c>
      <c r="I2168" t="str">
        <f>IF(A2168="","",VLOOKUP(G2168,表3_3[],3,0))</f>
        <v/>
      </c>
      <c r="J2168" t="str">
        <f>IF(A2168="","",IF('ATP Fills'!I2168="3M","",VLOOKUP(RIGHT('ATP Fills'!I2168,2),Helper1!$O$36:$P$48,2,0)))</f>
        <v/>
      </c>
      <c r="K2168" t="str">
        <f>IF(J2168="","",LEFT('ATP Fills'!I2168,4))</f>
        <v/>
      </c>
      <c r="L2168" t="str">
        <f>IF(A2168="","",IF('ATP Fills'!G2168="LME",'ATP Fills'!I2168,""))</f>
        <v/>
      </c>
      <c r="M2168" t="str">
        <f t="shared" si="33"/>
        <v/>
      </c>
    </row>
    <row r="2169" spans="1:13">
      <c r="A2169" t="str">
        <f>IF('ATP Fills'!A2169="","",IF('ATP Fills'!Q2169="PHILLIPSG",'ATP Fills'!F2169,""))</f>
        <v/>
      </c>
      <c r="B2169" t="str">
        <f>IF(A2169="","",'ATP Fills'!L2169)</f>
        <v/>
      </c>
      <c r="C2169" t="str">
        <f>IF(A2169="","",'ATP Fills'!M2169)</f>
        <v/>
      </c>
      <c r="D2169" t="str">
        <f>IF(A2169="","",'ATP Fills'!B2169)</f>
        <v/>
      </c>
      <c r="E2169" s="3" t="str">
        <f>IF(A2169="","",IF(DATE(LEFT(D2169,4),MID(D2169,5,2),RIGHT(D2169,2))=Helper1!$P$1,Helper1!$P$1,""))</f>
        <v/>
      </c>
      <c r="F2169" s="3" t="str">
        <f>IF(A2169="","",'ATP Fills'!G2169)</f>
        <v/>
      </c>
      <c r="G2169" t="str">
        <f>IF(A2169="","",'ATP Fills'!H2169)</f>
        <v/>
      </c>
      <c r="H2169" t="str">
        <f>IF(A2169="","",VLOOKUP(G2169,表3_3[],2,0))</f>
        <v/>
      </c>
      <c r="I2169" t="str">
        <f>IF(A2169="","",VLOOKUP(G2169,表3_3[],3,0))</f>
        <v/>
      </c>
      <c r="J2169" t="str">
        <f>IF(A2169="","",IF('ATP Fills'!I2169="3M","",VLOOKUP(RIGHT('ATP Fills'!I2169,2),Helper1!$O$36:$P$48,2,0)))</f>
        <v/>
      </c>
      <c r="K2169" t="str">
        <f>IF(J2169="","",LEFT('ATP Fills'!I2169,4))</f>
        <v/>
      </c>
      <c r="L2169" t="str">
        <f>IF(A2169="","",IF('ATP Fills'!G2169="LME",'ATP Fills'!I2169,""))</f>
        <v/>
      </c>
      <c r="M2169" t="str">
        <f t="shared" si="33"/>
        <v/>
      </c>
    </row>
    <row r="2170" spans="1:13">
      <c r="A2170" t="str">
        <f>IF('ATP Fills'!A2170="","",IF('ATP Fills'!Q2170="PHILLIPSG",'ATP Fills'!F2170,""))</f>
        <v/>
      </c>
      <c r="B2170" t="str">
        <f>IF(A2170="","",'ATP Fills'!L2170)</f>
        <v/>
      </c>
      <c r="C2170" t="str">
        <f>IF(A2170="","",'ATP Fills'!M2170)</f>
        <v/>
      </c>
      <c r="D2170" t="str">
        <f>IF(A2170="","",'ATP Fills'!B2170)</f>
        <v/>
      </c>
      <c r="E2170" s="3" t="str">
        <f>IF(A2170="","",IF(DATE(LEFT(D2170,4),MID(D2170,5,2),RIGHT(D2170,2))=Helper1!$P$1,Helper1!$P$1,""))</f>
        <v/>
      </c>
      <c r="F2170" s="3" t="str">
        <f>IF(A2170="","",'ATP Fills'!G2170)</f>
        <v/>
      </c>
      <c r="G2170" t="str">
        <f>IF(A2170="","",'ATP Fills'!H2170)</f>
        <v/>
      </c>
      <c r="H2170" t="str">
        <f>IF(A2170="","",VLOOKUP(G2170,表3_3[],2,0))</f>
        <v/>
      </c>
      <c r="I2170" t="str">
        <f>IF(A2170="","",VLOOKUP(G2170,表3_3[],3,0))</f>
        <v/>
      </c>
      <c r="J2170" t="str">
        <f>IF(A2170="","",IF('ATP Fills'!I2170="3M","",VLOOKUP(RIGHT('ATP Fills'!I2170,2),Helper1!$O$36:$P$48,2,0)))</f>
        <v/>
      </c>
      <c r="K2170" t="str">
        <f>IF(J2170="","",LEFT('ATP Fills'!I2170,4))</f>
        <v/>
      </c>
      <c r="L2170" t="str">
        <f>IF(A2170="","",IF('ATP Fills'!G2170="LME",'ATP Fills'!I2170,""))</f>
        <v/>
      </c>
      <c r="M2170" t="str">
        <f t="shared" si="33"/>
        <v/>
      </c>
    </row>
    <row r="2171" spans="1:13">
      <c r="A2171" t="str">
        <f>IF('ATP Fills'!A2171="","",IF('ATP Fills'!Q2171="PHILLIPSG",'ATP Fills'!F2171,""))</f>
        <v/>
      </c>
      <c r="B2171" t="str">
        <f>IF(A2171="","",'ATP Fills'!L2171)</f>
        <v/>
      </c>
      <c r="C2171" t="str">
        <f>IF(A2171="","",'ATP Fills'!M2171)</f>
        <v/>
      </c>
      <c r="D2171" t="str">
        <f>IF(A2171="","",'ATP Fills'!B2171)</f>
        <v/>
      </c>
      <c r="E2171" s="3" t="str">
        <f>IF(A2171="","",IF(DATE(LEFT(D2171,4),MID(D2171,5,2),RIGHT(D2171,2))=Helper1!$P$1,Helper1!$P$1,""))</f>
        <v/>
      </c>
      <c r="F2171" s="3" t="str">
        <f>IF(A2171="","",'ATP Fills'!G2171)</f>
        <v/>
      </c>
      <c r="G2171" t="str">
        <f>IF(A2171="","",'ATP Fills'!H2171)</f>
        <v/>
      </c>
      <c r="H2171" t="str">
        <f>IF(A2171="","",VLOOKUP(G2171,表3_3[],2,0))</f>
        <v/>
      </c>
      <c r="I2171" t="str">
        <f>IF(A2171="","",VLOOKUP(G2171,表3_3[],3,0))</f>
        <v/>
      </c>
      <c r="J2171" t="str">
        <f>IF(A2171="","",IF('ATP Fills'!I2171="3M","",VLOOKUP(RIGHT('ATP Fills'!I2171,2),Helper1!$O$36:$P$48,2,0)))</f>
        <v/>
      </c>
      <c r="K2171" t="str">
        <f>IF(J2171="","",LEFT('ATP Fills'!I2171,4))</f>
        <v/>
      </c>
      <c r="L2171" t="str">
        <f>IF(A2171="","",IF('ATP Fills'!G2171="LME",'ATP Fills'!I2171,""))</f>
        <v/>
      </c>
      <c r="M2171" t="str">
        <f t="shared" si="33"/>
        <v/>
      </c>
    </row>
    <row r="2172" spans="1:13">
      <c r="A2172" t="str">
        <f>IF('ATP Fills'!A2172="","",IF('ATP Fills'!Q2172="PHILLIPSG",'ATP Fills'!F2172,""))</f>
        <v/>
      </c>
      <c r="B2172" t="str">
        <f>IF(A2172="","",'ATP Fills'!L2172)</f>
        <v/>
      </c>
      <c r="C2172" t="str">
        <f>IF(A2172="","",'ATP Fills'!M2172)</f>
        <v/>
      </c>
      <c r="D2172" t="str">
        <f>IF(A2172="","",'ATP Fills'!B2172)</f>
        <v/>
      </c>
      <c r="E2172" s="3" t="str">
        <f>IF(A2172="","",IF(DATE(LEFT(D2172,4),MID(D2172,5,2),RIGHT(D2172,2))=Helper1!$P$1,Helper1!$P$1,""))</f>
        <v/>
      </c>
      <c r="F2172" s="3" t="str">
        <f>IF(A2172="","",'ATP Fills'!G2172)</f>
        <v/>
      </c>
      <c r="G2172" t="str">
        <f>IF(A2172="","",'ATP Fills'!H2172)</f>
        <v/>
      </c>
      <c r="H2172" t="str">
        <f>IF(A2172="","",VLOOKUP(G2172,表3_3[],2,0))</f>
        <v/>
      </c>
      <c r="I2172" t="str">
        <f>IF(A2172="","",VLOOKUP(G2172,表3_3[],3,0))</f>
        <v/>
      </c>
      <c r="J2172" t="str">
        <f>IF(A2172="","",IF('ATP Fills'!I2172="3M","",VLOOKUP(RIGHT('ATP Fills'!I2172,2),Helper1!$O$36:$P$48,2,0)))</f>
        <v/>
      </c>
      <c r="K2172" t="str">
        <f>IF(J2172="","",LEFT('ATP Fills'!I2172,4))</f>
        <v/>
      </c>
      <c r="L2172" t="str">
        <f>IF(A2172="","",IF('ATP Fills'!G2172="LME",'ATP Fills'!I2172,""))</f>
        <v/>
      </c>
      <c r="M2172" t="str">
        <f t="shared" si="33"/>
        <v/>
      </c>
    </row>
    <row r="2173" spans="1:13">
      <c r="A2173" t="str">
        <f>IF('ATP Fills'!A2173="","",IF('ATP Fills'!Q2173="PHILLIPSG",'ATP Fills'!F2173,""))</f>
        <v/>
      </c>
      <c r="B2173" t="str">
        <f>IF(A2173="","",'ATP Fills'!L2173)</f>
        <v/>
      </c>
      <c r="C2173" t="str">
        <f>IF(A2173="","",'ATP Fills'!M2173)</f>
        <v/>
      </c>
      <c r="D2173" t="str">
        <f>IF(A2173="","",'ATP Fills'!B2173)</f>
        <v/>
      </c>
      <c r="E2173" s="3" t="str">
        <f>IF(A2173="","",IF(DATE(LEFT(D2173,4),MID(D2173,5,2),RIGHT(D2173,2))=Helper1!$P$1,Helper1!$P$1,""))</f>
        <v/>
      </c>
      <c r="F2173" s="3" t="str">
        <f>IF(A2173="","",'ATP Fills'!G2173)</f>
        <v/>
      </c>
      <c r="G2173" t="str">
        <f>IF(A2173="","",'ATP Fills'!H2173)</f>
        <v/>
      </c>
      <c r="H2173" t="str">
        <f>IF(A2173="","",VLOOKUP(G2173,表3_3[],2,0))</f>
        <v/>
      </c>
      <c r="I2173" t="str">
        <f>IF(A2173="","",VLOOKUP(G2173,表3_3[],3,0))</f>
        <v/>
      </c>
      <c r="J2173" t="str">
        <f>IF(A2173="","",IF('ATP Fills'!I2173="3M","",VLOOKUP(RIGHT('ATP Fills'!I2173,2),Helper1!$O$36:$P$48,2,0)))</f>
        <v/>
      </c>
      <c r="K2173" t="str">
        <f>IF(J2173="","",LEFT('ATP Fills'!I2173,4))</f>
        <v/>
      </c>
      <c r="L2173" t="str">
        <f>IF(A2173="","",IF('ATP Fills'!G2173="LME",'ATP Fills'!I2173,""))</f>
        <v/>
      </c>
      <c r="M2173" t="str">
        <f t="shared" si="33"/>
        <v/>
      </c>
    </row>
    <row r="2174" spans="1:13">
      <c r="A2174" t="str">
        <f>IF('ATP Fills'!A2174="","",IF('ATP Fills'!Q2174="PHILLIPSG",'ATP Fills'!F2174,""))</f>
        <v/>
      </c>
      <c r="B2174" t="str">
        <f>IF(A2174="","",'ATP Fills'!L2174)</f>
        <v/>
      </c>
      <c r="C2174" t="str">
        <f>IF(A2174="","",'ATP Fills'!M2174)</f>
        <v/>
      </c>
      <c r="D2174" t="str">
        <f>IF(A2174="","",'ATP Fills'!B2174)</f>
        <v/>
      </c>
      <c r="E2174" s="3" t="str">
        <f>IF(A2174="","",IF(DATE(LEFT(D2174,4),MID(D2174,5,2),RIGHT(D2174,2))=Helper1!$P$1,Helper1!$P$1,""))</f>
        <v/>
      </c>
      <c r="F2174" s="3" t="str">
        <f>IF(A2174="","",'ATP Fills'!G2174)</f>
        <v/>
      </c>
      <c r="G2174" t="str">
        <f>IF(A2174="","",'ATP Fills'!H2174)</f>
        <v/>
      </c>
      <c r="H2174" t="str">
        <f>IF(A2174="","",VLOOKUP(G2174,表3_3[],2,0))</f>
        <v/>
      </c>
      <c r="I2174" t="str">
        <f>IF(A2174="","",VLOOKUP(G2174,表3_3[],3,0))</f>
        <v/>
      </c>
      <c r="J2174" t="str">
        <f>IF(A2174="","",IF('ATP Fills'!I2174="3M","",VLOOKUP(RIGHT('ATP Fills'!I2174,2),Helper1!$O$36:$P$48,2,0)))</f>
        <v/>
      </c>
      <c r="K2174" t="str">
        <f>IF(J2174="","",LEFT('ATP Fills'!I2174,4))</f>
        <v/>
      </c>
      <c r="L2174" t="str">
        <f>IF(A2174="","",IF('ATP Fills'!G2174="LME",'ATP Fills'!I2174,""))</f>
        <v/>
      </c>
      <c r="M2174" t="str">
        <f t="shared" si="33"/>
        <v/>
      </c>
    </row>
    <row r="2175" spans="1:13">
      <c r="A2175" t="str">
        <f>IF('ATP Fills'!A2175="","",IF('ATP Fills'!Q2175="PHILLIPSG",'ATP Fills'!F2175,""))</f>
        <v/>
      </c>
      <c r="B2175" t="str">
        <f>IF(A2175="","",'ATP Fills'!L2175)</f>
        <v/>
      </c>
      <c r="C2175" t="str">
        <f>IF(A2175="","",'ATP Fills'!M2175)</f>
        <v/>
      </c>
      <c r="D2175" t="str">
        <f>IF(A2175="","",'ATP Fills'!B2175)</f>
        <v/>
      </c>
      <c r="E2175" s="3" t="str">
        <f>IF(A2175="","",IF(DATE(LEFT(D2175,4),MID(D2175,5,2),RIGHT(D2175,2))=Helper1!$P$1,Helper1!$P$1,""))</f>
        <v/>
      </c>
      <c r="F2175" s="3" t="str">
        <f>IF(A2175="","",'ATP Fills'!G2175)</f>
        <v/>
      </c>
      <c r="G2175" t="str">
        <f>IF(A2175="","",'ATP Fills'!H2175)</f>
        <v/>
      </c>
      <c r="H2175" t="str">
        <f>IF(A2175="","",VLOOKUP(G2175,表3_3[],2,0))</f>
        <v/>
      </c>
      <c r="I2175" t="str">
        <f>IF(A2175="","",VLOOKUP(G2175,表3_3[],3,0))</f>
        <v/>
      </c>
      <c r="J2175" t="str">
        <f>IF(A2175="","",IF('ATP Fills'!I2175="3M","",VLOOKUP(RIGHT('ATP Fills'!I2175,2),Helper1!$O$36:$P$48,2,0)))</f>
        <v/>
      </c>
      <c r="K2175" t="str">
        <f>IF(J2175="","",LEFT('ATP Fills'!I2175,4))</f>
        <v/>
      </c>
      <c r="L2175" t="str">
        <f>IF(A2175="","",IF('ATP Fills'!G2175="LME",'ATP Fills'!I2175,""))</f>
        <v/>
      </c>
      <c r="M2175" t="str">
        <f t="shared" si="33"/>
        <v/>
      </c>
    </row>
    <row r="2176" spans="1:13">
      <c r="A2176" t="str">
        <f>IF('ATP Fills'!A2176="","",IF('ATP Fills'!Q2176="PHILLIPSG",'ATP Fills'!F2176,""))</f>
        <v/>
      </c>
      <c r="B2176" t="str">
        <f>IF(A2176="","",'ATP Fills'!L2176)</f>
        <v/>
      </c>
      <c r="C2176" t="str">
        <f>IF(A2176="","",'ATP Fills'!M2176)</f>
        <v/>
      </c>
      <c r="D2176" t="str">
        <f>IF(A2176="","",'ATP Fills'!B2176)</f>
        <v/>
      </c>
      <c r="E2176" s="3" t="str">
        <f>IF(A2176="","",IF(DATE(LEFT(D2176,4),MID(D2176,5,2),RIGHT(D2176,2))=Helper1!$P$1,Helper1!$P$1,""))</f>
        <v/>
      </c>
      <c r="F2176" s="3" t="str">
        <f>IF(A2176="","",'ATP Fills'!G2176)</f>
        <v/>
      </c>
      <c r="G2176" t="str">
        <f>IF(A2176="","",'ATP Fills'!H2176)</f>
        <v/>
      </c>
      <c r="H2176" t="str">
        <f>IF(A2176="","",VLOOKUP(G2176,表3_3[],2,0))</f>
        <v/>
      </c>
      <c r="I2176" t="str">
        <f>IF(A2176="","",VLOOKUP(G2176,表3_3[],3,0))</f>
        <v/>
      </c>
      <c r="J2176" t="str">
        <f>IF(A2176="","",IF('ATP Fills'!I2176="3M","",VLOOKUP(RIGHT('ATP Fills'!I2176,2),Helper1!$O$36:$P$48,2,0)))</f>
        <v/>
      </c>
      <c r="K2176" t="str">
        <f>IF(J2176="","",LEFT('ATP Fills'!I2176,4))</f>
        <v/>
      </c>
      <c r="L2176" t="str">
        <f>IF(A2176="","",IF('ATP Fills'!G2176="LME",'ATP Fills'!I2176,""))</f>
        <v/>
      </c>
      <c r="M2176" t="str">
        <f t="shared" si="33"/>
        <v/>
      </c>
    </row>
    <row r="2177" spans="1:13">
      <c r="A2177" t="str">
        <f>IF('ATP Fills'!A2177="","",IF('ATP Fills'!Q2177="PHILLIPSG",'ATP Fills'!F2177,""))</f>
        <v/>
      </c>
      <c r="B2177" t="str">
        <f>IF(A2177="","",'ATP Fills'!L2177)</f>
        <v/>
      </c>
      <c r="C2177" t="str">
        <f>IF(A2177="","",'ATP Fills'!M2177)</f>
        <v/>
      </c>
      <c r="D2177" t="str">
        <f>IF(A2177="","",'ATP Fills'!B2177)</f>
        <v/>
      </c>
      <c r="E2177" s="3" t="str">
        <f>IF(A2177="","",IF(DATE(LEFT(D2177,4),MID(D2177,5,2),RIGHT(D2177,2))=Helper1!$P$1,Helper1!$P$1,""))</f>
        <v/>
      </c>
      <c r="F2177" s="3" t="str">
        <f>IF(A2177="","",'ATP Fills'!G2177)</f>
        <v/>
      </c>
      <c r="G2177" t="str">
        <f>IF(A2177="","",'ATP Fills'!H2177)</f>
        <v/>
      </c>
      <c r="H2177" t="str">
        <f>IF(A2177="","",VLOOKUP(G2177,表3_3[],2,0))</f>
        <v/>
      </c>
      <c r="I2177" t="str">
        <f>IF(A2177="","",VLOOKUP(G2177,表3_3[],3,0))</f>
        <v/>
      </c>
      <c r="J2177" t="str">
        <f>IF(A2177="","",IF('ATP Fills'!I2177="3M","",VLOOKUP(RIGHT('ATP Fills'!I2177,2),Helper1!$O$36:$P$48,2,0)))</f>
        <v/>
      </c>
      <c r="K2177" t="str">
        <f>IF(J2177="","",LEFT('ATP Fills'!I2177,4))</f>
        <v/>
      </c>
      <c r="L2177" t="str">
        <f>IF(A2177="","",IF('ATP Fills'!G2177="LME",'ATP Fills'!I2177,""))</f>
        <v/>
      </c>
      <c r="M2177" t="str">
        <f t="shared" si="33"/>
        <v/>
      </c>
    </row>
    <row r="2178" spans="1:13">
      <c r="A2178" t="str">
        <f>IF('ATP Fills'!A2178="","",IF('ATP Fills'!Q2178="PHILLIPSG",'ATP Fills'!F2178,""))</f>
        <v/>
      </c>
      <c r="B2178" t="str">
        <f>IF(A2178="","",'ATP Fills'!L2178)</f>
        <v/>
      </c>
      <c r="C2178" t="str">
        <f>IF(A2178="","",'ATP Fills'!M2178)</f>
        <v/>
      </c>
      <c r="D2178" t="str">
        <f>IF(A2178="","",'ATP Fills'!B2178)</f>
        <v/>
      </c>
      <c r="E2178" s="3" t="str">
        <f>IF(A2178="","",IF(DATE(LEFT(D2178,4),MID(D2178,5,2),RIGHT(D2178,2))=Helper1!$P$1,Helper1!$P$1,""))</f>
        <v/>
      </c>
      <c r="F2178" s="3" t="str">
        <f>IF(A2178="","",'ATP Fills'!G2178)</f>
        <v/>
      </c>
      <c r="G2178" t="str">
        <f>IF(A2178="","",'ATP Fills'!H2178)</f>
        <v/>
      </c>
      <c r="H2178" t="str">
        <f>IF(A2178="","",VLOOKUP(G2178,表3_3[],2,0))</f>
        <v/>
      </c>
      <c r="I2178" t="str">
        <f>IF(A2178="","",VLOOKUP(G2178,表3_3[],3,0))</f>
        <v/>
      </c>
      <c r="J2178" t="str">
        <f>IF(A2178="","",IF('ATP Fills'!I2178="3M","",VLOOKUP(RIGHT('ATP Fills'!I2178,2),Helper1!$O$36:$P$48,2,0)))</f>
        <v/>
      </c>
      <c r="K2178" t="str">
        <f>IF(J2178="","",LEFT('ATP Fills'!I2178,4))</f>
        <v/>
      </c>
      <c r="L2178" t="str">
        <f>IF(A2178="","",IF('ATP Fills'!G2178="LME",'ATP Fills'!I2178,""))</f>
        <v/>
      </c>
      <c r="M2178" t="str">
        <f t="shared" si="33"/>
        <v/>
      </c>
    </row>
    <row r="2179" spans="1:13">
      <c r="A2179" t="str">
        <f>IF('ATP Fills'!A2179="","",IF('ATP Fills'!Q2179="PHILLIPSG",'ATP Fills'!F2179,""))</f>
        <v/>
      </c>
      <c r="B2179" t="str">
        <f>IF(A2179="","",'ATP Fills'!L2179)</f>
        <v/>
      </c>
      <c r="C2179" t="str">
        <f>IF(A2179="","",'ATP Fills'!M2179)</f>
        <v/>
      </c>
      <c r="D2179" t="str">
        <f>IF(A2179="","",'ATP Fills'!B2179)</f>
        <v/>
      </c>
      <c r="E2179" s="3" t="str">
        <f>IF(A2179="","",IF(DATE(LEFT(D2179,4),MID(D2179,5,2),RIGHT(D2179,2))=Helper1!$P$1,Helper1!$P$1,""))</f>
        <v/>
      </c>
      <c r="F2179" s="3" t="str">
        <f>IF(A2179="","",'ATP Fills'!G2179)</f>
        <v/>
      </c>
      <c r="G2179" t="str">
        <f>IF(A2179="","",'ATP Fills'!H2179)</f>
        <v/>
      </c>
      <c r="H2179" t="str">
        <f>IF(A2179="","",VLOOKUP(G2179,表3_3[],2,0))</f>
        <v/>
      </c>
      <c r="I2179" t="str">
        <f>IF(A2179="","",VLOOKUP(G2179,表3_3[],3,0))</f>
        <v/>
      </c>
      <c r="J2179" t="str">
        <f>IF(A2179="","",IF('ATP Fills'!I2179="3M","",VLOOKUP(RIGHT('ATP Fills'!I2179,2),Helper1!$O$36:$P$48,2,0)))</f>
        <v/>
      </c>
      <c r="K2179" t="str">
        <f>IF(J2179="","",LEFT('ATP Fills'!I2179,4))</f>
        <v/>
      </c>
      <c r="L2179" t="str">
        <f>IF(A2179="","",IF('ATP Fills'!G2179="LME",'ATP Fills'!I2179,""))</f>
        <v/>
      </c>
      <c r="M2179" t="str">
        <f t="shared" ref="M2179:M2242" si="34">IF(A2179="","",IF(F2179="LME",F2179&amp;"-"&amp;I2179&amp;"-"&amp;L2179,J2179&amp;"-"&amp;K2179&amp;"-"&amp;I2179))</f>
        <v/>
      </c>
    </row>
    <row r="2180" spans="1:13">
      <c r="A2180" t="str">
        <f>IF('ATP Fills'!A2180="","",IF('ATP Fills'!Q2180="PHILLIPSG",'ATP Fills'!F2180,""))</f>
        <v/>
      </c>
      <c r="B2180" t="str">
        <f>IF(A2180="","",'ATP Fills'!L2180)</f>
        <v/>
      </c>
      <c r="C2180" t="str">
        <f>IF(A2180="","",'ATP Fills'!M2180)</f>
        <v/>
      </c>
      <c r="D2180" t="str">
        <f>IF(A2180="","",'ATP Fills'!B2180)</f>
        <v/>
      </c>
      <c r="E2180" s="3" t="str">
        <f>IF(A2180="","",IF(DATE(LEFT(D2180,4),MID(D2180,5,2),RIGHT(D2180,2))=Helper1!$P$1,Helper1!$P$1,""))</f>
        <v/>
      </c>
      <c r="F2180" s="3" t="str">
        <f>IF(A2180="","",'ATP Fills'!G2180)</f>
        <v/>
      </c>
      <c r="G2180" t="str">
        <f>IF(A2180="","",'ATP Fills'!H2180)</f>
        <v/>
      </c>
      <c r="H2180" t="str">
        <f>IF(A2180="","",VLOOKUP(G2180,表3_3[],2,0))</f>
        <v/>
      </c>
      <c r="I2180" t="str">
        <f>IF(A2180="","",VLOOKUP(G2180,表3_3[],3,0))</f>
        <v/>
      </c>
      <c r="J2180" t="str">
        <f>IF(A2180="","",IF('ATP Fills'!I2180="3M","",VLOOKUP(RIGHT('ATP Fills'!I2180,2),Helper1!$O$36:$P$48,2,0)))</f>
        <v/>
      </c>
      <c r="K2180" t="str">
        <f>IF(J2180="","",LEFT('ATP Fills'!I2180,4))</f>
        <v/>
      </c>
      <c r="L2180" t="str">
        <f>IF(A2180="","",IF('ATP Fills'!G2180="LME",'ATP Fills'!I2180,""))</f>
        <v/>
      </c>
      <c r="M2180" t="str">
        <f t="shared" si="34"/>
        <v/>
      </c>
    </row>
    <row r="2181" spans="1:13">
      <c r="A2181" t="str">
        <f>IF('ATP Fills'!A2181="","",IF('ATP Fills'!Q2181="PHILLIPSG",'ATP Fills'!F2181,""))</f>
        <v/>
      </c>
      <c r="B2181" t="str">
        <f>IF(A2181="","",'ATP Fills'!L2181)</f>
        <v/>
      </c>
      <c r="C2181" t="str">
        <f>IF(A2181="","",'ATP Fills'!M2181)</f>
        <v/>
      </c>
      <c r="D2181" t="str">
        <f>IF(A2181="","",'ATP Fills'!B2181)</f>
        <v/>
      </c>
      <c r="E2181" s="3" t="str">
        <f>IF(A2181="","",IF(DATE(LEFT(D2181,4),MID(D2181,5,2),RIGHT(D2181,2))=Helper1!$P$1,Helper1!$P$1,""))</f>
        <v/>
      </c>
      <c r="F2181" s="3" t="str">
        <f>IF(A2181="","",'ATP Fills'!G2181)</f>
        <v/>
      </c>
      <c r="G2181" t="str">
        <f>IF(A2181="","",'ATP Fills'!H2181)</f>
        <v/>
      </c>
      <c r="H2181" t="str">
        <f>IF(A2181="","",VLOOKUP(G2181,表3_3[],2,0))</f>
        <v/>
      </c>
      <c r="I2181" t="str">
        <f>IF(A2181="","",VLOOKUP(G2181,表3_3[],3,0))</f>
        <v/>
      </c>
      <c r="J2181" t="str">
        <f>IF(A2181="","",IF('ATP Fills'!I2181="3M","",VLOOKUP(RIGHT('ATP Fills'!I2181,2),Helper1!$O$36:$P$48,2,0)))</f>
        <v/>
      </c>
      <c r="K2181" t="str">
        <f>IF(J2181="","",LEFT('ATP Fills'!I2181,4))</f>
        <v/>
      </c>
      <c r="L2181" t="str">
        <f>IF(A2181="","",IF('ATP Fills'!G2181="LME",'ATP Fills'!I2181,""))</f>
        <v/>
      </c>
      <c r="M2181" t="str">
        <f t="shared" si="34"/>
        <v/>
      </c>
    </row>
    <row r="2182" spans="1:13">
      <c r="A2182" t="str">
        <f>IF('ATP Fills'!A2182="","",IF('ATP Fills'!Q2182="PHILLIPSG",'ATP Fills'!F2182,""))</f>
        <v/>
      </c>
      <c r="B2182" t="str">
        <f>IF(A2182="","",'ATP Fills'!L2182)</f>
        <v/>
      </c>
      <c r="C2182" t="str">
        <f>IF(A2182="","",'ATP Fills'!M2182)</f>
        <v/>
      </c>
      <c r="D2182" t="str">
        <f>IF(A2182="","",'ATP Fills'!B2182)</f>
        <v/>
      </c>
      <c r="E2182" s="3" t="str">
        <f>IF(A2182="","",IF(DATE(LEFT(D2182,4),MID(D2182,5,2),RIGHT(D2182,2))=Helper1!$P$1,Helper1!$P$1,""))</f>
        <v/>
      </c>
      <c r="F2182" s="3" t="str">
        <f>IF(A2182="","",'ATP Fills'!G2182)</f>
        <v/>
      </c>
      <c r="G2182" t="str">
        <f>IF(A2182="","",'ATP Fills'!H2182)</f>
        <v/>
      </c>
      <c r="H2182" t="str">
        <f>IF(A2182="","",VLOOKUP(G2182,表3_3[],2,0))</f>
        <v/>
      </c>
      <c r="I2182" t="str">
        <f>IF(A2182="","",VLOOKUP(G2182,表3_3[],3,0))</f>
        <v/>
      </c>
      <c r="J2182" t="str">
        <f>IF(A2182="","",IF('ATP Fills'!I2182="3M","",VLOOKUP(RIGHT('ATP Fills'!I2182,2),Helper1!$O$36:$P$48,2,0)))</f>
        <v/>
      </c>
      <c r="K2182" t="str">
        <f>IF(J2182="","",LEFT('ATP Fills'!I2182,4))</f>
        <v/>
      </c>
      <c r="L2182" t="str">
        <f>IF(A2182="","",IF('ATP Fills'!G2182="LME",'ATP Fills'!I2182,""))</f>
        <v/>
      </c>
      <c r="M2182" t="str">
        <f t="shared" si="34"/>
        <v/>
      </c>
    </row>
    <row r="2183" spans="1:13">
      <c r="A2183" t="str">
        <f>IF('ATP Fills'!A2183="","",IF('ATP Fills'!Q2183="PHILLIPSG",'ATP Fills'!F2183,""))</f>
        <v/>
      </c>
      <c r="B2183" t="str">
        <f>IF(A2183="","",'ATP Fills'!L2183)</f>
        <v/>
      </c>
      <c r="C2183" t="str">
        <f>IF(A2183="","",'ATP Fills'!M2183)</f>
        <v/>
      </c>
      <c r="D2183" t="str">
        <f>IF(A2183="","",'ATP Fills'!B2183)</f>
        <v/>
      </c>
      <c r="E2183" s="3" t="str">
        <f>IF(A2183="","",IF(DATE(LEFT(D2183,4),MID(D2183,5,2),RIGHT(D2183,2))=Helper1!$P$1,Helper1!$P$1,""))</f>
        <v/>
      </c>
      <c r="F2183" s="3" t="str">
        <f>IF(A2183="","",'ATP Fills'!G2183)</f>
        <v/>
      </c>
      <c r="G2183" t="str">
        <f>IF(A2183="","",'ATP Fills'!H2183)</f>
        <v/>
      </c>
      <c r="H2183" t="str">
        <f>IF(A2183="","",VLOOKUP(G2183,表3_3[],2,0))</f>
        <v/>
      </c>
      <c r="I2183" t="str">
        <f>IF(A2183="","",VLOOKUP(G2183,表3_3[],3,0))</f>
        <v/>
      </c>
      <c r="J2183" t="str">
        <f>IF(A2183="","",IF('ATP Fills'!I2183="3M","",VLOOKUP(RIGHT('ATP Fills'!I2183,2),Helper1!$O$36:$P$48,2,0)))</f>
        <v/>
      </c>
      <c r="K2183" t="str">
        <f>IF(J2183="","",LEFT('ATP Fills'!I2183,4))</f>
        <v/>
      </c>
      <c r="L2183" t="str">
        <f>IF(A2183="","",IF('ATP Fills'!G2183="LME",'ATP Fills'!I2183,""))</f>
        <v/>
      </c>
      <c r="M2183" t="str">
        <f t="shared" si="34"/>
        <v/>
      </c>
    </row>
    <row r="2184" spans="1:13">
      <c r="A2184" t="str">
        <f>IF('ATP Fills'!A2184="","",IF('ATP Fills'!Q2184="PHILLIPSG",'ATP Fills'!F2184,""))</f>
        <v/>
      </c>
      <c r="B2184" t="str">
        <f>IF(A2184="","",'ATP Fills'!L2184)</f>
        <v/>
      </c>
      <c r="C2184" t="str">
        <f>IF(A2184="","",'ATP Fills'!M2184)</f>
        <v/>
      </c>
      <c r="D2184" t="str">
        <f>IF(A2184="","",'ATP Fills'!B2184)</f>
        <v/>
      </c>
      <c r="E2184" s="3" t="str">
        <f>IF(A2184="","",IF(DATE(LEFT(D2184,4),MID(D2184,5,2),RIGHT(D2184,2))=Helper1!$P$1,Helper1!$P$1,""))</f>
        <v/>
      </c>
      <c r="F2184" s="3" t="str">
        <f>IF(A2184="","",'ATP Fills'!G2184)</f>
        <v/>
      </c>
      <c r="G2184" t="str">
        <f>IF(A2184="","",'ATP Fills'!H2184)</f>
        <v/>
      </c>
      <c r="H2184" t="str">
        <f>IF(A2184="","",VLOOKUP(G2184,表3_3[],2,0))</f>
        <v/>
      </c>
      <c r="I2184" t="str">
        <f>IF(A2184="","",VLOOKUP(G2184,表3_3[],3,0))</f>
        <v/>
      </c>
      <c r="J2184" t="str">
        <f>IF(A2184="","",IF('ATP Fills'!I2184="3M","",VLOOKUP(RIGHT('ATP Fills'!I2184,2),Helper1!$O$36:$P$48,2,0)))</f>
        <v/>
      </c>
      <c r="K2184" t="str">
        <f>IF(J2184="","",LEFT('ATP Fills'!I2184,4))</f>
        <v/>
      </c>
      <c r="L2184" t="str">
        <f>IF(A2184="","",IF('ATP Fills'!G2184="LME",'ATP Fills'!I2184,""))</f>
        <v/>
      </c>
      <c r="M2184" t="str">
        <f t="shared" si="34"/>
        <v/>
      </c>
    </row>
    <row r="2185" spans="1:13">
      <c r="A2185" t="str">
        <f>IF('ATP Fills'!A2185="","",IF('ATP Fills'!Q2185="PHILLIPSG",'ATP Fills'!F2185,""))</f>
        <v/>
      </c>
      <c r="B2185" t="str">
        <f>IF(A2185="","",'ATP Fills'!L2185)</f>
        <v/>
      </c>
      <c r="C2185" t="str">
        <f>IF(A2185="","",'ATP Fills'!M2185)</f>
        <v/>
      </c>
      <c r="D2185" t="str">
        <f>IF(A2185="","",'ATP Fills'!B2185)</f>
        <v/>
      </c>
      <c r="E2185" s="3" t="str">
        <f>IF(A2185="","",IF(DATE(LEFT(D2185,4),MID(D2185,5,2),RIGHT(D2185,2))=Helper1!$P$1,Helper1!$P$1,""))</f>
        <v/>
      </c>
      <c r="F2185" s="3" t="str">
        <f>IF(A2185="","",'ATP Fills'!G2185)</f>
        <v/>
      </c>
      <c r="G2185" t="str">
        <f>IF(A2185="","",'ATP Fills'!H2185)</f>
        <v/>
      </c>
      <c r="H2185" t="str">
        <f>IF(A2185="","",VLOOKUP(G2185,表3_3[],2,0))</f>
        <v/>
      </c>
      <c r="I2185" t="str">
        <f>IF(A2185="","",VLOOKUP(G2185,表3_3[],3,0))</f>
        <v/>
      </c>
      <c r="J2185" t="str">
        <f>IF(A2185="","",IF('ATP Fills'!I2185="3M","",VLOOKUP(RIGHT('ATP Fills'!I2185,2),Helper1!$O$36:$P$48,2,0)))</f>
        <v/>
      </c>
      <c r="K2185" t="str">
        <f>IF(J2185="","",LEFT('ATP Fills'!I2185,4))</f>
        <v/>
      </c>
      <c r="L2185" t="str">
        <f>IF(A2185="","",IF('ATP Fills'!G2185="LME",'ATP Fills'!I2185,""))</f>
        <v/>
      </c>
      <c r="M2185" t="str">
        <f t="shared" si="34"/>
        <v/>
      </c>
    </row>
    <row r="2186" spans="1:13">
      <c r="A2186" t="str">
        <f>IF('ATP Fills'!A2186="","",IF('ATP Fills'!Q2186="PHILLIPSG",'ATP Fills'!F2186,""))</f>
        <v/>
      </c>
      <c r="B2186" t="str">
        <f>IF(A2186="","",'ATP Fills'!L2186)</f>
        <v/>
      </c>
      <c r="C2186" t="str">
        <f>IF(A2186="","",'ATP Fills'!M2186)</f>
        <v/>
      </c>
      <c r="D2186" t="str">
        <f>IF(A2186="","",'ATP Fills'!B2186)</f>
        <v/>
      </c>
      <c r="E2186" s="3" t="str">
        <f>IF(A2186="","",IF(DATE(LEFT(D2186,4),MID(D2186,5,2),RIGHT(D2186,2))=Helper1!$P$1,Helper1!$P$1,""))</f>
        <v/>
      </c>
      <c r="F2186" s="3" t="str">
        <f>IF(A2186="","",'ATP Fills'!G2186)</f>
        <v/>
      </c>
      <c r="G2186" t="str">
        <f>IF(A2186="","",'ATP Fills'!H2186)</f>
        <v/>
      </c>
      <c r="H2186" t="str">
        <f>IF(A2186="","",VLOOKUP(G2186,表3_3[],2,0))</f>
        <v/>
      </c>
      <c r="I2186" t="str">
        <f>IF(A2186="","",VLOOKUP(G2186,表3_3[],3,0))</f>
        <v/>
      </c>
      <c r="J2186" t="str">
        <f>IF(A2186="","",IF('ATP Fills'!I2186="3M","",VLOOKUP(RIGHT('ATP Fills'!I2186,2),Helper1!$O$36:$P$48,2,0)))</f>
        <v/>
      </c>
      <c r="K2186" t="str">
        <f>IF(J2186="","",LEFT('ATP Fills'!I2186,4))</f>
        <v/>
      </c>
      <c r="L2186" t="str">
        <f>IF(A2186="","",IF('ATP Fills'!G2186="LME",'ATP Fills'!I2186,""))</f>
        <v/>
      </c>
      <c r="M2186" t="str">
        <f t="shared" si="34"/>
        <v/>
      </c>
    </row>
    <row r="2187" spans="1:13">
      <c r="A2187" t="str">
        <f>IF('ATP Fills'!A2187="","",IF('ATP Fills'!Q2187="PHILLIPSG",'ATP Fills'!F2187,""))</f>
        <v/>
      </c>
      <c r="B2187" t="str">
        <f>IF(A2187="","",'ATP Fills'!L2187)</f>
        <v/>
      </c>
      <c r="C2187" t="str">
        <f>IF(A2187="","",'ATP Fills'!M2187)</f>
        <v/>
      </c>
      <c r="D2187" t="str">
        <f>IF(A2187="","",'ATP Fills'!B2187)</f>
        <v/>
      </c>
      <c r="E2187" s="3" t="str">
        <f>IF(A2187="","",IF(DATE(LEFT(D2187,4),MID(D2187,5,2),RIGHT(D2187,2))=Helper1!$P$1,Helper1!$P$1,""))</f>
        <v/>
      </c>
      <c r="F2187" s="3" t="str">
        <f>IF(A2187="","",'ATP Fills'!G2187)</f>
        <v/>
      </c>
      <c r="G2187" t="str">
        <f>IF(A2187="","",'ATP Fills'!H2187)</f>
        <v/>
      </c>
      <c r="H2187" t="str">
        <f>IF(A2187="","",VLOOKUP(G2187,表3_3[],2,0))</f>
        <v/>
      </c>
      <c r="I2187" t="str">
        <f>IF(A2187="","",VLOOKUP(G2187,表3_3[],3,0))</f>
        <v/>
      </c>
      <c r="J2187" t="str">
        <f>IF(A2187="","",IF('ATP Fills'!I2187="3M","",VLOOKUP(RIGHT('ATP Fills'!I2187,2),Helper1!$O$36:$P$48,2,0)))</f>
        <v/>
      </c>
      <c r="K2187" t="str">
        <f>IF(J2187="","",LEFT('ATP Fills'!I2187,4))</f>
        <v/>
      </c>
      <c r="L2187" t="str">
        <f>IF(A2187="","",IF('ATP Fills'!G2187="LME",'ATP Fills'!I2187,""))</f>
        <v/>
      </c>
      <c r="M2187" t="str">
        <f t="shared" si="34"/>
        <v/>
      </c>
    </row>
    <row r="2188" spans="1:13">
      <c r="A2188" t="str">
        <f>IF('ATP Fills'!A2188="","",IF('ATP Fills'!Q2188="PHILLIPSG",'ATP Fills'!F2188,""))</f>
        <v/>
      </c>
      <c r="B2188" t="str">
        <f>IF(A2188="","",'ATP Fills'!L2188)</f>
        <v/>
      </c>
      <c r="C2188" t="str">
        <f>IF(A2188="","",'ATP Fills'!M2188)</f>
        <v/>
      </c>
      <c r="D2188" t="str">
        <f>IF(A2188="","",'ATP Fills'!B2188)</f>
        <v/>
      </c>
      <c r="E2188" s="3" t="str">
        <f>IF(A2188="","",IF(DATE(LEFT(D2188,4),MID(D2188,5,2),RIGHT(D2188,2))=Helper1!$P$1,Helper1!$P$1,""))</f>
        <v/>
      </c>
      <c r="F2188" s="3" t="str">
        <f>IF(A2188="","",'ATP Fills'!G2188)</f>
        <v/>
      </c>
      <c r="G2188" t="str">
        <f>IF(A2188="","",'ATP Fills'!H2188)</f>
        <v/>
      </c>
      <c r="H2188" t="str">
        <f>IF(A2188="","",VLOOKUP(G2188,表3_3[],2,0))</f>
        <v/>
      </c>
      <c r="I2188" t="str">
        <f>IF(A2188="","",VLOOKUP(G2188,表3_3[],3,0))</f>
        <v/>
      </c>
      <c r="J2188" t="str">
        <f>IF(A2188="","",IF('ATP Fills'!I2188="3M","",VLOOKUP(RIGHT('ATP Fills'!I2188,2),Helper1!$O$36:$P$48,2,0)))</f>
        <v/>
      </c>
      <c r="K2188" t="str">
        <f>IF(J2188="","",LEFT('ATP Fills'!I2188,4))</f>
        <v/>
      </c>
      <c r="L2188" t="str">
        <f>IF(A2188="","",IF('ATP Fills'!G2188="LME",'ATP Fills'!I2188,""))</f>
        <v/>
      </c>
      <c r="M2188" t="str">
        <f t="shared" si="34"/>
        <v/>
      </c>
    </row>
    <row r="2189" spans="1:13">
      <c r="A2189" t="str">
        <f>IF('ATP Fills'!A2189="","",IF('ATP Fills'!Q2189="PHILLIPSG",'ATP Fills'!F2189,""))</f>
        <v/>
      </c>
      <c r="B2189" t="str">
        <f>IF(A2189="","",'ATP Fills'!L2189)</f>
        <v/>
      </c>
      <c r="C2189" t="str">
        <f>IF(A2189="","",'ATP Fills'!M2189)</f>
        <v/>
      </c>
      <c r="D2189" t="str">
        <f>IF(A2189="","",'ATP Fills'!B2189)</f>
        <v/>
      </c>
      <c r="E2189" s="3" t="str">
        <f>IF(A2189="","",IF(DATE(LEFT(D2189,4),MID(D2189,5,2),RIGHT(D2189,2))=Helper1!$P$1,Helper1!$P$1,""))</f>
        <v/>
      </c>
      <c r="F2189" s="3" t="str">
        <f>IF(A2189="","",'ATP Fills'!G2189)</f>
        <v/>
      </c>
      <c r="G2189" t="str">
        <f>IF(A2189="","",'ATP Fills'!H2189)</f>
        <v/>
      </c>
      <c r="H2189" t="str">
        <f>IF(A2189="","",VLOOKUP(G2189,表3_3[],2,0))</f>
        <v/>
      </c>
      <c r="I2189" t="str">
        <f>IF(A2189="","",VLOOKUP(G2189,表3_3[],3,0))</f>
        <v/>
      </c>
      <c r="J2189" t="str">
        <f>IF(A2189="","",IF('ATP Fills'!I2189="3M","",VLOOKUP(RIGHT('ATP Fills'!I2189,2),Helper1!$O$36:$P$48,2,0)))</f>
        <v/>
      </c>
      <c r="K2189" t="str">
        <f>IF(J2189="","",LEFT('ATP Fills'!I2189,4))</f>
        <v/>
      </c>
      <c r="L2189" t="str">
        <f>IF(A2189="","",IF('ATP Fills'!G2189="LME",'ATP Fills'!I2189,""))</f>
        <v/>
      </c>
      <c r="M2189" t="str">
        <f t="shared" si="34"/>
        <v/>
      </c>
    </row>
    <row r="2190" spans="1:13">
      <c r="A2190" t="str">
        <f>IF('ATP Fills'!A2190="","",IF('ATP Fills'!Q2190="PHILLIPSG",'ATP Fills'!F2190,""))</f>
        <v/>
      </c>
      <c r="B2190" t="str">
        <f>IF(A2190="","",'ATP Fills'!L2190)</f>
        <v/>
      </c>
      <c r="C2190" t="str">
        <f>IF(A2190="","",'ATP Fills'!M2190)</f>
        <v/>
      </c>
      <c r="D2190" t="str">
        <f>IF(A2190="","",'ATP Fills'!B2190)</f>
        <v/>
      </c>
      <c r="E2190" s="3" t="str">
        <f>IF(A2190="","",IF(DATE(LEFT(D2190,4),MID(D2190,5,2),RIGHT(D2190,2))=Helper1!$P$1,Helper1!$P$1,""))</f>
        <v/>
      </c>
      <c r="F2190" s="3" t="str">
        <f>IF(A2190="","",'ATP Fills'!G2190)</f>
        <v/>
      </c>
      <c r="G2190" t="str">
        <f>IF(A2190="","",'ATP Fills'!H2190)</f>
        <v/>
      </c>
      <c r="H2190" t="str">
        <f>IF(A2190="","",VLOOKUP(G2190,表3_3[],2,0))</f>
        <v/>
      </c>
      <c r="I2190" t="str">
        <f>IF(A2190="","",VLOOKUP(G2190,表3_3[],3,0))</f>
        <v/>
      </c>
      <c r="J2190" t="str">
        <f>IF(A2190="","",IF('ATP Fills'!I2190="3M","",VLOOKUP(RIGHT('ATP Fills'!I2190,2),Helper1!$O$36:$P$48,2,0)))</f>
        <v/>
      </c>
      <c r="K2190" t="str">
        <f>IF(J2190="","",LEFT('ATP Fills'!I2190,4))</f>
        <v/>
      </c>
      <c r="L2190" t="str">
        <f>IF(A2190="","",IF('ATP Fills'!G2190="LME",'ATP Fills'!I2190,""))</f>
        <v/>
      </c>
      <c r="M2190" t="str">
        <f t="shared" si="34"/>
        <v/>
      </c>
    </row>
    <row r="2191" spans="1:13">
      <c r="A2191" t="str">
        <f>IF('ATP Fills'!A2191="","",IF('ATP Fills'!Q2191="PHILLIPSG",'ATP Fills'!F2191,""))</f>
        <v/>
      </c>
      <c r="B2191" t="str">
        <f>IF(A2191="","",'ATP Fills'!L2191)</f>
        <v/>
      </c>
      <c r="C2191" t="str">
        <f>IF(A2191="","",'ATP Fills'!M2191)</f>
        <v/>
      </c>
      <c r="D2191" t="str">
        <f>IF(A2191="","",'ATP Fills'!B2191)</f>
        <v/>
      </c>
      <c r="E2191" s="3" t="str">
        <f>IF(A2191="","",IF(DATE(LEFT(D2191,4),MID(D2191,5,2),RIGHT(D2191,2))=Helper1!$P$1,Helper1!$P$1,""))</f>
        <v/>
      </c>
      <c r="F2191" s="3" t="str">
        <f>IF(A2191="","",'ATP Fills'!G2191)</f>
        <v/>
      </c>
      <c r="G2191" t="str">
        <f>IF(A2191="","",'ATP Fills'!H2191)</f>
        <v/>
      </c>
      <c r="H2191" t="str">
        <f>IF(A2191="","",VLOOKUP(G2191,表3_3[],2,0))</f>
        <v/>
      </c>
      <c r="I2191" t="str">
        <f>IF(A2191="","",VLOOKUP(G2191,表3_3[],3,0))</f>
        <v/>
      </c>
      <c r="J2191" t="str">
        <f>IF(A2191="","",IF('ATP Fills'!I2191="3M","",VLOOKUP(RIGHT('ATP Fills'!I2191,2),Helper1!$O$36:$P$48,2,0)))</f>
        <v/>
      </c>
      <c r="K2191" t="str">
        <f>IF(J2191="","",LEFT('ATP Fills'!I2191,4))</f>
        <v/>
      </c>
      <c r="L2191" t="str">
        <f>IF(A2191="","",IF('ATP Fills'!G2191="LME",'ATP Fills'!I2191,""))</f>
        <v/>
      </c>
      <c r="M2191" t="str">
        <f t="shared" si="34"/>
        <v/>
      </c>
    </row>
    <row r="2192" spans="1:13">
      <c r="A2192" t="str">
        <f>IF('ATP Fills'!A2192="","",IF('ATP Fills'!Q2192="PHILLIPSG",'ATP Fills'!F2192,""))</f>
        <v/>
      </c>
      <c r="B2192" t="str">
        <f>IF(A2192="","",'ATP Fills'!L2192)</f>
        <v/>
      </c>
      <c r="C2192" t="str">
        <f>IF(A2192="","",'ATP Fills'!M2192)</f>
        <v/>
      </c>
      <c r="D2192" t="str">
        <f>IF(A2192="","",'ATP Fills'!B2192)</f>
        <v/>
      </c>
      <c r="E2192" s="3" t="str">
        <f>IF(A2192="","",IF(DATE(LEFT(D2192,4),MID(D2192,5,2),RIGHT(D2192,2))=Helper1!$P$1,Helper1!$P$1,""))</f>
        <v/>
      </c>
      <c r="F2192" s="3" t="str">
        <f>IF(A2192="","",'ATP Fills'!G2192)</f>
        <v/>
      </c>
      <c r="G2192" t="str">
        <f>IF(A2192="","",'ATP Fills'!H2192)</f>
        <v/>
      </c>
      <c r="H2192" t="str">
        <f>IF(A2192="","",VLOOKUP(G2192,表3_3[],2,0))</f>
        <v/>
      </c>
      <c r="I2192" t="str">
        <f>IF(A2192="","",VLOOKUP(G2192,表3_3[],3,0))</f>
        <v/>
      </c>
      <c r="J2192" t="str">
        <f>IF(A2192="","",IF('ATP Fills'!I2192="3M","",VLOOKUP(RIGHT('ATP Fills'!I2192,2),Helper1!$O$36:$P$48,2,0)))</f>
        <v/>
      </c>
      <c r="K2192" t="str">
        <f>IF(J2192="","",LEFT('ATP Fills'!I2192,4))</f>
        <v/>
      </c>
      <c r="L2192" t="str">
        <f>IF(A2192="","",IF('ATP Fills'!G2192="LME",'ATP Fills'!I2192,""))</f>
        <v/>
      </c>
      <c r="M2192" t="str">
        <f t="shared" si="34"/>
        <v/>
      </c>
    </row>
    <row r="2193" spans="1:13">
      <c r="A2193" t="str">
        <f>IF('ATP Fills'!A2193="","",IF('ATP Fills'!Q2193="PHILLIPSG",'ATP Fills'!F2193,""))</f>
        <v/>
      </c>
      <c r="B2193" t="str">
        <f>IF(A2193="","",'ATP Fills'!L2193)</f>
        <v/>
      </c>
      <c r="C2193" t="str">
        <f>IF(A2193="","",'ATP Fills'!M2193)</f>
        <v/>
      </c>
      <c r="D2193" t="str">
        <f>IF(A2193="","",'ATP Fills'!B2193)</f>
        <v/>
      </c>
      <c r="E2193" s="3" t="str">
        <f>IF(A2193="","",IF(DATE(LEFT(D2193,4),MID(D2193,5,2),RIGHT(D2193,2))=Helper1!$P$1,Helper1!$P$1,""))</f>
        <v/>
      </c>
      <c r="F2193" s="3" t="str">
        <f>IF(A2193="","",'ATP Fills'!G2193)</f>
        <v/>
      </c>
      <c r="G2193" t="str">
        <f>IF(A2193="","",'ATP Fills'!H2193)</f>
        <v/>
      </c>
      <c r="H2193" t="str">
        <f>IF(A2193="","",VLOOKUP(G2193,表3_3[],2,0))</f>
        <v/>
      </c>
      <c r="I2193" t="str">
        <f>IF(A2193="","",VLOOKUP(G2193,表3_3[],3,0))</f>
        <v/>
      </c>
      <c r="J2193" t="str">
        <f>IF(A2193="","",IF('ATP Fills'!I2193="3M","",VLOOKUP(RIGHT('ATP Fills'!I2193,2),Helper1!$O$36:$P$48,2,0)))</f>
        <v/>
      </c>
      <c r="K2193" t="str">
        <f>IF(J2193="","",LEFT('ATP Fills'!I2193,4))</f>
        <v/>
      </c>
      <c r="L2193" t="str">
        <f>IF(A2193="","",IF('ATP Fills'!G2193="LME",'ATP Fills'!I2193,""))</f>
        <v/>
      </c>
      <c r="M2193" t="str">
        <f t="shared" si="34"/>
        <v/>
      </c>
    </row>
    <row r="2194" spans="1:13">
      <c r="A2194" t="str">
        <f>IF('ATP Fills'!A2194="","",IF('ATP Fills'!Q2194="PHILLIPSG",'ATP Fills'!F2194,""))</f>
        <v/>
      </c>
      <c r="B2194" t="str">
        <f>IF(A2194="","",'ATP Fills'!L2194)</f>
        <v/>
      </c>
      <c r="C2194" t="str">
        <f>IF(A2194="","",'ATP Fills'!M2194)</f>
        <v/>
      </c>
      <c r="D2194" t="str">
        <f>IF(A2194="","",'ATP Fills'!B2194)</f>
        <v/>
      </c>
      <c r="E2194" s="3" t="str">
        <f>IF(A2194="","",IF(DATE(LEFT(D2194,4),MID(D2194,5,2),RIGHT(D2194,2))=Helper1!$P$1,Helper1!$P$1,""))</f>
        <v/>
      </c>
      <c r="F2194" s="3" t="str">
        <f>IF(A2194="","",'ATP Fills'!G2194)</f>
        <v/>
      </c>
      <c r="G2194" t="str">
        <f>IF(A2194="","",'ATP Fills'!H2194)</f>
        <v/>
      </c>
      <c r="H2194" t="str">
        <f>IF(A2194="","",VLOOKUP(G2194,表3_3[],2,0))</f>
        <v/>
      </c>
      <c r="I2194" t="str">
        <f>IF(A2194="","",VLOOKUP(G2194,表3_3[],3,0))</f>
        <v/>
      </c>
      <c r="J2194" t="str">
        <f>IF(A2194="","",IF('ATP Fills'!I2194="3M","",VLOOKUP(RIGHT('ATP Fills'!I2194,2),Helper1!$O$36:$P$48,2,0)))</f>
        <v/>
      </c>
      <c r="K2194" t="str">
        <f>IF(J2194="","",LEFT('ATP Fills'!I2194,4))</f>
        <v/>
      </c>
      <c r="L2194" t="str">
        <f>IF(A2194="","",IF('ATP Fills'!G2194="LME",'ATP Fills'!I2194,""))</f>
        <v/>
      </c>
      <c r="M2194" t="str">
        <f t="shared" si="34"/>
        <v/>
      </c>
    </row>
    <row r="2195" spans="1:13">
      <c r="A2195" t="str">
        <f>IF('ATP Fills'!A2195="","",IF('ATP Fills'!Q2195="PHILLIPSG",'ATP Fills'!F2195,""))</f>
        <v/>
      </c>
      <c r="B2195" t="str">
        <f>IF(A2195="","",'ATP Fills'!L2195)</f>
        <v/>
      </c>
      <c r="C2195" t="str">
        <f>IF(A2195="","",'ATP Fills'!M2195)</f>
        <v/>
      </c>
      <c r="D2195" t="str">
        <f>IF(A2195="","",'ATP Fills'!B2195)</f>
        <v/>
      </c>
      <c r="E2195" s="3" t="str">
        <f>IF(A2195="","",IF(DATE(LEFT(D2195,4),MID(D2195,5,2),RIGHT(D2195,2))=Helper1!$P$1,Helper1!$P$1,""))</f>
        <v/>
      </c>
      <c r="F2195" s="3" t="str">
        <f>IF(A2195="","",'ATP Fills'!G2195)</f>
        <v/>
      </c>
      <c r="G2195" t="str">
        <f>IF(A2195="","",'ATP Fills'!H2195)</f>
        <v/>
      </c>
      <c r="H2195" t="str">
        <f>IF(A2195="","",VLOOKUP(G2195,表3_3[],2,0))</f>
        <v/>
      </c>
      <c r="I2195" t="str">
        <f>IF(A2195="","",VLOOKUP(G2195,表3_3[],3,0))</f>
        <v/>
      </c>
      <c r="J2195" t="str">
        <f>IF(A2195="","",IF('ATP Fills'!I2195="3M","",VLOOKUP(RIGHT('ATP Fills'!I2195,2),Helper1!$O$36:$P$48,2,0)))</f>
        <v/>
      </c>
      <c r="K2195" t="str">
        <f>IF(J2195="","",LEFT('ATP Fills'!I2195,4))</f>
        <v/>
      </c>
      <c r="L2195" t="str">
        <f>IF(A2195="","",IF('ATP Fills'!G2195="LME",'ATP Fills'!I2195,""))</f>
        <v/>
      </c>
      <c r="M2195" t="str">
        <f t="shared" si="34"/>
        <v/>
      </c>
    </row>
    <row r="2196" spans="1:13">
      <c r="A2196" t="str">
        <f>IF('ATP Fills'!A2196="","",IF('ATP Fills'!Q2196="PHILLIPSG",'ATP Fills'!F2196,""))</f>
        <v/>
      </c>
      <c r="B2196" t="str">
        <f>IF(A2196="","",'ATP Fills'!L2196)</f>
        <v/>
      </c>
      <c r="C2196" t="str">
        <f>IF(A2196="","",'ATP Fills'!M2196)</f>
        <v/>
      </c>
      <c r="D2196" t="str">
        <f>IF(A2196="","",'ATP Fills'!B2196)</f>
        <v/>
      </c>
      <c r="E2196" s="3" t="str">
        <f>IF(A2196="","",IF(DATE(LEFT(D2196,4),MID(D2196,5,2),RIGHT(D2196,2))=Helper1!$P$1,Helper1!$P$1,""))</f>
        <v/>
      </c>
      <c r="F2196" s="3" t="str">
        <f>IF(A2196="","",'ATP Fills'!G2196)</f>
        <v/>
      </c>
      <c r="G2196" t="str">
        <f>IF(A2196="","",'ATP Fills'!H2196)</f>
        <v/>
      </c>
      <c r="H2196" t="str">
        <f>IF(A2196="","",VLOOKUP(G2196,表3_3[],2,0))</f>
        <v/>
      </c>
      <c r="I2196" t="str">
        <f>IF(A2196="","",VLOOKUP(G2196,表3_3[],3,0))</f>
        <v/>
      </c>
      <c r="J2196" t="str">
        <f>IF(A2196="","",IF('ATP Fills'!I2196="3M","",VLOOKUP(RIGHT('ATP Fills'!I2196,2),Helper1!$O$36:$P$48,2,0)))</f>
        <v/>
      </c>
      <c r="K2196" t="str">
        <f>IF(J2196="","",LEFT('ATP Fills'!I2196,4))</f>
        <v/>
      </c>
      <c r="L2196" t="str">
        <f>IF(A2196="","",IF('ATP Fills'!G2196="LME",'ATP Fills'!I2196,""))</f>
        <v/>
      </c>
      <c r="M2196" t="str">
        <f t="shared" si="34"/>
        <v/>
      </c>
    </row>
    <row r="2197" spans="1:13">
      <c r="A2197" t="str">
        <f>IF('ATP Fills'!A2197="","",IF('ATP Fills'!Q2197="PHILLIPSG",'ATP Fills'!F2197,""))</f>
        <v/>
      </c>
      <c r="B2197" t="str">
        <f>IF(A2197="","",'ATP Fills'!L2197)</f>
        <v/>
      </c>
      <c r="C2197" t="str">
        <f>IF(A2197="","",'ATP Fills'!M2197)</f>
        <v/>
      </c>
      <c r="D2197" t="str">
        <f>IF(A2197="","",'ATP Fills'!B2197)</f>
        <v/>
      </c>
      <c r="E2197" s="3" t="str">
        <f>IF(A2197="","",IF(DATE(LEFT(D2197,4),MID(D2197,5,2),RIGHT(D2197,2))=Helper1!$P$1,Helper1!$P$1,""))</f>
        <v/>
      </c>
      <c r="F2197" s="3" t="str">
        <f>IF(A2197="","",'ATP Fills'!G2197)</f>
        <v/>
      </c>
      <c r="G2197" t="str">
        <f>IF(A2197="","",'ATP Fills'!H2197)</f>
        <v/>
      </c>
      <c r="H2197" t="str">
        <f>IF(A2197="","",VLOOKUP(G2197,表3_3[],2,0))</f>
        <v/>
      </c>
      <c r="I2197" t="str">
        <f>IF(A2197="","",VLOOKUP(G2197,表3_3[],3,0))</f>
        <v/>
      </c>
      <c r="J2197" t="str">
        <f>IF(A2197="","",IF('ATP Fills'!I2197="3M","",VLOOKUP(RIGHT('ATP Fills'!I2197,2),Helper1!$O$36:$P$48,2,0)))</f>
        <v/>
      </c>
      <c r="K2197" t="str">
        <f>IF(J2197="","",LEFT('ATP Fills'!I2197,4))</f>
        <v/>
      </c>
      <c r="L2197" t="str">
        <f>IF(A2197="","",IF('ATP Fills'!G2197="LME",'ATP Fills'!I2197,""))</f>
        <v/>
      </c>
      <c r="M2197" t="str">
        <f t="shared" si="34"/>
        <v/>
      </c>
    </row>
    <row r="2198" spans="1:13">
      <c r="A2198" t="str">
        <f>IF('ATP Fills'!A2198="","",IF('ATP Fills'!Q2198="PHILLIPSG",'ATP Fills'!F2198,""))</f>
        <v/>
      </c>
      <c r="B2198" t="str">
        <f>IF(A2198="","",'ATP Fills'!L2198)</f>
        <v/>
      </c>
      <c r="C2198" t="str">
        <f>IF(A2198="","",'ATP Fills'!M2198)</f>
        <v/>
      </c>
      <c r="D2198" t="str">
        <f>IF(A2198="","",'ATP Fills'!B2198)</f>
        <v/>
      </c>
      <c r="E2198" s="3" t="str">
        <f>IF(A2198="","",IF(DATE(LEFT(D2198,4),MID(D2198,5,2),RIGHT(D2198,2))=Helper1!$P$1,Helper1!$P$1,""))</f>
        <v/>
      </c>
      <c r="F2198" s="3" t="str">
        <f>IF(A2198="","",'ATP Fills'!G2198)</f>
        <v/>
      </c>
      <c r="G2198" t="str">
        <f>IF(A2198="","",'ATP Fills'!H2198)</f>
        <v/>
      </c>
      <c r="H2198" t="str">
        <f>IF(A2198="","",VLOOKUP(G2198,表3_3[],2,0))</f>
        <v/>
      </c>
      <c r="I2198" t="str">
        <f>IF(A2198="","",VLOOKUP(G2198,表3_3[],3,0))</f>
        <v/>
      </c>
      <c r="J2198" t="str">
        <f>IF(A2198="","",IF('ATP Fills'!I2198="3M","",VLOOKUP(RIGHT('ATP Fills'!I2198,2),Helper1!$O$36:$P$48,2,0)))</f>
        <v/>
      </c>
      <c r="K2198" t="str">
        <f>IF(J2198="","",LEFT('ATP Fills'!I2198,4))</f>
        <v/>
      </c>
      <c r="L2198" t="str">
        <f>IF(A2198="","",IF('ATP Fills'!G2198="LME",'ATP Fills'!I2198,""))</f>
        <v/>
      </c>
      <c r="M2198" t="str">
        <f t="shared" si="34"/>
        <v/>
      </c>
    </row>
    <row r="2199" spans="1:13">
      <c r="A2199" t="str">
        <f>IF('ATP Fills'!A2199="","",IF('ATP Fills'!Q2199="PHILLIPSG",'ATP Fills'!F2199,""))</f>
        <v/>
      </c>
      <c r="B2199" t="str">
        <f>IF(A2199="","",'ATP Fills'!L2199)</f>
        <v/>
      </c>
      <c r="C2199" t="str">
        <f>IF(A2199="","",'ATP Fills'!M2199)</f>
        <v/>
      </c>
      <c r="D2199" t="str">
        <f>IF(A2199="","",'ATP Fills'!B2199)</f>
        <v/>
      </c>
      <c r="E2199" s="3" t="str">
        <f>IF(A2199="","",IF(DATE(LEFT(D2199,4),MID(D2199,5,2),RIGHT(D2199,2))=Helper1!$P$1,Helper1!$P$1,""))</f>
        <v/>
      </c>
      <c r="F2199" s="3" t="str">
        <f>IF(A2199="","",'ATP Fills'!G2199)</f>
        <v/>
      </c>
      <c r="G2199" t="str">
        <f>IF(A2199="","",'ATP Fills'!H2199)</f>
        <v/>
      </c>
      <c r="H2199" t="str">
        <f>IF(A2199="","",VLOOKUP(G2199,表3_3[],2,0))</f>
        <v/>
      </c>
      <c r="I2199" t="str">
        <f>IF(A2199="","",VLOOKUP(G2199,表3_3[],3,0))</f>
        <v/>
      </c>
      <c r="J2199" t="str">
        <f>IF(A2199="","",IF('ATP Fills'!I2199="3M","",VLOOKUP(RIGHT('ATP Fills'!I2199,2),Helper1!$O$36:$P$48,2,0)))</f>
        <v/>
      </c>
      <c r="K2199" t="str">
        <f>IF(J2199="","",LEFT('ATP Fills'!I2199,4))</f>
        <v/>
      </c>
      <c r="L2199" t="str">
        <f>IF(A2199="","",IF('ATP Fills'!G2199="LME",'ATP Fills'!I2199,""))</f>
        <v/>
      </c>
      <c r="M2199" t="str">
        <f t="shared" si="34"/>
        <v/>
      </c>
    </row>
    <row r="2200" spans="1:13">
      <c r="A2200" t="str">
        <f>IF('ATP Fills'!A2200="","",IF('ATP Fills'!Q2200="PHILLIPSG",'ATP Fills'!F2200,""))</f>
        <v/>
      </c>
      <c r="B2200" t="str">
        <f>IF(A2200="","",'ATP Fills'!L2200)</f>
        <v/>
      </c>
      <c r="C2200" t="str">
        <f>IF(A2200="","",'ATP Fills'!M2200)</f>
        <v/>
      </c>
      <c r="D2200" t="str">
        <f>IF(A2200="","",'ATP Fills'!B2200)</f>
        <v/>
      </c>
      <c r="E2200" s="3" t="str">
        <f>IF(A2200="","",IF(DATE(LEFT(D2200,4),MID(D2200,5,2),RIGHT(D2200,2))=Helper1!$P$1,Helper1!$P$1,""))</f>
        <v/>
      </c>
      <c r="F2200" s="3" t="str">
        <f>IF(A2200="","",'ATP Fills'!G2200)</f>
        <v/>
      </c>
      <c r="G2200" t="str">
        <f>IF(A2200="","",'ATP Fills'!H2200)</f>
        <v/>
      </c>
      <c r="H2200" t="str">
        <f>IF(A2200="","",VLOOKUP(G2200,表3_3[],2,0))</f>
        <v/>
      </c>
      <c r="I2200" t="str">
        <f>IF(A2200="","",VLOOKUP(G2200,表3_3[],3,0))</f>
        <v/>
      </c>
      <c r="J2200" t="str">
        <f>IF(A2200="","",IF('ATP Fills'!I2200="3M","",VLOOKUP(RIGHT('ATP Fills'!I2200,2),Helper1!$O$36:$P$48,2,0)))</f>
        <v/>
      </c>
      <c r="K2200" t="str">
        <f>IF(J2200="","",LEFT('ATP Fills'!I2200,4))</f>
        <v/>
      </c>
      <c r="L2200" t="str">
        <f>IF(A2200="","",IF('ATP Fills'!G2200="LME",'ATP Fills'!I2200,""))</f>
        <v/>
      </c>
      <c r="M2200" t="str">
        <f t="shared" si="34"/>
        <v/>
      </c>
    </row>
    <row r="2201" spans="1:13">
      <c r="A2201" t="str">
        <f>IF('ATP Fills'!A2201="","",IF('ATP Fills'!Q2201="PHILLIPSG",'ATP Fills'!F2201,""))</f>
        <v/>
      </c>
      <c r="B2201" t="str">
        <f>IF(A2201="","",'ATP Fills'!L2201)</f>
        <v/>
      </c>
      <c r="C2201" t="str">
        <f>IF(A2201="","",'ATP Fills'!M2201)</f>
        <v/>
      </c>
      <c r="D2201" t="str">
        <f>IF(A2201="","",'ATP Fills'!B2201)</f>
        <v/>
      </c>
      <c r="E2201" s="3" t="str">
        <f>IF(A2201="","",IF(DATE(LEFT(D2201,4),MID(D2201,5,2),RIGHT(D2201,2))=Helper1!$P$1,Helper1!$P$1,""))</f>
        <v/>
      </c>
      <c r="F2201" s="3" t="str">
        <f>IF(A2201="","",'ATP Fills'!G2201)</f>
        <v/>
      </c>
      <c r="G2201" t="str">
        <f>IF(A2201="","",'ATP Fills'!H2201)</f>
        <v/>
      </c>
      <c r="H2201" t="str">
        <f>IF(A2201="","",VLOOKUP(G2201,表3_3[],2,0))</f>
        <v/>
      </c>
      <c r="I2201" t="str">
        <f>IF(A2201="","",VLOOKUP(G2201,表3_3[],3,0))</f>
        <v/>
      </c>
      <c r="J2201" t="str">
        <f>IF(A2201="","",IF('ATP Fills'!I2201="3M","",VLOOKUP(RIGHT('ATP Fills'!I2201,2),Helper1!$O$36:$P$48,2,0)))</f>
        <v/>
      </c>
      <c r="K2201" t="str">
        <f>IF(J2201="","",LEFT('ATP Fills'!I2201,4))</f>
        <v/>
      </c>
      <c r="L2201" t="str">
        <f>IF(A2201="","",IF('ATP Fills'!G2201="LME",'ATP Fills'!I2201,""))</f>
        <v/>
      </c>
      <c r="M2201" t="str">
        <f t="shared" si="34"/>
        <v/>
      </c>
    </row>
    <row r="2202" spans="1:13">
      <c r="A2202" t="str">
        <f>IF('ATP Fills'!A2202="","",IF('ATP Fills'!Q2202="PHILLIPSG",'ATP Fills'!F2202,""))</f>
        <v/>
      </c>
      <c r="B2202" t="str">
        <f>IF(A2202="","",'ATP Fills'!L2202)</f>
        <v/>
      </c>
      <c r="C2202" t="str">
        <f>IF(A2202="","",'ATP Fills'!M2202)</f>
        <v/>
      </c>
      <c r="D2202" t="str">
        <f>IF(A2202="","",'ATP Fills'!B2202)</f>
        <v/>
      </c>
      <c r="E2202" s="3" t="str">
        <f>IF(A2202="","",IF(DATE(LEFT(D2202,4),MID(D2202,5,2),RIGHT(D2202,2))=Helper1!$P$1,Helper1!$P$1,""))</f>
        <v/>
      </c>
      <c r="F2202" s="3" t="str">
        <f>IF(A2202="","",'ATP Fills'!G2202)</f>
        <v/>
      </c>
      <c r="G2202" t="str">
        <f>IF(A2202="","",'ATP Fills'!H2202)</f>
        <v/>
      </c>
      <c r="H2202" t="str">
        <f>IF(A2202="","",VLOOKUP(G2202,表3_3[],2,0))</f>
        <v/>
      </c>
      <c r="I2202" t="str">
        <f>IF(A2202="","",VLOOKUP(G2202,表3_3[],3,0))</f>
        <v/>
      </c>
      <c r="J2202" t="str">
        <f>IF(A2202="","",IF('ATP Fills'!I2202="3M","",VLOOKUP(RIGHT('ATP Fills'!I2202,2),Helper1!$O$36:$P$48,2,0)))</f>
        <v/>
      </c>
      <c r="K2202" t="str">
        <f>IF(J2202="","",LEFT('ATP Fills'!I2202,4))</f>
        <v/>
      </c>
      <c r="L2202" t="str">
        <f>IF(A2202="","",IF('ATP Fills'!G2202="LME",'ATP Fills'!I2202,""))</f>
        <v/>
      </c>
      <c r="M2202" t="str">
        <f t="shared" si="34"/>
        <v/>
      </c>
    </row>
    <row r="2203" spans="1:13">
      <c r="A2203" t="str">
        <f>IF('ATP Fills'!A2203="","",IF('ATP Fills'!Q2203="PHILLIPSG",'ATP Fills'!F2203,""))</f>
        <v/>
      </c>
      <c r="B2203" t="str">
        <f>IF(A2203="","",'ATP Fills'!L2203)</f>
        <v/>
      </c>
      <c r="C2203" t="str">
        <f>IF(A2203="","",'ATP Fills'!M2203)</f>
        <v/>
      </c>
      <c r="D2203" t="str">
        <f>IF(A2203="","",'ATP Fills'!B2203)</f>
        <v/>
      </c>
      <c r="E2203" s="3" t="str">
        <f>IF(A2203="","",IF(DATE(LEFT(D2203,4),MID(D2203,5,2),RIGHT(D2203,2))=Helper1!$P$1,Helper1!$P$1,""))</f>
        <v/>
      </c>
      <c r="F2203" s="3" t="str">
        <f>IF(A2203="","",'ATP Fills'!G2203)</f>
        <v/>
      </c>
      <c r="G2203" t="str">
        <f>IF(A2203="","",'ATP Fills'!H2203)</f>
        <v/>
      </c>
      <c r="H2203" t="str">
        <f>IF(A2203="","",VLOOKUP(G2203,表3_3[],2,0))</f>
        <v/>
      </c>
      <c r="I2203" t="str">
        <f>IF(A2203="","",VLOOKUP(G2203,表3_3[],3,0))</f>
        <v/>
      </c>
      <c r="J2203" t="str">
        <f>IF(A2203="","",IF('ATP Fills'!I2203="3M","",VLOOKUP(RIGHT('ATP Fills'!I2203,2),Helper1!$O$36:$P$48,2,0)))</f>
        <v/>
      </c>
      <c r="K2203" t="str">
        <f>IF(J2203="","",LEFT('ATP Fills'!I2203,4))</f>
        <v/>
      </c>
      <c r="L2203" t="str">
        <f>IF(A2203="","",IF('ATP Fills'!G2203="LME",'ATP Fills'!I2203,""))</f>
        <v/>
      </c>
      <c r="M2203" t="str">
        <f t="shared" si="34"/>
        <v/>
      </c>
    </row>
    <row r="2204" spans="1:13">
      <c r="A2204" t="str">
        <f>IF('ATP Fills'!A2204="","",IF('ATP Fills'!Q2204="PHILLIPSG",'ATP Fills'!F2204,""))</f>
        <v/>
      </c>
      <c r="B2204" t="str">
        <f>IF(A2204="","",'ATP Fills'!L2204)</f>
        <v/>
      </c>
      <c r="C2204" t="str">
        <f>IF(A2204="","",'ATP Fills'!M2204)</f>
        <v/>
      </c>
      <c r="D2204" t="str">
        <f>IF(A2204="","",'ATP Fills'!B2204)</f>
        <v/>
      </c>
      <c r="E2204" s="3" t="str">
        <f>IF(A2204="","",IF(DATE(LEFT(D2204,4),MID(D2204,5,2),RIGHT(D2204,2))=Helper1!$P$1,Helper1!$P$1,""))</f>
        <v/>
      </c>
      <c r="F2204" s="3" t="str">
        <f>IF(A2204="","",'ATP Fills'!G2204)</f>
        <v/>
      </c>
      <c r="G2204" t="str">
        <f>IF(A2204="","",'ATP Fills'!H2204)</f>
        <v/>
      </c>
      <c r="H2204" t="str">
        <f>IF(A2204="","",VLOOKUP(G2204,表3_3[],2,0))</f>
        <v/>
      </c>
      <c r="I2204" t="str">
        <f>IF(A2204="","",VLOOKUP(G2204,表3_3[],3,0))</f>
        <v/>
      </c>
      <c r="J2204" t="str">
        <f>IF(A2204="","",IF('ATP Fills'!I2204="3M","",VLOOKUP(RIGHT('ATP Fills'!I2204,2),Helper1!$O$36:$P$48,2,0)))</f>
        <v/>
      </c>
      <c r="K2204" t="str">
        <f>IF(J2204="","",LEFT('ATP Fills'!I2204,4))</f>
        <v/>
      </c>
      <c r="L2204" t="str">
        <f>IF(A2204="","",IF('ATP Fills'!G2204="LME",'ATP Fills'!I2204,""))</f>
        <v/>
      </c>
      <c r="M2204" t="str">
        <f t="shared" si="34"/>
        <v/>
      </c>
    </row>
    <row r="2205" spans="1:13">
      <c r="A2205" t="str">
        <f>IF('ATP Fills'!A2205="","",IF('ATP Fills'!Q2205="PHILLIPSG",'ATP Fills'!F2205,""))</f>
        <v/>
      </c>
      <c r="B2205" t="str">
        <f>IF(A2205="","",'ATP Fills'!L2205)</f>
        <v/>
      </c>
      <c r="C2205" t="str">
        <f>IF(A2205="","",'ATP Fills'!M2205)</f>
        <v/>
      </c>
      <c r="D2205" t="str">
        <f>IF(A2205="","",'ATP Fills'!B2205)</f>
        <v/>
      </c>
      <c r="E2205" s="3" t="str">
        <f>IF(A2205="","",IF(DATE(LEFT(D2205,4),MID(D2205,5,2),RIGHT(D2205,2))=Helper1!$P$1,Helper1!$P$1,""))</f>
        <v/>
      </c>
      <c r="F2205" s="3" t="str">
        <f>IF(A2205="","",'ATP Fills'!G2205)</f>
        <v/>
      </c>
      <c r="G2205" t="str">
        <f>IF(A2205="","",'ATP Fills'!H2205)</f>
        <v/>
      </c>
      <c r="H2205" t="str">
        <f>IF(A2205="","",VLOOKUP(G2205,表3_3[],2,0))</f>
        <v/>
      </c>
      <c r="I2205" t="str">
        <f>IF(A2205="","",VLOOKUP(G2205,表3_3[],3,0))</f>
        <v/>
      </c>
      <c r="J2205" t="str">
        <f>IF(A2205="","",IF('ATP Fills'!I2205="3M","",VLOOKUP(RIGHT('ATP Fills'!I2205,2),Helper1!$O$36:$P$48,2,0)))</f>
        <v/>
      </c>
      <c r="K2205" t="str">
        <f>IF(J2205="","",LEFT('ATP Fills'!I2205,4))</f>
        <v/>
      </c>
      <c r="L2205" t="str">
        <f>IF(A2205="","",IF('ATP Fills'!G2205="LME",'ATP Fills'!I2205,""))</f>
        <v/>
      </c>
      <c r="M2205" t="str">
        <f t="shared" si="34"/>
        <v/>
      </c>
    </row>
    <row r="2206" spans="1:13">
      <c r="A2206" t="str">
        <f>IF('ATP Fills'!A2206="","",IF('ATP Fills'!Q2206="PHILLIPSG",'ATP Fills'!F2206,""))</f>
        <v/>
      </c>
      <c r="B2206" t="str">
        <f>IF(A2206="","",'ATP Fills'!L2206)</f>
        <v/>
      </c>
      <c r="C2206" t="str">
        <f>IF(A2206="","",'ATP Fills'!M2206)</f>
        <v/>
      </c>
      <c r="D2206" t="str">
        <f>IF(A2206="","",'ATP Fills'!B2206)</f>
        <v/>
      </c>
      <c r="E2206" s="3" t="str">
        <f>IF(A2206="","",IF(DATE(LEFT(D2206,4),MID(D2206,5,2),RIGHT(D2206,2))=Helper1!$P$1,Helper1!$P$1,""))</f>
        <v/>
      </c>
      <c r="F2206" s="3" t="str">
        <f>IF(A2206="","",'ATP Fills'!G2206)</f>
        <v/>
      </c>
      <c r="G2206" t="str">
        <f>IF(A2206="","",'ATP Fills'!H2206)</f>
        <v/>
      </c>
      <c r="H2206" t="str">
        <f>IF(A2206="","",VLOOKUP(G2206,表3_3[],2,0))</f>
        <v/>
      </c>
      <c r="I2206" t="str">
        <f>IF(A2206="","",VLOOKUP(G2206,表3_3[],3,0))</f>
        <v/>
      </c>
      <c r="J2206" t="str">
        <f>IF(A2206="","",IF('ATP Fills'!I2206="3M","",VLOOKUP(RIGHT('ATP Fills'!I2206,2),Helper1!$O$36:$P$48,2,0)))</f>
        <v/>
      </c>
      <c r="K2206" t="str">
        <f>IF(J2206="","",LEFT('ATP Fills'!I2206,4))</f>
        <v/>
      </c>
      <c r="L2206" t="str">
        <f>IF(A2206="","",IF('ATP Fills'!G2206="LME",'ATP Fills'!I2206,""))</f>
        <v/>
      </c>
      <c r="M2206" t="str">
        <f t="shared" si="34"/>
        <v/>
      </c>
    </row>
    <row r="2207" spans="1:13">
      <c r="A2207" t="str">
        <f>IF('ATP Fills'!A2207="","",IF('ATP Fills'!Q2207="PHILLIPSG",'ATP Fills'!F2207,""))</f>
        <v/>
      </c>
      <c r="B2207" t="str">
        <f>IF(A2207="","",'ATP Fills'!L2207)</f>
        <v/>
      </c>
      <c r="C2207" t="str">
        <f>IF(A2207="","",'ATP Fills'!M2207)</f>
        <v/>
      </c>
      <c r="D2207" t="str">
        <f>IF(A2207="","",'ATP Fills'!B2207)</f>
        <v/>
      </c>
      <c r="E2207" s="3" t="str">
        <f>IF(A2207="","",IF(DATE(LEFT(D2207,4),MID(D2207,5,2),RIGHT(D2207,2))=Helper1!$P$1,Helper1!$P$1,""))</f>
        <v/>
      </c>
      <c r="F2207" s="3" t="str">
        <f>IF(A2207="","",'ATP Fills'!G2207)</f>
        <v/>
      </c>
      <c r="G2207" t="str">
        <f>IF(A2207="","",'ATP Fills'!H2207)</f>
        <v/>
      </c>
      <c r="H2207" t="str">
        <f>IF(A2207="","",VLOOKUP(G2207,表3_3[],2,0))</f>
        <v/>
      </c>
      <c r="I2207" t="str">
        <f>IF(A2207="","",VLOOKUP(G2207,表3_3[],3,0))</f>
        <v/>
      </c>
      <c r="J2207" t="str">
        <f>IF(A2207="","",IF('ATP Fills'!I2207="3M","",VLOOKUP(RIGHT('ATP Fills'!I2207,2),Helper1!$O$36:$P$48,2,0)))</f>
        <v/>
      </c>
      <c r="K2207" t="str">
        <f>IF(J2207="","",LEFT('ATP Fills'!I2207,4))</f>
        <v/>
      </c>
      <c r="L2207" t="str">
        <f>IF(A2207="","",IF('ATP Fills'!G2207="LME",'ATP Fills'!I2207,""))</f>
        <v/>
      </c>
      <c r="M2207" t="str">
        <f t="shared" si="34"/>
        <v/>
      </c>
    </row>
    <row r="2208" spans="1:13">
      <c r="A2208" t="str">
        <f>IF('ATP Fills'!A2208="","",IF('ATP Fills'!Q2208="PHILLIPSG",'ATP Fills'!F2208,""))</f>
        <v/>
      </c>
      <c r="B2208" t="str">
        <f>IF(A2208="","",'ATP Fills'!L2208)</f>
        <v/>
      </c>
      <c r="C2208" t="str">
        <f>IF(A2208="","",'ATP Fills'!M2208)</f>
        <v/>
      </c>
      <c r="D2208" t="str">
        <f>IF(A2208="","",'ATP Fills'!B2208)</f>
        <v/>
      </c>
      <c r="E2208" s="3" t="str">
        <f>IF(A2208="","",IF(DATE(LEFT(D2208,4),MID(D2208,5,2),RIGHT(D2208,2))=Helper1!$P$1,Helper1!$P$1,""))</f>
        <v/>
      </c>
      <c r="F2208" s="3" t="str">
        <f>IF(A2208="","",'ATP Fills'!G2208)</f>
        <v/>
      </c>
      <c r="G2208" t="str">
        <f>IF(A2208="","",'ATP Fills'!H2208)</f>
        <v/>
      </c>
      <c r="H2208" t="str">
        <f>IF(A2208="","",VLOOKUP(G2208,表3_3[],2,0))</f>
        <v/>
      </c>
      <c r="I2208" t="str">
        <f>IF(A2208="","",VLOOKUP(G2208,表3_3[],3,0))</f>
        <v/>
      </c>
      <c r="J2208" t="str">
        <f>IF(A2208="","",IF('ATP Fills'!I2208="3M","",VLOOKUP(RIGHT('ATP Fills'!I2208,2),Helper1!$O$36:$P$48,2,0)))</f>
        <v/>
      </c>
      <c r="K2208" t="str">
        <f>IF(J2208="","",LEFT('ATP Fills'!I2208,4))</f>
        <v/>
      </c>
      <c r="L2208" t="str">
        <f>IF(A2208="","",IF('ATP Fills'!G2208="LME",'ATP Fills'!I2208,""))</f>
        <v/>
      </c>
      <c r="M2208" t="str">
        <f t="shared" si="34"/>
        <v/>
      </c>
    </row>
    <row r="2209" spans="1:13">
      <c r="A2209" t="str">
        <f>IF('ATP Fills'!A2209="","",IF('ATP Fills'!Q2209="PHILLIPSG",'ATP Fills'!F2209,""))</f>
        <v/>
      </c>
      <c r="B2209" t="str">
        <f>IF(A2209="","",'ATP Fills'!L2209)</f>
        <v/>
      </c>
      <c r="C2209" t="str">
        <f>IF(A2209="","",'ATP Fills'!M2209)</f>
        <v/>
      </c>
      <c r="D2209" t="str">
        <f>IF(A2209="","",'ATP Fills'!B2209)</f>
        <v/>
      </c>
      <c r="E2209" s="3" t="str">
        <f>IF(A2209="","",IF(DATE(LEFT(D2209,4),MID(D2209,5,2),RIGHT(D2209,2))=Helper1!$P$1,Helper1!$P$1,""))</f>
        <v/>
      </c>
      <c r="F2209" s="3" t="str">
        <f>IF(A2209="","",'ATP Fills'!G2209)</f>
        <v/>
      </c>
      <c r="G2209" t="str">
        <f>IF(A2209="","",'ATP Fills'!H2209)</f>
        <v/>
      </c>
      <c r="H2209" t="str">
        <f>IF(A2209="","",VLOOKUP(G2209,表3_3[],2,0))</f>
        <v/>
      </c>
      <c r="I2209" t="str">
        <f>IF(A2209="","",VLOOKUP(G2209,表3_3[],3,0))</f>
        <v/>
      </c>
      <c r="J2209" t="str">
        <f>IF(A2209="","",IF('ATP Fills'!I2209="3M","",VLOOKUP(RIGHT('ATP Fills'!I2209,2),Helper1!$O$36:$P$48,2,0)))</f>
        <v/>
      </c>
      <c r="K2209" t="str">
        <f>IF(J2209="","",LEFT('ATP Fills'!I2209,4))</f>
        <v/>
      </c>
      <c r="L2209" t="str">
        <f>IF(A2209="","",IF('ATP Fills'!G2209="LME",'ATP Fills'!I2209,""))</f>
        <v/>
      </c>
      <c r="M2209" t="str">
        <f t="shared" si="34"/>
        <v/>
      </c>
    </row>
    <row r="2210" spans="1:13">
      <c r="A2210" t="str">
        <f>IF('ATP Fills'!A2210="","",IF('ATP Fills'!Q2210="PHILLIPSG",'ATP Fills'!F2210,""))</f>
        <v/>
      </c>
      <c r="B2210" t="str">
        <f>IF(A2210="","",'ATP Fills'!L2210)</f>
        <v/>
      </c>
      <c r="C2210" t="str">
        <f>IF(A2210="","",'ATP Fills'!M2210)</f>
        <v/>
      </c>
      <c r="D2210" t="str">
        <f>IF(A2210="","",'ATP Fills'!B2210)</f>
        <v/>
      </c>
      <c r="E2210" s="3" t="str">
        <f>IF(A2210="","",IF(DATE(LEFT(D2210,4),MID(D2210,5,2),RIGHT(D2210,2))=Helper1!$P$1,Helper1!$P$1,""))</f>
        <v/>
      </c>
      <c r="F2210" s="3" t="str">
        <f>IF(A2210="","",'ATP Fills'!G2210)</f>
        <v/>
      </c>
      <c r="G2210" t="str">
        <f>IF(A2210="","",'ATP Fills'!H2210)</f>
        <v/>
      </c>
      <c r="H2210" t="str">
        <f>IF(A2210="","",VLOOKUP(G2210,表3_3[],2,0))</f>
        <v/>
      </c>
      <c r="I2210" t="str">
        <f>IF(A2210="","",VLOOKUP(G2210,表3_3[],3,0))</f>
        <v/>
      </c>
      <c r="J2210" t="str">
        <f>IF(A2210="","",IF('ATP Fills'!I2210="3M","",VLOOKUP(RIGHT('ATP Fills'!I2210,2),Helper1!$O$36:$P$48,2,0)))</f>
        <v/>
      </c>
      <c r="K2210" t="str">
        <f>IF(J2210="","",LEFT('ATP Fills'!I2210,4))</f>
        <v/>
      </c>
      <c r="L2210" t="str">
        <f>IF(A2210="","",IF('ATP Fills'!G2210="LME",'ATP Fills'!I2210,""))</f>
        <v/>
      </c>
      <c r="M2210" t="str">
        <f t="shared" si="34"/>
        <v/>
      </c>
    </row>
    <row r="2211" spans="1:13">
      <c r="A2211" t="str">
        <f>IF('ATP Fills'!A2211="","",IF('ATP Fills'!Q2211="PHILLIPSG",'ATP Fills'!F2211,""))</f>
        <v/>
      </c>
      <c r="B2211" t="str">
        <f>IF(A2211="","",'ATP Fills'!L2211)</f>
        <v/>
      </c>
      <c r="C2211" t="str">
        <f>IF(A2211="","",'ATP Fills'!M2211)</f>
        <v/>
      </c>
      <c r="D2211" t="str">
        <f>IF(A2211="","",'ATP Fills'!B2211)</f>
        <v/>
      </c>
      <c r="E2211" s="3" t="str">
        <f>IF(A2211="","",IF(DATE(LEFT(D2211,4),MID(D2211,5,2),RIGHT(D2211,2))=Helper1!$P$1,Helper1!$P$1,""))</f>
        <v/>
      </c>
      <c r="F2211" s="3" t="str">
        <f>IF(A2211="","",'ATP Fills'!G2211)</f>
        <v/>
      </c>
      <c r="G2211" t="str">
        <f>IF(A2211="","",'ATP Fills'!H2211)</f>
        <v/>
      </c>
      <c r="H2211" t="str">
        <f>IF(A2211="","",VLOOKUP(G2211,表3_3[],2,0))</f>
        <v/>
      </c>
      <c r="I2211" t="str">
        <f>IF(A2211="","",VLOOKUP(G2211,表3_3[],3,0))</f>
        <v/>
      </c>
      <c r="J2211" t="str">
        <f>IF(A2211="","",IF('ATP Fills'!I2211="3M","",VLOOKUP(RIGHT('ATP Fills'!I2211,2),Helper1!$O$36:$P$48,2,0)))</f>
        <v/>
      </c>
      <c r="K2211" t="str">
        <f>IF(J2211="","",LEFT('ATP Fills'!I2211,4))</f>
        <v/>
      </c>
      <c r="L2211" t="str">
        <f>IF(A2211="","",IF('ATP Fills'!G2211="LME",'ATP Fills'!I2211,""))</f>
        <v/>
      </c>
      <c r="M2211" t="str">
        <f t="shared" si="34"/>
        <v/>
      </c>
    </row>
    <row r="2212" spans="1:13">
      <c r="A2212" t="str">
        <f>IF('ATP Fills'!A2212="","",IF('ATP Fills'!Q2212="PHILLIPSG",'ATP Fills'!F2212,""))</f>
        <v/>
      </c>
      <c r="B2212" t="str">
        <f>IF(A2212="","",'ATP Fills'!L2212)</f>
        <v/>
      </c>
      <c r="C2212" t="str">
        <f>IF(A2212="","",'ATP Fills'!M2212)</f>
        <v/>
      </c>
      <c r="D2212" t="str">
        <f>IF(A2212="","",'ATP Fills'!B2212)</f>
        <v/>
      </c>
      <c r="E2212" s="3" t="str">
        <f>IF(A2212="","",IF(DATE(LEFT(D2212,4),MID(D2212,5,2),RIGHT(D2212,2))=Helper1!$P$1,Helper1!$P$1,""))</f>
        <v/>
      </c>
      <c r="F2212" s="3" t="str">
        <f>IF(A2212="","",'ATP Fills'!G2212)</f>
        <v/>
      </c>
      <c r="G2212" t="str">
        <f>IF(A2212="","",'ATP Fills'!H2212)</f>
        <v/>
      </c>
      <c r="H2212" t="str">
        <f>IF(A2212="","",VLOOKUP(G2212,表3_3[],2,0))</f>
        <v/>
      </c>
      <c r="I2212" t="str">
        <f>IF(A2212="","",VLOOKUP(G2212,表3_3[],3,0))</f>
        <v/>
      </c>
      <c r="J2212" t="str">
        <f>IF(A2212="","",IF('ATP Fills'!I2212="3M","",VLOOKUP(RIGHT('ATP Fills'!I2212,2),Helper1!$O$36:$P$48,2,0)))</f>
        <v/>
      </c>
      <c r="K2212" t="str">
        <f>IF(J2212="","",LEFT('ATP Fills'!I2212,4))</f>
        <v/>
      </c>
      <c r="L2212" t="str">
        <f>IF(A2212="","",IF('ATP Fills'!G2212="LME",'ATP Fills'!I2212,""))</f>
        <v/>
      </c>
      <c r="M2212" t="str">
        <f t="shared" si="34"/>
        <v/>
      </c>
    </row>
    <row r="2213" spans="1:13">
      <c r="A2213" t="str">
        <f>IF('ATP Fills'!A2213="","",IF('ATP Fills'!Q2213="PHILLIPSG",'ATP Fills'!F2213,""))</f>
        <v/>
      </c>
      <c r="B2213" t="str">
        <f>IF(A2213="","",'ATP Fills'!L2213)</f>
        <v/>
      </c>
      <c r="C2213" t="str">
        <f>IF(A2213="","",'ATP Fills'!M2213)</f>
        <v/>
      </c>
      <c r="D2213" t="str">
        <f>IF(A2213="","",'ATP Fills'!B2213)</f>
        <v/>
      </c>
      <c r="E2213" s="3" t="str">
        <f>IF(A2213="","",IF(DATE(LEFT(D2213,4),MID(D2213,5,2),RIGHT(D2213,2))=Helper1!$P$1,Helper1!$P$1,""))</f>
        <v/>
      </c>
      <c r="F2213" s="3" t="str">
        <f>IF(A2213="","",'ATP Fills'!G2213)</f>
        <v/>
      </c>
      <c r="G2213" t="str">
        <f>IF(A2213="","",'ATP Fills'!H2213)</f>
        <v/>
      </c>
      <c r="H2213" t="str">
        <f>IF(A2213="","",VLOOKUP(G2213,表3_3[],2,0))</f>
        <v/>
      </c>
      <c r="I2213" t="str">
        <f>IF(A2213="","",VLOOKUP(G2213,表3_3[],3,0))</f>
        <v/>
      </c>
      <c r="J2213" t="str">
        <f>IF(A2213="","",IF('ATP Fills'!I2213="3M","",VLOOKUP(RIGHT('ATP Fills'!I2213,2),Helper1!$O$36:$P$48,2,0)))</f>
        <v/>
      </c>
      <c r="K2213" t="str">
        <f>IF(J2213="","",LEFT('ATP Fills'!I2213,4))</f>
        <v/>
      </c>
      <c r="L2213" t="str">
        <f>IF(A2213="","",IF('ATP Fills'!G2213="LME",'ATP Fills'!I2213,""))</f>
        <v/>
      </c>
      <c r="M2213" t="str">
        <f t="shared" si="34"/>
        <v/>
      </c>
    </row>
    <row r="2214" spans="1:13">
      <c r="A2214" t="str">
        <f>IF('ATP Fills'!A2214="","",IF('ATP Fills'!Q2214="PHILLIPSG",'ATP Fills'!F2214,""))</f>
        <v/>
      </c>
      <c r="B2214" t="str">
        <f>IF(A2214="","",'ATP Fills'!L2214)</f>
        <v/>
      </c>
      <c r="C2214" t="str">
        <f>IF(A2214="","",'ATP Fills'!M2214)</f>
        <v/>
      </c>
      <c r="D2214" t="str">
        <f>IF(A2214="","",'ATP Fills'!B2214)</f>
        <v/>
      </c>
      <c r="E2214" s="3" t="str">
        <f>IF(A2214="","",IF(DATE(LEFT(D2214,4),MID(D2214,5,2),RIGHT(D2214,2))=Helper1!$P$1,Helper1!$P$1,""))</f>
        <v/>
      </c>
      <c r="F2214" s="3" t="str">
        <f>IF(A2214="","",'ATP Fills'!G2214)</f>
        <v/>
      </c>
      <c r="G2214" t="str">
        <f>IF(A2214="","",'ATP Fills'!H2214)</f>
        <v/>
      </c>
      <c r="H2214" t="str">
        <f>IF(A2214="","",VLOOKUP(G2214,表3_3[],2,0))</f>
        <v/>
      </c>
      <c r="I2214" t="str">
        <f>IF(A2214="","",VLOOKUP(G2214,表3_3[],3,0))</f>
        <v/>
      </c>
      <c r="J2214" t="str">
        <f>IF(A2214="","",IF('ATP Fills'!I2214="3M","",VLOOKUP(RIGHT('ATP Fills'!I2214,2),Helper1!$O$36:$P$48,2,0)))</f>
        <v/>
      </c>
      <c r="K2214" t="str">
        <f>IF(J2214="","",LEFT('ATP Fills'!I2214,4))</f>
        <v/>
      </c>
      <c r="L2214" t="str">
        <f>IF(A2214="","",IF('ATP Fills'!G2214="LME",'ATP Fills'!I2214,""))</f>
        <v/>
      </c>
      <c r="M2214" t="str">
        <f t="shared" si="34"/>
        <v/>
      </c>
    </row>
    <row r="2215" spans="1:13">
      <c r="A2215" t="str">
        <f>IF('ATP Fills'!A2215="","",IF('ATP Fills'!Q2215="PHILLIPSG",'ATP Fills'!F2215,""))</f>
        <v/>
      </c>
      <c r="B2215" t="str">
        <f>IF(A2215="","",'ATP Fills'!L2215)</f>
        <v/>
      </c>
      <c r="C2215" t="str">
        <f>IF(A2215="","",'ATP Fills'!M2215)</f>
        <v/>
      </c>
      <c r="D2215" t="str">
        <f>IF(A2215="","",'ATP Fills'!B2215)</f>
        <v/>
      </c>
      <c r="E2215" s="3" t="str">
        <f>IF(A2215="","",IF(DATE(LEFT(D2215,4),MID(D2215,5,2),RIGHT(D2215,2))=Helper1!$P$1,Helper1!$P$1,""))</f>
        <v/>
      </c>
      <c r="F2215" s="3" t="str">
        <f>IF(A2215="","",'ATP Fills'!G2215)</f>
        <v/>
      </c>
      <c r="G2215" t="str">
        <f>IF(A2215="","",'ATP Fills'!H2215)</f>
        <v/>
      </c>
      <c r="H2215" t="str">
        <f>IF(A2215="","",VLOOKUP(G2215,表3_3[],2,0))</f>
        <v/>
      </c>
      <c r="I2215" t="str">
        <f>IF(A2215="","",VLOOKUP(G2215,表3_3[],3,0))</f>
        <v/>
      </c>
      <c r="J2215" t="str">
        <f>IF(A2215="","",IF('ATP Fills'!I2215="3M","",VLOOKUP(RIGHT('ATP Fills'!I2215,2),Helper1!$O$36:$P$48,2,0)))</f>
        <v/>
      </c>
      <c r="K2215" t="str">
        <f>IF(J2215="","",LEFT('ATP Fills'!I2215,4))</f>
        <v/>
      </c>
      <c r="L2215" t="str">
        <f>IF(A2215="","",IF('ATP Fills'!G2215="LME",'ATP Fills'!I2215,""))</f>
        <v/>
      </c>
      <c r="M2215" t="str">
        <f t="shared" si="34"/>
        <v/>
      </c>
    </row>
    <row r="2216" spans="1:13">
      <c r="A2216" t="str">
        <f>IF('ATP Fills'!A2216="","",IF('ATP Fills'!Q2216="PHILLIPSG",'ATP Fills'!F2216,""))</f>
        <v/>
      </c>
      <c r="B2216" t="str">
        <f>IF(A2216="","",'ATP Fills'!L2216)</f>
        <v/>
      </c>
      <c r="C2216" t="str">
        <f>IF(A2216="","",'ATP Fills'!M2216)</f>
        <v/>
      </c>
      <c r="D2216" t="str">
        <f>IF(A2216="","",'ATP Fills'!B2216)</f>
        <v/>
      </c>
      <c r="E2216" s="3" t="str">
        <f>IF(A2216="","",IF(DATE(LEFT(D2216,4),MID(D2216,5,2),RIGHT(D2216,2))=Helper1!$P$1,Helper1!$P$1,""))</f>
        <v/>
      </c>
      <c r="F2216" s="3" t="str">
        <f>IF(A2216="","",'ATP Fills'!G2216)</f>
        <v/>
      </c>
      <c r="G2216" t="str">
        <f>IF(A2216="","",'ATP Fills'!H2216)</f>
        <v/>
      </c>
      <c r="H2216" t="str">
        <f>IF(A2216="","",VLOOKUP(G2216,表3_3[],2,0))</f>
        <v/>
      </c>
      <c r="I2216" t="str">
        <f>IF(A2216="","",VLOOKUP(G2216,表3_3[],3,0))</f>
        <v/>
      </c>
      <c r="J2216" t="str">
        <f>IF(A2216="","",IF('ATP Fills'!I2216="3M","",VLOOKUP(RIGHT('ATP Fills'!I2216,2),Helper1!$O$36:$P$48,2,0)))</f>
        <v/>
      </c>
      <c r="K2216" t="str">
        <f>IF(J2216="","",LEFT('ATP Fills'!I2216,4))</f>
        <v/>
      </c>
      <c r="L2216" t="str">
        <f>IF(A2216="","",IF('ATP Fills'!G2216="LME",'ATP Fills'!I2216,""))</f>
        <v/>
      </c>
      <c r="M2216" t="str">
        <f t="shared" si="34"/>
        <v/>
      </c>
    </row>
    <row r="2217" spans="1:13">
      <c r="A2217" t="str">
        <f>IF('ATP Fills'!A2217="","",IF('ATP Fills'!Q2217="PHILLIPSG",'ATP Fills'!F2217,""))</f>
        <v/>
      </c>
      <c r="B2217" t="str">
        <f>IF(A2217="","",'ATP Fills'!L2217)</f>
        <v/>
      </c>
      <c r="C2217" t="str">
        <f>IF(A2217="","",'ATP Fills'!M2217)</f>
        <v/>
      </c>
      <c r="D2217" t="str">
        <f>IF(A2217="","",'ATP Fills'!B2217)</f>
        <v/>
      </c>
      <c r="E2217" s="3" t="str">
        <f>IF(A2217="","",IF(DATE(LEFT(D2217,4),MID(D2217,5,2),RIGHT(D2217,2))=Helper1!$P$1,Helper1!$P$1,""))</f>
        <v/>
      </c>
      <c r="F2217" s="3" t="str">
        <f>IF(A2217="","",'ATP Fills'!G2217)</f>
        <v/>
      </c>
      <c r="G2217" t="str">
        <f>IF(A2217="","",'ATP Fills'!H2217)</f>
        <v/>
      </c>
      <c r="H2217" t="str">
        <f>IF(A2217="","",VLOOKUP(G2217,表3_3[],2,0))</f>
        <v/>
      </c>
      <c r="I2217" t="str">
        <f>IF(A2217="","",VLOOKUP(G2217,表3_3[],3,0))</f>
        <v/>
      </c>
      <c r="J2217" t="str">
        <f>IF(A2217="","",IF('ATP Fills'!I2217="3M","",VLOOKUP(RIGHT('ATP Fills'!I2217,2),Helper1!$O$36:$P$48,2,0)))</f>
        <v/>
      </c>
      <c r="K2217" t="str">
        <f>IF(J2217="","",LEFT('ATP Fills'!I2217,4))</f>
        <v/>
      </c>
      <c r="L2217" t="str">
        <f>IF(A2217="","",IF('ATP Fills'!G2217="LME",'ATP Fills'!I2217,""))</f>
        <v/>
      </c>
      <c r="M2217" t="str">
        <f t="shared" si="34"/>
        <v/>
      </c>
    </row>
    <row r="2218" spans="1:13">
      <c r="A2218" t="str">
        <f>IF('ATP Fills'!A2218="","",IF('ATP Fills'!Q2218="PHILLIPSG",'ATP Fills'!F2218,""))</f>
        <v/>
      </c>
      <c r="B2218" t="str">
        <f>IF(A2218="","",'ATP Fills'!L2218)</f>
        <v/>
      </c>
      <c r="C2218" t="str">
        <f>IF(A2218="","",'ATP Fills'!M2218)</f>
        <v/>
      </c>
      <c r="D2218" t="str">
        <f>IF(A2218="","",'ATP Fills'!B2218)</f>
        <v/>
      </c>
      <c r="E2218" s="3" t="str">
        <f>IF(A2218="","",IF(DATE(LEFT(D2218,4),MID(D2218,5,2),RIGHT(D2218,2))=Helper1!$P$1,Helper1!$P$1,""))</f>
        <v/>
      </c>
      <c r="F2218" s="3" t="str">
        <f>IF(A2218="","",'ATP Fills'!G2218)</f>
        <v/>
      </c>
      <c r="G2218" t="str">
        <f>IF(A2218="","",'ATP Fills'!H2218)</f>
        <v/>
      </c>
      <c r="H2218" t="str">
        <f>IF(A2218="","",VLOOKUP(G2218,表3_3[],2,0))</f>
        <v/>
      </c>
      <c r="I2218" t="str">
        <f>IF(A2218="","",VLOOKUP(G2218,表3_3[],3,0))</f>
        <v/>
      </c>
      <c r="J2218" t="str">
        <f>IF(A2218="","",IF('ATP Fills'!I2218="3M","",VLOOKUP(RIGHT('ATP Fills'!I2218,2),Helper1!$O$36:$P$48,2,0)))</f>
        <v/>
      </c>
      <c r="K2218" t="str">
        <f>IF(J2218="","",LEFT('ATP Fills'!I2218,4))</f>
        <v/>
      </c>
      <c r="L2218" t="str">
        <f>IF(A2218="","",IF('ATP Fills'!G2218="LME",'ATP Fills'!I2218,""))</f>
        <v/>
      </c>
      <c r="M2218" t="str">
        <f t="shared" si="34"/>
        <v/>
      </c>
    </row>
    <row r="2219" spans="1:13">
      <c r="A2219" t="str">
        <f>IF('ATP Fills'!A2219="","",IF('ATP Fills'!Q2219="PHILLIPSG",'ATP Fills'!F2219,""))</f>
        <v/>
      </c>
      <c r="B2219" t="str">
        <f>IF(A2219="","",'ATP Fills'!L2219)</f>
        <v/>
      </c>
      <c r="C2219" t="str">
        <f>IF(A2219="","",'ATP Fills'!M2219)</f>
        <v/>
      </c>
      <c r="D2219" t="str">
        <f>IF(A2219="","",'ATP Fills'!B2219)</f>
        <v/>
      </c>
      <c r="E2219" s="3" t="str">
        <f>IF(A2219="","",IF(DATE(LEFT(D2219,4),MID(D2219,5,2),RIGHT(D2219,2))=Helper1!$P$1,Helper1!$P$1,""))</f>
        <v/>
      </c>
      <c r="F2219" s="3" t="str">
        <f>IF(A2219="","",'ATP Fills'!G2219)</f>
        <v/>
      </c>
      <c r="G2219" t="str">
        <f>IF(A2219="","",'ATP Fills'!H2219)</f>
        <v/>
      </c>
      <c r="H2219" t="str">
        <f>IF(A2219="","",VLOOKUP(G2219,表3_3[],2,0))</f>
        <v/>
      </c>
      <c r="I2219" t="str">
        <f>IF(A2219="","",VLOOKUP(G2219,表3_3[],3,0))</f>
        <v/>
      </c>
      <c r="J2219" t="str">
        <f>IF(A2219="","",IF('ATP Fills'!I2219="3M","",VLOOKUP(RIGHT('ATP Fills'!I2219,2),Helper1!$O$36:$P$48,2,0)))</f>
        <v/>
      </c>
      <c r="K2219" t="str">
        <f>IF(J2219="","",LEFT('ATP Fills'!I2219,4))</f>
        <v/>
      </c>
      <c r="L2219" t="str">
        <f>IF(A2219="","",IF('ATP Fills'!G2219="LME",'ATP Fills'!I2219,""))</f>
        <v/>
      </c>
      <c r="M2219" t="str">
        <f t="shared" si="34"/>
        <v/>
      </c>
    </row>
    <row r="2220" spans="1:13">
      <c r="A2220" t="str">
        <f>IF('ATP Fills'!A2220="","",IF('ATP Fills'!Q2220="PHILLIPSG",'ATP Fills'!F2220,""))</f>
        <v/>
      </c>
      <c r="B2220" t="str">
        <f>IF(A2220="","",'ATP Fills'!L2220)</f>
        <v/>
      </c>
      <c r="C2220" t="str">
        <f>IF(A2220="","",'ATP Fills'!M2220)</f>
        <v/>
      </c>
      <c r="D2220" t="str">
        <f>IF(A2220="","",'ATP Fills'!B2220)</f>
        <v/>
      </c>
      <c r="E2220" s="3" t="str">
        <f>IF(A2220="","",IF(DATE(LEFT(D2220,4),MID(D2220,5,2),RIGHT(D2220,2))=Helper1!$P$1,Helper1!$P$1,""))</f>
        <v/>
      </c>
      <c r="F2220" s="3" t="str">
        <f>IF(A2220="","",'ATP Fills'!G2220)</f>
        <v/>
      </c>
      <c r="G2220" t="str">
        <f>IF(A2220="","",'ATP Fills'!H2220)</f>
        <v/>
      </c>
      <c r="H2220" t="str">
        <f>IF(A2220="","",VLOOKUP(G2220,表3_3[],2,0))</f>
        <v/>
      </c>
      <c r="I2220" t="str">
        <f>IF(A2220="","",VLOOKUP(G2220,表3_3[],3,0))</f>
        <v/>
      </c>
      <c r="J2220" t="str">
        <f>IF(A2220="","",IF('ATP Fills'!I2220="3M","",VLOOKUP(RIGHT('ATP Fills'!I2220,2),Helper1!$O$36:$P$48,2,0)))</f>
        <v/>
      </c>
      <c r="K2220" t="str">
        <f>IF(J2220="","",LEFT('ATP Fills'!I2220,4))</f>
        <v/>
      </c>
      <c r="L2220" t="str">
        <f>IF(A2220="","",IF('ATP Fills'!G2220="LME",'ATP Fills'!I2220,""))</f>
        <v/>
      </c>
      <c r="M2220" t="str">
        <f t="shared" si="34"/>
        <v/>
      </c>
    </row>
    <row r="2221" spans="1:13">
      <c r="A2221" t="str">
        <f>IF('ATP Fills'!A2221="","",IF('ATP Fills'!Q2221="PHILLIPSG",'ATP Fills'!F2221,""))</f>
        <v/>
      </c>
      <c r="B2221" t="str">
        <f>IF(A2221="","",'ATP Fills'!L2221)</f>
        <v/>
      </c>
      <c r="C2221" t="str">
        <f>IF(A2221="","",'ATP Fills'!M2221)</f>
        <v/>
      </c>
      <c r="D2221" t="str">
        <f>IF(A2221="","",'ATP Fills'!B2221)</f>
        <v/>
      </c>
      <c r="E2221" s="3" t="str">
        <f>IF(A2221="","",IF(DATE(LEFT(D2221,4),MID(D2221,5,2),RIGHT(D2221,2))=Helper1!$P$1,Helper1!$P$1,""))</f>
        <v/>
      </c>
      <c r="F2221" s="3" t="str">
        <f>IF(A2221="","",'ATP Fills'!G2221)</f>
        <v/>
      </c>
      <c r="G2221" t="str">
        <f>IF(A2221="","",'ATP Fills'!H2221)</f>
        <v/>
      </c>
      <c r="H2221" t="str">
        <f>IF(A2221="","",VLOOKUP(G2221,表3_3[],2,0))</f>
        <v/>
      </c>
      <c r="I2221" t="str">
        <f>IF(A2221="","",VLOOKUP(G2221,表3_3[],3,0))</f>
        <v/>
      </c>
      <c r="J2221" t="str">
        <f>IF(A2221="","",IF('ATP Fills'!I2221="3M","",VLOOKUP(RIGHT('ATP Fills'!I2221,2),Helper1!$O$36:$P$48,2,0)))</f>
        <v/>
      </c>
      <c r="K2221" t="str">
        <f>IF(J2221="","",LEFT('ATP Fills'!I2221,4))</f>
        <v/>
      </c>
      <c r="L2221" t="str">
        <f>IF(A2221="","",IF('ATP Fills'!G2221="LME",'ATP Fills'!I2221,""))</f>
        <v/>
      </c>
      <c r="M2221" t="str">
        <f t="shared" si="34"/>
        <v/>
      </c>
    </row>
    <row r="2222" spans="1:13">
      <c r="A2222" t="str">
        <f>IF('ATP Fills'!A2222="","",IF('ATP Fills'!Q2222="PHILLIPSG",'ATP Fills'!F2222,""))</f>
        <v/>
      </c>
      <c r="B2222" t="str">
        <f>IF(A2222="","",'ATP Fills'!L2222)</f>
        <v/>
      </c>
      <c r="C2222" t="str">
        <f>IF(A2222="","",'ATP Fills'!M2222)</f>
        <v/>
      </c>
      <c r="D2222" t="str">
        <f>IF(A2222="","",'ATP Fills'!B2222)</f>
        <v/>
      </c>
      <c r="E2222" s="3" t="str">
        <f>IF(A2222="","",IF(DATE(LEFT(D2222,4),MID(D2222,5,2),RIGHT(D2222,2))=Helper1!$P$1,Helper1!$P$1,""))</f>
        <v/>
      </c>
      <c r="F2222" s="3" t="str">
        <f>IF(A2222="","",'ATP Fills'!G2222)</f>
        <v/>
      </c>
      <c r="G2222" t="str">
        <f>IF(A2222="","",'ATP Fills'!H2222)</f>
        <v/>
      </c>
      <c r="H2222" t="str">
        <f>IF(A2222="","",VLOOKUP(G2222,表3_3[],2,0))</f>
        <v/>
      </c>
      <c r="I2222" t="str">
        <f>IF(A2222="","",VLOOKUP(G2222,表3_3[],3,0))</f>
        <v/>
      </c>
      <c r="J2222" t="str">
        <f>IF(A2222="","",IF('ATP Fills'!I2222="3M","",VLOOKUP(RIGHT('ATP Fills'!I2222,2),Helper1!$O$36:$P$48,2,0)))</f>
        <v/>
      </c>
      <c r="K2222" t="str">
        <f>IF(J2222="","",LEFT('ATP Fills'!I2222,4))</f>
        <v/>
      </c>
      <c r="L2222" t="str">
        <f>IF(A2222="","",IF('ATP Fills'!G2222="LME",'ATP Fills'!I2222,""))</f>
        <v/>
      </c>
      <c r="M2222" t="str">
        <f t="shared" si="34"/>
        <v/>
      </c>
    </row>
    <row r="2223" spans="1:13">
      <c r="A2223" t="str">
        <f>IF('ATP Fills'!A2223="","",IF('ATP Fills'!Q2223="PHILLIPSG",'ATP Fills'!F2223,""))</f>
        <v/>
      </c>
      <c r="B2223" t="str">
        <f>IF(A2223="","",'ATP Fills'!L2223)</f>
        <v/>
      </c>
      <c r="C2223" t="str">
        <f>IF(A2223="","",'ATP Fills'!M2223)</f>
        <v/>
      </c>
      <c r="D2223" t="str">
        <f>IF(A2223="","",'ATP Fills'!B2223)</f>
        <v/>
      </c>
      <c r="E2223" s="3" t="str">
        <f>IF(A2223="","",IF(DATE(LEFT(D2223,4),MID(D2223,5,2),RIGHT(D2223,2))=Helper1!$P$1,Helper1!$P$1,""))</f>
        <v/>
      </c>
      <c r="F2223" s="3" t="str">
        <f>IF(A2223="","",'ATP Fills'!G2223)</f>
        <v/>
      </c>
      <c r="G2223" t="str">
        <f>IF(A2223="","",'ATP Fills'!H2223)</f>
        <v/>
      </c>
      <c r="H2223" t="str">
        <f>IF(A2223="","",VLOOKUP(G2223,表3_3[],2,0))</f>
        <v/>
      </c>
      <c r="I2223" t="str">
        <f>IF(A2223="","",VLOOKUP(G2223,表3_3[],3,0))</f>
        <v/>
      </c>
      <c r="J2223" t="str">
        <f>IF(A2223="","",IF('ATP Fills'!I2223="3M","",VLOOKUP(RIGHT('ATP Fills'!I2223,2),Helper1!$O$36:$P$48,2,0)))</f>
        <v/>
      </c>
      <c r="K2223" t="str">
        <f>IF(J2223="","",LEFT('ATP Fills'!I2223,4))</f>
        <v/>
      </c>
      <c r="L2223" t="str">
        <f>IF(A2223="","",IF('ATP Fills'!G2223="LME",'ATP Fills'!I2223,""))</f>
        <v/>
      </c>
      <c r="M2223" t="str">
        <f t="shared" si="34"/>
        <v/>
      </c>
    </row>
    <row r="2224" spans="1:13">
      <c r="A2224" t="str">
        <f>IF('ATP Fills'!A2224="","",IF('ATP Fills'!Q2224="PHILLIPSG",'ATP Fills'!F2224,""))</f>
        <v/>
      </c>
      <c r="B2224" t="str">
        <f>IF(A2224="","",'ATP Fills'!L2224)</f>
        <v/>
      </c>
      <c r="C2224" t="str">
        <f>IF(A2224="","",'ATP Fills'!M2224)</f>
        <v/>
      </c>
      <c r="D2224" t="str">
        <f>IF(A2224="","",'ATP Fills'!B2224)</f>
        <v/>
      </c>
      <c r="E2224" s="3" t="str">
        <f>IF(A2224="","",IF(DATE(LEFT(D2224,4),MID(D2224,5,2),RIGHT(D2224,2))=Helper1!$P$1,Helper1!$P$1,""))</f>
        <v/>
      </c>
      <c r="F2224" s="3" t="str">
        <f>IF(A2224="","",'ATP Fills'!G2224)</f>
        <v/>
      </c>
      <c r="G2224" t="str">
        <f>IF(A2224="","",'ATP Fills'!H2224)</f>
        <v/>
      </c>
      <c r="H2224" t="str">
        <f>IF(A2224="","",VLOOKUP(G2224,表3_3[],2,0))</f>
        <v/>
      </c>
      <c r="I2224" t="str">
        <f>IF(A2224="","",VLOOKUP(G2224,表3_3[],3,0))</f>
        <v/>
      </c>
      <c r="J2224" t="str">
        <f>IF(A2224="","",IF('ATP Fills'!I2224="3M","",VLOOKUP(RIGHT('ATP Fills'!I2224,2),Helper1!$O$36:$P$48,2,0)))</f>
        <v/>
      </c>
      <c r="K2224" t="str">
        <f>IF(J2224="","",LEFT('ATP Fills'!I2224,4))</f>
        <v/>
      </c>
      <c r="L2224" t="str">
        <f>IF(A2224="","",IF('ATP Fills'!G2224="LME",'ATP Fills'!I2224,""))</f>
        <v/>
      </c>
      <c r="M2224" t="str">
        <f t="shared" si="34"/>
        <v/>
      </c>
    </row>
    <row r="2225" spans="1:13">
      <c r="A2225" t="str">
        <f>IF('ATP Fills'!A2225="","",IF('ATP Fills'!Q2225="PHILLIPSG",'ATP Fills'!F2225,""))</f>
        <v/>
      </c>
      <c r="B2225" t="str">
        <f>IF(A2225="","",'ATP Fills'!L2225)</f>
        <v/>
      </c>
      <c r="C2225" t="str">
        <f>IF(A2225="","",'ATP Fills'!M2225)</f>
        <v/>
      </c>
      <c r="D2225" t="str">
        <f>IF(A2225="","",'ATP Fills'!B2225)</f>
        <v/>
      </c>
      <c r="E2225" s="3" t="str">
        <f>IF(A2225="","",IF(DATE(LEFT(D2225,4),MID(D2225,5,2),RIGHT(D2225,2))=Helper1!$P$1,Helper1!$P$1,""))</f>
        <v/>
      </c>
      <c r="F2225" s="3" t="str">
        <f>IF(A2225="","",'ATP Fills'!G2225)</f>
        <v/>
      </c>
      <c r="G2225" t="str">
        <f>IF(A2225="","",'ATP Fills'!H2225)</f>
        <v/>
      </c>
      <c r="H2225" t="str">
        <f>IF(A2225="","",VLOOKUP(G2225,表3_3[],2,0))</f>
        <v/>
      </c>
      <c r="I2225" t="str">
        <f>IF(A2225="","",VLOOKUP(G2225,表3_3[],3,0))</f>
        <v/>
      </c>
      <c r="J2225" t="str">
        <f>IF(A2225="","",IF('ATP Fills'!I2225="3M","",VLOOKUP(RIGHT('ATP Fills'!I2225,2),Helper1!$O$36:$P$48,2,0)))</f>
        <v/>
      </c>
      <c r="K2225" t="str">
        <f>IF(J2225="","",LEFT('ATP Fills'!I2225,4))</f>
        <v/>
      </c>
      <c r="L2225" t="str">
        <f>IF(A2225="","",IF('ATP Fills'!G2225="LME",'ATP Fills'!I2225,""))</f>
        <v/>
      </c>
      <c r="M2225" t="str">
        <f t="shared" si="34"/>
        <v/>
      </c>
    </row>
    <row r="2226" spans="1:13">
      <c r="A2226" t="str">
        <f>IF('ATP Fills'!A2226="","",IF('ATP Fills'!Q2226="PHILLIPSG",'ATP Fills'!F2226,""))</f>
        <v/>
      </c>
      <c r="B2226" t="str">
        <f>IF(A2226="","",'ATP Fills'!L2226)</f>
        <v/>
      </c>
      <c r="C2226" t="str">
        <f>IF(A2226="","",'ATP Fills'!M2226)</f>
        <v/>
      </c>
      <c r="D2226" t="str">
        <f>IF(A2226="","",'ATP Fills'!B2226)</f>
        <v/>
      </c>
      <c r="E2226" s="3" t="str">
        <f>IF(A2226="","",IF(DATE(LEFT(D2226,4),MID(D2226,5,2),RIGHT(D2226,2))=Helper1!$P$1,Helper1!$P$1,""))</f>
        <v/>
      </c>
      <c r="F2226" s="3" t="str">
        <f>IF(A2226="","",'ATP Fills'!G2226)</f>
        <v/>
      </c>
      <c r="G2226" t="str">
        <f>IF(A2226="","",'ATP Fills'!H2226)</f>
        <v/>
      </c>
      <c r="H2226" t="str">
        <f>IF(A2226="","",VLOOKUP(G2226,表3_3[],2,0))</f>
        <v/>
      </c>
      <c r="I2226" t="str">
        <f>IF(A2226="","",VLOOKUP(G2226,表3_3[],3,0))</f>
        <v/>
      </c>
      <c r="J2226" t="str">
        <f>IF(A2226="","",IF('ATP Fills'!I2226="3M","",VLOOKUP(RIGHT('ATP Fills'!I2226,2),Helper1!$O$36:$P$48,2,0)))</f>
        <v/>
      </c>
      <c r="K2226" t="str">
        <f>IF(J2226="","",LEFT('ATP Fills'!I2226,4))</f>
        <v/>
      </c>
      <c r="L2226" t="str">
        <f>IF(A2226="","",IF('ATP Fills'!G2226="LME",'ATP Fills'!I2226,""))</f>
        <v/>
      </c>
      <c r="M2226" t="str">
        <f t="shared" si="34"/>
        <v/>
      </c>
    </row>
    <row r="2227" spans="1:13">
      <c r="A2227" t="str">
        <f>IF('ATP Fills'!A2227="","",IF('ATP Fills'!Q2227="PHILLIPSG",'ATP Fills'!F2227,""))</f>
        <v/>
      </c>
      <c r="B2227" t="str">
        <f>IF(A2227="","",'ATP Fills'!L2227)</f>
        <v/>
      </c>
      <c r="C2227" t="str">
        <f>IF(A2227="","",'ATP Fills'!M2227)</f>
        <v/>
      </c>
      <c r="D2227" t="str">
        <f>IF(A2227="","",'ATP Fills'!B2227)</f>
        <v/>
      </c>
      <c r="E2227" s="3" t="str">
        <f>IF(A2227="","",IF(DATE(LEFT(D2227,4),MID(D2227,5,2),RIGHT(D2227,2))=Helper1!$P$1,Helper1!$P$1,""))</f>
        <v/>
      </c>
      <c r="F2227" s="3" t="str">
        <f>IF(A2227="","",'ATP Fills'!G2227)</f>
        <v/>
      </c>
      <c r="G2227" t="str">
        <f>IF(A2227="","",'ATP Fills'!H2227)</f>
        <v/>
      </c>
      <c r="H2227" t="str">
        <f>IF(A2227="","",VLOOKUP(G2227,表3_3[],2,0))</f>
        <v/>
      </c>
      <c r="I2227" t="str">
        <f>IF(A2227="","",VLOOKUP(G2227,表3_3[],3,0))</f>
        <v/>
      </c>
      <c r="J2227" t="str">
        <f>IF(A2227="","",IF('ATP Fills'!I2227="3M","",VLOOKUP(RIGHT('ATP Fills'!I2227,2),Helper1!$O$36:$P$48,2,0)))</f>
        <v/>
      </c>
      <c r="K2227" t="str">
        <f>IF(J2227="","",LEFT('ATP Fills'!I2227,4))</f>
        <v/>
      </c>
      <c r="L2227" t="str">
        <f>IF(A2227="","",IF('ATP Fills'!G2227="LME",'ATP Fills'!I2227,""))</f>
        <v/>
      </c>
      <c r="M2227" t="str">
        <f t="shared" si="34"/>
        <v/>
      </c>
    </row>
    <row r="2228" spans="1:13">
      <c r="A2228" t="str">
        <f>IF('ATP Fills'!A2228="","",IF('ATP Fills'!Q2228="PHILLIPSG",'ATP Fills'!F2228,""))</f>
        <v/>
      </c>
      <c r="B2228" t="str">
        <f>IF(A2228="","",'ATP Fills'!L2228)</f>
        <v/>
      </c>
      <c r="C2228" t="str">
        <f>IF(A2228="","",'ATP Fills'!M2228)</f>
        <v/>
      </c>
      <c r="D2228" t="str">
        <f>IF(A2228="","",'ATP Fills'!B2228)</f>
        <v/>
      </c>
      <c r="E2228" s="3" t="str">
        <f>IF(A2228="","",IF(DATE(LEFT(D2228,4),MID(D2228,5,2),RIGHT(D2228,2))=Helper1!$P$1,Helper1!$P$1,""))</f>
        <v/>
      </c>
      <c r="F2228" s="3" t="str">
        <f>IF(A2228="","",'ATP Fills'!G2228)</f>
        <v/>
      </c>
      <c r="G2228" t="str">
        <f>IF(A2228="","",'ATP Fills'!H2228)</f>
        <v/>
      </c>
      <c r="H2228" t="str">
        <f>IF(A2228="","",VLOOKUP(G2228,表3_3[],2,0))</f>
        <v/>
      </c>
      <c r="I2228" t="str">
        <f>IF(A2228="","",VLOOKUP(G2228,表3_3[],3,0))</f>
        <v/>
      </c>
      <c r="J2228" t="str">
        <f>IF(A2228="","",IF('ATP Fills'!I2228="3M","",VLOOKUP(RIGHT('ATP Fills'!I2228,2),Helper1!$O$36:$P$48,2,0)))</f>
        <v/>
      </c>
      <c r="K2228" t="str">
        <f>IF(J2228="","",LEFT('ATP Fills'!I2228,4))</f>
        <v/>
      </c>
      <c r="L2228" t="str">
        <f>IF(A2228="","",IF('ATP Fills'!G2228="LME",'ATP Fills'!I2228,""))</f>
        <v/>
      </c>
      <c r="M2228" t="str">
        <f t="shared" si="34"/>
        <v/>
      </c>
    </row>
    <row r="2229" spans="1:13">
      <c r="A2229" t="str">
        <f>IF('ATP Fills'!A2229="","",IF('ATP Fills'!Q2229="PHILLIPSG",'ATP Fills'!F2229,""))</f>
        <v/>
      </c>
      <c r="B2229" t="str">
        <f>IF(A2229="","",'ATP Fills'!L2229)</f>
        <v/>
      </c>
      <c r="C2229" t="str">
        <f>IF(A2229="","",'ATP Fills'!M2229)</f>
        <v/>
      </c>
      <c r="D2229" t="str">
        <f>IF(A2229="","",'ATP Fills'!B2229)</f>
        <v/>
      </c>
      <c r="E2229" s="3" t="str">
        <f>IF(A2229="","",IF(DATE(LEFT(D2229,4),MID(D2229,5,2),RIGHT(D2229,2))=Helper1!$P$1,Helper1!$P$1,""))</f>
        <v/>
      </c>
      <c r="F2229" s="3" t="str">
        <f>IF(A2229="","",'ATP Fills'!G2229)</f>
        <v/>
      </c>
      <c r="G2229" t="str">
        <f>IF(A2229="","",'ATP Fills'!H2229)</f>
        <v/>
      </c>
      <c r="H2229" t="str">
        <f>IF(A2229="","",VLOOKUP(G2229,表3_3[],2,0))</f>
        <v/>
      </c>
      <c r="I2229" t="str">
        <f>IF(A2229="","",VLOOKUP(G2229,表3_3[],3,0))</f>
        <v/>
      </c>
      <c r="J2229" t="str">
        <f>IF(A2229="","",IF('ATP Fills'!I2229="3M","",VLOOKUP(RIGHT('ATP Fills'!I2229,2),Helper1!$O$36:$P$48,2,0)))</f>
        <v/>
      </c>
      <c r="K2229" t="str">
        <f>IF(J2229="","",LEFT('ATP Fills'!I2229,4))</f>
        <v/>
      </c>
      <c r="L2229" t="str">
        <f>IF(A2229="","",IF('ATP Fills'!G2229="LME",'ATP Fills'!I2229,""))</f>
        <v/>
      </c>
      <c r="M2229" t="str">
        <f t="shared" si="34"/>
        <v/>
      </c>
    </row>
    <row r="2230" spans="1:13">
      <c r="A2230" t="str">
        <f>IF('ATP Fills'!A2230="","",IF('ATP Fills'!Q2230="PHILLIPSG",'ATP Fills'!F2230,""))</f>
        <v/>
      </c>
      <c r="B2230" t="str">
        <f>IF(A2230="","",'ATP Fills'!L2230)</f>
        <v/>
      </c>
      <c r="C2230" t="str">
        <f>IF(A2230="","",'ATP Fills'!M2230)</f>
        <v/>
      </c>
      <c r="D2230" t="str">
        <f>IF(A2230="","",'ATP Fills'!B2230)</f>
        <v/>
      </c>
      <c r="E2230" s="3" t="str">
        <f>IF(A2230="","",IF(DATE(LEFT(D2230,4),MID(D2230,5,2),RIGHT(D2230,2))=Helper1!$P$1,Helper1!$P$1,""))</f>
        <v/>
      </c>
      <c r="F2230" s="3" t="str">
        <f>IF(A2230="","",'ATP Fills'!G2230)</f>
        <v/>
      </c>
      <c r="G2230" t="str">
        <f>IF(A2230="","",'ATP Fills'!H2230)</f>
        <v/>
      </c>
      <c r="H2230" t="str">
        <f>IF(A2230="","",VLOOKUP(G2230,表3_3[],2,0))</f>
        <v/>
      </c>
      <c r="I2230" t="str">
        <f>IF(A2230="","",VLOOKUP(G2230,表3_3[],3,0))</f>
        <v/>
      </c>
      <c r="J2230" t="str">
        <f>IF(A2230="","",IF('ATP Fills'!I2230="3M","",VLOOKUP(RIGHT('ATP Fills'!I2230,2),Helper1!$O$36:$P$48,2,0)))</f>
        <v/>
      </c>
      <c r="K2230" t="str">
        <f>IF(J2230="","",LEFT('ATP Fills'!I2230,4))</f>
        <v/>
      </c>
      <c r="L2230" t="str">
        <f>IF(A2230="","",IF('ATP Fills'!G2230="LME",'ATP Fills'!I2230,""))</f>
        <v/>
      </c>
      <c r="M2230" t="str">
        <f t="shared" si="34"/>
        <v/>
      </c>
    </row>
    <row r="2231" spans="1:13">
      <c r="A2231" t="str">
        <f>IF('ATP Fills'!A2231="","",IF('ATP Fills'!Q2231="PHILLIPSG",'ATP Fills'!F2231,""))</f>
        <v/>
      </c>
      <c r="B2231" t="str">
        <f>IF(A2231="","",'ATP Fills'!L2231)</f>
        <v/>
      </c>
      <c r="C2231" t="str">
        <f>IF(A2231="","",'ATP Fills'!M2231)</f>
        <v/>
      </c>
      <c r="D2231" t="str">
        <f>IF(A2231="","",'ATP Fills'!B2231)</f>
        <v/>
      </c>
      <c r="E2231" s="3" t="str">
        <f>IF(A2231="","",IF(DATE(LEFT(D2231,4),MID(D2231,5,2),RIGHT(D2231,2))=Helper1!$P$1,Helper1!$P$1,""))</f>
        <v/>
      </c>
      <c r="F2231" s="3" t="str">
        <f>IF(A2231="","",'ATP Fills'!G2231)</f>
        <v/>
      </c>
      <c r="G2231" t="str">
        <f>IF(A2231="","",'ATP Fills'!H2231)</f>
        <v/>
      </c>
      <c r="H2231" t="str">
        <f>IF(A2231="","",VLOOKUP(G2231,表3_3[],2,0))</f>
        <v/>
      </c>
      <c r="I2231" t="str">
        <f>IF(A2231="","",VLOOKUP(G2231,表3_3[],3,0))</f>
        <v/>
      </c>
      <c r="J2231" t="str">
        <f>IF(A2231="","",IF('ATP Fills'!I2231="3M","",VLOOKUP(RIGHT('ATP Fills'!I2231,2),Helper1!$O$36:$P$48,2,0)))</f>
        <v/>
      </c>
      <c r="K2231" t="str">
        <f>IF(J2231="","",LEFT('ATP Fills'!I2231,4))</f>
        <v/>
      </c>
      <c r="L2231" t="str">
        <f>IF(A2231="","",IF('ATP Fills'!G2231="LME",'ATP Fills'!I2231,""))</f>
        <v/>
      </c>
      <c r="M2231" t="str">
        <f t="shared" si="34"/>
        <v/>
      </c>
    </row>
    <row r="2232" spans="1:13">
      <c r="A2232" t="str">
        <f>IF('ATP Fills'!A2232="","",IF('ATP Fills'!Q2232="PHILLIPSG",'ATP Fills'!F2232,""))</f>
        <v/>
      </c>
      <c r="B2232" t="str">
        <f>IF(A2232="","",'ATP Fills'!L2232)</f>
        <v/>
      </c>
      <c r="C2232" t="str">
        <f>IF(A2232="","",'ATP Fills'!M2232)</f>
        <v/>
      </c>
      <c r="D2232" t="str">
        <f>IF(A2232="","",'ATP Fills'!B2232)</f>
        <v/>
      </c>
      <c r="E2232" s="3" t="str">
        <f>IF(A2232="","",IF(DATE(LEFT(D2232,4),MID(D2232,5,2),RIGHT(D2232,2))=Helper1!$P$1,Helper1!$P$1,""))</f>
        <v/>
      </c>
      <c r="F2232" s="3" t="str">
        <f>IF(A2232="","",'ATP Fills'!G2232)</f>
        <v/>
      </c>
      <c r="G2232" t="str">
        <f>IF(A2232="","",'ATP Fills'!H2232)</f>
        <v/>
      </c>
      <c r="H2232" t="str">
        <f>IF(A2232="","",VLOOKUP(G2232,表3_3[],2,0))</f>
        <v/>
      </c>
      <c r="I2232" t="str">
        <f>IF(A2232="","",VLOOKUP(G2232,表3_3[],3,0))</f>
        <v/>
      </c>
      <c r="J2232" t="str">
        <f>IF(A2232="","",IF('ATP Fills'!I2232="3M","",VLOOKUP(RIGHT('ATP Fills'!I2232,2),Helper1!$O$36:$P$48,2,0)))</f>
        <v/>
      </c>
      <c r="K2232" t="str">
        <f>IF(J2232="","",LEFT('ATP Fills'!I2232,4))</f>
        <v/>
      </c>
      <c r="L2232" t="str">
        <f>IF(A2232="","",IF('ATP Fills'!G2232="LME",'ATP Fills'!I2232,""))</f>
        <v/>
      </c>
      <c r="M2232" t="str">
        <f t="shared" si="34"/>
        <v/>
      </c>
    </row>
    <row r="2233" spans="1:13">
      <c r="A2233" t="str">
        <f>IF('ATP Fills'!A2233="","",IF('ATP Fills'!Q2233="PHILLIPSG",'ATP Fills'!F2233,""))</f>
        <v/>
      </c>
      <c r="B2233" t="str">
        <f>IF(A2233="","",'ATP Fills'!L2233)</f>
        <v/>
      </c>
      <c r="C2233" t="str">
        <f>IF(A2233="","",'ATP Fills'!M2233)</f>
        <v/>
      </c>
      <c r="D2233" t="str">
        <f>IF(A2233="","",'ATP Fills'!B2233)</f>
        <v/>
      </c>
      <c r="E2233" s="3" t="str">
        <f>IF(A2233="","",IF(DATE(LEFT(D2233,4),MID(D2233,5,2),RIGHT(D2233,2))=Helper1!$P$1,Helper1!$P$1,""))</f>
        <v/>
      </c>
      <c r="F2233" s="3" t="str">
        <f>IF(A2233="","",'ATP Fills'!G2233)</f>
        <v/>
      </c>
      <c r="G2233" t="str">
        <f>IF(A2233="","",'ATP Fills'!H2233)</f>
        <v/>
      </c>
      <c r="H2233" t="str">
        <f>IF(A2233="","",VLOOKUP(G2233,表3_3[],2,0))</f>
        <v/>
      </c>
      <c r="I2233" t="str">
        <f>IF(A2233="","",VLOOKUP(G2233,表3_3[],3,0))</f>
        <v/>
      </c>
      <c r="J2233" t="str">
        <f>IF(A2233="","",IF('ATP Fills'!I2233="3M","",VLOOKUP(RIGHT('ATP Fills'!I2233,2),Helper1!$O$36:$P$48,2,0)))</f>
        <v/>
      </c>
      <c r="K2233" t="str">
        <f>IF(J2233="","",LEFT('ATP Fills'!I2233,4))</f>
        <v/>
      </c>
      <c r="L2233" t="str">
        <f>IF(A2233="","",IF('ATP Fills'!G2233="LME",'ATP Fills'!I2233,""))</f>
        <v/>
      </c>
      <c r="M2233" t="str">
        <f t="shared" si="34"/>
        <v/>
      </c>
    </row>
    <row r="2234" spans="1:13">
      <c r="A2234" t="str">
        <f>IF('ATP Fills'!A2234="","",IF('ATP Fills'!Q2234="PHILLIPSG",'ATP Fills'!F2234,""))</f>
        <v/>
      </c>
      <c r="B2234" t="str">
        <f>IF(A2234="","",'ATP Fills'!L2234)</f>
        <v/>
      </c>
      <c r="C2234" t="str">
        <f>IF(A2234="","",'ATP Fills'!M2234)</f>
        <v/>
      </c>
      <c r="D2234" t="str">
        <f>IF(A2234="","",'ATP Fills'!B2234)</f>
        <v/>
      </c>
      <c r="E2234" s="3" t="str">
        <f>IF(A2234="","",IF(DATE(LEFT(D2234,4),MID(D2234,5,2),RIGHT(D2234,2))=Helper1!$P$1,Helper1!$P$1,""))</f>
        <v/>
      </c>
      <c r="F2234" s="3" t="str">
        <f>IF(A2234="","",'ATP Fills'!G2234)</f>
        <v/>
      </c>
      <c r="G2234" t="str">
        <f>IF(A2234="","",'ATP Fills'!H2234)</f>
        <v/>
      </c>
      <c r="H2234" t="str">
        <f>IF(A2234="","",VLOOKUP(G2234,表3_3[],2,0))</f>
        <v/>
      </c>
      <c r="I2234" t="str">
        <f>IF(A2234="","",VLOOKUP(G2234,表3_3[],3,0))</f>
        <v/>
      </c>
      <c r="J2234" t="str">
        <f>IF(A2234="","",IF('ATP Fills'!I2234="3M","",VLOOKUP(RIGHT('ATP Fills'!I2234,2),Helper1!$O$36:$P$48,2,0)))</f>
        <v/>
      </c>
      <c r="K2234" t="str">
        <f>IF(J2234="","",LEFT('ATP Fills'!I2234,4))</f>
        <v/>
      </c>
      <c r="L2234" t="str">
        <f>IF(A2234="","",IF('ATP Fills'!G2234="LME",'ATP Fills'!I2234,""))</f>
        <v/>
      </c>
      <c r="M2234" t="str">
        <f t="shared" si="34"/>
        <v/>
      </c>
    </row>
    <row r="2235" spans="1:13">
      <c r="A2235" t="str">
        <f>IF('ATP Fills'!A2235="","",IF('ATP Fills'!Q2235="PHILLIPSG",'ATP Fills'!F2235,""))</f>
        <v/>
      </c>
      <c r="B2235" t="str">
        <f>IF(A2235="","",'ATP Fills'!L2235)</f>
        <v/>
      </c>
      <c r="C2235" t="str">
        <f>IF(A2235="","",'ATP Fills'!M2235)</f>
        <v/>
      </c>
      <c r="D2235" t="str">
        <f>IF(A2235="","",'ATP Fills'!B2235)</f>
        <v/>
      </c>
      <c r="E2235" s="3" t="str">
        <f>IF(A2235="","",IF(DATE(LEFT(D2235,4),MID(D2235,5,2),RIGHT(D2235,2))=Helper1!$P$1,Helper1!$P$1,""))</f>
        <v/>
      </c>
      <c r="F2235" s="3" t="str">
        <f>IF(A2235="","",'ATP Fills'!G2235)</f>
        <v/>
      </c>
      <c r="G2235" t="str">
        <f>IF(A2235="","",'ATP Fills'!H2235)</f>
        <v/>
      </c>
      <c r="H2235" t="str">
        <f>IF(A2235="","",VLOOKUP(G2235,表3_3[],2,0))</f>
        <v/>
      </c>
      <c r="I2235" t="str">
        <f>IF(A2235="","",VLOOKUP(G2235,表3_3[],3,0))</f>
        <v/>
      </c>
      <c r="J2235" t="str">
        <f>IF(A2235="","",IF('ATP Fills'!I2235="3M","",VLOOKUP(RIGHT('ATP Fills'!I2235,2),Helper1!$O$36:$P$48,2,0)))</f>
        <v/>
      </c>
      <c r="K2235" t="str">
        <f>IF(J2235="","",LEFT('ATP Fills'!I2235,4))</f>
        <v/>
      </c>
      <c r="L2235" t="str">
        <f>IF(A2235="","",IF('ATP Fills'!G2235="LME",'ATP Fills'!I2235,""))</f>
        <v/>
      </c>
      <c r="M2235" t="str">
        <f t="shared" si="34"/>
        <v/>
      </c>
    </row>
    <row r="2236" spans="1:13">
      <c r="A2236" t="str">
        <f>IF('ATP Fills'!A2236="","",IF('ATP Fills'!Q2236="PHILLIPSG",'ATP Fills'!F2236,""))</f>
        <v/>
      </c>
      <c r="B2236" t="str">
        <f>IF(A2236="","",'ATP Fills'!L2236)</f>
        <v/>
      </c>
      <c r="C2236" t="str">
        <f>IF(A2236="","",'ATP Fills'!M2236)</f>
        <v/>
      </c>
      <c r="D2236" t="str">
        <f>IF(A2236="","",'ATP Fills'!B2236)</f>
        <v/>
      </c>
      <c r="E2236" s="3" t="str">
        <f>IF(A2236="","",IF(DATE(LEFT(D2236,4),MID(D2236,5,2),RIGHT(D2236,2))=Helper1!$P$1,Helper1!$P$1,""))</f>
        <v/>
      </c>
      <c r="F2236" s="3" t="str">
        <f>IF(A2236="","",'ATP Fills'!G2236)</f>
        <v/>
      </c>
      <c r="G2236" t="str">
        <f>IF(A2236="","",'ATP Fills'!H2236)</f>
        <v/>
      </c>
      <c r="H2236" t="str">
        <f>IF(A2236="","",VLOOKUP(G2236,表3_3[],2,0))</f>
        <v/>
      </c>
      <c r="I2236" t="str">
        <f>IF(A2236="","",VLOOKUP(G2236,表3_3[],3,0))</f>
        <v/>
      </c>
      <c r="J2236" t="str">
        <f>IF(A2236="","",IF('ATP Fills'!I2236="3M","",VLOOKUP(RIGHT('ATP Fills'!I2236,2),Helper1!$O$36:$P$48,2,0)))</f>
        <v/>
      </c>
      <c r="K2236" t="str">
        <f>IF(J2236="","",LEFT('ATP Fills'!I2236,4))</f>
        <v/>
      </c>
      <c r="L2236" t="str">
        <f>IF(A2236="","",IF('ATP Fills'!G2236="LME",'ATP Fills'!I2236,""))</f>
        <v/>
      </c>
      <c r="M2236" t="str">
        <f t="shared" si="34"/>
        <v/>
      </c>
    </row>
    <row r="2237" spans="1:13">
      <c r="A2237" t="str">
        <f>IF('ATP Fills'!A2237="","",IF('ATP Fills'!Q2237="PHILLIPSG",'ATP Fills'!F2237,""))</f>
        <v/>
      </c>
      <c r="B2237" t="str">
        <f>IF(A2237="","",'ATP Fills'!L2237)</f>
        <v/>
      </c>
      <c r="C2237" t="str">
        <f>IF(A2237="","",'ATP Fills'!M2237)</f>
        <v/>
      </c>
      <c r="D2237" t="str">
        <f>IF(A2237="","",'ATP Fills'!B2237)</f>
        <v/>
      </c>
      <c r="E2237" s="3" t="str">
        <f>IF(A2237="","",IF(DATE(LEFT(D2237,4),MID(D2237,5,2),RIGHT(D2237,2))=Helper1!$P$1,Helper1!$P$1,""))</f>
        <v/>
      </c>
      <c r="F2237" s="3" t="str">
        <f>IF(A2237="","",'ATP Fills'!G2237)</f>
        <v/>
      </c>
      <c r="G2237" t="str">
        <f>IF(A2237="","",'ATP Fills'!H2237)</f>
        <v/>
      </c>
      <c r="H2237" t="str">
        <f>IF(A2237="","",VLOOKUP(G2237,表3_3[],2,0))</f>
        <v/>
      </c>
      <c r="I2237" t="str">
        <f>IF(A2237="","",VLOOKUP(G2237,表3_3[],3,0))</f>
        <v/>
      </c>
      <c r="J2237" t="str">
        <f>IF(A2237="","",IF('ATP Fills'!I2237="3M","",VLOOKUP(RIGHT('ATP Fills'!I2237,2),Helper1!$O$36:$P$48,2,0)))</f>
        <v/>
      </c>
      <c r="K2237" t="str">
        <f>IF(J2237="","",LEFT('ATP Fills'!I2237,4))</f>
        <v/>
      </c>
      <c r="L2237" t="str">
        <f>IF(A2237="","",IF('ATP Fills'!G2237="LME",'ATP Fills'!I2237,""))</f>
        <v/>
      </c>
      <c r="M2237" t="str">
        <f t="shared" si="34"/>
        <v/>
      </c>
    </row>
    <row r="2238" spans="1:13">
      <c r="A2238" t="str">
        <f>IF('ATP Fills'!A2238="","",IF('ATP Fills'!Q2238="PHILLIPSG",'ATP Fills'!F2238,""))</f>
        <v/>
      </c>
      <c r="B2238" t="str">
        <f>IF(A2238="","",'ATP Fills'!L2238)</f>
        <v/>
      </c>
      <c r="C2238" t="str">
        <f>IF(A2238="","",'ATP Fills'!M2238)</f>
        <v/>
      </c>
      <c r="D2238" t="str">
        <f>IF(A2238="","",'ATP Fills'!B2238)</f>
        <v/>
      </c>
      <c r="E2238" s="3" t="str">
        <f>IF(A2238="","",IF(DATE(LEFT(D2238,4),MID(D2238,5,2),RIGHT(D2238,2))=Helper1!$P$1,Helper1!$P$1,""))</f>
        <v/>
      </c>
      <c r="F2238" s="3" t="str">
        <f>IF(A2238="","",'ATP Fills'!G2238)</f>
        <v/>
      </c>
      <c r="G2238" t="str">
        <f>IF(A2238="","",'ATP Fills'!H2238)</f>
        <v/>
      </c>
      <c r="H2238" t="str">
        <f>IF(A2238="","",VLOOKUP(G2238,表3_3[],2,0))</f>
        <v/>
      </c>
      <c r="I2238" t="str">
        <f>IF(A2238="","",VLOOKUP(G2238,表3_3[],3,0))</f>
        <v/>
      </c>
      <c r="J2238" t="str">
        <f>IF(A2238="","",IF('ATP Fills'!I2238="3M","",VLOOKUP(RIGHT('ATP Fills'!I2238,2),Helper1!$O$36:$P$48,2,0)))</f>
        <v/>
      </c>
      <c r="K2238" t="str">
        <f>IF(J2238="","",LEFT('ATP Fills'!I2238,4))</f>
        <v/>
      </c>
      <c r="L2238" t="str">
        <f>IF(A2238="","",IF('ATP Fills'!G2238="LME",'ATP Fills'!I2238,""))</f>
        <v/>
      </c>
      <c r="M2238" t="str">
        <f t="shared" si="34"/>
        <v/>
      </c>
    </row>
    <row r="2239" spans="1:13">
      <c r="A2239" t="str">
        <f>IF('ATP Fills'!A2239="","",IF('ATP Fills'!Q2239="PHILLIPSG",'ATP Fills'!F2239,""))</f>
        <v/>
      </c>
      <c r="B2239" t="str">
        <f>IF(A2239="","",'ATP Fills'!L2239)</f>
        <v/>
      </c>
      <c r="C2239" t="str">
        <f>IF(A2239="","",'ATP Fills'!M2239)</f>
        <v/>
      </c>
      <c r="D2239" t="str">
        <f>IF(A2239="","",'ATP Fills'!B2239)</f>
        <v/>
      </c>
      <c r="E2239" s="3" t="str">
        <f>IF(A2239="","",IF(DATE(LEFT(D2239,4),MID(D2239,5,2),RIGHT(D2239,2))=Helper1!$P$1,Helper1!$P$1,""))</f>
        <v/>
      </c>
      <c r="F2239" s="3" t="str">
        <f>IF(A2239="","",'ATP Fills'!G2239)</f>
        <v/>
      </c>
      <c r="G2239" t="str">
        <f>IF(A2239="","",'ATP Fills'!H2239)</f>
        <v/>
      </c>
      <c r="H2239" t="str">
        <f>IF(A2239="","",VLOOKUP(G2239,表3_3[],2,0))</f>
        <v/>
      </c>
      <c r="I2239" t="str">
        <f>IF(A2239="","",VLOOKUP(G2239,表3_3[],3,0))</f>
        <v/>
      </c>
      <c r="J2239" t="str">
        <f>IF(A2239="","",IF('ATP Fills'!I2239="3M","",VLOOKUP(RIGHT('ATP Fills'!I2239,2),Helper1!$O$36:$P$48,2,0)))</f>
        <v/>
      </c>
      <c r="K2239" t="str">
        <f>IF(J2239="","",LEFT('ATP Fills'!I2239,4))</f>
        <v/>
      </c>
      <c r="L2239" t="str">
        <f>IF(A2239="","",IF('ATP Fills'!G2239="LME",'ATP Fills'!I2239,""))</f>
        <v/>
      </c>
      <c r="M2239" t="str">
        <f t="shared" si="34"/>
        <v/>
      </c>
    </row>
    <row r="2240" spans="1:13">
      <c r="A2240" t="str">
        <f>IF('ATP Fills'!A2240="","",IF('ATP Fills'!Q2240="PHILLIPSG",'ATP Fills'!F2240,""))</f>
        <v/>
      </c>
      <c r="B2240" t="str">
        <f>IF(A2240="","",'ATP Fills'!L2240)</f>
        <v/>
      </c>
      <c r="C2240" t="str">
        <f>IF(A2240="","",'ATP Fills'!M2240)</f>
        <v/>
      </c>
      <c r="D2240" t="str">
        <f>IF(A2240="","",'ATP Fills'!B2240)</f>
        <v/>
      </c>
      <c r="E2240" s="3" t="str">
        <f>IF(A2240="","",IF(DATE(LEFT(D2240,4),MID(D2240,5,2),RIGHT(D2240,2))=Helper1!$P$1,Helper1!$P$1,""))</f>
        <v/>
      </c>
      <c r="F2240" s="3" t="str">
        <f>IF(A2240="","",'ATP Fills'!G2240)</f>
        <v/>
      </c>
      <c r="G2240" t="str">
        <f>IF(A2240="","",'ATP Fills'!H2240)</f>
        <v/>
      </c>
      <c r="H2240" t="str">
        <f>IF(A2240="","",VLOOKUP(G2240,表3_3[],2,0))</f>
        <v/>
      </c>
      <c r="I2240" t="str">
        <f>IF(A2240="","",VLOOKUP(G2240,表3_3[],3,0))</f>
        <v/>
      </c>
      <c r="J2240" t="str">
        <f>IF(A2240="","",IF('ATP Fills'!I2240="3M","",VLOOKUP(RIGHT('ATP Fills'!I2240,2),Helper1!$O$36:$P$48,2,0)))</f>
        <v/>
      </c>
      <c r="K2240" t="str">
        <f>IF(J2240="","",LEFT('ATP Fills'!I2240,4))</f>
        <v/>
      </c>
      <c r="L2240" t="str">
        <f>IF(A2240="","",IF('ATP Fills'!G2240="LME",'ATP Fills'!I2240,""))</f>
        <v/>
      </c>
      <c r="M2240" t="str">
        <f t="shared" si="34"/>
        <v/>
      </c>
    </row>
    <row r="2241" spans="1:13">
      <c r="A2241" t="str">
        <f>IF('ATP Fills'!A2241="","",IF('ATP Fills'!Q2241="PHILLIPSG",'ATP Fills'!F2241,""))</f>
        <v/>
      </c>
      <c r="B2241" t="str">
        <f>IF(A2241="","",'ATP Fills'!L2241)</f>
        <v/>
      </c>
      <c r="C2241" t="str">
        <f>IF(A2241="","",'ATP Fills'!M2241)</f>
        <v/>
      </c>
      <c r="D2241" t="str">
        <f>IF(A2241="","",'ATP Fills'!B2241)</f>
        <v/>
      </c>
      <c r="E2241" s="3" t="str">
        <f>IF(A2241="","",IF(DATE(LEFT(D2241,4),MID(D2241,5,2),RIGHT(D2241,2))=Helper1!$P$1,Helper1!$P$1,""))</f>
        <v/>
      </c>
      <c r="F2241" s="3" t="str">
        <f>IF(A2241="","",'ATP Fills'!G2241)</f>
        <v/>
      </c>
      <c r="G2241" t="str">
        <f>IF(A2241="","",'ATP Fills'!H2241)</f>
        <v/>
      </c>
      <c r="H2241" t="str">
        <f>IF(A2241="","",VLOOKUP(G2241,表3_3[],2,0))</f>
        <v/>
      </c>
      <c r="I2241" t="str">
        <f>IF(A2241="","",VLOOKUP(G2241,表3_3[],3,0))</f>
        <v/>
      </c>
      <c r="J2241" t="str">
        <f>IF(A2241="","",IF('ATP Fills'!I2241="3M","",VLOOKUP(RIGHT('ATP Fills'!I2241,2),Helper1!$O$36:$P$48,2,0)))</f>
        <v/>
      </c>
      <c r="K2241" t="str">
        <f>IF(J2241="","",LEFT('ATP Fills'!I2241,4))</f>
        <v/>
      </c>
      <c r="L2241" t="str">
        <f>IF(A2241="","",IF('ATP Fills'!G2241="LME",'ATP Fills'!I2241,""))</f>
        <v/>
      </c>
      <c r="M2241" t="str">
        <f t="shared" si="34"/>
        <v/>
      </c>
    </row>
    <row r="2242" spans="1:13">
      <c r="A2242" t="str">
        <f>IF('ATP Fills'!A2242="","",IF('ATP Fills'!Q2242="PHILLIPSG",'ATP Fills'!F2242,""))</f>
        <v/>
      </c>
      <c r="B2242" t="str">
        <f>IF(A2242="","",'ATP Fills'!L2242)</f>
        <v/>
      </c>
      <c r="C2242" t="str">
        <f>IF(A2242="","",'ATP Fills'!M2242)</f>
        <v/>
      </c>
      <c r="D2242" t="str">
        <f>IF(A2242="","",'ATP Fills'!B2242)</f>
        <v/>
      </c>
      <c r="E2242" s="3" t="str">
        <f>IF(A2242="","",IF(DATE(LEFT(D2242,4),MID(D2242,5,2),RIGHT(D2242,2))=Helper1!$P$1,Helper1!$P$1,""))</f>
        <v/>
      </c>
      <c r="F2242" s="3" t="str">
        <f>IF(A2242="","",'ATP Fills'!G2242)</f>
        <v/>
      </c>
      <c r="G2242" t="str">
        <f>IF(A2242="","",'ATP Fills'!H2242)</f>
        <v/>
      </c>
      <c r="H2242" t="str">
        <f>IF(A2242="","",VLOOKUP(G2242,表3_3[],2,0))</f>
        <v/>
      </c>
      <c r="I2242" t="str">
        <f>IF(A2242="","",VLOOKUP(G2242,表3_3[],3,0))</f>
        <v/>
      </c>
      <c r="J2242" t="str">
        <f>IF(A2242="","",IF('ATP Fills'!I2242="3M","",VLOOKUP(RIGHT('ATP Fills'!I2242,2),Helper1!$O$36:$P$48,2,0)))</f>
        <v/>
      </c>
      <c r="K2242" t="str">
        <f>IF(J2242="","",LEFT('ATP Fills'!I2242,4))</f>
        <v/>
      </c>
      <c r="L2242" t="str">
        <f>IF(A2242="","",IF('ATP Fills'!G2242="LME",'ATP Fills'!I2242,""))</f>
        <v/>
      </c>
      <c r="M2242" t="str">
        <f t="shared" si="34"/>
        <v/>
      </c>
    </row>
    <row r="2243" spans="1:13">
      <c r="A2243" t="str">
        <f>IF('ATP Fills'!A2243="","",IF('ATP Fills'!Q2243="PHILLIPSG",'ATP Fills'!F2243,""))</f>
        <v/>
      </c>
      <c r="B2243" t="str">
        <f>IF(A2243="","",'ATP Fills'!L2243)</f>
        <v/>
      </c>
      <c r="C2243" t="str">
        <f>IF(A2243="","",'ATP Fills'!M2243)</f>
        <v/>
      </c>
      <c r="D2243" t="str">
        <f>IF(A2243="","",'ATP Fills'!B2243)</f>
        <v/>
      </c>
      <c r="E2243" s="3" t="str">
        <f>IF(A2243="","",IF(DATE(LEFT(D2243,4),MID(D2243,5,2),RIGHT(D2243,2))=Helper1!$P$1,Helper1!$P$1,""))</f>
        <v/>
      </c>
      <c r="F2243" s="3" t="str">
        <f>IF(A2243="","",'ATP Fills'!G2243)</f>
        <v/>
      </c>
      <c r="G2243" t="str">
        <f>IF(A2243="","",'ATP Fills'!H2243)</f>
        <v/>
      </c>
      <c r="H2243" t="str">
        <f>IF(A2243="","",VLOOKUP(G2243,表3_3[],2,0))</f>
        <v/>
      </c>
      <c r="I2243" t="str">
        <f>IF(A2243="","",VLOOKUP(G2243,表3_3[],3,0))</f>
        <v/>
      </c>
      <c r="J2243" t="str">
        <f>IF(A2243="","",IF('ATP Fills'!I2243="3M","",VLOOKUP(RIGHT('ATP Fills'!I2243,2),Helper1!$O$36:$P$48,2,0)))</f>
        <v/>
      </c>
      <c r="K2243" t="str">
        <f>IF(J2243="","",LEFT('ATP Fills'!I2243,4))</f>
        <v/>
      </c>
      <c r="L2243" t="str">
        <f>IF(A2243="","",IF('ATP Fills'!G2243="LME",'ATP Fills'!I2243,""))</f>
        <v/>
      </c>
      <c r="M2243" t="str">
        <f t="shared" ref="M2243:M2306" si="35">IF(A2243="","",IF(F2243="LME",F2243&amp;"-"&amp;I2243&amp;"-"&amp;L2243,J2243&amp;"-"&amp;K2243&amp;"-"&amp;I2243))</f>
        <v/>
      </c>
    </row>
    <row r="2244" spans="1:13">
      <c r="A2244" t="str">
        <f>IF('ATP Fills'!A2244="","",IF('ATP Fills'!Q2244="PHILLIPSG",'ATP Fills'!F2244,""))</f>
        <v/>
      </c>
      <c r="B2244" t="str">
        <f>IF(A2244="","",'ATP Fills'!L2244)</f>
        <v/>
      </c>
      <c r="C2244" t="str">
        <f>IF(A2244="","",'ATP Fills'!M2244)</f>
        <v/>
      </c>
      <c r="D2244" t="str">
        <f>IF(A2244="","",'ATP Fills'!B2244)</f>
        <v/>
      </c>
      <c r="E2244" s="3" t="str">
        <f>IF(A2244="","",IF(DATE(LEFT(D2244,4),MID(D2244,5,2),RIGHT(D2244,2))=Helper1!$P$1,Helper1!$P$1,""))</f>
        <v/>
      </c>
      <c r="F2244" s="3" t="str">
        <f>IF(A2244="","",'ATP Fills'!G2244)</f>
        <v/>
      </c>
      <c r="G2244" t="str">
        <f>IF(A2244="","",'ATP Fills'!H2244)</f>
        <v/>
      </c>
      <c r="H2244" t="str">
        <f>IF(A2244="","",VLOOKUP(G2244,表3_3[],2,0))</f>
        <v/>
      </c>
      <c r="I2244" t="str">
        <f>IF(A2244="","",VLOOKUP(G2244,表3_3[],3,0))</f>
        <v/>
      </c>
      <c r="J2244" t="str">
        <f>IF(A2244="","",IF('ATP Fills'!I2244="3M","",VLOOKUP(RIGHT('ATP Fills'!I2244,2),Helper1!$O$36:$P$48,2,0)))</f>
        <v/>
      </c>
      <c r="K2244" t="str">
        <f>IF(J2244="","",LEFT('ATP Fills'!I2244,4))</f>
        <v/>
      </c>
      <c r="L2244" t="str">
        <f>IF(A2244="","",IF('ATP Fills'!G2244="LME",'ATP Fills'!I2244,""))</f>
        <v/>
      </c>
      <c r="M2244" t="str">
        <f t="shared" si="35"/>
        <v/>
      </c>
    </row>
    <row r="2245" spans="1:13">
      <c r="A2245" t="str">
        <f>IF('ATP Fills'!A2245="","",IF('ATP Fills'!Q2245="PHILLIPSG",'ATP Fills'!F2245,""))</f>
        <v/>
      </c>
      <c r="B2245" t="str">
        <f>IF(A2245="","",'ATP Fills'!L2245)</f>
        <v/>
      </c>
      <c r="C2245" t="str">
        <f>IF(A2245="","",'ATP Fills'!M2245)</f>
        <v/>
      </c>
      <c r="D2245" t="str">
        <f>IF(A2245="","",'ATP Fills'!B2245)</f>
        <v/>
      </c>
      <c r="E2245" s="3" t="str">
        <f>IF(A2245="","",IF(DATE(LEFT(D2245,4),MID(D2245,5,2),RIGHT(D2245,2))=Helper1!$P$1,Helper1!$P$1,""))</f>
        <v/>
      </c>
      <c r="F2245" s="3" t="str">
        <f>IF(A2245="","",'ATP Fills'!G2245)</f>
        <v/>
      </c>
      <c r="G2245" t="str">
        <f>IF(A2245="","",'ATP Fills'!H2245)</f>
        <v/>
      </c>
      <c r="H2245" t="str">
        <f>IF(A2245="","",VLOOKUP(G2245,表3_3[],2,0))</f>
        <v/>
      </c>
      <c r="I2245" t="str">
        <f>IF(A2245="","",VLOOKUP(G2245,表3_3[],3,0))</f>
        <v/>
      </c>
      <c r="J2245" t="str">
        <f>IF(A2245="","",IF('ATP Fills'!I2245="3M","",VLOOKUP(RIGHT('ATP Fills'!I2245,2),Helper1!$O$36:$P$48,2,0)))</f>
        <v/>
      </c>
      <c r="K2245" t="str">
        <f>IF(J2245="","",LEFT('ATP Fills'!I2245,4))</f>
        <v/>
      </c>
      <c r="L2245" t="str">
        <f>IF(A2245="","",IF('ATP Fills'!G2245="LME",'ATP Fills'!I2245,""))</f>
        <v/>
      </c>
      <c r="M2245" t="str">
        <f t="shared" si="35"/>
        <v/>
      </c>
    </row>
    <row r="2246" spans="1:13">
      <c r="A2246" t="str">
        <f>IF('ATP Fills'!A2246="","",IF('ATP Fills'!Q2246="PHILLIPSG",'ATP Fills'!F2246,""))</f>
        <v/>
      </c>
      <c r="B2246" t="str">
        <f>IF(A2246="","",'ATP Fills'!L2246)</f>
        <v/>
      </c>
      <c r="C2246" t="str">
        <f>IF(A2246="","",'ATP Fills'!M2246)</f>
        <v/>
      </c>
      <c r="D2246" t="str">
        <f>IF(A2246="","",'ATP Fills'!B2246)</f>
        <v/>
      </c>
      <c r="E2246" s="3" t="str">
        <f>IF(A2246="","",IF(DATE(LEFT(D2246,4),MID(D2246,5,2),RIGHT(D2246,2))=Helper1!$P$1,Helper1!$P$1,""))</f>
        <v/>
      </c>
      <c r="F2246" s="3" t="str">
        <f>IF(A2246="","",'ATP Fills'!G2246)</f>
        <v/>
      </c>
      <c r="G2246" t="str">
        <f>IF(A2246="","",'ATP Fills'!H2246)</f>
        <v/>
      </c>
      <c r="H2246" t="str">
        <f>IF(A2246="","",VLOOKUP(G2246,表3_3[],2,0))</f>
        <v/>
      </c>
      <c r="I2246" t="str">
        <f>IF(A2246="","",VLOOKUP(G2246,表3_3[],3,0))</f>
        <v/>
      </c>
      <c r="J2246" t="str">
        <f>IF(A2246="","",IF('ATP Fills'!I2246="3M","",VLOOKUP(RIGHT('ATP Fills'!I2246,2),Helper1!$O$36:$P$48,2,0)))</f>
        <v/>
      </c>
      <c r="K2246" t="str">
        <f>IF(J2246="","",LEFT('ATP Fills'!I2246,4))</f>
        <v/>
      </c>
      <c r="L2246" t="str">
        <f>IF(A2246="","",IF('ATP Fills'!G2246="LME",'ATP Fills'!I2246,""))</f>
        <v/>
      </c>
      <c r="M2246" t="str">
        <f t="shared" si="35"/>
        <v/>
      </c>
    </row>
    <row r="2247" spans="1:13">
      <c r="A2247" t="str">
        <f>IF('ATP Fills'!A2247="","",IF('ATP Fills'!Q2247="PHILLIPSG",'ATP Fills'!F2247,""))</f>
        <v/>
      </c>
      <c r="B2247" t="str">
        <f>IF(A2247="","",'ATP Fills'!L2247)</f>
        <v/>
      </c>
      <c r="C2247" t="str">
        <f>IF(A2247="","",'ATP Fills'!M2247)</f>
        <v/>
      </c>
      <c r="D2247" t="str">
        <f>IF(A2247="","",'ATP Fills'!B2247)</f>
        <v/>
      </c>
      <c r="E2247" s="3" t="str">
        <f>IF(A2247="","",IF(DATE(LEFT(D2247,4),MID(D2247,5,2),RIGHT(D2247,2))=Helper1!$P$1,Helper1!$P$1,""))</f>
        <v/>
      </c>
      <c r="F2247" s="3" t="str">
        <f>IF(A2247="","",'ATP Fills'!G2247)</f>
        <v/>
      </c>
      <c r="G2247" t="str">
        <f>IF(A2247="","",'ATP Fills'!H2247)</f>
        <v/>
      </c>
      <c r="H2247" t="str">
        <f>IF(A2247="","",VLOOKUP(G2247,表3_3[],2,0))</f>
        <v/>
      </c>
      <c r="I2247" t="str">
        <f>IF(A2247="","",VLOOKUP(G2247,表3_3[],3,0))</f>
        <v/>
      </c>
      <c r="J2247" t="str">
        <f>IF(A2247="","",IF('ATP Fills'!I2247="3M","",VLOOKUP(RIGHT('ATP Fills'!I2247,2),Helper1!$O$36:$P$48,2,0)))</f>
        <v/>
      </c>
      <c r="K2247" t="str">
        <f>IF(J2247="","",LEFT('ATP Fills'!I2247,4))</f>
        <v/>
      </c>
      <c r="L2247" t="str">
        <f>IF(A2247="","",IF('ATP Fills'!G2247="LME",'ATP Fills'!I2247,""))</f>
        <v/>
      </c>
      <c r="M2247" t="str">
        <f t="shared" si="35"/>
        <v/>
      </c>
    </row>
    <row r="2248" spans="1:13">
      <c r="A2248" t="str">
        <f>IF('ATP Fills'!A2248="","",IF('ATP Fills'!Q2248="PHILLIPSG",'ATP Fills'!F2248,""))</f>
        <v/>
      </c>
      <c r="B2248" t="str">
        <f>IF(A2248="","",'ATP Fills'!L2248)</f>
        <v/>
      </c>
      <c r="C2248" t="str">
        <f>IF(A2248="","",'ATP Fills'!M2248)</f>
        <v/>
      </c>
      <c r="D2248" t="str">
        <f>IF(A2248="","",'ATP Fills'!B2248)</f>
        <v/>
      </c>
      <c r="E2248" s="3" t="str">
        <f>IF(A2248="","",IF(DATE(LEFT(D2248,4),MID(D2248,5,2),RIGHT(D2248,2))=Helper1!$P$1,Helper1!$P$1,""))</f>
        <v/>
      </c>
      <c r="F2248" s="3" t="str">
        <f>IF(A2248="","",'ATP Fills'!G2248)</f>
        <v/>
      </c>
      <c r="G2248" t="str">
        <f>IF(A2248="","",'ATP Fills'!H2248)</f>
        <v/>
      </c>
      <c r="H2248" t="str">
        <f>IF(A2248="","",VLOOKUP(G2248,表3_3[],2,0))</f>
        <v/>
      </c>
      <c r="I2248" t="str">
        <f>IF(A2248="","",VLOOKUP(G2248,表3_3[],3,0))</f>
        <v/>
      </c>
      <c r="J2248" t="str">
        <f>IF(A2248="","",IF('ATP Fills'!I2248="3M","",VLOOKUP(RIGHT('ATP Fills'!I2248,2),Helper1!$O$36:$P$48,2,0)))</f>
        <v/>
      </c>
      <c r="K2248" t="str">
        <f>IF(J2248="","",LEFT('ATP Fills'!I2248,4))</f>
        <v/>
      </c>
      <c r="L2248" t="str">
        <f>IF(A2248="","",IF('ATP Fills'!G2248="LME",'ATP Fills'!I2248,""))</f>
        <v/>
      </c>
      <c r="M2248" t="str">
        <f t="shared" si="35"/>
        <v/>
      </c>
    </row>
    <row r="2249" spans="1:13">
      <c r="A2249" t="str">
        <f>IF('ATP Fills'!A2249="","",IF('ATP Fills'!Q2249="PHILLIPSG",'ATP Fills'!F2249,""))</f>
        <v/>
      </c>
      <c r="B2249" t="str">
        <f>IF(A2249="","",'ATP Fills'!L2249)</f>
        <v/>
      </c>
      <c r="C2249" t="str">
        <f>IF(A2249="","",'ATP Fills'!M2249)</f>
        <v/>
      </c>
      <c r="D2249" t="str">
        <f>IF(A2249="","",'ATP Fills'!B2249)</f>
        <v/>
      </c>
      <c r="E2249" s="3" t="str">
        <f>IF(A2249="","",IF(DATE(LEFT(D2249,4),MID(D2249,5,2),RIGHT(D2249,2))=Helper1!$P$1,Helper1!$P$1,""))</f>
        <v/>
      </c>
      <c r="F2249" s="3" t="str">
        <f>IF(A2249="","",'ATP Fills'!G2249)</f>
        <v/>
      </c>
      <c r="G2249" t="str">
        <f>IF(A2249="","",'ATP Fills'!H2249)</f>
        <v/>
      </c>
      <c r="H2249" t="str">
        <f>IF(A2249="","",VLOOKUP(G2249,表3_3[],2,0))</f>
        <v/>
      </c>
      <c r="I2249" t="str">
        <f>IF(A2249="","",VLOOKUP(G2249,表3_3[],3,0))</f>
        <v/>
      </c>
      <c r="J2249" t="str">
        <f>IF(A2249="","",IF('ATP Fills'!I2249="3M","",VLOOKUP(RIGHT('ATP Fills'!I2249,2),Helper1!$O$36:$P$48,2,0)))</f>
        <v/>
      </c>
      <c r="K2249" t="str">
        <f>IF(J2249="","",LEFT('ATP Fills'!I2249,4))</f>
        <v/>
      </c>
      <c r="L2249" t="str">
        <f>IF(A2249="","",IF('ATP Fills'!G2249="LME",'ATP Fills'!I2249,""))</f>
        <v/>
      </c>
      <c r="M2249" t="str">
        <f t="shared" si="35"/>
        <v/>
      </c>
    </row>
    <row r="2250" spans="1:13">
      <c r="A2250" t="str">
        <f>IF('ATP Fills'!A2250="","",IF('ATP Fills'!Q2250="PHILLIPSG",'ATP Fills'!F2250,""))</f>
        <v/>
      </c>
      <c r="B2250" t="str">
        <f>IF(A2250="","",'ATP Fills'!L2250)</f>
        <v/>
      </c>
      <c r="C2250" t="str">
        <f>IF(A2250="","",'ATP Fills'!M2250)</f>
        <v/>
      </c>
      <c r="D2250" t="str">
        <f>IF(A2250="","",'ATP Fills'!B2250)</f>
        <v/>
      </c>
      <c r="E2250" s="3" t="str">
        <f>IF(A2250="","",IF(DATE(LEFT(D2250,4),MID(D2250,5,2),RIGHT(D2250,2))=Helper1!$P$1,Helper1!$P$1,""))</f>
        <v/>
      </c>
      <c r="F2250" s="3" t="str">
        <f>IF(A2250="","",'ATP Fills'!G2250)</f>
        <v/>
      </c>
      <c r="G2250" t="str">
        <f>IF(A2250="","",'ATP Fills'!H2250)</f>
        <v/>
      </c>
      <c r="H2250" t="str">
        <f>IF(A2250="","",VLOOKUP(G2250,表3_3[],2,0))</f>
        <v/>
      </c>
      <c r="I2250" t="str">
        <f>IF(A2250="","",VLOOKUP(G2250,表3_3[],3,0))</f>
        <v/>
      </c>
      <c r="J2250" t="str">
        <f>IF(A2250="","",IF('ATP Fills'!I2250="3M","",VLOOKUP(RIGHT('ATP Fills'!I2250,2),Helper1!$O$36:$P$48,2,0)))</f>
        <v/>
      </c>
      <c r="K2250" t="str">
        <f>IF(J2250="","",LEFT('ATP Fills'!I2250,4))</f>
        <v/>
      </c>
      <c r="L2250" t="str">
        <f>IF(A2250="","",IF('ATP Fills'!G2250="LME",'ATP Fills'!I2250,""))</f>
        <v/>
      </c>
      <c r="M2250" t="str">
        <f t="shared" si="35"/>
        <v/>
      </c>
    </row>
    <row r="2251" spans="1:13">
      <c r="A2251" t="str">
        <f>IF('ATP Fills'!A2251="","",IF('ATP Fills'!Q2251="PHILLIPSG",'ATP Fills'!F2251,""))</f>
        <v/>
      </c>
      <c r="B2251" t="str">
        <f>IF(A2251="","",'ATP Fills'!L2251)</f>
        <v/>
      </c>
      <c r="C2251" t="str">
        <f>IF(A2251="","",'ATP Fills'!M2251)</f>
        <v/>
      </c>
      <c r="D2251" t="str">
        <f>IF(A2251="","",'ATP Fills'!B2251)</f>
        <v/>
      </c>
      <c r="E2251" s="3" t="str">
        <f>IF(A2251="","",IF(DATE(LEFT(D2251,4),MID(D2251,5,2),RIGHT(D2251,2))=Helper1!$P$1,Helper1!$P$1,""))</f>
        <v/>
      </c>
      <c r="F2251" s="3" t="str">
        <f>IF(A2251="","",'ATP Fills'!G2251)</f>
        <v/>
      </c>
      <c r="G2251" t="str">
        <f>IF(A2251="","",'ATP Fills'!H2251)</f>
        <v/>
      </c>
      <c r="H2251" t="str">
        <f>IF(A2251="","",VLOOKUP(G2251,表3_3[],2,0))</f>
        <v/>
      </c>
      <c r="I2251" t="str">
        <f>IF(A2251="","",VLOOKUP(G2251,表3_3[],3,0))</f>
        <v/>
      </c>
      <c r="J2251" t="str">
        <f>IF(A2251="","",IF('ATP Fills'!I2251="3M","",VLOOKUP(RIGHT('ATP Fills'!I2251,2),Helper1!$O$36:$P$48,2,0)))</f>
        <v/>
      </c>
      <c r="K2251" t="str">
        <f>IF(J2251="","",LEFT('ATP Fills'!I2251,4))</f>
        <v/>
      </c>
      <c r="L2251" t="str">
        <f>IF(A2251="","",IF('ATP Fills'!G2251="LME",'ATP Fills'!I2251,""))</f>
        <v/>
      </c>
      <c r="M2251" t="str">
        <f t="shared" si="35"/>
        <v/>
      </c>
    </row>
    <row r="2252" spans="1:13">
      <c r="A2252" t="str">
        <f>IF('ATP Fills'!A2252="","",IF('ATP Fills'!Q2252="PHILLIPSG",'ATP Fills'!F2252,""))</f>
        <v/>
      </c>
      <c r="B2252" t="str">
        <f>IF(A2252="","",'ATP Fills'!L2252)</f>
        <v/>
      </c>
      <c r="C2252" t="str">
        <f>IF(A2252="","",'ATP Fills'!M2252)</f>
        <v/>
      </c>
      <c r="D2252" t="str">
        <f>IF(A2252="","",'ATP Fills'!B2252)</f>
        <v/>
      </c>
      <c r="E2252" s="3" t="str">
        <f>IF(A2252="","",IF(DATE(LEFT(D2252,4),MID(D2252,5,2),RIGHT(D2252,2))=Helper1!$P$1,Helper1!$P$1,""))</f>
        <v/>
      </c>
      <c r="F2252" s="3" t="str">
        <f>IF(A2252="","",'ATP Fills'!G2252)</f>
        <v/>
      </c>
      <c r="G2252" t="str">
        <f>IF(A2252="","",'ATP Fills'!H2252)</f>
        <v/>
      </c>
      <c r="H2252" t="str">
        <f>IF(A2252="","",VLOOKUP(G2252,表3_3[],2,0))</f>
        <v/>
      </c>
      <c r="I2252" t="str">
        <f>IF(A2252="","",VLOOKUP(G2252,表3_3[],3,0))</f>
        <v/>
      </c>
      <c r="J2252" t="str">
        <f>IF(A2252="","",IF('ATP Fills'!I2252="3M","",VLOOKUP(RIGHT('ATP Fills'!I2252,2),Helper1!$O$36:$P$48,2,0)))</f>
        <v/>
      </c>
      <c r="K2252" t="str">
        <f>IF(J2252="","",LEFT('ATP Fills'!I2252,4))</f>
        <v/>
      </c>
      <c r="L2252" t="str">
        <f>IF(A2252="","",IF('ATP Fills'!G2252="LME",'ATP Fills'!I2252,""))</f>
        <v/>
      </c>
      <c r="M2252" t="str">
        <f t="shared" si="35"/>
        <v/>
      </c>
    </row>
    <row r="2253" spans="1:13">
      <c r="A2253" t="str">
        <f>IF('ATP Fills'!A2253="","",IF('ATP Fills'!Q2253="PHILLIPSG",'ATP Fills'!F2253,""))</f>
        <v/>
      </c>
      <c r="B2253" t="str">
        <f>IF(A2253="","",'ATP Fills'!L2253)</f>
        <v/>
      </c>
      <c r="C2253" t="str">
        <f>IF(A2253="","",'ATP Fills'!M2253)</f>
        <v/>
      </c>
      <c r="D2253" t="str">
        <f>IF(A2253="","",'ATP Fills'!B2253)</f>
        <v/>
      </c>
      <c r="E2253" s="3" t="str">
        <f>IF(A2253="","",IF(DATE(LEFT(D2253,4),MID(D2253,5,2),RIGHT(D2253,2))=Helper1!$P$1,Helper1!$P$1,""))</f>
        <v/>
      </c>
      <c r="F2253" s="3" t="str">
        <f>IF(A2253="","",'ATP Fills'!G2253)</f>
        <v/>
      </c>
      <c r="G2253" t="str">
        <f>IF(A2253="","",'ATP Fills'!H2253)</f>
        <v/>
      </c>
      <c r="H2253" t="str">
        <f>IF(A2253="","",VLOOKUP(G2253,表3_3[],2,0))</f>
        <v/>
      </c>
      <c r="I2253" t="str">
        <f>IF(A2253="","",VLOOKUP(G2253,表3_3[],3,0))</f>
        <v/>
      </c>
      <c r="J2253" t="str">
        <f>IF(A2253="","",IF('ATP Fills'!I2253="3M","",VLOOKUP(RIGHT('ATP Fills'!I2253,2),Helper1!$O$36:$P$48,2,0)))</f>
        <v/>
      </c>
      <c r="K2253" t="str">
        <f>IF(J2253="","",LEFT('ATP Fills'!I2253,4))</f>
        <v/>
      </c>
      <c r="L2253" t="str">
        <f>IF(A2253="","",IF('ATP Fills'!G2253="LME",'ATP Fills'!I2253,""))</f>
        <v/>
      </c>
      <c r="M2253" t="str">
        <f t="shared" si="35"/>
        <v/>
      </c>
    </row>
    <row r="2254" spans="1:13">
      <c r="A2254" t="str">
        <f>IF('ATP Fills'!A2254="","",IF('ATP Fills'!Q2254="PHILLIPSG",'ATP Fills'!F2254,""))</f>
        <v/>
      </c>
      <c r="B2254" t="str">
        <f>IF(A2254="","",'ATP Fills'!L2254)</f>
        <v/>
      </c>
      <c r="C2254" t="str">
        <f>IF(A2254="","",'ATP Fills'!M2254)</f>
        <v/>
      </c>
      <c r="D2254" t="str">
        <f>IF(A2254="","",'ATP Fills'!B2254)</f>
        <v/>
      </c>
      <c r="E2254" s="3" t="str">
        <f>IF(A2254="","",IF(DATE(LEFT(D2254,4),MID(D2254,5,2),RIGHT(D2254,2))=Helper1!$P$1,Helper1!$P$1,""))</f>
        <v/>
      </c>
      <c r="F2254" s="3" t="str">
        <f>IF(A2254="","",'ATP Fills'!G2254)</f>
        <v/>
      </c>
      <c r="G2254" t="str">
        <f>IF(A2254="","",'ATP Fills'!H2254)</f>
        <v/>
      </c>
      <c r="H2254" t="str">
        <f>IF(A2254="","",VLOOKUP(G2254,表3_3[],2,0))</f>
        <v/>
      </c>
      <c r="I2254" t="str">
        <f>IF(A2254="","",VLOOKUP(G2254,表3_3[],3,0))</f>
        <v/>
      </c>
      <c r="J2254" t="str">
        <f>IF(A2254="","",IF('ATP Fills'!I2254="3M","",VLOOKUP(RIGHT('ATP Fills'!I2254,2),Helper1!$O$36:$P$48,2,0)))</f>
        <v/>
      </c>
      <c r="K2254" t="str">
        <f>IF(J2254="","",LEFT('ATP Fills'!I2254,4))</f>
        <v/>
      </c>
      <c r="L2254" t="str">
        <f>IF(A2254="","",IF('ATP Fills'!G2254="LME",'ATP Fills'!I2254,""))</f>
        <v/>
      </c>
      <c r="M2254" t="str">
        <f t="shared" si="35"/>
        <v/>
      </c>
    </row>
    <row r="2255" spans="1:13">
      <c r="A2255" t="str">
        <f>IF('ATP Fills'!A2255="","",IF('ATP Fills'!Q2255="PHILLIPSG",'ATP Fills'!F2255,""))</f>
        <v/>
      </c>
      <c r="B2255" t="str">
        <f>IF(A2255="","",'ATP Fills'!L2255)</f>
        <v/>
      </c>
      <c r="C2255" t="str">
        <f>IF(A2255="","",'ATP Fills'!M2255)</f>
        <v/>
      </c>
      <c r="D2255" t="str">
        <f>IF(A2255="","",'ATP Fills'!B2255)</f>
        <v/>
      </c>
      <c r="E2255" s="3" t="str">
        <f>IF(A2255="","",IF(DATE(LEFT(D2255,4),MID(D2255,5,2),RIGHT(D2255,2))=Helper1!$P$1,Helper1!$P$1,""))</f>
        <v/>
      </c>
      <c r="F2255" s="3" t="str">
        <f>IF(A2255="","",'ATP Fills'!G2255)</f>
        <v/>
      </c>
      <c r="G2255" t="str">
        <f>IF(A2255="","",'ATP Fills'!H2255)</f>
        <v/>
      </c>
      <c r="H2255" t="str">
        <f>IF(A2255="","",VLOOKUP(G2255,表3_3[],2,0))</f>
        <v/>
      </c>
      <c r="I2255" t="str">
        <f>IF(A2255="","",VLOOKUP(G2255,表3_3[],3,0))</f>
        <v/>
      </c>
      <c r="J2255" t="str">
        <f>IF(A2255="","",IF('ATP Fills'!I2255="3M","",VLOOKUP(RIGHT('ATP Fills'!I2255,2),Helper1!$O$36:$P$48,2,0)))</f>
        <v/>
      </c>
      <c r="K2255" t="str">
        <f>IF(J2255="","",LEFT('ATP Fills'!I2255,4))</f>
        <v/>
      </c>
      <c r="L2255" t="str">
        <f>IF(A2255="","",IF('ATP Fills'!G2255="LME",'ATP Fills'!I2255,""))</f>
        <v/>
      </c>
      <c r="M2255" t="str">
        <f t="shared" si="35"/>
        <v/>
      </c>
    </row>
    <row r="2256" spans="1:13">
      <c r="A2256" t="str">
        <f>IF('ATP Fills'!A2256="","",IF('ATP Fills'!Q2256="PHILLIPSG",'ATP Fills'!F2256,""))</f>
        <v/>
      </c>
      <c r="B2256" t="str">
        <f>IF(A2256="","",'ATP Fills'!L2256)</f>
        <v/>
      </c>
      <c r="C2256" t="str">
        <f>IF(A2256="","",'ATP Fills'!M2256)</f>
        <v/>
      </c>
      <c r="D2256" t="str">
        <f>IF(A2256="","",'ATP Fills'!B2256)</f>
        <v/>
      </c>
      <c r="E2256" s="3" t="str">
        <f>IF(A2256="","",IF(DATE(LEFT(D2256,4),MID(D2256,5,2),RIGHT(D2256,2))=Helper1!$P$1,Helper1!$P$1,""))</f>
        <v/>
      </c>
      <c r="F2256" s="3" t="str">
        <f>IF(A2256="","",'ATP Fills'!G2256)</f>
        <v/>
      </c>
      <c r="G2256" t="str">
        <f>IF(A2256="","",'ATP Fills'!H2256)</f>
        <v/>
      </c>
      <c r="H2256" t="str">
        <f>IF(A2256="","",VLOOKUP(G2256,表3_3[],2,0))</f>
        <v/>
      </c>
      <c r="I2256" t="str">
        <f>IF(A2256="","",VLOOKUP(G2256,表3_3[],3,0))</f>
        <v/>
      </c>
      <c r="J2256" t="str">
        <f>IF(A2256="","",IF('ATP Fills'!I2256="3M","",VLOOKUP(RIGHT('ATP Fills'!I2256,2),Helper1!$O$36:$P$48,2,0)))</f>
        <v/>
      </c>
      <c r="K2256" t="str">
        <f>IF(J2256="","",LEFT('ATP Fills'!I2256,4))</f>
        <v/>
      </c>
      <c r="L2256" t="str">
        <f>IF(A2256="","",IF('ATP Fills'!G2256="LME",'ATP Fills'!I2256,""))</f>
        <v/>
      </c>
      <c r="M2256" t="str">
        <f t="shared" si="35"/>
        <v/>
      </c>
    </row>
    <row r="2257" spans="1:13">
      <c r="A2257" t="str">
        <f>IF('ATP Fills'!A2257="","",IF('ATP Fills'!Q2257="PHILLIPSG",'ATP Fills'!F2257,""))</f>
        <v/>
      </c>
      <c r="B2257" t="str">
        <f>IF(A2257="","",'ATP Fills'!L2257)</f>
        <v/>
      </c>
      <c r="C2257" t="str">
        <f>IF(A2257="","",'ATP Fills'!M2257)</f>
        <v/>
      </c>
      <c r="D2257" t="str">
        <f>IF(A2257="","",'ATP Fills'!B2257)</f>
        <v/>
      </c>
      <c r="E2257" s="3" t="str">
        <f>IF(A2257="","",IF(DATE(LEFT(D2257,4),MID(D2257,5,2),RIGHT(D2257,2))=Helper1!$P$1,Helper1!$P$1,""))</f>
        <v/>
      </c>
      <c r="F2257" s="3" t="str">
        <f>IF(A2257="","",'ATP Fills'!G2257)</f>
        <v/>
      </c>
      <c r="G2257" t="str">
        <f>IF(A2257="","",'ATP Fills'!H2257)</f>
        <v/>
      </c>
      <c r="H2257" t="str">
        <f>IF(A2257="","",VLOOKUP(G2257,表3_3[],2,0))</f>
        <v/>
      </c>
      <c r="I2257" t="str">
        <f>IF(A2257="","",VLOOKUP(G2257,表3_3[],3,0))</f>
        <v/>
      </c>
      <c r="J2257" t="str">
        <f>IF(A2257="","",IF('ATP Fills'!I2257="3M","",VLOOKUP(RIGHT('ATP Fills'!I2257,2),Helper1!$O$36:$P$48,2,0)))</f>
        <v/>
      </c>
      <c r="K2257" t="str">
        <f>IF(J2257="","",LEFT('ATP Fills'!I2257,4))</f>
        <v/>
      </c>
      <c r="L2257" t="str">
        <f>IF(A2257="","",IF('ATP Fills'!G2257="LME",'ATP Fills'!I2257,""))</f>
        <v/>
      </c>
      <c r="M2257" t="str">
        <f t="shared" si="35"/>
        <v/>
      </c>
    </row>
    <row r="2258" spans="1:13">
      <c r="A2258" t="str">
        <f>IF('ATP Fills'!A2258="","",IF('ATP Fills'!Q2258="PHILLIPSG",'ATP Fills'!F2258,""))</f>
        <v/>
      </c>
      <c r="B2258" t="str">
        <f>IF(A2258="","",'ATP Fills'!L2258)</f>
        <v/>
      </c>
      <c r="C2258" t="str">
        <f>IF(A2258="","",'ATP Fills'!M2258)</f>
        <v/>
      </c>
      <c r="D2258" t="str">
        <f>IF(A2258="","",'ATP Fills'!B2258)</f>
        <v/>
      </c>
      <c r="E2258" s="3" t="str">
        <f>IF(A2258="","",IF(DATE(LEFT(D2258,4),MID(D2258,5,2),RIGHT(D2258,2))=Helper1!$P$1,Helper1!$P$1,""))</f>
        <v/>
      </c>
      <c r="F2258" s="3" t="str">
        <f>IF(A2258="","",'ATP Fills'!G2258)</f>
        <v/>
      </c>
      <c r="G2258" t="str">
        <f>IF(A2258="","",'ATP Fills'!H2258)</f>
        <v/>
      </c>
      <c r="H2258" t="str">
        <f>IF(A2258="","",VLOOKUP(G2258,表3_3[],2,0))</f>
        <v/>
      </c>
      <c r="I2258" t="str">
        <f>IF(A2258="","",VLOOKUP(G2258,表3_3[],3,0))</f>
        <v/>
      </c>
      <c r="J2258" t="str">
        <f>IF(A2258="","",IF('ATP Fills'!I2258="3M","",VLOOKUP(RIGHT('ATP Fills'!I2258,2),Helper1!$O$36:$P$48,2,0)))</f>
        <v/>
      </c>
      <c r="K2258" t="str">
        <f>IF(J2258="","",LEFT('ATP Fills'!I2258,4))</f>
        <v/>
      </c>
      <c r="L2258" t="str">
        <f>IF(A2258="","",IF('ATP Fills'!G2258="LME",'ATP Fills'!I2258,""))</f>
        <v/>
      </c>
      <c r="M2258" t="str">
        <f t="shared" si="35"/>
        <v/>
      </c>
    </row>
    <row r="2259" spans="1:13">
      <c r="A2259" t="str">
        <f>IF('ATP Fills'!A2259="","",IF('ATP Fills'!Q2259="PHILLIPSG",'ATP Fills'!F2259,""))</f>
        <v/>
      </c>
      <c r="B2259" t="str">
        <f>IF(A2259="","",'ATP Fills'!L2259)</f>
        <v/>
      </c>
      <c r="C2259" t="str">
        <f>IF(A2259="","",'ATP Fills'!M2259)</f>
        <v/>
      </c>
      <c r="D2259" t="str">
        <f>IF(A2259="","",'ATP Fills'!B2259)</f>
        <v/>
      </c>
      <c r="E2259" s="3" t="str">
        <f>IF(A2259="","",IF(DATE(LEFT(D2259,4),MID(D2259,5,2),RIGHT(D2259,2))=Helper1!$P$1,Helper1!$P$1,""))</f>
        <v/>
      </c>
      <c r="F2259" s="3" t="str">
        <f>IF(A2259="","",'ATP Fills'!G2259)</f>
        <v/>
      </c>
      <c r="G2259" t="str">
        <f>IF(A2259="","",'ATP Fills'!H2259)</f>
        <v/>
      </c>
      <c r="H2259" t="str">
        <f>IF(A2259="","",VLOOKUP(G2259,表3_3[],2,0))</f>
        <v/>
      </c>
      <c r="I2259" t="str">
        <f>IF(A2259="","",VLOOKUP(G2259,表3_3[],3,0))</f>
        <v/>
      </c>
      <c r="J2259" t="str">
        <f>IF(A2259="","",IF('ATP Fills'!I2259="3M","",VLOOKUP(RIGHT('ATP Fills'!I2259,2),Helper1!$O$36:$P$48,2,0)))</f>
        <v/>
      </c>
      <c r="K2259" t="str">
        <f>IF(J2259="","",LEFT('ATP Fills'!I2259,4))</f>
        <v/>
      </c>
      <c r="L2259" t="str">
        <f>IF(A2259="","",IF('ATP Fills'!G2259="LME",'ATP Fills'!I2259,""))</f>
        <v/>
      </c>
      <c r="M2259" t="str">
        <f t="shared" si="35"/>
        <v/>
      </c>
    </row>
    <row r="2260" spans="1:13">
      <c r="A2260" t="str">
        <f>IF('ATP Fills'!A2260="","",IF('ATP Fills'!Q2260="PHILLIPSG",'ATP Fills'!F2260,""))</f>
        <v/>
      </c>
      <c r="B2260" t="str">
        <f>IF(A2260="","",'ATP Fills'!L2260)</f>
        <v/>
      </c>
      <c r="C2260" t="str">
        <f>IF(A2260="","",'ATP Fills'!M2260)</f>
        <v/>
      </c>
      <c r="D2260" t="str">
        <f>IF(A2260="","",'ATP Fills'!B2260)</f>
        <v/>
      </c>
      <c r="E2260" s="3" t="str">
        <f>IF(A2260="","",IF(DATE(LEFT(D2260,4),MID(D2260,5,2),RIGHT(D2260,2))=Helper1!$P$1,Helper1!$P$1,""))</f>
        <v/>
      </c>
      <c r="F2260" s="3" t="str">
        <f>IF(A2260="","",'ATP Fills'!G2260)</f>
        <v/>
      </c>
      <c r="G2260" t="str">
        <f>IF(A2260="","",'ATP Fills'!H2260)</f>
        <v/>
      </c>
      <c r="H2260" t="str">
        <f>IF(A2260="","",VLOOKUP(G2260,表3_3[],2,0))</f>
        <v/>
      </c>
      <c r="I2260" t="str">
        <f>IF(A2260="","",VLOOKUP(G2260,表3_3[],3,0))</f>
        <v/>
      </c>
      <c r="J2260" t="str">
        <f>IF(A2260="","",IF('ATP Fills'!I2260="3M","",VLOOKUP(RIGHT('ATP Fills'!I2260,2),Helper1!$O$36:$P$48,2,0)))</f>
        <v/>
      </c>
      <c r="K2260" t="str">
        <f>IF(J2260="","",LEFT('ATP Fills'!I2260,4))</f>
        <v/>
      </c>
      <c r="L2260" t="str">
        <f>IF(A2260="","",IF('ATP Fills'!G2260="LME",'ATP Fills'!I2260,""))</f>
        <v/>
      </c>
      <c r="M2260" t="str">
        <f t="shared" si="35"/>
        <v/>
      </c>
    </row>
    <row r="2261" spans="1:13">
      <c r="A2261" t="str">
        <f>IF('ATP Fills'!A2261="","",IF('ATP Fills'!Q2261="PHILLIPSG",'ATP Fills'!F2261,""))</f>
        <v/>
      </c>
      <c r="B2261" t="str">
        <f>IF(A2261="","",'ATP Fills'!L2261)</f>
        <v/>
      </c>
      <c r="C2261" t="str">
        <f>IF(A2261="","",'ATP Fills'!M2261)</f>
        <v/>
      </c>
      <c r="D2261" t="str">
        <f>IF(A2261="","",'ATP Fills'!B2261)</f>
        <v/>
      </c>
      <c r="E2261" s="3" t="str">
        <f>IF(A2261="","",IF(DATE(LEFT(D2261,4),MID(D2261,5,2),RIGHT(D2261,2))=Helper1!$P$1,Helper1!$P$1,""))</f>
        <v/>
      </c>
      <c r="F2261" s="3" t="str">
        <f>IF(A2261="","",'ATP Fills'!G2261)</f>
        <v/>
      </c>
      <c r="G2261" t="str">
        <f>IF(A2261="","",'ATP Fills'!H2261)</f>
        <v/>
      </c>
      <c r="H2261" t="str">
        <f>IF(A2261="","",VLOOKUP(G2261,表3_3[],2,0))</f>
        <v/>
      </c>
      <c r="I2261" t="str">
        <f>IF(A2261="","",VLOOKUP(G2261,表3_3[],3,0))</f>
        <v/>
      </c>
      <c r="J2261" t="str">
        <f>IF(A2261="","",IF('ATP Fills'!I2261="3M","",VLOOKUP(RIGHT('ATP Fills'!I2261,2),Helper1!$O$36:$P$48,2,0)))</f>
        <v/>
      </c>
      <c r="K2261" t="str">
        <f>IF(J2261="","",LEFT('ATP Fills'!I2261,4))</f>
        <v/>
      </c>
      <c r="L2261" t="str">
        <f>IF(A2261="","",IF('ATP Fills'!G2261="LME",'ATP Fills'!I2261,""))</f>
        <v/>
      </c>
      <c r="M2261" t="str">
        <f t="shared" si="35"/>
        <v/>
      </c>
    </row>
    <row r="2262" spans="1:13">
      <c r="A2262" t="str">
        <f>IF('ATP Fills'!A2262="","",IF('ATP Fills'!Q2262="PHILLIPSG",'ATP Fills'!F2262,""))</f>
        <v/>
      </c>
      <c r="B2262" t="str">
        <f>IF(A2262="","",'ATP Fills'!L2262)</f>
        <v/>
      </c>
      <c r="C2262" t="str">
        <f>IF(A2262="","",'ATP Fills'!M2262)</f>
        <v/>
      </c>
      <c r="D2262" t="str">
        <f>IF(A2262="","",'ATP Fills'!B2262)</f>
        <v/>
      </c>
      <c r="E2262" s="3" t="str">
        <f>IF(A2262="","",IF(DATE(LEFT(D2262,4),MID(D2262,5,2),RIGHT(D2262,2))=Helper1!$P$1,Helper1!$P$1,""))</f>
        <v/>
      </c>
      <c r="F2262" s="3" t="str">
        <f>IF(A2262="","",'ATP Fills'!G2262)</f>
        <v/>
      </c>
      <c r="G2262" t="str">
        <f>IF(A2262="","",'ATP Fills'!H2262)</f>
        <v/>
      </c>
      <c r="H2262" t="str">
        <f>IF(A2262="","",VLOOKUP(G2262,表3_3[],2,0))</f>
        <v/>
      </c>
      <c r="I2262" t="str">
        <f>IF(A2262="","",VLOOKUP(G2262,表3_3[],3,0))</f>
        <v/>
      </c>
      <c r="J2262" t="str">
        <f>IF(A2262="","",IF('ATP Fills'!I2262="3M","",VLOOKUP(RIGHT('ATP Fills'!I2262,2),Helper1!$O$36:$P$48,2,0)))</f>
        <v/>
      </c>
      <c r="K2262" t="str">
        <f>IF(J2262="","",LEFT('ATP Fills'!I2262,4))</f>
        <v/>
      </c>
      <c r="L2262" t="str">
        <f>IF(A2262="","",IF('ATP Fills'!G2262="LME",'ATP Fills'!I2262,""))</f>
        <v/>
      </c>
      <c r="M2262" t="str">
        <f t="shared" si="35"/>
        <v/>
      </c>
    </row>
    <row r="2263" spans="1:13">
      <c r="A2263" t="str">
        <f>IF('ATP Fills'!A2263="","",IF('ATP Fills'!Q2263="PHILLIPSG",'ATP Fills'!F2263,""))</f>
        <v/>
      </c>
      <c r="B2263" t="str">
        <f>IF(A2263="","",'ATP Fills'!L2263)</f>
        <v/>
      </c>
      <c r="C2263" t="str">
        <f>IF(A2263="","",'ATP Fills'!M2263)</f>
        <v/>
      </c>
      <c r="D2263" t="str">
        <f>IF(A2263="","",'ATP Fills'!B2263)</f>
        <v/>
      </c>
      <c r="E2263" s="3" t="str">
        <f>IF(A2263="","",IF(DATE(LEFT(D2263,4),MID(D2263,5,2),RIGHT(D2263,2))=Helper1!$P$1,Helper1!$P$1,""))</f>
        <v/>
      </c>
      <c r="F2263" s="3" t="str">
        <f>IF(A2263="","",'ATP Fills'!G2263)</f>
        <v/>
      </c>
      <c r="G2263" t="str">
        <f>IF(A2263="","",'ATP Fills'!H2263)</f>
        <v/>
      </c>
      <c r="H2263" t="str">
        <f>IF(A2263="","",VLOOKUP(G2263,表3_3[],2,0))</f>
        <v/>
      </c>
      <c r="I2263" t="str">
        <f>IF(A2263="","",VLOOKUP(G2263,表3_3[],3,0))</f>
        <v/>
      </c>
      <c r="J2263" t="str">
        <f>IF(A2263="","",IF('ATP Fills'!I2263="3M","",VLOOKUP(RIGHT('ATP Fills'!I2263,2),Helper1!$O$36:$P$48,2,0)))</f>
        <v/>
      </c>
      <c r="K2263" t="str">
        <f>IF(J2263="","",LEFT('ATP Fills'!I2263,4))</f>
        <v/>
      </c>
      <c r="L2263" t="str">
        <f>IF(A2263="","",IF('ATP Fills'!G2263="LME",'ATP Fills'!I2263,""))</f>
        <v/>
      </c>
      <c r="M2263" t="str">
        <f t="shared" si="35"/>
        <v/>
      </c>
    </row>
    <row r="2264" spans="1:13">
      <c r="A2264" t="str">
        <f>IF('ATP Fills'!A2264="","",IF('ATP Fills'!Q2264="PHILLIPSG",'ATP Fills'!F2264,""))</f>
        <v/>
      </c>
      <c r="B2264" t="str">
        <f>IF(A2264="","",'ATP Fills'!L2264)</f>
        <v/>
      </c>
      <c r="C2264" t="str">
        <f>IF(A2264="","",'ATP Fills'!M2264)</f>
        <v/>
      </c>
      <c r="D2264" t="str">
        <f>IF(A2264="","",'ATP Fills'!B2264)</f>
        <v/>
      </c>
      <c r="E2264" s="3" t="str">
        <f>IF(A2264="","",IF(DATE(LEFT(D2264,4),MID(D2264,5,2),RIGHT(D2264,2))=Helper1!$P$1,Helper1!$P$1,""))</f>
        <v/>
      </c>
      <c r="F2264" s="3" t="str">
        <f>IF(A2264="","",'ATP Fills'!G2264)</f>
        <v/>
      </c>
      <c r="G2264" t="str">
        <f>IF(A2264="","",'ATP Fills'!H2264)</f>
        <v/>
      </c>
      <c r="H2264" t="str">
        <f>IF(A2264="","",VLOOKUP(G2264,表3_3[],2,0))</f>
        <v/>
      </c>
      <c r="I2264" t="str">
        <f>IF(A2264="","",VLOOKUP(G2264,表3_3[],3,0))</f>
        <v/>
      </c>
      <c r="J2264" t="str">
        <f>IF(A2264="","",IF('ATP Fills'!I2264="3M","",VLOOKUP(RIGHT('ATP Fills'!I2264,2),Helper1!$O$36:$P$48,2,0)))</f>
        <v/>
      </c>
      <c r="K2264" t="str">
        <f>IF(J2264="","",LEFT('ATP Fills'!I2264,4))</f>
        <v/>
      </c>
      <c r="L2264" t="str">
        <f>IF(A2264="","",IF('ATP Fills'!G2264="LME",'ATP Fills'!I2264,""))</f>
        <v/>
      </c>
      <c r="M2264" t="str">
        <f t="shared" si="35"/>
        <v/>
      </c>
    </row>
    <row r="2265" spans="1:13">
      <c r="A2265" t="str">
        <f>IF('ATP Fills'!A2265="","",IF('ATP Fills'!Q2265="PHILLIPSG",'ATP Fills'!F2265,""))</f>
        <v/>
      </c>
      <c r="B2265" t="str">
        <f>IF(A2265="","",'ATP Fills'!L2265)</f>
        <v/>
      </c>
      <c r="C2265" t="str">
        <f>IF(A2265="","",'ATP Fills'!M2265)</f>
        <v/>
      </c>
      <c r="D2265" t="str">
        <f>IF(A2265="","",'ATP Fills'!B2265)</f>
        <v/>
      </c>
      <c r="E2265" s="3" t="str">
        <f>IF(A2265="","",IF(DATE(LEFT(D2265,4),MID(D2265,5,2),RIGHT(D2265,2))=Helper1!$P$1,Helper1!$P$1,""))</f>
        <v/>
      </c>
      <c r="F2265" s="3" t="str">
        <f>IF(A2265="","",'ATP Fills'!G2265)</f>
        <v/>
      </c>
      <c r="G2265" t="str">
        <f>IF(A2265="","",'ATP Fills'!H2265)</f>
        <v/>
      </c>
      <c r="H2265" t="str">
        <f>IF(A2265="","",VLOOKUP(G2265,表3_3[],2,0))</f>
        <v/>
      </c>
      <c r="I2265" t="str">
        <f>IF(A2265="","",VLOOKUP(G2265,表3_3[],3,0))</f>
        <v/>
      </c>
      <c r="J2265" t="str">
        <f>IF(A2265="","",IF('ATP Fills'!I2265="3M","",VLOOKUP(RIGHT('ATP Fills'!I2265,2),Helper1!$O$36:$P$48,2,0)))</f>
        <v/>
      </c>
      <c r="K2265" t="str">
        <f>IF(J2265="","",LEFT('ATP Fills'!I2265,4))</f>
        <v/>
      </c>
      <c r="L2265" t="str">
        <f>IF(A2265="","",IF('ATP Fills'!G2265="LME",'ATP Fills'!I2265,""))</f>
        <v/>
      </c>
      <c r="M2265" t="str">
        <f t="shared" si="35"/>
        <v/>
      </c>
    </row>
    <row r="2266" spans="1:13">
      <c r="A2266" t="str">
        <f>IF('ATP Fills'!A2266="","",IF('ATP Fills'!Q2266="PHILLIPSG",'ATP Fills'!F2266,""))</f>
        <v/>
      </c>
      <c r="B2266" t="str">
        <f>IF(A2266="","",'ATP Fills'!L2266)</f>
        <v/>
      </c>
      <c r="C2266" t="str">
        <f>IF(A2266="","",'ATP Fills'!M2266)</f>
        <v/>
      </c>
      <c r="D2266" t="str">
        <f>IF(A2266="","",'ATP Fills'!B2266)</f>
        <v/>
      </c>
      <c r="E2266" s="3" t="str">
        <f>IF(A2266="","",IF(DATE(LEFT(D2266,4),MID(D2266,5,2),RIGHT(D2266,2))=Helper1!$P$1,Helper1!$P$1,""))</f>
        <v/>
      </c>
      <c r="F2266" s="3" t="str">
        <f>IF(A2266="","",'ATP Fills'!G2266)</f>
        <v/>
      </c>
      <c r="G2266" t="str">
        <f>IF(A2266="","",'ATP Fills'!H2266)</f>
        <v/>
      </c>
      <c r="H2266" t="str">
        <f>IF(A2266="","",VLOOKUP(G2266,表3_3[],2,0))</f>
        <v/>
      </c>
      <c r="I2266" t="str">
        <f>IF(A2266="","",VLOOKUP(G2266,表3_3[],3,0))</f>
        <v/>
      </c>
      <c r="J2266" t="str">
        <f>IF(A2266="","",IF('ATP Fills'!I2266="3M","",VLOOKUP(RIGHT('ATP Fills'!I2266,2),Helper1!$O$36:$P$48,2,0)))</f>
        <v/>
      </c>
      <c r="K2266" t="str">
        <f>IF(J2266="","",LEFT('ATP Fills'!I2266,4))</f>
        <v/>
      </c>
      <c r="L2266" t="str">
        <f>IF(A2266="","",IF('ATP Fills'!G2266="LME",'ATP Fills'!I2266,""))</f>
        <v/>
      </c>
      <c r="M2266" t="str">
        <f t="shared" si="35"/>
        <v/>
      </c>
    </row>
    <row r="2267" spans="1:13">
      <c r="A2267" t="str">
        <f>IF('ATP Fills'!A2267="","",IF('ATP Fills'!Q2267="PHILLIPSG",'ATP Fills'!F2267,""))</f>
        <v/>
      </c>
      <c r="B2267" t="str">
        <f>IF(A2267="","",'ATP Fills'!L2267)</f>
        <v/>
      </c>
      <c r="C2267" t="str">
        <f>IF(A2267="","",'ATP Fills'!M2267)</f>
        <v/>
      </c>
      <c r="D2267" t="str">
        <f>IF(A2267="","",'ATP Fills'!B2267)</f>
        <v/>
      </c>
      <c r="E2267" s="3" t="str">
        <f>IF(A2267="","",IF(DATE(LEFT(D2267,4),MID(D2267,5,2),RIGHT(D2267,2))=Helper1!$P$1,Helper1!$P$1,""))</f>
        <v/>
      </c>
      <c r="F2267" s="3" t="str">
        <f>IF(A2267="","",'ATP Fills'!G2267)</f>
        <v/>
      </c>
      <c r="G2267" t="str">
        <f>IF(A2267="","",'ATP Fills'!H2267)</f>
        <v/>
      </c>
      <c r="H2267" t="str">
        <f>IF(A2267="","",VLOOKUP(G2267,表3_3[],2,0))</f>
        <v/>
      </c>
      <c r="I2267" t="str">
        <f>IF(A2267="","",VLOOKUP(G2267,表3_3[],3,0))</f>
        <v/>
      </c>
      <c r="J2267" t="str">
        <f>IF(A2267="","",IF('ATP Fills'!I2267="3M","",VLOOKUP(RIGHT('ATP Fills'!I2267,2),Helper1!$O$36:$P$48,2,0)))</f>
        <v/>
      </c>
      <c r="K2267" t="str">
        <f>IF(J2267="","",LEFT('ATP Fills'!I2267,4))</f>
        <v/>
      </c>
      <c r="L2267" t="str">
        <f>IF(A2267="","",IF('ATP Fills'!G2267="LME",'ATP Fills'!I2267,""))</f>
        <v/>
      </c>
      <c r="M2267" t="str">
        <f t="shared" si="35"/>
        <v/>
      </c>
    </row>
    <row r="2268" spans="1:13">
      <c r="A2268" t="str">
        <f>IF('ATP Fills'!A2268="","",IF('ATP Fills'!Q2268="PHILLIPSG",'ATP Fills'!F2268,""))</f>
        <v/>
      </c>
      <c r="B2268" t="str">
        <f>IF(A2268="","",'ATP Fills'!L2268)</f>
        <v/>
      </c>
      <c r="C2268" t="str">
        <f>IF(A2268="","",'ATP Fills'!M2268)</f>
        <v/>
      </c>
      <c r="D2268" t="str">
        <f>IF(A2268="","",'ATP Fills'!B2268)</f>
        <v/>
      </c>
      <c r="E2268" s="3" t="str">
        <f>IF(A2268="","",IF(DATE(LEFT(D2268,4),MID(D2268,5,2),RIGHT(D2268,2))=Helper1!$P$1,Helper1!$P$1,""))</f>
        <v/>
      </c>
      <c r="F2268" s="3" t="str">
        <f>IF(A2268="","",'ATP Fills'!G2268)</f>
        <v/>
      </c>
      <c r="G2268" t="str">
        <f>IF(A2268="","",'ATP Fills'!H2268)</f>
        <v/>
      </c>
      <c r="H2268" t="str">
        <f>IF(A2268="","",VLOOKUP(G2268,表3_3[],2,0))</f>
        <v/>
      </c>
      <c r="I2268" t="str">
        <f>IF(A2268="","",VLOOKUP(G2268,表3_3[],3,0))</f>
        <v/>
      </c>
      <c r="J2268" t="str">
        <f>IF(A2268="","",IF('ATP Fills'!I2268="3M","",VLOOKUP(RIGHT('ATP Fills'!I2268,2),Helper1!$O$36:$P$48,2,0)))</f>
        <v/>
      </c>
      <c r="K2268" t="str">
        <f>IF(J2268="","",LEFT('ATP Fills'!I2268,4))</f>
        <v/>
      </c>
      <c r="L2268" t="str">
        <f>IF(A2268="","",IF('ATP Fills'!G2268="LME",'ATP Fills'!I2268,""))</f>
        <v/>
      </c>
      <c r="M2268" t="str">
        <f t="shared" si="35"/>
        <v/>
      </c>
    </row>
    <row r="2269" spans="1:13">
      <c r="A2269" t="str">
        <f>IF('ATP Fills'!A2269="","",IF('ATP Fills'!Q2269="PHILLIPSG",'ATP Fills'!F2269,""))</f>
        <v/>
      </c>
      <c r="B2269" t="str">
        <f>IF(A2269="","",'ATP Fills'!L2269)</f>
        <v/>
      </c>
      <c r="C2269" t="str">
        <f>IF(A2269="","",'ATP Fills'!M2269)</f>
        <v/>
      </c>
      <c r="D2269" t="str">
        <f>IF(A2269="","",'ATP Fills'!B2269)</f>
        <v/>
      </c>
      <c r="E2269" s="3" t="str">
        <f>IF(A2269="","",IF(DATE(LEFT(D2269,4),MID(D2269,5,2),RIGHT(D2269,2))=Helper1!$P$1,Helper1!$P$1,""))</f>
        <v/>
      </c>
      <c r="F2269" s="3" t="str">
        <f>IF(A2269="","",'ATP Fills'!G2269)</f>
        <v/>
      </c>
      <c r="G2269" t="str">
        <f>IF(A2269="","",'ATP Fills'!H2269)</f>
        <v/>
      </c>
      <c r="H2269" t="str">
        <f>IF(A2269="","",VLOOKUP(G2269,表3_3[],2,0))</f>
        <v/>
      </c>
      <c r="I2269" t="str">
        <f>IF(A2269="","",VLOOKUP(G2269,表3_3[],3,0))</f>
        <v/>
      </c>
      <c r="J2269" t="str">
        <f>IF(A2269="","",IF('ATP Fills'!I2269="3M","",VLOOKUP(RIGHT('ATP Fills'!I2269,2),Helper1!$O$36:$P$48,2,0)))</f>
        <v/>
      </c>
      <c r="K2269" t="str">
        <f>IF(J2269="","",LEFT('ATP Fills'!I2269,4))</f>
        <v/>
      </c>
      <c r="L2269" t="str">
        <f>IF(A2269="","",IF('ATP Fills'!G2269="LME",'ATP Fills'!I2269,""))</f>
        <v/>
      </c>
      <c r="M2269" t="str">
        <f t="shared" si="35"/>
        <v/>
      </c>
    </row>
    <row r="2270" spans="1:13">
      <c r="A2270" t="str">
        <f>IF('ATP Fills'!A2270="","",IF('ATP Fills'!Q2270="PHILLIPSG",'ATP Fills'!F2270,""))</f>
        <v/>
      </c>
      <c r="B2270" t="str">
        <f>IF(A2270="","",'ATP Fills'!L2270)</f>
        <v/>
      </c>
      <c r="C2270" t="str">
        <f>IF(A2270="","",'ATP Fills'!M2270)</f>
        <v/>
      </c>
      <c r="D2270" t="str">
        <f>IF(A2270="","",'ATP Fills'!B2270)</f>
        <v/>
      </c>
      <c r="E2270" s="3" t="str">
        <f>IF(A2270="","",IF(DATE(LEFT(D2270,4),MID(D2270,5,2),RIGHT(D2270,2))=Helper1!$P$1,Helper1!$P$1,""))</f>
        <v/>
      </c>
      <c r="F2270" s="3" t="str">
        <f>IF(A2270="","",'ATP Fills'!G2270)</f>
        <v/>
      </c>
      <c r="G2270" t="str">
        <f>IF(A2270="","",'ATP Fills'!H2270)</f>
        <v/>
      </c>
      <c r="H2270" t="str">
        <f>IF(A2270="","",VLOOKUP(G2270,表3_3[],2,0))</f>
        <v/>
      </c>
      <c r="I2270" t="str">
        <f>IF(A2270="","",VLOOKUP(G2270,表3_3[],3,0))</f>
        <v/>
      </c>
      <c r="J2270" t="str">
        <f>IF(A2270="","",IF('ATP Fills'!I2270="3M","",VLOOKUP(RIGHT('ATP Fills'!I2270,2),Helper1!$O$36:$P$48,2,0)))</f>
        <v/>
      </c>
      <c r="K2270" t="str">
        <f>IF(J2270="","",LEFT('ATP Fills'!I2270,4))</f>
        <v/>
      </c>
      <c r="L2270" t="str">
        <f>IF(A2270="","",IF('ATP Fills'!G2270="LME",'ATP Fills'!I2270,""))</f>
        <v/>
      </c>
      <c r="M2270" t="str">
        <f t="shared" si="35"/>
        <v/>
      </c>
    </row>
    <row r="2271" spans="1:13">
      <c r="A2271" t="str">
        <f>IF('ATP Fills'!A2271="","",IF('ATP Fills'!Q2271="PHILLIPSG",'ATP Fills'!F2271,""))</f>
        <v/>
      </c>
      <c r="B2271" t="str">
        <f>IF(A2271="","",'ATP Fills'!L2271)</f>
        <v/>
      </c>
      <c r="C2271" t="str">
        <f>IF(A2271="","",'ATP Fills'!M2271)</f>
        <v/>
      </c>
      <c r="D2271" t="str">
        <f>IF(A2271="","",'ATP Fills'!B2271)</f>
        <v/>
      </c>
      <c r="E2271" s="3" t="str">
        <f>IF(A2271="","",IF(DATE(LEFT(D2271,4),MID(D2271,5,2),RIGHT(D2271,2))=Helper1!$P$1,Helper1!$P$1,""))</f>
        <v/>
      </c>
      <c r="F2271" s="3" t="str">
        <f>IF(A2271="","",'ATP Fills'!G2271)</f>
        <v/>
      </c>
      <c r="G2271" t="str">
        <f>IF(A2271="","",'ATP Fills'!H2271)</f>
        <v/>
      </c>
      <c r="H2271" t="str">
        <f>IF(A2271="","",VLOOKUP(G2271,表3_3[],2,0))</f>
        <v/>
      </c>
      <c r="I2271" t="str">
        <f>IF(A2271="","",VLOOKUP(G2271,表3_3[],3,0))</f>
        <v/>
      </c>
      <c r="J2271" t="str">
        <f>IF(A2271="","",IF('ATP Fills'!I2271="3M","",VLOOKUP(RIGHT('ATP Fills'!I2271,2),Helper1!$O$36:$P$48,2,0)))</f>
        <v/>
      </c>
      <c r="K2271" t="str">
        <f>IF(J2271="","",LEFT('ATP Fills'!I2271,4))</f>
        <v/>
      </c>
      <c r="L2271" t="str">
        <f>IF(A2271="","",IF('ATP Fills'!G2271="LME",'ATP Fills'!I2271,""))</f>
        <v/>
      </c>
      <c r="M2271" t="str">
        <f t="shared" si="35"/>
        <v/>
      </c>
    </row>
    <row r="2272" spans="1:13">
      <c r="A2272" t="str">
        <f>IF('ATP Fills'!A2272="","",IF('ATP Fills'!Q2272="PHILLIPSG",'ATP Fills'!F2272,""))</f>
        <v/>
      </c>
      <c r="B2272" t="str">
        <f>IF(A2272="","",'ATP Fills'!L2272)</f>
        <v/>
      </c>
      <c r="C2272" t="str">
        <f>IF(A2272="","",'ATP Fills'!M2272)</f>
        <v/>
      </c>
      <c r="D2272" t="str">
        <f>IF(A2272="","",'ATP Fills'!B2272)</f>
        <v/>
      </c>
      <c r="E2272" s="3" t="str">
        <f>IF(A2272="","",IF(DATE(LEFT(D2272,4),MID(D2272,5,2),RIGHT(D2272,2))=Helper1!$P$1,Helper1!$P$1,""))</f>
        <v/>
      </c>
      <c r="F2272" s="3" t="str">
        <f>IF(A2272="","",'ATP Fills'!G2272)</f>
        <v/>
      </c>
      <c r="G2272" t="str">
        <f>IF(A2272="","",'ATP Fills'!H2272)</f>
        <v/>
      </c>
      <c r="H2272" t="str">
        <f>IF(A2272="","",VLOOKUP(G2272,表3_3[],2,0))</f>
        <v/>
      </c>
      <c r="I2272" t="str">
        <f>IF(A2272="","",VLOOKUP(G2272,表3_3[],3,0))</f>
        <v/>
      </c>
      <c r="J2272" t="str">
        <f>IF(A2272="","",IF('ATP Fills'!I2272="3M","",VLOOKUP(RIGHT('ATP Fills'!I2272,2),Helper1!$O$36:$P$48,2,0)))</f>
        <v/>
      </c>
      <c r="K2272" t="str">
        <f>IF(J2272="","",LEFT('ATP Fills'!I2272,4))</f>
        <v/>
      </c>
      <c r="L2272" t="str">
        <f>IF(A2272="","",IF('ATP Fills'!G2272="LME",'ATP Fills'!I2272,""))</f>
        <v/>
      </c>
      <c r="M2272" t="str">
        <f t="shared" si="35"/>
        <v/>
      </c>
    </row>
    <row r="2273" spans="1:13">
      <c r="A2273" t="str">
        <f>IF('ATP Fills'!A2273="","",IF('ATP Fills'!Q2273="PHILLIPSG",'ATP Fills'!F2273,""))</f>
        <v/>
      </c>
      <c r="B2273" t="str">
        <f>IF(A2273="","",'ATP Fills'!L2273)</f>
        <v/>
      </c>
      <c r="C2273" t="str">
        <f>IF(A2273="","",'ATP Fills'!M2273)</f>
        <v/>
      </c>
      <c r="D2273" t="str">
        <f>IF(A2273="","",'ATP Fills'!B2273)</f>
        <v/>
      </c>
      <c r="E2273" s="3" t="str">
        <f>IF(A2273="","",IF(DATE(LEFT(D2273,4),MID(D2273,5,2),RIGHT(D2273,2))=Helper1!$P$1,Helper1!$P$1,""))</f>
        <v/>
      </c>
      <c r="F2273" s="3" t="str">
        <f>IF(A2273="","",'ATP Fills'!G2273)</f>
        <v/>
      </c>
      <c r="G2273" t="str">
        <f>IF(A2273="","",'ATP Fills'!H2273)</f>
        <v/>
      </c>
      <c r="H2273" t="str">
        <f>IF(A2273="","",VLOOKUP(G2273,表3_3[],2,0))</f>
        <v/>
      </c>
      <c r="I2273" t="str">
        <f>IF(A2273="","",VLOOKUP(G2273,表3_3[],3,0))</f>
        <v/>
      </c>
      <c r="J2273" t="str">
        <f>IF(A2273="","",IF('ATP Fills'!I2273="3M","",VLOOKUP(RIGHT('ATP Fills'!I2273,2),Helper1!$O$36:$P$48,2,0)))</f>
        <v/>
      </c>
      <c r="K2273" t="str">
        <f>IF(J2273="","",LEFT('ATP Fills'!I2273,4))</f>
        <v/>
      </c>
      <c r="L2273" t="str">
        <f>IF(A2273="","",IF('ATP Fills'!G2273="LME",'ATP Fills'!I2273,""))</f>
        <v/>
      </c>
      <c r="M2273" t="str">
        <f t="shared" si="35"/>
        <v/>
      </c>
    </row>
    <row r="2274" spans="1:13">
      <c r="A2274" t="str">
        <f>IF('ATP Fills'!A2274="","",IF('ATP Fills'!Q2274="PHILLIPSG",'ATP Fills'!F2274,""))</f>
        <v/>
      </c>
      <c r="B2274" t="str">
        <f>IF(A2274="","",'ATP Fills'!L2274)</f>
        <v/>
      </c>
      <c r="C2274" t="str">
        <f>IF(A2274="","",'ATP Fills'!M2274)</f>
        <v/>
      </c>
      <c r="D2274" t="str">
        <f>IF(A2274="","",'ATP Fills'!B2274)</f>
        <v/>
      </c>
      <c r="E2274" s="3" t="str">
        <f>IF(A2274="","",IF(DATE(LEFT(D2274,4),MID(D2274,5,2),RIGHT(D2274,2))=Helper1!$P$1,Helper1!$P$1,""))</f>
        <v/>
      </c>
      <c r="F2274" s="3" t="str">
        <f>IF(A2274="","",'ATP Fills'!G2274)</f>
        <v/>
      </c>
      <c r="G2274" t="str">
        <f>IF(A2274="","",'ATP Fills'!H2274)</f>
        <v/>
      </c>
      <c r="H2274" t="str">
        <f>IF(A2274="","",VLOOKUP(G2274,表3_3[],2,0))</f>
        <v/>
      </c>
      <c r="I2274" t="str">
        <f>IF(A2274="","",VLOOKUP(G2274,表3_3[],3,0))</f>
        <v/>
      </c>
      <c r="J2274" t="str">
        <f>IF(A2274="","",IF('ATP Fills'!I2274="3M","",VLOOKUP(RIGHT('ATP Fills'!I2274,2),Helper1!$O$36:$P$48,2,0)))</f>
        <v/>
      </c>
      <c r="K2274" t="str">
        <f>IF(J2274="","",LEFT('ATP Fills'!I2274,4))</f>
        <v/>
      </c>
      <c r="L2274" t="str">
        <f>IF(A2274="","",IF('ATP Fills'!G2274="LME",'ATP Fills'!I2274,""))</f>
        <v/>
      </c>
      <c r="M2274" t="str">
        <f t="shared" si="35"/>
        <v/>
      </c>
    </row>
    <row r="2275" spans="1:13">
      <c r="A2275" t="str">
        <f>IF('ATP Fills'!A2275="","",IF('ATP Fills'!Q2275="PHILLIPSG",'ATP Fills'!F2275,""))</f>
        <v/>
      </c>
      <c r="B2275" t="str">
        <f>IF(A2275="","",'ATP Fills'!L2275)</f>
        <v/>
      </c>
      <c r="C2275" t="str">
        <f>IF(A2275="","",'ATP Fills'!M2275)</f>
        <v/>
      </c>
      <c r="D2275" t="str">
        <f>IF(A2275="","",'ATP Fills'!B2275)</f>
        <v/>
      </c>
      <c r="E2275" s="3" t="str">
        <f>IF(A2275="","",IF(DATE(LEFT(D2275,4),MID(D2275,5,2),RIGHT(D2275,2))=Helper1!$P$1,Helper1!$P$1,""))</f>
        <v/>
      </c>
      <c r="F2275" s="3" t="str">
        <f>IF(A2275="","",'ATP Fills'!G2275)</f>
        <v/>
      </c>
      <c r="G2275" t="str">
        <f>IF(A2275="","",'ATP Fills'!H2275)</f>
        <v/>
      </c>
      <c r="H2275" t="str">
        <f>IF(A2275="","",VLOOKUP(G2275,表3_3[],2,0))</f>
        <v/>
      </c>
      <c r="I2275" t="str">
        <f>IF(A2275="","",VLOOKUP(G2275,表3_3[],3,0))</f>
        <v/>
      </c>
      <c r="J2275" t="str">
        <f>IF(A2275="","",IF('ATP Fills'!I2275="3M","",VLOOKUP(RIGHT('ATP Fills'!I2275,2),Helper1!$O$36:$P$48,2,0)))</f>
        <v/>
      </c>
      <c r="K2275" t="str">
        <f>IF(J2275="","",LEFT('ATP Fills'!I2275,4))</f>
        <v/>
      </c>
      <c r="L2275" t="str">
        <f>IF(A2275="","",IF('ATP Fills'!G2275="LME",'ATP Fills'!I2275,""))</f>
        <v/>
      </c>
      <c r="M2275" t="str">
        <f t="shared" si="35"/>
        <v/>
      </c>
    </row>
    <row r="2276" spans="1:13">
      <c r="A2276" t="str">
        <f>IF('ATP Fills'!A2276="","",IF('ATP Fills'!Q2276="PHILLIPSG",'ATP Fills'!F2276,""))</f>
        <v/>
      </c>
      <c r="B2276" t="str">
        <f>IF(A2276="","",'ATP Fills'!L2276)</f>
        <v/>
      </c>
      <c r="C2276" t="str">
        <f>IF(A2276="","",'ATP Fills'!M2276)</f>
        <v/>
      </c>
      <c r="D2276" t="str">
        <f>IF(A2276="","",'ATP Fills'!B2276)</f>
        <v/>
      </c>
      <c r="E2276" s="3" t="str">
        <f>IF(A2276="","",IF(DATE(LEFT(D2276,4),MID(D2276,5,2),RIGHT(D2276,2))=Helper1!$P$1,Helper1!$P$1,""))</f>
        <v/>
      </c>
      <c r="F2276" s="3" t="str">
        <f>IF(A2276="","",'ATP Fills'!G2276)</f>
        <v/>
      </c>
      <c r="G2276" t="str">
        <f>IF(A2276="","",'ATP Fills'!H2276)</f>
        <v/>
      </c>
      <c r="H2276" t="str">
        <f>IF(A2276="","",VLOOKUP(G2276,表3_3[],2,0))</f>
        <v/>
      </c>
      <c r="I2276" t="str">
        <f>IF(A2276="","",VLOOKUP(G2276,表3_3[],3,0))</f>
        <v/>
      </c>
      <c r="J2276" t="str">
        <f>IF(A2276="","",IF('ATP Fills'!I2276="3M","",VLOOKUP(RIGHT('ATP Fills'!I2276,2),Helper1!$O$36:$P$48,2,0)))</f>
        <v/>
      </c>
      <c r="K2276" t="str">
        <f>IF(J2276="","",LEFT('ATP Fills'!I2276,4))</f>
        <v/>
      </c>
      <c r="L2276" t="str">
        <f>IF(A2276="","",IF('ATP Fills'!G2276="LME",'ATP Fills'!I2276,""))</f>
        <v/>
      </c>
      <c r="M2276" t="str">
        <f t="shared" si="35"/>
        <v/>
      </c>
    </row>
    <row r="2277" spans="1:13">
      <c r="A2277" t="str">
        <f>IF('ATP Fills'!A2277="","",IF('ATP Fills'!Q2277="PHILLIPSG",'ATP Fills'!F2277,""))</f>
        <v/>
      </c>
      <c r="B2277" t="str">
        <f>IF(A2277="","",'ATP Fills'!L2277)</f>
        <v/>
      </c>
      <c r="C2277" t="str">
        <f>IF(A2277="","",'ATP Fills'!M2277)</f>
        <v/>
      </c>
      <c r="D2277" t="str">
        <f>IF(A2277="","",'ATP Fills'!B2277)</f>
        <v/>
      </c>
      <c r="E2277" s="3" t="str">
        <f>IF(A2277="","",IF(DATE(LEFT(D2277,4),MID(D2277,5,2),RIGHT(D2277,2))=Helper1!$P$1,Helper1!$P$1,""))</f>
        <v/>
      </c>
      <c r="F2277" s="3" t="str">
        <f>IF(A2277="","",'ATP Fills'!G2277)</f>
        <v/>
      </c>
      <c r="G2277" t="str">
        <f>IF(A2277="","",'ATP Fills'!H2277)</f>
        <v/>
      </c>
      <c r="H2277" t="str">
        <f>IF(A2277="","",VLOOKUP(G2277,表3_3[],2,0))</f>
        <v/>
      </c>
      <c r="I2277" t="str">
        <f>IF(A2277="","",VLOOKUP(G2277,表3_3[],3,0))</f>
        <v/>
      </c>
      <c r="J2277" t="str">
        <f>IF(A2277="","",IF('ATP Fills'!I2277="3M","",VLOOKUP(RIGHT('ATP Fills'!I2277,2),Helper1!$O$36:$P$48,2,0)))</f>
        <v/>
      </c>
      <c r="K2277" t="str">
        <f>IF(J2277="","",LEFT('ATP Fills'!I2277,4))</f>
        <v/>
      </c>
      <c r="L2277" t="str">
        <f>IF(A2277="","",IF('ATP Fills'!G2277="LME",'ATP Fills'!I2277,""))</f>
        <v/>
      </c>
      <c r="M2277" t="str">
        <f t="shared" si="35"/>
        <v/>
      </c>
    </row>
    <row r="2278" spans="1:13">
      <c r="A2278" t="str">
        <f>IF('ATP Fills'!A2278="","",IF('ATP Fills'!Q2278="PHILLIPSG",'ATP Fills'!F2278,""))</f>
        <v/>
      </c>
      <c r="B2278" t="str">
        <f>IF(A2278="","",'ATP Fills'!L2278)</f>
        <v/>
      </c>
      <c r="C2278" t="str">
        <f>IF(A2278="","",'ATP Fills'!M2278)</f>
        <v/>
      </c>
      <c r="D2278" t="str">
        <f>IF(A2278="","",'ATP Fills'!B2278)</f>
        <v/>
      </c>
      <c r="E2278" s="3" t="str">
        <f>IF(A2278="","",IF(DATE(LEFT(D2278,4),MID(D2278,5,2),RIGHT(D2278,2))=Helper1!$P$1,Helper1!$P$1,""))</f>
        <v/>
      </c>
      <c r="F2278" s="3" t="str">
        <f>IF(A2278="","",'ATP Fills'!G2278)</f>
        <v/>
      </c>
      <c r="G2278" t="str">
        <f>IF(A2278="","",'ATP Fills'!H2278)</f>
        <v/>
      </c>
      <c r="H2278" t="str">
        <f>IF(A2278="","",VLOOKUP(G2278,表3_3[],2,0))</f>
        <v/>
      </c>
      <c r="I2278" t="str">
        <f>IF(A2278="","",VLOOKUP(G2278,表3_3[],3,0))</f>
        <v/>
      </c>
      <c r="J2278" t="str">
        <f>IF(A2278="","",IF('ATP Fills'!I2278="3M","",VLOOKUP(RIGHT('ATP Fills'!I2278,2),Helper1!$O$36:$P$48,2,0)))</f>
        <v/>
      </c>
      <c r="K2278" t="str">
        <f>IF(J2278="","",LEFT('ATP Fills'!I2278,4))</f>
        <v/>
      </c>
      <c r="L2278" t="str">
        <f>IF(A2278="","",IF('ATP Fills'!G2278="LME",'ATP Fills'!I2278,""))</f>
        <v/>
      </c>
      <c r="M2278" t="str">
        <f t="shared" si="35"/>
        <v/>
      </c>
    </row>
    <row r="2279" spans="1:13">
      <c r="A2279" t="str">
        <f>IF('ATP Fills'!A2279="","",IF('ATP Fills'!Q2279="PHILLIPSG",'ATP Fills'!F2279,""))</f>
        <v/>
      </c>
      <c r="B2279" t="str">
        <f>IF(A2279="","",'ATP Fills'!L2279)</f>
        <v/>
      </c>
      <c r="C2279" t="str">
        <f>IF(A2279="","",'ATP Fills'!M2279)</f>
        <v/>
      </c>
      <c r="D2279" t="str">
        <f>IF(A2279="","",'ATP Fills'!B2279)</f>
        <v/>
      </c>
      <c r="E2279" s="3" t="str">
        <f>IF(A2279="","",IF(DATE(LEFT(D2279,4),MID(D2279,5,2),RIGHT(D2279,2))=Helper1!$P$1,Helper1!$P$1,""))</f>
        <v/>
      </c>
      <c r="F2279" s="3" t="str">
        <f>IF(A2279="","",'ATP Fills'!G2279)</f>
        <v/>
      </c>
      <c r="G2279" t="str">
        <f>IF(A2279="","",'ATP Fills'!H2279)</f>
        <v/>
      </c>
      <c r="H2279" t="str">
        <f>IF(A2279="","",VLOOKUP(G2279,表3_3[],2,0))</f>
        <v/>
      </c>
      <c r="I2279" t="str">
        <f>IF(A2279="","",VLOOKUP(G2279,表3_3[],3,0))</f>
        <v/>
      </c>
      <c r="J2279" t="str">
        <f>IF(A2279="","",IF('ATP Fills'!I2279="3M","",VLOOKUP(RIGHT('ATP Fills'!I2279,2),Helper1!$O$36:$P$48,2,0)))</f>
        <v/>
      </c>
      <c r="K2279" t="str">
        <f>IF(J2279="","",LEFT('ATP Fills'!I2279,4))</f>
        <v/>
      </c>
      <c r="L2279" t="str">
        <f>IF(A2279="","",IF('ATP Fills'!G2279="LME",'ATP Fills'!I2279,""))</f>
        <v/>
      </c>
      <c r="M2279" t="str">
        <f t="shared" si="35"/>
        <v/>
      </c>
    </row>
    <row r="2280" spans="1:13">
      <c r="A2280" t="str">
        <f>IF('ATP Fills'!A2280="","",IF('ATP Fills'!Q2280="PHILLIPSG",'ATP Fills'!F2280,""))</f>
        <v/>
      </c>
      <c r="B2280" t="str">
        <f>IF(A2280="","",'ATP Fills'!L2280)</f>
        <v/>
      </c>
      <c r="C2280" t="str">
        <f>IF(A2280="","",'ATP Fills'!M2280)</f>
        <v/>
      </c>
      <c r="D2280" t="str">
        <f>IF(A2280="","",'ATP Fills'!B2280)</f>
        <v/>
      </c>
      <c r="E2280" s="3" t="str">
        <f>IF(A2280="","",IF(DATE(LEFT(D2280,4),MID(D2280,5,2),RIGHT(D2280,2))=Helper1!$P$1,Helper1!$P$1,""))</f>
        <v/>
      </c>
      <c r="F2280" s="3" t="str">
        <f>IF(A2280="","",'ATP Fills'!G2280)</f>
        <v/>
      </c>
      <c r="G2280" t="str">
        <f>IF(A2280="","",'ATP Fills'!H2280)</f>
        <v/>
      </c>
      <c r="H2280" t="str">
        <f>IF(A2280="","",VLOOKUP(G2280,表3_3[],2,0))</f>
        <v/>
      </c>
      <c r="I2280" t="str">
        <f>IF(A2280="","",VLOOKUP(G2280,表3_3[],3,0))</f>
        <v/>
      </c>
      <c r="J2280" t="str">
        <f>IF(A2280="","",IF('ATP Fills'!I2280="3M","",VLOOKUP(RIGHT('ATP Fills'!I2280,2),Helper1!$O$36:$P$48,2,0)))</f>
        <v/>
      </c>
      <c r="K2280" t="str">
        <f>IF(J2280="","",LEFT('ATP Fills'!I2280,4))</f>
        <v/>
      </c>
      <c r="L2280" t="str">
        <f>IF(A2280="","",IF('ATP Fills'!G2280="LME",'ATP Fills'!I2280,""))</f>
        <v/>
      </c>
      <c r="M2280" t="str">
        <f t="shared" si="35"/>
        <v/>
      </c>
    </row>
    <row r="2281" spans="1:13">
      <c r="A2281" t="str">
        <f>IF('ATP Fills'!A2281="","",IF('ATP Fills'!Q2281="PHILLIPSG",'ATP Fills'!F2281,""))</f>
        <v/>
      </c>
      <c r="B2281" t="str">
        <f>IF(A2281="","",'ATP Fills'!L2281)</f>
        <v/>
      </c>
      <c r="C2281" t="str">
        <f>IF(A2281="","",'ATP Fills'!M2281)</f>
        <v/>
      </c>
      <c r="D2281" t="str">
        <f>IF(A2281="","",'ATP Fills'!B2281)</f>
        <v/>
      </c>
      <c r="E2281" s="3" t="str">
        <f>IF(A2281="","",IF(DATE(LEFT(D2281,4),MID(D2281,5,2),RIGHT(D2281,2))=Helper1!$P$1,Helper1!$P$1,""))</f>
        <v/>
      </c>
      <c r="F2281" s="3" t="str">
        <f>IF(A2281="","",'ATP Fills'!G2281)</f>
        <v/>
      </c>
      <c r="G2281" t="str">
        <f>IF(A2281="","",'ATP Fills'!H2281)</f>
        <v/>
      </c>
      <c r="H2281" t="str">
        <f>IF(A2281="","",VLOOKUP(G2281,表3_3[],2,0))</f>
        <v/>
      </c>
      <c r="I2281" t="str">
        <f>IF(A2281="","",VLOOKUP(G2281,表3_3[],3,0))</f>
        <v/>
      </c>
      <c r="J2281" t="str">
        <f>IF(A2281="","",IF('ATP Fills'!I2281="3M","",VLOOKUP(RIGHT('ATP Fills'!I2281,2),Helper1!$O$36:$P$48,2,0)))</f>
        <v/>
      </c>
      <c r="K2281" t="str">
        <f>IF(J2281="","",LEFT('ATP Fills'!I2281,4))</f>
        <v/>
      </c>
      <c r="L2281" t="str">
        <f>IF(A2281="","",IF('ATP Fills'!G2281="LME",'ATP Fills'!I2281,""))</f>
        <v/>
      </c>
      <c r="M2281" t="str">
        <f t="shared" si="35"/>
        <v/>
      </c>
    </row>
    <row r="2282" spans="1:13">
      <c r="A2282" t="str">
        <f>IF('ATP Fills'!A2282="","",IF('ATP Fills'!Q2282="PHILLIPSG",'ATP Fills'!F2282,""))</f>
        <v/>
      </c>
      <c r="B2282" t="str">
        <f>IF(A2282="","",'ATP Fills'!L2282)</f>
        <v/>
      </c>
      <c r="C2282" t="str">
        <f>IF(A2282="","",'ATP Fills'!M2282)</f>
        <v/>
      </c>
      <c r="D2282" t="str">
        <f>IF(A2282="","",'ATP Fills'!B2282)</f>
        <v/>
      </c>
      <c r="E2282" s="3" t="str">
        <f>IF(A2282="","",IF(DATE(LEFT(D2282,4),MID(D2282,5,2),RIGHT(D2282,2))=Helper1!$P$1,Helper1!$P$1,""))</f>
        <v/>
      </c>
      <c r="F2282" s="3" t="str">
        <f>IF(A2282="","",'ATP Fills'!G2282)</f>
        <v/>
      </c>
      <c r="G2282" t="str">
        <f>IF(A2282="","",'ATP Fills'!H2282)</f>
        <v/>
      </c>
      <c r="H2282" t="str">
        <f>IF(A2282="","",VLOOKUP(G2282,表3_3[],2,0))</f>
        <v/>
      </c>
      <c r="I2282" t="str">
        <f>IF(A2282="","",VLOOKUP(G2282,表3_3[],3,0))</f>
        <v/>
      </c>
      <c r="J2282" t="str">
        <f>IF(A2282="","",IF('ATP Fills'!I2282="3M","",VLOOKUP(RIGHT('ATP Fills'!I2282,2),Helper1!$O$36:$P$48,2,0)))</f>
        <v/>
      </c>
      <c r="K2282" t="str">
        <f>IF(J2282="","",LEFT('ATP Fills'!I2282,4))</f>
        <v/>
      </c>
      <c r="L2282" t="str">
        <f>IF(A2282="","",IF('ATP Fills'!G2282="LME",'ATP Fills'!I2282,""))</f>
        <v/>
      </c>
      <c r="M2282" t="str">
        <f t="shared" si="35"/>
        <v/>
      </c>
    </row>
    <row r="2283" spans="1:13">
      <c r="A2283" t="str">
        <f>IF('ATP Fills'!A2283="","",IF('ATP Fills'!Q2283="PHILLIPSG",'ATP Fills'!F2283,""))</f>
        <v/>
      </c>
      <c r="B2283" t="str">
        <f>IF(A2283="","",'ATP Fills'!L2283)</f>
        <v/>
      </c>
      <c r="C2283" t="str">
        <f>IF(A2283="","",'ATP Fills'!M2283)</f>
        <v/>
      </c>
      <c r="D2283" t="str">
        <f>IF(A2283="","",'ATP Fills'!B2283)</f>
        <v/>
      </c>
      <c r="E2283" s="3" t="str">
        <f>IF(A2283="","",IF(DATE(LEFT(D2283,4),MID(D2283,5,2),RIGHT(D2283,2))=Helper1!$P$1,Helper1!$P$1,""))</f>
        <v/>
      </c>
      <c r="F2283" s="3" t="str">
        <f>IF(A2283="","",'ATP Fills'!G2283)</f>
        <v/>
      </c>
      <c r="G2283" t="str">
        <f>IF(A2283="","",'ATP Fills'!H2283)</f>
        <v/>
      </c>
      <c r="H2283" t="str">
        <f>IF(A2283="","",VLOOKUP(G2283,表3_3[],2,0))</f>
        <v/>
      </c>
      <c r="I2283" t="str">
        <f>IF(A2283="","",VLOOKUP(G2283,表3_3[],3,0))</f>
        <v/>
      </c>
      <c r="J2283" t="str">
        <f>IF(A2283="","",IF('ATP Fills'!I2283="3M","",VLOOKUP(RIGHT('ATP Fills'!I2283,2),Helper1!$O$36:$P$48,2,0)))</f>
        <v/>
      </c>
      <c r="K2283" t="str">
        <f>IF(J2283="","",LEFT('ATP Fills'!I2283,4))</f>
        <v/>
      </c>
      <c r="L2283" t="str">
        <f>IF(A2283="","",IF('ATP Fills'!G2283="LME",'ATP Fills'!I2283,""))</f>
        <v/>
      </c>
      <c r="M2283" t="str">
        <f t="shared" si="35"/>
        <v/>
      </c>
    </row>
    <row r="2284" spans="1:13">
      <c r="A2284" t="str">
        <f>IF('ATP Fills'!A2284="","",IF('ATP Fills'!Q2284="PHILLIPSG",'ATP Fills'!F2284,""))</f>
        <v/>
      </c>
      <c r="B2284" t="str">
        <f>IF(A2284="","",'ATP Fills'!L2284)</f>
        <v/>
      </c>
      <c r="C2284" t="str">
        <f>IF(A2284="","",'ATP Fills'!M2284)</f>
        <v/>
      </c>
      <c r="D2284" t="str">
        <f>IF(A2284="","",'ATP Fills'!B2284)</f>
        <v/>
      </c>
      <c r="E2284" s="3" t="str">
        <f>IF(A2284="","",IF(DATE(LEFT(D2284,4),MID(D2284,5,2),RIGHT(D2284,2))=Helper1!$P$1,Helper1!$P$1,""))</f>
        <v/>
      </c>
      <c r="F2284" s="3" t="str">
        <f>IF(A2284="","",'ATP Fills'!G2284)</f>
        <v/>
      </c>
      <c r="G2284" t="str">
        <f>IF(A2284="","",'ATP Fills'!H2284)</f>
        <v/>
      </c>
      <c r="H2284" t="str">
        <f>IF(A2284="","",VLOOKUP(G2284,表3_3[],2,0))</f>
        <v/>
      </c>
      <c r="I2284" t="str">
        <f>IF(A2284="","",VLOOKUP(G2284,表3_3[],3,0))</f>
        <v/>
      </c>
      <c r="J2284" t="str">
        <f>IF(A2284="","",IF('ATP Fills'!I2284="3M","",VLOOKUP(RIGHT('ATP Fills'!I2284,2),Helper1!$O$36:$P$48,2,0)))</f>
        <v/>
      </c>
      <c r="K2284" t="str">
        <f>IF(J2284="","",LEFT('ATP Fills'!I2284,4))</f>
        <v/>
      </c>
      <c r="L2284" t="str">
        <f>IF(A2284="","",IF('ATP Fills'!G2284="LME",'ATP Fills'!I2284,""))</f>
        <v/>
      </c>
      <c r="M2284" t="str">
        <f t="shared" si="35"/>
        <v/>
      </c>
    </row>
    <row r="2285" spans="1:13">
      <c r="A2285" t="str">
        <f>IF('ATP Fills'!A2285="","",IF('ATP Fills'!Q2285="PHILLIPSG",'ATP Fills'!F2285,""))</f>
        <v/>
      </c>
      <c r="B2285" t="str">
        <f>IF(A2285="","",'ATP Fills'!L2285)</f>
        <v/>
      </c>
      <c r="C2285" t="str">
        <f>IF(A2285="","",'ATP Fills'!M2285)</f>
        <v/>
      </c>
      <c r="D2285" t="str">
        <f>IF(A2285="","",'ATP Fills'!B2285)</f>
        <v/>
      </c>
      <c r="E2285" s="3" t="str">
        <f>IF(A2285="","",IF(DATE(LEFT(D2285,4),MID(D2285,5,2),RIGHT(D2285,2))=Helper1!$P$1,Helper1!$P$1,""))</f>
        <v/>
      </c>
      <c r="F2285" s="3" t="str">
        <f>IF(A2285="","",'ATP Fills'!G2285)</f>
        <v/>
      </c>
      <c r="G2285" t="str">
        <f>IF(A2285="","",'ATP Fills'!H2285)</f>
        <v/>
      </c>
      <c r="H2285" t="str">
        <f>IF(A2285="","",VLOOKUP(G2285,表3_3[],2,0))</f>
        <v/>
      </c>
      <c r="I2285" t="str">
        <f>IF(A2285="","",VLOOKUP(G2285,表3_3[],3,0))</f>
        <v/>
      </c>
      <c r="J2285" t="str">
        <f>IF(A2285="","",IF('ATP Fills'!I2285="3M","",VLOOKUP(RIGHT('ATP Fills'!I2285,2),Helper1!$O$36:$P$48,2,0)))</f>
        <v/>
      </c>
      <c r="K2285" t="str">
        <f>IF(J2285="","",LEFT('ATP Fills'!I2285,4))</f>
        <v/>
      </c>
      <c r="L2285" t="str">
        <f>IF(A2285="","",IF('ATP Fills'!G2285="LME",'ATP Fills'!I2285,""))</f>
        <v/>
      </c>
      <c r="M2285" t="str">
        <f t="shared" si="35"/>
        <v/>
      </c>
    </row>
    <row r="2286" spans="1:13">
      <c r="A2286" t="str">
        <f>IF('ATP Fills'!A2286="","",IF('ATP Fills'!Q2286="PHILLIPSG",'ATP Fills'!F2286,""))</f>
        <v/>
      </c>
      <c r="B2286" t="str">
        <f>IF(A2286="","",'ATP Fills'!L2286)</f>
        <v/>
      </c>
      <c r="C2286" t="str">
        <f>IF(A2286="","",'ATP Fills'!M2286)</f>
        <v/>
      </c>
      <c r="D2286" t="str">
        <f>IF(A2286="","",'ATP Fills'!B2286)</f>
        <v/>
      </c>
      <c r="E2286" s="3" t="str">
        <f>IF(A2286="","",IF(DATE(LEFT(D2286,4),MID(D2286,5,2),RIGHT(D2286,2))=Helper1!$P$1,Helper1!$P$1,""))</f>
        <v/>
      </c>
      <c r="F2286" s="3" t="str">
        <f>IF(A2286="","",'ATP Fills'!G2286)</f>
        <v/>
      </c>
      <c r="G2286" t="str">
        <f>IF(A2286="","",'ATP Fills'!H2286)</f>
        <v/>
      </c>
      <c r="H2286" t="str">
        <f>IF(A2286="","",VLOOKUP(G2286,表3_3[],2,0))</f>
        <v/>
      </c>
      <c r="I2286" t="str">
        <f>IF(A2286="","",VLOOKUP(G2286,表3_3[],3,0))</f>
        <v/>
      </c>
      <c r="J2286" t="str">
        <f>IF(A2286="","",IF('ATP Fills'!I2286="3M","",VLOOKUP(RIGHT('ATP Fills'!I2286,2),Helper1!$O$36:$P$48,2,0)))</f>
        <v/>
      </c>
      <c r="K2286" t="str">
        <f>IF(J2286="","",LEFT('ATP Fills'!I2286,4))</f>
        <v/>
      </c>
      <c r="L2286" t="str">
        <f>IF(A2286="","",IF('ATP Fills'!G2286="LME",'ATP Fills'!I2286,""))</f>
        <v/>
      </c>
      <c r="M2286" t="str">
        <f t="shared" si="35"/>
        <v/>
      </c>
    </row>
    <row r="2287" spans="1:13">
      <c r="A2287" t="str">
        <f>IF('ATP Fills'!A2287="","",IF('ATP Fills'!Q2287="PHILLIPSG",'ATP Fills'!F2287,""))</f>
        <v/>
      </c>
      <c r="B2287" t="str">
        <f>IF(A2287="","",'ATP Fills'!L2287)</f>
        <v/>
      </c>
      <c r="C2287" t="str">
        <f>IF(A2287="","",'ATP Fills'!M2287)</f>
        <v/>
      </c>
      <c r="D2287" t="str">
        <f>IF(A2287="","",'ATP Fills'!B2287)</f>
        <v/>
      </c>
      <c r="E2287" s="3" t="str">
        <f>IF(A2287="","",IF(DATE(LEFT(D2287,4),MID(D2287,5,2),RIGHT(D2287,2))=Helper1!$P$1,Helper1!$P$1,""))</f>
        <v/>
      </c>
      <c r="F2287" s="3" t="str">
        <f>IF(A2287="","",'ATP Fills'!G2287)</f>
        <v/>
      </c>
      <c r="G2287" t="str">
        <f>IF(A2287="","",'ATP Fills'!H2287)</f>
        <v/>
      </c>
      <c r="H2287" t="str">
        <f>IF(A2287="","",VLOOKUP(G2287,表3_3[],2,0))</f>
        <v/>
      </c>
      <c r="I2287" t="str">
        <f>IF(A2287="","",VLOOKUP(G2287,表3_3[],3,0))</f>
        <v/>
      </c>
      <c r="J2287" t="str">
        <f>IF(A2287="","",IF('ATP Fills'!I2287="3M","",VLOOKUP(RIGHT('ATP Fills'!I2287,2),Helper1!$O$36:$P$48,2,0)))</f>
        <v/>
      </c>
      <c r="K2287" t="str">
        <f>IF(J2287="","",LEFT('ATP Fills'!I2287,4))</f>
        <v/>
      </c>
      <c r="L2287" t="str">
        <f>IF(A2287="","",IF('ATP Fills'!G2287="LME",'ATP Fills'!I2287,""))</f>
        <v/>
      </c>
      <c r="M2287" t="str">
        <f t="shared" si="35"/>
        <v/>
      </c>
    </row>
    <row r="2288" spans="1:13">
      <c r="A2288" t="str">
        <f>IF('ATP Fills'!A2288="","",IF('ATP Fills'!Q2288="PHILLIPSG",'ATP Fills'!F2288,""))</f>
        <v/>
      </c>
      <c r="B2288" t="str">
        <f>IF(A2288="","",'ATP Fills'!L2288)</f>
        <v/>
      </c>
      <c r="C2288" t="str">
        <f>IF(A2288="","",'ATP Fills'!M2288)</f>
        <v/>
      </c>
      <c r="D2288" t="str">
        <f>IF(A2288="","",'ATP Fills'!B2288)</f>
        <v/>
      </c>
      <c r="E2288" s="3" t="str">
        <f>IF(A2288="","",IF(DATE(LEFT(D2288,4),MID(D2288,5,2),RIGHT(D2288,2))=Helper1!$P$1,Helper1!$P$1,""))</f>
        <v/>
      </c>
      <c r="F2288" s="3" t="str">
        <f>IF(A2288="","",'ATP Fills'!G2288)</f>
        <v/>
      </c>
      <c r="G2288" t="str">
        <f>IF(A2288="","",'ATP Fills'!H2288)</f>
        <v/>
      </c>
      <c r="H2288" t="str">
        <f>IF(A2288="","",VLOOKUP(G2288,表3_3[],2,0))</f>
        <v/>
      </c>
      <c r="I2288" t="str">
        <f>IF(A2288="","",VLOOKUP(G2288,表3_3[],3,0))</f>
        <v/>
      </c>
      <c r="J2288" t="str">
        <f>IF(A2288="","",IF('ATP Fills'!I2288="3M","",VLOOKUP(RIGHT('ATP Fills'!I2288,2),Helper1!$O$36:$P$48,2,0)))</f>
        <v/>
      </c>
      <c r="K2288" t="str">
        <f>IF(J2288="","",LEFT('ATP Fills'!I2288,4))</f>
        <v/>
      </c>
      <c r="L2288" t="str">
        <f>IF(A2288="","",IF('ATP Fills'!G2288="LME",'ATP Fills'!I2288,""))</f>
        <v/>
      </c>
      <c r="M2288" t="str">
        <f t="shared" si="35"/>
        <v/>
      </c>
    </row>
    <row r="2289" spans="1:13">
      <c r="A2289" t="str">
        <f>IF('ATP Fills'!A2289="","",IF('ATP Fills'!Q2289="PHILLIPSG",'ATP Fills'!F2289,""))</f>
        <v/>
      </c>
      <c r="B2289" t="str">
        <f>IF(A2289="","",'ATP Fills'!L2289)</f>
        <v/>
      </c>
      <c r="C2289" t="str">
        <f>IF(A2289="","",'ATP Fills'!M2289)</f>
        <v/>
      </c>
      <c r="D2289" t="str">
        <f>IF(A2289="","",'ATP Fills'!B2289)</f>
        <v/>
      </c>
      <c r="E2289" s="3" t="str">
        <f>IF(A2289="","",IF(DATE(LEFT(D2289,4),MID(D2289,5,2),RIGHT(D2289,2))=Helper1!$P$1,Helper1!$P$1,""))</f>
        <v/>
      </c>
      <c r="F2289" s="3" t="str">
        <f>IF(A2289="","",'ATP Fills'!G2289)</f>
        <v/>
      </c>
      <c r="G2289" t="str">
        <f>IF(A2289="","",'ATP Fills'!H2289)</f>
        <v/>
      </c>
      <c r="H2289" t="str">
        <f>IF(A2289="","",VLOOKUP(G2289,表3_3[],2,0))</f>
        <v/>
      </c>
      <c r="I2289" t="str">
        <f>IF(A2289="","",VLOOKUP(G2289,表3_3[],3,0))</f>
        <v/>
      </c>
      <c r="J2289" t="str">
        <f>IF(A2289="","",IF('ATP Fills'!I2289="3M","",VLOOKUP(RIGHT('ATP Fills'!I2289,2),Helper1!$O$36:$P$48,2,0)))</f>
        <v/>
      </c>
      <c r="K2289" t="str">
        <f>IF(J2289="","",LEFT('ATP Fills'!I2289,4))</f>
        <v/>
      </c>
      <c r="L2289" t="str">
        <f>IF(A2289="","",IF('ATP Fills'!G2289="LME",'ATP Fills'!I2289,""))</f>
        <v/>
      </c>
      <c r="M2289" t="str">
        <f t="shared" si="35"/>
        <v/>
      </c>
    </row>
    <row r="2290" spans="1:13">
      <c r="A2290" t="str">
        <f>IF('ATP Fills'!A2290="","",IF('ATP Fills'!Q2290="PHILLIPSG",'ATP Fills'!F2290,""))</f>
        <v/>
      </c>
      <c r="B2290" t="str">
        <f>IF(A2290="","",'ATP Fills'!L2290)</f>
        <v/>
      </c>
      <c r="C2290" t="str">
        <f>IF(A2290="","",'ATP Fills'!M2290)</f>
        <v/>
      </c>
      <c r="D2290" t="str">
        <f>IF(A2290="","",'ATP Fills'!B2290)</f>
        <v/>
      </c>
      <c r="E2290" s="3" t="str">
        <f>IF(A2290="","",IF(DATE(LEFT(D2290,4),MID(D2290,5,2),RIGHT(D2290,2))=Helper1!$P$1,Helper1!$P$1,""))</f>
        <v/>
      </c>
      <c r="F2290" s="3" t="str">
        <f>IF(A2290="","",'ATP Fills'!G2290)</f>
        <v/>
      </c>
      <c r="G2290" t="str">
        <f>IF(A2290="","",'ATP Fills'!H2290)</f>
        <v/>
      </c>
      <c r="H2290" t="str">
        <f>IF(A2290="","",VLOOKUP(G2290,表3_3[],2,0))</f>
        <v/>
      </c>
      <c r="I2290" t="str">
        <f>IF(A2290="","",VLOOKUP(G2290,表3_3[],3,0))</f>
        <v/>
      </c>
      <c r="J2290" t="str">
        <f>IF(A2290="","",IF('ATP Fills'!I2290="3M","",VLOOKUP(RIGHT('ATP Fills'!I2290,2),Helper1!$O$36:$P$48,2,0)))</f>
        <v/>
      </c>
      <c r="K2290" t="str">
        <f>IF(J2290="","",LEFT('ATP Fills'!I2290,4))</f>
        <v/>
      </c>
      <c r="L2290" t="str">
        <f>IF(A2290="","",IF('ATP Fills'!G2290="LME",'ATP Fills'!I2290,""))</f>
        <v/>
      </c>
      <c r="M2290" t="str">
        <f t="shared" si="35"/>
        <v/>
      </c>
    </row>
    <row r="2291" spans="1:13">
      <c r="A2291" t="str">
        <f>IF('ATP Fills'!A2291="","",IF('ATP Fills'!Q2291="PHILLIPSG",'ATP Fills'!F2291,""))</f>
        <v/>
      </c>
      <c r="B2291" t="str">
        <f>IF(A2291="","",'ATP Fills'!L2291)</f>
        <v/>
      </c>
      <c r="C2291" t="str">
        <f>IF(A2291="","",'ATP Fills'!M2291)</f>
        <v/>
      </c>
      <c r="D2291" t="str">
        <f>IF(A2291="","",'ATP Fills'!B2291)</f>
        <v/>
      </c>
      <c r="E2291" s="3" t="str">
        <f>IF(A2291="","",IF(DATE(LEFT(D2291,4),MID(D2291,5,2),RIGHT(D2291,2))=Helper1!$P$1,Helper1!$P$1,""))</f>
        <v/>
      </c>
      <c r="F2291" s="3" t="str">
        <f>IF(A2291="","",'ATP Fills'!G2291)</f>
        <v/>
      </c>
      <c r="G2291" t="str">
        <f>IF(A2291="","",'ATP Fills'!H2291)</f>
        <v/>
      </c>
      <c r="H2291" t="str">
        <f>IF(A2291="","",VLOOKUP(G2291,表3_3[],2,0))</f>
        <v/>
      </c>
      <c r="I2291" t="str">
        <f>IF(A2291="","",VLOOKUP(G2291,表3_3[],3,0))</f>
        <v/>
      </c>
      <c r="J2291" t="str">
        <f>IF(A2291="","",IF('ATP Fills'!I2291="3M","",VLOOKUP(RIGHT('ATP Fills'!I2291,2),Helper1!$O$36:$P$48,2,0)))</f>
        <v/>
      </c>
      <c r="K2291" t="str">
        <f>IF(J2291="","",LEFT('ATP Fills'!I2291,4))</f>
        <v/>
      </c>
      <c r="L2291" t="str">
        <f>IF(A2291="","",IF('ATP Fills'!G2291="LME",'ATP Fills'!I2291,""))</f>
        <v/>
      </c>
      <c r="M2291" t="str">
        <f t="shared" si="35"/>
        <v/>
      </c>
    </row>
    <row r="2292" spans="1:13">
      <c r="A2292" t="str">
        <f>IF('ATP Fills'!A2292="","",IF('ATP Fills'!Q2292="PHILLIPSG",'ATP Fills'!F2292,""))</f>
        <v/>
      </c>
      <c r="B2292" t="str">
        <f>IF(A2292="","",'ATP Fills'!L2292)</f>
        <v/>
      </c>
      <c r="C2292" t="str">
        <f>IF(A2292="","",'ATP Fills'!M2292)</f>
        <v/>
      </c>
      <c r="D2292" t="str">
        <f>IF(A2292="","",'ATP Fills'!B2292)</f>
        <v/>
      </c>
      <c r="E2292" s="3" t="str">
        <f>IF(A2292="","",IF(DATE(LEFT(D2292,4),MID(D2292,5,2),RIGHT(D2292,2))=Helper1!$P$1,Helper1!$P$1,""))</f>
        <v/>
      </c>
      <c r="F2292" s="3" t="str">
        <f>IF(A2292="","",'ATP Fills'!G2292)</f>
        <v/>
      </c>
      <c r="G2292" t="str">
        <f>IF(A2292="","",'ATP Fills'!H2292)</f>
        <v/>
      </c>
      <c r="H2292" t="str">
        <f>IF(A2292="","",VLOOKUP(G2292,表3_3[],2,0))</f>
        <v/>
      </c>
      <c r="I2292" t="str">
        <f>IF(A2292="","",VLOOKUP(G2292,表3_3[],3,0))</f>
        <v/>
      </c>
      <c r="J2292" t="str">
        <f>IF(A2292="","",IF('ATP Fills'!I2292="3M","",VLOOKUP(RIGHT('ATP Fills'!I2292,2),Helper1!$O$36:$P$48,2,0)))</f>
        <v/>
      </c>
      <c r="K2292" t="str">
        <f>IF(J2292="","",LEFT('ATP Fills'!I2292,4))</f>
        <v/>
      </c>
      <c r="L2292" t="str">
        <f>IF(A2292="","",IF('ATP Fills'!G2292="LME",'ATP Fills'!I2292,""))</f>
        <v/>
      </c>
      <c r="M2292" t="str">
        <f t="shared" si="35"/>
        <v/>
      </c>
    </row>
    <row r="2293" spans="1:13">
      <c r="A2293" t="str">
        <f>IF('ATP Fills'!A2293="","",IF('ATP Fills'!Q2293="PHILLIPSG",'ATP Fills'!F2293,""))</f>
        <v/>
      </c>
      <c r="B2293" t="str">
        <f>IF(A2293="","",'ATP Fills'!L2293)</f>
        <v/>
      </c>
      <c r="C2293" t="str">
        <f>IF(A2293="","",'ATP Fills'!M2293)</f>
        <v/>
      </c>
      <c r="D2293" t="str">
        <f>IF(A2293="","",'ATP Fills'!B2293)</f>
        <v/>
      </c>
      <c r="E2293" s="3" t="str">
        <f>IF(A2293="","",IF(DATE(LEFT(D2293,4),MID(D2293,5,2),RIGHT(D2293,2))=Helper1!$P$1,Helper1!$P$1,""))</f>
        <v/>
      </c>
      <c r="F2293" s="3" t="str">
        <f>IF(A2293="","",'ATP Fills'!G2293)</f>
        <v/>
      </c>
      <c r="G2293" t="str">
        <f>IF(A2293="","",'ATP Fills'!H2293)</f>
        <v/>
      </c>
      <c r="H2293" t="str">
        <f>IF(A2293="","",VLOOKUP(G2293,表3_3[],2,0))</f>
        <v/>
      </c>
      <c r="I2293" t="str">
        <f>IF(A2293="","",VLOOKUP(G2293,表3_3[],3,0))</f>
        <v/>
      </c>
      <c r="J2293" t="str">
        <f>IF(A2293="","",IF('ATP Fills'!I2293="3M","",VLOOKUP(RIGHT('ATP Fills'!I2293,2),Helper1!$O$36:$P$48,2,0)))</f>
        <v/>
      </c>
      <c r="K2293" t="str">
        <f>IF(J2293="","",LEFT('ATP Fills'!I2293,4))</f>
        <v/>
      </c>
      <c r="L2293" t="str">
        <f>IF(A2293="","",IF('ATP Fills'!G2293="LME",'ATP Fills'!I2293,""))</f>
        <v/>
      </c>
      <c r="M2293" t="str">
        <f t="shared" si="35"/>
        <v/>
      </c>
    </row>
    <row r="2294" spans="1:13">
      <c r="A2294" t="str">
        <f>IF('ATP Fills'!A2294="","",IF('ATP Fills'!Q2294="PHILLIPSG",'ATP Fills'!F2294,""))</f>
        <v/>
      </c>
      <c r="B2294" t="str">
        <f>IF(A2294="","",'ATP Fills'!L2294)</f>
        <v/>
      </c>
      <c r="C2294" t="str">
        <f>IF(A2294="","",'ATP Fills'!M2294)</f>
        <v/>
      </c>
      <c r="D2294" t="str">
        <f>IF(A2294="","",'ATP Fills'!B2294)</f>
        <v/>
      </c>
      <c r="E2294" s="3" t="str">
        <f>IF(A2294="","",IF(DATE(LEFT(D2294,4),MID(D2294,5,2),RIGHT(D2294,2))=Helper1!$P$1,Helper1!$P$1,""))</f>
        <v/>
      </c>
      <c r="F2294" s="3" t="str">
        <f>IF(A2294="","",'ATP Fills'!G2294)</f>
        <v/>
      </c>
      <c r="G2294" t="str">
        <f>IF(A2294="","",'ATP Fills'!H2294)</f>
        <v/>
      </c>
      <c r="H2294" t="str">
        <f>IF(A2294="","",VLOOKUP(G2294,表3_3[],2,0))</f>
        <v/>
      </c>
      <c r="I2294" t="str">
        <f>IF(A2294="","",VLOOKUP(G2294,表3_3[],3,0))</f>
        <v/>
      </c>
      <c r="J2294" t="str">
        <f>IF(A2294="","",IF('ATP Fills'!I2294="3M","",VLOOKUP(RIGHT('ATP Fills'!I2294,2),Helper1!$O$36:$P$48,2,0)))</f>
        <v/>
      </c>
      <c r="K2294" t="str">
        <f>IF(J2294="","",LEFT('ATP Fills'!I2294,4))</f>
        <v/>
      </c>
      <c r="L2294" t="str">
        <f>IF(A2294="","",IF('ATP Fills'!G2294="LME",'ATP Fills'!I2294,""))</f>
        <v/>
      </c>
      <c r="M2294" t="str">
        <f t="shared" si="35"/>
        <v/>
      </c>
    </row>
    <row r="2295" spans="1:13">
      <c r="A2295" t="str">
        <f>IF('ATP Fills'!A2295="","",IF('ATP Fills'!Q2295="PHILLIPSG",'ATP Fills'!F2295,""))</f>
        <v/>
      </c>
      <c r="B2295" t="str">
        <f>IF(A2295="","",'ATP Fills'!L2295)</f>
        <v/>
      </c>
      <c r="C2295" t="str">
        <f>IF(A2295="","",'ATP Fills'!M2295)</f>
        <v/>
      </c>
      <c r="D2295" t="str">
        <f>IF(A2295="","",'ATP Fills'!B2295)</f>
        <v/>
      </c>
      <c r="E2295" s="3" t="str">
        <f>IF(A2295="","",IF(DATE(LEFT(D2295,4),MID(D2295,5,2),RIGHT(D2295,2))=Helper1!$P$1,Helper1!$P$1,""))</f>
        <v/>
      </c>
      <c r="F2295" s="3" t="str">
        <f>IF(A2295="","",'ATP Fills'!G2295)</f>
        <v/>
      </c>
      <c r="G2295" t="str">
        <f>IF(A2295="","",'ATP Fills'!H2295)</f>
        <v/>
      </c>
      <c r="H2295" t="str">
        <f>IF(A2295="","",VLOOKUP(G2295,表3_3[],2,0))</f>
        <v/>
      </c>
      <c r="I2295" t="str">
        <f>IF(A2295="","",VLOOKUP(G2295,表3_3[],3,0))</f>
        <v/>
      </c>
      <c r="J2295" t="str">
        <f>IF(A2295="","",IF('ATP Fills'!I2295="3M","",VLOOKUP(RIGHT('ATP Fills'!I2295,2),Helper1!$O$36:$P$48,2,0)))</f>
        <v/>
      </c>
      <c r="K2295" t="str">
        <f>IF(J2295="","",LEFT('ATP Fills'!I2295,4))</f>
        <v/>
      </c>
      <c r="L2295" t="str">
        <f>IF(A2295="","",IF('ATP Fills'!G2295="LME",'ATP Fills'!I2295,""))</f>
        <v/>
      </c>
      <c r="M2295" t="str">
        <f t="shared" si="35"/>
        <v/>
      </c>
    </row>
    <row r="2296" spans="1:13">
      <c r="A2296" t="str">
        <f>IF('ATP Fills'!A2296="","",IF('ATP Fills'!Q2296="PHILLIPSG",'ATP Fills'!F2296,""))</f>
        <v/>
      </c>
      <c r="B2296" t="str">
        <f>IF(A2296="","",'ATP Fills'!L2296)</f>
        <v/>
      </c>
      <c r="C2296" t="str">
        <f>IF(A2296="","",'ATP Fills'!M2296)</f>
        <v/>
      </c>
      <c r="D2296" t="str">
        <f>IF(A2296="","",'ATP Fills'!B2296)</f>
        <v/>
      </c>
      <c r="E2296" s="3" t="str">
        <f>IF(A2296="","",IF(DATE(LEFT(D2296,4),MID(D2296,5,2),RIGHT(D2296,2))=Helper1!$P$1,Helper1!$P$1,""))</f>
        <v/>
      </c>
      <c r="F2296" s="3" t="str">
        <f>IF(A2296="","",'ATP Fills'!G2296)</f>
        <v/>
      </c>
      <c r="G2296" t="str">
        <f>IF(A2296="","",'ATP Fills'!H2296)</f>
        <v/>
      </c>
      <c r="H2296" t="str">
        <f>IF(A2296="","",VLOOKUP(G2296,表3_3[],2,0))</f>
        <v/>
      </c>
      <c r="I2296" t="str">
        <f>IF(A2296="","",VLOOKUP(G2296,表3_3[],3,0))</f>
        <v/>
      </c>
      <c r="J2296" t="str">
        <f>IF(A2296="","",IF('ATP Fills'!I2296="3M","",VLOOKUP(RIGHT('ATP Fills'!I2296,2),Helper1!$O$36:$P$48,2,0)))</f>
        <v/>
      </c>
      <c r="K2296" t="str">
        <f>IF(J2296="","",LEFT('ATP Fills'!I2296,4))</f>
        <v/>
      </c>
      <c r="L2296" t="str">
        <f>IF(A2296="","",IF('ATP Fills'!G2296="LME",'ATP Fills'!I2296,""))</f>
        <v/>
      </c>
      <c r="M2296" t="str">
        <f t="shared" si="35"/>
        <v/>
      </c>
    </row>
    <row r="2297" spans="1:13">
      <c r="A2297" t="str">
        <f>IF('ATP Fills'!A2297="","",IF('ATP Fills'!Q2297="PHILLIPSG",'ATP Fills'!F2297,""))</f>
        <v/>
      </c>
      <c r="B2297" t="str">
        <f>IF(A2297="","",'ATP Fills'!L2297)</f>
        <v/>
      </c>
      <c r="C2297" t="str">
        <f>IF(A2297="","",'ATP Fills'!M2297)</f>
        <v/>
      </c>
      <c r="D2297" t="str">
        <f>IF(A2297="","",'ATP Fills'!B2297)</f>
        <v/>
      </c>
      <c r="E2297" s="3" t="str">
        <f>IF(A2297="","",IF(DATE(LEFT(D2297,4),MID(D2297,5,2),RIGHT(D2297,2))=Helper1!$P$1,Helper1!$P$1,""))</f>
        <v/>
      </c>
      <c r="F2297" s="3" t="str">
        <f>IF(A2297="","",'ATP Fills'!G2297)</f>
        <v/>
      </c>
      <c r="G2297" t="str">
        <f>IF(A2297="","",'ATP Fills'!H2297)</f>
        <v/>
      </c>
      <c r="H2297" t="str">
        <f>IF(A2297="","",VLOOKUP(G2297,表3_3[],2,0))</f>
        <v/>
      </c>
      <c r="I2297" t="str">
        <f>IF(A2297="","",VLOOKUP(G2297,表3_3[],3,0))</f>
        <v/>
      </c>
      <c r="J2297" t="str">
        <f>IF(A2297="","",IF('ATP Fills'!I2297="3M","",VLOOKUP(RIGHT('ATP Fills'!I2297,2),Helper1!$O$36:$P$48,2,0)))</f>
        <v/>
      </c>
      <c r="K2297" t="str">
        <f>IF(J2297="","",LEFT('ATP Fills'!I2297,4))</f>
        <v/>
      </c>
      <c r="L2297" t="str">
        <f>IF(A2297="","",IF('ATP Fills'!G2297="LME",'ATP Fills'!I2297,""))</f>
        <v/>
      </c>
      <c r="M2297" t="str">
        <f t="shared" si="35"/>
        <v/>
      </c>
    </row>
    <row r="2298" spans="1:13">
      <c r="A2298" t="str">
        <f>IF('ATP Fills'!A2298="","",IF('ATP Fills'!Q2298="PHILLIPSG",'ATP Fills'!F2298,""))</f>
        <v/>
      </c>
      <c r="B2298" t="str">
        <f>IF(A2298="","",'ATP Fills'!L2298)</f>
        <v/>
      </c>
      <c r="C2298" t="str">
        <f>IF(A2298="","",'ATP Fills'!M2298)</f>
        <v/>
      </c>
      <c r="D2298" t="str">
        <f>IF(A2298="","",'ATP Fills'!B2298)</f>
        <v/>
      </c>
      <c r="E2298" s="3" t="str">
        <f>IF(A2298="","",IF(DATE(LEFT(D2298,4),MID(D2298,5,2),RIGHT(D2298,2))=Helper1!$P$1,Helper1!$P$1,""))</f>
        <v/>
      </c>
      <c r="F2298" s="3" t="str">
        <f>IF(A2298="","",'ATP Fills'!G2298)</f>
        <v/>
      </c>
      <c r="G2298" t="str">
        <f>IF(A2298="","",'ATP Fills'!H2298)</f>
        <v/>
      </c>
      <c r="H2298" t="str">
        <f>IF(A2298="","",VLOOKUP(G2298,表3_3[],2,0))</f>
        <v/>
      </c>
      <c r="I2298" t="str">
        <f>IF(A2298="","",VLOOKUP(G2298,表3_3[],3,0))</f>
        <v/>
      </c>
      <c r="J2298" t="str">
        <f>IF(A2298="","",IF('ATP Fills'!I2298="3M","",VLOOKUP(RIGHT('ATP Fills'!I2298,2),Helper1!$O$36:$P$48,2,0)))</f>
        <v/>
      </c>
      <c r="K2298" t="str">
        <f>IF(J2298="","",LEFT('ATP Fills'!I2298,4))</f>
        <v/>
      </c>
      <c r="L2298" t="str">
        <f>IF(A2298="","",IF('ATP Fills'!G2298="LME",'ATP Fills'!I2298,""))</f>
        <v/>
      </c>
      <c r="M2298" t="str">
        <f t="shared" si="35"/>
        <v/>
      </c>
    </row>
    <row r="2299" spans="1:13">
      <c r="A2299" t="str">
        <f>IF('ATP Fills'!A2299="","",IF('ATP Fills'!Q2299="PHILLIPSG",'ATP Fills'!F2299,""))</f>
        <v/>
      </c>
      <c r="B2299" t="str">
        <f>IF(A2299="","",'ATP Fills'!L2299)</f>
        <v/>
      </c>
      <c r="C2299" t="str">
        <f>IF(A2299="","",'ATP Fills'!M2299)</f>
        <v/>
      </c>
      <c r="D2299" t="str">
        <f>IF(A2299="","",'ATP Fills'!B2299)</f>
        <v/>
      </c>
      <c r="E2299" s="3" t="str">
        <f>IF(A2299="","",IF(DATE(LEFT(D2299,4),MID(D2299,5,2),RIGHT(D2299,2))=Helper1!$P$1,Helper1!$P$1,""))</f>
        <v/>
      </c>
      <c r="F2299" s="3" t="str">
        <f>IF(A2299="","",'ATP Fills'!G2299)</f>
        <v/>
      </c>
      <c r="G2299" t="str">
        <f>IF(A2299="","",'ATP Fills'!H2299)</f>
        <v/>
      </c>
      <c r="H2299" t="str">
        <f>IF(A2299="","",VLOOKUP(G2299,表3_3[],2,0))</f>
        <v/>
      </c>
      <c r="I2299" t="str">
        <f>IF(A2299="","",VLOOKUP(G2299,表3_3[],3,0))</f>
        <v/>
      </c>
      <c r="J2299" t="str">
        <f>IF(A2299="","",IF('ATP Fills'!I2299="3M","",VLOOKUP(RIGHT('ATP Fills'!I2299,2),Helper1!$O$36:$P$48,2,0)))</f>
        <v/>
      </c>
      <c r="K2299" t="str">
        <f>IF(J2299="","",LEFT('ATP Fills'!I2299,4))</f>
        <v/>
      </c>
      <c r="L2299" t="str">
        <f>IF(A2299="","",IF('ATP Fills'!G2299="LME",'ATP Fills'!I2299,""))</f>
        <v/>
      </c>
      <c r="M2299" t="str">
        <f t="shared" si="35"/>
        <v/>
      </c>
    </row>
    <row r="2300" spans="1:13">
      <c r="A2300" t="str">
        <f>IF('ATP Fills'!A2300="","",IF('ATP Fills'!Q2300="PHILLIPSG",'ATP Fills'!F2300,""))</f>
        <v/>
      </c>
      <c r="B2300" t="str">
        <f>IF(A2300="","",'ATP Fills'!L2300)</f>
        <v/>
      </c>
      <c r="C2300" t="str">
        <f>IF(A2300="","",'ATP Fills'!M2300)</f>
        <v/>
      </c>
      <c r="D2300" t="str">
        <f>IF(A2300="","",'ATP Fills'!B2300)</f>
        <v/>
      </c>
      <c r="E2300" s="3" t="str">
        <f>IF(A2300="","",IF(DATE(LEFT(D2300,4),MID(D2300,5,2),RIGHT(D2300,2))=Helper1!$P$1,Helper1!$P$1,""))</f>
        <v/>
      </c>
      <c r="F2300" s="3" t="str">
        <f>IF(A2300="","",'ATP Fills'!G2300)</f>
        <v/>
      </c>
      <c r="G2300" t="str">
        <f>IF(A2300="","",'ATP Fills'!H2300)</f>
        <v/>
      </c>
      <c r="H2300" t="str">
        <f>IF(A2300="","",VLOOKUP(G2300,表3_3[],2,0))</f>
        <v/>
      </c>
      <c r="I2300" t="str">
        <f>IF(A2300="","",VLOOKUP(G2300,表3_3[],3,0))</f>
        <v/>
      </c>
      <c r="J2300" t="str">
        <f>IF(A2300="","",IF('ATP Fills'!I2300="3M","",VLOOKUP(RIGHT('ATP Fills'!I2300,2),Helper1!$O$36:$P$48,2,0)))</f>
        <v/>
      </c>
      <c r="K2300" t="str">
        <f>IF(J2300="","",LEFT('ATP Fills'!I2300,4))</f>
        <v/>
      </c>
      <c r="L2300" t="str">
        <f>IF(A2300="","",IF('ATP Fills'!G2300="LME",'ATP Fills'!I2300,""))</f>
        <v/>
      </c>
      <c r="M2300" t="str">
        <f t="shared" si="35"/>
        <v/>
      </c>
    </row>
    <row r="2301" spans="1:13">
      <c r="A2301" t="str">
        <f>IF('ATP Fills'!A2301="","",IF('ATP Fills'!Q2301="PHILLIPSG",'ATP Fills'!F2301,""))</f>
        <v/>
      </c>
      <c r="B2301" t="str">
        <f>IF(A2301="","",'ATP Fills'!L2301)</f>
        <v/>
      </c>
      <c r="C2301" t="str">
        <f>IF(A2301="","",'ATP Fills'!M2301)</f>
        <v/>
      </c>
      <c r="D2301" t="str">
        <f>IF(A2301="","",'ATP Fills'!B2301)</f>
        <v/>
      </c>
      <c r="E2301" s="3" t="str">
        <f>IF(A2301="","",IF(DATE(LEFT(D2301,4),MID(D2301,5,2),RIGHT(D2301,2))=Helper1!$P$1,Helper1!$P$1,""))</f>
        <v/>
      </c>
      <c r="F2301" s="3" t="str">
        <f>IF(A2301="","",'ATP Fills'!G2301)</f>
        <v/>
      </c>
      <c r="G2301" t="str">
        <f>IF(A2301="","",'ATP Fills'!H2301)</f>
        <v/>
      </c>
      <c r="H2301" t="str">
        <f>IF(A2301="","",VLOOKUP(G2301,表3_3[],2,0))</f>
        <v/>
      </c>
      <c r="I2301" t="str">
        <f>IF(A2301="","",VLOOKUP(G2301,表3_3[],3,0))</f>
        <v/>
      </c>
      <c r="J2301" t="str">
        <f>IF(A2301="","",IF('ATP Fills'!I2301="3M","",VLOOKUP(RIGHT('ATP Fills'!I2301,2),Helper1!$O$36:$P$48,2,0)))</f>
        <v/>
      </c>
      <c r="K2301" t="str">
        <f>IF(J2301="","",LEFT('ATP Fills'!I2301,4))</f>
        <v/>
      </c>
      <c r="L2301" t="str">
        <f>IF(A2301="","",IF('ATP Fills'!G2301="LME",'ATP Fills'!I2301,""))</f>
        <v/>
      </c>
      <c r="M2301" t="str">
        <f t="shared" si="35"/>
        <v/>
      </c>
    </row>
    <row r="2302" spans="1:13">
      <c r="A2302" t="str">
        <f>IF('ATP Fills'!A2302="","",IF('ATP Fills'!Q2302="PHILLIPSG",'ATP Fills'!F2302,""))</f>
        <v/>
      </c>
      <c r="B2302" t="str">
        <f>IF(A2302="","",'ATP Fills'!L2302)</f>
        <v/>
      </c>
      <c r="C2302" t="str">
        <f>IF(A2302="","",'ATP Fills'!M2302)</f>
        <v/>
      </c>
      <c r="D2302" t="str">
        <f>IF(A2302="","",'ATP Fills'!B2302)</f>
        <v/>
      </c>
      <c r="E2302" s="3" t="str">
        <f>IF(A2302="","",IF(DATE(LEFT(D2302,4),MID(D2302,5,2),RIGHT(D2302,2))=Helper1!$P$1,Helper1!$P$1,""))</f>
        <v/>
      </c>
      <c r="F2302" s="3" t="str">
        <f>IF(A2302="","",'ATP Fills'!G2302)</f>
        <v/>
      </c>
      <c r="G2302" t="str">
        <f>IF(A2302="","",'ATP Fills'!H2302)</f>
        <v/>
      </c>
      <c r="H2302" t="str">
        <f>IF(A2302="","",VLOOKUP(G2302,表3_3[],2,0))</f>
        <v/>
      </c>
      <c r="I2302" t="str">
        <f>IF(A2302="","",VLOOKUP(G2302,表3_3[],3,0))</f>
        <v/>
      </c>
      <c r="J2302" t="str">
        <f>IF(A2302="","",IF('ATP Fills'!I2302="3M","",VLOOKUP(RIGHT('ATP Fills'!I2302,2),Helper1!$O$36:$P$48,2,0)))</f>
        <v/>
      </c>
      <c r="K2302" t="str">
        <f>IF(J2302="","",LEFT('ATP Fills'!I2302,4))</f>
        <v/>
      </c>
      <c r="L2302" t="str">
        <f>IF(A2302="","",IF('ATP Fills'!G2302="LME",'ATP Fills'!I2302,""))</f>
        <v/>
      </c>
      <c r="M2302" t="str">
        <f t="shared" si="35"/>
        <v/>
      </c>
    </row>
    <row r="2303" spans="1:13">
      <c r="A2303" t="str">
        <f>IF('ATP Fills'!A2303="","",IF('ATP Fills'!Q2303="PHILLIPSG",'ATP Fills'!F2303,""))</f>
        <v/>
      </c>
      <c r="B2303" t="str">
        <f>IF(A2303="","",'ATP Fills'!L2303)</f>
        <v/>
      </c>
      <c r="C2303" t="str">
        <f>IF(A2303="","",'ATP Fills'!M2303)</f>
        <v/>
      </c>
      <c r="D2303" t="str">
        <f>IF(A2303="","",'ATP Fills'!B2303)</f>
        <v/>
      </c>
      <c r="E2303" s="3" t="str">
        <f>IF(A2303="","",IF(DATE(LEFT(D2303,4),MID(D2303,5,2),RIGHT(D2303,2))=Helper1!$P$1,Helper1!$P$1,""))</f>
        <v/>
      </c>
      <c r="F2303" s="3" t="str">
        <f>IF(A2303="","",'ATP Fills'!G2303)</f>
        <v/>
      </c>
      <c r="G2303" t="str">
        <f>IF(A2303="","",'ATP Fills'!H2303)</f>
        <v/>
      </c>
      <c r="H2303" t="str">
        <f>IF(A2303="","",VLOOKUP(G2303,表3_3[],2,0))</f>
        <v/>
      </c>
      <c r="I2303" t="str">
        <f>IF(A2303="","",VLOOKUP(G2303,表3_3[],3,0))</f>
        <v/>
      </c>
      <c r="J2303" t="str">
        <f>IF(A2303="","",IF('ATP Fills'!I2303="3M","",VLOOKUP(RIGHT('ATP Fills'!I2303,2),Helper1!$O$36:$P$48,2,0)))</f>
        <v/>
      </c>
      <c r="K2303" t="str">
        <f>IF(J2303="","",LEFT('ATP Fills'!I2303,4))</f>
        <v/>
      </c>
      <c r="L2303" t="str">
        <f>IF(A2303="","",IF('ATP Fills'!G2303="LME",'ATP Fills'!I2303,""))</f>
        <v/>
      </c>
      <c r="M2303" t="str">
        <f t="shared" si="35"/>
        <v/>
      </c>
    </row>
    <row r="2304" spans="1:13">
      <c r="A2304" t="str">
        <f>IF('ATP Fills'!A2304="","",IF('ATP Fills'!Q2304="PHILLIPSG",'ATP Fills'!F2304,""))</f>
        <v/>
      </c>
      <c r="B2304" t="str">
        <f>IF(A2304="","",'ATP Fills'!L2304)</f>
        <v/>
      </c>
      <c r="C2304" t="str">
        <f>IF(A2304="","",'ATP Fills'!M2304)</f>
        <v/>
      </c>
      <c r="D2304" t="str">
        <f>IF(A2304="","",'ATP Fills'!B2304)</f>
        <v/>
      </c>
      <c r="E2304" s="3" t="str">
        <f>IF(A2304="","",IF(DATE(LEFT(D2304,4),MID(D2304,5,2),RIGHT(D2304,2))=Helper1!$P$1,Helper1!$P$1,""))</f>
        <v/>
      </c>
      <c r="F2304" s="3" t="str">
        <f>IF(A2304="","",'ATP Fills'!G2304)</f>
        <v/>
      </c>
      <c r="G2304" t="str">
        <f>IF(A2304="","",'ATP Fills'!H2304)</f>
        <v/>
      </c>
      <c r="H2304" t="str">
        <f>IF(A2304="","",VLOOKUP(G2304,表3_3[],2,0))</f>
        <v/>
      </c>
      <c r="I2304" t="str">
        <f>IF(A2304="","",VLOOKUP(G2304,表3_3[],3,0))</f>
        <v/>
      </c>
      <c r="J2304" t="str">
        <f>IF(A2304="","",IF('ATP Fills'!I2304="3M","",VLOOKUP(RIGHT('ATP Fills'!I2304,2),Helper1!$O$36:$P$48,2,0)))</f>
        <v/>
      </c>
      <c r="K2304" t="str">
        <f>IF(J2304="","",LEFT('ATP Fills'!I2304,4))</f>
        <v/>
      </c>
      <c r="L2304" t="str">
        <f>IF(A2304="","",IF('ATP Fills'!G2304="LME",'ATP Fills'!I2304,""))</f>
        <v/>
      </c>
      <c r="M2304" t="str">
        <f t="shared" si="35"/>
        <v/>
      </c>
    </row>
    <row r="2305" spans="1:13">
      <c r="A2305" t="str">
        <f>IF('ATP Fills'!A2305="","",IF('ATP Fills'!Q2305="PHILLIPSG",'ATP Fills'!F2305,""))</f>
        <v/>
      </c>
      <c r="B2305" t="str">
        <f>IF(A2305="","",'ATP Fills'!L2305)</f>
        <v/>
      </c>
      <c r="C2305" t="str">
        <f>IF(A2305="","",'ATP Fills'!M2305)</f>
        <v/>
      </c>
      <c r="D2305" t="str">
        <f>IF(A2305="","",'ATP Fills'!B2305)</f>
        <v/>
      </c>
      <c r="E2305" s="3" t="str">
        <f>IF(A2305="","",IF(DATE(LEFT(D2305,4),MID(D2305,5,2),RIGHT(D2305,2))=Helper1!$P$1,Helper1!$P$1,""))</f>
        <v/>
      </c>
      <c r="F2305" s="3" t="str">
        <f>IF(A2305="","",'ATP Fills'!G2305)</f>
        <v/>
      </c>
      <c r="G2305" t="str">
        <f>IF(A2305="","",'ATP Fills'!H2305)</f>
        <v/>
      </c>
      <c r="H2305" t="str">
        <f>IF(A2305="","",VLOOKUP(G2305,表3_3[],2,0))</f>
        <v/>
      </c>
      <c r="I2305" t="str">
        <f>IF(A2305="","",VLOOKUP(G2305,表3_3[],3,0))</f>
        <v/>
      </c>
      <c r="J2305" t="str">
        <f>IF(A2305="","",IF('ATP Fills'!I2305="3M","",VLOOKUP(RIGHT('ATP Fills'!I2305,2),Helper1!$O$36:$P$48,2,0)))</f>
        <v/>
      </c>
      <c r="K2305" t="str">
        <f>IF(J2305="","",LEFT('ATP Fills'!I2305,4))</f>
        <v/>
      </c>
      <c r="L2305" t="str">
        <f>IF(A2305="","",IF('ATP Fills'!G2305="LME",'ATP Fills'!I2305,""))</f>
        <v/>
      </c>
      <c r="M2305" t="str">
        <f t="shared" si="35"/>
        <v/>
      </c>
    </row>
    <row r="2306" spans="1:13">
      <c r="A2306" t="str">
        <f>IF('ATP Fills'!A2306="","",IF('ATP Fills'!Q2306="PHILLIPSG",'ATP Fills'!F2306,""))</f>
        <v/>
      </c>
      <c r="B2306" t="str">
        <f>IF(A2306="","",'ATP Fills'!L2306)</f>
        <v/>
      </c>
      <c r="C2306" t="str">
        <f>IF(A2306="","",'ATP Fills'!M2306)</f>
        <v/>
      </c>
      <c r="D2306" t="str">
        <f>IF(A2306="","",'ATP Fills'!B2306)</f>
        <v/>
      </c>
      <c r="E2306" s="3" t="str">
        <f>IF(A2306="","",IF(DATE(LEFT(D2306,4),MID(D2306,5,2),RIGHT(D2306,2))=Helper1!$P$1,Helper1!$P$1,""))</f>
        <v/>
      </c>
      <c r="F2306" s="3" t="str">
        <f>IF(A2306="","",'ATP Fills'!G2306)</f>
        <v/>
      </c>
      <c r="G2306" t="str">
        <f>IF(A2306="","",'ATP Fills'!H2306)</f>
        <v/>
      </c>
      <c r="H2306" t="str">
        <f>IF(A2306="","",VLOOKUP(G2306,表3_3[],2,0))</f>
        <v/>
      </c>
      <c r="I2306" t="str">
        <f>IF(A2306="","",VLOOKUP(G2306,表3_3[],3,0))</f>
        <v/>
      </c>
      <c r="J2306" t="str">
        <f>IF(A2306="","",IF('ATP Fills'!I2306="3M","",VLOOKUP(RIGHT('ATP Fills'!I2306,2),Helper1!$O$36:$P$48,2,0)))</f>
        <v/>
      </c>
      <c r="K2306" t="str">
        <f>IF(J2306="","",LEFT('ATP Fills'!I2306,4))</f>
        <v/>
      </c>
      <c r="L2306" t="str">
        <f>IF(A2306="","",IF('ATP Fills'!G2306="LME",'ATP Fills'!I2306,""))</f>
        <v/>
      </c>
      <c r="M2306" t="str">
        <f t="shared" si="35"/>
        <v/>
      </c>
    </row>
    <row r="2307" spans="1:13">
      <c r="A2307" t="str">
        <f>IF('ATP Fills'!A2307="","",IF('ATP Fills'!Q2307="PHILLIPSG",'ATP Fills'!F2307,""))</f>
        <v/>
      </c>
      <c r="B2307" t="str">
        <f>IF(A2307="","",'ATP Fills'!L2307)</f>
        <v/>
      </c>
      <c r="C2307" t="str">
        <f>IF(A2307="","",'ATP Fills'!M2307)</f>
        <v/>
      </c>
      <c r="D2307" t="str">
        <f>IF(A2307="","",'ATP Fills'!B2307)</f>
        <v/>
      </c>
      <c r="E2307" s="3" t="str">
        <f>IF(A2307="","",IF(DATE(LEFT(D2307,4),MID(D2307,5,2),RIGHT(D2307,2))=Helper1!$P$1,Helper1!$P$1,""))</f>
        <v/>
      </c>
      <c r="F2307" s="3" t="str">
        <f>IF(A2307="","",'ATP Fills'!G2307)</f>
        <v/>
      </c>
      <c r="G2307" t="str">
        <f>IF(A2307="","",'ATP Fills'!H2307)</f>
        <v/>
      </c>
      <c r="H2307" t="str">
        <f>IF(A2307="","",VLOOKUP(G2307,表3_3[],2,0))</f>
        <v/>
      </c>
      <c r="I2307" t="str">
        <f>IF(A2307="","",VLOOKUP(G2307,表3_3[],3,0))</f>
        <v/>
      </c>
      <c r="J2307" t="str">
        <f>IF(A2307="","",IF('ATP Fills'!I2307="3M","",VLOOKUP(RIGHT('ATP Fills'!I2307,2),Helper1!$O$36:$P$48,2,0)))</f>
        <v/>
      </c>
      <c r="K2307" t="str">
        <f>IF(J2307="","",LEFT('ATP Fills'!I2307,4))</f>
        <v/>
      </c>
      <c r="L2307" t="str">
        <f>IF(A2307="","",IF('ATP Fills'!G2307="LME",'ATP Fills'!I2307,""))</f>
        <v/>
      </c>
      <c r="M2307" t="str">
        <f t="shared" ref="M2307:M2370" si="36">IF(A2307="","",IF(F2307="LME",F2307&amp;"-"&amp;I2307&amp;"-"&amp;L2307,J2307&amp;"-"&amp;K2307&amp;"-"&amp;I2307))</f>
        <v/>
      </c>
    </row>
    <row r="2308" spans="1:13">
      <c r="A2308" t="str">
        <f>IF('ATP Fills'!A2308="","",IF('ATP Fills'!Q2308="PHILLIPSG",'ATP Fills'!F2308,""))</f>
        <v/>
      </c>
      <c r="B2308" t="str">
        <f>IF(A2308="","",'ATP Fills'!L2308)</f>
        <v/>
      </c>
      <c r="C2308" t="str">
        <f>IF(A2308="","",'ATP Fills'!M2308)</f>
        <v/>
      </c>
      <c r="D2308" t="str">
        <f>IF(A2308="","",'ATP Fills'!B2308)</f>
        <v/>
      </c>
      <c r="E2308" s="3" t="str">
        <f>IF(A2308="","",IF(DATE(LEFT(D2308,4),MID(D2308,5,2),RIGHT(D2308,2))=Helper1!$P$1,Helper1!$P$1,""))</f>
        <v/>
      </c>
      <c r="F2308" s="3" t="str">
        <f>IF(A2308="","",'ATP Fills'!G2308)</f>
        <v/>
      </c>
      <c r="G2308" t="str">
        <f>IF(A2308="","",'ATP Fills'!H2308)</f>
        <v/>
      </c>
      <c r="H2308" t="str">
        <f>IF(A2308="","",VLOOKUP(G2308,表3_3[],2,0))</f>
        <v/>
      </c>
      <c r="I2308" t="str">
        <f>IF(A2308="","",VLOOKUP(G2308,表3_3[],3,0))</f>
        <v/>
      </c>
      <c r="J2308" t="str">
        <f>IF(A2308="","",IF('ATP Fills'!I2308="3M","",VLOOKUP(RIGHT('ATP Fills'!I2308,2),Helper1!$O$36:$P$48,2,0)))</f>
        <v/>
      </c>
      <c r="K2308" t="str">
        <f>IF(J2308="","",LEFT('ATP Fills'!I2308,4))</f>
        <v/>
      </c>
      <c r="L2308" t="str">
        <f>IF(A2308="","",IF('ATP Fills'!G2308="LME",'ATP Fills'!I2308,""))</f>
        <v/>
      </c>
      <c r="M2308" t="str">
        <f t="shared" si="36"/>
        <v/>
      </c>
    </row>
    <row r="2309" spans="1:13">
      <c r="A2309" t="str">
        <f>IF('ATP Fills'!A2309="","",IF('ATP Fills'!Q2309="PHILLIPSG",'ATP Fills'!F2309,""))</f>
        <v/>
      </c>
      <c r="B2309" t="str">
        <f>IF(A2309="","",'ATP Fills'!L2309)</f>
        <v/>
      </c>
      <c r="C2309" t="str">
        <f>IF(A2309="","",'ATP Fills'!M2309)</f>
        <v/>
      </c>
      <c r="D2309" t="str">
        <f>IF(A2309="","",'ATP Fills'!B2309)</f>
        <v/>
      </c>
      <c r="E2309" s="3" t="str">
        <f>IF(A2309="","",IF(DATE(LEFT(D2309,4),MID(D2309,5,2),RIGHT(D2309,2))=Helper1!$P$1,Helper1!$P$1,""))</f>
        <v/>
      </c>
      <c r="F2309" s="3" t="str">
        <f>IF(A2309="","",'ATP Fills'!G2309)</f>
        <v/>
      </c>
      <c r="G2309" t="str">
        <f>IF(A2309="","",'ATP Fills'!H2309)</f>
        <v/>
      </c>
      <c r="H2309" t="str">
        <f>IF(A2309="","",VLOOKUP(G2309,表3_3[],2,0))</f>
        <v/>
      </c>
      <c r="I2309" t="str">
        <f>IF(A2309="","",VLOOKUP(G2309,表3_3[],3,0))</f>
        <v/>
      </c>
      <c r="J2309" t="str">
        <f>IF(A2309="","",IF('ATP Fills'!I2309="3M","",VLOOKUP(RIGHT('ATP Fills'!I2309,2),Helper1!$O$36:$P$48,2,0)))</f>
        <v/>
      </c>
      <c r="K2309" t="str">
        <f>IF(J2309="","",LEFT('ATP Fills'!I2309,4))</f>
        <v/>
      </c>
      <c r="L2309" t="str">
        <f>IF(A2309="","",IF('ATP Fills'!G2309="LME",'ATP Fills'!I2309,""))</f>
        <v/>
      </c>
      <c r="M2309" t="str">
        <f t="shared" si="36"/>
        <v/>
      </c>
    </row>
    <row r="2310" spans="1:13">
      <c r="A2310" t="str">
        <f>IF('ATP Fills'!A2310="","",IF('ATP Fills'!Q2310="PHILLIPSG",'ATP Fills'!F2310,""))</f>
        <v/>
      </c>
      <c r="B2310" t="str">
        <f>IF(A2310="","",'ATP Fills'!L2310)</f>
        <v/>
      </c>
      <c r="C2310" t="str">
        <f>IF(A2310="","",'ATP Fills'!M2310)</f>
        <v/>
      </c>
      <c r="D2310" t="str">
        <f>IF(A2310="","",'ATP Fills'!B2310)</f>
        <v/>
      </c>
      <c r="E2310" s="3" t="str">
        <f>IF(A2310="","",IF(DATE(LEFT(D2310,4),MID(D2310,5,2),RIGHT(D2310,2))=Helper1!$P$1,Helper1!$P$1,""))</f>
        <v/>
      </c>
      <c r="F2310" s="3" t="str">
        <f>IF(A2310="","",'ATP Fills'!G2310)</f>
        <v/>
      </c>
      <c r="G2310" t="str">
        <f>IF(A2310="","",'ATP Fills'!H2310)</f>
        <v/>
      </c>
      <c r="H2310" t="str">
        <f>IF(A2310="","",VLOOKUP(G2310,表3_3[],2,0))</f>
        <v/>
      </c>
      <c r="I2310" t="str">
        <f>IF(A2310="","",VLOOKUP(G2310,表3_3[],3,0))</f>
        <v/>
      </c>
      <c r="J2310" t="str">
        <f>IF(A2310="","",IF('ATP Fills'!I2310="3M","",VLOOKUP(RIGHT('ATP Fills'!I2310,2),Helper1!$O$36:$P$48,2,0)))</f>
        <v/>
      </c>
      <c r="K2310" t="str">
        <f>IF(J2310="","",LEFT('ATP Fills'!I2310,4))</f>
        <v/>
      </c>
      <c r="L2310" t="str">
        <f>IF(A2310="","",IF('ATP Fills'!G2310="LME",'ATP Fills'!I2310,""))</f>
        <v/>
      </c>
      <c r="M2310" t="str">
        <f t="shared" si="36"/>
        <v/>
      </c>
    </row>
    <row r="2311" spans="1:13">
      <c r="A2311" t="str">
        <f>IF('ATP Fills'!A2311="","",IF('ATP Fills'!Q2311="PHILLIPSG",'ATP Fills'!F2311,""))</f>
        <v/>
      </c>
      <c r="B2311" t="str">
        <f>IF(A2311="","",'ATP Fills'!L2311)</f>
        <v/>
      </c>
      <c r="C2311" t="str">
        <f>IF(A2311="","",'ATP Fills'!M2311)</f>
        <v/>
      </c>
      <c r="D2311" t="str">
        <f>IF(A2311="","",'ATP Fills'!B2311)</f>
        <v/>
      </c>
      <c r="E2311" s="3" t="str">
        <f>IF(A2311="","",IF(DATE(LEFT(D2311,4),MID(D2311,5,2),RIGHT(D2311,2))=Helper1!$P$1,Helper1!$P$1,""))</f>
        <v/>
      </c>
      <c r="F2311" s="3" t="str">
        <f>IF(A2311="","",'ATP Fills'!G2311)</f>
        <v/>
      </c>
      <c r="G2311" t="str">
        <f>IF(A2311="","",'ATP Fills'!H2311)</f>
        <v/>
      </c>
      <c r="H2311" t="str">
        <f>IF(A2311="","",VLOOKUP(G2311,表3_3[],2,0))</f>
        <v/>
      </c>
      <c r="I2311" t="str">
        <f>IF(A2311="","",VLOOKUP(G2311,表3_3[],3,0))</f>
        <v/>
      </c>
      <c r="J2311" t="str">
        <f>IF(A2311="","",IF('ATP Fills'!I2311="3M","",VLOOKUP(RIGHT('ATP Fills'!I2311,2),Helper1!$O$36:$P$48,2,0)))</f>
        <v/>
      </c>
      <c r="K2311" t="str">
        <f>IF(J2311="","",LEFT('ATP Fills'!I2311,4))</f>
        <v/>
      </c>
      <c r="L2311" t="str">
        <f>IF(A2311="","",IF('ATP Fills'!G2311="LME",'ATP Fills'!I2311,""))</f>
        <v/>
      </c>
      <c r="M2311" t="str">
        <f t="shared" si="36"/>
        <v/>
      </c>
    </row>
    <row r="2312" spans="1:13">
      <c r="A2312" t="str">
        <f>IF('ATP Fills'!A2312="","",IF('ATP Fills'!Q2312="PHILLIPSG",'ATP Fills'!F2312,""))</f>
        <v/>
      </c>
      <c r="B2312" t="str">
        <f>IF(A2312="","",'ATP Fills'!L2312)</f>
        <v/>
      </c>
      <c r="C2312" t="str">
        <f>IF(A2312="","",'ATP Fills'!M2312)</f>
        <v/>
      </c>
      <c r="D2312" t="str">
        <f>IF(A2312="","",'ATP Fills'!B2312)</f>
        <v/>
      </c>
      <c r="E2312" s="3" t="str">
        <f>IF(A2312="","",IF(DATE(LEFT(D2312,4),MID(D2312,5,2),RIGHT(D2312,2))=Helper1!$P$1,Helper1!$P$1,""))</f>
        <v/>
      </c>
      <c r="F2312" s="3" t="str">
        <f>IF(A2312="","",'ATP Fills'!G2312)</f>
        <v/>
      </c>
      <c r="G2312" t="str">
        <f>IF(A2312="","",'ATP Fills'!H2312)</f>
        <v/>
      </c>
      <c r="H2312" t="str">
        <f>IF(A2312="","",VLOOKUP(G2312,表3_3[],2,0))</f>
        <v/>
      </c>
      <c r="I2312" t="str">
        <f>IF(A2312="","",VLOOKUP(G2312,表3_3[],3,0))</f>
        <v/>
      </c>
      <c r="J2312" t="str">
        <f>IF(A2312="","",IF('ATP Fills'!I2312="3M","",VLOOKUP(RIGHT('ATP Fills'!I2312,2),Helper1!$O$36:$P$48,2,0)))</f>
        <v/>
      </c>
      <c r="K2312" t="str">
        <f>IF(J2312="","",LEFT('ATP Fills'!I2312,4))</f>
        <v/>
      </c>
      <c r="L2312" t="str">
        <f>IF(A2312="","",IF('ATP Fills'!G2312="LME",'ATP Fills'!I2312,""))</f>
        <v/>
      </c>
      <c r="M2312" t="str">
        <f t="shared" si="36"/>
        <v/>
      </c>
    </row>
    <row r="2313" spans="1:13">
      <c r="A2313" t="str">
        <f>IF('ATP Fills'!A2313="","",IF('ATP Fills'!Q2313="PHILLIPSG",'ATP Fills'!F2313,""))</f>
        <v/>
      </c>
      <c r="B2313" t="str">
        <f>IF(A2313="","",'ATP Fills'!L2313)</f>
        <v/>
      </c>
      <c r="C2313" t="str">
        <f>IF(A2313="","",'ATP Fills'!M2313)</f>
        <v/>
      </c>
      <c r="D2313" t="str">
        <f>IF(A2313="","",'ATP Fills'!B2313)</f>
        <v/>
      </c>
      <c r="E2313" s="3" t="str">
        <f>IF(A2313="","",IF(DATE(LEFT(D2313,4),MID(D2313,5,2),RIGHT(D2313,2))=Helper1!$P$1,Helper1!$P$1,""))</f>
        <v/>
      </c>
      <c r="F2313" s="3" t="str">
        <f>IF(A2313="","",'ATP Fills'!G2313)</f>
        <v/>
      </c>
      <c r="G2313" t="str">
        <f>IF(A2313="","",'ATP Fills'!H2313)</f>
        <v/>
      </c>
      <c r="H2313" t="str">
        <f>IF(A2313="","",VLOOKUP(G2313,表3_3[],2,0))</f>
        <v/>
      </c>
      <c r="I2313" t="str">
        <f>IF(A2313="","",VLOOKUP(G2313,表3_3[],3,0))</f>
        <v/>
      </c>
      <c r="J2313" t="str">
        <f>IF(A2313="","",IF('ATP Fills'!I2313="3M","",VLOOKUP(RIGHT('ATP Fills'!I2313,2),Helper1!$O$36:$P$48,2,0)))</f>
        <v/>
      </c>
      <c r="K2313" t="str">
        <f>IF(J2313="","",LEFT('ATP Fills'!I2313,4))</f>
        <v/>
      </c>
      <c r="L2313" t="str">
        <f>IF(A2313="","",IF('ATP Fills'!G2313="LME",'ATP Fills'!I2313,""))</f>
        <v/>
      </c>
      <c r="M2313" t="str">
        <f t="shared" si="36"/>
        <v/>
      </c>
    </row>
    <row r="2314" spans="1:13">
      <c r="A2314" t="str">
        <f>IF('ATP Fills'!A2314="","",IF('ATP Fills'!Q2314="PHILLIPSG",'ATP Fills'!F2314,""))</f>
        <v/>
      </c>
      <c r="B2314" t="str">
        <f>IF(A2314="","",'ATP Fills'!L2314)</f>
        <v/>
      </c>
      <c r="C2314" t="str">
        <f>IF(A2314="","",'ATP Fills'!M2314)</f>
        <v/>
      </c>
      <c r="D2314" t="str">
        <f>IF(A2314="","",'ATP Fills'!B2314)</f>
        <v/>
      </c>
      <c r="E2314" s="3" t="str">
        <f>IF(A2314="","",IF(DATE(LEFT(D2314,4),MID(D2314,5,2),RIGHT(D2314,2))=Helper1!$P$1,Helper1!$P$1,""))</f>
        <v/>
      </c>
      <c r="F2314" s="3" t="str">
        <f>IF(A2314="","",'ATP Fills'!G2314)</f>
        <v/>
      </c>
      <c r="G2314" t="str">
        <f>IF(A2314="","",'ATP Fills'!H2314)</f>
        <v/>
      </c>
      <c r="H2314" t="str">
        <f>IF(A2314="","",VLOOKUP(G2314,表3_3[],2,0))</f>
        <v/>
      </c>
      <c r="I2314" t="str">
        <f>IF(A2314="","",VLOOKUP(G2314,表3_3[],3,0))</f>
        <v/>
      </c>
      <c r="J2314" t="str">
        <f>IF(A2314="","",IF('ATP Fills'!I2314="3M","",VLOOKUP(RIGHT('ATP Fills'!I2314,2),Helper1!$O$36:$P$48,2,0)))</f>
        <v/>
      </c>
      <c r="K2314" t="str">
        <f>IF(J2314="","",LEFT('ATP Fills'!I2314,4))</f>
        <v/>
      </c>
      <c r="L2314" t="str">
        <f>IF(A2314="","",IF('ATP Fills'!G2314="LME",'ATP Fills'!I2314,""))</f>
        <v/>
      </c>
      <c r="M2314" t="str">
        <f t="shared" si="36"/>
        <v/>
      </c>
    </row>
    <row r="2315" spans="1:13">
      <c r="A2315" t="str">
        <f>IF('ATP Fills'!A2315="","",IF('ATP Fills'!Q2315="PHILLIPSG",'ATP Fills'!F2315,""))</f>
        <v/>
      </c>
      <c r="B2315" t="str">
        <f>IF(A2315="","",'ATP Fills'!L2315)</f>
        <v/>
      </c>
      <c r="C2315" t="str">
        <f>IF(A2315="","",'ATP Fills'!M2315)</f>
        <v/>
      </c>
      <c r="D2315" t="str">
        <f>IF(A2315="","",'ATP Fills'!B2315)</f>
        <v/>
      </c>
      <c r="E2315" s="3" t="str">
        <f>IF(A2315="","",IF(DATE(LEFT(D2315,4),MID(D2315,5,2),RIGHT(D2315,2))=Helper1!$P$1,Helper1!$P$1,""))</f>
        <v/>
      </c>
      <c r="F2315" s="3" t="str">
        <f>IF(A2315="","",'ATP Fills'!G2315)</f>
        <v/>
      </c>
      <c r="G2315" t="str">
        <f>IF(A2315="","",'ATP Fills'!H2315)</f>
        <v/>
      </c>
      <c r="H2315" t="str">
        <f>IF(A2315="","",VLOOKUP(G2315,表3_3[],2,0))</f>
        <v/>
      </c>
      <c r="I2315" t="str">
        <f>IF(A2315="","",VLOOKUP(G2315,表3_3[],3,0))</f>
        <v/>
      </c>
      <c r="J2315" t="str">
        <f>IF(A2315="","",IF('ATP Fills'!I2315="3M","",VLOOKUP(RIGHT('ATP Fills'!I2315,2),Helper1!$O$36:$P$48,2,0)))</f>
        <v/>
      </c>
      <c r="K2315" t="str">
        <f>IF(J2315="","",LEFT('ATP Fills'!I2315,4))</f>
        <v/>
      </c>
      <c r="L2315" t="str">
        <f>IF(A2315="","",IF('ATP Fills'!G2315="LME",'ATP Fills'!I2315,""))</f>
        <v/>
      </c>
      <c r="M2315" t="str">
        <f t="shared" si="36"/>
        <v/>
      </c>
    </row>
    <row r="2316" spans="1:13">
      <c r="A2316" t="str">
        <f>IF('ATP Fills'!A2316="","",IF('ATP Fills'!Q2316="PHILLIPSG",'ATP Fills'!F2316,""))</f>
        <v/>
      </c>
      <c r="B2316" t="str">
        <f>IF(A2316="","",'ATP Fills'!L2316)</f>
        <v/>
      </c>
      <c r="C2316" t="str">
        <f>IF(A2316="","",'ATP Fills'!M2316)</f>
        <v/>
      </c>
      <c r="D2316" t="str">
        <f>IF(A2316="","",'ATP Fills'!B2316)</f>
        <v/>
      </c>
      <c r="E2316" s="3" t="str">
        <f>IF(A2316="","",IF(DATE(LEFT(D2316,4),MID(D2316,5,2),RIGHT(D2316,2))=Helper1!$P$1,Helper1!$P$1,""))</f>
        <v/>
      </c>
      <c r="F2316" s="3" t="str">
        <f>IF(A2316="","",'ATP Fills'!G2316)</f>
        <v/>
      </c>
      <c r="G2316" t="str">
        <f>IF(A2316="","",'ATP Fills'!H2316)</f>
        <v/>
      </c>
      <c r="H2316" t="str">
        <f>IF(A2316="","",VLOOKUP(G2316,表3_3[],2,0))</f>
        <v/>
      </c>
      <c r="I2316" t="str">
        <f>IF(A2316="","",VLOOKUP(G2316,表3_3[],3,0))</f>
        <v/>
      </c>
      <c r="J2316" t="str">
        <f>IF(A2316="","",IF('ATP Fills'!I2316="3M","",VLOOKUP(RIGHT('ATP Fills'!I2316,2),Helper1!$O$36:$P$48,2,0)))</f>
        <v/>
      </c>
      <c r="K2316" t="str">
        <f>IF(J2316="","",LEFT('ATP Fills'!I2316,4))</f>
        <v/>
      </c>
      <c r="L2316" t="str">
        <f>IF(A2316="","",IF('ATP Fills'!G2316="LME",'ATP Fills'!I2316,""))</f>
        <v/>
      </c>
      <c r="M2316" t="str">
        <f t="shared" si="36"/>
        <v/>
      </c>
    </row>
    <row r="2317" spans="1:13">
      <c r="A2317" t="str">
        <f>IF('ATP Fills'!A2317="","",IF('ATP Fills'!Q2317="PHILLIPSG",'ATP Fills'!F2317,""))</f>
        <v/>
      </c>
      <c r="B2317" t="str">
        <f>IF(A2317="","",'ATP Fills'!L2317)</f>
        <v/>
      </c>
      <c r="C2317" t="str">
        <f>IF(A2317="","",'ATP Fills'!M2317)</f>
        <v/>
      </c>
      <c r="D2317" t="str">
        <f>IF(A2317="","",'ATP Fills'!B2317)</f>
        <v/>
      </c>
      <c r="E2317" s="3" t="str">
        <f>IF(A2317="","",IF(DATE(LEFT(D2317,4),MID(D2317,5,2),RIGHT(D2317,2))=Helper1!$P$1,Helper1!$P$1,""))</f>
        <v/>
      </c>
      <c r="F2317" s="3" t="str">
        <f>IF(A2317="","",'ATP Fills'!G2317)</f>
        <v/>
      </c>
      <c r="G2317" t="str">
        <f>IF(A2317="","",'ATP Fills'!H2317)</f>
        <v/>
      </c>
      <c r="H2317" t="str">
        <f>IF(A2317="","",VLOOKUP(G2317,表3_3[],2,0))</f>
        <v/>
      </c>
      <c r="I2317" t="str">
        <f>IF(A2317="","",VLOOKUP(G2317,表3_3[],3,0))</f>
        <v/>
      </c>
      <c r="J2317" t="str">
        <f>IF(A2317="","",IF('ATP Fills'!I2317="3M","",VLOOKUP(RIGHT('ATP Fills'!I2317,2),Helper1!$O$36:$P$48,2,0)))</f>
        <v/>
      </c>
      <c r="K2317" t="str">
        <f>IF(J2317="","",LEFT('ATP Fills'!I2317,4))</f>
        <v/>
      </c>
      <c r="L2317" t="str">
        <f>IF(A2317="","",IF('ATP Fills'!G2317="LME",'ATP Fills'!I2317,""))</f>
        <v/>
      </c>
      <c r="M2317" t="str">
        <f t="shared" si="36"/>
        <v/>
      </c>
    </row>
    <row r="2318" spans="1:13">
      <c r="A2318" t="str">
        <f>IF('ATP Fills'!A2318="","",IF('ATP Fills'!Q2318="PHILLIPSG",'ATP Fills'!F2318,""))</f>
        <v/>
      </c>
      <c r="B2318" t="str">
        <f>IF(A2318="","",'ATP Fills'!L2318)</f>
        <v/>
      </c>
      <c r="C2318" t="str">
        <f>IF(A2318="","",'ATP Fills'!M2318)</f>
        <v/>
      </c>
      <c r="D2318" t="str">
        <f>IF(A2318="","",'ATP Fills'!B2318)</f>
        <v/>
      </c>
      <c r="E2318" s="3" t="str">
        <f>IF(A2318="","",IF(DATE(LEFT(D2318,4),MID(D2318,5,2),RIGHT(D2318,2))=Helper1!$P$1,Helper1!$P$1,""))</f>
        <v/>
      </c>
      <c r="F2318" s="3" t="str">
        <f>IF(A2318="","",'ATP Fills'!G2318)</f>
        <v/>
      </c>
      <c r="G2318" t="str">
        <f>IF(A2318="","",'ATP Fills'!H2318)</f>
        <v/>
      </c>
      <c r="H2318" t="str">
        <f>IF(A2318="","",VLOOKUP(G2318,表3_3[],2,0))</f>
        <v/>
      </c>
      <c r="I2318" t="str">
        <f>IF(A2318="","",VLOOKUP(G2318,表3_3[],3,0))</f>
        <v/>
      </c>
      <c r="J2318" t="str">
        <f>IF(A2318="","",IF('ATP Fills'!I2318="3M","",VLOOKUP(RIGHT('ATP Fills'!I2318,2),Helper1!$O$36:$P$48,2,0)))</f>
        <v/>
      </c>
      <c r="K2318" t="str">
        <f>IF(J2318="","",LEFT('ATP Fills'!I2318,4))</f>
        <v/>
      </c>
      <c r="L2318" t="str">
        <f>IF(A2318="","",IF('ATP Fills'!G2318="LME",'ATP Fills'!I2318,""))</f>
        <v/>
      </c>
      <c r="M2318" t="str">
        <f t="shared" si="36"/>
        <v/>
      </c>
    </row>
    <row r="2319" spans="1:13">
      <c r="A2319" t="str">
        <f>IF('ATP Fills'!A2319="","",IF('ATP Fills'!Q2319="PHILLIPSG",'ATP Fills'!F2319,""))</f>
        <v/>
      </c>
      <c r="B2319" t="str">
        <f>IF(A2319="","",'ATP Fills'!L2319)</f>
        <v/>
      </c>
      <c r="C2319" t="str">
        <f>IF(A2319="","",'ATP Fills'!M2319)</f>
        <v/>
      </c>
      <c r="D2319" t="str">
        <f>IF(A2319="","",'ATP Fills'!B2319)</f>
        <v/>
      </c>
      <c r="E2319" s="3" t="str">
        <f>IF(A2319="","",IF(DATE(LEFT(D2319,4),MID(D2319,5,2),RIGHT(D2319,2))=Helper1!$P$1,Helper1!$P$1,""))</f>
        <v/>
      </c>
      <c r="F2319" s="3" t="str">
        <f>IF(A2319="","",'ATP Fills'!G2319)</f>
        <v/>
      </c>
      <c r="G2319" t="str">
        <f>IF(A2319="","",'ATP Fills'!H2319)</f>
        <v/>
      </c>
      <c r="H2319" t="str">
        <f>IF(A2319="","",VLOOKUP(G2319,表3_3[],2,0))</f>
        <v/>
      </c>
      <c r="I2319" t="str">
        <f>IF(A2319="","",VLOOKUP(G2319,表3_3[],3,0))</f>
        <v/>
      </c>
      <c r="J2319" t="str">
        <f>IF(A2319="","",IF('ATP Fills'!I2319="3M","",VLOOKUP(RIGHT('ATP Fills'!I2319,2),Helper1!$O$36:$P$48,2,0)))</f>
        <v/>
      </c>
      <c r="K2319" t="str">
        <f>IF(J2319="","",LEFT('ATP Fills'!I2319,4))</f>
        <v/>
      </c>
      <c r="L2319" t="str">
        <f>IF(A2319="","",IF('ATP Fills'!G2319="LME",'ATP Fills'!I2319,""))</f>
        <v/>
      </c>
      <c r="M2319" t="str">
        <f t="shared" si="36"/>
        <v/>
      </c>
    </row>
    <row r="2320" spans="1:13">
      <c r="A2320" t="str">
        <f>IF('ATP Fills'!A2320="","",IF('ATP Fills'!Q2320="PHILLIPSG",'ATP Fills'!F2320,""))</f>
        <v/>
      </c>
      <c r="B2320" t="str">
        <f>IF(A2320="","",'ATP Fills'!L2320)</f>
        <v/>
      </c>
      <c r="C2320" t="str">
        <f>IF(A2320="","",'ATP Fills'!M2320)</f>
        <v/>
      </c>
      <c r="D2320" t="str">
        <f>IF(A2320="","",'ATP Fills'!B2320)</f>
        <v/>
      </c>
      <c r="E2320" s="3" t="str">
        <f>IF(A2320="","",IF(DATE(LEFT(D2320,4),MID(D2320,5,2),RIGHT(D2320,2))=Helper1!$P$1,Helper1!$P$1,""))</f>
        <v/>
      </c>
      <c r="F2320" s="3" t="str">
        <f>IF(A2320="","",'ATP Fills'!G2320)</f>
        <v/>
      </c>
      <c r="G2320" t="str">
        <f>IF(A2320="","",'ATP Fills'!H2320)</f>
        <v/>
      </c>
      <c r="H2320" t="str">
        <f>IF(A2320="","",VLOOKUP(G2320,表3_3[],2,0))</f>
        <v/>
      </c>
      <c r="I2320" t="str">
        <f>IF(A2320="","",VLOOKUP(G2320,表3_3[],3,0))</f>
        <v/>
      </c>
      <c r="J2320" t="str">
        <f>IF(A2320="","",IF('ATP Fills'!I2320="3M","",VLOOKUP(RIGHT('ATP Fills'!I2320,2),Helper1!$O$36:$P$48,2,0)))</f>
        <v/>
      </c>
      <c r="K2320" t="str">
        <f>IF(J2320="","",LEFT('ATP Fills'!I2320,4))</f>
        <v/>
      </c>
      <c r="L2320" t="str">
        <f>IF(A2320="","",IF('ATP Fills'!G2320="LME",'ATP Fills'!I2320,""))</f>
        <v/>
      </c>
      <c r="M2320" t="str">
        <f t="shared" si="36"/>
        <v/>
      </c>
    </row>
    <row r="2321" spans="1:13">
      <c r="A2321" t="str">
        <f>IF('ATP Fills'!A2321="","",IF('ATP Fills'!Q2321="PHILLIPSG",'ATP Fills'!F2321,""))</f>
        <v/>
      </c>
      <c r="B2321" t="str">
        <f>IF(A2321="","",'ATP Fills'!L2321)</f>
        <v/>
      </c>
      <c r="C2321" t="str">
        <f>IF(A2321="","",'ATP Fills'!M2321)</f>
        <v/>
      </c>
      <c r="D2321" t="str">
        <f>IF(A2321="","",'ATP Fills'!B2321)</f>
        <v/>
      </c>
      <c r="E2321" s="3" t="str">
        <f>IF(A2321="","",IF(DATE(LEFT(D2321,4),MID(D2321,5,2),RIGHT(D2321,2))=Helper1!$P$1,Helper1!$P$1,""))</f>
        <v/>
      </c>
      <c r="F2321" s="3" t="str">
        <f>IF(A2321="","",'ATP Fills'!G2321)</f>
        <v/>
      </c>
      <c r="G2321" t="str">
        <f>IF(A2321="","",'ATP Fills'!H2321)</f>
        <v/>
      </c>
      <c r="H2321" t="str">
        <f>IF(A2321="","",VLOOKUP(G2321,表3_3[],2,0))</f>
        <v/>
      </c>
      <c r="I2321" t="str">
        <f>IF(A2321="","",VLOOKUP(G2321,表3_3[],3,0))</f>
        <v/>
      </c>
      <c r="J2321" t="str">
        <f>IF(A2321="","",IF('ATP Fills'!I2321="3M","",VLOOKUP(RIGHT('ATP Fills'!I2321,2),Helper1!$O$36:$P$48,2,0)))</f>
        <v/>
      </c>
      <c r="K2321" t="str">
        <f>IF(J2321="","",LEFT('ATP Fills'!I2321,4))</f>
        <v/>
      </c>
      <c r="L2321" t="str">
        <f>IF(A2321="","",IF('ATP Fills'!G2321="LME",'ATP Fills'!I2321,""))</f>
        <v/>
      </c>
      <c r="M2321" t="str">
        <f t="shared" si="36"/>
        <v/>
      </c>
    </row>
    <row r="2322" spans="1:13">
      <c r="A2322" t="str">
        <f>IF('ATP Fills'!A2322="","",IF('ATP Fills'!Q2322="PHILLIPSG",'ATP Fills'!F2322,""))</f>
        <v/>
      </c>
      <c r="B2322" t="str">
        <f>IF(A2322="","",'ATP Fills'!L2322)</f>
        <v/>
      </c>
      <c r="C2322" t="str">
        <f>IF(A2322="","",'ATP Fills'!M2322)</f>
        <v/>
      </c>
      <c r="D2322" t="str">
        <f>IF(A2322="","",'ATP Fills'!B2322)</f>
        <v/>
      </c>
      <c r="E2322" s="3" t="str">
        <f>IF(A2322="","",IF(DATE(LEFT(D2322,4),MID(D2322,5,2),RIGHT(D2322,2))=Helper1!$P$1,Helper1!$P$1,""))</f>
        <v/>
      </c>
      <c r="F2322" s="3" t="str">
        <f>IF(A2322="","",'ATP Fills'!G2322)</f>
        <v/>
      </c>
      <c r="G2322" t="str">
        <f>IF(A2322="","",'ATP Fills'!H2322)</f>
        <v/>
      </c>
      <c r="H2322" t="str">
        <f>IF(A2322="","",VLOOKUP(G2322,表3_3[],2,0))</f>
        <v/>
      </c>
      <c r="I2322" t="str">
        <f>IF(A2322="","",VLOOKUP(G2322,表3_3[],3,0))</f>
        <v/>
      </c>
      <c r="J2322" t="str">
        <f>IF(A2322="","",IF('ATP Fills'!I2322="3M","",VLOOKUP(RIGHT('ATP Fills'!I2322,2),Helper1!$O$36:$P$48,2,0)))</f>
        <v/>
      </c>
      <c r="K2322" t="str">
        <f>IF(J2322="","",LEFT('ATP Fills'!I2322,4))</f>
        <v/>
      </c>
      <c r="L2322" t="str">
        <f>IF(A2322="","",IF('ATP Fills'!G2322="LME",'ATP Fills'!I2322,""))</f>
        <v/>
      </c>
      <c r="M2322" t="str">
        <f t="shared" si="36"/>
        <v/>
      </c>
    </row>
    <row r="2323" spans="1:13">
      <c r="A2323" t="str">
        <f>IF('ATP Fills'!A2323="","",IF('ATP Fills'!Q2323="PHILLIPSG",'ATP Fills'!F2323,""))</f>
        <v/>
      </c>
      <c r="B2323" t="str">
        <f>IF(A2323="","",'ATP Fills'!L2323)</f>
        <v/>
      </c>
      <c r="C2323" t="str">
        <f>IF(A2323="","",'ATP Fills'!M2323)</f>
        <v/>
      </c>
      <c r="D2323" t="str">
        <f>IF(A2323="","",'ATP Fills'!B2323)</f>
        <v/>
      </c>
      <c r="E2323" s="3" t="str">
        <f>IF(A2323="","",IF(DATE(LEFT(D2323,4),MID(D2323,5,2),RIGHT(D2323,2))=Helper1!$P$1,Helper1!$P$1,""))</f>
        <v/>
      </c>
      <c r="F2323" s="3" t="str">
        <f>IF(A2323="","",'ATP Fills'!G2323)</f>
        <v/>
      </c>
      <c r="G2323" t="str">
        <f>IF(A2323="","",'ATP Fills'!H2323)</f>
        <v/>
      </c>
      <c r="H2323" t="str">
        <f>IF(A2323="","",VLOOKUP(G2323,表3_3[],2,0))</f>
        <v/>
      </c>
      <c r="I2323" t="str">
        <f>IF(A2323="","",VLOOKUP(G2323,表3_3[],3,0))</f>
        <v/>
      </c>
      <c r="J2323" t="str">
        <f>IF(A2323="","",IF('ATP Fills'!I2323="3M","",VLOOKUP(RIGHT('ATP Fills'!I2323,2),Helper1!$O$36:$P$48,2,0)))</f>
        <v/>
      </c>
      <c r="K2323" t="str">
        <f>IF(J2323="","",LEFT('ATP Fills'!I2323,4))</f>
        <v/>
      </c>
      <c r="L2323" t="str">
        <f>IF(A2323="","",IF('ATP Fills'!G2323="LME",'ATP Fills'!I2323,""))</f>
        <v/>
      </c>
      <c r="M2323" t="str">
        <f t="shared" si="36"/>
        <v/>
      </c>
    </row>
    <row r="2324" spans="1:13">
      <c r="A2324" t="str">
        <f>IF('ATP Fills'!A2324="","",IF('ATP Fills'!Q2324="PHILLIPSG",'ATP Fills'!F2324,""))</f>
        <v/>
      </c>
      <c r="B2324" t="str">
        <f>IF(A2324="","",'ATP Fills'!L2324)</f>
        <v/>
      </c>
      <c r="C2324" t="str">
        <f>IF(A2324="","",'ATP Fills'!M2324)</f>
        <v/>
      </c>
      <c r="D2324" t="str">
        <f>IF(A2324="","",'ATP Fills'!B2324)</f>
        <v/>
      </c>
      <c r="E2324" s="3" t="str">
        <f>IF(A2324="","",IF(DATE(LEFT(D2324,4),MID(D2324,5,2),RIGHT(D2324,2))=Helper1!$P$1,Helper1!$P$1,""))</f>
        <v/>
      </c>
      <c r="F2324" s="3" t="str">
        <f>IF(A2324="","",'ATP Fills'!G2324)</f>
        <v/>
      </c>
      <c r="G2324" t="str">
        <f>IF(A2324="","",'ATP Fills'!H2324)</f>
        <v/>
      </c>
      <c r="H2324" t="str">
        <f>IF(A2324="","",VLOOKUP(G2324,表3_3[],2,0))</f>
        <v/>
      </c>
      <c r="I2324" t="str">
        <f>IF(A2324="","",VLOOKUP(G2324,表3_3[],3,0))</f>
        <v/>
      </c>
      <c r="J2324" t="str">
        <f>IF(A2324="","",IF('ATP Fills'!I2324="3M","",VLOOKUP(RIGHT('ATP Fills'!I2324,2),Helper1!$O$36:$P$48,2,0)))</f>
        <v/>
      </c>
      <c r="K2324" t="str">
        <f>IF(J2324="","",LEFT('ATP Fills'!I2324,4))</f>
        <v/>
      </c>
      <c r="L2324" t="str">
        <f>IF(A2324="","",IF('ATP Fills'!G2324="LME",'ATP Fills'!I2324,""))</f>
        <v/>
      </c>
      <c r="M2324" t="str">
        <f t="shared" si="36"/>
        <v/>
      </c>
    </row>
    <row r="2325" spans="1:13">
      <c r="A2325" t="str">
        <f>IF('ATP Fills'!A2325="","",IF('ATP Fills'!Q2325="PHILLIPSG",'ATP Fills'!F2325,""))</f>
        <v/>
      </c>
      <c r="B2325" t="str">
        <f>IF(A2325="","",'ATP Fills'!L2325)</f>
        <v/>
      </c>
      <c r="C2325" t="str">
        <f>IF(A2325="","",'ATP Fills'!M2325)</f>
        <v/>
      </c>
      <c r="D2325" t="str">
        <f>IF(A2325="","",'ATP Fills'!B2325)</f>
        <v/>
      </c>
      <c r="E2325" s="3" t="str">
        <f>IF(A2325="","",IF(DATE(LEFT(D2325,4),MID(D2325,5,2),RIGHT(D2325,2))=Helper1!$P$1,Helper1!$P$1,""))</f>
        <v/>
      </c>
      <c r="F2325" s="3" t="str">
        <f>IF(A2325="","",'ATP Fills'!G2325)</f>
        <v/>
      </c>
      <c r="G2325" t="str">
        <f>IF(A2325="","",'ATP Fills'!H2325)</f>
        <v/>
      </c>
      <c r="H2325" t="str">
        <f>IF(A2325="","",VLOOKUP(G2325,表3_3[],2,0))</f>
        <v/>
      </c>
      <c r="I2325" t="str">
        <f>IF(A2325="","",VLOOKUP(G2325,表3_3[],3,0))</f>
        <v/>
      </c>
      <c r="J2325" t="str">
        <f>IF(A2325="","",IF('ATP Fills'!I2325="3M","",VLOOKUP(RIGHT('ATP Fills'!I2325,2),Helper1!$O$36:$P$48,2,0)))</f>
        <v/>
      </c>
      <c r="K2325" t="str">
        <f>IF(J2325="","",LEFT('ATP Fills'!I2325,4))</f>
        <v/>
      </c>
      <c r="L2325" t="str">
        <f>IF(A2325="","",IF('ATP Fills'!G2325="LME",'ATP Fills'!I2325,""))</f>
        <v/>
      </c>
      <c r="M2325" t="str">
        <f t="shared" si="36"/>
        <v/>
      </c>
    </row>
    <row r="2326" spans="1:13">
      <c r="A2326" t="str">
        <f>IF('ATP Fills'!A2326="","",IF('ATP Fills'!Q2326="PHILLIPSG",'ATP Fills'!F2326,""))</f>
        <v/>
      </c>
      <c r="B2326" t="str">
        <f>IF(A2326="","",'ATP Fills'!L2326)</f>
        <v/>
      </c>
      <c r="C2326" t="str">
        <f>IF(A2326="","",'ATP Fills'!M2326)</f>
        <v/>
      </c>
      <c r="D2326" t="str">
        <f>IF(A2326="","",'ATP Fills'!B2326)</f>
        <v/>
      </c>
      <c r="E2326" s="3" t="str">
        <f>IF(A2326="","",IF(DATE(LEFT(D2326,4),MID(D2326,5,2),RIGHT(D2326,2))=Helper1!$P$1,Helper1!$P$1,""))</f>
        <v/>
      </c>
      <c r="F2326" s="3" t="str">
        <f>IF(A2326="","",'ATP Fills'!G2326)</f>
        <v/>
      </c>
      <c r="G2326" t="str">
        <f>IF(A2326="","",'ATP Fills'!H2326)</f>
        <v/>
      </c>
      <c r="H2326" t="str">
        <f>IF(A2326="","",VLOOKUP(G2326,表3_3[],2,0))</f>
        <v/>
      </c>
      <c r="I2326" t="str">
        <f>IF(A2326="","",VLOOKUP(G2326,表3_3[],3,0))</f>
        <v/>
      </c>
      <c r="J2326" t="str">
        <f>IF(A2326="","",IF('ATP Fills'!I2326="3M","",VLOOKUP(RIGHT('ATP Fills'!I2326,2),Helper1!$O$36:$P$48,2,0)))</f>
        <v/>
      </c>
      <c r="K2326" t="str">
        <f>IF(J2326="","",LEFT('ATP Fills'!I2326,4))</f>
        <v/>
      </c>
      <c r="L2326" t="str">
        <f>IF(A2326="","",IF('ATP Fills'!G2326="LME",'ATP Fills'!I2326,""))</f>
        <v/>
      </c>
      <c r="M2326" t="str">
        <f t="shared" si="36"/>
        <v/>
      </c>
    </row>
    <row r="2327" spans="1:13">
      <c r="A2327" t="str">
        <f>IF('ATP Fills'!A2327="","",IF('ATP Fills'!Q2327="PHILLIPSG",'ATP Fills'!F2327,""))</f>
        <v/>
      </c>
      <c r="B2327" t="str">
        <f>IF(A2327="","",'ATP Fills'!L2327)</f>
        <v/>
      </c>
      <c r="C2327" t="str">
        <f>IF(A2327="","",'ATP Fills'!M2327)</f>
        <v/>
      </c>
      <c r="D2327" t="str">
        <f>IF(A2327="","",'ATP Fills'!B2327)</f>
        <v/>
      </c>
      <c r="E2327" s="3" t="str">
        <f>IF(A2327="","",IF(DATE(LEFT(D2327,4),MID(D2327,5,2),RIGHT(D2327,2))=Helper1!$P$1,Helper1!$P$1,""))</f>
        <v/>
      </c>
      <c r="F2327" s="3" t="str">
        <f>IF(A2327="","",'ATP Fills'!G2327)</f>
        <v/>
      </c>
      <c r="G2327" t="str">
        <f>IF(A2327="","",'ATP Fills'!H2327)</f>
        <v/>
      </c>
      <c r="H2327" t="str">
        <f>IF(A2327="","",VLOOKUP(G2327,表3_3[],2,0))</f>
        <v/>
      </c>
      <c r="I2327" t="str">
        <f>IF(A2327="","",VLOOKUP(G2327,表3_3[],3,0))</f>
        <v/>
      </c>
      <c r="J2327" t="str">
        <f>IF(A2327="","",IF('ATP Fills'!I2327="3M","",VLOOKUP(RIGHT('ATP Fills'!I2327,2),Helper1!$O$36:$P$48,2,0)))</f>
        <v/>
      </c>
      <c r="K2327" t="str">
        <f>IF(J2327="","",LEFT('ATP Fills'!I2327,4))</f>
        <v/>
      </c>
      <c r="L2327" t="str">
        <f>IF(A2327="","",IF('ATP Fills'!G2327="LME",'ATP Fills'!I2327,""))</f>
        <v/>
      </c>
      <c r="M2327" t="str">
        <f t="shared" si="36"/>
        <v/>
      </c>
    </row>
    <row r="2328" spans="1:13">
      <c r="A2328" t="str">
        <f>IF('ATP Fills'!A2328="","",IF('ATP Fills'!Q2328="PHILLIPSG",'ATP Fills'!F2328,""))</f>
        <v/>
      </c>
      <c r="B2328" t="str">
        <f>IF(A2328="","",'ATP Fills'!L2328)</f>
        <v/>
      </c>
      <c r="C2328" t="str">
        <f>IF(A2328="","",'ATP Fills'!M2328)</f>
        <v/>
      </c>
      <c r="D2328" t="str">
        <f>IF(A2328="","",'ATP Fills'!B2328)</f>
        <v/>
      </c>
      <c r="E2328" s="3" t="str">
        <f>IF(A2328="","",IF(DATE(LEFT(D2328,4),MID(D2328,5,2),RIGHT(D2328,2))=Helper1!$P$1,Helper1!$P$1,""))</f>
        <v/>
      </c>
      <c r="F2328" s="3" t="str">
        <f>IF(A2328="","",'ATP Fills'!G2328)</f>
        <v/>
      </c>
      <c r="G2328" t="str">
        <f>IF(A2328="","",'ATP Fills'!H2328)</f>
        <v/>
      </c>
      <c r="H2328" t="str">
        <f>IF(A2328="","",VLOOKUP(G2328,表3_3[],2,0))</f>
        <v/>
      </c>
      <c r="I2328" t="str">
        <f>IF(A2328="","",VLOOKUP(G2328,表3_3[],3,0))</f>
        <v/>
      </c>
      <c r="J2328" t="str">
        <f>IF(A2328="","",IF('ATP Fills'!I2328="3M","",VLOOKUP(RIGHT('ATP Fills'!I2328,2),Helper1!$O$36:$P$48,2,0)))</f>
        <v/>
      </c>
      <c r="K2328" t="str">
        <f>IF(J2328="","",LEFT('ATP Fills'!I2328,4))</f>
        <v/>
      </c>
      <c r="L2328" t="str">
        <f>IF(A2328="","",IF('ATP Fills'!G2328="LME",'ATP Fills'!I2328,""))</f>
        <v/>
      </c>
      <c r="M2328" t="str">
        <f t="shared" si="36"/>
        <v/>
      </c>
    </row>
    <row r="2329" spans="1:13">
      <c r="A2329" t="str">
        <f>IF('ATP Fills'!A2329="","",IF('ATP Fills'!Q2329="PHILLIPSG",'ATP Fills'!F2329,""))</f>
        <v/>
      </c>
      <c r="B2329" t="str">
        <f>IF(A2329="","",'ATP Fills'!L2329)</f>
        <v/>
      </c>
      <c r="C2329" t="str">
        <f>IF(A2329="","",'ATP Fills'!M2329)</f>
        <v/>
      </c>
      <c r="D2329" t="str">
        <f>IF(A2329="","",'ATP Fills'!B2329)</f>
        <v/>
      </c>
      <c r="E2329" s="3" t="str">
        <f>IF(A2329="","",IF(DATE(LEFT(D2329,4),MID(D2329,5,2),RIGHT(D2329,2))=Helper1!$P$1,Helper1!$P$1,""))</f>
        <v/>
      </c>
      <c r="F2329" s="3" t="str">
        <f>IF(A2329="","",'ATP Fills'!G2329)</f>
        <v/>
      </c>
      <c r="G2329" t="str">
        <f>IF(A2329="","",'ATP Fills'!H2329)</f>
        <v/>
      </c>
      <c r="H2329" t="str">
        <f>IF(A2329="","",VLOOKUP(G2329,表3_3[],2,0))</f>
        <v/>
      </c>
      <c r="I2329" t="str">
        <f>IF(A2329="","",VLOOKUP(G2329,表3_3[],3,0))</f>
        <v/>
      </c>
      <c r="J2329" t="str">
        <f>IF(A2329="","",IF('ATP Fills'!I2329="3M","",VLOOKUP(RIGHT('ATP Fills'!I2329,2),Helper1!$O$36:$P$48,2,0)))</f>
        <v/>
      </c>
      <c r="K2329" t="str">
        <f>IF(J2329="","",LEFT('ATP Fills'!I2329,4))</f>
        <v/>
      </c>
      <c r="L2329" t="str">
        <f>IF(A2329="","",IF('ATP Fills'!G2329="LME",'ATP Fills'!I2329,""))</f>
        <v/>
      </c>
      <c r="M2329" t="str">
        <f t="shared" si="36"/>
        <v/>
      </c>
    </row>
    <row r="2330" spans="1:13">
      <c r="A2330" t="str">
        <f>IF('ATP Fills'!A2330="","",IF('ATP Fills'!Q2330="PHILLIPSG",'ATP Fills'!F2330,""))</f>
        <v/>
      </c>
      <c r="B2330" t="str">
        <f>IF(A2330="","",'ATP Fills'!L2330)</f>
        <v/>
      </c>
      <c r="C2330" t="str">
        <f>IF(A2330="","",'ATP Fills'!M2330)</f>
        <v/>
      </c>
      <c r="D2330" t="str">
        <f>IF(A2330="","",'ATP Fills'!B2330)</f>
        <v/>
      </c>
      <c r="E2330" s="3" t="str">
        <f>IF(A2330="","",IF(DATE(LEFT(D2330,4),MID(D2330,5,2),RIGHT(D2330,2))=Helper1!$P$1,Helper1!$P$1,""))</f>
        <v/>
      </c>
      <c r="F2330" s="3" t="str">
        <f>IF(A2330="","",'ATP Fills'!G2330)</f>
        <v/>
      </c>
      <c r="G2330" t="str">
        <f>IF(A2330="","",'ATP Fills'!H2330)</f>
        <v/>
      </c>
      <c r="H2330" t="str">
        <f>IF(A2330="","",VLOOKUP(G2330,表3_3[],2,0))</f>
        <v/>
      </c>
      <c r="I2330" t="str">
        <f>IF(A2330="","",VLOOKUP(G2330,表3_3[],3,0))</f>
        <v/>
      </c>
      <c r="J2330" t="str">
        <f>IF(A2330="","",IF('ATP Fills'!I2330="3M","",VLOOKUP(RIGHT('ATP Fills'!I2330,2),Helper1!$O$36:$P$48,2,0)))</f>
        <v/>
      </c>
      <c r="K2330" t="str">
        <f>IF(J2330="","",LEFT('ATP Fills'!I2330,4))</f>
        <v/>
      </c>
      <c r="L2330" t="str">
        <f>IF(A2330="","",IF('ATP Fills'!G2330="LME",'ATP Fills'!I2330,""))</f>
        <v/>
      </c>
      <c r="M2330" t="str">
        <f t="shared" si="36"/>
        <v/>
      </c>
    </row>
    <row r="2331" spans="1:13">
      <c r="A2331" t="str">
        <f>IF('ATP Fills'!A2331="","",IF('ATP Fills'!Q2331="PHILLIPSG",'ATP Fills'!F2331,""))</f>
        <v/>
      </c>
      <c r="B2331" t="str">
        <f>IF(A2331="","",'ATP Fills'!L2331)</f>
        <v/>
      </c>
      <c r="C2331" t="str">
        <f>IF(A2331="","",'ATP Fills'!M2331)</f>
        <v/>
      </c>
      <c r="D2331" t="str">
        <f>IF(A2331="","",'ATP Fills'!B2331)</f>
        <v/>
      </c>
      <c r="E2331" s="3" t="str">
        <f>IF(A2331="","",IF(DATE(LEFT(D2331,4),MID(D2331,5,2),RIGHT(D2331,2))=Helper1!$P$1,Helper1!$P$1,""))</f>
        <v/>
      </c>
      <c r="F2331" s="3" t="str">
        <f>IF(A2331="","",'ATP Fills'!G2331)</f>
        <v/>
      </c>
      <c r="G2331" t="str">
        <f>IF(A2331="","",'ATP Fills'!H2331)</f>
        <v/>
      </c>
      <c r="H2331" t="str">
        <f>IF(A2331="","",VLOOKUP(G2331,表3_3[],2,0))</f>
        <v/>
      </c>
      <c r="I2331" t="str">
        <f>IF(A2331="","",VLOOKUP(G2331,表3_3[],3,0))</f>
        <v/>
      </c>
      <c r="J2331" t="str">
        <f>IF(A2331="","",IF('ATP Fills'!I2331="3M","",VLOOKUP(RIGHT('ATP Fills'!I2331,2),Helper1!$O$36:$P$48,2,0)))</f>
        <v/>
      </c>
      <c r="K2331" t="str">
        <f>IF(J2331="","",LEFT('ATP Fills'!I2331,4))</f>
        <v/>
      </c>
      <c r="L2331" t="str">
        <f>IF(A2331="","",IF('ATP Fills'!G2331="LME",'ATP Fills'!I2331,""))</f>
        <v/>
      </c>
      <c r="M2331" t="str">
        <f t="shared" si="36"/>
        <v/>
      </c>
    </row>
    <row r="2332" spans="1:13">
      <c r="A2332" t="str">
        <f>IF('ATP Fills'!A2332="","",IF('ATP Fills'!Q2332="PHILLIPSG",'ATP Fills'!F2332,""))</f>
        <v/>
      </c>
      <c r="B2332" t="str">
        <f>IF(A2332="","",'ATP Fills'!L2332)</f>
        <v/>
      </c>
      <c r="C2332" t="str">
        <f>IF(A2332="","",'ATP Fills'!M2332)</f>
        <v/>
      </c>
      <c r="D2332" t="str">
        <f>IF(A2332="","",'ATP Fills'!B2332)</f>
        <v/>
      </c>
      <c r="E2332" s="3" t="str">
        <f>IF(A2332="","",IF(DATE(LEFT(D2332,4),MID(D2332,5,2),RIGHT(D2332,2))=Helper1!$P$1,Helper1!$P$1,""))</f>
        <v/>
      </c>
      <c r="F2332" s="3" t="str">
        <f>IF(A2332="","",'ATP Fills'!G2332)</f>
        <v/>
      </c>
      <c r="G2332" t="str">
        <f>IF(A2332="","",'ATP Fills'!H2332)</f>
        <v/>
      </c>
      <c r="H2332" t="str">
        <f>IF(A2332="","",VLOOKUP(G2332,表3_3[],2,0))</f>
        <v/>
      </c>
      <c r="I2332" t="str">
        <f>IF(A2332="","",VLOOKUP(G2332,表3_3[],3,0))</f>
        <v/>
      </c>
      <c r="J2332" t="str">
        <f>IF(A2332="","",IF('ATP Fills'!I2332="3M","",VLOOKUP(RIGHT('ATP Fills'!I2332,2),Helper1!$O$36:$P$48,2,0)))</f>
        <v/>
      </c>
      <c r="K2332" t="str">
        <f>IF(J2332="","",LEFT('ATP Fills'!I2332,4))</f>
        <v/>
      </c>
      <c r="L2332" t="str">
        <f>IF(A2332="","",IF('ATP Fills'!G2332="LME",'ATP Fills'!I2332,""))</f>
        <v/>
      </c>
      <c r="M2332" t="str">
        <f t="shared" si="36"/>
        <v/>
      </c>
    </row>
    <row r="2333" spans="1:13">
      <c r="A2333" t="str">
        <f>IF('ATP Fills'!A2333="","",IF('ATP Fills'!Q2333="PHILLIPSG",'ATP Fills'!F2333,""))</f>
        <v/>
      </c>
      <c r="B2333" t="str">
        <f>IF(A2333="","",'ATP Fills'!L2333)</f>
        <v/>
      </c>
      <c r="C2333" t="str">
        <f>IF(A2333="","",'ATP Fills'!M2333)</f>
        <v/>
      </c>
      <c r="D2333" t="str">
        <f>IF(A2333="","",'ATP Fills'!B2333)</f>
        <v/>
      </c>
      <c r="E2333" s="3" t="str">
        <f>IF(A2333="","",IF(DATE(LEFT(D2333,4),MID(D2333,5,2),RIGHT(D2333,2))=Helper1!$P$1,Helper1!$P$1,""))</f>
        <v/>
      </c>
      <c r="F2333" s="3" t="str">
        <f>IF(A2333="","",'ATP Fills'!G2333)</f>
        <v/>
      </c>
      <c r="G2333" t="str">
        <f>IF(A2333="","",'ATP Fills'!H2333)</f>
        <v/>
      </c>
      <c r="H2333" t="str">
        <f>IF(A2333="","",VLOOKUP(G2333,表3_3[],2,0))</f>
        <v/>
      </c>
      <c r="I2333" t="str">
        <f>IF(A2333="","",VLOOKUP(G2333,表3_3[],3,0))</f>
        <v/>
      </c>
      <c r="J2333" t="str">
        <f>IF(A2333="","",IF('ATP Fills'!I2333="3M","",VLOOKUP(RIGHT('ATP Fills'!I2333,2),Helper1!$O$36:$P$48,2,0)))</f>
        <v/>
      </c>
      <c r="K2333" t="str">
        <f>IF(J2333="","",LEFT('ATP Fills'!I2333,4))</f>
        <v/>
      </c>
      <c r="L2333" t="str">
        <f>IF(A2333="","",IF('ATP Fills'!G2333="LME",'ATP Fills'!I2333,""))</f>
        <v/>
      </c>
      <c r="M2333" t="str">
        <f t="shared" si="36"/>
        <v/>
      </c>
    </row>
    <row r="2334" spans="1:13">
      <c r="A2334" t="str">
        <f>IF('ATP Fills'!A2334="","",IF('ATP Fills'!Q2334="PHILLIPSG",'ATP Fills'!F2334,""))</f>
        <v/>
      </c>
      <c r="B2334" t="str">
        <f>IF(A2334="","",'ATP Fills'!L2334)</f>
        <v/>
      </c>
      <c r="C2334" t="str">
        <f>IF(A2334="","",'ATP Fills'!M2334)</f>
        <v/>
      </c>
      <c r="D2334" t="str">
        <f>IF(A2334="","",'ATP Fills'!B2334)</f>
        <v/>
      </c>
      <c r="E2334" s="3" t="str">
        <f>IF(A2334="","",IF(DATE(LEFT(D2334,4),MID(D2334,5,2),RIGHT(D2334,2))=Helper1!$P$1,Helper1!$P$1,""))</f>
        <v/>
      </c>
      <c r="F2334" s="3" t="str">
        <f>IF(A2334="","",'ATP Fills'!G2334)</f>
        <v/>
      </c>
      <c r="G2334" t="str">
        <f>IF(A2334="","",'ATP Fills'!H2334)</f>
        <v/>
      </c>
      <c r="H2334" t="str">
        <f>IF(A2334="","",VLOOKUP(G2334,表3_3[],2,0))</f>
        <v/>
      </c>
      <c r="I2334" t="str">
        <f>IF(A2334="","",VLOOKUP(G2334,表3_3[],3,0))</f>
        <v/>
      </c>
      <c r="J2334" t="str">
        <f>IF(A2334="","",IF('ATP Fills'!I2334="3M","",VLOOKUP(RIGHT('ATP Fills'!I2334,2),Helper1!$O$36:$P$48,2,0)))</f>
        <v/>
      </c>
      <c r="K2334" t="str">
        <f>IF(J2334="","",LEFT('ATP Fills'!I2334,4))</f>
        <v/>
      </c>
      <c r="L2334" t="str">
        <f>IF(A2334="","",IF('ATP Fills'!G2334="LME",'ATP Fills'!I2334,""))</f>
        <v/>
      </c>
      <c r="M2334" t="str">
        <f t="shared" si="36"/>
        <v/>
      </c>
    </row>
    <row r="2335" spans="1:13">
      <c r="A2335" t="str">
        <f>IF('ATP Fills'!A2335="","",IF('ATP Fills'!Q2335="PHILLIPSG",'ATP Fills'!F2335,""))</f>
        <v/>
      </c>
      <c r="B2335" t="str">
        <f>IF(A2335="","",'ATP Fills'!L2335)</f>
        <v/>
      </c>
      <c r="C2335" t="str">
        <f>IF(A2335="","",'ATP Fills'!M2335)</f>
        <v/>
      </c>
      <c r="D2335" t="str">
        <f>IF(A2335="","",'ATP Fills'!B2335)</f>
        <v/>
      </c>
      <c r="E2335" s="3" t="str">
        <f>IF(A2335="","",IF(DATE(LEFT(D2335,4),MID(D2335,5,2),RIGHT(D2335,2))=Helper1!$P$1,Helper1!$P$1,""))</f>
        <v/>
      </c>
      <c r="F2335" s="3" t="str">
        <f>IF(A2335="","",'ATP Fills'!G2335)</f>
        <v/>
      </c>
      <c r="G2335" t="str">
        <f>IF(A2335="","",'ATP Fills'!H2335)</f>
        <v/>
      </c>
      <c r="H2335" t="str">
        <f>IF(A2335="","",VLOOKUP(G2335,表3_3[],2,0))</f>
        <v/>
      </c>
      <c r="I2335" t="str">
        <f>IF(A2335="","",VLOOKUP(G2335,表3_3[],3,0))</f>
        <v/>
      </c>
      <c r="J2335" t="str">
        <f>IF(A2335="","",IF('ATP Fills'!I2335="3M","",VLOOKUP(RIGHT('ATP Fills'!I2335,2),Helper1!$O$36:$P$48,2,0)))</f>
        <v/>
      </c>
      <c r="K2335" t="str">
        <f>IF(J2335="","",LEFT('ATP Fills'!I2335,4))</f>
        <v/>
      </c>
      <c r="L2335" t="str">
        <f>IF(A2335="","",IF('ATP Fills'!G2335="LME",'ATP Fills'!I2335,""))</f>
        <v/>
      </c>
      <c r="M2335" t="str">
        <f t="shared" si="36"/>
        <v/>
      </c>
    </row>
    <row r="2336" spans="1:13">
      <c r="A2336" t="str">
        <f>IF('ATP Fills'!A2336="","",IF('ATP Fills'!Q2336="PHILLIPSG",'ATP Fills'!F2336,""))</f>
        <v/>
      </c>
      <c r="B2336" t="str">
        <f>IF(A2336="","",'ATP Fills'!L2336)</f>
        <v/>
      </c>
      <c r="C2336" t="str">
        <f>IF(A2336="","",'ATP Fills'!M2336)</f>
        <v/>
      </c>
      <c r="D2336" t="str">
        <f>IF(A2336="","",'ATP Fills'!B2336)</f>
        <v/>
      </c>
      <c r="E2336" s="3" t="str">
        <f>IF(A2336="","",IF(DATE(LEFT(D2336,4),MID(D2336,5,2),RIGHT(D2336,2))=Helper1!$P$1,Helper1!$P$1,""))</f>
        <v/>
      </c>
      <c r="F2336" s="3" t="str">
        <f>IF(A2336="","",'ATP Fills'!G2336)</f>
        <v/>
      </c>
      <c r="G2336" t="str">
        <f>IF(A2336="","",'ATP Fills'!H2336)</f>
        <v/>
      </c>
      <c r="H2336" t="str">
        <f>IF(A2336="","",VLOOKUP(G2336,表3_3[],2,0))</f>
        <v/>
      </c>
      <c r="I2336" t="str">
        <f>IF(A2336="","",VLOOKUP(G2336,表3_3[],3,0))</f>
        <v/>
      </c>
      <c r="J2336" t="str">
        <f>IF(A2336="","",IF('ATP Fills'!I2336="3M","",VLOOKUP(RIGHT('ATP Fills'!I2336,2),Helper1!$O$36:$P$48,2,0)))</f>
        <v/>
      </c>
      <c r="K2336" t="str">
        <f>IF(J2336="","",LEFT('ATP Fills'!I2336,4))</f>
        <v/>
      </c>
      <c r="L2336" t="str">
        <f>IF(A2336="","",IF('ATP Fills'!G2336="LME",'ATP Fills'!I2336,""))</f>
        <v/>
      </c>
      <c r="M2336" t="str">
        <f t="shared" si="36"/>
        <v/>
      </c>
    </row>
    <row r="2337" spans="1:13">
      <c r="A2337" t="str">
        <f>IF('ATP Fills'!A2337="","",IF('ATP Fills'!Q2337="PHILLIPSG",'ATP Fills'!F2337,""))</f>
        <v/>
      </c>
      <c r="B2337" t="str">
        <f>IF(A2337="","",'ATP Fills'!L2337)</f>
        <v/>
      </c>
      <c r="C2337" t="str">
        <f>IF(A2337="","",'ATP Fills'!M2337)</f>
        <v/>
      </c>
      <c r="D2337" t="str">
        <f>IF(A2337="","",'ATP Fills'!B2337)</f>
        <v/>
      </c>
      <c r="E2337" s="3" t="str">
        <f>IF(A2337="","",IF(DATE(LEFT(D2337,4),MID(D2337,5,2),RIGHT(D2337,2))=Helper1!$P$1,Helper1!$P$1,""))</f>
        <v/>
      </c>
      <c r="F2337" s="3" t="str">
        <f>IF(A2337="","",'ATP Fills'!G2337)</f>
        <v/>
      </c>
      <c r="G2337" t="str">
        <f>IF(A2337="","",'ATP Fills'!H2337)</f>
        <v/>
      </c>
      <c r="H2337" t="str">
        <f>IF(A2337="","",VLOOKUP(G2337,表3_3[],2,0))</f>
        <v/>
      </c>
      <c r="I2337" t="str">
        <f>IF(A2337="","",VLOOKUP(G2337,表3_3[],3,0))</f>
        <v/>
      </c>
      <c r="J2337" t="str">
        <f>IF(A2337="","",IF('ATP Fills'!I2337="3M","",VLOOKUP(RIGHT('ATP Fills'!I2337,2),Helper1!$O$36:$P$48,2,0)))</f>
        <v/>
      </c>
      <c r="K2337" t="str">
        <f>IF(J2337="","",LEFT('ATP Fills'!I2337,4))</f>
        <v/>
      </c>
      <c r="L2337" t="str">
        <f>IF(A2337="","",IF('ATP Fills'!G2337="LME",'ATP Fills'!I2337,""))</f>
        <v/>
      </c>
      <c r="M2337" t="str">
        <f t="shared" si="36"/>
        <v/>
      </c>
    </row>
    <row r="2338" spans="1:13">
      <c r="A2338" t="str">
        <f>IF('ATP Fills'!A2338="","",IF('ATP Fills'!Q2338="PHILLIPSG",'ATP Fills'!F2338,""))</f>
        <v/>
      </c>
      <c r="B2338" t="str">
        <f>IF(A2338="","",'ATP Fills'!L2338)</f>
        <v/>
      </c>
      <c r="C2338" t="str">
        <f>IF(A2338="","",'ATP Fills'!M2338)</f>
        <v/>
      </c>
      <c r="D2338" t="str">
        <f>IF(A2338="","",'ATP Fills'!B2338)</f>
        <v/>
      </c>
      <c r="E2338" s="3" t="str">
        <f>IF(A2338="","",IF(DATE(LEFT(D2338,4),MID(D2338,5,2),RIGHT(D2338,2))=Helper1!$P$1,Helper1!$P$1,""))</f>
        <v/>
      </c>
      <c r="F2338" s="3" t="str">
        <f>IF(A2338="","",'ATP Fills'!G2338)</f>
        <v/>
      </c>
      <c r="G2338" t="str">
        <f>IF(A2338="","",'ATP Fills'!H2338)</f>
        <v/>
      </c>
      <c r="H2338" t="str">
        <f>IF(A2338="","",VLOOKUP(G2338,表3_3[],2,0))</f>
        <v/>
      </c>
      <c r="I2338" t="str">
        <f>IF(A2338="","",VLOOKUP(G2338,表3_3[],3,0))</f>
        <v/>
      </c>
      <c r="J2338" t="str">
        <f>IF(A2338="","",IF('ATP Fills'!I2338="3M","",VLOOKUP(RIGHT('ATP Fills'!I2338,2),Helper1!$O$36:$P$48,2,0)))</f>
        <v/>
      </c>
      <c r="K2338" t="str">
        <f>IF(J2338="","",LEFT('ATP Fills'!I2338,4))</f>
        <v/>
      </c>
      <c r="L2338" t="str">
        <f>IF(A2338="","",IF('ATP Fills'!G2338="LME",'ATP Fills'!I2338,""))</f>
        <v/>
      </c>
      <c r="M2338" t="str">
        <f t="shared" si="36"/>
        <v/>
      </c>
    </row>
    <row r="2339" spans="1:13">
      <c r="A2339" t="str">
        <f>IF('ATP Fills'!A2339="","",IF('ATP Fills'!Q2339="PHILLIPSG",'ATP Fills'!F2339,""))</f>
        <v/>
      </c>
      <c r="B2339" t="str">
        <f>IF(A2339="","",'ATP Fills'!L2339)</f>
        <v/>
      </c>
      <c r="C2339" t="str">
        <f>IF(A2339="","",'ATP Fills'!M2339)</f>
        <v/>
      </c>
      <c r="D2339" t="str">
        <f>IF(A2339="","",'ATP Fills'!B2339)</f>
        <v/>
      </c>
      <c r="E2339" s="3" t="str">
        <f>IF(A2339="","",IF(DATE(LEFT(D2339,4),MID(D2339,5,2),RIGHT(D2339,2))=Helper1!$P$1,Helper1!$P$1,""))</f>
        <v/>
      </c>
      <c r="F2339" s="3" t="str">
        <f>IF(A2339="","",'ATP Fills'!G2339)</f>
        <v/>
      </c>
      <c r="G2339" t="str">
        <f>IF(A2339="","",'ATP Fills'!H2339)</f>
        <v/>
      </c>
      <c r="H2339" t="str">
        <f>IF(A2339="","",VLOOKUP(G2339,表3_3[],2,0))</f>
        <v/>
      </c>
      <c r="I2339" t="str">
        <f>IF(A2339="","",VLOOKUP(G2339,表3_3[],3,0))</f>
        <v/>
      </c>
      <c r="J2339" t="str">
        <f>IF(A2339="","",IF('ATP Fills'!I2339="3M","",VLOOKUP(RIGHT('ATP Fills'!I2339,2),Helper1!$O$36:$P$48,2,0)))</f>
        <v/>
      </c>
      <c r="K2339" t="str">
        <f>IF(J2339="","",LEFT('ATP Fills'!I2339,4))</f>
        <v/>
      </c>
      <c r="L2339" t="str">
        <f>IF(A2339="","",IF('ATP Fills'!G2339="LME",'ATP Fills'!I2339,""))</f>
        <v/>
      </c>
      <c r="M2339" t="str">
        <f t="shared" si="36"/>
        <v/>
      </c>
    </row>
    <row r="2340" spans="1:13">
      <c r="A2340" t="str">
        <f>IF('ATP Fills'!A2340="","",IF('ATP Fills'!Q2340="PHILLIPSG",'ATP Fills'!F2340,""))</f>
        <v/>
      </c>
      <c r="B2340" t="str">
        <f>IF(A2340="","",'ATP Fills'!L2340)</f>
        <v/>
      </c>
      <c r="C2340" t="str">
        <f>IF(A2340="","",'ATP Fills'!M2340)</f>
        <v/>
      </c>
      <c r="D2340" t="str">
        <f>IF(A2340="","",'ATP Fills'!B2340)</f>
        <v/>
      </c>
      <c r="E2340" s="3" t="str">
        <f>IF(A2340="","",IF(DATE(LEFT(D2340,4),MID(D2340,5,2),RIGHT(D2340,2))=Helper1!$P$1,Helper1!$P$1,""))</f>
        <v/>
      </c>
      <c r="F2340" s="3" t="str">
        <f>IF(A2340="","",'ATP Fills'!G2340)</f>
        <v/>
      </c>
      <c r="G2340" t="str">
        <f>IF(A2340="","",'ATP Fills'!H2340)</f>
        <v/>
      </c>
      <c r="H2340" t="str">
        <f>IF(A2340="","",VLOOKUP(G2340,表3_3[],2,0))</f>
        <v/>
      </c>
      <c r="I2340" t="str">
        <f>IF(A2340="","",VLOOKUP(G2340,表3_3[],3,0))</f>
        <v/>
      </c>
      <c r="J2340" t="str">
        <f>IF(A2340="","",IF('ATP Fills'!I2340="3M","",VLOOKUP(RIGHT('ATP Fills'!I2340,2),Helper1!$O$36:$P$48,2,0)))</f>
        <v/>
      </c>
      <c r="K2340" t="str">
        <f>IF(J2340="","",LEFT('ATP Fills'!I2340,4))</f>
        <v/>
      </c>
      <c r="L2340" t="str">
        <f>IF(A2340="","",IF('ATP Fills'!G2340="LME",'ATP Fills'!I2340,""))</f>
        <v/>
      </c>
      <c r="M2340" t="str">
        <f t="shared" si="36"/>
        <v/>
      </c>
    </row>
    <row r="2341" spans="1:13">
      <c r="A2341" t="str">
        <f>IF('ATP Fills'!A2341="","",IF('ATP Fills'!Q2341="PHILLIPSG",'ATP Fills'!F2341,""))</f>
        <v/>
      </c>
      <c r="B2341" t="str">
        <f>IF(A2341="","",'ATP Fills'!L2341)</f>
        <v/>
      </c>
      <c r="C2341" t="str">
        <f>IF(A2341="","",'ATP Fills'!M2341)</f>
        <v/>
      </c>
      <c r="D2341" t="str">
        <f>IF(A2341="","",'ATP Fills'!B2341)</f>
        <v/>
      </c>
      <c r="E2341" s="3" t="str">
        <f>IF(A2341="","",IF(DATE(LEFT(D2341,4),MID(D2341,5,2),RIGHT(D2341,2))=Helper1!$P$1,Helper1!$P$1,""))</f>
        <v/>
      </c>
      <c r="F2341" s="3" t="str">
        <f>IF(A2341="","",'ATP Fills'!G2341)</f>
        <v/>
      </c>
      <c r="G2341" t="str">
        <f>IF(A2341="","",'ATP Fills'!H2341)</f>
        <v/>
      </c>
      <c r="H2341" t="str">
        <f>IF(A2341="","",VLOOKUP(G2341,表3_3[],2,0))</f>
        <v/>
      </c>
      <c r="I2341" t="str">
        <f>IF(A2341="","",VLOOKUP(G2341,表3_3[],3,0))</f>
        <v/>
      </c>
      <c r="J2341" t="str">
        <f>IF(A2341="","",IF('ATP Fills'!I2341="3M","",VLOOKUP(RIGHT('ATP Fills'!I2341,2),Helper1!$O$36:$P$48,2,0)))</f>
        <v/>
      </c>
      <c r="K2341" t="str">
        <f>IF(J2341="","",LEFT('ATP Fills'!I2341,4))</f>
        <v/>
      </c>
      <c r="L2341" t="str">
        <f>IF(A2341="","",IF('ATP Fills'!G2341="LME",'ATP Fills'!I2341,""))</f>
        <v/>
      </c>
      <c r="M2341" t="str">
        <f t="shared" si="36"/>
        <v/>
      </c>
    </row>
    <row r="2342" spans="1:13">
      <c r="A2342" t="str">
        <f>IF('ATP Fills'!A2342="","",IF('ATP Fills'!Q2342="PHILLIPSG",'ATP Fills'!F2342,""))</f>
        <v/>
      </c>
      <c r="B2342" t="str">
        <f>IF(A2342="","",'ATP Fills'!L2342)</f>
        <v/>
      </c>
      <c r="C2342" t="str">
        <f>IF(A2342="","",'ATP Fills'!M2342)</f>
        <v/>
      </c>
      <c r="D2342" t="str">
        <f>IF(A2342="","",'ATP Fills'!B2342)</f>
        <v/>
      </c>
      <c r="E2342" s="3" t="str">
        <f>IF(A2342="","",IF(DATE(LEFT(D2342,4),MID(D2342,5,2),RIGHT(D2342,2))=Helper1!$P$1,Helper1!$P$1,""))</f>
        <v/>
      </c>
      <c r="F2342" s="3" t="str">
        <f>IF(A2342="","",'ATP Fills'!G2342)</f>
        <v/>
      </c>
      <c r="G2342" t="str">
        <f>IF(A2342="","",'ATP Fills'!H2342)</f>
        <v/>
      </c>
      <c r="H2342" t="str">
        <f>IF(A2342="","",VLOOKUP(G2342,表3_3[],2,0))</f>
        <v/>
      </c>
      <c r="I2342" t="str">
        <f>IF(A2342="","",VLOOKUP(G2342,表3_3[],3,0))</f>
        <v/>
      </c>
      <c r="J2342" t="str">
        <f>IF(A2342="","",IF('ATP Fills'!I2342="3M","",VLOOKUP(RIGHT('ATP Fills'!I2342,2),Helper1!$O$36:$P$48,2,0)))</f>
        <v/>
      </c>
      <c r="K2342" t="str">
        <f>IF(J2342="","",LEFT('ATP Fills'!I2342,4))</f>
        <v/>
      </c>
      <c r="L2342" t="str">
        <f>IF(A2342="","",IF('ATP Fills'!G2342="LME",'ATP Fills'!I2342,""))</f>
        <v/>
      </c>
      <c r="M2342" t="str">
        <f t="shared" si="36"/>
        <v/>
      </c>
    </row>
    <row r="2343" spans="1:13">
      <c r="A2343" t="str">
        <f>IF('ATP Fills'!A2343="","",IF('ATP Fills'!Q2343="PHILLIPSG",'ATP Fills'!F2343,""))</f>
        <v/>
      </c>
      <c r="B2343" t="str">
        <f>IF(A2343="","",'ATP Fills'!L2343)</f>
        <v/>
      </c>
      <c r="C2343" t="str">
        <f>IF(A2343="","",'ATP Fills'!M2343)</f>
        <v/>
      </c>
      <c r="D2343" t="str">
        <f>IF(A2343="","",'ATP Fills'!B2343)</f>
        <v/>
      </c>
      <c r="E2343" s="3" t="str">
        <f>IF(A2343="","",IF(DATE(LEFT(D2343,4),MID(D2343,5,2),RIGHT(D2343,2))=Helper1!$P$1,Helper1!$P$1,""))</f>
        <v/>
      </c>
      <c r="F2343" s="3" t="str">
        <f>IF(A2343="","",'ATP Fills'!G2343)</f>
        <v/>
      </c>
      <c r="G2343" t="str">
        <f>IF(A2343="","",'ATP Fills'!H2343)</f>
        <v/>
      </c>
      <c r="H2343" t="str">
        <f>IF(A2343="","",VLOOKUP(G2343,表3_3[],2,0))</f>
        <v/>
      </c>
      <c r="I2343" t="str">
        <f>IF(A2343="","",VLOOKUP(G2343,表3_3[],3,0))</f>
        <v/>
      </c>
      <c r="J2343" t="str">
        <f>IF(A2343="","",IF('ATP Fills'!I2343="3M","",VLOOKUP(RIGHT('ATP Fills'!I2343,2),Helper1!$O$36:$P$48,2,0)))</f>
        <v/>
      </c>
      <c r="K2343" t="str">
        <f>IF(J2343="","",LEFT('ATP Fills'!I2343,4))</f>
        <v/>
      </c>
      <c r="L2343" t="str">
        <f>IF(A2343="","",IF('ATP Fills'!G2343="LME",'ATP Fills'!I2343,""))</f>
        <v/>
      </c>
      <c r="M2343" t="str">
        <f t="shared" si="36"/>
        <v/>
      </c>
    </row>
    <row r="2344" spans="1:13">
      <c r="A2344" t="str">
        <f>IF('ATP Fills'!A2344="","",IF('ATP Fills'!Q2344="PHILLIPSG",'ATP Fills'!F2344,""))</f>
        <v/>
      </c>
      <c r="B2344" t="str">
        <f>IF(A2344="","",'ATP Fills'!L2344)</f>
        <v/>
      </c>
      <c r="C2344" t="str">
        <f>IF(A2344="","",'ATP Fills'!M2344)</f>
        <v/>
      </c>
      <c r="D2344" t="str">
        <f>IF(A2344="","",'ATP Fills'!B2344)</f>
        <v/>
      </c>
      <c r="E2344" s="3" t="str">
        <f>IF(A2344="","",IF(DATE(LEFT(D2344,4),MID(D2344,5,2),RIGHT(D2344,2))=Helper1!$P$1,Helper1!$P$1,""))</f>
        <v/>
      </c>
      <c r="F2344" s="3" t="str">
        <f>IF(A2344="","",'ATP Fills'!G2344)</f>
        <v/>
      </c>
      <c r="G2344" t="str">
        <f>IF(A2344="","",'ATP Fills'!H2344)</f>
        <v/>
      </c>
      <c r="H2344" t="str">
        <f>IF(A2344="","",VLOOKUP(G2344,表3_3[],2,0))</f>
        <v/>
      </c>
      <c r="I2344" t="str">
        <f>IF(A2344="","",VLOOKUP(G2344,表3_3[],3,0))</f>
        <v/>
      </c>
      <c r="J2344" t="str">
        <f>IF(A2344="","",IF('ATP Fills'!I2344="3M","",VLOOKUP(RIGHT('ATP Fills'!I2344,2),Helper1!$O$36:$P$48,2,0)))</f>
        <v/>
      </c>
      <c r="K2344" t="str">
        <f>IF(J2344="","",LEFT('ATP Fills'!I2344,4))</f>
        <v/>
      </c>
      <c r="L2344" t="str">
        <f>IF(A2344="","",IF('ATP Fills'!G2344="LME",'ATP Fills'!I2344,""))</f>
        <v/>
      </c>
      <c r="M2344" t="str">
        <f t="shared" si="36"/>
        <v/>
      </c>
    </row>
    <row r="2345" spans="1:13">
      <c r="A2345" t="str">
        <f>IF('ATP Fills'!A2345="","",IF('ATP Fills'!Q2345="PHILLIPSG",'ATP Fills'!F2345,""))</f>
        <v/>
      </c>
      <c r="B2345" t="str">
        <f>IF(A2345="","",'ATP Fills'!L2345)</f>
        <v/>
      </c>
      <c r="C2345" t="str">
        <f>IF(A2345="","",'ATP Fills'!M2345)</f>
        <v/>
      </c>
      <c r="D2345" t="str">
        <f>IF(A2345="","",'ATP Fills'!B2345)</f>
        <v/>
      </c>
      <c r="E2345" s="3" t="str">
        <f>IF(A2345="","",IF(DATE(LEFT(D2345,4),MID(D2345,5,2),RIGHT(D2345,2))=Helper1!$P$1,Helper1!$P$1,""))</f>
        <v/>
      </c>
      <c r="F2345" s="3" t="str">
        <f>IF(A2345="","",'ATP Fills'!G2345)</f>
        <v/>
      </c>
      <c r="G2345" t="str">
        <f>IF(A2345="","",'ATP Fills'!H2345)</f>
        <v/>
      </c>
      <c r="H2345" t="str">
        <f>IF(A2345="","",VLOOKUP(G2345,表3_3[],2,0))</f>
        <v/>
      </c>
      <c r="I2345" t="str">
        <f>IF(A2345="","",VLOOKUP(G2345,表3_3[],3,0))</f>
        <v/>
      </c>
      <c r="J2345" t="str">
        <f>IF(A2345="","",IF('ATP Fills'!I2345="3M","",VLOOKUP(RIGHT('ATP Fills'!I2345,2),Helper1!$O$36:$P$48,2,0)))</f>
        <v/>
      </c>
      <c r="K2345" t="str">
        <f>IF(J2345="","",LEFT('ATP Fills'!I2345,4))</f>
        <v/>
      </c>
      <c r="L2345" t="str">
        <f>IF(A2345="","",IF('ATP Fills'!G2345="LME",'ATP Fills'!I2345,""))</f>
        <v/>
      </c>
      <c r="M2345" t="str">
        <f t="shared" si="36"/>
        <v/>
      </c>
    </row>
    <row r="2346" spans="1:13">
      <c r="A2346" t="str">
        <f>IF('ATP Fills'!A2346="","",IF('ATP Fills'!Q2346="PHILLIPSG",'ATP Fills'!F2346,""))</f>
        <v/>
      </c>
      <c r="B2346" t="str">
        <f>IF(A2346="","",'ATP Fills'!L2346)</f>
        <v/>
      </c>
      <c r="C2346" t="str">
        <f>IF(A2346="","",'ATP Fills'!M2346)</f>
        <v/>
      </c>
      <c r="D2346" t="str">
        <f>IF(A2346="","",'ATP Fills'!B2346)</f>
        <v/>
      </c>
      <c r="E2346" s="3" t="str">
        <f>IF(A2346="","",IF(DATE(LEFT(D2346,4),MID(D2346,5,2),RIGHT(D2346,2))=Helper1!$P$1,Helper1!$P$1,""))</f>
        <v/>
      </c>
      <c r="F2346" s="3" t="str">
        <f>IF(A2346="","",'ATP Fills'!G2346)</f>
        <v/>
      </c>
      <c r="G2346" t="str">
        <f>IF(A2346="","",'ATP Fills'!H2346)</f>
        <v/>
      </c>
      <c r="H2346" t="str">
        <f>IF(A2346="","",VLOOKUP(G2346,表3_3[],2,0))</f>
        <v/>
      </c>
      <c r="I2346" t="str">
        <f>IF(A2346="","",VLOOKUP(G2346,表3_3[],3,0))</f>
        <v/>
      </c>
      <c r="J2346" t="str">
        <f>IF(A2346="","",IF('ATP Fills'!I2346="3M","",VLOOKUP(RIGHT('ATP Fills'!I2346,2),Helper1!$O$36:$P$48,2,0)))</f>
        <v/>
      </c>
      <c r="K2346" t="str">
        <f>IF(J2346="","",LEFT('ATP Fills'!I2346,4))</f>
        <v/>
      </c>
      <c r="L2346" t="str">
        <f>IF(A2346="","",IF('ATP Fills'!G2346="LME",'ATP Fills'!I2346,""))</f>
        <v/>
      </c>
      <c r="M2346" t="str">
        <f t="shared" si="36"/>
        <v/>
      </c>
    </row>
    <row r="2347" spans="1:13">
      <c r="A2347" t="str">
        <f>IF('ATP Fills'!A2347="","",IF('ATP Fills'!Q2347="PHILLIPSG",'ATP Fills'!F2347,""))</f>
        <v/>
      </c>
      <c r="B2347" t="str">
        <f>IF(A2347="","",'ATP Fills'!L2347)</f>
        <v/>
      </c>
      <c r="C2347" t="str">
        <f>IF(A2347="","",'ATP Fills'!M2347)</f>
        <v/>
      </c>
      <c r="D2347" t="str">
        <f>IF(A2347="","",'ATP Fills'!B2347)</f>
        <v/>
      </c>
      <c r="E2347" s="3" t="str">
        <f>IF(A2347="","",IF(DATE(LEFT(D2347,4),MID(D2347,5,2),RIGHT(D2347,2))=Helper1!$P$1,Helper1!$P$1,""))</f>
        <v/>
      </c>
      <c r="F2347" s="3" t="str">
        <f>IF(A2347="","",'ATP Fills'!G2347)</f>
        <v/>
      </c>
      <c r="G2347" t="str">
        <f>IF(A2347="","",'ATP Fills'!H2347)</f>
        <v/>
      </c>
      <c r="H2347" t="str">
        <f>IF(A2347="","",VLOOKUP(G2347,表3_3[],2,0))</f>
        <v/>
      </c>
      <c r="I2347" t="str">
        <f>IF(A2347="","",VLOOKUP(G2347,表3_3[],3,0))</f>
        <v/>
      </c>
      <c r="J2347" t="str">
        <f>IF(A2347="","",IF('ATP Fills'!I2347="3M","",VLOOKUP(RIGHT('ATP Fills'!I2347,2),Helper1!$O$36:$P$48,2,0)))</f>
        <v/>
      </c>
      <c r="K2347" t="str">
        <f>IF(J2347="","",LEFT('ATP Fills'!I2347,4))</f>
        <v/>
      </c>
      <c r="L2347" t="str">
        <f>IF(A2347="","",IF('ATP Fills'!G2347="LME",'ATP Fills'!I2347,""))</f>
        <v/>
      </c>
      <c r="M2347" t="str">
        <f t="shared" si="36"/>
        <v/>
      </c>
    </row>
    <row r="2348" spans="1:13">
      <c r="A2348" t="str">
        <f>IF('ATP Fills'!A2348="","",IF('ATP Fills'!Q2348="PHILLIPSG",'ATP Fills'!F2348,""))</f>
        <v/>
      </c>
      <c r="B2348" t="str">
        <f>IF(A2348="","",'ATP Fills'!L2348)</f>
        <v/>
      </c>
      <c r="C2348" t="str">
        <f>IF(A2348="","",'ATP Fills'!M2348)</f>
        <v/>
      </c>
      <c r="D2348" t="str">
        <f>IF(A2348="","",'ATP Fills'!B2348)</f>
        <v/>
      </c>
      <c r="E2348" s="3" t="str">
        <f>IF(A2348="","",IF(DATE(LEFT(D2348,4),MID(D2348,5,2),RIGHT(D2348,2))=Helper1!$P$1,Helper1!$P$1,""))</f>
        <v/>
      </c>
      <c r="F2348" s="3" t="str">
        <f>IF(A2348="","",'ATP Fills'!G2348)</f>
        <v/>
      </c>
      <c r="G2348" t="str">
        <f>IF(A2348="","",'ATP Fills'!H2348)</f>
        <v/>
      </c>
      <c r="H2348" t="str">
        <f>IF(A2348="","",VLOOKUP(G2348,表3_3[],2,0))</f>
        <v/>
      </c>
      <c r="I2348" t="str">
        <f>IF(A2348="","",VLOOKUP(G2348,表3_3[],3,0))</f>
        <v/>
      </c>
      <c r="J2348" t="str">
        <f>IF(A2348="","",IF('ATP Fills'!I2348="3M","",VLOOKUP(RIGHT('ATP Fills'!I2348,2),Helper1!$O$36:$P$48,2,0)))</f>
        <v/>
      </c>
      <c r="K2348" t="str">
        <f>IF(J2348="","",LEFT('ATP Fills'!I2348,4))</f>
        <v/>
      </c>
      <c r="L2348" t="str">
        <f>IF(A2348="","",IF('ATP Fills'!G2348="LME",'ATP Fills'!I2348,""))</f>
        <v/>
      </c>
      <c r="M2348" t="str">
        <f t="shared" si="36"/>
        <v/>
      </c>
    </row>
    <row r="2349" spans="1:13">
      <c r="A2349" t="str">
        <f>IF('ATP Fills'!A2349="","",IF('ATP Fills'!Q2349="PHILLIPSG",'ATP Fills'!F2349,""))</f>
        <v/>
      </c>
      <c r="B2349" t="str">
        <f>IF(A2349="","",'ATP Fills'!L2349)</f>
        <v/>
      </c>
      <c r="C2349" t="str">
        <f>IF(A2349="","",'ATP Fills'!M2349)</f>
        <v/>
      </c>
      <c r="D2349" t="str">
        <f>IF(A2349="","",'ATP Fills'!B2349)</f>
        <v/>
      </c>
      <c r="E2349" s="3" t="str">
        <f>IF(A2349="","",IF(DATE(LEFT(D2349,4),MID(D2349,5,2),RIGHT(D2349,2))=Helper1!$P$1,Helper1!$P$1,""))</f>
        <v/>
      </c>
      <c r="F2349" s="3" t="str">
        <f>IF(A2349="","",'ATP Fills'!G2349)</f>
        <v/>
      </c>
      <c r="G2349" t="str">
        <f>IF(A2349="","",'ATP Fills'!H2349)</f>
        <v/>
      </c>
      <c r="H2349" t="str">
        <f>IF(A2349="","",VLOOKUP(G2349,表3_3[],2,0))</f>
        <v/>
      </c>
      <c r="I2349" t="str">
        <f>IF(A2349="","",VLOOKUP(G2349,表3_3[],3,0))</f>
        <v/>
      </c>
      <c r="J2349" t="str">
        <f>IF(A2349="","",IF('ATP Fills'!I2349="3M","",VLOOKUP(RIGHT('ATP Fills'!I2349,2),Helper1!$O$36:$P$48,2,0)))</f>
        <v/>
      </c>
      <c r="K2349" t="str">
        <f>IF(J2349="","",LEFT('ATP Fills'!I2349,4))</f>
        <v/>
      </c>
      <c r="L2349" t="str">
        <f>IF(A2349="","",IF('ATP Fills'!G2349="LME",'ATP Fills'!I2349,""))</f>
        <v/>
      </c>
      <c r="M2349" t="str">
        <f t="shared" si="36"/>
        <v/>
      </c>
    </row>
    <row r="2350" spans="1:13">
      <c r="A2350" t="str">
        <f>IF('ATP Fills'!A2350="","",IF('ATP Fills'!Q2350="PHILLIPSG",'ATP Fills'!F2350,""))</f>
        <v/>
      </c>
      <c r="B2350" t="str">
        <f>IF(A2350="","",'ATP Fills'!L2350)</f>
        <v/>
      </c>
      <c r="C2350" t="str">
        <f>IF(A2350="","",'ATP Fills'!M2350)</f>
        <v/>
      </c>
      <c r="D2350" t="str">
        <f>IF(A2350="","",'ATP Fills'!B2350)</f>
        <v/>
      </c>
      <c r="E2350" s="3" t="str">
        <f>IF(A2350="","",IF(DATE(LEFT(D2350,4),MID(D2350,5,2),RIGHT(D2350,2))=Helper1!$P$1,Helper1!$P$1,""))</f>
        <v/>
      </c>
      <c r="F2350" s="3" t="str">
        <f>IF(A2350="","",'ATP Fills'!G2350)</f>
        <v/>
      </c>
      <c r="G2350" t="str">
        <f>IF(A2350="","",'ATP Fills'!H2350)</f>
        <v/>
      </c>
      <c r="H2350" t="str">
        <f>IF(A2350="","",VLOOKUP(G2350,表3_3[],2,0))</f>
        <v/>
      </c>
      <c r="I2350" t="str">
        <f>IF(A2350="","",VLOOKUP(G2350,表3_3[],3,0))</f>
        <v/>
      </c>
      <c r="J2350" t="str">
        <f>IF(A2350="","",IF('ATP Fills'!I2350="3M","",VLOOKUP(RIGHT('ATP Fills'!I2350,2),Helper1!$O$36:$P$48,2,0)))</f>
        <v/>
      </c>
      <c r="K2350" t="str">
        <f>IF(J2350="","",LEFT('ATP Fills'!I2350,4))</f>
        <v/>
      </c>
      <c r="L2350" t="str">
        <f>IF(A2350="","",IF('ATP Fills'!G2350="LME",'ATP Fills'!I2350,""))</f>
        <v/>
      </c>
      <c r="M2350" t="str">
        <f t="shared" si="36"/>
        <v/>
      </c>
    </row>
    <row r="2351" spans="1:13">
      <c r="A2351" t="str">
        <f>IF('ATP Fills'!A2351="","",IF('ATP Fills'!Q2351="PHILLIPSG",'ATP Fills'!F2351,""))</f>
        <v/>
      </c>
      <c r="B2351" t="str">
        <f>IF(A2351="","",'ATP Fills'!L2351)</f>
        <v/>
      </c>
      <c r="C2351" t="str">
        <f>IF(A2351="","",'ATP Fills'!M2351)</f>
        <v/>
      </c>
      <c r="D2351" t="str">
        <f>IF(A2351="","",'ATP Fills'!B2351)</f>
        <v/>
      </c>
      <c r="E2351" s="3" t="str">
        <f>IF(A2351="","",IF(DATE(LEFT(D2351,4),MID(D2351,5,2),RIGHT(D2351,2))=Helper1!$P$1,Helper1!$P$1,""))</f>
        <v/>
      </c>
      <c r="F2351" s="3" t="str">
        <f>IF(A2351="","",'ATP Fills'!G2351)</f>
        <v/>
      </c>
      <c r="G2351" t="str">
        <f>IF(A2351="","",'ATP Fills'!H2351)</f>
        <v/>
      </c>
      <c r="H2351" t="str">
        <f>IF(A2351="","",VLOOKUP(G2351,表3_3[],2,0))</f>
        <v/>
      </c>
      <c r="I2351" t="str">
        <f>IF(A2351="","",VLOOKUP(G2351,表3_3[],3,0))</f>
        <v/>
      </c>
      <c r="J2351" t="str">
        <f>IF(A2351="","",IF('ATP Fills'!I2351="3M","",VLOOKUP(RIGHT('ATP Fills'!I2351,2),Helper1!$O$36:$P$48,2,0)))</f>
        <v/>
      </c>
      <c r="K2351" t="str">
        <f>IF(J2351="","",LEFT('ATP Fills'!I2351,4))</f>
        <v/>
      </c>
      <c r="L2351" t="str">
        <f>IF(A2351="","",IF('ATP Fills'!G2351="LME",'ATP Fills'!I2351,""))</f>
        <v/>
      </c>
      <c r="M2351" t="str">
        <f t="shared" si="36"/>
        <v/>
      </c>
    </row>
    <row r="2352" spans="1:13">
      <c r="A2352" t="str">
        <f>IF('ATP Fills'!A2352="","",IF('ATP Fills'!Q2352="PHILLIPSG",'ATP Fills'!F2352,""))</f>
        <v/>
      </c>
      <c r="B2352" t="str">
        <f>IF(A2352="","",'ATP Fills'!L2352)</f>
        <v/>
      </c>
      <c r="C2352" t="str">
        <f>IF(A2352="","",'ATP Fills'!M2352)</f>
        <v/>
      </c>
      <c r="D2352" t="str">
        <f>IF(A2352="","",'ATP Fills'!B2352)</f>
        <v/>
      </c>
      <c r="E2352" s="3" t="str">
        <f>IF(A2352="","",IF(DATE(LEFT(D2352,4),MID(D2352,5,2),RIGHT(D2352,2))=Helper1!$P$1,Helper1!$P$1,""))</f>
        <v/>
      </c>
      <c r="F2352" s="3" t="str">
        <f>IF(A2352="","",'ATP Fills'!G2352)</f>
        <v/>
      </c>
      <c r="G2352" t="str">
        <f>IF(A2352="","",'ATP Fills'!H2352)</f>
        <v/>
      </c>
      <c r="H2352" t="str">
        <f>IF(A2352="","",VLOOKUP(G2352,表3_3[],2,0))</f>
        <v/>
      </c>
      <c r="I2352" t="str">
        <f>IF(A2352="","",VLOOKUP(G2352,表3_3[],3,0))</f>
        <v/>
      </c>
      <c r="J2352" t="str">
        <f>IF(A2352="","",IF('ATP Fills'!I2352="3M","",VLOOKUP(RIGHT('ATP Fills'!I2352,2),Helper1!$O$36:$P$48,2,0)))</f>
        <v/>
      </c>
      <c r="K2352" t="str">
        <f>IF(J2352="","",LEFT('ATP Fills'!I2352,4))</f>
        <v/>
      </c>
      <c r="L2352" t="str">
        <f>IF(A2352="","",IF('ATP Fills'!G2352="LME",'ATP Fills'!I2352,""))</f>
        <v/>
      </c>
      <c r="M2352" t="str">
        <f t="shared" si="36"/>
        <v/>
      </c>
    </row>
    <row r="2353" spans="1:13">
      <c r="A2353" t="str">
        <f>IF('ATP Fills'!A2353="","",IF('ATP Fills'!Q2353="PHILLIPSG",'ATP Fills'!F2353,""))</f>
        <v/>
      </c>
      <c r="B2353" t="str">
        <f>IF(A2353="","",'ATP Fills'!L2353)</f>
        <v/>
      </c>
      <c r="C2353" t="str">
        <f>IF(A2353="","",'ATP Fills'!M2353)</f>
        <v/>
      </c>
      <c r="D2353" t="str">
        <f>IF(A2353="","",'ATP Fills'!B2353)</f>
        <v/>
      </c>
      <c r="E2353" s="3" t="str">
        <f>IF(A2353="","",IF(DATE(LEFT(D2353,4),MID(D2353,5,2),RIGHT(D2353,2))=Helper1!$P$1,Helper1!$P$1,""))</f>
        <v/>
      </c>
      <c r="F2353" s="3" t="str">
        <f>IF(A2353="","",'ATP Fills'!G2353)</f>
        <v/>
      </c>
      <c r="G2353" t="str">
        <f>IF(A2353="","",'ATP Fills'!H2353)</f>
        <v/>
      </c>
      <c r="H2353" t="str">
        <f>IF(A2353="","",VLOOKUP(G2353,表3_3[],2,0))</f>
        <v/>
      </c>
      <c r="I2353" t="str">
        <f>IF(A2353="","",VLOOKUP(G2353,表3_3[],3,0))</f>
        <v/>
      </c>
      <c r="J2353" t="str">
        <f>IF(A2353="","",IF('ATP Fills'!I2353="3M","",VLOOKUP(RIGHT('ATP Fills'!I2353,2),Helper1!$O$36:$P$48,2,0)))</f>
        <v/>
      </c>
      <c r="K2353" t="str">
        <f>IF(J2353="","",LEFT('ATP Fills'!I2353,4))</f>
        <v/>
      </c>
      <c r="L2353" t="str">
        <f>IF(A2353="","",IF('ATP Fills'!G2353="LME",'ATP Fills'!I2353,""))</f>
        <v/>
      </c>
      <c r="M2353" t="str">
        <f t="shared" si="36"/>
        <v/>
      </c>
    </row>
    <row r="2354" spans="1:13">
      <c r="A2354" t="str">
        <f>IF('ATP Fills'!A2354="","",IF('ATP Fills'!Q2354="PHILLIPSG",'ATP Fills'!F2354,""))</f>
        <v/>
      </c>
      <c r="B2354" t="str">
        <f>IF(A2354="","",'ATP Fills'!L2354)</f>
        <v/>
      </c>
      <c r="C2354" t="str">
        <f>IF(A2354="","",'ATP Fills'!M2354)</f>
        <v/>
      </c>
      <c r="D2354" t="str">
        <f>IF(A2354="","",'ATP Fills'!B2354)</f>
        <v/>
      </c>
      <c r="E2354" s="3" t="str">
        <f>IF(A2354="","",IF(DATE(LEFT(D2354,4),MID(D2354,5,2),RIGHT(D2354,2))=Helper1!$P$1,Helper1!$P$1,""))</f>
        <v/>
      </c>
      <c r="F2354" s="3" t="str">
        <f>IF(A2354="","",'ATP Fills'!G2354)</f>
        <v/>
      </c>
      <c r="G2354" t="str">
        <f>IF(A2354="","",'ATP Fills'!H2354)</f>
        <v/>
      </c>
      <c r="H2354" t="str">
        <f>IF(A2354="","",VLOOKUP(G2354,表3_3[],2,0))</f>
        <v/>
      </c>
      <c r="I2354" t="str">
        <f>IF(A2354="","",VLOOKUP(G2354,表3_3[],3,0))</f>
        <v/>
      </c>
      <c r="J2354" t="str">
        <f>IF(A2354="","",IF('ATP Fills'!I2354="3M","",VLOOKUP(RIGHT('ATP Fills'!I2354,2),Helper1!$O$36:$P$48,2,0)))</f>
        <v/>
      </c>
      <c r="K2354" t="str">
        <f>IF(J2354="","",LEFT('ATP Fills'!I2354,4))</f>
        <v/>
      </c>
      <c r="L2354" t="str">
        <f>IF(A2354="","",IF('ATP Fills'!G2354="LME",'ATP Fills'!I2354,""))</f>
        <v/>
      </c>
      <c r="M2354" t="str">
        <f t="shared" si="36"/>
        <v/>
      </c>
    </row>
    <row r="2355" spans="1:13">
      <c r="A2355" t="str">
        <f>IF('ATP Fills'!A2355="","",IF('ATP Fills'!Q2355="PHILLIPSG",'ATP Fills'!F2355,""))</f>
        <v/>
      </c>
      <c r="B2355" t="str">
        <f>IF(A2355="","",'ATP Fills'!L2355)</f>
        <v/>
      </c>
      <c r="C2355" t="str">
        <f>IF(A2355="","",'ATP Fills'!M2355)</f>
        <v/>
      </c>
      <c r="D2355" t="str">
        <f>IF(A2355="","",'ATP Fills'!B2355)</f>
        <v/>
      </c>
      <c r="E2355" s="3" t="str">
        <f>IF(A2355="","",IF(DATE(LEFT(D2355,4),MID(D2355,5,2),RIGHT(D2355,2))=Helper1!$P$1,Helper1!$P$1,""))</f>
        <v/>
      </c>
      <c r="F2355" s="3" t="str">
        <f>IF(A2355="","",'ATP Fills'!G2355)</f>
        <v/>
      </c>
      <c r="G2355" t="str">
        <f>IF(A2355="","",'ATP Fills'!H2355)</f>
        <v/>
      </c>
      <c r="H2355" t="str">
        <f>IF(A2355="","",VLOOKUP(G2355,表3_3[],2,0))</f>
        <v/>
      </c>
      <c r="I2355" t="str">
        <f>IF(A2355="","",VLOOKUP(G2355,表3_3[],3,0))</f>
        <v/>
      </c>
      <c r="J2355" t="str">
        <f>IF(A2355="","",IF('ATP Fills'!I2355="3M","",VLOOKUP(RIGHT('ATP Fills'!I2355,2),Helper1!$O$36:$P$48,2,0)))</f>
        <v/>
      </c>
      <c r="K2355" t="str">
        <f>IF(J2355="","",LEFT('ATP Fills'!I2355,4))</f>
        <v/>
      </c>
      <c r="L2355" t="str">
        <f>IF(A2355="","",IF('ATP Fills'!G2355="LME",'ATP Fills'!I2355,""))</f>
        <v/>
      </c>
      <c r="M2355" t="str">
        <f t="shared" si="36"/>
        <v/>
      </c>
    </row>
    <row r="2356" spans="1:13">
      <c r="A2356" t="str">
        <f>IF('ATP Fills'!A2356="","",IF('ATP Fills'!Q2356="PHILLIPSG",'ATP Fills'!F2356,""))</f>
        <v/>
      </c>
      <c r="B2356" t="str">
        <f>IF(A2356="","",'ATP Fills'!L2356)</f>
        <v/>
      </c>
      <c r="C2356" t="str">
        <f>IF(A2356="","",'ATP Fills'!M2356)</f>
        <v/>
      </c>
      <c r="D2356" t="str">
        <f>IF(A2356="","",'ATP Fills'!B2356)</f>
        <v/>
      </c>
      <c r="E2356" s="3" t="str">
        <f>IF(A2356="","",IF(DATE(LEFT(D2356,4),MID(D2356,5,2),RIGHT(D2356,2))=Helper1!$P$1,Helper1!$P$1,""))</f>
        <v/>
      </c>
      <c r="F2356" s="3" t="str">
        <f>IF(A2356="","",'ATP Fills'!G2356)</f>
        <v/>
      </c>
      <c r="G2356" t="str">
        <f>IF(A2356="","",'ATP Fills'!H2356)</f>
        <v/>
      </c>
      <c r="H2356" t="str">
        <f>IF(A2356="","",VLOOKUP(G2356,表3_3[],2,0))</f>
        <v/>
      </c>
      <c r="I2356" t="str">
        <f>IF(A2356="","",VLOOKUP(G2356,表3_3[],3,0))</f>
        <v/>
      </c>
      <c r="J2356" t="str">
        <f>IF(A2356="","",IF('ATP Fills'!I2356="3M","",VLOOKUP(RIGHT('ATP Fills'!I2356,2),Helper1!$O$36:$P$48,2,0)))</f>
        <v/>
      </c>
      <c r="K2356" t="str">
        <f>IF(J2356="","",LEFT('ATP Fills'!I2356,4))</f>
        <v/>
      </c>
      <c r="L2356" t="str">
        <f>IF(A2356="","",IF('ATP Fills'!G2356="LME",'ATP Fills'!I2356,""))</f>
        <v/>
      </c>
      <c r="M2356" t="str">
        <f t="shared" si="36"/>
        <v/>
      </c>
    </row>
    <row r="2357" spans="1:13">
      <c r="A2357" t="str">
        <f>IF('ATP Fills'!A2357="","",IF('ATP Fills'!Q2357="PHILLIPSG",'ATP Fills'!F2357,""))</f>
        <v/>
      </c>
      <c r="B2357" t="str">
        <f>IF(A2357="","",'ATP Fills'!L2357)</f>
        <v/>
      </c>
      <c r="C2357" t="str">
        <f>IF(A2357="","",'ATP Fills'!M2357)</f>
        <v/>
      </c>
      <c r="D2357" t="str">
        <f>IF(A2357="","",'ATP Fills'!B2357)</f>
        <v/>
      </c>
      <c r="E2357" s="3" t="str">
        <f>IF(A2357="","",IF(DATE(LEFT(D2357,4),MID(D2357,5,2),RIGHT(D2357,2))=Helper1!$P$1,Helper1!$P$1,""))</f>
        <v/>
      </c>
      <c r="F2357" s="3" t="str">
        <f>IF(A2357="","",'ATP Fills'!G2357)</f>
        <v/>
      </c>
      <c r="G2357" t="str">
        <f>IF(A2357="","",'ATP Fills'!H2357)</f>
        <v/>
      </c>
      <c r="H2357" t="str">
        <f>IF(A2357="","",VLOOKUP(G2357,表3_3[],2,0))</f>
        <v/>
      </c>
      <c r="I2357" t="str">
        <f>IF(A2357="","",VLOOKUP(G2357,表3_3[],3,0))</f>
        <v/>
      </c>
      <c r="J2357" t="str">
        <f>IF(A2357="","",IF('ATP Fills'!I2357="3M","",VLOOKUP(RIGHT('ATP Fills'!I2357,2),Helper1!$O$36:$P$48,2,0)))</f>
        <v/>
      </c>
      <c r="K2357" t="str">
        <f>IF(J2357="","",LEFT('ATP Fills'!I2357,4))</f>
        <v/>
      </c>
      <c r="L2357" t="str">
        <f>IF(A2357="","",IF('ATP Fills'!G2357="LME",'ATP Fills'!I2357,""))</f>
        <v/>
      </c>
      <c r="M2357" t="str">
        <f t="shared" si="36"/>
        <v/>
      </c>
    </row>
    <row r="2358" spans="1:13">
      <c r="A2358" t="str">
        <f>IF('ATP Fills'!A2358="","",IF('ATP Fills'!Q2358="PHILLIPSG",'ATP Fills'!F2358,""))</f>
        <v/>
      </c>
      <c r="B2358" t="str">
        <f>IF(A2358="","",'ATP Fills'!L2358)</f>
        <v/>
      </c>
      <c r="C2358" t="str">
        <f>IF(A2358="","",'ATP Fills'!M2358)</f>
        <v/>
      </c>
      <c r="D2358" t="str">
        <f>IF(A2358="","",'ATP Fills'!B2358)</f>
        <v/>
      </c>
      <c r="E2358" s="3" t="str">
        <f>IF(A2358="","",IF(DATE(LEFT(D2358,4),MID(D2358,5,2),RIGHT(D2358,2))=Helper1!$P$1,Helper1!$P$1,""))</f>
        <v/>
      </c>
      <c r="F2358" s="3" t="str">
        <f>IF(A2358="","",'ATP Fills'!G2358)</f>
        <v/>
      </c>
      <c r="G2358" t="str">
        <f>IF(A2358="","",'ATP Fills'!H2358)</f>
        <v/>
      </c>
      <c r="H2358" t="str">
        <f>IF(A2358="","",VLOOKUP(G2358,表3_3[],2,0))</f>
        <v/>
      </c>
      <c r="I2358" t="str">
        <f>IF(A2358="","",VLOOKUP(G2358,表3_3[],3,0))</f>
        <v/>
      </c>
      <c r="J2358" t="str">
        <f>IF(A2358="","",IF('ATP Fills'!I2358="3M","",VLOOKUP(RIGHT('ATP Fills'!I2358,2),Helper1!$O$36:$P$48,2,0)))</f>
        <v/>
      </c>
      <c r="K2358" t="str">
        <f>IF(J2358="","",LEFT('ATP Fills'!I2358,4))</f>
        <v/>
      </c>
      <c r="L2358" t="str">
        <f>IF(A2358="","",IF('ATP Fills'!G2358="LME",'ATP Fills'!I2358,""))</f>
        <v/>
      </c>
      <c r="M2358" t="str">
        <f t="shared" si="36"/>
        <v/>
      </c>
    </row>
    <row r="2359" spans="1:13">
      <c r="A2359" t="str">
        <f>IF('ATP Fills'!A2359="","",IF('ATP Fills'!Q2359="PHILLIPSG",'ATP Fills'!F2359,""))</f>
        <v/>
      </c>
      <c r="B2359" t="str">
        <f>IF(A2359="","",'ATP Fills'!L2359)</f>
        <v/>
      </c>
      <c r="C2359" t="str">
        <f>IF(A2359="","",'ATP Fills'!M2359)</f>
        <v/>
      </c>
      <c r="D2359" t="str">
        <f>IF(A2359="","",'ATP Fills'!B2359)</f>
        <v/>
      </c>
      <c r="E2359" s="3" t="str">
        <f>IF(A2359="","",IF(DATE(LEFT(D2359,4),MID(D2359,5,2),RIGHT(D2359,2))=Helper1!$P$1,Helper1!$P$1,""))</f>
        <v/>
      </c>
      <c r="F2359" s="3" t="str">
        <f>IF(A2359="","",'ATP Fills'!G2359)</f>
        <v/>
      </c>
      <c r="G2359" t="str">
        <f>IF(A2359="","",'ATP Fills'!H2359)</f>
        <v/>
      </c>
      <c r="H2359" t="str">
        <f>IF(A2359="","",VLOOKUP(G2359,表3_3[],2,0))</f>
        <v/>
      </c>
      <c r="I2359" t="str">
        <f>IF(A2359="","",VLOOKUP(G2359,表3_3[],3,0))</f>
        <v/>
      </c>
      <c r="J2359" t="str">
        <f>IF(A2359="","",IF('ATP Fills'!I2359="3M","",VLOOKUP(RIGHT('ATP Fills'!I2359,2),Helper1!$O$36:$P$48,2,0)))</f>
        <v/>
      </c>
      <c r="K2359" t="str">
        <f>IF(J2359="","",LEFT('ATP Fills'!I2359,4))</f>
        <v/>
      </c>
      <c r="L2359" t="str">
        <f>IF(A2359="","",IF('ATP Fills'!G2359="LME",'ATP Fills'!I2359,""))</f>
        <v/>
      </c>
      <c r="M2359" t="str">
        <f t="shared" si="36"/>
        <v/>
      </c>
    </row>
    <row r="2360" spans="1:13">
      <c r="A2360" t="str">
        <f>IF('ATP Fills'!A2360="","",IF('ATP Fills'!Q2360="PHILLIPSG",'ATP Fills'!F2360,""))</f>
        <v/>
      </c>
      <c r="B2360" t="str">
        <f>IF(A2360="","",'ATP Fills'!L2360)</f>
        <v/>
      </c>
      <c r="C2360" t="str">
        <f>IF(A2360="","",'ATP Fills'!M2360)</f>
        <v/>
      </c>
      <c r="D2360" t="str">
        <f>IF(A2360="","",'ATP Fills'!B2360)</f>
        <v/>
      </c>
      <c r="E2360" s="3" t="str">
        <f>IF(A2360="","",IF(DATE(LEFT(D2360,4),MID(D2360,5,2),RIGHT(D2360,2))=Helper1!$P$1,Helper1!$P$1,""))</f>
        <v/>
      </c>
      <c r="F2360" s="3" t="str">
        <f>IF(A2360="","",'ATP Fills'!G2360)</f>
        <v/>
      </c>
      <c r="G2360" t="str">
        <f>IF(A2360="","",'ATP Fills'!H2360)</f>
        <v/>
      </c>
      <c r="H2360" t="str">
        <f>IF(A2360="","",VLOOKUP(G2360,表3_3[],2,0))</f>
        <v/>
      </c>
      <c r="I2360" t="str">
        <f>IF(A2360="","",VLOOKUP(G2360,表3_3[],3,0))</f>
        <v/>
      </c>
      <c r="J2360" t="str">
        <f>IF(A2360="","",IF('ATP Fills'!I2360="3M","",VLOOKUP(RIGHT('ATP Fills'!I2360,2),Helper1!$O$36:$P$48,2,0)))</f>
        <v/>
      </c>
      <c r="K2360" t="str">
        <f>IF(J2360="","",LEFT('ATP Fills'!I2360,4))</f>
        <v/>
      </c>
      <c r="L2360" t="str">
        <f>IF(A2360="","",IF('ATP Fills'!G2360="LME",'ATP Fills'!I2360,""))</f>
        <v/>
      </c>
      <c r="M2360" t="str">
        <f t="shared" si="36"/>
        <v/>
      </c>
    </row>
    <row r="2361" spans="1:13">
      <c r="A2361" t="str">
        <f>IF('ATP Fills'!A2361="","",IF('ATP Fills'!Q2361="PHILLIPSG",'ATP Fills'!F2361,""))</f>
        <v/>
      </c>
      <c r="B2361" t="str">
        <f>IF(A2361="","",'ATP Fills'!L2361)</f>
        <v/>
      </c>
      <c r="C2361" t="str">
        <f>IF(A2361="","",'ATP Fills'!M2361)</f>
        <v/>
      </c>
      <c r="D2361" t="str">
        <f>IF(A2361="","",'ATP Fills'!B2361)</f>
        <v/>
      </c>
      <c r="E2361" s="3" t="str">
        <f>IF(A2361="","",IF(DATE(LEFT(D2361,4),MID(D2361,5,2),RIGHT(D2361,2))=Helper1!$P$1,Helper1!$P$1,""))</f>
        <v/>
      </c>
      <c r="F2361" s="3" t="str">
        <f>IF(A2361="","",'ATP Fills'!G2361)</f>
        <v/>
      </c>
      <c r="G2361" t="str">
        <f>IF(A2361="","",'ATP Fills'!H2361)</f>
        <v/>
      </c>
      <c r="H2361" t="str">
        <f>IF(A2361="","",VLOOKUP(G2361,表3_3[],2,0))</f>
        <v/>
      </c>
      <c r="I2361" t="str">
        <f>IF(A2361="","",VLOOKUP(G2361,表3_3[],3,0))</f>
        <v/>
      </c>
      <c r="J2361" t="str">
        <f>IF(A2361="","",IF('ATP Fills'!I2361="3M","",VLOOKUP(RIGHT('ATP Fills'!I2361,2),Helper1!$O$36:$P$48,2,0)))</f>
        <v/>
      </c>
      <c r="K2361" t="str">
        <f>IF(J2361="","",LEFT('ATP Fills'!I2361,4))</f>
        <v/>
      </c>
      <c r="L2361" t="str">
        <f>IF(A2361="","",IF('ATP Fills'!G2361="LME",'ATP Fills'!I2361,""))</f>
        <v/>
      </c>
      <c r="M2361" t="str">
        <f t="shared" si="36"/>
        <v/>
      </c>
    </row>
    <row r="2362" spans="1:13">
      <c r="A2362" t="str">
        <f>IF('ATP Fills'!A2362="","",IF('ATP Fills'!Q2362="PHILLIPSG",'ATP Fills'!F2362,""))</f>
        <v/>
      </c>
      <c r="B2362" t="str">
        <f>IF(A2362="","",'ATP Fills'!L2362)</f>
        <v/>
      </c>
      <c r="C2362" t="str">
        <f>IF(A2362="","",'ATP Fills'!M2362)</f>
        <v/>
      </c>
      <c r="D2362" t="str">
        <f>IF(A2362="","",'ATP Fills'!B2362)</f>
        <v/>
      </c>
      <c r="E2362" s="3" t="str">
        <f>IF(A2362="","",IF(DATE(LEFT(D2362,4),MID(D2362,5,2),RIGHT(D2362,2))=Helper1!$P$1,Helper1!$P$1,""))</f>
        <v/>
      </c>
      <c r="F2362" s="3" t="str">
        <f>IF(A2362="","",'ATP Fills'!G2362)</f>
        <v/>
      </c>
      <c r="G2362" t="str">
        <f>IF(A2362="","",'ATP Fills'!H2362)</f>
        <v/>
      </c>
      <c r="H2362" t="str">
        <f>IF(A2362="","",VLOOKUP(G2362,表3_3[],2,0))</f>
        <v/>
      </c>
      <c r="I2362" t="str">
        <f>IF(A2362="","",VLOOKUP(G2362,表3_3[],3,0))</f>
        <v/>
      </c>
      <c r="J2362" t="str">
        <f>IF(A2362="","",IF('ATP Fills'!I2362="3M","",VLOOKUP(RIGHT('ATP Fills'!I2362,2),Helper1!$O$36:$P$48,2,0)))</f>
        <v/>
      </c>
      <c r="K2362" t="str">
        <f>IF(J2362="","",LEFT('ATP Fills'!I2362,4))</f>
        <v/>
      </c>
      <c r="L2362" t="str">
        <f>IF(A2362="","",IF('ATP Fills'!G2362="LME",'ATP Fills'!I2362,""))</f>
        <v/>
      </c>
      <c r="M2362" t="str">
        <f t="shared" si="36"/>
        <v/>
      </c>
    </row>
    <row r="2363" spans="1:13">
      <c r="A2363" t="str">
        <f>IF('ATP Fills'!A2363="","",IF('ATP Fills'!Q2363="PHILLIPSG",'ATP Fills'!F2363,""))</f>
        <v/>
      </c>
      <c r="B2363" t="str">
        <f>IF(A2363="","",'ATP Fills'!L2363)</f>
        <v/>
      </c>
      <c r="C2363" t="str">
        <f>IF(A2363="","",'ATP Fills'!M2363)</f>
        <v/>
      </c>
      <c r="D2363" t="str">
        <f>IF(A2363="","",'ATP Fills'!B2363)</f>
        <v/>
      </c>
      <c r="E2363" s="3" t="str">
        <f>IF(A2363="","",IF(DATE(LEFT(D2363,4),MID(D2363,5,2),RIGHT(D2363,2))=Helper1!$P$1,Helper1!$P$1,""))</f>
        <v/>
      </c>
      <c r="F2363" s="3" t="str">
        <f>IF(A2363="","",'ATP Fills'!G2363)</f>
        <v/>
      </c>
      <c r="G2363" t="str">
        <f>IF(A2363="","",'ATP Fills'!H2363)</f>
        <v/>
      </c>
      <c r="H2363" t="str">
        <f>IF(A2363="","",VLOOKUP(G2363,表3_3[],2,0))</f>
        <v/>
      </c>
      <c r="I2363" t="str">
        <f>IF(A2363="","",VLOOKUP(G2363,表3_3[],3,0))</f>
        <v/>
      </c>
      <c r="J2363" t="str">
        <f>IF(A2363="","",IF('ATP Fills'!I2363="3M","",VLOOKUP(RIGHT('ATP Fills'!I2363,2),Helper1!$O$36:$P$48,2,0)))</f>
        <v/>
      </c>
      <c r="K2363" t="str">
        <f>IF(J2363="","",LEFT('ATP Fills'!I2363,4))</f>
        <v/>
      </c>
      <c r="L2363" t="str">
        <f>IF(A2363="","",IF('ATP Fills'!G2363="LME",'ATP Fills'!I2363,""))</f>
        <v/>
      </c>
      <c r="M2363" t="str">
        <f t="shared" si="36"/>
        <v/>
      </c>
    </row>
    <row r="2364" spans="1:13">
      <c r="A2364" t="str">
        <f>IF('ATP Fills'!A2364="","",IF('ATP Fills'!Q2364="PHILLIPSG",'ATP Fills'!F2364,""))</f>
        <v/>
      </c>
      <c r="B2364" t="str">
        <f>IF(A2364="","",'ATP Fills'!L2364)</f>
        <v/>
      </c>
      <c r="C2364" t="str">
        <f>IF(A2364="","",'ATP Fills'!M2364)</f>
        <v/>
      </c>
      <c r="D2364" t="str">
        <f>IF(A2364="","",'ATP Fills'!B2364)</f>
        <v/>
      </c>
      <c r="E2364" s="3" t="str">
        <f>IF(A2364="","",IF(DATE(LEFT(D2364,4),MID(D2364,5,2),RIGHT(D2364,2))=Helper1!$P$1,Helper1!$P$1,""))</f>
        <v/>
      </c>
      <c r="F2364" s="3" t="str">
        <f>IF(A2364="","",'ATP Fills'!G2364)</f>
        <v/>
      </c>
      <c r="G2364" t="str">
        <f>IF(A2364="","",'ATP Fills'!H2364)</f>
        <v/>
      </c>
      <c r="H2364" t="str">
        <f>IF(A2364="","",VLOOKUP(G2364,表3_3[],2,0))</f>
        <v/>
      </c>
      <c r="I2364" t="str">
        <f>IF(A2364="","",VLOOKUP(G2364,表3_3[],3,0))</f>
        <v/>
      </c>
      <c r="J2364" t="str">
        <f>IF(A2364="","",IF('ATP Fills'!I2364="3M","",VLOOKUP(RIGHT('ATP Fills'!I2364,2),Helper1!$O$36:$P$48,2,0)))</f>
        <v/>
      </c>
      <c r="K2364" t="str">
        <f>IF(J2364="","",LEFT('ATP Fills'!I2364,4))</f>
        <v/>
      </c>
      <c r="L2364" t="str">
        <f>IF(A2364="","",IF('ATP Fills'!G2364="LME",'ATP Fills'!I2364,""))</f>
        <v/>
      </c>
      <c r="M2364" t="str">
        <f t="shared" si="36"/>
        <v/>
      </c>
    </row>
    <row r="2365" spans="1:13">
      <c r="A2365" t="str">
        <f>IF('ATP Fills'!A2365="","",IF('ATP Fills'!Q2365="PHILLIPSG",'ATP Fills'!F2365,""))</f>
        <v/>
      </c>
      <c r="B2365" t="str">
        <f>IF(A2365="","",'ATP Fills'!L2365)</f>
        <v/>
      </c>
      <c r="C2365" t="str">
        <f>IF(A2365="","",'ATP Fills'!M2365)</f>
        <v/>
      </c>
      <c r="D2365" t="str">
        <f>IF(A2365="","",'ATP Fills'!B2365)</f>
        <v/>
      </c>
      <c r="E2365" s="3" t="str">
        <f>IF(A2365="","",IF(DATE(LEFT(D2365,4),MID(D2365,5,2),RIGHT(D2365,2))=Helper1!$P$1,Helper1!$P$1,""))</f>
        <v/>
      </c>
      <c r="F2365" s="3" t="str">
        <f>IF(A2365="","",'ATP Fills'!G2365)</f>
        <v/>
      </c>
      <c r="G2365" t="str">
        <f>IF(A2365="","",'ATP Fills'!H2365)</f>
        <v/>
      </c>
      <c r="H2365" t="str">
        <f>IF(A2365="","",VLOOKUP(G2365,表3_3[],2,0))</f>
        <v/>
      </c>
      <c r="I2365" t="str">
        <f>IF(A2365="","",VLOOKUP(G2365,表3_3[],3,0))</f>
        <v/>
      </c>
      <c r="J2365" t="str">
        <f>IF(A2365="","",IF('ATP Fills'!I2365="3M","",VLOOKUP(RIGHT('ATP Fills'!I2365,2),Helper1!$O$36:$P$48,2,0)))</f>
        <v/>
      </c>
      <c r="K2365" t="str">
        <f>IF(J2365="","",LEFT('ATP Fills'!I2365,4))</f>
        <v/>
      </c>
      <c r="L2365" t="str">
        <f>IF(A2365="","",IF('ATP Fills'!G2365="LME",'ATP Fills'!I2365,""))</f>
        <v/>
      </c>
      <c r="M2365" t="str">
        <f t="shared" si="36"/>
        <v/>
      </c>
    </row>
    <row r="2366" spans="1:13">
      <c r="A2366" t="str">
        <f>IF('ATP Fills'!A2366="","",IF('ATP Fills'!Q2366="PHILLIPSG",'ATP Fills'!F2366,""))</f>
        <v/>
      </c>
      <c r="B2366" t="str">
        <f>IF(A2366="","",'ATP Fills'!L2366)</f>
        <v/>
      </c>
      <c r="C2366" t="str">
        <f>IF(A2366="","",'ATP Fills'!M2366)</f>
        <v/>
      </c>
      <c r="D2366" t="str">
        <f>IF(A2366="","",'ATP Fills'!B2366)</f>
        <v/>
      </c>
      <c r="E2366" s="3" t="str">
        <f>IF(A2366="","",IF(DATE(LEFT(D2366,4),MID(D2366,5,2),RIGHT(D2366,2))=Helper1!$P$1,Helper1!$P$1,""))</f>
        <v/>
      </c>
      <c r="F2366" s="3" t="str">
        <f>IF(A2366="","",'ATP Fills'!G2366)</f>
        <v/>
      </c>
      <c r="G2366" t="str">
        <f>IF(A2366="","",'ATP Fills'!H2366)</f>
        <v/>
      </c>
      <c r="H2366" t="str">
        <f>IF(A2366="","",VLOOKUP(G2366,表3_3[],2,0))</f>
        <v/>
      </c>
      <c r="I2366" t="str">
        <f>IF(A2366="","",VLOOKUP(G2366,表3_3[],3,0))</f>
        <v/>
      </c>
      <c r="J2366" t="str">
        <f>IF(A2366="","",IF('ATP Fills'!I2366="3M","",VLOOKUP(RIGHT('ATP Fills'!I2366,2),Helper1!$O$36:$P$48,2,0)))</f>
        <v/>
      </c>
      <c r="K2366" t="str">
        <f>IF(J2366="","",LEFT('ATP Fills'!I2366,4))</f>
        <v/>
      </c>
      <c r="L2366" t="str">
        <f>IF(A2366="","",IF('ATP Fills'!G2366="LME",'ATP Fills'!I2366,""))</f>
        <v/>
      </c>
      <c r="M2366" t="str">
        <f t="shared" si="36"/>
        <v/>
      </c>
    </row>
    <row r="2367" spans="1:13">
      <c r="A2367" t="str">
        <f>IF('ATP Fills'!A2367="","",IF('ATP Fills'!Q2367="PHILLIPSG",'ATP Fills'!F2367,""))</f>
        <v/>
      </c>
      <c r="B2367" t="str">
        <f>IF(A2367="","",'ATP Fills'!L2367)</f>
        <v/>
      </c>
      <c r="C2367" t="str">
        <f>IF(A2367="","",'ATP Fills'!M2367)</f>
        <v/>
      </c>
      <c r="D2367" t="str">
        <f>IF(A2367="","",'ATP Fills'!B2367)</f>
        <v/>
      </c>
      <c r="E2367" s="3" t="str">
        <f>IF(A2367="","",IF(DATE(LEFT(D2367,4),MID(D2367,5,2),RIGHT(D2367,2))=Helper1!$P$1,Helper1!$P$1,""))</f>
        <v/>
      </c>
      <c r="F2367" s="3" t="str">
        <f>IF(A2367="","",'ATP Fills'!G2367)</f>
        <v/>
      </c>
      <c r="G2367" t="str">
        <f>IF(A2367="","",'ATP Fills'!H2367)</f>
        <v/>
      </c>
      <c r="H2367" t="str">
        <f>IF(A2367="","",VLOOKUP(G2367,表3_3[],2,0))</f>
        <v/>
      </c>
      <c r="I2367" t="str">
        <f>IF(A2367="","",VLOOKUP(G2367,表3_3[],3,0))</f>
        <v/>
      </c>
      <c r="J2367" t="str">
        <f>IF(A2367="","",IF('ATP Fills'!I2367="3M","",VLOOKUP(RIGHT('ATP Fills'!I2367,2),Helper1!$O$36:$P$48,2,0)))</f>
        <v/>
      </c>
      <c r="K2367" t="str">
        <f>IF(J2367="","",LEFT('ATP Fills'!I2367,4))</f>
        <v/>
      </c>
      <c r="L2367" t="str">
        <f>IF(A2367="","",IF('ATP Fills'!G2367="LME",'ATP Fills'!I2367,""))</f>
        <v/>
      </c>
      <c r="M2367" t="str">
        <f t="shared" si="36"/>
        <v/>
      </c>
    </row>
    <row r="2368" spans="1:13">
      <c r="A2368" t="str">
        <f>IF('ATP Fills'!A2368="","",IF('ATP Fills'!Q2368="PHILLIPSG",'ATP Fills'!F2368,""))</f>
        <v/>
      </c>
      <c r="B2368" t="str">
        <f>IF(A2368="","",'ATP Fills'!L2368)</f>
        <v/>
      </c>
      <c r="C2368" t="str">
        <f>IF(A2368="","",'ATP Fills'!M2368)</f>
        <v/>
      </c>
      <c r="D2368" t="str">
        <f>IF(A2368="","",'ATP Fills'!B2368)</f>
        <v/>
      </c>
      <c r="E2368" s="3" t="str">
        <f>IF(A2368="","",IF(DATE(LEFT(D2368,4),MID(D2368,5,2),RIGHT(D2368,2))=Helper1!$P$1,Helper1!$P$1,""))</f>
        <v/>
      </c>
      <c r="F2368" s="3" t="str">
        <f>IF(A2368="","",'ATP Fills'!G2368)</f>
        <v/>
      </c>
      <c r="G2368" t="str">
        <f>IF(A2368="","",'ATP Fills'!H2368)</f>
        <v/>
      </c>
      <c r="H2368" t="str">
        <f>IF(A2368="","",VLOOKUP(G2368,表3_3[],2,0))</f>
        <v/>
      </c>
      <c r="I2368" t="str">
        <f>IF(A2368="","",VLOOKUP(G2368,表3_3[],3,0))</f>
        <v/>
      </c>
      <c r="J2368" t="str">
        <f>IF(A2368="","",IF('ATP Fills'!I2368="3M","",VLOOKUP(RIGHT('ATP Fills'!I2368,2),Helper1!$O$36:$P$48,2,0)))</f>
        <v/>
      </c>
      <c r="K2368" t="str">
        <f>IF(J2368="","",LEFT('ATP Fills'!I2368,4))</f>
        <v/>
      </c>
      <c r="L2368" t="str">
        <f>IF(A2368="","",IF('ATP Fills'!G2368="LME",'ATP Fills'!I2368,""))</f>
        <v/>
      </c>
      <c r="M2368" t="str">
        <f t="shared" si="36"/>
        <v/>
      </c>
    </row>
    <row r="2369" spans="1:13">
      <c r="A2369" t="str">
        <f>IF('ATP Fills'!A2369="","",IF('ATP Fills'!Q2369="PHILLIPSG",'ATP Fills'!F2369,""))</f>
        <v/>
      </c>
      <c r="B2369" t="str">
        <f>IF(A2369="","",'ATP Fills'!L2369)</f>
        <v/>
      </c>
      <c r="C2369" t="str">
        <f>IF(A2369="","",'ATP Fills'!M2369)</f>
        <v/>
      </c>
      <c r="D2369" t="str">
        <f>IF(A2369="","",'ATP Fills'!B2369)</f>
        <v/>
      </c>
      <c r="E2369" s="3" t="str">
        <f>IF(A2369="","",IF(DATE(LEFT(D2369,4),MID(D2369,5,2),RIGHT(D2369,2))=Helper1!$P$1,Helper1!$P$1,""))</f>
        <v/>
      </c>
      <c r="F2369" s="3" t="str">
        <f>IF(A2369="","",'ATP Fills'!G2369)</f>
        <v/>
      </c>
      <c r="G2369" t="str">
        <f>IF(A2369="","",'ATP Fills'!H2369)</f>
        <v/>
      </c>
      <c r="H2369" t="str">
        <f>IF(A2369="","",VLOOKUP(G2369,表3_3[],2,0))</f>
        <v/>
      </c>
      <c r="I2369" t="str">
        <f>IF(A2369="","",VLOOKUP(G2369,表3_3[],3,0))</f>
        <v/>
      </c>
      <c r="J2369" t="str">
        <f>IF(A2369="","",IF('ATP Fills'!I2369="3M","",VLOOKUP(RIGHT('ATP Fills'!I2369,2),Helper1!$O$36:$P$48,2,0)))</f>
        <v/>
      </c>
      <c r="K2369" t="str">
        <f>IF(J2369="","",LEFT('ATP Fills'!I2369,4))</f>
        <v/>
      </c>
      <c r="L2369" t="str">
        <f>IF(A2369="","",IF('ATP Fills'!G2369="LME",'ATP Fills'!I2369,""))</f>
        <v/>
      </c>
      <c r="M2369" t="str">
        <f t="shared" si="36"/>
        <v/>
      </c>
    </row>
    <row r="2370" spans="1:13">
      <c r="A2370" t="str">
        <f>IF('ATP Fills'!A2370="","",IF('ATP Fills'!Q2370="PHILLIPSG",'ATP Fills'!F2370,""))</f>
        <v/>
      </c>
      <c r="B2370" t="str">
        <f>IF(A2370="","",'ATP Fills'!L2370)</f>
        <v/>
      </c>
      <c r="C2370" t="str">
        <f>IF(A2370="","",'ATP Fills'!M2370)</f>
        <v/>
      </c>
      <c r="D2370" t="str">
        <f>IF(A2370="","",'ATP Fills'!B2370)</f>
        <v/>
      </c>
      <c r="E2370" s="3" t="str">
        <f>IF(A2370="","",IF(DATE(LEFT(D2370,4),MID(D2370,5,2),RIGHT(D2370,2))=Helper1!$P$1,Helper1!$P$1,""))</f>
        <v/>
      </c>
      <c r="F2370" s="3" t="str">
        <f>IF(A2370="","",'ATP Fills'!G2370)</f>
        <v/>
      </c>
      <c r="G2370" t="str">
        <f>IF(A2370="","",'ATP Fills'!H2370)</f>
        <v/>
      </c>
      <c r="H2370" t="str">
        <f>IF(A2370="","",VLOOKUP(G2370,表3_3[],2,0))</f>
        <v/>
      </c>
      <c r="I2370" t="str">
        <f>IF(A2370="","",VLOOKUP(G2370,表3_3[],3,0))</f>
        <v/>
      </c>
      <c r="J2370" t="str">
        <f>IF(A2370="","",IF('ATP Fills'!I2370="3M","",VLOOKUP(RIGHT('ATP Fills'!I2370,2),Helper1!$O$36:$P$48,2,0)))</f>
        <v/>
      </c>
      <c r="K2370" t="str">
        <f>IF(J2370="","",LEFT('ATP Fills'!I2370,4))</f>
        <v/>
      </c>
      <c r="L2370" t="str">
        <f>IF(A2370="","",IF('ATP Fills'!G2370="LME",'ATP Fills'!I2370,""))</f>
        <v/>
      </c>
      <c r="M2370" t="str">
        <f t="shared" si="36"/>
        <v/>
      </c>
    </row>
    <row r="2371" spans="1:13">
      <c r="A2371" t="str">
        <f>IF('ATP Fills'!A2371="","",IF('ATP Fills'!Q2371="PHILLIPSG",'ATP Fills'!F2371,""))</f>
        <v/>
      </c>
      <c r="B2371" t="str">
        <f>IF(A2371="","",'ATP Fills'!L2371)</f>
        <v/>
      </c>
      <c r="C2371" t="str">
        <f>IF(A2371="","",'ATP Fills'!M2371)</f>
        <v/>
      </c>
      <c r="D2371" t="str">
        <f>IF(A2371="","",'ATP Fills'!B2371)</f>
        <v/>
      </c>
      <c r="E2371" s="3" t="str">
        <f>IF(A2371="","",IF(DATE(LEFT(D2371,4),MID(D2371,5,2),RIGHT(D2371,2))=Helper1!$P$1,Helper1!$P$1,""))</f>
        <v/>
      </c>
      <c r="F2371" s="3" t="str">
        <f>IF(A2371="","",'ATP Fills'!G2371)</f>
        <v/>
      </c>
      <c r="G2371" t="str">
        <f>IF(A2371="","",'ATP Fills'!H2371)</f>
        <v/>
      </c>
      <c r="H2371" t="str">
        <f>IF(A2371="","",VLOOKUP(G2371,表3_3[],2,0))</f>
        <v/>
      </c>
      <c r="I2371" t="str">
        <f>IF(A2371="","",VLOOKUP(G2371,表3_3[],3,0))</f>
        <v/>
      </c>
      <c r="J2371" t="str">
        <f>IF(A2371="","",IF('ATP Fills'!I2371="3M","",VLOOKUP(RIGHT('ATP Fills'!I2371,2),Helper1!$O$36:$P$48,2,0)))</f>
        <v/>
      </c>
      <c r="K2371" t="str">
        <f>IF(J2371="","",LEFT('ATP Fills'!I2371,4))</f>
        <v/>
      </c>
      <c r="L2371" t="str">
        <f>IF(A2371="","",IF('ATP Fills'!G2371="LME",'ATP Fills'!I2371,""))</f>
        <v/>
      </c>
      <c r="M2371" t="str">
        <f t="shared" ref="M2371:M2434" si="37">IF(A2371="","",IF(F2371="LME",F2371&amp;"-"&amp;I2371&amp;"-"&amp;L2371,J2371&amp;"-"&amp;K2371&amp;"-"&amp;I2371))</f>
        <v/>
      </c>
    </row>
    <row r="2372" spans="1:13">
      <c r="A2372" t="str">
        <f>IF('ATP Fills'!A2372="","",IF('ATP Fills'!Q2372="PHILLIPSG",'ATP Fills'!F2372,""))</f>
        <v/>
      </c>
      <c r="B2372" t="str">
        <f>IF(A2372="","",'ATP Fills'!L2372)</f>
        <v/>
      </c>
      <c r="C2372" t="str">
        <f>IF(A2372="","",'ATP Fills'!M2372)</f>
        <v/>
      </c>
      <c r="D2372" t="str">
        <f>IF(A2372="","",'ATP Fills'!B2372)</f>
        <v/>
      </c>
      <c r="E2372" s="3" t="str">
        <f>IF(A2372="","",IF(DATE(LEFT(D2372,4),MID(D2372,5,2),RIGHT(D2372,2))=Helper1!$P$1,Helper1!$P$1,""))</f>
        <v/>
      </c>
      <c r="F2372" s="3" t="str">
        <f>IF(A2372="","",'ATP Fills'!G2372)</f>
        <v/>
      </c>
      <c r="G2372" t="str">
        <f>IF(A2372="","",'ATP Fills'!H2372)</f>
        <v/>
      </c>
      <c r="H2372" t="str">
        <f>IF(A2372="","",VLOOKUP(G2372,表3_3[],2,0))</f>
        <v/>
      </c>
      <c r="I2372" t="str">
        <f>IF(A2372="","",VLOOKUP(G2372,表3_3[],3,0))</f>
        <v/>
      </c>
      <c r="J2372" t="str">
        <f>IF(A2372="","",IF('ATP Fills'!I2372="3M","",VLOOKUP(RIGHT('ATP Fills'!I2372,2),Helper1!$O$36:$P$48,2,0)))</f>
        <v/>
      </c>
      <c r="K2372" t="str">
        <f>IF(J2372="","",LEFT('ATP Fills'!I2372,4))</f>
        <v/>
      </c>
      <c r="L2372" t="str">
        <f>IF(A2372="","",IF('ATP Fills'!G2372="LME",'ATP Fills'!I2372,""))</f>
        <v/>
      </c>
      <c r="M2372" t="str">
        <f t="shared" si="37"/>
        <v/>
      </c>
    </row>
    <row r="2373" spans="1:13">
      <c r="A2373" t="str">
        <f>IF('ATP Fills'!A2373="","",IF('ATP Fills'!Q2373="PHILLIPSG",'ATP Fills'!F2373,""))</f>
        <v/>
      </c>
      <c r="B2373" t="str">
        <f>IF(A2373="","",'ATP Fills'!L2373)</f>
        <v/>
      </c>
      <c r="C2373" t="str">
        <f>IF(A2373="","",'ATP Fills'!M2373)</f>
        <v/>
      </c>
      <c r="D2373" t="str">
        <f>IF(A2373="","",'ATP Fills'!B2373)</f>
        <v/>
      </c>
      <c r="E2373" s="3" t="str">
        <f>IF(A2373="","",IF(DATE(LEFT(D2373,4),MID(D2373,5,2),RIGHT(D2373,2))=Helper1!$P$1,Helper1!$P$1,""))</f>
        <v/>
      </c>
      <c r="F2373" s="3" t="str">
        <f>IF(A2373="","",'ATP Fills'!G2373)</f>
        <v/>
      </c>
      <c r="G2373" t="str">
        <f>IF(A2373="","",'ATP Fills'!H2373)</f>
        <v/>
      </c>
      <c r="H2373" t="str">
        <f>IF(A2373="","",VLOOKUP(G2373,表3_3[],2,0))</f>
        <v/>
      </c>
      <c r="I2373" t="str">
        <f>IF(A2373="","",VLOOKUP(G2373,表3_3[],3,0))</f>
        <v/>
      </c>
      <c r="J2373" t="str">
        <f>IF(A2373="","",IF('ATP Fills'!I2373="3M","",VLOOKUP(RIGHT('ATP Fills'!I2373,2),Helper1!$O$36:$P$48,2,0)))</f>
        <v/>
      </c>
      <c r="K2373" t="str">
        <f>IF(J2373="","",LEFT('ATP Fills'!I2373,4))</f>
        <v/>
      </c>
      <c r="L2373" t="str">
        <f>IF(A2373="","",IF('ATP Fills'!G2373="LME",'ATP Fills'!I2373,""))</f>
        <v/>
      </c>
      <c r="M2373" t="str">
        <f t="shared" si="37"/>
        <v/>
      </c>
    </row>
    <row r="2374" spans="1:13">
      <c r="A2374" t="str">
        <f>IF('ATP Fills'!A2374="","",IF('ATP Fills'!Q2374="PHILLIPSG",'ATP Fills'!F2374,""))</f>
        <v/>
      </c>
      <c r="B2374" t="str">
        <f>IF(A2374="","",'ATP Fills'!L2374)</f>
        <v/>
      </c>
      <c r="C2374" t="str">
        <f>IF(A2374="","",'ATP Fills'!M2374)</f>
        <v/>
      </c>
      <c r="D2374" t="str">
        <f>IF(A2374="","",'ATP Fills'!B2374)</f>
        <v/>
      </c>
      <c r="E2374" s="3" t="str">
        <f>IF(A2374="","",IF(DATE(LEFT(D2374,4),MID(D2374,5,2),RIGHT(D2374,2))=Helper1!$P$1,Helper1!$P$1,""))</f>
        <v/>
      </c>
      <c r="F2374" s="3" t="str">
        <f>IF(A2374="","",'ATP Fills'!G2374)</f>
        <v/>
      </c>
      <c r="G2374" t="str">
        <f>IF(A2374="","",'ATP Fills'!H2374)</f>
        <v/>
      </c>
      <c r="H2374" t="str">
        <f>IF(A2374="","",VLOOKUP(G2374,表3_3[],2,0))</f>
        <v/>
      </c>
      <c r="I2374" t="str">
        <f>IF(A2374="","",VLOOKUP(G2374,表3_3[],3,0))</f>
        <v/>
      </c>
      <c r="J2374" t="str">
        <f>IF(A2374="","",IF('ATP Fills'!I2374="3M","",VLOOKUP(RIGHT('ATP Fills'!I2374,2),Helper1!$O$36:$P$48,2,0)))</f>
        <v/>
      </c>
      <c r="K2374" t="str">
        <f>IF(J2374="","",LEFT('ATP Fills'!I2374,4))</f>
        <v/>
      </c>
      <c r="L2374" t="str">
        <f>IF(A2374="","",IF('ATP Fills'!G2374="LME",'ATP Fills'!I2374,""))</f>
        <v/>
      </c>
      <c r="M2374" t="str">
        <f t="shared" si="37"/>
        <v/>
      </c>
    </row>
    <row r="2375" spans="1:13">
      <c r="A2375" t="str">
        <f>IF('ATP Fills'!A2375="","",IF('ATP Fills'!Q2375="PHILLIPSG",'ATP Fills'!F2375,""))</f>
        <v/>
      </c>
      <c r="B2375" t="str">
        <f>IF(A2375="","",'ATP Fills'!L2375)</f>
        <v/>
      </c>
      <c r="C2375" t="str">
        <f>IF(A2375="","",'ATP Fills'!M2375)</f>
        <v/>
      </c>
      <c r="D2375" t="str">
        <f>IF(A2375="","",'ATP Fills'!B2375)</f>
        <v/>
      </c>
      <c r="E2375" s="3" t="str">
        <f>IF(A2375="","",IF(DATE(LEFT(D2375,4),MID(D2375,5,2),RIGHT(D2375,2))=Helper1!$P$1,Helper1!$P$1,""))</f>
        <v/>
      </c>
      <c r="F2375" s="3" t="str">
        <f>IF(A2375="","",'ATP Fills'!G2375)</f>
        <v/>
      </c>
      <c r="G2375" t="str">
        <f>IF(A2375="","",'ATP Fills'!H2375)</f>
        <v/>
      </c>
      <c r="H2375" t="str">
        <f>IF(A2375="","",VLOOKUP(G2375,表3_3[],2,0))</f>
        <v/>
      </c>
      <c r="I2375" t="str">
        <f>IF(A2375="","",VLOOKUP(G2375,表3_3[],3,0))</f>
        <v/>
      </c>
      <c r="J2375" t="str">
        <f>IF(A2375="","",IF('ATP Fills'!I2375="3M","",VLOOKUP(RIGHT('ATP Fills'!I2375,2),Helper1!$O$36:$P$48,2,0)))</f>
        <v/>
      </c>
      <c r="K2375" t="str">
        <f>IF(J2375="","",LEFT('ATP Fills'!I2375,4))</f>
        <v/>
      </c>
      <c r="L2375" t="str">
        <f>IF(A2375="","",IF('ATP Fills'!G2375="LME",'ATP Fills'!I2375,""))</f>
        <v/>
      </c>
      <c r="M2375" t="str">
        <f t="shared" si="37"/>
        <v/>
      </c>
    </row>
    <row r="2376" spans="1:13">
      <c r="A2376" t="str">
        <f>IF('ATP Fills'!A2376="","",IF('ATP Fills'!Q2376="PHILLIPSG",'ATP Fills'!F2376,""))</f>
        <v/>
      </c>
      <c r="B2376" t="str">
        <f>IF(A2376="","",'ATP Fills'!L2376)</f>
        <v/>
      </c>
      <c r="C2376" t="str">
        <f>IF(A2376="","",'ATP Fills'!M2376)</f>
        <v/>
      </c>
      <c r="D2376" t="str">
        <f>IF(A2376="","",'ATP Fills'!B2376)</f>
        <v/>
      </c>
      <c r="E2376" s="3" t="str">
        <f>IF(A2376="","",IF(DATE(LEFT(D2376,4),MID(D2376,5,2),RIGHT(D2376,2))=Helper1!$P$1,Helper1!$P$1,""))</f>
        <v/>
      </c>
      <c r="F2376" s="3" t="str">
        <f>IF(A2376="","",'ATP Fills'!G2376)</f>
        <v/>
      </c>
      <c r="G2376" t="str">
        <f>IF(A2376="","",'ATP Fills'!H2376)</f>
        <v/>
      </c>
      <c r="H2376" t="str">
        <f>IF(A2376="","",VLOOKUP(G2376,表3_3[],2,0))</f>
        <v/>
      </c>
      <c r="I2376" t="str">
        <f>IF(A2376="","",VLOOKUP(G2376,表3_3[],3,0))</f>
        <v/>
      </c>
      <c r="J2376" t="str">
        <f>IF(A2376="","",IF('ATP Fills'!I2376="3M","",VLOOKUP(RIGHT('ATP Fills'!I2376,2),Helper1!$O$36:$P$48,2,0)))</f>
        <v/>
      </c>
      <c r="K2376" t="str">
        <f>IF(J2376="","",LEFT('ATP Fills'!I2376,4))</f>
        <v/>
      </c>
      <c r="L2376" t="str">
        <f>IF(A2376="","",IF('ATP Fills'!G2376="LME",'ATP Fills'!I2376,""))</f>
        <v/>
      </c>
      <c r="M2376" t="str">
        <f t="shared" si="37"/>
        <v/>
      </c>
    </row>
    <row r="2377" spans="1:13">
      <c r="A2377" t="str">
        <f>IF('ATP Fills'!A2377="","",IF('ATP Fills'!Q2377="PHILLIPSG",'ATP Fills'!F2377,""))</f>
        <v/>
      </c>
      <c r="B2377" t="str">
        <f>IF(A2377="","",'ATP Fills'!L2377)</f>
        <v/>
      </c>
      <c r="C2377" t="str">
        <f>IF(A2377="","",'ATP Fills'!M2377)</f>
        <v/>
      </c>
      <c r="D2377" t="str">
        <f>IF(A2377="","",'ATP Fills'!B2377)</f>
        <v/>
      </c>
      <c r="E2377" s="3" t="str">
        <f>IF(A2377="","",IF(DATE(LEFT(D2377,4),MID(D2377,5,2),RIGHT(D2377,2))=Helper1!$P$1,Helper1!$P$1,""))</f>
        <v/>
      </c>
      <c r="F2377" s="3" t="str">
        <f>IF(A2377="","",'ATP Fills'!G2377)</f>
        <v/>
      </c>
      <c r="G2377" t="str">
        <f>IF(A2377="","",'ATP Fills'!H2377)</f>
        <v/>
      </c>
      <c r="H2377" t="str">
        <f>IF(A2377="","",VLOOKUP(G2377,表3_3[],2,0))</f>
        <v/>
      </c>
      <c r="I2377" t="str">
        <f>IF(A2377="","",VLOOKUP(G2377,表3_3[],3,0))</f>
        <v/>
      </c>
      <c r="J2377" t="str">
        <f>IF(A2377="","",IF('ATP Fills'!I2377="3M","",VLOOKUP(RIGHT('ATP Fills'!I2377,2),Helper1!$O$36:$P$48,2,0)))</f>
        <v/>
      </c>
      <c r="K2377" t="str">
        <f>IF(J2377="","",LEFT('ATP Fills'!I2377,4))</f>
        <v/>
      </c>
      <c r="L2377" t="str">
        <f>IF(A2377="","",IF('ATP Fills'!G2377="LME",'ATP Fills'!I2377,""))</f>
        <v/>
      </c>
      <c r="M2377" t="str">
        <f t="shared" si="37"/>
        <v/>
      </c>
    </row>
    <row r="2378" spans="1:13">
      <c r="A2378" t="str">
        <f>IF('ATP Fills'!A2378="","",IF('ATP Fills'!Q2378="PHILLIPSG",'ATP Fills'!F2378,""))</f>
        <v/>
      </c>
      <c r="B2378" t="str">
        <f>IF(A2378="","",'ATP Fills'!L2378)</f>
        <v/>
      </c>
      <c r="C2378" t="str">
        <f>IF(A2378="","",'ATP Fills'!M2378)</f>
        <v/>
      </c>
      <c r="D2378" t="str">
        <f>IF(A2378="","",'ATP Fills'!B2378)</f>
        <v/>
      </c>
      <c r="E2378" s="3" t="str">
        <f>IF(A2378="","",IF(DATE(LEFT(D2378,4),MID(D2378,5,2),RIGHT(D2378,2))=Helper1!$P$1,Helper1!$P$1,""))</f>
        <v/>
      </c>
      <c r="F2378" s="3" t="str">
        <f>IF(A2378="","",'ATP Fills'!G2378)</f>
        <v/>
      </c>
      <c r="G2378" t="str">
        <f>IF(A2378="","",'ATP Fills'!H2378)</f>
        <v/>
      </c>
      <c r="H2378" t="str">
        <f>IF(A2378="","",VLOOKUP(G2378,表3_3[],2,0))</f>
        <v/>
      </c>
      <c r="I2378" t="str">
        <f>IF(A2378="","",VLOOKUP(G2378,表3_3[],3,0))</f>
        <v/>
      </c>
      <c r="J2378" t="str">
        <f>IF(A2378="","",IF('ATP Fills'!I2378="3M","",VLOOKUP(RIGHT('ATP Fills'!I2378,2),Helper1!$O$36:$P$48,2,0)))</f>
        <v/>
      </c>
      <c r="K2378" t="str">
        <f>IF(J2378="","",LEFT('ATP Fills'!I2378,4))</f>
        <v/>
      </c>
      <c r="L2378" t="str">
        <f>IF(A2378="","",IF('ATP Fills'!G2378="LME",'ATP Fills'!I2378,""))</f>
        <v/>
      </c>
      <c r="M2378" t="str">
        <f t="shared" si="37"/>
        <v/>
      </c>
    </row>
    <row r="2379" spans="1:13">
      <c r="A2379" t="str">
        <f>IF('ATP Fills'!A2379="","",IF('ATP Fills'!Q2379="PHILLIPSG",'ATP Fills'!F2379,""))</f>
        <v/>
      </c>
      <c r="B2379" t="str">
        <f>IF(A2379="","",'ATP Fills'!L2379)</f>
        <v/>
      </c>
      <c r="C2379" t="str">
        <f>IF(A2379="","",'ATP Fills'!M2379)</f>
        <v/>
      </c>
      <c r="D2379" t="str">
        <f>IF(A2379="","",'ATP Fills'!B2379)</f>
        <v/>
      </c>
      <c r="E2379" s="3" t="str">
        <f>IF(A2379="","",IF(DATE(LEFT(D2379,4),MID(D2379,5,2),RIGHT(D2379,2))=Helper1!$P$1,Helper1!$P$1,""))</f>
        <v/>
      </c>
      <c r="F2379" s="3" t="str">
        <f>IF(A2379="","",'ATP Fills'!G2379)</f>
        <v/>
      </c>
      <c r="G2379" t="str">
        <f>IF(A2379="","",'ATP Fills'!H2379)</f>
        <v/>
      </c>
      <c r="H2379" t="str">
        <f>IF(A2379="","",VLOOKUP(G2379,表3_3[],2,0))</f>
        <v/>
      </c>
      <c r="I2379" t="str">
        <f>IF(A2379="","",VLOOKUP(G2379,表3_3[],3,0))</f>
        <v/>
      </c>
      <c r="J2379" t="str">
        <f>IF(A2379="","",IF('ATP Fills'!I2379="3M","",VLOOKUP(RIGHT('ATP Fills'!I2379,2),Helper1!$O$36:$P$48,2,0)))</f>
        <v/>
      </c>
      <c r="K2379" t="str">
        <f>IF(J2379="","",LEFT('ATP Fills'!I2379,4))</f>
        <v/>
      </c>
      <c r="L2379" t="str">
        <f>IF(A2379="","",IF('ATP Fills'!G2379="LME",'ATP Fills'!I2379,""))</f>
        <v/>
      </c>
      <c r="M2379" t="str">
        <f t="shared" si="37"/>
        <v/>
      </c>
    </row>
    <row r="2380" spans="1:13">
      <c r="A2380" t="str">
        <f>IF('ATP Fills'!A2380="","",IF('ATP Fills'!Q2380="PHILLIPSG",'ATP Fills'!F2380,""))</f>
        <v/>
      </c>
      <c r="B2380" t="str">
        <f>IF(A2380="","",'ATP Fills'!L2380)</f>
        <v/>
      </c>
      <c r="C2380" t="str">
        <f>IF(A2380="","",'ATP Fills'!M2380)</f>
        <v/>
      </c>
      <c r="D2380" t="str">
        <f>IF(A2380="","",'ATP Fills'!B2380)</f>
        <v/>
      </c>
      <c r="E2380" s="3" t="str">
        <f>IF(A2380="","",IF(DATE(LEFT(D2380,4),MID(D2380,5,2),RIGHT(D2380,2))=Helper1!$P$1,Helper1!$P$1,""))</f>
        <v/>
      </c>
      <c r="F2380" s="3" t="str">
        <f>IF(A2380="","",'ATP Fills'!G2380)</f>
        <v/>
      </c>
      <c r="G2380" t="str">
        <f>IF(A2380="","",'ATP Fills'!H2380)</f>
        <v/>
      </c>
      <c r="H2380" t="str">
        <f>IF(A2380="","",VLOOKUP(G2380,表3_3[],2,0))</f>
        <v/>
      </c>
      <c r="I2380" t="str">
        <f>IF(A2380="","",VLOOKUP(G2380,表3_3[],3,0))</f>
        <v/>
      </c>
      <c r="J2380" t="str">
        <f>IF(A2380="","",IF('ATP Fills'!I2380="3M","",VLOOKUP(RIGHT('ATP Fills'!I2380,2),Helper1!$O$36:$P$48,2,0)))</f>
        <v/>
      </c>
      <c r="K2380" t="str">
        <f>IF(J2380="","",LEFT('ATP Fills'!I2380,4))</f>
        <v/>
      </c>
      <c r="L2380" t="str">
        <f>IF(A2380="","",IF('ATP Fills'!G2380="LME",'ATP Fills'!I2380,""))</f>
        <v/>
      </c>
      <c r="M2380" t="str">
        <f t="shared" si="37"/>
        <v/>
      </c>
    </row>
    <row r="2381" spans="1:13">
      <c r="A2381" t="str">
        <f>IF('ATP Fills'!A2381="","",IF('ATP Fills'!Q2381="PHILLIPSG",'ATP Fills'!F2381,""))</f>
        <v/>
      </c>
      <c r="B2381" t="str">
        <f>IF(A2381="","",'ATP Fills'!L2381)</f>
        <v/>
      </c>
      <c r="C2381" t="str">
        <f>IF(A2381="","",'ATP Fills'!M2381)</f>
        <v/>
      </c>
      <c r="D2381" t="str">
        <f>IF(A2381="","",'ATP Fills'!B2381)</f>
        <v/>
      </c>
      <c r="E2381" s="3" t="str">
        <f>IF(A2381="","",IF(DATE(LEFT(D2381,4),MID(D2381,5,2),RIGHT(D2381,2))=Helper1!$P$1,Helper1!$P$1,""))</f>
        <v/>
      </c>
      <c r="F2381" s="3" t="str">
        <f>IF(A2381="","",'ATP Fills'!G2381)</f>
        <v/>
      </c>
      <c r="G2381" t="str">
        <f>IF(A2381="","",'ATP Fills'!H2381)</f>
        <v/>
      </c>
      <c r="H2381" t="str">
        <f>IF(A2381="","",VLOOKUP(G2381,表3_3[],2,0))</f>
        <v/>
      </c>
      <c r="I2381" t="str">
        <f>IF(A2381="","",VLOOKUP(G2381,表3_3[],3,0))</f>
        <v/>
      </c>
      <c r="J2381" t="str">
        <f>IF(A2381="","",IF('ATP Fills'!I2381="3M","",VLOOKUP(RIGHT('ATP Fills'!I2381,2),Helper1!$O$36:$P$48,2,0)))</f>
        <v/>
      </c>
      <c r="K2381" t="str">
        <f>IF(J2381="","",LEFT('ATP Fills'!I2381,4))</f>
        <v/>
      </c>
      <c r="L2381" t="str">
        <f>IF(A2381="","",IF('ATP Fills'!G2381="LME",'ATP Fills'!I2381,""))</f>
        <v/>
      </c>
      <c r="M2381" t="str">
        <f t="shared" si="37"/>
        <v/>
      </c>
    </row>
    <row r="2382" spans="1:13">
      <c r="A2382" t="str">
        <f>IF('ATP Fills'!A2382="","",IF('ATP Fills'!Q2382="PHILLIPSG",'ATP Fills'!F2382,""))</f>
        <v/>
      </c>
      <c r="B2382" t="str">
        <f>IF(A2382="","",'ATP Fills'!L2382)</f>
        <v/>
      </c>
      <c r="C2382" t="str">
        <f>IF(A2382="","",'ATP Fills'!M2382)</f>
        <v/>
      </c>
      <c r="D2382" t="str">
        <f>IF(A2382="","",'ATP Fills'!B2382)</f>
        <v/>
      </c>
      <c r="E2382" s="3" t="str">
        <f>IF(A2382="","",IF(DATE(LEFT(D2382,4),MID(D2382,5,2),RIGHT(D2382,2))=Helper1!$P$1,Helper1!$P$1,""))</f>
        <v/>
      </c>
      <c r="F2382" s="3" t="str">
        <f>IF(A2382="","",'ATP Fills'!G2382)</f>
        <v/>
      </c>
      <c r="G2382" t="str">
        <f>IF(A2382="","",'ATP Fills'!H2382)</f>
        <v/>
      </c>
      <c r="H2382" t="str">
        <f>IF(A2382="","",VLOOKUP(G2382,表3_3[],2,0))</f>
        <v/>
      </c>
      <c r="I2382" t="str">
        <f>IF(A2382="","",VLOOKUP(G2382,表3_3[],3,0))</f>
        <v/>
      </c>
      <c r="J2382" t="str">
        <f>IF(A2382="","",IF('ATP Fills'!I2382="3M","",VLOOKUP(RIGHT('ATP Fills'!I2382,2),Helper1!$O$36:$P$48,2,0)))</f>
        <v/>
      </c>
      <c r="K2382" t="str">
        <f>IF(J2382="","",LEFT('ATP Fills'!I2382,4))</f>
        <v/>
      </c>
      <c r="L2382" t="str">
        <f>IF(A2382="","",IF('ATP Fills'!G2382="LME",'ATP Fills'!I2382,""))</f>
        <v/>
      </c>
      <c r="M2382" t="str">
        <f t="shared" si="37"/>
        <v/>
      </c>
    </row>
    <row r="2383" spans="1:13">
      <c r="A2383" t="str">
        <f>IF('ATP Fills'!A2383="","",IF('ATP Fills'!Q2383="PHILLIPSG",'ATP Fills'!F2383,""))</f>
        <v/>
      </c>
      <c r="B2383" t="str">
        <f>IF(A2383="","",'ATP Fills'!L2383)</f>
        <v/>
      </c>
      <c r="C2383" t="str">
        <f>IF(A2383="","",'ATP Fills'!M2383)</f>
        <v/>
      </c>
      <c r="D2383" t="str">
        <f>IF(A2383="","",'ATP Fills'!B2383)</f>
        <v/>
      </c>
      <c r="E2383" s="3" t="str">
        <f>IF(A2383="","",IF(DATE(LEFT(D2383,4),MID(D2383,5,2),RIGHT(D2383,2))=Helper1!$P$1,Helper1!$P$1,""))</f>
        <v/>
      </c>
      <c r="F2383" s="3" t="str">
        <f>IF(A2383="","",'ATP Fills'!G2383)</f>
        <v/>
      </c>
      <c r="G2383" t="str">
        <f>IF(A2383="","",'ATP Fills'!H2383)</f>
        <v/>
      </c>
      <c r="H2383" t="str">
        <f>IF(A2383="","",VLOOKUP(G2383,表3_3[],2,0))</f>
        <v/>
      </c>
      <c r="I2383" t="str">
        <f>IF(A2383="","",VLOOKUP(G2383,表3_3[],3,0))</f>
        <v/>
      </c>
      <c r="J2383" t="str">
        <f>IF(A2383="","",IF('ATP Fills'!I2383="3M","",VLOOKUP(RIGHT('ATP Fills'!I2383,2),Helper1!$O$36:$P$48,2,0)))</f>
        <v/>
      </c>
      <c r="K2383" t="str">
        <f>IF(J2383="","",LEFT('ATP Fills'!I2383,4))</f>
        <v/>
      </c>
      <c r="L2383" t="str">
        <f>IF(A2383="","",IF('ATP Fills'!G2383="LME",'ATP Fills'!I2383,""))</f>
        <v/>
      </c>
      <c r="M2383" t="str">
        <f t="shared" si="37"/>
        <v/>
      </c>
    </row>
    <row r="2384" spans="1:13">
      <c r="A2384" t="str">
        <f>IF('ATP Fills'!A2384="","",IF('ATP Fills'!Q2384="PHILLIPSG",'ATP Fills'!F2384,""))</f>
        <v/>
      </c>
      <c r="B2384" t="str">
        <f>IF(A2384="","",'ATP Fills'!L2384)</f>
        <v/>
      </c>
      <c r="C2384" t="str">
        <f>IF(A2384="","",'ATP Fills'!M2384)</f>
        <v/>
      </c>
      <c r="D2384" t="str">
        <f>IF(A2384="","",'ATP Fills'!B2384)</f>
        <v/>
      </c>
      <c r="E2384" s="3" t="str">
        <f>IF(A2384="","",IF(DATE(LEFT(D2384,4),MID(D2384,5,2),RIGHT(D2384,2))=Helper1!$P$1,Helper1!$P$1,""))</f>
        <v/>
      </c>
      <c r="F2384" s="3" t="str">
        <f>IF(A2384="","",'ATP Fills'!G2384)</f>
        <v/>
      </c>
      <c r="G2384" t="str">
        <f>IF(A2384="","",'ATP Fills'!H2384)</f>
        <v/>
      </c>
      <c r="H2384" t="str">
        <f>IF(A2384="","",VLOOKUP(G2384,表3_3[],2,0))</f>
        <v/>
      </c>
      <c r="I2384" t="str">
        <f>IF(A2384="","",VLOOKUP(G2384,表3_3[],3,0))</f>
        <v/>
      </c>
      <c r="J2384" t="str">
        <f>IF(A2384="","",IF('ATP Fills'!I2384="3M","",VLOOKUP(RIGHT('ATP Fills'!I2384,2),Helper1!$O$36:$P$48,2,0)))</f>
        <v/>
      </c>
      <c r="K2384" t="str">
        <f>IF(J2384="","",LEFT('ATP Fills'!I2384,4))</f>
        <v/>
      </c>
      <c r="L2384" t="str">
        <f>IF(A2384="","",IF('ATP Fills'!G2384="LME",'ATP Fills'!I2384,""))</f>
        <v/>
      </c>
      <c r="M2384" t="str">
        <f t="shared" si="37"/>
        <v/>
      </c>
    </row>
    <row r="2385" spans="1:13">
      <c r="A2385" t="str">
        <f>IF('ATP Fills'!A2385="","",IF('ATP Fills'!Q2385="PHILLIPSG",'ATP Fills'!F2385,""))</f>
        <v/>
      </c>
      <c r="B2385" t="str">
        <f>IF(A2385="","",'ATP Fills'!L2385)</f>
        <v/>
      </c>
      <c r="C2385" t="str">
        <f>IF(A2385="","",'ATP Fills'!M2385)</f>
        <v/>
      </c>
      <c r="D2385" t="str">
        <f>IF(A2385="","",'ATP Fills'!B2385)</f>
        <v/>
      </c>
      <c r="E2385" s="3" t="str">
        <f>IF(A2385="","",IF(DATE(LEFT(D2385,4),MID(D2385,5,2),RIGHT(D2385,2))=Helper1!$P$1,Helper1!$P$1,""))</f>
        <v/>
      </c>
      <c r="F2385" s="3" t="str">
        <f>IF(A2385="","",'ATP Fills'!G2385)</f>
        <v/>
      </c>
      <c r="G2385" t="str">
        <f>IF(A2385="","",'ATP Fills'!H2385)</f>
        <v/>
      </c>
      <c r="H2385" t="str">
        <f>IF(A2385="","",VLOOKUP(G2385,表3_3[],2,0))</f>
        <v/>
      </c>
      <c r="I2385" t="str">
        <f>IF(A2385="","",VLOOKUP(G2385,表3_3[],3,0))</f>
        <v/>
      </c>
      <c r="J2385" t="str">
        <f>IF(A2385="","",IF('ATP Fills'!I2385="3M","",VLOOKUP(RIGHT('ATP Fills'!I2385,2),Helper1!$O$36:$P$48,2,0)))</f>
        <v/>
      </c>
      <c r="K2385" t="str">
        <f>IF(J2385="","",LEFT('ATP Fills'!I2385,4))</f>
        <v/>
      </c>
      <c r="L2385" t="str">
        <f>IF(A2385="","",IF('ATP Fills'!G2385="LME",'ATP Fills'!I2385,""))</f>
        <v/>
      </c>
      <c r="M2385" t="str">
        <f t="shared" si="37"/>
        <v/>
      </c>
    </row>
    <row r="2386" spans="1:13">
      <c r="A2386" t="str">
        <f>IF('ATP Fills'!A2386="","",IF('ATP Fills'!Q2386="PHILLIPSG",'ATP Fills'!F2386,""))</f>
        <v/>
      </c>
      <c r="B2386" t="str">
        <f>IF(A2386="","",'ATP Fills'!L2386)</f>
        <v/>
      </c>
      <c r="C2386" t="str">
        <f>IF(A2386="","",'ATP Fills'!M2386)</f>
        <v/>
      </c>
      <c r="D2386" t="str">
        <f>IF(A2386="","",'ATP Fills'!B2386)</f>
        <v/>
      </c>
      <c r="E2386" s="3" t="str">
        <f>IF(A2386="","",IF(DATE(LEFT(D2386,4),MID(D2386,5,2),RIGHT(D2386,2))=Helper1!$P$1,Helper1!$P$1,""))</f>
        <v/>
      </c>
      <c r="F2386" s="3" t="str">
        <f>IF(A2386="","",'ATP Fills'!G2386)</f>
        <v/>
      </c>
      <c r="G2386" t="str">
        <f>IF(A2386="","",'ATP Fills'!H2386)</f>
        <v/>
      </c>
      <c r="H2386" t="str">
        <f>IF(A2386="","",VLOOKUP(G2386,表3_3[],2,0))</f>
        <v/>
      </c>
      <c r="I2386" t="str">
        <f>IF(A2386="","",VLOOKUP(G2386,表3_3[],3,0))</f>
        <v/>
      </c>
      <c r="J2386" t="str">
        <f>IF(A2386="","",IF('ATP Fills'!I2386="3M","",VLOOKUP(RIGHT('ATP Fills'!I2386,2),Helper1!$O$36:$P$48,2,0)))</f>
        <v/>
      </c>
      <c r="K2386" t="str">
        <f>IF(J2386="","",LEFT('ATP Fills'!I2386,4))</f>
        <v/>
      </c>
      <c r="L2386" t="str">
        <f>IF(A2386="","",IF('ATP Fills'!G2386="LME",'ATP Fills'!I2386,""))</f>
        <v/>
      </c>
      <c r="M2386" t="str">
        <f t="shared" si="37"/>
        <v/>
      </c>
    </row>
    <row r="2387" spans="1:13">
      <c r="A2387" t="str">
        <f>IF('ATP Fills'!A2387="","",IF('ATP Fills'!Q2387="PHILLIPSG",'ATP Fills'!F2387,""))</f>
        <v/>
      </c>
      <c r="B2387" t="str">
        <f>IF(A2387="","",'ATP Fills'!L2387)</f>
        <v/>
      </c>
      <c r="C2387" t="str">
        <f>IF(A2387="","",'ATP Fills'!M2387)</f>
        <v/>
      </c>
      <c r="D2387" t="str">
        <f>IF(A2387="","",'ATP Fills'!B2387)</f>
        <v/>
      </c>
      <c r="E2387" s="3" t="str">
        <f>IF(A2387="","",IF(DATE(LEFT(D2387,4),MID(D2387,5,2),RIGHT(D2387,2))=Helper1!$P$1,Helper1!$P$1,""))</f>
        <v/>
      </c>
      <c r="F2387" s="3" t="str">
        <f>IF(A2387="","",'ATP Fills'!G2387)</f>
        <v/>
      </c>
      <c r="G2387" t="str">
        <f>IF(A2387="","",'ATP Fills'!H2387)</f>
        <v/>
      </c>
      <c r="H2387" t="str">
        <f>IF(A2387="","",VLOOKUP(G2387,表3_3[],2,0))</f>
        <v/>
      </c>
      <c r="I2387" t="str">
        <f>IF(A2387="","",VLOOKUP(G2387,表3_3[],3,0))</f>
        <v/>
      </c>
      <c r="J2387" t="str">
        <f>IF(A2387="","",IF('ATP Fills'!I2387="3M","",VLOOKUP(RIGHT('ATP Fills'!I2387,2),Helper1!$O$36:$P$48,2,0)))</f>
        <v/>
      </c>
      <c r="K2387" t="str">
        <f>IF(J2387="","",LEFT('ATP Fills'!I2387,4))</f>
        <v/>
      </c>
      <c r="L2387" t="str">
        <f>IF(A2387="","",IF('ATP Fills'!G2387="LME",'ATP Fills'!I2387,""))</f>
        <v/>
      </c>
      <c r="M2387" t="str">
        <f t="shared" si="37"/>
        <v/>
      </c>
    </row>
    <row r="2388" spans="1:13">
      <c r="A2388" t="str">
        <f>IF('ATP Fills'!A2388="","",IF('ATP Fills'!Q2388="PHILLIPSG",'ATP Fills'!F2388,""))</f>
        <v/>
      </c>
      <c r="B2388" t="str">
        <f>IF(A2388="","",'ATP Fills'!L2388)</f>
        <v/>
      </c>
      <c r="C2388" t="str">
        <f>IF(A2388="","",'ATP Fills'!M2388)</f>
        <v/>
      </c>
      <c r="D2388" t="str">
        <f>IF(A2388="","",'ATP Fills'!B2388)</f>
        <v/>
      </c>
      <c r="E2388" s="3" t="str">
        <f>IF(A2388="","",IF(DATE(LEFT(D2388,4),MID(D2388,5,2),RIGHT(D2388,2))=Helper1!$P$1,Helper1!$P$1,""))</f>
        <v/>
      </c>
      <c r="F2388" s="3" t="str">
        <f>IF(A2388="","",'ATP Fills'!G2388)</f>
        <v/>
      </c>
      <c r="G2388" t="str">
        <f>IF(A2388="","",'ATP Fills'!H2388)</f>
        <v/>
      </c>
      <c r="H2388" t="str">
        <f>IF(A2388="","",VLOOKUP(G2388,表3_3[],2,0))</f>
        <v/>
      </c>
      <c r="I2388" t="str">
        <f>IF(A2388="","",VLOOKUP(G2388,表3_3[],3,0))</f>
        <v/>
      </c>
      <c r="J2388" t="str">
        <f>IF(A2388="","",IF('ATP Fills'!I2388="3M","",VLOOKUP(RIGHT('ATP Fills'!I2388,2),Helper1!$O$36:$P$48,2,0)))</f>
        <v/>
      </c>
      <c r="K2388" t="str">
        <f>IF(J2388="","",LEFT('ATP Fills'!I2388,4))</f>
        <v/>
      </c>
      <c r="L2388" t="str">
        <f>IF(A2388="","",IF('ATP Fills'!G2388="LME",'ATP Fills'!I2388,""))</f>
        <v/>
      </c>
      <c r="M2388" t="str">
        <f t="shared" si="37"/>
        <v/>
      </c>
    </row>
    <row r="2389" spans="1:13">
      <c r="A2389" t="str">
        <f>IF('ATP Fills'!A2389="","",IF('ATP Fills'!Q2389="PHILLIPSG",'ATP Fills'!F2389,""))</f>
        <v/>
      </c>
      <c r="B2389" t="str">
        <f>IF(A2389="","",'ATP Fills'!L2389)</f>
        <v/>
      </c>
      <c r="C2389" t="str">
        <f>IF(A2389="","",'ATP Fills'!M2389)</f>
        <v/>
      </c>
      <c r="D2389" t="str">
        <f>IF(A2389="","",'ATP Fills'!B2389)</f>
        <v/>
      </c>
      <c r="E2389" s="3" t="str">
        <f>IF(A2389="","",IF(DATE(LEFT(D2389,4),MID(D2389,5,2),RIGHT(D2389,2))=Helper1!$P$1,Helper1!$P$1,""))</f>
        <v/>
      </c>
      <c r="F2389" s="3" t="str">
        <f>IF(A2389="","",'ATP Fills'!G2389)</f>
        <v/>
      </c>
      <c r="G2389" t="str">
        <f>IF(A2389="","",'ATP Fills'!H2389)</f>
        <v/>
      </c>
      <c r="H2389" t="str">
        <f>IF(A2389="","",VLOOKUP(G2389,表3_3[],2,0))</f>
        <v/>
      </c>
      <c r="I2389" t="str">
        <f>IF(A2389="","",VLOOKUP(G2389,表3_3[],3,0))</f>
        <v/>
      </c>
      <c r="J2389" t="str">
        <f>IF(A2389="","",IF('ATP Fills'!I2389="3M","",VLOOKUP(RIGHT('ATP Fills'!I2389,2),Helper1!$O$36:$P$48,2,0)))</f>
        <v/>
      </c>
      <c r="K2389" t="str">
        <f>IF(J2389="","",LEFT('ATP Fills'!I2389,4))</f>
        <v/>
      </c>
      <c r="L2389" t="str">
        <f>IF(A2389="","",IF('ATP Fills'!G2389="LME",'ATP Fills'!I2389,""))</f>
        <v/>
      </c>
      <c r="M2389" t="str">
        <f t="shared" si="37"/>
        <v/>
      </c>
    </row>
    <row r="2390" spans="1:13">
      <c r="A2390" t="str">
        <f>IF('ATP Fills'!A2390="","",IF('ATP Fills'!Q2390="PHILLIPSG",'ATP Fills'!F2390,""))</f>
        <v/>
      </c>
      <c r="B2390" t="str">
        <f>IF(A2390="","",'ATP Fills'!L2390)</f>
        <v/>
      </c>
      <c r="C2390" t="str">
        <f>IF(A2390="","",'ATP Fills'!M2390)</f>
        <v/>
      </c>
      <c r="D2390" t="str">
        <f>IF(A2390="","",'ATP Fills'!B2390)</f>
        <v/>
      </c>
      <c r="E2390" s="3" t="str">
        <f>IF(A2390="","",IF(DATE(LEFT(D2390,4),MID(D2390,5,2),RIGHT(D2390,2))=Helper1!$P$1,Helper1!$P$1,""))</f>
        <v/>
      </c>
      <c r="F2390" s="3" t="str">
        <f>IF(A2390="","",'ATP Fills'!G2390)</f>
        <v/>
      </c>
      <c r="G2390" t="str">
        <f>IF(A2390="","",'ATP Fills'!H2390)</f>
        <v/>
      </c>
      <c r="H2390" t="str">
        <f>IF(A2390="","",VLOOKUP(G2390,表3_3[],2,0))</f>
        <v/>
      </c>
      <c r="I2390" t="str">
        <f>IF(A2390="","",VLOOKUP(G2390,表3_3[],3,0))</f>
        <v/>
      </c>
      <c r="J2390" t="str">
        <f>IF(A2390="","",IF('ATP Fills'!I2390="3M","",VLOOKUP(RIGHT('ATP Fills'!I2390,2),Helper1!$O$36:$P$48,2,0)))</f>
        <v/>
      </c>
      <c r="K2390" t="str">
        <f>IF(J2390="","",LEFT('ATP Fills'!I2390,4))</f>
        <v/>
      </c>
      <c r="L2390" t="str">
        <f>IF(A2390="","",IF('ATP Fills'!G2390="LME",'ATP Fills'!I2390,""))</f>
        <v/>
      </c>
      <c r="M2390" t="str">
        <f t="shared" si="37"/>
        <v/>
      </c>
    </row>
    <row r="2391" spans="1:13">
      <c r="A2391" t="str">
        <f>IF('ATP Fills'!A2391="","",IF('ATP Fills'!Q2391="PHILLIPSG",'ATP Fills'!F2391,""))</f>
        <v/>
      </c>
      <c r="B2391" t="str">
        <f>IF(A2391="","",'ATP Fills'!L2391)</f>
        <v/>
      </c>
      <c r="C2391" t="str">
        <f>IF(A2391="","",'ATP Fills'!M2391)</f>
        <v/>
      </c>
      <c r="D2391" t="str">
        <f>IF(A2391="","",'ATP Fills'!B2391)</f>
        <v/>
      </c>
      <c r="E2391" s="3" t="str">
        <f>IF(A2391="","",IF(DATE(LEFT(D2391,4),MID(D2391,5,2),RIGHT(D2391,2))=Helper1!$P$1,Helper1!$P$1,""))</f>
        <v/>
      </c>
      <c r="F2391" s="3" t="str">
        <f>IF(A2391="","",'ATP Fills'!G2391)</f>
        <v/>
      </c>
      <c r="G2391" t="str">
        <f>IF(A2391="","",'ATP Fills'!H2391)</f>
        <v/>
      </c>
      <c r="H2391" t="str">
        <f>IF(A2391="","",VLOOKUP(G2391,表3_3[],2,0))</f>
        <v/>
      </c>
      <c r="I2391" t="str">
        <f>IF(A2391="","",VLOOKUP(G2391,表3_3[],3,0))</f>
        <v/>
      </c>
      <c r="J2391" t="str">
        <f>IF(A2391="","",IF('ATP Fills'!I2391="3M","",VLOOKUP(RIGHT('ATP Fills'!I2391,2),Helper1!$O$36:$P$48,2,0)))</f>
        <v/>
      </c>
      <c r="K2391" t="str">
        <f>IF(J2391="","",LEFT('ATP Fills'!I2391,4))</f>
        <v/>
      </c>
      <c r="L2391" t="str">
        <f>IF(A2391="","",IF('ATP Fills'!G2391="LME",'ATP Fills'!I2391,""))</f>
        <v/>
      </c>
      <c r="M2391" t="str">
        <f t="shared" si="37"/>
        <v/>
      </c>
    </row>
    <row r="2392" spans="1:13">
      <c r="A2392" t="str">
        <f>IF('ATP Fills'!A2392="","",IF('ATP Fills'!Q2392="PHILLIPSG",'ATP Fills'!F2392,""))</f>
        <v/>
      </c>
      <c r="B2392" t="str">
        <f>IF(A2392="","",'ATP Fills'!L2392)</f>
        <v/>
      </c>
      <c r="C2392" t="str">
        <f>IF(A2392="","",'ATP Fills'!M2392)</f>
        <v/>
      </c>
      <c r="D2392" t="str">
        <f>IF(A2392="","",'ATP Fills'!B2392)</f>
        <v/>
      </c>
      <c r="E2392" s="3" t="str">
        <f>IF(A2392="","",IF(DATE(LEFT(D2392,4),MID(D2392,5,2),RIGHT(D2392,2))=Helper1!$P$1,Helper1!$P$1,""))</f>
        <v/>
      </c>
      <c r="F2392" s="3" t="str">
        <f>IF(A2392="","",'ATP Fills'!G2392)</f>
        <v/>
      </c>
      <c r="G2392" t="str">
        <f>IF(A2392="","",'ATP Fills'!H2392)</f>
        <v/>
      </c>
      <c r="H2392" t="str">
        <f>IF(A2392="","",VLOOKUP(G2392,表3_3[],2,0))</f>
        <v/>
      </c>
      <c r="I2392" t="str">
        <f>IF(A2392="","",VLOOKUP(G2392,表3_3[],3,0))</f>
        <v/>
      </c>
      <c r="J2392" t="str">
        <f>IF(A2392="","",IF('ATP Fills'!I2392="3M","",VLOOKUP(RIGHT('ATP Fills'!I2392,2),Helper1!$O$36:$P$48,2,0)))</f>
        <v/>
      </c>
      <c r="K2392" t="str">
        <f>IF(J2392="","",LEFT('ATP Fills'!I2392,4))</f>
        <v/>
      </c>
      <c r="L2392" t="str">
        <f>IF(A2392="","",IF('ATP Fills'!G2392="LME",'ATP Fills'!I2392,""))</f>
        <v/>
      </c>
      <c r="M2392" t="str">
        <f t="shared" si="37"/>
        <v/>
      </c>
    </row>
    <row r="2393" spans="1:13">
      <c r="A2393" t="str">
        <f>IF('ATP Fills'!A2393="","",IF('ATP Fills'!Q2393="PHILLIPSG",'ATP Fills'!F2393,""))</f>
        <v/>
      </c>
      <c r="B2393" t="str">
        <f>IF(A2393="","",'ATP Fills'!L2393)</f>
        <v/>
      </c>
      <c r="C2393" t="str">
        <f>IF(A2393="","",'ATP Fills'!M2393)</f>
        <v/>
      </c>
      <c r="D2393" t="str">
        <f>IF(A2393="","",'ATP Fills'!B2393)</f>
        <v/>
      </c>
      <c r="E2393" s="3" t="str">
        <f>IF(A2393="","",IF(DATE(LEFT(D2393,4),MID(D2393,5,2),RIGHT(D2393,2))=Helper1!$P$1,Helper1!$P$1,""))</f>
        <v/>
      </c>
      <c r="F2393" s="3" t="str">
        <f>IF(A2393="","",'ATP Fills'!G2393)</f>
        <v/>
      </c>
      <c r="G2393" t="str">
        <f>IF(A2393="","",'ATP Fills'!H2393)</f>
        <v/>
      </c>
      <c r="H2393" t="str">
        <f>IF(A2393="","",VLOOKUP(G2393,表3_3[],2,0))</f>
        <v/>
      </c>
      <c r="I2393" t="str">
        <f>IF(A2393="","",VLOOKUP(G2393,表3_3[],3,0))</f>
        <v/>
      </c>
      <c r="J2393" t="str">
        <f>IF(A2393="","",IF('ATP Fills'!I2393="3M","",VLOOKUP(RIGHT('ATP Fills'!I2393,2),Helper1!$O$36:$P$48,2,0)))</f>
        <v/>
      </c>
      <c r="K2393" t="str">
        <f>IF(J2393="","",LEFT('ATP Fills'!I2393,4))</f>
        <v/>
      </c>
      <c r="L2393" t="str">
        <f>IF(A2393="","",IF('ATP Fills'!G2393="LME",'ATP Fills'!I2393,""))</f>
        <v/>
      </c>
      <c r="M2393" t="str">
        <f t="shared" si="37"/>
        <v/>
      </c>
    </row>
    <row r="2394" spans="1:13">
      <c r="A2394" t="str">
        <f>IF('ATP Fills'!A2394="","",IF('ATP Fills'!Q2394="PHILLIPSG",'ATP Fills'!F2394,""))</f>
        <v/>
      </c>
      <c r="B2394" t="str">
        <f>IF(A2394="","",'ATP Fills'!L2394)</f>
        <v/>
      </c>
      <c r="C2394" t="str">
        <f>IF(A2394="","",'ATP Fills'!M2394)</f>
        <v/>
      </c>
      <c r="D2394" t="str">
        <f>IF(A2394="","",'ATP Fills'!B2394)</f>
        <v/>
      </c>
      <c r="E2394" s="3" t="str">
        <f>IF(A2394="","",IF(DATE(LEFT(D2394,4),MID(D2394,5,2),RIGHT(D2394,2))=Helper1!$P$1,Helper1!$P$1,""))</f>
        <v/>
      </c>
      <c r="F2394" s="3" t="str">
        <f>IF(A2394="","",'ATP Fills'!G2394)</f>
        <v/>
      </c>
      <c r="G2394" t="str">
        <f>IF(A2394="","",'ATP Fills'!H2394)</f>
        <v/>
      </c>
      <c r="H2394" t="str">
        <f>IF(A2394="","",VLOOKUP(G2394,表3_3[],2,0))</f>
        <v/>
      </c>
      <c r="I2394" t="str">
        <f>IF(A2394="","",VLOOKUP(G2394,表3_3[],3,0))</f>
        <v/>
      </c>
      <c r="J2394" t="str">
        <f>IF(A2394="","",IF('ATP Fills'!I2394="3M","",VLOOKUP(RIGHT('ATP Fills'!I2394,2),Helper1!$O$36:$P$48,2,0)))</f>
        <v/>
      </c>
      <c r="K2394" t="str">
        <f>IF(J2394="","",LEFT('ATP Fills'!I2394,4))</f>
        <v/>
      </c>
      <c r="L2394" t="str">
        <f>IF(A2394="","",IF('ATP Fills'!G2394="LME",'ATP Fills'!I2394,""))</f>
        <v/>
      </c>
      <c r="M2394" t="str">
        <f t="shared" si="37"/>
        <v/>
      </c>
    </row>
    <row r="2395" spans="1:13">
      <c r="A2395" t="str">
        <f>IF('ATP Fills'!A2395="","",IF('ATP Fills'!Q2395="PHILLIPSG",'ATP Fills'!F2395,""))</f>
        <v/>
      </c>
      <c r="B2395" t="str">
        <f>IF(A2395="","",'ATP Fills'!L2395)</f>
        <v/>
      </c>
      <c r="C2395" t="str">
        <f>IF(A2395="","",'ATP Fills'!M2395)</f>
        <v/>
      </c>
      <c r="D2395" t="str">
        <f>IF(A2395="","",'ATP Fills'!B2395)</f>
        <v/>
      </c>
      <c r="E2395" s="3" t="str">
        <f>IF(A2395="","",IF(DATE(LEFT(D2395,4),MID(D2395,5,2),RIGHT(D2395,2))=Helper1!$P$1,Helper1!$P$1,""))</f>
        <v/>
      </c>
      <c r="F2395" s="3" t="str">
        <f>IF(A2395="","",'ATP Fills'!G2395)</f>
        <v/>
      </c>
      <c r="G2395" t="str">
        <f>IF(A2395="","",'ATP Fills'!H2395)</f>
        <v/>
      </c>
      <c r="H2395" t="str">
        <f>IF(A2395="","",VLOOKUP(G2395,表3_3[],2,0))</f>
        <v/>
      </c>
      <c r="I2395" t="str">
        <f>IF(A2395="","",VLOOKUP(G2395,表3_3[],3,0))</f>
        <v/>
      </c>
      <c r="J2395" t="str">
        <f>IF(A2395="","",IF('ATP Fills'!I2395="3M","",VLOOKUP(RIGHT('ATP Fills'!I2395,2),Helper1!$O$36:$P$48,2,0)))</f>
        <v/>
      </c>
      <c r="K2395" t="str">
        <f>IF(J2395="","",LEFT('ATP Fills'!I2395,4))</f>
        <v/>
      </c>
      <c r="L2395" t="str">
        <f>IF(A2395="","",IF('ATP Fills'!G2395="LME",'ATP Fills'!I2395,""))</f>
        <v/>
      </c>
      <c r="M2395" t="str">
        <f t="shared" si="37"/>
        <v/>
      </c>
    </row>
    <row r="2396" spans="1:13">
      <c r="A2396" t="str">
        <f>IF('ATP Fills'!A2396="","",IF('ATP Fills'!Q2396="PHILLIPSG",'ATP Fills'!F2396,""))</f>
        <v/>
      </c>
      <c r="B2396" t="str">
        <f>IF(A2396="","",'ATP Fills'!L2396)</f>
        <v/>
      </c>
      <c r="C2396" t="str">
        <f>IF(A2396="","",'ATP Fills'!M2396)</f>
        <v/>
      </c>
      <c r="D2396" t="str">
        <f>IF(A2396="","",'ATP Fills'!B2396)</f>
        <v/>
      </c>
      <c r="E2396" s="3" t="str">
        <f>IF(A2396="","",IF(DATE(LEFT(D2396,4),MID(D2396,5,2),RIGHT(D2396,2))=Helper1!$P$1,Helper1!$P$1,""))</f>
        <v/>
      </c>
      <c r="F2396" s="3" t="str">
        <f>IF(A2396="","",'ATP Fills'!G2396)</f>
        <v/>
      </c>
      <c r="G2396" t="str">
        <f>IF(A2396="","",'ATP Fills'!H2396)</f>
        <v/>
      </c>
      <c r="H2396" t="str">
        <f>IF(A2396="","",VLOOKUP(G2396,表3_3[],2,0))</f>
        <v/>
      </c>
      <c r="I2396" t="str">
        <f>IF(A2396="","",VLOOKUP(G2396,表3_3[],3,0))</f>
        <v/>
      </c>
      <c r="J2396" t="str">
        <f>IF(A2396="","",IF('ATP Fills'!I2396="3M","",VLOOKUP(RIGHT('ATP Fills'!I2396,2),Helper1!$O$36:$P$48,2,0)))</f>
        <v/>
      </c>
      <c r="K2396" t="str">
        <f>IF(J2396="","",LEFT('ATP Fills'!I2396,4))</f>
        <v/>
      </c>
      <c r="L2396" t="str">
        <f>IF(A2396="","",IF('ATP Fills'!G2396="LME",'ATP Fills'!I2396,""))</f>
        <v/>
      </c>
      <c r="M2396" t="str">
        <f t="shared" si="37"/>
        <v/>
      </c>
    </row>
    <row r="2397" spans="1:13">
      <c r="A2397" t="str">
        <f>IF('ATP Fills'!A2397="","",IF('ATP Fills'!Q2397="PHILLIPSG",'ATP Fills'!F2397,""))</f>
        <v/>
      </c>
      <c r="B2397" t="str">
        <f>IF(A2397="","",'ATP Fills'!L2397)</f>
        <v/>
      </c>
      <c r="C2397" t="str">
        <f>IF(A2397="","",'ATP Fills'!M2397)</f>
        <v/>
      </c>
      <c r="D2397" t="str">
        <f>IF(A2397="","",'ATP Fills'!B2397)</f>
        <v/>
      </c>
      <c r="E2397" s="3" t="str">
        <f>IF(A2397="","",IF(DATE(LEFT(D2397,4),MID(D2397,5,2),RIGHT(D2397,2))=Helper1!$P$1,Helper1!$P$1,""))</f>
        <v/>
      </c>
      <c r="F2397" s="3" t="str">
        <f>IF(A2397="","",'ATP Fills'!G2397)</f>
        <v/>
      </c>
      <c r="G2397" t="str">
        <f>IF(A2397="","",'ATP Fills'!H2397)</f>
        <v/>
      </c>
      <c r="H2397" t="str">
        <f>IF(A2397="","",VLOOKUP(G2397,表3_3[],2,0))</f>
        <v/>
      </c>
      <c r="I2397" t="str">
        <f>IF(A2397="","",VLOOKUP(G2397,表3_3[],3,0))</f>
        <v/>
      </c>
      <c r="J2397" t="str">
        <f>IF(A2397="","",IF('ATP Fills'!I2397="3M","",VLOOKUP(RIGHT('ATP Fills'!I2397,2),Helper1!$O$36:$P$48,2,0)))</f>
        <v/>
      </c>
      <c r="K2397" t="str">
        <f>IF(J2397="","",LEFT('ATP Fills'!I2397,4))</f>
        <v/>
      </c>
      <c r="L2397" t="str">
        <f>IF(A2397="","",IF('ATP Fills'!G2397="LME",'ATP Fills'!I2397,""))</f>
        <v/>
      </c>
      <c r="M2397" t="str">
        <f t="shared" si="37"/>
        <v/>
      </c>
    </row>
    <row r="2398" spans="1:13">
      <c r="A2398" t="str">
        <f>IF('ATP Fills'!A2398="","",IF('ATP Fills'!Q2398="PHILLIPSG",'ATP Fills'!F2398,""))</f>
        <v/>
      </c>
      <c r="B2398" t="str">
        <f>IF(A2398="","",'ATP Fills'!L2398)</f>
        <v/>
      </c>
      <c r="C2398" t="str">
        <f>IF(A2398="","",'ATP Fills'!M2398)</f>
        <v/>
      </c>
      <c r="D2398" t="str">
        <f>IF(A2398="","",'ATP Fills'!B2398)</f>
        <v/>
      </c>
      <c r="E2398" s="3" t="str">
        <f>IF(A2398="","",IF(DATE(LEFT(D2398,4),MID(D2398,5,2),RIGHT(D2398,2))=Helper1!$P$1,Helper1!$P$1,""))</f>
        <v/>
      </c>
      <c r="F2398" s="3" t="str">
        <f>IF(A2398="","",'ATP Fills'!G2398)</f>
        <v/>
      </c>
      <c r="G2398" t="str">
        <f>IF(A2398="","",'ATP Fills'!H2398)</f>
        <v/>
      </c>
      <c r="H2398" t="str">
        <f>IF(A2398="","",VLOOKUP(G2398,表3_3[],2,0))</f>
        <v/>
      </c>
      <c r="I2398" t="str">
        <f>IF(A2398="","",VLOOKUP(G2398,表3_3[],3,0))</f>
        <v/>
      </c>
      <c r="J2398" t="str">
        <f>IF(A2398="","",IF('ATP Fills'!I2398="3M","",VLOOKUP(RIGHT('ATP Fills'!I2398,2),Helper1!$O$36:$P$48,2,0)))</f>
        <v/>
      </c>
      <c r="K2398" t="str">
        <f>IF(J2398="","",LEFT('ATP Fills'!I2398,4))</f>
        <v/>
      </c>
      <c r="L2398" t="str">
        <f>IF(A2398="","",IF('ATP Fills'!G2398="LME",'ATP Fills'!I2398,""))</f>
        <v/>
      </c>
      <c r="M2398" t="str">
        <f t="shared" si="37"/>
        <v/>
      </c>
    </row>
    <row r="2399" spans="1:13">
      <c r="A2399" t="str">
        <f>IF('ATP Fills'!A2399="","",IF('ATP Fills'!Q2399="PHILLIPSG",'ATP Fills'!F2399,""))</f>
        <v/>
      </c>
      <c r="B2399" t="str">
        <f>IF(A2399="","",'ATP Fills'!L2399)</f>
        <v/>
      </c>
      <c r="C2399" t="str">
        <f>IF(A2399="","",'ATP Fills'!M2399)</f>
        <v/>
      </c>
      <c r="D2399" t="str">
        <f>IF(A2399="","",'ATP Fills'!B2399)</f>
        <v/>
      </c>
      <c r="E2399" s="3" t="str">
        <f>IF(A2399="","",IF(DATE(LEFT(D2399,4),MID(D2399,5,2),RIGHT(D2399,2))=Helper1!$P$1,Helper1!$P$1,""))</f>
        <v/>
      </c>
      <c r="F2399" s="3" t="str">
        <f>IF(A2399="","",'ATP Fills'!G2399)</f>
        <v/>
      </c>
      <c r="G2399" t="str">
        <f>IF(A2399="","",'ATP Fills'!H2399)</f>
        <v/>
      </c>
      <c r="H2399" t="str">
        <f>IF(A2399="","",VLOOKUP(G2399,表3_3[],2,0))</f>
        <v/>
      </c>
      <c r="I2399" t="str">
        <f>IF(A2399="","",VLOOKUP(G2399,表3_3[],3,0))</f>
        <v/>
      </c>
      <c r="J2399" t="str">
        <f>IF(A2399="","",IF('ATP Fills'!I2399="3M","",VLOOKUP(RIGHT('ATP Fills'!I2399,2),Helper1!$O$36:$P$48,2,0)))</f>
        <v/>
      </c>
      <c r="K2399" t="str">
        <f>IF(J2399="","",LEFT('ATP Fills'!I2399,4))</f>
        <v/>
      </c>
      <c r="L2399" t="str">
        <f>IF(A2399="","",IF('ATP Fills'!G2399="LME",'ATP Fills'!I2399,""))</f>
        <v/>
      </c>
      <c r="M2399" t="str">
        <f t="shared" si="37"/>
        <v/>
      </c>
    </row>
    <row r="2400" spans="1:13">
      <c r="A2400" t="str">
        <f>IF('ATP Fills'!A2400="","",IF('ATP Fills'!Q2400="PHILLIPSG",'ATP Fills'!F2400,""))</f>
        <v/>
      </c>
      <c r="B2400" t="str">
        <f>IF(A2400="","",'ATP Fills'!L2400)</f>
        <v/>
      </c>
      <c r="C2400" t="str">
        <f>IF(A2400="","",'ATP Fills'!M2400)</f>
        <v/>
      </c>
      <c r="D2400" t="str">
        <f>IF(A2400="","",'ATP Fills'!B2400)</f>
        <v/>
      </c>
      <c r="E2400" s="3" t="str">
        <f>IF(A2400="","",IF(DATE(LEFT(D2400,4),MID(D2400,5,2),RIGHT(D2400,2))=Helper1!$P$1,Helper1!$P$1,""))</f>
        <v/>
      </c>
      <c r="F2400" s="3" t="str">
        <f>IF(A2400="","",'ATP Fills'!G2400)</f>
        <v/>
      </c>
      <c r="G2400" t="str">
        <f>IF(A2400="","",'ATP Fills'!H2400)</f>
        <v/>
      </c>
      <c r="H2400" t="str">
        <f>IF(A2400="","",VLOOKUP(G2400,表3_3[],2,0))</f>
        <v/>
      </c>
      <c r="I2400" t="str">
        <f>IF(A2400="","",VLOOKUP(G2400,表3_3[],3,0))</f>
        <v/>
      </c>
      <c r="J2400" t="str">
        <f>IF(A2400="","",IF('ATP Fills'!I2400="3M","",VLOOKUP(RIGHT('ATP Fills'!I2400,2),Helper1!$O$36:$P$48,2,0)))</f>
        <v/>
      </c>
      <c r="K2400" t="str">
        <f>IF(J2400="","",LEFT('ATP Fills'!I2400,4))</f>
        <v/>
      </c>
      <c r="L2400" t="str">
        <f>IF(A2400="","",IF('ATP Fills'!G2400="LME",'ATP Fills'!I2400,""))</f>
        <v/>
      </c>
      <c r="M2400" t="str">
        <f t="shared" si="37"/>
        <v/>
      </c>
    </row>
    <row r="2401" spans="1:13">
      <c r="A2401" t="str">
        <f>IF('ATP Fills'!A2401="","",IF('ATP Fills'!Q2401="PHILLIPSG",'ATP Fills'!F2401,""))</f>
        <v/>
      </c>
      <c r="B2401" t="str">
        <f>IF(A2401="","",'ATP Fills'!L2401)</f>
        <v/>
      </c>
      <c r="C2401" t="str">
        <f>IF(A2401="","",'ATP Fills'!M2401)</f>
        <v/>
      </c>
      <c r="D2401" t="str">
        <f>IF(A2401="","",'ATP Fills'!B2401)</f>
        <v/>
      </c>
      <c r="E2401" s="3" t="str">
        <f>IF(A2401="","",IF(DATE(LEFT(D2401,4),MID(D2401,5,2),RIGHT(D2401,2))=Helper1!$P$1,Helper1!$P$1,""))</f>
        <v/>
      </c>
      <c r="F2401" s="3" t="str">
        <f>IF(A2401="","",'ATP Fills'!G2401)</f>
        <v/>
      </c>
      <c r="G2401" t="str">
        <f>IF(A2401="","",'ATP Fills'!H2401)</f>
        <v/>
      </c>
      <c r="H2401" t="str">
        <f>IF(A2401="","",VLOOKUP(G2401,表3_3[],2,0))</f>
        <v/>
      </c>
      <c r="I2401" t="str">
        <f>IF(A2401="","",VLOOKUP(G2401,表3_3[],3,0))</f>
        <v/>
      </c>
      <c r="J2401" t="str">
        <f>IF(A2401="","",IF('ATP Fills'!I2401="3M","",VLOOKUP(RIGHT('ATP Fills'!I2401,2),Helper1!$O$36:$P$48,2,0)))</f>
        <v/>
      </c>
      <c r="K2401" t="str">
        <f>IF(J2401="","",LEFT('ATP Fills'!I2401,4))</f>
        <v/>
      </c>
      <c r="L2401" t="str">
        <f>IF(A2401="","",IF('ATP Fills'!G2401="LME",'ATP Fills'!I2401,""))</f>
        <v/>
      </c>
      <c r="M2401" t="str">
        <f t="shared" si="37"/>
        <v/>
      </c>
    </row>
    <row r="2402" spans="1:13">
      <c r="A2402" t="str">
        <f>IF('ATP Fills'!A2402="","",IF('ATP Fills'!Q2402="PHILLIPSG",'ATP Fills'!F2402,""))</f>
        <v/>
      </c>
      <c r="B2402" t="str">
        <f>IF(A2402="","",'ATP Fills'!L2402)</f>
        <v/>
      </c>
      <c r="C2402" t="str">
        <f>IF(A2402="","",'ATP Fills'!M2402)</f>
        <v/>
      </c>
      <c r="D2402" t="str">
        <f>IF(A2402="","",'ATP Fills'!B2402)</f>
        <v/>
      </c>
      <c r="E2402" s="3" t="str">
        <f>IF(A2402="","",IF(DATE(LEFT(D2402,4),MID(D2402,5,2),RIGHT(D2402,2))=Helper1!$P$1,Helper1!$P$1,""))</f>
        <v/>
      </c>
      <c r="F2402" s="3" t="str">
        <f>IF(A2402="","",'ATP Fills'!G2402)</f>
        <v/>
      </c>
      <c r="G2402" t="str">
        <f>IF(A2402="","",'ATP Fills'!H2402)</f>
        <v/>
      </c>
      <c r="H2402" t="str">
        <f>IF(A2402="","",VLOOKUP(G2402,表3_3[],2,0))</f>
        <v/>
      </c>
      <c r="I2402" t="str">
        <f>IF(A2402="","",VLOOKUP(G2402,表3_3[],3,0))</f>
        <v/>
      </c>
      <c r="J2402" t="str">
        <f>IF(A2402="","",IF('ATP Fills'!I2402="3M","",VLOOKUP(RIGHT('ATP Fills'!I2402,2),Helper1!$O$36:$P$48,2,0)))</f>
        <v/>
      </c>
      <c r="K2402" t="str">
        <f>IF(J2402="","",LEFT('ATP Fills'!I2402,4))</f>
        <v/>
      </c>
      <c r="L2402" t="str">
        <f>IF(A2402="","",IF('ATP Fills'!G2402="LME",'ATP Fills'!I2402,""))</f>
        <v/>
      </c>
      <c r="M2402" t="str">
        <f t="shared" si="37"/>
        <v/>
      </c>
    </row>
    <row r="2403" spans="1:13">
      <c r="A2403" t="str">
        <f>IF('ATP Fills'!A2403="","",IF('ATP Fills'!Q2403="PHILLIPSG",'ATP Fills'!F2403,""))</f>
        <v/>
      </c>
      <c r="B2403" t="str">
        <f>IF(A2403="","",'ATP Fills'!L2403)</f>
        <v/>
      </c>
      <c r="C2403" t="str">
        <f>IF(A2403="","",'ATP Fills'!M2403)</f>
        <v/>
      </c>
      <c r="D2403" t="str">
        <f>IF(A2403="","",'ATP Fills'!B2403)</f>
        <v/>
      </c>
      <c r="E2403" s="3" t="str">
        <f>IF(A2403="","",IF(DATE(LEFT(D2403,4),MID(D2403,5,2),RIGHT(D2403,2))=Helper1!$P$1,Helper1!$P$1,""))</f>
        <v/>
      </c>
      <c r="F2403" s="3" t="str">
        <f>IF(A2403="","",'ATP Fills'!G2403)</f>
        <v/>
      </c>
      <c r="G2403" t="str">
        <f>IF(A2403="","",'ATP Fills'!H2403)</f>
        <v/>
      </c>
      <c r="H2403" t="str">
        <f>IF(A2403="","",VLOOKUP(G2403,表3_3[],2,0))</f>
        <v/>
      </c>
      <c r="I2403" t="str">
        <f>IF(A2403="","",VLOOKUP(G2403,表3_3[],3,0))</f>
        <v/>
      </c>
      <c r="J2403" t="str">
        <f>IF(A2403="","",IF('ATP Fills'!I2403="3M","",VLOOKUP(RIGHT('ATP Fills'!I2403,2),Helper1!$O$36:$P$48,2,0)))</f>
        <v/>
      </c>
      <c r="K2403" t="str">
        <f>IF(J2403="","",LEFT('ATP Fills'!I2403,4))</f>
        <v/>
      </c>
      <c r="L2403" t="str">
        <f>IF(A2403="","",IF('ATP Fills'!G2403="LME",'ATP Fills'!I2403,""))</f>
        <v/>
      </c>
      <c r="M2403" t="str">
        <f t="shared" si="37"/>
        <v/>
      </c>
    </row>
    <row r="2404" spans="1:13">
      <c r="A2404" t="str">
        <f>IF('ATP Fills'!A2404="","",IF('ATP Fills'!Q2404="PHILLIPSG",'ATP Fills'!F2404,""))</f>
        <v/>
      </c>
      <c r="B2404" t="str">
        <f>IF(A2404="","",'ATP Fills'!L2404)</f>
        <v/>
      </c>
      <c r="C2404" t="str">
        <f>IF(A2404="","",'ATP Fills'!M2404)</f>
        <v/>
      </c>
      <c r="D2404" t="str">
        <f>IF(A2404="","",'ATP Fills'!B2404)</f>
        <v/>
      </c>
      <c r="E2404" s="3" t="str">
        <f>IF(A2404="","",IF(DATE(LEFT(D2404,4),MID(D2404,5,2),RIGHT(D2404,2))=Helper1!$P$1,Helper1!$P$1,""))</f>
        <v/>
      </c>
      <c r="F2404" s="3" t="str">
        <f>IF(A2404="","",'ATP Fills'!G2404)</f>
        <v/>
      </c>
      <c r="G2404" t="str">
        <f>IF(A2404="","",'ATP Fills'!H2404)</f>
        <v/>
      </c>
      <c r="H2404" t="str">
        <f>IF(A2404="","",VLOOKUP(G2404,表3_3[],2,0))</f>
        <v/>
      </c>
      <c r="I2404" t="str">
        <f>IF(A2404="","",VLOOKUP(G2404,表3_3[],3,0))</f>
        <v/>
      </c>
      <c r="J2404" t="str">
        <f>IF(A2404="","",IF('ATP Fills'!I2404="3M","",VLOOKUP(RIGHT('ATP Fills'!I2404,2),Helper1!$O$36:$P$48,2,0)))</f>
        <v/>
      </c>
      <c r="K2404" t="str">
        <f>IF(J2404="","",LEFT('ATP Fills'!I2404,4))</f>
        <v/>
      </c>
      <c r="L2404" t="str">
        <f>IF(A2404="","",IF('ATP Fills'!G2404="LME",'ATP Fills'!I2404,""))</f>
        <v/>
      </c>
      <c r="M2404" t="str">
        <f t="shared" si="37"/>
        <v/>
      </c>
    </row>
    <row r="2405" spans="1:13">
      <c r="A2405" t="str">
        <f>IF('ATP Fills'!A2405="","",IF('ATP Fills'!Q2405="PHILLIPSG",'ATP Fills'!F2405,""))</f>
        <v/>
      </c>
      <c r="B2405" t="str">
        <f>IF(A2405="","",'ATP Fills'!L2405)</f>
        <v/>
      </c>
      <c r="C2405" t="str">
        <f>IF(A2405="","",'ATP Fills'!M2405)</f>
        <v/>
      </c>
      <c r="D2405" t="str">
        <f>IF(A2405="","",'ATP Fills'!B2405)</f>
        <v/>
      </c>
      <c r="E2405" s="3" t="str">
        <f>IF(A2405="","",IF(DATE(LEFT(D2405,4),MID(D2405,5,2),RIGHT(D2405,2))=Helper1!$P$1,Helper1!$P$1,""))</f>
        <v/>
      </c>
      <c r="F2405" s="3" t="str">
        <f>IF(A2405="","",'ATP Fills'!G2405)</f>
        <v/>
      </c>
      <c r="G2405" t="str">
        <f>IF(A2405="","",'ATP Fills'!H2405)</f>
        <v/>
      </c>
      <c r="H2405" t="str">
        <f>IF(A2405="","",VLOOKUP(G2405,表3_3[],2,0))</f>
        <v/>
      </c>
      <c r="I2405" t="str">
        <f>IF(A2405="","",VLOOKUP(G2405,表3_3[],3,0))</f>
        <v/>
      </c>
      <c r="J2405" t="str">
        <f>IF(A2405="","",IF('ATP Fills'!I2405="3M","",VLOOKUP(RIGHT('ATP Fills'!I2405,2),Helper1!$O$36:$P$48,2,0)))</f>
        <v/>
      </c>
      <c r="K2405" t="str">
        <f>IF(J2405="","",LEFT('ATP Fills'!I2405,4))</f>
        <v/>
      </c>
      <c r="L2405" t="str">
        <f>IF(A2405="","",IF('ATP Fills'!G2405="LME",'ATP Fills'!I2405,""))</f>
        <v/>
      </c>
      <c r="M2405" t="str">
        <f t="shared" si="37"/>
        <v/>
      </c>
    </row>
    <row r="2406" spans="1:13">
      <c r="A2406" t="str">
        <f>IF('ATP Fills'!A2406="","",IF('ATP Fills'!Q2406="PHILLIPSG",'ATP Fills'!F2406,""))</f>
        <v/>
      </c>
      <c r="B2406" t="str">
        <f>IF(A2406="","",'ATP Fills'!L2406)</f>
        <v/>
      </c>
      <c r="C2406" t="str">
        <f>IF(A2406="","",'ATP Fills'!M2406)</f>
        <v/>
      </c>
      <c r="D2406" t="str">
        <f>IF(A2406="","",'ATP Fills'!B2406)</f>
        <v/>
      </c>
      <c r="E2406" s="3" t="str">
        <f>IF(A2406="","",IF(DATE(LEFT(D2406,4),MID(D2406,5,2),RIGHT(D2406,2))=Helper1!$P$1,Helper1!$P$1,""))</f>
        <v/>
      </c>
      <c r="F2406" s="3" t="str">
        <f>IF(A2406="","",'ATP Fills'!G2406)</f>
        <v/>
      </c>
      <c r="G2406" t="str">
        <f>IF(A2406="","",'ATP Fills'!H2406)</f>
        <v/>
      </c>
      <c r="H2406" t="str">
        <f>IF(A2406="","",VLOOKUP(G2406,表3_3[],2,0))</f>
        <v/>
      </c>
      <c r="I2406" t="str">
        <f>IF(A2406="","",VLOOKUP(G2406,表3_3[],3,0))</f>
        <v/>
      </c>
      <c r="J2406" t="str">
        <f>IF(A2406="","",IF('ATP Fills'!I2406="3M","",VLOOKUP(RIGHT('ATP Fills'!I2406,2),Helper1!$O$36:$P$48,2,0)))</f>
        <v/>
      </c>
      <c r="K2406" t="str">
        <f>IF(J2406="","",LEFT('ATP Fills'!I2406,4))</f>
        <v/>
      </c>
      <c r="L2406" t="str">
        <f>IF(A2406="","",IF('ATP Fills'!G2406="LME",'ATP Fills'!I2406,""))</f>
        <v/>
      </c>
      <c r="M2406" t="str">
        <f t="shared" si="37"/>
        <v/>
      </c>
    </row>
    <row r="2407" spans="1:13">
      <c r="A2407" t="str">
        <f>IF('ATP Fills'!A2407="","",IF('ATP Fills'!Q2407="PHILLIPSG",'ATP Fills'!F2407,""))</f>
        <v/>
      </c>
      <c r="B2407" t="str">
        <f>IF(A2407="","",'ATP Fills'!L2407)</f>
        <v/>
      </c>
      <c r="C2407" t="str">
        <f>IF(A2407="","",'ATP Fills'!M2407)</f>
        <v/>
      </c>
      <c r="D2407" t="str">
        <f>IF(A2407="","",'ATP Fills'!B2407)</f>
        <v/>
      </c>
      <c r="E2407" s="3" t="str">
        <f>IF(A2407="","",IF(DATE(LEFT(D2407,4),MID(D2407,5,2),RIGHT(D2407,2))=Helper1!$P$1,Helper1!$P$1,""))</f>
        <v/>
      </c>
      <c r="F2407" s="3" t="str">
        <f>IF(A2407="","",'ATP Fills'!G2407)</f>
        <v/>
      </c>
      <c r="G2407" t="str">
        <f>IF(A2407="","",'ATP Fills'!H2407)</f>
        <v/>
      </c>
      <c r="H2407" t="str">
        <f>IF(A2407="","",VLOOKUP(G2407,表3_3[],2,0))</f>
        <v/>
      </c>
      <c r="I2407" t="str">
        <f>IF(A2407="","",VLOOKUP(G2407,表3_3[],3,0))</f>
        <v/>
      </c>
      <c r="J2407" t="str">
        <f>IF(A2407="","",IF('ATP Fills'!I2407="3M","",VLOOKUP(RIGHT('ATP Fills'!I2407,2),Helper1!$O$36:$P$48,2,0)))</f>
        <v/>
      </c>
      <c r="K2407" t="str">
        <f>IF(J2407="","",LEFT('ATP Fills'!I2407,4))</f>
        <v/>
      </c>
      <c r="L2407" t="str">
        <f>IF(A2407="","",IF('ATP Fills'!G2407="LME",'ATP Fills'!I2407,""))</f>
        <v/>
      </c>
      <c r="M2407" t="str">
        <f t="shared" si="37"/>
        <v/>
      </c>
    </row>
    <row r="2408" spans="1:13">
      <c r="A2408" t="str">
        <f>IF('ATP Fills'!A2408="","",IF('ATP Fills'!Q2408="PHILLIPSG",'ATP Fills'!F2408,""))</f>
        <v/>
      </c>
      <c r="B2408" t="str">
        <f>IF(A2408="","",'ATP Fills'!L2408)</f>
        <v/>
      </c>
      <c r="C2408" t="str">
        <f>IF(A2408="","",'ATP Fills'!M2408)</f>
        <v/>
      </c>
      <c r="D2408" t="str">
        <f>IF(A2408="","",'ATP Fills'!B2408)</f>
        <v/>
      </c>
      <c r="E2408" s="3" t="str">
        <f>IF(A2408="","",IF(DATE(LEFT(D2408,4),MID(D2408,5,2),RIGHT(D2408,2))=Helper1!$P$1,Helper1!$P$1,""))</f>
        <v/>
      </c>
      <c r="F2408" s="3" t="str">
        <f>IF(A2408="","",'ATP Fills'!G2408)</f>
        <v/>
      </c>
      <c r="G2408" t="str">
        <f>IF(A2408="","",'ATP Fills'!H2408)</f>
        <v/>
      </c>
      <c r="H2408" t="str">
        <f>IF(A2408="","",VLOOKUP(G2408,表3_3[],2,0))</f>
        <v/>
      </c>
      <c r="I2408" t="str">
        <f>IF(A2408="","",VLOOKUP(G2408,表3_3[],3,0))</f>
        <v/>
      </c>
      <c r="J2408" t="str">
        <f>IF(A2408="","",IF('ATP Fills'!I2408="3M","",VLOOKUP(RIGHT('ATP Fills'!I2408,2),Helper1!$O$36:$P$48,2,0)))</f>
        <v/>
      </c>
      <c r="K2408" t="str">
        <f>IF(J2408="","",LEFT('ATP Fills'!I2408,4))</f>
        <v/>
      </c>
      <c r="L2408" t="str">
        <f>IF(A2408="","",IF('ATP Fills'!G2408="LME",'ATP Fills'!I2408,""))</f>
        <v/>
      </c>
      <c r="M2408" t="str">
        <f t="shared" si="37"/>
        <v/>
      </c>
    </row>
    <row r="2409" spans="1:13">
      <c r="A2409" t="str">
        <f>IF('ATP Fills'!A2409="","",IF('ATP Fills'!Q2409="PHILLIPSG",'ATP Fills'!F2409,""))</f>
        <v/>
      </c>
      <c r="B2409" t="str">
        <f>IF(A2409="","",'ATP Fills'!L2409)</f>
        <v/>
      </c>
      <c r="C2409" t="str">
        <f>IF(A2409="","",'ATP Fills'!M2409)</f>
        <v/>
      </c>
      <c r="D2409" t="str">
        <f>IF(A2409="","",'ATP Fills'!B2409)</f>
        <v/>
      </c>
      <c r="E2409" s="3" t="str">
        <f>IF(A2409="","",IF(DATE(LEFT(D2409,4),MID(D2409,5,2),RIGHT(D2409,2))=Helper1!$P$1,Helper1!$P$1,""))</f>
        <v/>
      </c>
      <c r="F2409" s="3" t="str">
        <f>IF(A2409="","",'ATP Fills'!G2409)</f>
        <v/>
      </c>
      <c r="G2409" t="str">
        <f>IF(A2409="","",'ATP Fills'!H2409)</f>
        <v/>
      </c>
      <c r="H2409" t="str">
        <f>IF(A2409="","",VLOOKUP(G2409,表3_3[],2,0))</f>
        <v/>
      </c>
      <c r="I2409" t="str">
        <f>IF(A2409="","",VLOOKUP(G2409,表3_3[],3,0))</f>
        <v/>
      </c>
      <c r="J2409" t="str">
        <f>IF(A2409="","",IF('ATP Fills'!I2409="3M","",VLOOKUP(RIGHT('ATP Fills'!I2409,2),Helper1!$O$36:$P$48,2,0)))</f>
        <v/>
      </c>
      <c r="K2409" t="str">
        <f>IF(J2409="","",LEFT('ATP Fills'!I2409,4))</f>
        <v/>
      </c>
      <c r="L2409" t="str">
        <f>IF(A2409="","",IF('ATP Fills'!G2409="LME",'ATP Fills'!I2409,""))</f>
        <v/>
      </c>
      <c r="M2409" t="str">
        <f t="shared" si="37"/>
        <v/>
      </c>
    </row>
    <row r="2410" spans="1:13">
      <c r="A2410" t="str">
        <f>IF('ATP Fills'!A2410="","",IF('ATP Fills'!Q2410="PHILLIPSG",'ATP Fills'!F2410,""))</f>
        <v/>
      </c>
      <c r="B2410" t="str">
        <f>IF(A2410="","",'ATP Fills'!L2410)</f>
        <v/>
      </c>
      <c r="C2410" t="str">
        <f>IF(A2410="","",'ATP Fills'!M2410)</f>
        <v/>
      </c>
      <c r="D2410" t="str">
        <f>IF(A2410="","",'ATP Fills'!B2410)</f>
        <v/>
      </c>
      <c r="E2410" s="3" t="str">
        <f>IF(A2410="","",IF(DATE(LEFT(D2410,4),MID(D2410,5,2),RIGHT(D2410,2))=Helper1!$P$1,Helper1!$P$1,""))</f>
        <v/>
      </c>
      <c r="F2410" s="3" t="str">
        <f>IF(A2410="","",'ATP Fills'!G2410)</f>
        <v/>
      </c>
      <c r="G2410" t="str">
        <f>IF(A2410="","",'ATP Fills'!H2410)</f>
        <v/>
      </c>
      <c r="H2410" t="str">
        <f>IF(A2410="","",VLOOKUP(G2410,表3_3[],2,0))</f>
        <v/>
      </c>
      <c r="I2410" t="str">
        <f>IF(A2410="","",VLOOKUP(G2410,表3_3[],3,0))</f>
        <v/>
      </c>
      <c r="J2410" t="str">
        <f>IF(A2410="","",IF('ATP Fills'!I2410="3M","",VLOOKUP(RIGHT('ATP Fills'!I2410,2),Helper1!$O$36:$P$48,2,0)))</f>
        <v/>
      </c>
      <c r="K2410" t="str">
        <f>IF(J2410="","",LEFT('ATP Fills'!I2410,4))</f>
        <v/>
      </c>
      <c r="L2410" t="str">
        <f>IF(A2410="","",IF('ATP Fills'!G2410="LME",'ATP Fills'!I2410,""))</f>
        <v/>
      </c>
      <c r="M2410" t="str">
        <f t="shared" si="37"/>
        <v/>
      </c>
    </row>
    <row r="2411" spans="1:13">
      <c r="A2411" t="str">
        <f>IF('ATP Fills'!A2411="","",IF('ATP Fills'!Q2411="PHILLIPSG",'ATP Fills'!F2411,""))</f>
        <v/>
      </c>
      <c r="B2411" t="str">
        <f>IF(A2411="","",'ATP Fills'!L2411)</f>
        <v/>
      </c>
      <c r="C2411" t="str">
        <f>IF(A2411="","",'ATP Fills'!M2411)</f>
        <v/>
      </c>
      <c r="D2411" t="str">
        <f>IF(A2411="","",'ATP Fills'!B2411)</f>
        <v/>
      </c>
      <c r="E2411" s="3" t="str">
        <f>IF(A2411="","",IF(DATE(LEFT(D2411,4),MID(D2411,5,2),RIGHT(D2411,2))=Helper1!$P$1,Helper1!$P$1,""))</f>
        <v/>
      </c>
      <c r="F2411" s="3" t="str">
        <f>IF(A2411="","",'ATP Fills'!G2411)</f>
        <v/>
      </c>
      <c r="G2411" t="str">
        <f>IF(A2411="","",'ATP Fills'!H2411)</f>
        <v/>
      </c>
      <c r="H2411" t="str">
        <f>IF(A2411="","",VLOOKUP(G2411,表3_3[],2,0))</f>
        <v/>
      </c>
      <c r="I2411" t="str">
        <f>IF(A2411="","",VLOOKUP(G2411,表3_3[],3,0))</f>
        <v/>
      </c>
      <c r="J2411" t="str">
        <f>IF(A2411="","",IF('ATP Fills'!I2411="3M","",VLOOKUP(RIGHT('ATP Fills'!I2411,2),Helper1!$O$36:$P$48,2,0)))</f>
        <v/>
      </c>
      <c r="K2411" t="str">
        <f>IF(J2411="","",LEFT('ATP Fills'!I2411,4))</f>
        <v/>
      </c>
      <c r="L2411" t="str">
        <f>IF(A2411="","",IF('ATP Fills'!G2411="LME",'ATP Fills'!I2411,""))</f>
        <v/>
      </c>
      <c r="M2411" t="str">
        <f t="shared" si="37"/>
        <v/>
      </c>
    </row>
    <row r="2412" spans="1:13">
      <c r="A2412" t="str">
        <f>IF('ATP Fills'!A2412="","",IF('ATP Fills'!Q2412="PHILLIPSG",'ATP Fills'!F2412,""))</f>
        <v/>
      </c>
      <c r="B2412" t="str">
        <f>IF(A2412="","",'ATP Fills'!L2412)</f>
        <v/>
      </c>
      <c r="C2412" t="str">
        <f>IF(A2412="","",'ATP Fills'!M2412)</f>
        <v/>
      </c>
      <c r="D2412" t="str">
        <f>IF(A2412="","",'ATP Fills'!B2412)</f>
        <v/>
      </c>
      <c r="E2412" s="3" t="str">
        <f>IF(A2412="","",IF(DATE(LEFT(D2412,4),MID(D2412,5,2),RIGHT(D2412,2))=Helper1!$P$1,Helper1!$P$1,""))</f>
        <v/>
      </c>
      <c r="F2412" s="3" t="str">
        <f>IF(A2412="","",'ATP Fills'!G2412)</f>
        <v/>
      </c>
      <c r="G2412" t="str">
        <f>IF(A2412="","",'ATP Fills'!H2412)</f>
        <v/>
      </c>
      <c r="H2412" t="str">
        <f>IF(A2412="","",VLOOKUP(G2412,表3_3[],2,0))</f>
        <v/>
      </c>
      <c r="I2412" t="str">
        <f>IF(A2412="","",VLOOKUP(G2412,表3_3[],3,0))</f>
        <v/>
      </c>
      <c r="J2412" t="str">
        <f>IF(A2412="","",IF('ATP Fills'!I2412="3M","",VLOOKUP(RIGHT('ATP Fills'!I2412,2),Helper1!$O$36:$P$48,2,0)))</f>
        <v/>
      </c>
      <c r="K2412" t="str">
        <f>IF(J2412="","",LEFT('ATP Fills'!I2412,4))</f>
        <v/>
      </c>
      <c r="L2412" t="str">
        <f>IF(A2412="","",IF('ATP Fills'!G2412="LME",'ATP Fills'!I2412,""))</f>
        <v/>
      </c>
      <c r="M2412" t="str">
        <f t="shared" si="37"/>
        <v/>
      </c>
    </row>
    <row r="2413" spans="1:13">
      <c r="A2413" t="str">
        <f>IF('ATP Fills'!A2413="","",IF('ATP Fills'!Q2413="PHILLIPSG",'ATP Fills'!F2413,""))</f>
        <v/>
      </c>
      <c r="B2413" t="str">
        <f>IF(A2413="","",'ATP Fills'!L2413)</f>
        <v/>
      </c>
      <c r="C2413" t="str">
        <f>IF(A2413="","",'ATP Fills'!M2413)</f>
        <v/>
      </c>
      <c r="D2413" t="str">
        <f>IF(A2413="","",'ATP Fills'!B2413)</f>
        <v/>
      </c>
      <c r="E2413" s="3" t="str">
        <f>IF(A2413="","",IF(DATE(LEFT(D2413,4),MID(D2413,5,2),RIGHT(D2413,2))=Helper1!$P$1,Helper1!$P$1,""))</f>
        <v/>
      </c>
      <c r="F2413" s="3" t="str">
        <f>IF(A2413="","",'ATP Fills'!G2413)</f>
        <v/>
      </c>
      <c r="G2413" t="str">
        <f>IF(A2413="","",'ATP Fills'!H2413)</f>
        <v/>
      </c>
      <c r="H2413" t="str">
        <f>IF(A2413="","",VLOOKUP(G2413,表3_3[],2,0))</f>
        <v/>
      </c>
      <c r="I2413" t="str">
        <f>IF(A2413="","",VLOOKUP(G2413,表3_3[],3,0))</f>
        <v/>
      </c>
      <c r="J2413" t="str">
        <f>IF(A2413="","",IF('ATP Fills'!I2413="3M","",VLOOKUP(RIGHT('ATP Fills'!I2413,2),Helper1!$O$36:$P$48,2,0)))</f>
        <v/>
      </c>
      <c r="K2413" t="str">
        <f>IF(J2413="","",LEFT('ATP Fills'!I2413,4))</f>
        <v/>
      </c>
      <c r="L2413" t="str">
        <f>IF(A2413="","",IF('ATP Fills'!G2413="LME",'ATP Fills'!I2413,""))</f>
        <v/>
      </c>
      <c r="M2413" t="str">
        <f t="shared" si="37"/>
        <v/>
      </c>
    </row>
    <row r="2414" spans="1:13">
      <c r="A2414" t="str">
        <f>IF('ATP Fills'!A2414="","",IF('ATP Fills'!Q2414="PHILLIPSG",'ATP Fills'!F2414,""))</f>
        <v/>
      </c>
      <c r="B2414" t="str">
        <f>IF(A2414="","",'ATP Fills'!L2414)</f>
        <v/>
      </c>
      <c r="C2414" t="str">
        <f>IF(A2414="","",'ATP Fills'!M2414)</f>
        <v/>
      </c>
      <c r="D2414" t="str">
        <f>IF(A2414="","",'ATP Fills'!B2414)</f>
        <v/>
      </c>
      <c r="E2414" s="3" t="str">
        <f>IF(A2414="","",IF(DATE(LEFT(D2414,4),MID(D2414,5,2),RIGHT(D2414,2))=Helper1!$P$1,Helper1!$P$1,""))</f>
        <v/>
      </c>
      <c r="F2414" s="3" t="str">
        <f>IF(A2414="","",'ATP Fills'!G2414)</f>
        <v/>
      </c>
      <c r="G2414" t="str">
        <f>IF(A2414="","",'ATP Fills'!H2414)</f>
        <v/>
      </c>
      <c r="H2414" t="str">
        <f>IF(A2414="","",VLOOKUP(G2414,表3_3[],2,0))</f>
        <v/>
      </c>
      <c r="I2414" t="str">
        <f>IF(A2414="","",VLOOKUP(G2414,表3_3[],3,0))</f>
        <v/>
      </c>
      <c r="J2414" t="str">
        <f>IF(A2414="","",IF('ATP Fills'!I2414="3M","",VLOOKUP(RIGHT('ATP Fills'!I2414,2),Helper1!$O$36:$P$48,2,0)))</f>
        <v/>
      </c>
      <c r="K2414" t="str">
        <f>IF(J2414="","",LEFT('ATP Fills'!I2414,4))</f>
        <v/>
      </c>
      <c r="L2414" t="str">
        <f>IF(A2414="","",IF('ATP Fills'!G2414="LME",'ATP Fills'!I2414,""))</f>
        <v/>
      </c>
      <c r="M2414" t="str">
        <f t="shared" si="37"/>
        <v/>
      </c>
    </row>
    <row r="2415" spans="1:13">
      <c r="A2415" t="str">
        <f>IF('ATP Fills'!A2415="","",IF('ATP Fills'!Q2415="PHILLIPSG",'ATP Fills'!F2415,""))</f>
        <v/>
      </c>
      <c r="B2415" t="str">
        <f>IF(A2415="","",'ATP Fills'!L2415)</f>
        <v/>
      </c>
      <c r="C2415" t="str">
        <f>IF(A2415="","",'ATP Fills'!M2415)</f>
        <v/>
      </c>
      <c r="D2415" t="str">
        <f>IF(A2415="","",'ATP Fills'!B2415)</f>
        <v/>
      </c>
      <c r="E2415" s="3" t="str">
        <f>IF(A2415="","",IF(DATE(LEFT(D2415,4),MID(D2415,5,2),RIGHT(D2415,2))=Helper1!$P$1,Helper1!$P$1,""))</f>
        <v/>
      </c>
      <c r="F2415" s="3" t="str">
        <f>IF(A2415="","",'ATP Fills'!G2415)</f>
        <v/>
      </c>
      <c r="G2415" t="str">
        <f>IF(A2415="","",'ATP Fills'!H2415)</f>
        <v/>
      </c>
      <c r="H2415" t="str">
        <f>IF(A2415="","",VLOOKUP(G2415,表3_3[],2,0))</f>
        <v/>
      </c>
      <c r="I2415" t="str">
        <f>IF(A2415="","",VLOOKUP(G2415,表3_3[],3,0))</f>
        <v/>
      </c>
      <c r="J2415" t="str">
        <f>IF(A2415="","",IF('ATP Fills'!I2415="3M","",VLOOKUP(RIGHT('ATP Fills'!I2415,2),Helper1!$O$36:$P$48,2,0)))</f>
        <v/>
      </c>
      <c r="K2415" t="str">
        <f>IF(J2415="","",LEFT('ATP Fills'!I2415,4))</f>
        <v/>
      </c>
      <c r="L2415" t="str">
        <f>IF(A2415="","",IF('ATP Fills'!G2415="LME",'ATP Fills'!I2415,""))</f>
        <v/>
      </c>
      <c r="M2415" t="str">
        <f t="shared" si="37"/>
        <v/>
      </c>
    </row>
    <row r="2416" spans="1:13">
      <c r="A2416" t="str">
        <f>IF('ATP Fills'!A2416="","",IF('ATP Fills'!Q2416="PHILLIPSG",'ATP Fills'!F2416,""))</f>
        <v/>
      </c>
      <c r="B2416" t="str">
        <f>IF(A2416="","",'ATP Fills'!L2416)</f>
        <v/>
      </c>
      <c r="C2416" t="str">
        <f>IF(A2416="","",'ATP Fills'!M2416)</f>
        <v/>
      </c>
      <c r="D2416" t="str">
        <f>IF(A2416="","",'ATP Fills'!B2416)</f>
        <v/>
      </c>
      <c r="E2416" s="3" t="str">
        <f>IF(A2416="","",IF(DATE(LEFT(D2416,4),MID(D2416,5,2),RIGHT(D2416,2))=Helper1!$P$1,Helper1!$P$1,""))</f>
        <v/>
      </c>
      <c r="F2416" s="3" t="str">
        <f>IF(A2416="","",'ATP Fills'!G2416)</f>
        <v/>
      </c>
      <c r="G2416" t="str">
        <f>IF(A2416="","",'ATP Fills'!H2416)</f>
        <v/>
      </c>
      <c r="H2416" t="str">
        <f>IF(A2416="","",VLOOKUP(G2416,表3_3[],2,0))</f>
        <v/>
      </c>
      <c r="I2416" t="str">
        <f>IF(A2416="","",VLOOKUP(G2416,表3_3[],3,0))</f>
        <v/>
      </c>
      <c r="J2416" t="str">
        <f>IF(A2416="","",IF('ATP Fills'!I2416="3M","",VLOOKUP(RIGHT('ATP Fills'!I2416,2),Helper1!$O$36:$P$48,2,0)))</f>
        <v/>
      </c>
      <c r="K2416" t="str">
        <f>IF(J2416="","",LEFT('ATP Fills'!I2416,4))</f>
        <v/>
      </c>
      <c r="L2416" t="str">
        <f>IF(A2416="","",IF('ATP Fills'!G2416="LME",'ATP Fills'!I2416,""))</f>
        <v/>
      </c>
      <c r="M2416" t="str">
        <f t="shared" si="37"/>
        <v/>
      </c>
    </row>
    <row r="2417" spans="1:13">
      <c r="A2417" t="str">
        <f>IF('ATP Fills'!A2417="","",IF('ATP Fills'!Q2417="PHILLIPSG",'ATP Fills'!F2417,""))</f>
        <v/>
      </c>
      <c r="B2417" t="str">
        <f>IF(A2417="","",'ATP Fills'!L2417)</f>
        <v/>
      </c>
      <c r="C2417" t="str">
        <f>IF(A2417="","",'ATP Fills'!M2417)</f>
        <v/>
      </c>
      <c r="D2417" t="str">
        <f>IF(A2417="","",'ATP Fills'!B2417)</f>
        <v/>
      </c>
      <c r="E2417" s="3" t="str">
        <f>IF(A2417="","",IF(DATE(LEFT(D2417,4),MID(D2417,5,2),RIGHT(D2417,2))=Helper1!$P$1,Helper1!$P$1,""))</f>
        <v/>
      </c>
      <c r="F2417" s="3" t="str">
        <f>IF(A2417="","",'ATP Fills'!G2417)</f>
        <v/>
      </c>
      <c r="G2417" t="str">
        <f>IF(A2417="","",'ATP Fills'!H2417)</f>
        <v/>
      </c>
      <c r="H2417" t="str">
        <f>IF(A2417="","",VLOOKUP(G2417,表3_3[],2,0))</f>
        <v/>
      </c>
      <c r="I2417" t="str">
        <f>IF(A2417="","",VLOOKUP(G2417,表3_3[],3,0))</f>
        <v/>
      </c>
      <c r="J2417" t="str">
        <f>IF(A2417="","",IF('ATP Fills'!I2417="3M","",VLOOKUP(RIGHT('ATP Fills'!I2417,2),Helper1!$O$36:$P$48,2,0)))</f>
        <v/>
      </c>
      <c r="K2417" t="str">
        <f>IF(J2417="","",LEFT('ATP Fills'!I2417,4))</f>
        <v/>
      </c>
      <c r="L2417" t="str">
        <f>IF(A2417="","",IF('ATP Fills'!G2417="LME",'ATP Fills'!I2417,""))</f>
        <v/>
      </c>
      <c r="M2417" t="str">
        <f t="shared" si="37"/>
        <v/>
      </c>
    </row>
    <row r="2418" spans="1:13">
      <c r="A2418" t="str">
        <f>IF('ATP Fills'!A2418="","",IF('ATP Fills'!Q2418="PHILLIPSG",'ATP Fills'!F2418,""))</f>
        <v/>
      </c>
      <c r="B2418" t="str">
        <f>IF(A2418="","",'ATP Fills'!L2418)</f>
        <v/>
      </c>
      <c r="C2418" t="str">
        <f>IF(A2418="","",'ATP Fills'!M2418)</f>
        <v/>
      </c>
      <c r="D2418" t="str">
        <f>IF(A2418="","",'ATP Fills'!B2418)</f>
        <v/>
      </c>
      <c r="E2418" s="3" t="str">
        <f>IF(A2418="","",IF(DATE(LEFT(D2418,4),MID(D2418,5,2),RIGHT(D2418,2))=Helper1!$P$1,Helper1!$P$1,""))</f>
        <v/>
      </c>
      <c r="F2418" s="3" t="str">
        <f>IF(A2418="","",'ATP Fills'!G2418)</f>
        <v/>
      </c>
      <c r="G2418" t="str">
        <f>IF(A2418="","",'ATP Fills'!H2418)</f>
        <v/>
      </c>
      <c r="H2418" t="str">
        <f>IF(A2418="","",VLOOKUP(G2418,表3_3[],2,0))</f>
        <v/>
      </c>
      <c r="I2418" t="str">
        <f>IF(A2418="","",VLOOKUP(G2418,表3_3[],3,0))</f>
        <v/>
      </c>
      <c r="J2418" t="str">
        <f>IF(A2418="","",IF('ATP Fills'!I2418="3M","",VLOOKUP(RIGHT('ATP Fills'!I2418,2),Helper1!$O$36:$P$48,2,0)))</f>
        <v/>
      </c>
      <c r="K2418" t="str">
        <f>IF(J2418="","",LEFT('ATP Fills'!I2418,4))</f>
        <v/>
      </c>
      <c r="L2418" t="str">
        <f>IF(A2418="","",IF('ATP Fills'!G2418="LME",'ATP Fills'!I2418,""))</f>
        <v/>
      </c>
      <c r="M2418" t="str">
        <f t="shared" si="37"/>
        <v/>
      </c>
    </row>
    <row r="2419" spans="1:13">
      <c r="A2419" t="str">
        <f>IF('ATP Fills'!A2419="","",IF('ATP Fills'!Q2419="PHILLIPSG",'ATP Fills'!F2419,""))</f>
        <v/>
      </c>
      <c r="B2419" t="str">
        <f>IF(A2419="","",'ATP Fills'!L2419)</f>
        <v/>
      </c>
      <c r="C2419" t="str">
        <f>IF(A2419="","",'ATP Fills'!M2419)</f>
        <v/>
      </c>
      <c r="D2419" t="str">
        <f>IF(A2419="","",'ATP Fills'!B2419)</f>
        <v/>
      </c>
      <c r="E2419" s="3" t="str">
        <f>IF(A2419="","",IF(DATE(LEFT(D2419,4),MID(D2419,5,2),RIGHT(D2419,2))=Helper1!$P$1,Helper1!$P$1,""))</f>
        <v/>
      </c>
      <c r="F2419" s="3" t="str">
        <f>IF(A2419="","",'ATP Fills'!G2419)</f>
        <v/>
      </c>
      <c r="G2419" t="str">
        <f>IF(A2419="","",'ATP Fills'!H2419)</f>
        <v/>
      </c>
      <c r="H2419" t="str">
        <f>IF(A2419="","",VLOOKUP(G2419,表3_3[],2,0))</f>
        <v/>
      </c>
      <c r="I2419" t="str">
        <f>IF(A2419="","",VLOOKUP(G2419,表3_3[],3,0))</f>
        <v/>
      </c>
      <c r="J2419" t="str">
        <f>IF(A2419="","",IF('ATP Fills'!I2419="3M","",VLOOKUP(RIGHT('ATP Fills'!I2419,2),Helper1!$O$36:$P$48,2,0)))</f>
        <v/>
      </c>
      <c r="K2419" t="str">
        <f>IF(J2419="","",LEFT('ATP Fills'!I2419,4))</f>
        <v/>
      </c>
      <c r="L2419" t="str">
        <f>IF(A2419="","",IF('ATP Fills'!G2419="LME",'ATP Fills'!I2419,""))</f>
        <v/>
      </c>
      <c r="M2419" t="str">
        <f t="shared" si="37"/>
        <v/>
      </c>
    </row>
    <row r="2420" spans="1:13">
      <c r="A2420" t="str">
        <f>IF('ATP Fills'!A2420="","",IF('ATP Fills'!Q2420="PHILLIPSG",'ATP Fills'!F2420,""))</f>
        <v/>
      </c>
      <c r="B2420" t="str">
        <f>IF(A2420="","",'ATP Fills'!L2420)</f>
        <v/>
      </c>
      <c r="C2420" t="str">
        <f>IF(A2420="","",'ATP Fills'!M2420)</f>
        <v/>
      </c>
      <c r="D2420" t="str">
        <f>IF(A2420="","",'ATP Fills'!B2420)</f>
        <v/>
      </c>
      <c r="E2420" s="3" t="str">
        <f>IF(A2420="","",IF(DATE(LEFT(D2420,4),MID(D2420,5,2),RIGHT(D2420,2))=Helper1!$P$1,Helper1!$P$1,""))</f>
        <v/>
      </c>
      <c r="F2420" s="3" t="str">
        <f>IF(A2420="","",'ATP Fills'!G2420)</f>
        <v/>
      </c>
      <c r="G2420" t="str">
        <f>IF(A2420="","",'ATP Fills'!H2420)</f>
        <v/>
      </c>
      <c r="H2420" t="str">
        <f>IF(A2420="","",VLOOKUP(G2420,表3_3[],2,0))</f>
        <v/>
      </c>
      <c r="I2420" t="str">
        <f>IF(A2420="","",VLOOKUP(G2420,表3_3[],3,0))</f>
        <v/>
      </c>
      <c r="J2420" t="str">
        <f>IF(A2420="","",IF('ATP Fills'!I2420="3M","",VLOOKUP(RIGHT('ATP Fills'!I2420,2),Helper1!$O$36:$P$48,2,0)))</f>
        <v/>
      </c>
      <c r="K2420" t="str">
        <f>IF(J2420="","",LEFT('ATP Fills'!I2420,4))</f>
        <v/>
      </c>
      <c r="L2420" t="str">
        <f>IF(A2420="","",IF('ATP Fills'!G2420="LME",'ATP Fills'!I2420,""))</f>
        <v/>
      </c>
      <c r="M2420" t="str">
        <f t="shared" si="37"/>
        <v/>
      </c>
    </row>
    <row r="2421" spans="1:13">
      <c r="A2421" t="str">
        <f>IF('ATP Fills'!A2421="","",IF('ATP Fills'!Q2421="PHILLIPSG",'ATP Fills'!F2421,""))</f>
        <v/>
      </c>
      <c r="B2421" t="str">
        <f>IF(A2421="","",'ATP Fills'!L2421)</f>
        <v/>
      </c>
      <c r="C2421" t="str">
        <f>IF(A2421="","",'ATP Fills'!M2421)</f>
        <v/>
      </c>
      <c r="D2421" t="str">
        <f>IF(A2421="","",'ATP Fills'!B2421)</f>
        <v/>
      </c>
      <c r="E2421" s="3" t="str">
        <f>IF(A2421="","",IF(DATE(LEFT(D2421,4),MID(D2421,5,2),RIGHT(D2421,2))=Helper1!$P$1,Helper1!$P$1,""))</f>
        <v/>
      </c>
      <c r="F2421" s="3" t="str">
        <f>IF(A2421="","",'ATP Fills'!G2421)</f>
        <v/>
      </c>
      <c r="G2421" t="str">
        <f>IF(A2421="","",'ATP Fills'!H2421)</f>
        <v/>
      </c>
      <c r="H2421" t="str">
        <f>IF(A2421="","",VLOOKUP(G2421,表3_3[],2,0))</f>
        <v/>
      </c>
      <c r="I2421" t="str">
        <f>IF(A2421="","",VLOOKUP(G2421,表3_3[],3,0))</f>
        <v/>
      </c>
      <c r="J2421" t="str">
        <f>IF(A2421="","",IF('ATP Fills'!I2421="3M","",VLOOKUP(RIGHT('ATP Fills'!I2421,2),Helper1!$O$36:$P$48,2,0)))</f>
        <v/>
      </c>
      <c r="K2421" t="str">
        <f>IF(J2421="","",LEFT('ATP Fills'!I2421,4))</f>
        <v/>
      </c>
      <c r="L2421" t="str">
        <f>IF(A2421="","",IF('ATP Fills'!G2421="LME",'ATP Fills'!I2421,""))</f>
        <v/>
      </c>
      <c r="M2421" t="str">
        <f t="shared" si="37"/>
        <v/>
      </c>
    </row>
    <row r="2422" spans="1:13">
      <c r="A2422" t="str">
        <f>IF('ATP Fills'!A2422="","",IF('ATP Fills'!Q2422="PHILLIPSG",'ATP Fills'!F2422,""))</f>
        <v/>
      </c>
      <c r="B2422" t="str">
        <f>IF(A2422="","",'ATP Fills'!L2422)</f>
        <v/>
      </c>
      <c r="C2422" t="str">
        <f>IF(A2422="","",'ATP Fills'!M2422)</f>
        <v/>
      </c>
      <c r="D2422" t="str">
        <f>IF(A2422="","",'ATP Fills'!B2422)</f>
        <v/>
      </c>
      <c r="E2422" s="3" t="str">
        <f>IF(A2422="","",IF(DATE(LEFT(D2422,4),MID(D2422,5,2),RIGHT(D2422,2))=Helper1!$P$1,Helper1!$P$1,""))</f>
        <v/>
      </c>
      <c r="F2422" s="3" t="str">
        <f>IF(A2422="","",'ATP Fills'!G2422)</f>
        <v/>
      </c>
      <c r="G2422" t="str">
        <f>IF(A2422="","",'ATP Fills'!H2422)</f>
        <v/>
      </c>
      <c r="H2422" t="str">
        <f>IF(A2422="","",VLOOKUP(G2422,表3_3[],2,0))</f>
        <v/>
      </c>
      <c r="I2422" t="str">
        <f>IF(A2422="","",VLOOKUP(G2422,表3_3[],3,0))</f>
        <v/>
      </c>
      <c r="J2422" t="str">
        <f>IF(A2422="","",IF('ATP Fills'!I2422="3M","",VLOOKUP(RIGHT('ATP Fills'!I2422,2),Helper1!$O$36:$P$48,2,0)))</f>
        <v/>
      </c>
      <c r="K2422" t="str">
        <f>IF(J2422="","",LEFT('ATP Fills'!I2422,4))</f>
        <v/>
      </c>
      <c r="L2422" t="str">
        <f>IF(A2422="","",IF('ATP Fills'!G2422="LME",'ATP Fills'!I2422,""))</f>
        <v/>
      </c>
      <c r="M2422" t="str">
        <f t="shared" si="37"/>
        <v/>
      </c>
    </row>
    <row r="2423" spans="1:13">
      <c r="A2423" t="str">
        <f>IF('ATP Fills'!A2423="","",IF('ATP Fills'!Q2423="PHILLIPSG",'ATP Fills'!F2423,""))</f>
        <v/>
      </c>
      <c r="B2423" t="str">
        <f>IF(A2423="","",'ATP Fills'!L2423)</f>
        <v/>
      </c>
      <c r="C2423" t="str">
        <f>IF(A2423="","",'ATP Fills'!M2423)</f>
        <v/>
      </c>
      <c r="D2423" t="str">
        <f>IF(A2423="","",'ATP Fills'!B2423)</f>
        <v/>
      </c>
      <c r="E2423" s="3" t="str">
        <f>IF(A2423="","",IF(DATE(LEFT(D2423,4),MID(D2423,5,2),RIGHT(D2423,2))=Helper1!$P$1,Helper1!$P$1,""))</f>
        <v/>
      </c>
      <c r="F2423" s="3" t="str">
        <f>IF(A2423="","",'ATP Fills'!G2423)</f>
        <v/>
      </c>
      <c r="G2423" t="str">
        <f>IF(A2423="","",'ATP Fills'!H2423)</f>
        <v/>
      </c>
      <c r="H2423" t="str">
        <f>IF(A2423="","",VLOOKUP(G2423,表3_3[],2,0))</f>
        <v/>
      </c>
      <c r="I2423" t="str">
        <f>IF(A2423="","",VLOOKUP(G2423,表3_3[],3,0))</f>
        <v/>
      </c>
      <c r="J2423" t="str">
        <f>IF(A2423="","",IF('ATP Fills'!I2423="3M","",VLOOKUP(RIGHT('ATP Fills'!I2423,2),Helper1!$O$36:$P$48,2,0)))</f>
        <v/>
      </c>
      <c r="K2423" t="str">
        <f>IF(J2423="","",LEFT('ATP Fills'!I2423,4))</f>
        <v/>
      </c>
      <c r="L2423" t="str">
        <f>IF(A2423="","",IF('ATP Fills'!G2423="LME",'ATP Fills'!I2423,""))</f>
        <v/>
      </c>
      <c r="M2423" t="str">
        <f t="shared" si="37"/>
        <v/>
      </c>
    </row>
    <row r="2424" spans="1:13">
      <c r="A2424" t="str">
        <f>IF('ATP Fills'!A2424="","",IF('ATP Fills'!Q2424="PHILLIPSG",'ATP Fills'!F2424,""))</f>
        <v/>
      </c>
      <c r="B2424" t="str">
        <f>IF(A2424="","",'ATP Fills'!L2424)</f>
        <v/>
      </c>
      <c r="C2424" t="str">
        <f>IF(A2424="","",'ATP Fills'!M2424)</f>
        <v/>
      </c>
      <c r="D2424" t="str">
        <f>IF(A2424="","",'ATP Fills'!B2424)</f>
        <v/>
      </c>
      <c r="E2424" s="3" t="str">
        <f>IF(A2424="","",IF(DATE(LEFT(D2424,4),MID(D2424,5,2),RIGHT(D2424,2))=Helper1!$P$1,Helper1!$P$1,""))</f>
        <v/>
      </c>
      <c r="F2424" s="3" t="str">
        <f>IF(A2424="","",'ATP Fills'!G2424)</f>
        <v/>
      </c>
      <c r="G2424" t="str">
        <f>IF(A2424="","",'ATP Fills'!H2424)</f>
        <v/>
      </c>
      <c r="H2424" t="str">
        <f>IF(A2424="","",VLOOKUP(G2424,表3_3[],2,0))</f>
        <v/>
      </c>
      <c r="I2424" t="str">
        <f>IF(A2424="","",VLOOKUP(G2424,表3_3[],3,0))</f>
        <v/>
      </c>
      <c r="J2424" t="str">
        <f>IF(A2424="","",IF('ATP Fills'!I2424="3M","",VLOOKUP(RIGHT('ATP Fills'!I2424,2),Helper1!$O$36:$P$48,2,0)))</f>
        <v/>
      </c>
      <c r="K2424" t="str">
        <f>IF(J2424="","",LEFT('ATP Fills'!I2424,4))</f>
        <v/>
      </c>
      <c r="L2424" t="str">
        <f>IF(A2424="","",IF('ATP Fills'!G2424="LME",'ATP Fills'!I2424,""))</f>
        <v/>
      </c>
      <c r="M2424" t="str">
        <f t="shared" si="37"/>
        <v/>
      </c>
    </row>
    <row r="2425" spans="1:13">
      <c r="A2425" t="str">
        <f>IF('ATP Fills'!A2425="","",IF('ATP Fills'!Q2425="PHILLIPSG",'ATP Fills'!F2425,""))</f>
        <v/>
      </c>
      <c r="B2425" t="str">
        <f>IF(A2425="","",'ATP Fills'!L2425)</f>
        <v/>
      </c>
      <c r="C2425" t="str">
        <f>IF(A2425="","",'ATP Fills'!M2425)</f>
        <v/>
      </c>
      <c r="D2425" t="str">
        <f>IF(A2425="","",'ATP Fills'!B2425)</f>
        <v/>
      </c>
      <c r="E2425" s="3" t="str">
        <f>IF(A2425="","",IF(DATE(LEFT(D2425,4),MID(D2425,5,2),RIGHT(D2425,2))=Helper1!$P$1,Helper1!$P$1,""))</f>
        <v/>
      </c>
      <c r="F2425" s="3" t="str">
        <f>IF(A2425="","",'ATP Fills'!G2425)</f>
        <v/>
      </c>
      <c r="G2425" t="str">
        <f>IF(A2425="","",'ATP Fills'!H2425)</f>
        <v/>
      </c>
      <c r="H2425" t="str">
        <f>IF(A2425="","",VLOOKUP(G2425,表3_3[],2,0))</f>
        <v/>
      </c>
      <c r="I2425" t="str">
        <f>IF(A2425="","",VLOOKUP(G2425,表3_3[],3,0))</f>
        <v/>
      </c>
      <c r="J2425" t="str">
        <f>IF(A2425="","",IF('ATP Fills'!I2425="3M","",VLOOKUP(RIGHT('ATP Fills'!I2425,2),Helper1!$O$36:$P$48,2,0)))</f>
        <v/>
      </c>
      <c r="K2425" t="str">
        <f>IF(J2425="","",LEFT('ATP Fills'!I2425,4))</f>
        <v/>
      </c>
      <c r="L2425" t="str">
        <f>IF(A2425="","",IF('ATP Fills'!G2425="LME",'ATP Fills'!I2425,""))</f>
        <v/>
      </c>
      <c r="M2425" t="str">
        <f t="shared" si="37"/>
        <v/>
      </c>
    </row>
    <row r="2426" spans="1:13">
      <c r="A2426" t="str">
        <f>IF('ATP Fills'!A2426="","",IF('ATP Fills'!Q2426="PHILLIPSG",'ATP Fills'!F2426,""))</f>
        <v/>
      </c>
      <c r="B2426" t="str">
        <f>IF(A2426="","",'ATP Fills'!L2426)</f>
        <v/>
      </c>
      <c r="C2426" t="str">
        <f>IF(A2426="","",'ATP Fills'!M2426)</f>
        <v/>
      </c>
      <c r="D2426" t="str">
        <f>IF(A2426="","",'ATP Fills'!B2426)</f>
        <v/>
      </c>
      <c r="E2426" s="3" t="str">
        <f>IF(A2426="","",IF(DATE(LEFT(D2426,4),MID(D2426,5,2),RIGHT(D2426,2))=Helper1!$P$1,Helper1!$P$1,""))</f>
        <v/>
      </c>
      <c r="F2426" s="3" t="str">
        <f>IF(A2426="","",'ATP Fills'!G2426)</f>
        <v/>
      </c>
      <c r="G2426" t="str">
        <f>IF(A2426="","",'ATP Fills'!H2426)</f>
        <v/>
      </c>
      <c r="H2426" t="str">
        <f>IF(A2426="","",VLOOKUP(G2426,表3_3[],2,0))</f>
        <v/>
      </c>
      <c r="I2426" t="str">
        <f>IF(A2426="","",VLOOKUP(G2426,表3_3[],3,0))</f>
        <v/>
      </c>
      <c r="J2426" t="str">
        <f>IF(A2426="","",IF('ATP Fills'!I2426="3M","",VLOOKUP(RIGHT('ATP Fills'!I2426,2),Helper1!$O$36:$P$48,2,0)))</f>
        <v/>
      </c>
      <c r="K2426" t="str">
        <f>IF(J2426="","",LEFT('ATP Fills'!I2426,4))</f>
        <v/>
      </c>
      <c r="L2426" t="str">
        <f>IF(A2426="","",IF('ATP Fills'!G2426="LME",'ATP Fills'!I2426,""))</f>
        <v/>
      </c>
      <c r="M2426" t="str">
        <f t="shared" si="37"/>
        <v/>
      </c>
    </row>
    <row r="2427" spans="1:13">
      <c r="A2427" t="str">
        <f>IF('ATP Fills'!A2427="","",IF('ATP Fills'!Q2427="PHILLIPSG",'ATP Fills'!F2427,""))</f>
        <v/>
      </c>
      <c r="B2427" t="str">
        <f>IF(A2427="","",'ATP Fills'!L2427)</f>
        <v/>
      </c>
      <c r="C2427" t="str">
        <f>IF(A2427="","",'ATP Fills'!M2427)</f>
        <v/>
      </c>
      <c r="D2427" t="str">
        <f>IF(A2427="","",'ATP Fills'!B2427)</f>
        <v/>
      </c>
      <c r="E2427" s="3" t="str">
        <f>IF(A2427="","",IF(DATE(LEFT(D2427,4),MID(D2427,5,2),RIGHT(D2427,2))=Helper1!$P$1,Helper1!$P$1,""))</f>
        <v/>
      </c>
      <c r="F2427" s="3" t="str">
        <f>IF(A2427="","",'ATP Fills'!G2427)</f>
        <v/>
      </c>
      <c r="G2427" t="str">
        <f>IF(A2427="","",'ATP Fills'!H2427)</f>
        <v/>
      </c>
      <c r="H2427" t="str">
        <f>IF(A2427="","",VLOOKUP(G2427,表3_3[],2,0))</f>
        <v/>
      </c>
      <c r="I2427" t="str">
        <f>IF(A2427="","",VLOOKUP(G2427,表3_3[],3,0))</f>
        <v/>
      </c>
      <c r="J2427" t="str">
        <f>IF(A2427="","",IF('ATP Fills'!I2427="3M","",VLOOKUP(RIGHT('ATP Fills'!I2427,2),Helper1!$O$36:$P$48,2,0)))</f>
        <v/>
      </c>
      <c r="K2427" t="str">
        <f>IF(J2427="","",LEFT('ATP Fills'!I2427,4))</f>
        <v/>
      </c>
      <c r="L2427" t="str">
        <f>IF(A2427="","",IF('ATP Fills'!G2427="LME",'ATP Fills'!I2427,""))</f>
        <v/>
      </c>
      <c r="M2427" t="str">
        <f t="shared" si="37"/>
        <v/>
      </c>
    </row>
    <row r="2428" spans="1:13">
      <c r="A2428" t="str">
        <f>IF('ATP Fills'!A2428="","",IF('ATP Fills'!Q2428="PHILLIPSG",'ATP Fills'!F2428,""))</f>
        <v/>
      </c>
      <c r="B2428" t="str">
        <f>IF(A2428="","",'ATP Fills'!L2428)</f>
        <v/>
      </c>
      <c r="C2428" t="str">
        <f>IF(A2428="","",'ATP Fills'!M2428)</f>
        <v/>
      </c>
      <c r="D2428" t="str">
        <f>IF(A2428="","",'ATP Fills'!B2428)</f>
        <v/>
      </c>
      <c r="E2428" s="3" t="str">
        <f>IF(A2428="","",IF(DATE(LEFT(D2428,4),MID(D2428,5,2),RIGHT(D2428,2))=Helper1!$P$1,Helper1!$P$1,""))</f>
        <v/>
      </c>
      <c r="F2428" s="3" t="str">
        <f>IF(A2428="","",'ATP Fills'!G2428)</f>
        <v/>
      </c>
      <c r="G2428" t="str">
        <f>IF(A2428="","",'ATP Fills'!H2428)</f>
        <v/>
      </c>
      <c r="H2428" t="str">
        <f>IF(A2428="","",VLOOKUP(G2428,表3_3[],2,0))</f>
        <v/>
      </c>
      <c r="I2428" t="str">
        <f>IF(A2428="","",VLOOKUP(G2428,表3_3[],3,0))</f>
        <v/>
      </c>
      <c r="J2428" t="str">
        <f>IF(A2428="","",IF('ATP Fills'!I2428="3M","",VLOOKUP(RIGHT('ATP Fills'!I2428,2),Helper1!$O$36:$P$48,2,0)))</f>
        <v/>
      </c>
      <c r="K2428" t="str">
        <f>IF(J2428="","",LEFT('ATP Fills'!I2428,4))</f>
        <v/>
      </c>
      <c r="L2428" t="str">
        <f>IF(A2428="","",IF('ATP Fills'!G2428="LME",'ATP Fills'!I2428,""))</f>
        <v/>
      </c>
      <c r="M2428" t="str">
        <f t="shared" si="37"/>
        <v/>
      </c>
    </row>
    <row r="2429" spans="1:13">
      <c r="A2429" t="str">
        <f>IF('ATP Fills'!A2429="","",IF('ATP Fills'!Q2429="PHILLIPSG",'ATP Fills'!F2429,""))</f>
        <v/>
      </c>
      <c r="B2429" t="str">
        <f>IF(A2429="","",'ATP Fills'!L2429)</f>
        <v/>
      </c>
      <c r="C2429" t="str">
        <f>IF(A2429="","",'ATP Fills'!M2429)</f>
        <v/>
      </c>
      <c r="D2429" t="str">
        <f>IF(A2429="","",'ATP Fills'!B2429)</f>
        <v/>
      </c>
      <c r="E2429" s="3" t="str">
        <f>IF(A2429="","",IF(DATE(LEFT(D2429,4),MID(D2429,5,2),RIGHT(D2429,2))=Helper1!$P$1,Helper1!$P$1,""))</f>
        <v/>
      </c>
      <c r="F2429" s="3" t="str">
        <f>IF(A2429="","",'ATP Fills'!G2429)</f>
        <v/>
      </c>
      <c r="G2429" t="str">
        <f>IF(A2429="","",'ATP Fills'!H2429)</f>
        <v/>
      </c>
      <c r="H2429" t="str">
        <f>IF(A2429="","",VLOOKUP(G2429,表3_3[],2,0))</f>
        <v/>
      </c>
      <c r="I2429" t="str">
        <f>IF(A2429="","",VLOOKUP(G2429,表3_3[],3,0))</f>
        <v/>
      </c>
      <c r="J2429" t="str">
        <f>IF(A2429="","",IF('ATP Fills'!I2429="3M","",VLOOKUP(RIGHT('ATP Fills'!I2429,2),Helper1!$O$36:$P$48,2,0)))</f>
        <v/>
      </c>
      <c r="K2429" t="str">
        <f>IF(J2429="","",LEFT('ATP Fills'!I2429,4))</f>
        <v/>
      </c>
      <c r="L2429" t="str">
        <f>IF(A2429="","",IF('ATP Fills'!G2429="LME",'ATP Fills'!I2429,""))</f>
        <v/>
      </c>
      <c r="M2429" t="str">
        <f t="shared" si="37"/>
        <v/>
      </c>
    </row>
    <row r="2430" spans="1:13">
      <c r="A2430" t="str">
        <f>IF('ATP Fills'!A2430="","",IF('ATP Fills'!Q2430="PHILLIPSG",'ATP Fills'!F2430,""))</f>
        <v/>
      </c>
      <c r="B2430" t="str">
        <f>IF(A2430="","",'ATP Fills'!L2430)</f>
        <v/>
      </c>
      <c r="C2430" t="str">
        <f>IF(A2430="","",'ATP Fills'!M2430)</f>
        <v/>
      </c>
      <c r="D2430" t="str">
        <f>IF(A2430="","",'ATP Fills'!B2430)</f>
        <v/>
      </c>
      <c r="E2430" s="3" t="str">
        <f>IF(A2430="","",IF(DATE(LEFT(D2430,4),MID(D2430,5,2),RIGHT(D2430,2))=Helper1!$P$1,Helper1!$P$1,""))</f>
        <v/>
      </c>
      <c r="F2430" s="3" t="str">
        <f>IF(A2430="","",'ATP Fills'!G2430)</f>
        <v/>
      </c>
      <c r="G2430" t="str">
        <f>IF(A2430="","",'ATP Fills'!H2430)</f>
        <v/>
      </c>
      <c r="H2430" t="str">
        <f>IF(A2430="","",VLOOKUP(G2430,表3_3[],2,0))</f>
        <v/>
      </c>
      <c r="I2430" t="str">
        <f>IF(A2430="","",VLOOKUP(G2430,表3_3[],3,0))</f>
        <v/>
      </c>
      <c r="J2430" t="str">
        <f>IF(A2430="","",IF('ATP Fills'!I2430="3M","",VLOOKUP(RIGHT('ATP Fills'!I2430,2),Helper1!$O$36:$P$48,2,0)))</f>
        <v/>
      </c>
      <c r="K2430" t="str">
        <f>IF(J2430="","",LEFT('ATP Fills'!I2430,4))</f>
        <v/>
      </c>
      <c r="L2430" t="str">
        <f>IF(A2430="","",IF('ATP Fills'!G2430="LME",'ATP Fills'!I2430,""))</f>
        <v/>
      </c>
      <c r="M2430" t="str">
        <f t="shared" si="37"/>
        <v/>
      </c>
    </row>
    <row r="2431" spans="1:13">
      <c r="A2431" t="str">
        <f>IF('ATP Fills'!A2431="","",IF('ATP Fills'!Q2431="PHILLIPSG",'ATP Fills'!F2431,""))</f>
        <v/>
      </c>
      <c r="B2431" t="str">
        <f>IF(A2431="","",'ATP Fills'!L2431)</f>
        <v/>
      </c>
      <c r="C2431" t="str">
        <f>IF(A2431="","",'ATP Fills'!M2431)</f>
        <v/>
      </c>
      <c r="D2431" t="str">
        <f>IF(A2431="","",'ATP Fills'!B2431)</f>
        <v/>
      </c>
      <c r="E2431" s="3" t="str">
        <f>IF(A2431="","",IF(DATE(LEFT(D2431,4),MID(D2431,5,2),RIGHT(D2431,2))=Helper1!$P$1,Helper1!$P$1,""))</f>
        <v/>
      </c>
      <c r="F2431" s="3" t="str">
        <f>IF(A2431="","",'ATP Fills'!G2431)</f>
        <v/>
      </c>
      <c r="G2431" t="str">
        <f>IF(A2431="","",'ATP Fills'!H2431)</f>
        <v/>
      </c>
      <c r="H2431" t="str">
        <f>IF(A2431="","",VLOOKUP(G2431,表3_3[],2,0))</f>
        <v/>
      </c>
      <c r="I2431" t="str">
        <f>IF(A2431="","",VLOOKUP(G2431,表3_3[],3,0))</f>
        <v/>
      </c>
      <c r="J2431" t="str">
        <f>IF(A2431="","",IF('ATP Fills'!I2431="3M","",VLOOKUP(RIGHT('ATP Fills'!I2431,2),Helper1!$O$36:$P$48,2,0)))</f>
        <v/>
      </c>
      <c r="K2431" t="str">
        <f>IF(J2431="","",LEFT('ATP Fills'!I2431,4))</f>
        <v/>
      </c>
      <c r="L2431" t="str">
        <f>IF(A2431="","",IF('ATP Fills'!G2431="LME",'ATP Fills'!I2431,""))</f>
        <v/>
      </c>
      <c r="M2431" t="str">
        <f t="shared" si="37"/>
        <v/>
      </c>
    </row>
    <row r="2432" spans="1:13">
      <c r="A2432" t="str">
        <f>IF('ATP Fills'!A2432="","",IF('ATP Fills'!Q2432="PHILLIPSG",'ATP Fills'!F2432,""))</f>
        <v/>
      </c>
      <c r="B2432" t="str">
        <f>IF(A2432="","",'ATP Fills'!L2432)</f>
        <v/>
      </c>
      <c r="C2432" t="str">
        <f>IF(A2432="","",'ATP Fills'!M2432)</f>
        <v/>
      </c>
      <c r="D2432" t="str">
        <f>IF(A2432="","",'ATP Fills'!B2432)</f>
        <v/>
      </c>
      <c r="E2432" s="3" t="str">
        <f>IF(A2432="","",IF(DATE(LEFT(D2432,4),MID(D2432,5,2),RIGHT(D2432,2))=Helper1!$P$1,Helper1!$P$1,""))</f>
        <v/>
      </c>
      <c r="F2432" s="3" t="str">
        <f>IF(A2432="","",'ATP Fills'!G2432)</f>
        <v/>
      </c>
      <c r="G2432" t="str">
        <f>IF(A2432="","",'ATP Fills'!H2432)</f>
        <v/>
      </c>
      <c r="H2432" t="str">
        <f>IF(A2432="","",VLOOKUP(G2432,表3_3[],2,0))</f>
        <v/>
      </c>
      <c r="I2432" t="str">
        <f>IF(A2432="","",VLOOKUP(G2432,表3_3[],3,0))</f>
        <v/>
      </c>
      <c r="J2432" t="str">
        <f>IF(A2432="","",IF('ATP Fills'!I2432="3M","",VLOOKUP(RIGHT('ATP Fills'!I2432,2),Helper1!$O$36:$P$48,2,0)))</f>
        <v/>
      </c>
      <c r="K2432" t="str">
        <f>IF(J2432="","",LEFT('ATP Fills'!I2432,4))</f>
        <v/>
      </c>
      <c r="L2432" t="str">
        <f>IF(A2432="","",IF('ATP Fills'!G2432="LME",'ATP Fills'!I2432,""))</f>
        <v/>
      </c>
      <c r="M2432" t="str">
        <f t="shared" si="37"/>
        <v/>
      </c>
    </row>
    <row r="2433" spans="1:13">
      <c r="A2433" t="str">
        <f>IF('ATP Fills'!A2433="","",IF('ATP Fills'!Q2433="PHILLIPSG",'ATP Fills'!F2433,""))</f>
        <v/>
      </c>
      <c r="B2433" t="str">
        <f>IF(A2433="","",'ATP Fills'!L2433)</f>
        <v/>
      </c>
      <c r="C2433" t="str">
        <f>IF(A2433="","",'ATP Fills'!M2433)</f>
        <v/>
      </c>
      <c r="D2433" t="str">
        <f>IF(A2433="","",'ATP Fills'!B2433)</f>
        <v/>
      </c>
      <c r="E2433" s="3" t="str">
        <f>IF(A2433="","",IF(DATE(LEFT(D2433,4),MID(D2433,5,2),RIGHT(D2433,2))=Helper1!$P$1,Helper1!$P$1,""))</f>
        <v/>
      </c>
      <c r="F2433" s="3" t="str">
        <f>IF(A2433="","",'ATP Fills'!G2433)</f>
        <v/>
      </c>
      <c r="G2433" t="str">
        <f>IF(A2433="","",'ATP Fills'!H2433)</f>
        <v/>
      </c>
      <c r="H2433" t="str">
        <f>IF(A2433="","",VLOOKUP(G2433,表3_3[],2,0))</f>
        <v/>
      </c>
      <c r="I2433" t="str">
        <f>IF(A2433="","",VLOOKUP(G2433,表3_3[],3,0))</f>
        <v/>
      </c>
      <c r="J2433" t="str">
        <f>IF(A2433="","",IF('ATP Fills'!I2433="3M","",VLOOKUP(RIGHT('ATP Fills'!I2433,2),Helper1!$O$36:$P$48,2,0)))</f>
        <v/>
      </c>
      <c r="K2433" t="str">
        <f>IF(J2433="","",LEFT('ATP Fills'!I2433,4))</f>
        <v/>
      </c>
      <c r="L2433" t="str">
        <f>IF(A2433="","",IF('ATP Fills'!G2433="LME",'ATP Fills'!I2433,""))</f>
        <v/>
      </c>
      <c r="M2433" t="str">
        <f t="shared" si="37"/>
        <v/>
      </c>
    </row>
    <row r="2434" spans="1:13">
      <c r="A2434" t="str">
        <f>IF('ATP Fills'!A2434="","",IF('ATP Fills'!Q2434="PHILLIPSG",'ATP Fills'!F2434,""))</f>
        <v/>
      </c>
      <c r="B2434" t="str">
        <f>IF(A2434="","",'ATP Fills'!L2434)</f>
        <v/>
      </c>
      <c r="C2434" t="str">
        <f>IF(A2434="","",'ATP Fills'!M2434)</f>
        <v/>
      </c>
      <c r="D2434" t="str">
        <f>IF(A2434="","",'ATP Fills'!B2434)</f>
        <v/>
      </c>
      <c r="E2434" s="3" t="str">
        <f>IF(A2434="","",IF(DATE(LEFT(D2434,4),MID(D2434,5,2),RIGHT(D2434,2))=Helper1!$P$1,Helper1!$P$1,""))</f>
        <v/>
      </c>
      <c r="F2434" s="3" t="str">
        <f>IF(A2434="","",'ATP Fills'!G2434)</f>
        <v/>
      </c>
      <c r="G2434" t="str">
        <f>IF(A2434="","",'ATP Fills'!H2434)</f>
        <v/>
      </c>
      <c r="H2434" t="str">
        <f>IF(A2434="","",VLOOKUP(G2434,表3_3[],2,0))</f>
        <v/>
      </c>
      <c r="I2434" t="str">
        <f>IF(A2434="","",VLOOKUP(G2434,表3_3[],3,0))</f>
        <v/>
      </c>
      <c r="J2434" t="str">
        <f>IF(A2434="","",IF('ATP Fills'!I2434="3M","",VLOOKUP(RIGHT('ATP Fills'!I2434,2),Helper1!$O$36:$P$48,2,0)))</f>
        <v/>
      </c>
      <c r="K2434" t="str">
        <f>IF(J2434="","",LEFT('ATP Fills'!I2434,4))</f>
        <v/>
      </c>
      <c r="L2434" t="str">
        <f>IF(A2434="","",IF('ATP Fills'!G2434="LME",'ATP Fills'!I2434,""))</f>
        <v/>
      </c>
      <c r="M2434" t="str">
        <f t="shared" si="37"/>
        <v/>
      </c>
    </row>
    <row r="2435" spans="1:13">
      <c r="A2435" t="str">
        <f>IF('ATP Fills'!A2435="","",IF('ATP Fills'!Q2435="PHILLIPSG",'ATP Fills'!F2435,""))</f>
        <v/>
      </c>
      <c r="B2435" t="str">
        <f>IF(A2435="","",'ATP Fills'!L2435)</f>
        <v/>
      </c>
      <c r="C2435" t="str">
        <f>IF(A2435="","",'ATP Fills'!M2435)</f>
        <v/>
      </c>
      <c r="D2435" t="str">
        <f>IF(A2435="","",'ATP Fills'!B2435)</f>
        <v/>
      </c>
      <c r="E2435" s="3" t="str">
        <f>IF(A2435="","",IF(DATE(LEFT(D2435,4),MID(D2435,5,2),RIGHT(D2435,2))=Helper1!$P$1,Helper1!$P$1,""))</f>
        <v/>
      </c>
      <c r="F2435" s="3" t="str">
        <f>IF(A2435="","",'ATP Fills'!G2435)</f>
        <v/>
      </c>
      <c r="G2435" t="str">
        <f>IF(A2435="","",'ATP Fills'!H2435)</f>
        <v/>
      </c>
      <c r="H2435" t="str">
        <f>IF(A2435="","",VLOOKUP(G2435,表3_3[],2,0))</f>
        <v/>
      </c>
      <c r="I2435" t="str">
        <f>IF(A2435="","",VLOOKUP(G2435,表3_3[],3,0))</f>
        <v/>
      </c>
      <c r="J2435" t="str">
        <f>IF(A2435="","",IF('ATP Fills'!I2435="3M","",VLOOKUP(RIGHT('ATP Fills'!I2435,2),Helper1!$O$36:$P$48,2,0)))</f>
        <v/>
      </c>
      <c r="K2435" t="str">
        <f>IF(J2435="","",LEFT('ATP Fills'!I2435,4))</f>
        <v/>
      </c>
      <c r="L2435" t="str">
        <f>IF(A2435="","",IF('ATP Fills'!G2435="LME",'ATP Fills'!I2435,""))</f>
        <v/>
      </c>
      <c r="M2435" t="str">
        <f t="shared" ref="M2435:M2498" si="38">IF(A2435="","",IF(F2435="LME",F2435&amp;"-"&amp;I2435&amp;"-"&amp;L2435,J2435&amp;"-"&amp;K2435&amp;"-"&amp;I2435))</f>
        <v/>
      </c>
    </row>
    <row r="2436" spans="1:13">
      <c r="A2436" t="str">
        <f>IF('ATP Fills'!A2436="","",IF('ATP Fills'!Q2436="PHILLIPSG",'ATP Fills'!F2436,""))</f>
        <v/>
      </c>
      <c r="B2436" t="str">
        <f>IF(A2436="","",'ATP Fills'!L2436)</f>
        <v/>
      </c>
      <c r="C2436" t="str">
        <f>IF(A2436="","",'ATP Fills'!M2436)</f>
        <v/>
      </c>
      <c r="D2436" t="str">
        <f>IF(A2436="","",'ATP Fills'!B2436)</f>
        <v/>
      </c>
      <c r="E2436" s="3" t="str">
        <f>IF(A2436="","",IF(DATE(LEFT(D2436,4),MID(D2436,5,2),RIGHT(D2436,2))=Helper1!$P$1,Helper1!$P$1,""))</f>
        <v/>
      </c>
      <c r="F2436" s="3" t="str">
        <f>IF(A2436="","",'ATP Fills'!G2436)</f>
        <v/>
      </c>
      <c r="G2436" t="str">
        <f>IF(A2436="","",'ATP Fills'!H2436)</f>
        <v/>
      </c>
      <c r="H2436" t="str">
        <f>IF(A2436="","",VLOOKUP(G2436,表3_3[],2,0))</f>
        <v/>
      </c>
      <c r="I2436" t="str">
        <f>IF(A2436="","",VLOOKUP(G2436,表3_3[],3,0))</f>
        <v/>
      </c>
      <c r="J2436" t="str">
        <f>IF(A2436="","",IF('ATP Fills'!I2436="3M","",VLOOKUP(RIGHT('ATP Fills'!I2436,2),Helper1!$O$36:$P$48,2,0)))</f>
        <v/>
      </c>
      <c r="K2436" t="str">
        <f>IF(J2436="","",LEFT('ATP Fills'!I2436,4))</f>
        <v/>
      </c>
      <c r="L2436" t="str">
        <f>IF(A2436="","",IF('ATP Fills'!G2436="LME",'ATP Fills'!I2436,""))</f>
        <v/>
      </c>
      <c r="M2436" t="str">
        <f t="shared" si="38"/>
        <v/>
      </c>
    </row>
    <row r="2437" spans="1:13">
      <c r="A2437" t="str">
        <f>IF('ATP Fills'!A2437="","",IF('ATP Fills'!Q2437="PHILLIPSG",'ATP Fills'!F2437,""))</f>
        <v/>
      </c>
      <c r="B2437" t="str">
        <f>IF(A2437="","",'ATP Fills'!L2437)</f>
        <v/>
      </c>
      <c r="C2437" t="str">
        <f>IF(A2437="","",'ATP Fills'!M2437)</f>
        <v/>
      </c>
      <c r="D2437" t="str">
        <f>IF(A2437="","",'ATP Fills'!B2437)</f>
        <v/>
      </c>
      <c r="E2437" s="3" t="str">
        <f>IF(A2437="","",IF(DATE(LEFT(D2437,4),MID(D2437,5,2),RIGHT(D2437,2))=Helper1!$P$1,Helper1!$P$1,""))</f>
        <v/>
      </c>
      <c r="F2437" s="3" t="str">
        <f>IF(A2437="","",'ATP Fills'!G2437)</f>
        <v/>
      </c>
      <c r="G2437" t="str">
        <f>IF(A2437="","",'ATP Fills'!H2437)</f>
        <v/>
      </c>
      <c r="H2437" t="str">
        <f>IF(A2437="","",VLOOKUP(G2437,表3_3[],2,0))</f>
        <v/>
      </c>
      <c r="I2437" t="str">
        <f>IF(A2437="","",VLOOKUP(G2437,表3_3[],3,0))</f>
        <v/>
      </c>
      <c r="J2437" t="str">
        <f>IF(A2437="","",IF('ATP Fills'!I2437="3M","",VLOOKUP(RIGHT('ATP Fills'!I2437,2),Helper1!$O$36:$P$48,2,0)))</f>
        <v/>
      </c>
      <c r="K2437" t="str">
        <f>IF(J2437="","",LEFT('ATP Fills'!I2437,4))</f>
        <v/>
      </c>
      <c r="L2437" t="str">
        <f>IF(A2437="","",IF('ATP Fills'!G2437="LME",'ATP Fills'!I2437,""))</f>
        <v/>
      </c>
      <c r="M2437" t="str">
        <f t="shared" si="38"/>
        <v/>
      </c>
    </row>
    <row r="2438" spans="1:13">
      <c r="A2438" t="str">
        <f>IF('ATP Fills'!A2438="","",IF('ATP Fills'!Q2438="PHILLIPSG",'ATP Fills'!F2438,""))</f>
        <v/>
      </c>
      <c r="B2438" t="str">
        <f>IF(A2438="","",'ATP Fills'!L2438)</f>
        <v/>
      </c>
      <c r="C2438" t="str">
        <f>IF(A2438="","",'ATP Fills'!M2438)</f>
        <v/>
      </c>
      <c r="D2438" t="str">
        <f>IF(A2438="","",'ATP Fills'!B2438)</f>
        <v/>
      </c>
      <c r="E2438" s="3" t="str">
        <f>IF(A2438="","",IF(DATE(LEFT(D2438,4),MID(D2438,5,2),RIGHT(D2438,2))=Helper1!$P$1,Helper1!$P$1,""))</f>
        <v/>
      </c>
      <c r="F2438" s="3" t="str">
        <f>IF(A2438="","",'ATP Fills'!G2438)</f>
        <v/>
      </c>
      <c r="G2438" t="str">
        <f>IF(A2438="","",'ATP Fills'!H2438)</f>
        <v/>
      </c>
      <c r="H2438" t="str">
        <f>IF(A2438="","",VLOOKUP(G2438,表3_3[],2,0))</f>
        <v/>
      </c>
      <c r="I2438" t="str">
        <f>IF(A2438="","",VLOOKUP(G2438,表3_3[],3,0))</f>
        <v/>
      </c>
      <c r="J2438" t="str">
        <f>IF(A2438="","",IF('ATP Fills'!I2438="3M","",VLOOKUP(RIGHT('ATP Fills'!I2438,2),Helper1!$O$36:$P$48,2,0)))</f>
        <v/>
      </c>
      <c r="K2438" t="str">
        <f>IF(J2438="","",LEFT('ATP Fills'!I2438,4))</f>
        <v/>
      </c>
      <c r="L2438" t="str">
        <f>IF(A2438="","",IF('ATP Fills'!G2438="LME",'ATP Fills'!I2438,""))</f>
        <v/>
      </c>
      <c r="M2438" t="str">
        <f t="shared" si="38"/>
        <v/>
      </c>
    </row>
    <row r="2439" spans="1:13">
      <c r="A2439" t="str">
        <f>IF('ATP Fills'!A2439="","",IF('ATP Fills'!Q2439="PHILLIPSG",'ATP Fills'!F2439,""))</f>
        <v/>
      </c>
      <c r="B2439" t="str">
        <f>IF(A2439="","",'ATP Fills'!L2439)</f>
        <v/>
      </c>
      <c r="C2439" t="str">
        <f>IF(A2439="","",'ATP Fills'!M2439)</f>
        <v/>
      </c>
      <c r="D2439" t="str">
        <f>IF(A2439="","",'ATP Fills'!B2439)</f>
        <v/>
      </c>
      <c r="E2439" s="3" t="str">
        <f>IF(A2439="","",IF(DATE(LEFT(D2439,4),MID(D2439,5,2),RIGHT(D2439,2))=Helper1!$P$1,Helper1!$P$1,""))</f>
        <v/>
      </c>
      <c r="F2439" s="3" t="str">
        <f>IF(A2439="","",'ATP Fills'!G2439)</f>
        <v/>
      </c>
      <c r="G2439" t="str">
        <f>IF(A2439="","",'ATP Fills'!H2439)</f>
        <v/>
      </c>
      <c r="H2439" t="str">
        <f>IF(A2439="","",VLOOKUP(G2439,表3_3[],2,0))</f>
        <v/>
      </c>
      <c r="I2439" t="str">
        <f>IF(A2439="","",VLOOKUP(G2439,表3_3[],3,0))</f>
        <v/>
      </c>
      <c r="J2439" t="str">
        <f>IF(A2439="","",IF('ATP Fills'!I2439="3M","",VLOOKUP(RIGHT('ATP Fills'!I2439,2),Helper1!$O$36:$P$48,2,0)))</f>
        <v/>
      </c>
      <c r="K2439" t="str">
        <f>IF(J2439="","",LEFT('ATP Fills'!I2439,4))</f>
        <v/>
      </c>
      <c r="L2439" t="str">
        <f>IF(A2439="","",IF('ATP Fills'!G2439="LME",'ATP Fills'!I2439,""))</f>
        <v/>
      </c>
      <c r="M2439" t="str">
        <f t="shared" si="38"/>
        <v/>
      </c>
    </row>
    <row r="2440" spans="1:13">
      <c r="A2440" t="str">
        <f>IF('ATP Fills'!A2440="","",IF('ATP Fills'!Q2440="PHILLIPSG",'ATP Fills'!F2440,""))</f>
        <v/>
      </c>
      <c r="B2440" t="str">
        <f>IF(A2440="","",'ATP Fills'!L2440)</f>
        <v/>
      </c>
      <c r="C2440" t="str">
        <f>IF(A2440="","",'ATP Fills'!M2440)</f>
        <v/>
      </c>
      <c r="D2440" t="str">
        <f>IF(A2440="","",'ATP Fills'!B2440)</f>
        <v/>
      </c>
      <c r="E2440" s="3" t="str">
        <f>IF(A2440="","",IF(DATE(LEFT(D2440,4),MID(D2440,5,2),RIGHT(D2440,2))=Helper1!$P$1,Helper1!$P$1,""))</f>
        <v/>
      </c>
      <c r="F2440" s="3" t="str">
        <f>IF(A2440="","",'ATP Fills'!G2440)</f>
        <v/>
      </c>
      <c r="G2440" t="str">
        <f>IF(A2440="","",'ATP Fills'!H2440)</f>
        <v/>
      </c>
      <c r="H2440" t="str">
        <f>IF(A2440="","",VLOOKUP(G2440,表3_3[],2,0))</f>
        <v/>
      </c>
      <c r="I2440" t="str">
        <f>IF(A2440="","",VLOOKUP(G2440,表3_3[],3,0))</f>
        <v/>
      </c>
      <c r="J2440" t="str">
        <f>IF(A2440="","",IF('ATP Fills'!I2440="3M","",VLOOKUP(RIGHT('ATP Fills'!I2440,2),Helper1!$O$36:$P$48,2,0)))</f>
        <v/>
      </c>
      <c r="K2440" t="str">
        <f>IF(J2440="","",LEFT('ATP Fills'!I2440,4))</f>
        <v/>
      </c>
      <c r="L2440" t="str">
        <f>IF(A2440="","",IF('ATP Fills'!G2440="LME",'ATP Fills'!I2440,""))</f>
        <v/>
      </c>
      <c r="M2440" t="str">
        <f t="shared" si="38"/>
        <v/>
      </c>
    </row>
    <row r="2441" spans="1:13">
      <c r="A2441" t="str">
        <f>IF('ATP Fills'!A2441="","",IF('ATP Fills'!Q2441="PHILLIPSG",'ATP Fills'!F2441,""))</f>
        <v/>
      </c>
      <c r="B2441" t="str">
        <f>IF(A2441="","",'ATP Fills'!L2441)</f>
        <v/>
      </c>
      <c r="C2441" t="str">
        <f>IF(A2441="","",'ATP Fills'!M2441)</f>
        <v/>
      </c>
      <c r="D2441" t="str">
        <f>IF(A2441="","",'ATP Fills'!B2441)</f>
        <v/>
      </c>
      <c r="E2441" s="3" t="str">
        <f>IF(A2441="","",IF(DATE(LEFT(D2441,4),MID(D2441,5,2),RIGHT(D2441,2))=Helper1!$P$1,Helper1!$P$1,""))</f>
        <v/>
      </c>
      <c r="F2441" s="3" t="str">
        <f>IF(A2441="","",'ATP Fills'!G2441)</f>
        <v/>
      </c>
      <c r="G2441" t="str">
        <f>IF(A2441="","",'ATP Fills'!H2441)</f>
        <v/>
      </c>
      <c r="H2441" t="str">
        <f>IF(A2441="","",VLOOKUP(G2441,表3_3[],2,0))</f>
        <v/>
      </c>
      <c r="I2441" t="str">
        <f>IF(A2441="","",VLOOKUP(G2441,表3_3[],3,0))</f>
        <v/>
      </c>
      <c r="J2441" t="str">
        <f>IF(A2441="","",IF('ATP Fills'!I2441="3M","",VLOOKUP(RIGHT('ATP Fills'!I2441,2),Helper1!$O$36:$P$48,2,0)))</f>
        <v/>
      </c>
      <c r="K2441" t="str">
        <f>IF(J2441="","",LEFT('ATP Fills'!I2441,4))</f>
        <v/>
      </c>
      <c r="L2441" t="str">
        <f>IF(A2441="","",IF('ATP Fills'!G2441="LME",'ATP Fills'!I2441,""))</f>
        <v/>
      </c>
      <c r="M2441" t="str">
        <f t="shared" si="38"/>
        <v/>
      </c>
    </row>
    <row r="2442" spans="1:13">
      <c r="A2442" t="str">
        <f>IF('ATP Fills'!A2442="","",IF('ATP Fills'!Q2442="PHILLIPSG",'ATP Fills'!F2442,""))</f>
        <v/>
      </c>
      <c r="B2442" t="str">
        <f>IF(A2442="","",'ATP Fills'!L2442)</f>
        <v/>
      </c>
      <c r="C2442" t="str">
        <f>IF(A2442="","",'ATP Fills'!M2442)</f>
        <v/>
      </c>
      <c r="D2442" t="str">
        <f>IF(A2442="","",'ATP Fills'!B2442)</f>
        <v/>
      </c>
      <c r="E2442" s="3" t="str">
        <f>IF(A2442="","",IF(DATE(LEFT(D2442,4),MID(D2442,5,2),RIGHT(D2442,2))=Helper1!$P$1,Helper1!$P$1,""))</f>
        <v/>
      </c>
      <c r="F2442" s="3" t="str">
        <f>IF(A2442="","",'ATP Fills'!G2442)</f>
        <v/>
      </c>
      <c r="G2442" t="str">
        <f>IF(A2442="","",'ATP Fills'!H2442)</f>
        <v/>
      </c>
      <c r="H2442" t="str">
        <f>IF(A2442="","",VLOOKUP(G2442,表3_3[],2,0))</f>
        <v/>
      </c>
      <c r="I2442" t="str">
        <f>IF(A2442="","",VLOOKUP(G2442,表3_3[],3,0))</f>
        <v/>
      </c>
      <c r="J2442" t="str">
        <f>IF(A2442="","",IF('ATP Fills'!I2442="3M","",VLOOKUP(RIGHT('ATP Fills'!I2442,2),Helper1!$O$36:$P$48,2,0)))</f>
        <v/>
      </c>
      <c r="K2442" t="str">
        <f>IF(J2442="","",LEFT('ATP Fills'!I2442,4))</f>
        <v/>
      </c>
      <c r="L2442" t="str">
        <f>IF(A2442="","",IF('ATP Fills'!G2442="LME",'ATP Fills'!I2442,""))</f>
        <v/>
      </c>
      <c r="M2442" t="str">
        <f t="shared" si="38"/>
        <v/>
      </c>
    </row>
    <row r="2443" spans="1:13">
      <c r="A2443" t="str">
        <f>IF('ATP Fills'!A2443="","",IF('ATP Fills'!Q2443="PHILLIPSG",'ATP Fills'!F2443,""))</f>
        <v/>
      </c>
      <c r="B2443" t="str">
        <f>IF(A2443="","",'ATP Fills'!L2443)</f>
        <v/>
      </c>
      <c r="C2443" t="str">
        <f>IF(A2443="","",'ATP Fills'!M2443)</f>
        <v/>
      </c>
      <c r="D2443" t="str">
        <f>IF(A2443="","",'ATP Fills'!B2443)</f>
        <v/>
      </c>
      <c r="E2443" s="3" t="str">
        <f>IF(A2443="","",IF(DATE(LEFT(D2443,4),MID(D2443,5,2),RIGHT(D2443,2))=Helper1!$P$1,Helper1!$P$1,""))</f>
        <v/>
      </c>
      <c r="F2443" s="3" t="str">
        <f>IF(A2443="","",'ATP Fills'!G2443)</f>
        <v/>
      </c>
      <c r="G2443" t="str">
        <f>IF(A2443="","",'ATP Fills'!H2443)</f>
        <v/>
      </c>
      <c r="H2443" t="str">
        <f>IF(A2443="","",VLOOKUP(G2443,表3_3[],2,0))</f>
        <v/>
      </c>
      <c r="I2443" t="str">
        <f>IF(A2443="","",VLOOKUP(G2443,表3_3[],3,0))</f>
        <v/>
      </c>
      <c r="J2443" t="str">
        <f>IF(A2443="","",IF('ATP Fills'!I2443="3M","",VLOOKUP(RIGHT('ATP Fills'!I2443,2),Helper1!$O$36:$P$48,2,0)))</f>
        <v/>
      </c>
      <c r="K2443" t="str">
        <f>IF(J2443="","",LEFT('ATP Fills'!I2443,4))</f>
        <v/>
      </c>
      <c r="L2443" t="str">
        <f>IF(A2443="","",IF('ATP Fills'!G2443="LME",'ATP Fills'!I2443,""))</f>
        <v/>
      </c>
      <c r="M2443" t="str">
        <f t="shared" si="38"/>
        <v/>
      </c>
    </row>
    <row r="2444" spans="1:13">
      <c r="A2444" t="str">
        <f>IF('ATP Fills'!A2444="","",IF('ATP Fills'!Q2444="PHILLIPSG",'ATP Fills'!F2444,""))</f>
        <v/>
      </c>
      <c r="B2444" t="str">
        <f>IF(A2444="","",'ATP Fills'!L2444)</f>
        <v/>
      </c>
      <c r="C2444" t="str">
        <f>IF(A2444="","",'ATP Fills'!M2444)</f>
        <v/>
      </c>
      <c r="D2444" t="str">
        <f>IF(A2444="","",'ATP Fills'!B2444)</f>
        <v/>
      </c>
      <c r="E2444" s="3" t="str">
        <f>IF(A2444="","",IF(DATE(LEFT(D2444,4),MID(D2444,5,2),RIGHT(D2444,2))=Helper1!$P$1,Helper1!$P$1,""))</f>
        <v/>
      </c>
      <c r="F2444" s="3" t="str">
        <f>IF(A2444="","",'ATP Fills'!G2444)</f>
        <v/>
      </c>
      <c r="G2444" t="str">
        <f>IF(A2444="","",'ATP Fills'!H2444)</f>
        <v/>
      </c>
      <c r="H2444" t="str">
        <f>IF(A2444="","",VLOOKUP(G2444,表3_3[],2,0))</f>
        <v/>
      </c>
      <c r="I2444" t="str">
        <f>IF(A2444="","",VLOOKUP(G2444,表3_3[],3,0))</f>
        <v/>
      </c>
      <c r="J2444" t="str">
        <f>IF(A2444="","",IF('ATP Fills'!I2444="3M","",VLOOKUP(RIGHT('ATP Fills'!I2444,2),Helper1!$O$36:$P$48,2,0)))</f>
        <v/>
      </c>
      <c r="K2444" t="str">
        <f>IF(J2444="","",LEFT('ATP Fills'!I2444,4))</f>
        <v/>
      </c>
      <c r="L2444" t="str">
        <f>IF(A2444="","",IF('ATP Fills'!G2444="LME",'ATP Fills'!I2444,""))</f>
        <v/>
      </c>
      <c r="M2444" t="str">
        <f t="shared" si="38"/>
        <v/>
      </c>
    </row>
    <row r="2445" spans="1:13">
      <c r="A2445" t="str">
        <f>IF('ATP Fills'!A2445="","",IF('ATP Fills'!Q2445="PHILLIPSG",'ATP Fills'!F2445,""))</f>
        <v/>
      </c>
      <c r="B2445" t="str">
        <f>IF(A2445="","",'ATP Fills'!L2445)</f>
        <v/>
      </c>
      <c r="C2445" t="str">
        <f>IF(A2445="","",'ATP Fills'!M2445)</f>
        <v/>
      </c>
      <c r="D2445" t="str">
        <f>IF(A2445="","",'ATP Fills'!B2445)</f>
        <v/>
      </c>
      <c r="E2445" s="3" t="str">
        <f>IF(A2445="","",IF(DATE(LEFT(D2445,4),MID(D2445,5,2),RIGHT(D2445,2))=Helper1!$P$1,Helper1!$P$1,""))</f>
        <v/>
      </c>
      <c r="F2445" s="3" t="str">
        <f>IF(A2445="","",'ATP Fills'!G2445)</f>
        <v/>
      </c>
      <c r="G2445" t="str">
        <f>IF(A2445="","",'ATP Fills'!H2445)</f>
        <v/>
      </c>
      <c r="H2445" t="str">
        <f>IF(A2445="","",VLOOKUP(G2445,表3_3[],2,0))</f>
        <v/>
      </c>
      <c r="I2445" t="str">
        <f>IF(A2445="","",VLOOKUP(G2445,表3_3[],3,0))</f>
        <v/>
      </c>
      <c r="J2445" t="str">
        <f>IF(A2445="","",IF('ATP Fills'!I2445="3M","",VLOOKUP(RIGHT('ATP Fills'!I2445,2),Helper1!$O$36:$P$48,2,0)))</f>
        <v/>
      </c>
      <c r="K2445" t="str">
        <f>IF(J2445="","",LEFT('ATP Fills'!I2445,4))</f>
        <v/>
      </c>
      <c r="L2445" t="str">
        <f>IF(A2445="","",IF('ATP Fills'!G2445="LME",'ATP Fills'!I2445,""))</f>
        <v/>
      </c>
      <c r="M2445" t="str">
        <f t="shared" si="38"/>
        <v/>
      </c>
    </row>
    <row r="2446" spans="1:13">
      <c r="A2446" t="str">
        <f>IF('ATP Fills'!A2446="","",IF('ATP Fills'!Q2446="PHILLIPSG",'ATP Fills'!F2446,""))</f>
        <v/>
      </c>
      <c r="B2446" t="str">
        <f>IF(A2446="","",'ATP Fills'!L2446)</f>
        <v/>
      </c>
      <c r="C2446" t="str">
        <f>IF(A2446="","",'ATP Fills'!M2446)</f>
        <v/>
      </c>
      <c r="D2446" t="str">
        <f>IF(A2446="","",'ATP Fills'!B2446)</f>
        <v/>
      </c>
      <c r="E2446" s="3" t="str">
        <f>IF(A2446="","",IF(DATE(LEFT(D2446,4),MID(D2446,5,2),RIGHT(D2446,2))=Helper1!$P$1,Helper1!$P$1,""))</f>
        <v/>
      </c>
      <c r="F2446" s="3" t="str">
        <f>IF(A2446="","",'ATP Fills'!G2446)</f>
        <v/>
      </c>
      <c r="G2446" t="str">
        <f>IF(A2446="","",'ATP Fills'!H2446)</f>
        <v/>
      </c>
      <c r="H2446" t="str">
        <f>IF(A2446="","",VLOOKUP(G2446,表3_3[],2,0))</f>
        <v/>
      </c>
      <c r="I2446" t="str">
        <f>IF(A2446="","",VLOOKUP(G2446,表3_3[],3,0))</f>
        <v/>
      </c>
      <c r="J2446" t="str">
        <f>IF(A2446="","",IF('ATP Fills'!I2446="3M","",VLOOKUP(RIGHT('ATP Fills'!I2446,2),Helper1!$O$36:$P$48,2,0)))</f>
        <v/>
      </c>
      <c r="K2446" t="str">
        <f>IF(J2446="","",LEFT('ATP Fills'!I2446,4))</f>
        <v/>
      </c>
      <c r="L2446" t="str">
        <f>IF(A2446="","",IF('ATP Fills'!G2446="LME",'ATP Fills'!I2446,""))</f>
        <v/>
      </c>
      <c r="M2446" t="str">
        <f t="shared" si="38"/>
        <v/>
      </c>
    </row>
    <row r="2447" spans="1:13">
      <c r="A2447" t="str">
        <f>IF('ATP Fills'!A2447="","",IF('ATP Fills'!Q2447="PHILLIPSG",'ATP Fills'!F2447,""))</f>
        <v/>
      </c>
      <c r="B2447" t="str">
        <f>IF(A2447="","",'ATP Fills'!L2447)</f>
        <v/>
      </c>
      <c r="C2447" t="str">
        <f>IF(A2447="","",'ATP Fills'!M2447)</f>
        <v/>
      </c>
      <c r="D2447" t="str">
        <f>IF(A2447="","",'ATP Fills'!B2447)</f>
        <v/>
      </c>
      <c r="E2447" s="3" t="str">
        <f>IF(A2447="","",IF(DATE(LEFT(D2447,4),MID(D2447,5,2),RIGHT(D2447,2))=Helper1!$P$1,Helper1!$P$1,""))</f>
        <v/>
      </c>
      <c r="F2447" s="3" t="str">
        <f>IF(A2447="","",'ATP Fills'!G2447)</f>
        <v/>
      </c>
      <c r="G2447" t="str">
        <f>IF(A2447="","",'ATP Fills'!H2447)</f>
        <v/>
      </c>
      <c r="H2447" t="str">
        <f>IF(A2447="","",VLOOKUP(G2447,表3_3[],2,0))</f>
        <v/>
      </c>
      <c r="I2447" t="str">
        <f>IF(A2447="","",VLOOKUP(G2447,表3_3[],3,0))</f>
        <v/>
      </c>
      <c r="J2447" t="str">
        <f>IF(A2447="","",IF('ATP Fills'!I2447="3M","",VLOOKUP(RIGHT('ATP Fills'!I2447,2),Helper1!$O$36:$P$48,2,0)))</f>
        <v/>
      </c>
      <c r="K2447" t="str">
        <f>IF(J2447="","",LEFT('ATP Fills'!I2447,4))</f>
        <v/>
      </c>
      <c r="L2447" t="str">
        <f>IF(A2447="","",IF('ATP Fills'!G2447="LME",'ATP Fills'!I2447,""))</f>
        <v/>
      </c>
      <c r="M2447" t="str">
        <f t="shared" si="38"/>
        <v/>
      </c>
    </row>
    <row r="2448" spans="1:13">
      <c r="A2448" t="str">
        <f>IF('ATP Fills'!A2448="","",IF('ATP Fills'!Q2448="PHILLIPSG",'ATP Fills'!F2448,""))</f>
        <v/>
      </c>
      <c r="B2448" t="str">
        <f>IF(A2448="","",'ATP Fills'!L2448)</f>
        <v/>
      </c>
      <c r="C2448" t="str">
        <f>IF(A2448="","",'ATP Fills'!M2448)</f>
        <v/>
      </c>
      <c r="D2448" t="str">
        <f>IF(A2448="","",'ATP Fills'!B2448)</f>
        <v/>
      </c>
      <c r="E2448" s="3" t="str">
        <f>IF(A2448="","",IF(DATE(LEFT(D2448,4),MID(D2448,5,2),RIGHT(D2448,2))=Helper1!$P$1,Helper1!$P$1,""))</f>
        <v/>
      </c>
      <c r="F2448" s="3" t="str">
        <f>IF(A2448="","",'ATP Fills'!G2448)</f>
        <v/>
      </c>
      <c r="G2448" t="str">
        <f>IF(A2448="","",'ATP Fills'!H2448)</f>
        <v/>
      </c>
      <c r="H2448" t="str">
        <f>IF(A2448="","",VLOOKUP(G2448,表3_3[],2,0))</f>
        <v/>
      </c>
      <c r="I2448" t="str">
        <f>IF(A2448="","",VLOOKUP(G2448,表3_3[],3,0))</f>
        <v/>
      </c>
      <c r="J2448" t="str">
        <f>IF(A2448="","",IF('ATP Fills'!I2448="3M","",VLOOKUP(RIGHT('ATP Fills'!I2448,2),Helper1!$O$36:$P$48,2,0)))</f>
        <v/>
      </c>
      <c r="K2448" t="str">
        <f>IF(J2448="","",LEFT('ATP Fills'!I2448,4))</f>
        <v/>
      </c>
      <c r="L2448" t="str">
        <f>IF(A2448="","",IF('ATP Fills'!G2448="LME",'ATP Fills'!I2448,""))</f>
        <v/>
      </c>
      <c r="M2448" t="str">
        <f t="shared" si="38"/>
        <v/>
      </c>
    </row>
    <row r="2449" spans="1:13">
      <c r="A2449" t="str">
        <f>IF('ATP Fills'!A2449="","",IF('ATP Fills'!Q2449="PHILLIPSG",'ATP Fills'!F2449,""))</f>
        <v/>
      </c>
      <c r="B2449" t="str">
        <f>IF(A2449="","",'ATP Fills'!L2449)</f>
        <v/>
      </c>
      <c r="C2449" t="str">
        <f>IF(A2449="","",'ATP Fills'!M2449)</f>
        <v/>
      </c>
      <c r="D2449" t="str">
        <f>IF(A2449="","",'ATP Fills'!B2449)</f>
        <v/>
      </c>
      <c r="E2449" s="3" t="str">
        <f>IF(A2449="","",IF(DATE(LEFT(D2449,4),MID(D2449,5,2),RIGHT(D2449,2))=Helper1!$P$1,Helper1!$P$1,""))</f>
        <v/>
      </c>
      <c r="F2449" s="3" t="str">
        <f>IF(A2449="","",'ATP Fills'!G2449)</f>
        <v/>
      </c>
      <c r="G2449" t="str">
        <f>IF(A2449="","",'ATP Fills'!H2449)</f>
        <v/>
      </c>
      <c r="H2449" t="str">
        <f>IF(A2449="","",VLOOKUP(G2449,表3_3[],2,0))</f>
        <v/>
      </c>
      <c r="I2449" t="str">
        <f>IF(A2449="","",VLOOKUP(G2449,表3_3[],3,0))</f>
        <v/>
      </c>
      <c r="J2449" t="str">
        <f>IF(A2449="","",IF('ATP Fills'!I2449="3M","",VLOOKUP(RIGHT('ATP Fills'!I2449,2),Helper1!$O$36:$P$48,2,0)))</f>
        <v/>
      </c>
      <c r="K2449" t="str">
        <f>IF(J2449="","",LEFT('ATP Fills'!I2449,4))</f>
        <v/>
      </c>
      <c r="L2449" t="str">
        <f>IF(A2449="","",IF('ATP Fills'!G2449="LME",'ATP Fills'!I2449,""))</f>
        <v/>
      </c>
      <c r="M2449" t="str">
        <f t="shared" si="38"/>
        <v/>
      </c>
    </row>
    <row r="2450" spans="1:13">
      <c r="A2450" t="str">
        <f>IF('ATP Fills'!A2450="","",IF('ATP Fills'!Q2450="PHILLIPSG",'ATP Fills'!F2450,""))</f>
        <v/>
      </c>
      <c r="B2450" t="str">
        <f>IF(A2450="","",'ATP Fills'!L2450)</f>
        <v/>
      </c>
      <c r="C2450" t="str">
        <f>IF(A2450="","",'ATP Fills'!M2450)</f>
        <v/>
      </c>
      <c r="D2450" t="str">
        <f>IF(A2450="","",'ATP Fills'!B2450)</f>
        <v/>
      </c>
      <c r="E2450" s="3" t="str">
        <f>IF(A2450="","",IF(DATE(LEFT(D2450,4),MID(D2450,5,2),RIGHT(D2450,2))=Helper1!$P$1,Helper1!$P$1,""))</f>
        <v/>
      </c>
      <c r="F2450" s="3" t="str">
        <f>IF(A2450="","",'ATP Fills'!G2450)</f>
        <v/>
      </c>
      <c r="G2450" t="str">
        <f>IF(A2450="","",'ATP Fills'!H2450)</f>
        <v/>
      </c>
      <c r="H2450" t="str">
        <f>IF(A2450="","",VLOOKUP(G2450,表3_3[],2,0))</f>
        <v/>
      </c>
      <c r="I2450" t="str">
        <f>IF(A2450="","",VLOOKUP(G2450,表3_3[],3,0))</f>
        <v/>
      </c>
      <c r="J2450" t="str">
        <f>IF(A2450="","",IF('ATP Fills'!I2450="3M","",VLOOKUP(RIGHT('ATP Fills'!I2450,2),Helper1!$O$36:$P$48,2,0)))</f>
        <v/>
      </c>
      <c r="K2450" t="str">
        <f>IF(J2450="","",LEFT('ATP Fills'!I2450,4))</f>
        <v/>
      </c>
      <c r="L2450" t="str">
        <f>IF(A2450="","",IF('ATP Fills'!G2450="LME",'ATP Fills'!I2450,""))</f>
        <v/>
      </c>
      <c r="M2450" t="str">
        <f t="shared" si="38"/>
        <v/>
      </c>
    </row>
    <row r="2451" spans="1:13">
      <c r="A2451" t="str">
        <f>IF('ATP Fills'!A2451="","",IF('ATP Fills'!Q2451="PHILLIPSG",'ATP Fills'!F2451,""))</f>
        <v/>
      </c>
      <c r="B2451" t="str">
        <f>IF(A2451="","",'ATP Fills'!L2451)</f>
        <v/>
      </c>
      <c r="C2451" t="str">
        <f>IF(A2451="","",'ATP Fills'!M2451)</f>
        <v/>
      </c>
      <c r="D2451" t="str">
        <f>IF(A2451="","",'ATP Fills'!B2451)</f>
        <v/>
      </c>
      <c r="E2451" s="3" t="str">
        <f>IF(A2451="","",IF(DATE(LEFT(D2451,4),MID(D2451,5,2),RIGHT(D2451,2))=Helper1!$P$1,Helper1!$P$1,""))</f>
        <v/>
      </c>
      <c r="F2451" s="3" t="str">
        <f>IF(A2451="","",'ATP Fills'!G2451)</f>
        <v/>
      </c>
      <c r="G2451" t="str">
        <f>IF(A2451="","",'ATP Fills'!H2451)</f>
        <v/>
      </c>
      <c r="H2451" t="str">
        <f>IF(A2451="","",VLOOKUP(G2451,表3_3[],2,0))</f>
        <v/>
      </c>
      <c r="I2451" t="str">
        <f>IF(A2451="","",VLOOKUP(G2451,表3_3[],3,0))</f>
        <v/>
      </c>
      <c r="J2451" t="str">
        <f>IF(A2451="","",IF('ATP Fills'!I2451="3M","",VLOOKUP(RIGHT('ATP Fills'!I2451,2),Helper1!$O$36:$P$48,2,0)))</f>
        <v/>
      </c>
      <c r="K2451" t="str">
        <f>IF(J2451="","",LEFT('ATP Fills'!I2451,4))</f>
        <v/>
      </c>
      <c r="L2451" t="str">
        <f>IF(A2451="","",IF('ATP Fills'!G2451="LME",'ATP Fills'!I2451,""))</f>
        <v/>
      </c>
      <c r="M2451" t="str">
        <f t="shared" si="38"/>
        <v/>
      </c>
    </row>
    <row r="2452" spans="1:13">
      <c r="A2452" t="str">
        <f>IF('ATP Fills'!A2452="","",IF('ATP Fills'!Q2452="PHILLIPSG",'ATP Fills'!F2452,""))</f>
        <v/>
      </c>
      <c r="B2452" t="str">
        <f>IF(A2452="","",'ATP Fills'!L2452)</f>
        <v/>
      </c>
      <c r="C2452" t="str">
        <f>IF(A2452="","",'ATP Fills'!M2452)</f>
        <v/>
      </c>
      <c r="D2452" t="str">
        <f>IF(A2452="","",'ATP Fills'!B2452)</f>
        <v/>
      </c>
      <c r="E2452" s="3" t="str">
        <f>IF(A2452="","",IF(DATE(LEFT(D2452,4),MID(D2452,5,2),RIGHT(D2452,2))=Helper1!$P$1,Helper1!$P$1,""))</f>
        <v/>
      </c>
      <c r="F2452" s="3" t="str">
        <f>IF(A2452="","",'ATP Fills'!G2452)</f>
        <v/>
      </c>
      <c r="G2452" t="str">
        <f>IF(A2452="","",'ATP Fills'!H2452)</f>
        <v/>
      </c>
      <c r="H2452" t="str">
        <f>IF(A2452="","",VLOOKUP(G2452,表3_3[],2,0))</f>
        <v/>
      </c>
      <c r="I2452" t="str">
        <f>IF(A2452="","",VLOOKUP(G2452,表3_3[],3,0))</f>
        <v/>
      </c>
      <c r="J2452" t="str">
        <f>IF(A2452="","",IF('ATP Fills'!I2452="3M","",VLOOKUP(RIGHT('ATP Fills'!I2452,2),Helper1!$O$36:$P$48,2,0)))</f>
        <v/>
      </c>
      <c r="K2452" t="str">
        <f>IF(J2452="","",LEFT('ATP Fills'!I2452,4))</f>
        <v/>
      </c>
      <c r="L2452" t="str">
        <f>IF(A2452="","",IF('ATP Fills'!G2452="LME",'ATP Fills'!I2452,""))</f>
        <v/>
      </c>
      <c r="M2452" t="str">
        <f t="shared" si="38"/>
        <v/>
      </c>
    </row>
    <row r="2453" spans="1:13">
      <c r="A2453" t="str">
        <f>IF('ATP Fills'!A2453="","",IF('ATP Fills'!Q2453="PHILLIPSG",'ATP Fills'!F2453,""))</f>
        <v/>
      </c>
      <c r="B2453" t="str">
        <f>IF(A2453="","",'ATP Fills'!L2453)</f>
        <v/>
      </c>
      <c r="C2453" t="str">
        <f>IF(A2453="","",'ATP Fills'!M2453)</f>
        <v/>
      </c>
      <c r="D2453" t="str">
        <f>IF(A2453="","",'ATP Fills'!B2453)</f>
        <v/>
      </c>
      <c r="E2453" s="3" t="str">
        <f>IF(A2453="","",IF(DATE(LEFT(D2453,4),MID(D2453,5,2),RIGHT(D2453,2))=Helper1!$P$1,Helper1!$P$1,""))</f>
        <v/>
      </c>
      <c r="F2453" s="3" t="str">
        <f>IF(A2453="","",'ATP Fills'!G2453)</f>
        <v/>
      </c>
      <c r="G2453" t="str">
        <f>IF(A2453="","",'ATP Fills'!H2453)</f>
        <v/>
      </c>
      <c r="H2453" t="str">
        <f>IF(A2453="","",VLOOKUP(G2453,表3_3[],2,0))</f>
        <v/>
      </c>
      <c r="I2453" t="str">
        <f>IF(A2453="","",VLOOKUP(G2453,表3_3[],3,0))</f>
        <v/>
      </c>
      <c r="J2453" t="str">
        <f>IF(A2453="","",IF('ATP Fills'!I2453="3M","",VLOOKUP(RIGHT('ATP Fills'!I2453,2),Helper1!$O$36:$P$48,2,0)))</f>
        <v/>
      </c>
      <c r="K2453" t="str">
        <f>IF(J2453="","",LEFT('ATP Fills'!I2453,4))</f>
        <v/>
      </c>
      <c r="L2453" t="str">
        <f>IF(A2453="","",IF('ATP Fills'!G2453="LME",'ATP Fills'!I2453,""))</f>
        <v/>
      </c>
      <c r="M2453" t="str">
        <f t="shared" si="38"/>
        <v/>
      </c>
    </row>
    <row r="2454" spans="1:13">
      <c r="A2454" t="str">
        <f>IF('ATP Fills'!A2454="","",IF('ATP Fills'!Q2454="PHILLIPSG",'ATP Fills'!F2454,""))</f>
        <v/>
      </c>
      <c r="B2454" t="str">
        <f>IF(A2454="","",'ATP Fills'!L2454)</f>
        <v/>
      </c>
      <c r="C2454" t="str">
        <f>IF(A2454="","",'ATP Fills'!M2454)</f>
        <v/>
      </c>
      <c r="D2454" t="str">
        <f>IF(A2454="","",'ATP Fills'!B2454)</f>
        <v/>
      </c>
      <c r="E2454" s="3" t="str">
        <f>IF(A2454="","",IF(DATE(LEFT(D2454,4),MID(D2454,5,2),RIGHT(D2454,2))=Helper1!$P$1,Helper1!$P$1,""))</f>
        <v/>
      </c>
      <c r="F2454" s="3" t="str">
        <f>IF(A2454="","",'ATP Fills'!G2454)</f>
        <v/>
      </c>
      <c r="G2454" t="str">
        <f>IF(A2454="","",'ATP Fills'!H2454)</f>
        <v/>
      </c>
      <c r="H2454" t="str">
        <f>IF(A2454="","",VLOOKUP(G2454,表3_3[],2,0))</f>
        <v/>
      </c>
      <c r="I2454" t="str">
        <f>IF(A2454="","",VLOOKUP(G2454,表3_3[],3,0))</f>
        <v/>
      </c>
      <c r="J2454" t="str">
        <f>IF(A2454="","",IF('ATP Fills'!I2454="3M","",VLOOKUP(RIGHT('ATP Fills'!I2454,2),Helper1!$O$36:$P$48,2,0)))</f>
        <v/>
      </c>
      <c r="K2454" t="str">
        <f>IF(J2454="","",LEFT('ATP Fills'!I2454,4))</f>
        <v/>
      </c>
      <c r="L2454" t="str">
        <f>IF(A2454="","",IF('ATP Fills'!G2454="LME",'ATP Fills'!I2454,""))</f>
        <v/>
      </c>
      <c r="M2454" t="str">
        <f t="shared" si="38"/>
        <v/>
      </c>
    </row>
    <row r="2455" spans="1:13">
      <c r="A2455" t="str">
        <f>IF('ATP Fills'!A2455="","",IF('ATP Fills'!Q2455="PHILLIPSG",'ATP Fills'!F2455,""))</f>
        <v/>
      </c>
      <c r="B2455" t="str">
        <f>IF(A2455="","",'ATP Fills'!L2455)</f>
        <v/>
      </c>
      <c r="C2455" t="str">
        <f>IF(A2455="","",'ATP Fills'!M2455)</f>
        <v/>
      </c>
      <c r="D2455" t="str">
        <f>IF(A2455="","",'ATP Fills'!B2455)</f>
        <v/>
      </c>
      <c r="E2455" s="3" t="str">
        <f>IF(A2455="","",IF(DATE(LEFT(D2455,4),MID(D2455,5,2),RIGHT(D2455,2))=Helper1!$P$1,Helper1!$P$1,""))</f>
        <v/>
      </c>
      <c r="F2455" s="3" t="str">
        <f>IF(A2455="","",'ATP Fills'!G2455)</f>
        <v/>
      </c>
      <c r="G2455" t="str">
        <f>IF(A2455="","",'ATP Fills'!H2455)</f>
        <v/>
      </c>
      <c r="H2455" t="str">
        <f>IF(A2455="","",VLOOKUP(G2455,表3_3[],2,0))</f>
        <v/>
      </c>
      <c r="I2455" t="str">
        <f>IF(A2455="","",VLOOKUP(G2455,表3_3[],3,0))</f>
        <v/>
      </c>
      <c r="J2455" t="str">
        <f>IF(A2455="","",IF('ATP Fills'!I2455="3M","",VLOOKUP(RIGHT('ATP Fills'!I2455,2),Helper1!$O$36:$P$48,2,0)))</f>
        <v/>
      </c>
      <c r="K2455" t="str">
        <f>IF(J2455="","",LEFT('ATP Fills'!I2455,4))</f>
        <v/>
      </c>
      <c r="L2455" t="str">
        <f>IF(A2455="","",IF('ATP Fills'!G2455="LME",'ATP Fills'!I2455,""))</f>
        <v/>
      </c>
      <c r="M2455" t="str">
        <f t="shared" si="38"/>
        <v/>
      </c>
    </row>
    <row r="2456" spans="1:13">
      <c r="A2456" t="str">
        <f>IF('ATP Fills'!A2456="","",IF('ATP Fills'!Q2456="PHILLIPSG",'ATP Fills'!F2456,""))</f>
        <v/>
      </c>
      <c r="B2456" t="str">
        <f>IF(A2456="","",'ATP Fills'!L2456)</f>
        <v/>
      </c>
      <c r="C2456" t="str">
        <f>IF(A2456="","",'ATP Fills'!M2456)</f>
        <v/>
      </c>
      <c r="D2456" t="str">
        <f>IF(A2456="","",'ATP Fills'!B2456)</f>
        <v/>
      </c>
      <c r="E2456" s="3" t="str">
        <f>IF(A2456="","",IF(DATE(LEFT(D2456,4),MID(D2456,5,2),RIGHT(D2456,2))=Helper1!$P$1,Helper1!$P$1,""))</f>
        <v/>
      </c>
      <c r="F2456" s="3" t="str">
        <f>IF(A2456="","",'ATP Fills'!G2456)</f>
        <v/>
      </c>
      <c r="G2456" t="str">
        <f>IF(A2456="","",'ATP Fills'!H2456)</f>
        <v/>
      </c>
      <c r="H2456" t="str">
        <f>IF(A2456="","",VLOOKUP(G2456,表3_3[],2,0))</f>
        <v/>
      </c>
      <c r="I2456" t="str">
        <f>IF(A2456="","",VLOOKUP(G2456,表3_3[],3,0))</f>
        <v/>
      </c>
      <c r="J2456" t="str">
        <f>IF(A2456="","",IF('ATP Fills'!I2456="3M","",VLOOKUP(RIGHT('ATP Fills'!I2456,2),Helper1!$O$36:$P$48,2,0)))</f>
        <v/>
      </c>
      <c r="K2456" t="str">
        <f>IF(J2456="","",LEFT('ATP Fills'!I2456,4))</f>
        <v/>
      </c>
      <c r="L2456" t="str">
        <f>IF(A2456="","",IF('ATP Fills'!G2456="LME",'ATP Fills'!I2456,""))</f>
        <v/>
      </c>
      <c r="M2456" t="str">
        <f t="shared" si="38"/>
        <v/>
      </c>
    </row>
    <row r="2457" spans="1:13">
      <c r="A2457" t="str">
        <f>IF('ATP Fills'!A2457="","",IF('ATP Fills'!Q2457="PHILLIPSG",'ATP Fills'!F2457,""))</f>
        <v/>
      </c>
      <c r="B2457" t="str">
        <f>IF(A2457="","",'ATP Fills'!L2457)</f>
        <v/>
      </c>
      <c r="C2457" t="str">
        <f>IF(A2457="","",'ATP Fills'!M2457)</f>
        <v/>
      </c>
      <c r="D2457" t="str">
        <f>IF(A2457="","",'ATP Fills'!B2457)</f>
        <v/>
      </c>
      <c r="E2457" s="3" t="str">
        <f>IF(A2457="","",IF(DATE(LEFT(D2457,4),MID(D2457,5,2),RIGHT(D2457,2))=Helper1!$P$1,Helper1!$P$1,""))</f>
        <v/>
      </c>
      <c r="F2457" s="3" t="str">
        <f>IF(A2457="","",'ATP Fills'!G2457)</f>
        <v/>
      </c>
      <c r="G2457" t="str">
        <f>IF(A2457="","",'ATP Fills'!H2457)</f>
        <v/>
      </c>
      <c r="H2457" t="str">
        <f>IF(A2457="","",VLOOKUP(G2457,表3_3[],2,0))</f>
        <v/>
      </c>
      <c r="I2457" t="str">
        <f>IF(A2457="","",VLOOKUP(G2457,表3_3[],3,0))</f>
        <v/>
      </c>
      <c r="J2457" t="str">
        <f>IF(A2457="","",IF('ATP Fills'!I2457="3M","",VLOOKUP(RIGHT('ATP Fills'!I2457,2),Helper1!$O$36:$P$48,2,0)))</f>
        <v/>
      </c>
      <c r="K2457" t="str">
        <f>IF(J2457="","",LEFT('ATP Fills'!I2457,4))</f>
        <v/>
      </c>
      <c r="L2457" t="str">
        <f>IF(A2457="","",IF('ATP Fills'!G2457="LME",'ATP Fills'!I2457,""))</f>
        <v/>
      </c>
      <c r="M2457" t="str">
        <f t="shared" si="38"/>
        <v/>
      </c>
    </row>
    <row r="2458" spans="1:13">
      <c r="A2458" t="str">
        <f>IF('ATP Fills'!A2458="","",IF('ATP Fills'!Q2458="PHILLIPSG",'ATP Fills'!F2458,""))</f>
        <v/>
      </c>
      <c r="B2458" t="str">
        <f>IF(A2458="","",'ATP Fills'!L2458)</f>
        <v/>
      </c>
      <c r="C2458" t="str">
        <f>IF(A2458="","",'ATP Fills'!M2458)</f>
        <v/>
      </c>
      <c r="D2458" t="str">
        <f>IF(A2458="","",'ATP Fills'!B2458)</f>
        <v/>
      </c>
      <c r="E2458" s="3" t="str">
        <f>IF(A2458="","",IF(DATE(LEFT(D2458,4),MID(D2458,5,2),RIGHT(D2458,2))=Helper1!$P$1,Helper1!$P$1,""))</f>
        <v/>
      </c>
      <c r="F2458" s="3" t="str">
        <f>IF(A2458="","",'ATP Fills'!G2458)</f>
        <v/>
      </c>
      <c r="G2458" t="str">
        <f>IF(A2458="","",'ATP Fills'!H2458)</f>
        <v/>
      </c>
      <c r="H2458" t="str">
        <f>IF(A2458="","",VLOOKUP(G2458,表3_3[],2,0))</f>
        <v/>
      </c>
      <c r="I2458" t="str">
        <f>IF(A2458="","",VLOOKUP(G2458,表3_3[],3,0))</f>
        <v/>
      </c>
      <c r="J2458" t="str">
        <f>IF(A2458="","",IF('ATP Fills'!I2458="3M","",VLOOKUP(RIGHT('ATP Fills'!I2458,2),Helper1!$O$36:$P$48,2,0)))</f>
        <v/>
      </c>
      <c r="K2458" t="str">
        <f>IF(J2458="","",LEFT('ATP Fills'!I2458,4))</f>
        <v/>
      </c>
      <c r="L2458" t="str">
        <f>IF(A2458="","",IF('ATP Fills'!G2458="LME",'ATP Fills'!I2458,""))</f>
        <v/>
      </c>
      <c r="M2458" t="str">
        <f t="shared" si="38"/>
        <v/>
      </c>
    </row>
    <row r="2459" spans="1:13">
      <c r="A2459" t="str">
        <f>IF('ATP Fills'!A2459="","",IF('ATP Fills'!Q2459="PHILLIPSG",'ATP Fills'!F2459,""))</f>
        <v/>
      </c>
      <c r="B2459" t="str">
        <f>IF(A2459="","",'ATP Fills'!L2459)</f>
        <v/>
      </c>
      <c r="C2459" t="str">
        <f>IF(A2459="","",'ATP Fills'!M2459)</f>
        <v/>
      </c>
      <c r="D2459" t="str">
        <f>IF(A2459="","",'ATP Fills'!B2459)</f>
        <v/>
      </c>
      <c r="E2459" s="3" t="str">
        <f>IF(A2459="","",IF(DATE(LEFT(D2459,4),MID(D2459,5,2),RIGHT(D2459,2))=Helper1!$P$1,Helper1!$P$1,""))</f>
        <v/>
      </c>
      <c r="F2459" s="3" t="str">
        <f>IF(A2459="","",'ATP Fills'!G2459)</f>
        <v/>
      </c>
      <c r="G2459" t="str">
        <f>IF(A2459="","",'ATP Fills'!H2459)</f>
        <v/>
      </c>
      <c r="H2459" t="str">
        <f>IF(A2459="","",VLOOKUP(G2459,表3_3[],2,0))</f>
        <v/>
      </c>
      <c r="I2459" t="str">
        <f>IF(A2459="","",VLOOKUP(G2459,表3_3[],3,0))</f>
        <v/>
      </c>
      <c r="J2459" t="str">
        <f>IF(A2459="","",IF('ATP Fills'!I2459="3M","",VLOOKUP(RIGHT('ATP Fills'!I2459,2),Helper1!$O$36:$P$48,2,0)))</f>
        <v/>
      </c>
      <c r="K2459" t="str">
        <f>IF(J2459="","",LEFT('ATP Fills'!I2459,4))</f>
        <v/>
      </c>
      <c r="L2459" t="str">
        <f>IF(A2459="","",IF('ATP Fills'!G2459="LME",'ATP Fills'!I2459,""))</f>
        <v/>
      </c>
      <c r="M2459" t="str">
        <f t="shared" si="38"/>
        <v/>
      </c>
    </row>
    <row r="2460" spans="1:13">
      <c r="A2460" t="str">
        <f>IF('ATP Fills'!A2460="","",IF('ATP Fills'!Q2460="PHILLIPSG",'ATP Fills'!F2460,""))</f>
        <v/>
      </c>
      <c r="B2460" t="str">
        <f>IF(A2460="","",'ATP Fills'!L2460)</f>
        <v/>
      </c>
      <c r="C2460" t="str">
        <f>IF(A2460="","",'ATP Fills'!M2460)</f>
        <v/>
      </c>
      <c r="D2460" t="str">
        <f>IF(A2460="","",'ATP Fills'!B2460)</f>
        <v/>
      </c>
      <c r="E2460" s="3" t="str">
        <f>IF(A2460="","",IF(DATE(LEFT(D2460,4),MID(D2460,5,2),RIGHT(D2460,2))=Helper1!$P$1,Helper1!$P$1,""))</f>
        <v/>
      </c>
      <c r="F2460" s="3" t="str">
        <f>IF(A2460="","",'ATP Fills'!G2460)</f>
        <v/>
      </c>
      <c r="G2460" t="str">
        <f>IF(A2460="","",'ATP Fills'!H2460)</f>
        <v/>
      </c>
      <c r="H2460" t="str">
        <f>IF(A2460="","",VLOOKUP(G2460,表3_3[],2,0))</f>
        <v/>
      </c>
      <c r="I2460" t="str">
        <f>IF(A2460="","",VLOOKUP(G2460,表3_3[],3,0))</f>
        <v/>
      </c>
      <c r="J2460" t="str">
        <f>IF(A2460="","",IF('ATP Fills'!I2460="3M","",VLOOKUP(RIGHT('ATP Fills'!I2460,2),Helper1!$O$36:$P$48,2,0)))</f>
        <v/>
      </c>
      <c r="K2460" t="str">
        <f>IF(J2460="","",LEFT('ATP Fills'!I2460,4))</f>
        <v/>
      </c>
      <c r="L2460" t="str">
        <f>IF(A2460="","",IF('ATP Fills'!G2460="LME",'ATP Fills'!I2460,""))</f>
        <v/>
      </c>
      <c r="M2460" t="str">
        <f t="shared" si="38"/>
        <v/>
      </c>
    </row>
    <row r="2461" spans="1:13">
      <c r="A2461" t="str">
        <f>IF('ATP Fills'!A2461="","",IF('ATP Fills'!Q2461="PHILLIPSG",'ATP Fills'!F2461,""))</f>
        <v/>
      </c>
      <c r="B2461" t="str">
        <f>IF(A2461="","",'ATP Fills'!L2461)</f>
        <v/>
      </c>
      <c r="C2461" t="str">
        <f>IF(A2461="","",'ATP Fills'!M2461)</f>
        <v/>
      </c>
      <c r="D2461" t="str">
        <f>IF(A2461="","",'ATP Fills'!B2461)</f>
        <v/>
      </c>
      <c r="E2461" s="3" t="str">
        <f>IF(A2461="","",IF(DATE(LEFT(D2461,4),MID(D2461,5,2),RIGHT(D2461,2))=Helper1!$P$1,Helper1!$P$1,""))</f>
        <v/>
      </c>
      <c r="F2461" s="3" t="str">
        <f>IF(A2461="","",'ATP Fills'!G2461)</f>
        <v/>
      </c>
      <c r="G2461" t="str">
        <f>IF(A2461="","",'ATP Fills'!H2461)</f>
        <v/>
      </c>
      <c r="H2461" t="str">
        <f>IF(A2461="","",VLOOKUP(G2461,表3_3[],2,0))</f>
        <v/>
      </c>
      <c r="I2461" t="str">
        <f>IF(A2461="","",VLOOKUP(G2461,表3_3[],3,0))</f>
        <v/>
      </c>
      <c r="J2461" t="str">
        <f>IF(A2461="","",IF('ATP Fills'!I2461="3M","",VLOOKUP(RIGHT('ATP Fills'!I2461,2),Helper1!$O$36:$P$48,2,0)))</f>
        <v/>
      </c>
      <c r="K2461" t="str">
        <f>IF(J2461="","",LEFT('ATP Fills'!I2461,4))</f>
        <v/>
      </c>
      <c r="L2461" t="str">
        <f>IF(A2461="","",IF('ATP Fills'!G2461="LME",'ATP Fills'!I2461,""))</f>
        <v/>
      </c>
      <c r="M2461" t="str">
        <f t="shared" si="38"/>
        <v/>
      </c>
    </row>
    <row r="2462" spans="1:13">
      <c r="A2462" t="str">
        <f>IF('ATP Fills'!A2462="","",IF('ATP Fills'!Q2462="PHILLIPSG",'ATP Fills'!F2462,""))</f>
        <v/>
      </c>
      <c r="B2462" t="str">
        <f>IF(A2462="","",'ATP Fills'!L2462)</f>
        <v/>
      </c>
      <c r="C2462" t="str">
        <f>IF(A2462="","",'ATP Fills'!M2462)</f>
        <v/>
      </c>
      <c r="D2462" t="str">
        <f>IF(A2462="","",'ATP Fills'!B2462)</f>
        <v/>
      </c>
      <c r="E2462" s="3" t="str">
        <f>IF(A2462="","",IF(DATE(LEFT(D2462,4),MID(D2462,5,2),RIGHT(D2462,2))=Helper1!$P$1,Helper1!$P$1,""))</f>
        <v/>
      </c>
      <c r="F2462" s="3" t="str">
        <f>IF(A2462="","",'ATP Fills'!G2462)</f>
        <v/>
      </c>
      <c r="G2462" t="str">
        <f>IF(A2462="","",'ATP Fills'!H2462)</f>
        <v/>
      </c>
      <c r="H2462" t="str">
        <f>IF(A2462="","",VLOOKUP(G2462,表3_3[],2,0))</f>
        <v/>
      </c>
      <c r="I2462" t="str">
        <f>IF(A2462="","",VLOOKUP(G2462,表3_3[],3,0))</f>
        <v/>
      </c>
      <c r="J2462" t="str">
        <f>IF(A2462="","",IF('ATP Fills'!I2462="3M","",VLOOKUP(RIGHT('ATP Fills'!I2462,2),Helper1!$O$36:$P$48,2,0)))</f>
        <v/>
      </c>
      <c r="K2462" t="str">
        <f>IF(J2462="","",LEFT('ATP Fills'!I2462,4))</f>
        <v/>
      </c>
      <c r="L2462" t="str">
        <f>IF(A2462="","",IF('ATP Fills'!G2462="LME",'ATP Fills'!I2462,""))</f>
        <v/>
      </c>
      <c r="M2462" t="str">
        <f t="shared" si="38"/>
        <v/>
      </c>
    </row>
    <row r="2463" spans="1:13">
      <c r="A2463" t="str">
        <f>IF('ATP Fills'!A2463="","",IF('ATP Fills'!Q2463="PHILLIPSG",'ATP Fills'!F2463,""))</f>
        <v/>
      </c>
      <c r="B2463" t="str">
        <f>IF(A2463="","",'ATP Fills'!L2463)</f>
        <v/>
      </c>
      <c r="C2463" t="str">
        <f>IF(A2463="","",'ATP Fills'!M2463)</f>
        <v/>
      </c>
      <c r="D2463" t="str">
        <f>IF(A2463="","",'ATP Fills'!B2463)</f>
        <v/>
      </c>
      <c r="E2463" s="3" t="str">
        <f>IF(A2463="","",IF(DATE(LEFT(D2463,4),MID(D2463,5,2),RIGHT(D2463,2))=Helper1!$P$1,Helper1!$P$1,""))</f>
        <v/>
      </c>
      <c r="F2463" s="3" t="str">
        <f>IF(A2463="","",'ATP Fills'!G2463)</f>
        <v/>
      </c>
      <c r="G2463" t="str">
        <f>IF(A2463="","",'ATP Fills'!H2463)</f>
        <v/>
      </c>
      <c r="H2463" t="str">
        <f>IF(A2463="","",VLOOKUP(G2463,表3_3[],2,0))</f>
        <v/>
      </c>
      <c r="I2463" t="str">
        <f>IF(A2463="","",VLOOKUP(G2463,表3_3[],3,0))</f>
        <v/>
      </c>
      <c r="J2463" t="str">
        <f>IF(A2463="","",IF('ATP Fills'!I2463="3M","",VLOOKUP(RIGHT('ATP Fills'!I2463,2),Helper1!$O$36:$P$48,2,0)))</f>
        <v/>
      </c>
      <c r="K2463" t="str">
        <f>IF(J2463="","",LEFT('ATP Fills'!I2463,4))</f>
        <v/>
      </c>
      <c r="L2463" t="str">
        <f>IF(A2463="","",IF('ATP Fills'!G2463="LME",'ATP Fills'!I2463,""))</f>
        <v/>
      </c>
      <c r="M2463" t="str">
        <f t="shared" si="38"/>
        <v/>
      </c>
    </row>
    <row r="2464" spans="1:13">
      <c r="A2464" t="str">
        <f>IF('ATP Fills'!A2464="","",IF('ATP Fills'!Q2464="PHILLIPSG",'ATP Fills'!F2464,""))</f>
        <v/>
      </c>
      <c r="B2464" t="str">
        <f>IF(A2464="","",'ATP Fills'!L2464)</f>
        <v/>
      </c>
      <c r="C2464" t="str">
        <f>IF(A2464="","",'ATP Fills'!M2464)</f>
        <v/>
      </c>
      <c r="D2464" t="str">
        <f>IF(A2464="","",'ATP Fills'!B2464)</f>
        <v/>
      </c>
      <c r="E2464" s="3" t="str">
        <f>IF(A2464="","",IF(DATE(LEFT(D2464,4),MID(D2464,5,2),RIGHT(D2464,2))=Helper1!$P$1,Helper1!$P$1,""))</f>
        <v/>
      </c>
      <c r="F2464" s="3" t="str">
        <f>IF(A2464="","",'ATP Fills'!G2464)</f>
        <v/>
      </c>
      <c r="G2464" t="str">
        <f>IF(A2464="","",'ATP Fills'!H2464)</f>
        <v/>
      </c>
      <c r="H2464" t="str">
        <f>IF(A2464="","",VLOOKUP(G2464,表3_3[],2,0))</f>
        <v/>
      </c>
      <c r="I2464" t="str">
        <f>IF(A2464="","",VLOOKUP(G2464,表3_3[],3,0))</f>
        <v/>
      </c>
      <c r="J2464" t="str">
        <f>IF(A2464="","",IF('ATP Fills'!I2464="3M","",VLOOKUP(RIGHT('ATP Fills'!I2464,2),Helper1!$O$36:$P$48,2,0)))</f>
        <v/>
      </c>
      <c r="K2464" t="str">
        <f>IF(J2464="","",LEFT('ATP Fills'!I2464,4))</f>
        <v/>
      </c>
      <c r="L2464" t="str">
        <f>IF(A2464="","",IF('ATP Fills'!G2464="LME",'ATP Fills'!I2464,""))</f>
        <v/>
      </c>
      <c r="M2464" t="str">
        <f t="shared" si="38"/>
        <v/>
      </c>
    </row>
    <row r="2465" spans="1:13">
      <c r="A2465" t="str">
        <f>IF('ATP Fills'!A2465="","",IF('ATP Fills'!Q2465="PHILLIPSG",'ATP Fills'!F2465,""))</f>
        <v/>
      </c>
      <c r="B2465" t="str">
        <f>IF(A2465="","",'ATP Fills'!L2465)</f>
        <v/>
      </c>
      <c r="C2465" t="str">
        <f>IF(A2465="","",'ATP Fills'!M2465)</f>
        <v/>
      </c>
      <c r="D2465" t="str">
        <f>IF(A2465="","",'ATP Fills'!B2465)</f>
        <v/>
      </c>
      <c r="E2465" s="3" t="str">
        <f>IF(A2465="","",IF(DATE(LEFT(D2465,4),MID(D2465,5,2),RIGHT(D2465,2))=Helper1!$P$1,Helper1!$P$1,""))</f>
        <v/>
      </c>
      <c r="F2465" s="3" t="str">
        <f>IF(A2465="","",'ATP Fills'!G2465)</f>
        <v/>
      </c>
      <c r="G2465" t="str">
        <f>IF(A2465="","",'ATP Fills'!H2465)</f>
        <v/>
      </c>
      <c r="H2465" t="str">
        <f>IF(A2465="","",VLOOKUP(G2465,表3_3[],2,0))</f>
        <v/>
      </c>
      <c r="I2465" t="str">
        <f>IF(A2465="","",VLOOKUP(G2465,表3_3[],3,0))</f>
        <v/>
      </c>
      <c r="J2465" t="str">
        <f>IF(A2465="","",IF('ATP Fills'!I2465="3M","",VLOOKUP(RIGHT('ATP Fills'!I2465,2),Helper1!$O$36:$P$48,2,0)))</f>
        <v/>
      </c>
      <c r="K2465" t="str">
        <f>IF(J2465="","",LEFT('ATP Fills'!I2465,4))</f>
        <v/>
      </c>
      <c r="L2465" t="str">
        <f>IF(A2465="","",IF('ATP Fills'!G2465="LME",'ATP Fills'!I2465,""))</f>
        <v/>
      </c>
      <c r="M2465" t="str">
        <f t="shared" si="38"/>
        <v/>
      </c>
    </row>
    <row r="2466" spans="1:13">
      <c r="A2466" t="str">
        <f>IF('ATP Fills'!A2466="","",IF('ATP Fills'!Q2466="PHILLIPSG",'ATP Fills'!F2466,""))</f>
        <v/>
      </c>
      <c r="B2466" t="str">
        <f>IF(A2466="","",'ATP Fills'!L2466)</f>
        <v/>
      </c>
      <c r="C2466" t="str">
        <f>IF(A2466="","",'ATP Fills'!M2466)</f>
        <v/>
      </c>
      <c r="D2466" t="str">
        <f>IF(A2466="","",'ATP Fills'!B2466)</f>
        <v/>
      </c>
      <c r="E2466" s="3" t="str">
        <f>IF(A2466="","",IF(DATE(LEFT(D2466,4),MID(D2466,5,2),RIGHT(D2466,2))=Helper1!$P$1,Helper1!$P$1,""))</f>
        <v/>
      </c>
      <c r="F2466" s="3" t="str">
        <f>IF(A2466="","",'ATP Fills'!G2466)</f>
        <v/>
      </c>
      <c r="G2466" t="str">
        <f>IF(A2466="","",'ATP Fills'!H2466)</f>
        <v/>
      </c>
      <c r="H2466" t="str">
        <f>IF(A2466="","",VLOOKUP(G2466,表3_3[],2,0))</f>
        <v/>
      </c>
      <c r="I2466" t="str">
        <f>IF(A2466="","",VLOOKUP(G2466,表3_3[],3,0))</f>
        <v/>
      </c>
      <c r="J2466" t="str">
        <f>IF(A2466="","",IF('ATP Fills'!I2466="3M","",VLOOKUP(RIGHT('ATP Fills'!I2466,2),Helper1!$O$36:$P$48,2,0)))</f>
        <v/>
      </c>
      <c r="K2466" t="str">
        <f>IF(J2466="","",LEFT('ATP Fills'!I2466,4))</f>
        <v/>
      </c>
      <c r="L2466" t="str">
        <f>IF(A2466="","",IF('ATP Fills'!G2466="LME",'ATP Fills'!I2466,""))</f>
        <v/>
      </c>
      <c r="M2466" t="str">
        <f t="shared" si="38"/>
        <v/>
      </c>
    </row>
    <row r="2467" spans="1:13">
      <c r="A2467" t="str">
        <f>IF('ATP Fills'!A2467="","",IF('ATP Fills'!Q2467="PHILLIPSG",'ATP Fills'!F2467,""))</f>
        <v/>
      </c>
      <c r="B2467" t="str">
        <f>IF(A2467="","",'ATP Fills'!L2467)</f>
        <v/>
      </c>
      <c r="C2467" t="str">
        <f>IF(A2467="","",'ATP Fills'!M2467)</f>
        <v/>
      </c>
      <c r="D2467" t="str">
        <f>IF(A2467="","",'ATP Fills'!B2467)</f>
        <v/>
      </c>
      <c r="E2467" s="3" t="str">
        <f>IF(A2467="","",IF(DATE(LEFT(D2467,4),MID(D2467,5,2),RIGHT(D2467,2))=Helper1!$P$1,Helper1!$P$1,""))</f>
        <v/>
      </c>
      <c r="F2467" s="3" t="str">
        <f>IF(A2467="","",'ATP Fills'!G2467)</f>
        <v/>
      </c>
      <c r="G2467" t="str">
        <f>IF(A2467="","",'ATP Fills'!H2467)</f>
        <v/>
      </c>
      <c r="H2467" t="str">
        <f>IF(A2467="","",VLOOKUP(G2467,表3_3[],2,0))</f>
        <v/>
      </c>
      <c r="I2467" t="str">
        <f>IF(A2467="","",VLOOKUP(G2467,表3_3[],3,0))</f>
        <v/>
      </c>
      <c r="J2467" t="str">
        <f>IF(A2467="","",IF('ATP Fills'!I2467="3M","",VLOOKUP(RIGHT('ATP Fills'!I2467,2),Helper1!$O$36:$P$48,2,0)))</f>
        <v/>
      </c>
      <c r="K2467" t="str">
        <f>IF(J2467="","",LEFT('ATP Fills'!I2467,4))</f>
        <v/>
      </c>
      <c r="L2467" t="str">
        <f>IF(A2467="","",IF('ATP Fills'!G2467="LME",'ATP Fills'!I2467,""))</f>
        <v/>
      </c>
      <c r="M2467" t="str">
        <f t="shared" si="38"/>
        <v/>
      </c>
    </row>
    <row r="2468" spans="1:13">
      <c r="A2468" t="str">
        <f>IF('ATP Fills'!A2468="","",IF('ATP Fills'!Q2468="PHILLIPSG",'ATP Fills'!F2468,""))</f>
        <v/>
      </c>
      <c r="B2468" t="str">
        <f>IF(A2468="","",'ATP Fills'!L2468)</f>
        <v/>
      </c>
      <c r="C2468" t="str">
        <f>IF(A2468="","",'ATP Fills'!M2468)</f>
        <v/>
      </c>
      <c r="D2468" t="str">
        <f>IF(A2468="","",'ATP Fills'!B2468)</f>
        <v/>
      </c>
      <c r="E2468" s="3" t="str">
        <f>IF(A2468="","",IF(DATE(LEFT(D2468,4),MID(D2468,5,2),RIGHT(D2468,2))=Helper1!$P$1,Helper1!$P$1,""))</f>
        <v/>
      </c>
      <c r="F2468" s="3" t="str">
        <f>IF(A2468="","",'ATP Fills'!G2468)</f>
        <v/>
      </c>
      <c r="G2468" t="str">
        <f>IF(A2468="","",'ATP Fills'!H2468)</f>
        <v/>
      </c>
      <c r="H2468" t="str">
        <f>IF(A2468="","",VLOOKUP(G2468,表3_3[],2,0))</f>
        <v/>
      </c>
      <c r="I2468" t="str">
        <f>IF(A2468="","",VLOOKUP(G2468,表3_3[],3,0))</f>
        <v/>
      </c>
      <c r="J2468" t="str">
        <f>IF(A2468="","",IF('ATP Fills'!I2468="3M","",VLOOKUP(RIGHT('ATP Fills'!I2468,2),Helper1!$O$36:$P$48,2,0)))</f>
        <v/>
      </c>
      <c r="K2468" t="str">
        <f>IF(J2468="","",LEFT('ATP Fills'!I2468,4))</f>
        <v/>
      </c>
      <c r="L2468" t="str">
        <f>IF(A2468="","",IF('ATP Fills'!G2468="LME",'ATP Fills'!I2468,""))</f>
        <v/>
      </c>
      <c r="M2468" t="str">
        <f t="shared" si="38"/>
        <v/>
      </c>
    </row>
    <row r="2469" spans="1:13">
      <c r="A2469" t="str">
        <f>IF('ATP Fills'!A2469="","",IF('ATP Fills'!Q2469="PHILLIPSG",'ATP Fills'!F2469,""))</f>
        <v/>
      </c>
      <c r="B2469" t="str">
        <f>IF(A2469="","",'ATP Fills'!L2469)</f>
        <v/>
      </c>
      <c r="C2469" t="str">
        <f>IF(A2469="","",'ATP Fills'!M2469)</f>
        <v/>
      </c>
      <c r="D2469" t="str">
        <f>IF(A2469="","",'ATP Fills'!B2469)</f>
        <v/>
      </c>
      <c r="E2469" s="3" t="str">
        <f>IF(A2469="","",IF(DATE(LEFT(D2469,4),MID(D2469,5,2),RIGHT(D2469,2))=Helper1!$P$1,Helper1!$P$1,""))</f>
        <v/>
      </c>
      <c r="F2469" s="3" t="str">
        <f>IF(A2469="","",'ATP Fills'!G2469)</f>
        <v/>
      </c>
      <c r="G2469" t="str">
        <f>IF(A2469="","",'ATP Fills'!H2469)</f>
        <v/>
      </c>
      <c r="H2469" t="str">
        <f>IF(A2469="","",VLOOKUP(G2469,表3_3[],2,0))</f>
        <v/>
      </c>
      <c r="I2469" t="str">
        <f>IF(A2469="","",VLOOKUP(G2469,表3_3[],3,0))</f>
        <v/>
      </c>
      <c r="J2469" t="str">
        <f>IF(A2469="","",IF('ATP Fills'!I2469="3M","",VLOOKUP(RIGHT('ATP Fills'!I2469,2),Helper1!$O$36:$P$48,2,0)))</f>
        <v/>
      </c>
      <c r="K2469" t="str">
        <f>IF(J2469="","",LEFT('ATP Fills'!I2469,4))</f>
        <v/>
      </c>
      <c r="L2469" t="str">
        <f>IF(A2469="","",IF('ATP Fills'!G2469="LME",'ATP Fills'!I2469,""))</f>
        <v/>
      </c>
      <c r="M2469" t="str">
        <f t="shared" si="38"/>
        <v/>
      </c>
    </row>
    <row r="2470" spans="1:13">
      <c r="A2470" t="str">
        <f>IF('ATP Fills'!A2470="","",IF('ATP Fills'!Q2470="PHILLIPSG",'ATP Fills'!F2470,""))</f>
        <v/>
      </c>
      <c r="B2470" t="str">
        <f>IF(A2470="","",'ATP Fills'!L2470)</f>
        <v/>
      </c>
      <c r="C2470" t="str">
        <f>IF(A2470="","",'ATP Fills'!M2470)</f>
        <v/>
      </c>
      <c r="D2470" t="str">
        <f>IF(A2470="","",'ATP Fills'!B2470)</f>
        <v/>
      </c>
      <c r="E2470" s="3" t="str">
        <f>IF(A2470="","",IF(DATE(LEFT(D2470,4),MID(D2470,5,2),RIGHT(D2470,2))=Helper1!$P$1,Helper1!$P$1,""))</f>
        <v/>
      </c>
      <c r="F2470" s="3" t="str">
        <f>IF(A2470="","",'ATP Fills'!G2470)</f>
        <v/>
      </c>
      <c r="G2470" t="str">
        <f>IF(A2470="","",'ATP Fills'!H2470)</f>
        <v/>
      </c>
      <c r="H2470" t="str">
        <f>IF(A2470="","",VLOOKUP(G2470,表3_3[],2,0))</f>
        <v/>
      </c>
      <c r="I2470" t="str">
        <f>IF(A2470="","",VLOOKUP(G2470,表3_3[],3,0))</f>
        <v/>
      </c>
      <c r="J2470" t="str">
        <f>IF(A2470="","",IF('ATP Fills'!I2470="3M","",VLOOKUP(RIGHT('ATP Fills'!I2470,2),Helper1!$O$36:$P$48,2,0)))</f>
        <v/>
      </c>
      <c r="K2470" t="str">
        <f>IF(J2470="","",LEFT('ATP Fills'!I2470,4))</f>
        <v/>
      </c>
      <c r="L2470" t="str">
        <f>IF(A2470="","",IF('ATP Fills'!G2470="LME",'ATP Fills'!I2470,""))</f>
        <v/>
      </c>
      <c r="M2470" t="str">
        <f t="shared" si="38"/>
        <v/>
      </c>
    </row>
    <row r="2471" spans="1:13">
      <c r="A2471" t="str">
        <f>IF('ATP Fills'!A2471="","",IF('ATP Fills'!Q2471="PHILLIPSG",'ATP Fills'!F2471,""))</f>
        <v/>
      </c>
      <c r="B2471" t="str">
        <f>IF(A2471="","",'ATP Fills'!L2471)</f>
        <v/>
      </c>
      <c r="C2471" t="str">
        <f>IF(A2471="","",'ATP Fills'!M2471)</f>
        <v/>
      </c>
      <c r="D2471" t="str">
        <f>IF(A2471="","",'ATP Fills'!B2471)</f>
        <v/>
      </c>
      <c r="E2471" s="3" t="str">
        <f>IF(A2471="","",IF(DATE(LEFT(D2471,4),MID(D2471,5,2),RIGHT(D2471,2))=Helper1!$P$1,Helper1!$P$1,""))</f>
        <v/>
      </c>
      <c r="F2471" s="3" t="str">
        <f>IF(A2471="","",'ATP Fills'!G2471)</f>
        <v/>
      </c>
      <c r="G2471" t="str">
        <f>IF(A2471="","",'ATP Fills'!H2471)</f>
        <v/>
      </c>
      <c r="H2471" t="str">
        <f>IF(A2471="","",VLOOKUP(G2471,表3_3[],2,0))</f>
        <v/>
      </c>
      <c r="I2471" t="str">
        <f>IF(A2471="","",VLOOKUP(G2471,表3_3[],3,0))</f>
        <v/>
      </c>
      <c r="J2471" t="str">
        <f>IF(A2471="","",IF('ATP Fills'!I2471="3M","",VLOOKUP(RIGHT('ATP Fills'!I2471,2),Helper1!$O$36:$P$48,2,0)))</f>
        <v/>
      </c>
      <c r="K2471" t="str">
        <f>IF(J2471="","",LEFT('ATP Fills'!I2471,4))</f>
        <v/>
      </c>
      <c r="L2471" t="str">
        <f>IF(A2471="","",IF('ATP Fills'!G2471="LME",'ATP Fills'!I2471,""))</f>
        <v/>
      </c>
      <c r="M2471" t="str">
        <f t="shared" si="38"/>
        <v/>
      </c>
    </row>
    <row r="2472" spans="1:13">
      <c r="A2472" t="str">
        <f>IF('ATP Fills'!A2472="","",IF('ATP Fills'!Q2472="PHILLIPSG",'ATP Fills'!F2472,""))</f>
        <v/>
      </c>
      <c r="B2472" t="str">
        <f>IF(A2472="","",'ATP Fills'!L2472)</f>
        <v/>
      </c>
      <c r="C2472" t="str">
        <f>IF(A2472="","",'ATP Fills'!M2472)</f>
        <v/>
      </c>
      <c r="D2472" t="str">
        <f>IF(A2472="","",'ATP Fills'!B2472)</f>
        <v/>
      </c>
      <c r="E2472" s="3" t="str">
        <f>IF(A2472="","",IF(DATE(LEFT(D2472,4),MID(D2472,5,2),RIGHT(D2472,2))=Helper1!$P$1,Helper1!$P$1,""))</f>
        <v/>
      </c>
      <c r="F2472" s="3" t="str">
        <f>IF(A2472="","",'ATP Fills'!G2472)</f>
        <v/>
      </c>
      <c r="G2472" t="str">
        <f>IF(A2472="","",'ATP Fills'!H2472)</f>
        <v/>
      </c>
      <c r="H2472" t="str">
        <f>IF(A2472="","",VLOOKUP(G2472,表3_3[],2,0))</f>
        <v/>
      </c>
      <c r="I2472" t="str">
        <f>IF(A2472="","",VLOOKUP(G2472,表3_3[],3,0))</f>
        <v/>
      </c>
      <c r="J2472" t="str">
        <f>IF(A2472="","",IF('ATP Fills'!I2472="3M","",VLOOKUP(RIGHT('ATP Fills'!I2472,2),Helper1!$O$36:$P$48,2,0)))</f>
        <v/>
      </c>
      <c r="K2472" t="str">
        <f>IF(J2472="","",LEFT('ATP Fills'!I2472,4))</f>
        <v/>
      </c>
      <c r="L2472" t="str">
        <f>IF(A2472="","",IF('ATP Fills'!G2472="LME",'ATP Fills'!I2472,""))</f>
        <v/>
      </c>
      <c r="M2472" t="str">
        <f t="shared" si="38"/>
        <v/>
      </c>
    </row>
    <row r="2473" spans="1:13">
      <c r="A2473" t="str">
        <f>IF('ATP Fills'!A2473="","",IF('ATP Fills'!Q2473="PHILLIPSG",'ATP Fills'!F2473,""))</f>
        <v/>
      </c>
      <c r="B2473" t="str">
        <f>IF(A2473="","",'ATP Fills'!L2473)</f>
        <v/>
      </c>
      <c r="C2473" t="str">
        <f>IF(A2473="","",'ATP Fills'!M2473)</f>
        <v/>
      </c>
      <c r="D2473" t="str">
        <f>IF(A2473="","",'ATP Fills'!B2473)</f>
        <v/>
      </c>
      <c r="E2473" s="3" t="str">
        <f>IF(A2473="","",IF(DATE(LEFT(D2473,4),MID(D2473,5,2),RIGHT(D2473,2))=Helper1!$P$1,Helper1!$P$1,""))</f>
        <v/>
      </c>
      <c r="F2473" s="3" t="str">
        <f>IF(A2473="","",'ATP Fills'!G2473)</f>
        <v/>
      </c>
      <c r="G2473" t="str">
        <f>IF(A2473="","",'ATP Fills'!H2473)</f>
        <v/>
      </c>
      <c r="H2473" t="str">
        <f>IF(A2473="","",VLOOKUP(G2473,表3_3[],2,0))</f>
        <v/>
      </c>
      <c r="I2473" t="str">
        <f>IF(A2473="","",VLOOKUP(G2473,表3_3[],3,0))</f>
        <v/>
      </c>
      <c r="J2473" t="str">
        <f>IF(A2473="","",IF('ATP Fills'!I2473="3M","",VLOOKUP(RIGHT('ATP Fills'!I2473,2),Helper1!$O$36:$P$48,2,0)))</f>
        <v/>
      </c>
      <c r="K2473" t="str">
        <f>IF(J2473="","",LEFT('ATP Fills'!I2473,4))</f>
        <v/>
      </c>
      <c r="L2473" t="str">
        <f>IF(A2473="","",IF('ATP Fills'!G2473="LME",'ATP Fills'!I2473,""))</f>
        <v/>
      </c>
      <c r="M2473" t="str">
        <f t="shared" si="38"/>
        <v/>
      </c>
    </row>
    <row r="2474" spans="1:13">
      <c r="A2474" t="str">
        <f>IF('ATP Fills'!A2474="","",IF('ATP Fills'!Q2474="PHILLIPSG",'ATP Fills'!F2474,""))</f>
        <v/>
      </c>
      <c r="B2474" t="str">
        <f>IF(A2474="","",'ATP Fills'!L2474)</f>
        <v/>
      </c>
      <c r="C2474" t="str">
        <f>IF(A2474="","",'ATP Fills'!M2474)</f>
        <v/>
      </c>
      <c r="D2474" t="str">
        <f>IF(A2474="","",'ATP Fills'!B2474)</f>
        <v/>
      </c>
      <c r="E2474" s="3" t="str">
        <f>IF(A2474="","",IF(DATE(LEFT(D2474,4),MID(D2474,5,2),RIGHT(D2474,2))=Helper1!$P$1,Helper1!$P$1,""))</f>
        <v/>
      </c>
      <c r="F2474" s="3" t="str">
        <f>IF(A2474="","",'ATP Fills'!G2474)</f>
        <v/>
      </c>
      <c r="G2474" t="str">
        <f>IF(A2474="","",'ATP Fills'!H2474)</f>
        <v/>
      </c>
      <c r="H2474" t="str">
        <f>IF(A2474="","",VLOOKUP(G2474,表3_3[],2,0))</f>
        <v/>
      </c>
      <c r="I2474" t="str">
        <f>IF(A2474="","",VLOOKUP(G2474,表3_3[],3,0))</f>
        <v/>
      </c>
      <c r="J2474" t="str">
        <f>IF(A2474="","",IF('ATP Fills'!I2474="3M","",VLOOKUP(RIGHT('ATP Fills'!I2474,2),Helper1!$O$36:$P$48,2,0)))</f>
        <v/>
      </c>
      <c r="K2474" t="str">
        <f>IF(J2474="","",LEFT('ATP Fills'!I2474,4))</f>
        <v/>
      </c>
      <c r="L2474" t="str">
        <f>IF(A2474="","",IF('ATP Fills'!G2474="LME",'ATP Fills'!I2474,""))</f>
        <v/>
      </c>
      <c r="M2474" t="str">
        <f t="shared" si="38"/>
        <v/>
      </c>
    </row>
    <row r="2475" spans="1:13">
      <c r="A2475" t="str">
        <f>IF('ATP Fills'!A2475="","",IF('ATP Fills'!Q2475="PHILLIPSG",'ATP Fills'!F2475,""))</f>
        <v/>
      </c>
      <c r="B2475" t="str">
        <f>IF(A2475="","",'ATP Fills'!L2475)</f>
        <v/>
      </c>
      <c r="C2475" t="str">
        <f>IF(A2475="","",'ATP Fills'!M2475)</f>
        <v/>
      </c>
      <c r="D2475" t="str">
        <f>IF(A2475="","",'ATP Fills'!B2475)</f>
        <v/>
      </c>
      <c r="E2475" s="3" t="str">
        <f>IF(A2475="","",IF(DATE(LEFT(D2475,4),MID(D2475,5,2),RIGHT(D2475,2))=Helper1!$P$1,Helper1!$P$1,""))</f>
        <v/>
      </c>
      <c r="F2475" s="3" t="str">
        <f>IF(A2475="","",'ATP Fills'!G2475)</f>
        <v/>
      </c>
      <c r="G2475" t="str">
        <f>IF(A2475="","",'ATP Fills'!H2475)</f>
        <v/>
      </c>
      <c r="H2475" t="str">
        <f>IF(A2475="","",VLOOKUP(G2475,表3_3[],2,0))</f>
        <v/>
      </c>
      <c r="I2475" t="str">
        <f>IF(A2475="","",VLOOKUP(G2475,表3_3[],3,0))</f>
        <v/>
      </c>
      <c r="J2475" t="str">
        <f>IF(A2475="","",IF('ATP Fills'!I2475="3M","",VLOOKUP(RIGHT('ATP Fills'!I2475,2),Helper1!$O$36:$P$48,2,0)))</f>
        <v/>
      </c>
      <c r="K2475" t="str">
        <f>IF(J2475="","",LEFT('ATP Fills'!I2475,4))</f>
        <v/>
      </c>
      <c r="L2475" t="str">
        <f>IF(A2475="","",IF('ATP Fills'!G2475="LME",'ATP Fills'!I2475,""))</f>
        <v/>
      </c>
      <c r="M2475" t="str">
        <f t="shared" si="38"/>
        <v/>
      </c>
    </row>
    <row r="2476" spans="1:13">
      <c r="A2476" t="str">
        <f>IF('ATP Fills'!A2476="","",IF('ATP Fills'!Q2476="PHILLIPSG",'ATP Fills'!F2476,""))</f>
        <v/>
      </c>
      <c r="B2476" t="str">
        <f>IF(A2476="","",'ATP Fills'!L2476)</f>
        <v/>
      </c>
      <c r="C2476" t="str">
        <f>IF(A2476="","",'ATP Fills'!M2476)</f>
        <v/>
      </c>
      <c r="D2476" t="str">
        <f>IF(A2476="","",'ATP Fills'!B2476)</f>
        <v/>
      </c>
      <c r="E2476" s="3" t="str">
        <f>IF(A2476="","",IF(DATE(LEFT(D2476,4),MID(D2476,5,2),RIGHT(D2476,2))=Helper1!$P$1,Helper1!$P$1,""))</f>
        <v/>
      </c>
      <c r="F2476" s="3" t="str">
        <f>IF(A2476="","",'ATP Fills'!G2476)</f>
        <v/>
      </c>
      <c r="G2476" t="str">
        <f>IF(A2476="","",'ATP Fills'!H2476)</f>
        <v/>
      </c>
      <c r="H2476" t="str">
        <f>IF(A2476="","",VLOOKUP(G2476,表3_3[],2,0))</f>
        <v/>
      </c>
      <c r="I2476" t="str">
        <f>IF(A2476="","",VLOOKUP(G2476,表3_3[],3,0))</f>
        <v/>
      </c>
      <c r="J2476" t="str">
        <f>IF(A2476="","",IF('ATP Fills'!I2476="3M","",VLOOKUP(RIGHT('ATP Fills'!I2476,2),Helper1!$O$36:$P$48,2,0)))</f>
        <v/>
      </c>
      <c r="K2476" t="str">
        <f>IF(J2476="","",LEFT('ATP Fills'!I2476,4))</f>
        <v/>
      </c>
      <c r="L2476" t="str">
        <f>IF(A2476="","",IF('ATP Fills'!G2476="LME",'ATP Fills'!I2476,""))</f>
        <v/>
      </c>
      <c r="M2476" t="str">
        <f t="shared" si="38"/>
        <v/>
      </c>
    </row>
    <row r="2477" spans="1:13">
      <c r="A2477" t="str">
        <f>IF('ATP Fills'!A2477="","",IF('ATP Fills'!Q2477="PHILLIPSG",'ATP Fills'!F2477,""))</f>
        <v/>
      </c>
      <c r="B2477" t="str">
        <f>IF(A2477="","",'ATP Fills'!L2477)</f>
        <v/>
      </c>
      <c r="C2477" t="str">
        <f>IF(A2477="","",'ATP Fills'!M2477)</f>
        <v/>
      </c>
      <c r="D2477" t="str">
        <f>IF(A2477="","",'ATP Fills'!B2477)</f>
        <v/>
      </c>
      <c r="E2477" s="3" t="str">
        <f>IF(A2477="","",IF(DATE(LEFT(D2477,4),MID(D2477,5,2),RIGHT(D2477,2))=Helper1!$P$1,Helper1!$P$1,""))</f>
        <v/>
      </c>
      <c r="F2477" s="3" t="str">
        <f>IF(A2477="","",'ATP Fills'!G2477)</f>
        <v/>
      </c>
      <c r="G2477" t="str">
        <f>IF(A2477="","",'ATP Fills'!H2477)</f>
        <v/>
      </c>
      <c r="H2477" t="str">
        <f>IF(A2477="","",VLOOKUP(G2477,表3_3[],2,0))</f>
        <v/>
      </c>
      <c r="I2477" t="str">
        <f>IF(A2477="","",VLOOKUP(G2477,表3_3[],3,0))</f>
        <v/>
      </c>
      <c r="J2477" t="str">
        <f>IF(A2477="","",IF('ATP Fills'!I2477="3M","",VLOOKUP(RIGHT('ATP Fills'!I2477,2),Helper1!$O$36:$P$48,2,0)))</f>
        <v/>
      </c>
      <c r="K2477" t="str">
        <f>IF(J2477="","",LEFT('ATP Fills'!I2477,4))</f>
        <v/>
      </c>
      <c r="L2477" t="str">
        <f>IF(A2477="","",IF('ATP Fills'!G2477="LME",'ATP Fills'!I2477,""))</f>
        <v/>
      </c>
      <c r="M2477" t="str">
        <f t="shared" si="38"/>
        <v/>
      </c>
    </row>
    <row r="2478" spans="1:13">
      <c r="A2478" t="str">
        <f>IF('ATP Fills'!A2478="","",IF('ATP Fills'!Q2478="PHILLIPSG",'ATP Fills'!F2478,""))</f>
        <v/>
      </c>
      <c r="B2478" t="str">
        <f>IF(A2478="","",'ATP Fills'!L2478)</f>
        <v/>
      </c>
      <c r="C2478" t="str">
        <f>IF(A2478="","",'ATP Fills'!M2478)</f>
        <v/>
      </c>
      <c r="D2478" t="str">
        <f>IF(A2478="","",'ATP Fills'!B2478)</f>
        <v/>
      </c>
      <c r="E2478" s="3" t="str">
        <f>IF(A2478="","",IF(DATE(LEFT(D2478,4),MID(D2478,5,2),RIGHT(D2478,2))=Helper1!$P$1,Helper1!$P$1,""))</f>
        <v/>
      </c>
      <c r="F2478" s="3" t="str">
        <f>IF(A2478="","",'ATP Fills'!G2478)</f>
        <v/>
      </c>
      <c r="G2478" t="str">
        <f>IF(A2478="","",'ATP Fills'!H2478)</f>
        <v/>
      </c>
      <c r="H2478" t="str">
        <f>IF(A2478="","",VLOOKUP(G2478,表3_3[],2,0))</f>
        <v/>
      </c>
      <c r="I2478" t="str">
        <f>IF(A2478="","",VLOOKUP(G2478,表3_3[],3,0))</f>
        <v/>
      </c>
      <c r="J2478" t="str">
        <f>IF(A2478="","",IF('ATP Fills'!I2478="3M","",VLOOKUP(RIGHT('ATP Fills'!I2478,2),Helper1!$O$36:$P$48,2,0)))</f>
        <v/>
      </c>
      <c r="K2478" t="str">
        <f>IF(J2478="","",LEFT('ATP Fills'!I2478,4))</f>
        <v/>
      </c>
      <c r="L2478" t="str">
        <f>IF(A2478="","",IF('ATP Fills'!G2478="LME",'ATP Fills'!I2478,""))</f>
        <v/>
      </c>
      <c r="M2478" t="str">
        <f t="shared" si="38"/>
        <v/>
      </c>
    </row>
    <row r="2479" spans="1:13">
      <c r="A2479" t="str">
        <f>IF('ATP Fills'!A2479="","",IF('ATP Fills'!Q2479="PHILLIPSG",'ATP Fills'!F2479,""))</f>
        <v/>
      </c>
      <c r="B2479" t="str">
        <f>IF(A2479="","",'ATP Fills'!L2479)</f>
        <v/>
      </c>
      <c r="C2479" t="str">
        <f>IF(A2479="","",'ATP Fills'!M2479)</f>
        <v/>
      </c>
      <c r="D2479" t="str">
        <f>IF(A2479="","",'ATP Fills'!B2479)</f>
        <v/>
      </c>
      <c r="E2479" s="3" t="str">
        <f>IF(A2479="","",IF(DATE(LEFT(D2479,4),MID(D2479,5,2),RIGHT(D2479,2))=Helper1!$P$1,Helper1!$P$1,""))</f>
        <v/>
      </c>
      <c r="F2479" s="3" t="str">
        <f>IF(A2479="","",'ATP Fills'!G2479)</f>
        <v/>
      </c>
      <c r="G2479" t="str">
        <f>IF(A2479="","",'ATP Fills'!H2479)</f>
        <v/>
      </c>
      <c r="H2479" t="str">
        <f>IF(A2479="","",VLOOKUP(G2479,表3_3[],2,0))</f>
        <v/>
      </c>
      <c r="I2479" t="str">
        <f>IF(A2479="","",VLOOKUP(G2479,表3_3[],3,0))</f>
        <v/>
      </c>
      <c r="J2479" t="str">
        <f>IF(A2479="","",IF('ATP Fills'!I2479="3M","",VLOOKUP(RIGHT('ATP Fills'!I2479,2),Helper1!$O$36:$P$48,2,0)))</f>
        <v/>
      </c>
      <c r="K2479" t="str">
        <f>IF(J2479="","",LEFT('ATP Fills'!I2479,4))</f>
        <v/>
      </c>
      <c r="L2479" t="str">
        <f>IF(A2479="","",IF('ATP Fills'!G2479="LME",'ATP Fills'!I2479,""))</f>
        <v/>
      </c>
      <c r="M2479" t="str">
        <f t="shared" si="38"/>
        <v/>
      </c>
    </row>
    <row r="2480" spans="1:13">
      <c r="A2480" t="str">
        <f>IF('ATP Fills'!A2480="","",IF('ATP Fills'!Q2480="PHILLIPSG",'ATP Fills'!F2480,""))</f>
        <v/>
      </c>
      <c r="B2480" t="str">
        <f>IF(A2480="","",'ATP Fills'!L2480)</f>
        <v/>
      </c>
      <c r="C2480" t="str">
        <f>IF(A2480="","",'ATP Fills'!M2480)</f>
        <v/>
      </c>
      <c r="D2480" t="str">
        <f>IF(A2480="","",'ATP Fills'!B2480)</f>
        <v/>
      </c>
      <c r="E2480" s="3" t="str">
        <f>IF(A2480="","",IF(DATE(LEFT(D2480,4),MID(D2480,5,2),RIGHT(D2480,2))=Helper1!$P$1,Helper1!$P$1,""))</f>
        <v/>
      </c>
      <c r="F2480" s="3" t="str">
        <f>IF(A2480="","",'ATP Fills'!G2480)</f>
        <v/>
      </c>
      <c r="G2480" t="str">
        <f>IF(A2480="","",'ATP Fills'!H2480)</f>
        <v/>
      </c>
      <c r="H2480" t="str">
        <f>IF(A2480="","",VLOOKUP(G2480,表3_3[],2,0))</f>
        <v/>
      </c>
      <c r="I2480" t="str">
        <f>IF(A2480="","",VLOOKUP(G2480,表3_3[],3,0))</f>
        <v/>
      </c>
      <c r="J2480" t="str">
        <f>IF(A2480="","",IF('ATP Fills'!I2480="3M","",VLOOKUP(RIGHT('ATP Fills'!I2480,2),Helper1!$O$36:$P$48,2,0)))</f>
        <v/>
      </c>
      <c r="K2480" t="str">
        <f>IF(J2480="","",LEFT('ATP Fills'!I2480,4))</f>
        <v/>
      </c>
      <c r="L2480" t="str">
        <f>IF(A2480="","",IF('ATP Fills'!G2480="LME",'ATP Fills'!I2480,""))</f>
        <v/>
      </c>
      <c r="M2480" t="str">
        <f t="shared" si="38"/>
        <v/>
      </c>
    </row>
    <row r="2481" spans="1:13">
      <c r="A2481" t="str">
        <f>IF('ATP Fills'!A2481="","",IF('ATP Fills'!Q2481="PHILLIPSG",'ATP Fills'!F2481,""))</f>
        <v/>
      </c>
      <c r="B2481" t="str">
        <f>IF(A2481="","",'ATP Fills'!L2481)</f>
        <v/>
      </c>
      <c r="C2481" t="str">
        <f>IF(A2481="","",'ATP Fills'!M2481)</f>
        <v/>
      </c>
      <c r="D2481" t="str">
        <f>IF(A2481="","",'ATP Fills'!B2481)</f>
        <v/>
      </c>
      <c r="E2481" s="3" t="str">
        <f>IF(A2481="","",IF(DATE(LEFT(D2481,4),MID(D2481,5,2),RIGHT(D2481,2))=Helper1!$P$1,Helper1!$P$1,""))</f>
        <v/>
      </c>
      <c r="F2481" s="3" t="str">
        <f>IF(A2481="","",'ATP Fills'!G2481)</f>
        <v/>
      </c>
      <c r="G2481" t="str">
        <f>IF(A2481="","",'ATP Fills'!H2481)</f>
        <v/>
      </c>
      <c r="H2481" t="str">
        <f>IF(A2481="","",VLOOKUP(G2481,表3_3[],2,0))</f>
        <v/>
      </c>
      <c r="I2481" t="str">
        <f>IF(A2481="","",VLOOKUP(G2481,表3_3[],3,0))</f>
        <v/>
      </c>
      <c r="J2481" t="str">
        <f>IF(A2481="","",IF('ATP Fills'!I2481="3M","",VLOOKUP(RIGHT('ATP Fills'!I2481,2),Helper1!$O$36:$P$48,2,0)))</f>
        <v/>
      </c>
      <c r="K2481" t="str">
        <f>IF(J2481="","",LEFT('ATP Fills'!I2481,4))</f>
        <v/>
      </c>
      <c r="L2481" t="str">
        <f>IF(A2481="","",IF('ATP Fills'!G2481="LME",'ATP Fills'!I2481,""))</f>
        <v/>
      </c>
      <c r="M2481" t="str">
        <f t="shared" si="38"/>
        <v/>
      </c>
    </row>
    <row r="2482" spans="1:13">
      <c r="A2482" t="str">
        <f>IF('ATP Fills'!A2482="","",IF('ATP Fills'!Q2482="PHILLIPSG",'ATP Fills'!F2482,""))</f>
        <v/>
      </c>
      <c r="B2482" t="str">
        <f>IF(A2482="","",'ATP Fills'!L2482)</f>
        <v/>
      </c>
      <c r="C2482" t="str">
        <f>IF(A2482="","",'ATP Fills'!M2482)</f>
        <v/>
      </c>
      <c r="D2482" t="str">
        <f>IF(A2482="","",'ATP Fills'!B2482)</f>
        <v/>
      </c>
      <c r="E2482" s="3" t="str">
        <f>IF(A2482="","",IF(DATE(LEFT(D2482,4),MID(D2482,5,2),RIGHT(D2482,2))=Helper1!$P$1,Helper1!$P$1,""))</f>
        <v/>
      </c>
      <c r="F2482" s="3" t="str">
        <f>IF(A2482="","",'ATP Fills'!G2482)</f>
        <v/>
      </c>
      <c r="G2482" t="str">
        <f>IF(A2482="","",'ATP Fills'!H2482)</f>
        <v/>
      </c>
      <c r="H2482" t="str">
        <f>IF(A2482="","",VLOOKUP(G2482,表3_3[],2,0))</f>
        <v/>
      </c>
      <c r="I2482" t="str">
        <f>IF(A2482="","",VLOOKUP(G2482,表3_3[],3,0))</f>
        <v/>
      </c>
      <c r="J2482" t="str">
        <f>IF(A2482="","",IF('ATP Fills'!I2482="3M","",VLOOKUP(RIGHT('ATP Fills'!I2482,2),Helper1!$O$36:$P$48,2,0)))</f>
        <v/>
      </c>
      <c r="K2482" t="str">
        <f>IF(J2482="","",LEFT('ATP Fills'!I2482,4))</f>
        <v/>
      </c>
      <c r="L2482" t="str">
        <f>IF(A2482="","",IF('ATP Fills'!G2482="LME",'ATP Fills'!I2482,""))</f>
        <v/>
      </c>
      <c r="M2482" t="str">
        <f t="shared" si="38"/>
        <v/>
      </c>
    </row>
    <row r="2483" spans="1:13">
      <c r="A2483" t="str">
        <f>IF('ATP Fills'!A2483="","",IF('ATP Fills'!Q2483="PHILLIPSG",'ATP Fills'!F2483,""))</f>
        <v/>
      </c>
      <c r="B2483" t="str">
        <f>IF(A2483="","",'ATP Fills'!L2483)</f>
        <v/>
      </c>
      <c r="C2483" t="str">
        <f>IF(A2483="","",'ATP Fills'!M2483)</f>
        <v/>
      </c>
      <c r="D2483" t="str">
        <f>IF(A2483="","",'ATP Fills'!B2483)</f>
        <v/>
      </c>
      <c r="E2483" s="3" t="str">
        <f>IF(A2483="","",IF(DATE(LEFT(D2483,4),MID(D2483,5,2),RIGHT(D2483,2))=Helper1!$P$1,Helper1!$P$1,""))</f>
        <v/>
      </c>
      <c r="F2483" s="3" t="str">
        <f>IF(A2483="","",'ATP Fills'!G2483)</f>
        <v/>
      </c>
      <c r="G2483" t="str">
        <f>IF(A2483="","",'ATP Fills'!H2483)</f>
        <v/>
      </c>
      <c r="H2483" t="str">
        <f>IF(A2483="","",VLOOKUP(G2483,表3_3[],2,0))</f>
        <v/>
      </c>
      <c r="I2483" t="str">
        <f>IF(A2483="","",VLOOKUP(G2483,表3_3[],3,0))</f>
        <v/>
      </c>
      <c r="J2483" t="str">
        <f>IF(A2483="","",IF('ATP Fills'!I2483="3M","",VLOOKUP(RIGHT('ATP Fills'!I2483,2),Helper1!$O$36:$P$48,2,0)))</f>
        <v/>
      </c>
      <c r="K2483" t="str">
        <f>IF(J2483="","",LEFT('ATP Fills'!I2483,4))</f>
        <v/>
      </c>
      <c r="L2483" t="str">
        <f>IF(A2483="","",IF('ATP Fills'!G2483="LME",'ATP Fills'!I2483,""))</f>
        <v/>
      </c>
      <c r="M2483" t="str">
        <f t="shared" si="38"/>
        <v/>
      </c>
    </row>
    <row r="2484" spans="1:13">
      <c r="A2484" t="str">
        <f>IF('ATP Fills'!A2484="","",IF('ATP Fills'!Q2484="PHILLIPSG",'ATP Fills'!F2484,""))</f>
        <v/>
      </c>
      <c r="B2484" t="str">
        <f>IF(A2484="","",'ATP Fills'!L2484)</f>
        <v/>
      </c>
      <c r="C2484" t="str">
        <f>IF(A2484="","",'ATP Fills'!M2484)</f>
        <v/>
      </c>
      <c r="D2484" t="str">
        <f>IF(A2484="","",'ATP Fills'!B2484)</f>
        <v/>
      </c>
      <c r="E2484" s="3" t="str">
        <f>IF(A2484="","",IF(DATE(LEFT(D2484,4),MID(D2484,5,2),RIGHT(D2484,2))=Helper1!$P$1,Helper1!$P$1,""))</f>
        <v/>
      </c>
      <c r="F2484" s="3" t="str">
        <f>IF(A2484="","",'ATP Fills'!G2484)</f>
        <v/>
      </c>
      <c r="G2484" t="str">
        <f>IF(A2484="","",'ATP Fills'!H2484)</f>
        <v/>
      </c>
      <c r="H2484" t="str">
        <f>IF(A2484="","",VLOOKUP(G2484,表3_3[],2,0))</f>
        <v/>
      </c>
      <c r="I2484" t="str">
        <f>IF(A2484="","",VLOOKUP(G2484,表3_3[],3,0))</f>
        <v/>
      </c>
      <c r="J2484" t="str">
        <f>IF(A2484="","",IF('ATP Fills'!I2484="3M","",VLOOKUP(RIGHT('ATP Fills'!I2484,2),Helper1!$O$36:$P$48,2,0)))</f>
        <v/>
      </c>
      <c r="K2484" t="str">
        <f>IF(J2484="","",LEFT('ATP Fills'!I2484,4))</f>
        <v/>
      </c>
      <c r="L2484" t="str">
        <f>IF(A2484="","",IF('ATP Fills'!G2484="LME",'ATP Fills'!I2484,""))</f>
        <v/>
      </c>
      <c r="M2484" t="str">
        <f t="shared" si="38"/>
        <v/>
      </c>
    </row>
    <row r="2485" spans="1:13">
      <c r="A2485" t="str">
        <f>IF('ATP Fills'!A2485="","",IF('ATP Fills'!Q2485="PHILLIPSG",'ATP Fills'!F2485,""))</f>
        <v/>
      </c>
      <c r="B2485" t="str">
        <f>IF(A2485="","",'ATP Fills'!L2485)</f>
        <v/>
      </c>
      <c r="C2485" t="str">
        <f>IF(A2485="","",'ATP Fills'!M2485)</f>
        <v/>
      </c>
      <c r="D2485" t="str">
        <f>IF(A2485="","",'ATP Fills'!B2485)</f>
        <v/>
      </c>
      <c r="E2485" s="3" t="str">
        <f>IF(A2485="","",IF(DATE(LEFT(D2485,4),MID(D2485,5,2),RIGHT(D2485,2))=Helper1!$P$1,Helper1!$P$1,""))</f>
        <v/>
      </c>
      <c r="F2485" s="3" t="str">
        <f>IF(A2485="","",'ATP Fills'!G2485)</f>
        <v/>
      </c>
      <c r="G2485" t="str">
        <f>IF(A2485="","",'ATP Fills'!H2485)</f>
        <v/>
      </c>
      <c r="H2485" t="str">
        <f>IF(A2485="","",VLOOKUP(G2485,表3_3[],2,0))</f>
        <v/>
      </c>
      <c r="I2485" t="str">
        <f>IF(A2485="","",VLOOKUP(G2485,表3_3[],3,0))</f>
        <v/>
      </c>
      <c r="J2485" t="str">
        <f>IF(A2485="","",IF('ATP Fills'!I2485="3M","",VLOOKUP(RIGHT('ATP Fills'!I2485,2),Helper1!$O$36:$P$48,2,0)))</f>
        <v/>
      </c>
      <c r="K2485" t="str">
        <f>IF(J2485="","",LEFT('ATP Fills'!I2485,4))</f>
        <v/>
      </c>
      <c r="L2485" t="str">
        <f>IF(A2485="","",IF('ATP Fills'!G2485="LME",'ATP Fills'!I2485,""))</f>
        <v/>
      </c>
      <c r="M2485" t="str">
        <f t="shared" si="38"/>
        <v/>
      </c>
    </row>
    <row r="2486" spans="1:13">
      <c r="A2486" t="str">
        <f>IF('ATP Fills'!A2486="","",IF('ATP Fills'!Q2486="PHILLIPSG",'ATP Fills'!F2486,""))</f>
        <v/>
      </c>
      <c r="B2486" t="str">
        <f>IF(A2486="","",'ATP Fills'!L2486)</f>
        <v/>
      </c>
      <c r="C2486" t="str">
        <f>IF(A2486="","",'ATP Fills'!M2486)</f>
        <v/>
      </c>
      <c r="D2486" t="str">
        <f>IF(A2486="","",'ATP Fills'!B2486)</f>
        <v/>
      </c>
      <c r="E2486" s="3" t="str">
        <f>IF(A2486="","",IF(DATE(LEFT(D2486,4),MID(D2486,5,2),RIGHT(D2486,2))=Helper1!$P$1,Helper1!$P$1,""))</f>
        <v/>
      </c>
      <c r="F2486" s="3" t="str">
        <f>IF(A2486="","",'ATP Fills'!G2486)</f>
        <v/>
      </c>
      <c r="G2486" t="str">
        <f>IF(A2486="","",'ATP Fills'!H2486)</f>
        <v/>
      </c>
      <c r="H2486" t="str">
        <f>IF(A2486="","",VLOOKUP(G2486,表3_3[],2,0))</f>
        <v/>
      </c>
      <c r="I2486" t="str">
        <f>IF(A2486="","",VLOOKUP(G2486,表3_3[],3,0))</f>
        <v/>
      </c>
      <c r="J2486" t="str">
        <f>IF(A2486="","",IF('ATP Fills'!I2486="3M","",VLOOKUP(RIGHT('ATP Fills'!I2486,2),Helper1!$O$36:$P$48,2,0)))</f>
        <v/>
      </c>
      <c r="K2486" t="str">
        <f>IF(J2486="","",LEFT('ATP Fills'!I2486,4))</f>
        <v/>
      </c>
      <c r="L2486" t="str">
        <f>IF(A2486="","",IF('ATP Fills'!G2486="LME",'ATP Fills'!I2486,""))</f>
        <v/>
      </c>
      <c r="M2486" t="str">
        <f t="shared" si="38"/>
        <v/>
      </c>
    </row>
    <row r="2487" spans="1:13">
      <c r="A2487" t="str">
        <f>IF('ATP Fills'!A2487="","",IF('ATP Fills'!Q2487="PHILLIPSG",'ATP Fills'!F2487,""))</f>
        <v/>
      </c>
      <c r="B2487" t="str">
        <f>IF(A2487="","",'ATP Fills'!L2487)</f>
        <v/>
      </c>
      <c r="C2487" t="str">
        <f>IF(A2487="","",'ATP Fills'!M2487)</f>
        <v/>
      </c>
      <c r="D2487" t="str">
        <f>IF(A2487="","",'ATP Fills'!B2487)</f>
        <v/>
      </c>
      <c r="E2487" s="3" t="str">
        <f>IF(A2487="","",IF(DATE(LEFT(D2487,4),MID(D2487,5,2),RIGHT(D2487,2))=Helper1!$P$1,Helper1!$P$1,""))</f>
        <v/>
      </c>
      <c r="F2487" s="3" t="str">
        <f>IF(A2487="","",'ATP Fills'!G2487)</f>
        <v/>
      </c>
      <c r="G2487" t="str">
        <f>IF(A2487="","",'ATP Fills'!H2487)</f>
        <v/>
      </c>
      <c r="H2487" t="str">
        <f>IF(A2487="","",VLOOKUP(G2487,表3_3[],2,0))</f>
        <v/>
      </c>
      <c r="I2487" t="str">
        <f>IF(A2487="","",VLOOKUP(G2487,表3_3[],3,0))</f>
        <v/>
      </c>
      <c r="J2487" t="str">
        <f>IF(A2487="","",IF('ATP Fills'!I2487="3M","",VLOOKUP(RIGHT('ATP Fills'!I2487,2),Helper1!$O$36:$P$48,2,0)))</f>
        <v/>
      </c>
      <c r="K2487" t="str">
        <f>IF(J2487="","",LEFT('ATP Fills'!I2487,4))</f>
        <v/>
      </c>
      <c r="L2487" t="str">
        <f>IF(A2487="","",IF('ATP Fills'!G2487="LME",'ATP Fills'!I2487,""))</f>
        <v/>
      </c>
      <c r="M2487" t="str">
        <f t="shared" si="38"/>
        <v/>
      </c>
    </row>
    <row r="2488" spans="1:13">
      <c r="A2488" t="str">
        <f>IF('ATP Fills'!A2488="","",IF('ATP Fills'!Q2488="PHILLIPSG",'ATP Fills'!F2488,""))</f>
        <v/>
      </c>
      <c r="B2488" t="str">
        <f>IF(A2488="","",'ATP Fills'!L2488)</f>
        <v/>
      </c>
      <c r="C2488" t="str">
        <f>IF(A2488="","",'ATP Fills'!M2488)</f>
        <v/>
      </c>
      <c r="D2488" t="str">
        <f>IF(A2488="","",'ATP Fills'!B2488)</f>
        <v/>
      </c>
      <c r="E2488" s="3" t="str">
        <f>IF(A2488="","",IF(DATE(LEFT(D2488,4),MID(D2488,5,2),RIGHT(D2488,2))=Helper1!$P$1,Helper1!$P$1,""))</f>
        <v/>
      </c>
      <c r="F2488" s="3" t="str">
        <f>IF(A2488="","",'ATP Fills'!G2488)</f>
        <v/>
      </c>
      <c r="G2488" t="str">
        <f>IF(A2488="","",'ATP Fills'!H2488)</f>
        <v/>
      </c>
      <c r="H2488" t="str">
        <f>IF(A2488="","",VLOOKUP(G2488,表3_3[],2,0))</f>
        <v/>
      </c>
      <c r="I2488" t="str">
        <f>IF(A2488="","",VLOOKUP(G2488,表3_3[],3,0))</f>
        <v/>
      </c>
      <c r="J2488" t="str">
        <f>IF(A2488="","",IF('ATP Fills'!I2488="3M","",VLOOKUP(RIGHT('ATP Fills'!I2488,2),Helper1!$O$36:$P$48,2,0)))</f>
        <v/>
      </c>
      <c r="K2488" t="str">
        <f>IF(J2488="","",LEFT('ATP Fills'!I2488,4))</f>
        <v/>
      </c>
      <c r="L2488" t="str">
        <f>IF(A2488="","",IF('ATP Fills'!G2488="LME",'ATP Fills'!I2488,""))</f>
        <v/>
      </c>
      <c r="M2488" t="str">
        <f t="shared" si="38"/>
        <v/>
      </c>
    </row>
    <row r="2489" spans="1:13">
      <c r="A2489" t="str">
        <f>IF('ATP Fills'!A2489="","",IF('ATP Fills'!Q2489="PHILLIPSG",'ATP Fills'!F2489,""))</f>
        <v/>
      </c>
      <c r="B2489" t="str">
        <f>IF(A2489="","",'ATP Fills'!L2489)</f>
        <v/>
      </c>
      <c r="C2489" t="str">
        <f>IF(A2489="","",'ATP Fills'!M2489)</f>
        <v/>
      </c>
      <c r="D2489" t="str">
        <f>IF(A2489="","",'ATP Fills'!B2489)</f>
        <v/>
      </c>
      <c r="E2489" s="3" t="str">
        <f>IF(A2489="","",IF(DATE(LEFT(D2489,4),MID(D2489,5,2),RIGHT(D2489,2))=Helper1!$P$1,Helper1!$P$1,""))</f>
        <v/>
      </c>
      <c r="F2489" s="3" t="str">
        <f>IF(A2489="","",'ATP Fills'!G2489)</f>
        <v/>
      </c>
      <c r="G2489" t="str">
        <f>IF(A2489="","",'ATP Fills'!H2489)</f>
        <v/>
      </c>
      <c r="H2489" t="str">
        <f>IF(A2489="","",VLOOKUP(G2489,表3_3[],2,0))</f>
        <v/>
      </c>
      <c r="I2489" t="str">
        <f>IF(A2489="","",VLOOKUP(G2489,表3_3[],3,0))</f>
        <v/>
      </c>
      <c r="J2489" t="str">
        <f>IF(A2489="","",IF('ATP Fills'!I2489="3M","",VLOOKUP(RIGHT('ATP Fills'!I2489,2),Helper1!$O$36:$P$48,2,0)))</f>
        <v/>
      </c>
      <c r="K2489" t="str">
        <f>IF(J2489="","",LEFT('ATP Fills'!I2489,4))</f>
        <v/>
      </c>
      <c r="L2489" t="str">
        <f>IF(A2489="","",IF('ATP Fills'!G2489="LME",'ATP Fills'!I2489,""))</f>
        <v/>
      </c>
      <c r="M2489" t="str">
        <f t="shared" si="38"/>
        <v/>
      </c>
    </row>
    <row r="2490" spans="1:13">
      <c r="A2490" t="str">
        <f>IF('ATP Fills'!A2490="","",IF('ATP Fills'!Q2490="PHILLIPSG",'ATP Fills'!F2490,""))</f>
        <v/>
      </c>
      <c r="B2490" t="str">
        <f>IF(A2490="","",'ATP Fills'!L2490)</f>
        <v/>
      </c>
      <c r="C2490" t="str">
        <f>IF(A2490="","",'ATP Fills'!M2490)</f>
        <v/>
      </c>
      <c r="D2490" t="str">
        <f>IF(A2490="","",'ATP Fills'!B2490)</f>
        <v/>
      </c>
      <c r="E2490" s="3" t="str">
        <f>IF(A2490="","",IF(DATE(LEFT(D2490,4),MID(D2490,5,2),RIGHT(D2490,2))=Helper1!$P$1,Helper1!$P$1,""))</f>
        <v/>
      </c>
      <c r="F2490" s="3" t="str">
        <f>IF(A2490="","",'ATP Fills'!G2490)</f>
        <v/>
      </c>
      <c r="G2490" t="str">
        <f>IF(A2490="","",'ATP Fills'!H2490)</f>
        <v/>
      </c>
      <c r="H2490" t="str">
        <f>IF(A2490="","",VLOOKUP(G2490,表3_3[],2,0))</f>
        <v/>
      </c>
      <c r="I2490" t="str">
        <f>IF(A2490="","",VLOOKUP(G2490,表3_3[],3,0))</f>
        <v/>
      </c>
      <c r="J2490" t="str">
        <f>IF(A2490="","",IF('ATP Fills'!I2490="3M","",VLOOKUP(RIGHT('ATP Fills'!I2490,2),Helper1!$O$36:$P$48,2,0)))</f>
        <v/>
      </c>
      <c r="K2490" t="str">
        <f>IF(J2490="","",LEFT('ATP Fills'!I2490,4))</f>
        <v/>
      </c>
      <c r="L2490" t="str">
        <f>IF(A2490="","",IF('ATP Fills'!G2490="LME",'ATP Fills'!I2490,""))</f>
        <v/>
      </c>
      <c r="M2490" t="str">
        <f t="shared" si="38"/>
        <v/>
      </c>
    </row>
    <row r="2491" spans="1:13">
      <c r="A2491" t="str">
        <f>IF('ATP Fills'!A2491="","",IF('ATP Fills'!Q2491="PHILLIPSG",'ATP Fills'!F2491,""))</f>
        <v/>
      </c>
      <c r="B2491" t="str">
        <f>IF(A2491="","",'ATP Fills'!L2491)</f>
        <v/>
      </c>
      <c r="C2491" t="str">
        <f>IF(A2491="","",'ATP Fills'!M2491)</f>
        <v/>
      </c>
      <c r="D2491" t="str">
        <f>IF(A2491="","",'ATP Fills'!B2491)</f>
        <v/>
      </c>
      <c r="E2491" s="3" t="str">
        <f>IF(A2491="","",IF(DATE(LEFT(D2491,4),MID(D2491,5,2),RIGHT(D2491,2))=Helper1!$P$1,Helper1!$P$1,""))</f>
        <v/>
      </c>
      <c r="F2491" s="3" t="str">
        <f>IF(A2491="","",'ATP Fills'!G2491)</f>
        <v/>
      </c>
      <c r="G2491" t="str">
        <f>IF(A2491="","",'ATP Fills'!H2491)</f>
        <v/>
      </c>
      <c r="H2491" t="str">
        <f>IF(A2491="","",VLOOKUP(G2491,表3_3[],2,0))</f>
        <v/>
      </c>
      <c r="I2491" t="str">
        <f>IF(A2491="","",VLOOKUP(G2491,表3_3[],3,0))</f>
        <v/>
      </c>
      <c r="J2491" t="str">
        <f>IF(A2491="","",IF('ATP Fills'!I2491="3M","",VLOOKUP(RIGHT('ATP Fills'!I2491,2),Helper1!$O$36:$P$48,2,0)))</f>
        <v/>
      </c>
      <c r="K2491" t="str">
        <f>IF(J2491="","",LEFT('ATP Fills'!I2491,4))</f>
        <v/>
      </c>
      <c r="L2491" t="str">
        <f>IF(A2491="","",IF('ATP Fills'!G2491="LME",'ATP Fills'!I2491,""))</f>
        <v/>
      </c>
      <c r="M2491" t="str">
        <f t="shared" si="38"/>
        <v/>
      </c>
    </row>
    <row r="2492" spans="1:13">
      <c r="A2492" t="str">
        <f>IF('ATP Fills'!A2492="","",IF('ATP Fills'!Q2492="PHILLIPSG",'ATP Fills'!F2492,""))</f>
        <v/>
      </c>
      <c r="B2492" t="str">
        <f>IF(A2492="","",'ATP Fills'!L2492)</f>
        <v/>
      </c>
      <c r="C2492" t="str">
        <f>IF(A2492="","",'ATP Fills'!M2492)</f>
        <v/>
      </c>
      <c r="D2492" t="str">
        <f>IF(A2492="","",'ATP Fills'!B2492)</f>
        <v/>
      </c>
      <c r="E2492" s="3" t="str">
        <f>IF(A2492="","",IF(DATE(LEFT(D2492,4),MID(D2492,5,2),RIGHT(D2492,2))=Helper1!$P$1,Helper1!$P$1,""))</f>
        <v/>
      </c>
      <c r="F2492" s="3" t="str">
        <f>IF(A2492="","",'ATP Fills'!G2492)</f>
        <v/>
      </c>
      <c r="G2492" t="str">
        <f>IF(A2492="","",'ATP Fills'!H2492)</f>
        <v/>
      </c>
      <c r="H2492" t="str">
        <f>IF(A2492="","",VLOOKUP(G2492,表3_3[],2,0))</f>
        <v/>
      </c>
      <c r="I2492" t="str">
        <f>IF(A2492="","",VLOOKUP(G2492,表3_3[],3,0))</f>
        <v/>
      </c>
      <c r="J2492" t="str">
        <f>IF(A2492="","",IF('ATP Fills'!I2492="3M","",VLOOKUP(RIGHT('ATP Fills'!I2492,2),Helper1!$O$36:$P$48,2,0)))</f>
        <v/>
      </c>
      <c r="K2492" t="str">
        <f>IF(J2492="","",LEFT('ATP Fills'!I2492,4))</f>
        <v/>
      </c>
      <c r="L2492" t="str">
        <f>IF(A2492="","",IF('ATP Fills'!G2492="LME",'ATP Fills'!I2492,""))</f>
        <v/>
      </c>
      <c r="M2492" t="str">
        <f t="shared" si="38"/>
        <v/>
      </c>
    </row>
    <row r="2493" spans="1:13">
      <c r="A2493" t="str">
        <f>IF('ATP Fills'!A2493="","",IF('ATP Fills'!Q2493="PHILLIPSG",'ATP Fills'!F2493,""))</f>
        <v/>
      </c>
      <c r="B2493" t="str">
        <f>IF(A2493="","",'ATP Fills'!L2493)</f>
        <v/>
      </c>
      <c r="C2493" t="str">
        <f>IF(A2493="","",'ATP Fills'!M2493)</f>
        <v/>
      </c>
      <c r="D2493" t="str">
        <f>IF(A2493="","",'ATP Fills'!B2493)</f>
        <v/>
      </c>
      <c r="E2493" s="3" t="str">
        <f>IF(A2493="","",IF(DATE(LEFT(D2493,4),MID(D2493,5,2),RIGHT(D2493,2))=Helper1!$P$1,Helper1!$P$1,""))</f>
        <v/>
      </c>
      <c r="F2493" s="3" t="str">
        <f>IF(A2493="","",'ATP Fills'!G2493)</f>
        <v/>
      </c>
      <c r="G2493" t="str">
        <f>IF(A2493="","",'ATP Fills'!H2493)</f>
        <v/>
      </c>
      <c r="H2493" t="str">
        <f>IF(A2493="","",VLOOKUP(G2493,表3_3[],2,0))</f>
        <v/>
      </c>
      <c r="I2493" t="str">
        <f>IF(A2493="","",VLOOKUP(G2493,表3_3[],3,0))</f>
        <v/>
      </c>
      <c r="J2493" t="str">
        <f>IF(A2493="","",IF('ATP Fills'!I2493="3M","",VLOOKUP(RIGHT('ATP Fills'!I2493,2),Helper1!$O$36:$P$48,2,0)))</f>
        <v/>
      </c>
      <c r="K2493" t="str">
        <f>IF(J2493="","",LEFT('ATP Fills'!I2493,4))</f>
        <v/>
      </c>
      <c r="L2493" t="str">
        <f>IF(A2493="","",IF('ATP Fills'!G2493="LME",'ATP Fills'!I2493,""))</f>
        <v/>
      </c>
      <c r="M2493" t="str">
        <f t="shared" si="38"/>
        <v/>
      </c>
    </row>
    <row r="2494" spans="1:13">
      <c r="A2494" t="str">
        <f>IF('ATP Fills'!A2494="","",IF('ATP Fills'!Q2494="PHILLIPSG",'ATP Fills'!F2494,""))</f>
        <v/>
      </c>
      <c r="B2494" t="str">
        <f>IF(A2494="","",'ATP Fills'!L2494)</f>
        <v/>
      </c>
      <c r="C2494" t="str">
        <f>IF(A2494="","",'ATP Fills'!M2494)</f>
        <v/>
      </c>
      <c r="D2494" t="str">
        <f>IF(A2494="","",'ATP Fills'!B2494)</f>
        <v/>
      </c>
      <c r="E2494" s="3" t="str">
        <f>IF(A2494="","",IF(DATE(LEFT(D2494,4),MID(D2494,5,2),RIGHT(D2494,2))=Helper1!$P$1,Helper1!$P$1,""))</f>
        <v/>
      </c>
      <c r="F2494" s="3" t="str">
        <f>IF(A2494="","",'ATP Fills'!G2494)</f>
        <v/>
      </c>
      <c r="G2494" t="str">
        <f>IF(A2494="","",'ATP Fills'!H2494)</f>
        <v/>
      </c>
      <c r="H2494" t="str">
        <f>IF(A2494="","",VLOOKUP(G2494,表3_3[],2,0))</f>
        <v/>
      </c>
      <c r="I2494" t="str">
        <f>IF(A2494="","",VLOOKUP(G2494,表3_3[],3,0))</f>
        <v/>
      </c>
      <c r="J2494" t="str">
        <f>IF(A2494="","",IF('ATP Fills'!I2494="3M","",VLOOKUP(RIGHT('ATP Fills'!I2494,2),Helper1!$O$36:$P$48,2,0)))</f>
        <v/>
      </c>
      <c r="K2494" t="str">
        <f>IF(J2494="","",LEFT('ATP Fills'!I2494,4))</f>
        <v/>
      </c>
      <c r="L2494" t="str">
        <f>IF(A2494="","",IF('ATP Fills'!G2494="LME",'ATP Fills'!I2494,""))</f>
        <v/>
      </c>
      <c r="M2494" t="str">
        <f t="shared" si="38"/>
        <v/>
      </c>
    </row>
    <row r="2495" spans="1:13">
      <c r="A2495" t="str">
        <f>IF('ATP Fills'!A2495="","",IF('ATP Fills'!Q2495="PHILLIPSG",'ATP Fills'!F2495,""))</f>
        <v/>
      </c>
      <c r="B2495" t="str">
        <f>IF(A2495="","",'ATP Fills'!L2495)</f>
        <v/>
      </c>
      <c r="C2495" t="str">
        <f>IF(A2495="","",'ATP Fills'!M2495)</f>
        <v/>
      </c>
      <c r="D2495" t="str">
        <f>IF(A2495="","",'ATP Fills'!B2495)</f>
        <v/>
      </c>
      <c r="E2495" s="3" t="str">
        <f>IF(A2495="","",IF(DATE(LEFT(D2495,4),MID(D2495,5,2),RIGHT(D2495,2))=Helper1!$P$1,Helper1!$P$1,""))</f>
        <v/>
      </c>
      <c r="F2495" s="3" t="str">
        <f>IF(A2495="","",'ATP Fills'!G2495)</f>
        <v/>
      </c>
      <c r="G2495" t="str">
        <f>IF(A2495="","",'ATP Fills'!H2495)</f>
        <v/>
      </c>
      <c r="H2495" t="str">
        <f>IF(A2495="","",VLOOKUP(G2495,表3_3[],2,0))</f>
        <v/>
      </c>
      <c r="I2495" t="str">
        <f>IF(A2495="","",VLOOKUP(G2495,表3_3[],3,0))</f>
        <v/>
      </c>
      <c r="J2495" t="str">
        <f>IF(A2495="","",IF('ATP Fills'!I2495="3M","",VLOOKUP(RIGHT('ATP Fills'!I2495,2),Helper1!$O$36:$P$48,2,0)))</f>
        <v/>
      </c>
      <c r="K2495" t="str">
        <f>IF(J2495="","",LEFT('ATP Fills'!I2495,4))</f>
        <v/>
      </c>
      <c r="L2495" t="str">
        <f>IF(A2495="","",IF('ATP Fills'!G2495="LME",'ATP Fills'!I2495,""))</f>
        <v/>
      </c>
      <c r="M2495" t="str">
        <f t="shared" si="38"/>
        <v/>
      </c>
    </row>
    <row r="2496" spans="1:13">
      <c r="A2496" t="str">
        <f>IF('ATP Fills'!A2496="","",IF('ATP Fills'!Q2496="PHILLIPSG",'ATP Fills'!F2496,""))</f>
        <v/>
      </c>
      <c r="B2496" t="str">
        <f>IF(A2496="","",'ATP Fills'!L2496)</f>
        <v/>
      </c>
      <c r="C2496" t="str">
        <f>IF(A2496="","",'ATP Fills'!M2496)</f>
        <v/>
      </c>
      <c r="D2496" t="str">
        <f>IF(A2496="","",'ATP Fills'!B2496)</f>
        <v/>
      </c>
      <c r="E2496" s="3" t="str">
        <f>IF(A2496="","",IF(DATE(LEFT(D2496,4),MID(D2496,5,2),RIGHT(D2496,2))=Helper1!$P$1,Helper1!$P$1,""))</f>
        <v/>
      </c>
      <c r="F2496" s="3" t="str">
        <f>IF(A2496="","",'ATP Fills'!G2496)</f>
        <v/>
      </c>
      <c r="G2496" t="str">
        <f>IF(A2496="","",'ATP Fills'!H2496)</f>
        <v/>
      </c>
      <c r="H2496" t="str">
        <f>IF(A2496="","",VLOOKUP(G2496,表3_3[],2,0))</f>
        <v/>
      </c>
      <c r="I2496" t="str">
        <f>IF(A2496="","",VLOOKUP(G2496,表3_3[],3,0))</f>
        <v/>
      </c>
      <c r="J2496" t="str">
        <f>IF(A2496="","",IF('ATP Fills'!I2496="3M","",VLOOKUP(RIGHT('ATP Fills'!I2496,2),Helper1!$O$36:$P$48,2,0)))</f>
        <v/>
      </c>
      <c r="K2496" t="str">
        <f>IF(J2496="","",LEFT('ATP Fills'!I2496,4))</f>
        <v/>
      </c>
      <c r="L2496" t="str">
        <f>IF(A2496="","",IF('ATP Fills'!G2496="LME",'ATP Fills'!I2496,""))</f>
        <v/>
      </c>
      <c r="M2496" t="str">
        <f t="shared" si="38"/>
        <v/>
      </c>
    </row>
    <row r="2497" spans="1:13">
      <c r="A2497" t="str">
        <f>IF('ATP Fills'!A2497="","",IF('ATP Fills'!Q2497="PHILLIPSG",'ATP Fills'!F2497,""))</f>
        <v/>
      </c>
      <c r="B2497" t="str">
        <f>IF(A2497="","",'ATP Fills'!L2497)</f>
        <v/>
      </c>
      <c r="C2497" t="str">
        <f>IF(A2497="","",'ATP Fills'!M2497)</f>
        <v/>
      </c>
      <c r="D2497" t="str">
        <f>IF(A2497="","",'ATP Fills'!B2497)</f>
        <v/>
      </c>
      <c r="E2497" s="3" t="str">
        <f>IF(A2497="","",IF(DATE(LEFT(D2497,4),MID(D2497,5,2),RIGHT(D2497,2))=Helper1!$P$1,Helper1!$P$1,""))</f>
        <v/>
      </c>
      <c r="F2497" s="3" t="str">
        <f>IF(A2497="","",'ATP Fills'!G2497)</f>
        <v/>
      </c>
      <c r="G2497" t="str">
        <f>IF(A2497="","",'ATP Fills'!H2497)</f>
        <v/>
      </c>
      <c r="H2497" t="str">
        <f>IF(A2497="","",VLOOKUP(G2497,表3_3[],2,0))</f>
        <v/>
      </c>
      <c r="I2497" t="str">
        <f>IF(A2497="","",VLOOKUP(G2497,表3_3[],3,0))</f>
        <v/>
      </c>
      <c r="J2497" t="str">
        <f>IF(A2497="","",IF('ATP Fills'!I2497="3M","",VLOOKUP(RIGHT('ATP Fills'!I2497,2),Helper1!$O$36:$P$48,2,0)))</f>
        <v/>
      </c>
      <c r="K2497" t="str">
        <f>IF(J2497="","",LEFT('ATP Fills'!I2497,4))</f>
        <v/>
      </c>
      <c r="L2497" t="str">
        <f>IF(A2497="","",IF('ATP Fills'!G2497="LME",'ATP Fills'!I2497,""))</f>
        <v/>
      </c>
      <c r="M2497" t="str">
        <f t="shared" si="38"/>
        <v/>
      </c>
    </row>
    <row r="2498" spans="1:13">
      <c r="A2498" t="str">
        <f>IF('ATP Fills'!A2498="","",IF('ATP Fills'!Q2498="PHILLIPSG",'ATP Fills'!F2498,""))</f>
        <v/>
      </c>
      <c r="B2498" t="str">
        <f>IF(A2498="","",'ATP Fills'!L2498)</f>
        <v/>
      </c>
      <c r="C2498" t="str">
        <f>IF(A2498="","",'ATP Fills'!M2498)</f>
        <v/>
      </c>
      <c r="D2498" t="str">
        <f>IF(A2498="","",'ATP Fills'!B2498)</f>
        <v/>
      </c>
      <c r="E2498" s="3" t="str">
        <f>IF(A2498="","",IF(DATE(LEFT(D2498,4),MID(D2498,5,2),RIGHT(D2498,2))=Helper1!$P$1,Helper1!$P$1,""))</f>
        <v/>
      </c>
      <c r="F2498" s="3" t="str">
        <f>IF(A2498="","",'ATP Fills'!G2498)</f>
        <v/>
      </c>
      <c r="G2498" t="str">
        <f>IF(A2498="","",'ATP Fills'!H2498)</f>
        <v/>
      </c>
      <c r="H2498" t="str">
        <f>IF(A2498="","",VLOOKUP(G2498,表3_3[],2,0))</f>
        <v/>
      </c>
      <c r="I2498" t="str">
        <f>IF(A2498="","",VLOOKUP(G2498,表3_3[],3,0))</f>
        <v/>
      </c>
      <c r="J2498" t="str">
        <f>IF(A2498="","",IF('ATP Fills'!I2498="3M","",VLOOKUP(RIGHT('ATP Fills'!I2498,2),Helper1!$O$36:$P$48,2,0)))</f>
        <v/>
      </c>
      <c r="K2498" t="str">
        <f>IF(J2498="","",LEFT('ATP Fills'!I2498,4))</f>
        <v/>
      </c>
      <c r="L2498" t="str">
        <f>IF(A2498="","",IF('ATP Fills'!G2498="LME",'ATP Fills'!I2498,""))</f>
        <v/>
      </c>
      <c r="M2498" t="str">
        <f t="shared" si="38"/>
        <v/>
      </c>
    </row>
    <row r="2499" spans="1:13">
      <c r="A2499" t="str">
        <f>IF('ATP Fills'!A2499="","",IF('ATP Fills'!Q2499="PHILLIPSG",'ATP Fills'!F2499,""))</f>
        <v/>
      </c>
      <c r="B2499" t="str">
        <f>IF(A2499="","",'ATP Fills'!L2499)</f>
        <v/>
      </c>
      <c r="C2499" t="str">
        <f>IF(A2499="","",'ATP Fills'!M2499)</f>
        <v/>
      </c>
      <c r="D2499" t="str">
        <f>IF(A2499="","",'ATP Fills'!B2499)</f>
        <v/>
      </c>
      <c r="E2499" s="3" t="str">
        <f>IF(A2499="","",IF(DATE(LEFT(D2499,4),MID(D2499,5,2),RIGHT(D2499,2))=Helper1!$P$1,Helper1!$P$1,""))</f>
        <v/>
      </c>
      <c r="F2499" s="3" t="str">
        <f>IF(A2499="","",'ATP Fills'!G2499)</f>
        <v/>
      </c>
      <c r="G2499" t="str">
        <f>IF(A2499="","",'ATP Fills'!H2499)</f>
        <v/>
      </c>
      <c r="H2499" t="str">
        <f>IF(A2499="","",VLOOKUP(G2499,表3_3[],2,0))</f>
        <v/>
      </c>
      <c r="I2499" t="str">
        <f>IF(A2499="","",VLOOKUP(G2499,表3_3[],3,0))</f>
        <v/>
      </c>
      <c r="J2499" t="str">
        <f>IF(A2499="","",IF('ATP Fills'!I2499="3M","",VLOOKUP(RIGHT('ATP Fills'!I2499,2),Helper1!$O$36:$P$48,2,0)))</f>
        <v/>
      </c>
      <c r="K2499" t="str">
        <f>IF(J2499="","",LEFT('ATP Fills'!I2499,4))</f>
        <v/>
      </c>
      <c r="L2499" t="str">
        <f>IF(A2499="","",IF('ATP Fills'!G2499="LME",'ATP Fills'!I2499,""))</f>
        <v/>
      </c>
      <c r="M2499" t="str">
        <f t="shared" ref="M2499:M2562" si="39">IF(A2499="","",IF(F2499="LME",F2499&amp;"-"&amp;I2499&amp;"-"&amp;L2499,J2499&amp;"-"&amp;K2499&amp;"-"&amp;I2499))</f>
        <v/>
      </c>
    </row>
    <row r="2500" spans="1:13">
      <c r="A2500" t="str">
        <f>IF('ATP Fills'!A2500="","",IF('ATP Fills'!Q2500="PHILLIPSG",'ATP Fills'!F2500,""))</f>
        <v/>
      </c>
      <c r="B2500" t="str">
        <f>IF(A2500="","",'ATP Fills'!L2500)</f>
        <v/>
      </c>
      <c r="C2500" t="str">
        <f>IF(A2500="","",'ATP Fills'!M2500)</f>
        <v/>
      </c>
      <c r="D2500" t="str">
        <f>IF(A2500="","",'ATP Fills'!B2500)</f>
        <v/>
      </c>
      <c r="E2500" s="3" t="str">
        <f>IF(A2500="","",IF(DATE(LEFT(D2500,4),MID(D2500,5,2),RIGHT(D2500,2))=Helper1!$P$1,Helper1!$P$1,""))</f>
        <v/>
      </c>
      <c r="F2500" s="3" t="str">
        <f>IF(A2500="","",'ATP Fills'!G2500)</f>
        <v/>
      </c>
      <c r="G2500" t="str">
        <f>IF(A2500="","",'ATP Fills'!H2500)</f>
        <v/>
      </c>
      <c r="H2500" t="str">
        <f>IF(A2500="","",VLOOKUP(G2500,表3_3[],2,0))</f>
        <v/>
      </c>
      <c r="I2500" t="str">
        <f>IF(A2500="","",VLOOKUP(G2500,表3_3[],3,0))</f>
        <v/>
      </c>
      <c r="J2500" t="str">
        <f>IF(A2500="","",IF('ATP Fills'!I2500="3M","",VLOOKUP(RIGHT('ATP Fills'!I2500,2),Helper1!$O$36:$P$48,2,0)))</f>
        <v/>
      </c>
      <c r="K2500" t="str">
        <f>IF(J2500="","",LEFT('ATP Fills'!I2500,4))</f>
        <v/>
      </c>
      <c r="L2500" t="str">
        <f>IF(A2500="","",IF('ATP Fills'!G2500="LME",'ATP Fills'!I2500,""))</f>
        <v/>
      </c>
      <c r="M2500" t="str">
        <f t="shared" si="39"/>
        <v/>
      </c>
    </row>
    <row r="2501" spans="1:13">
      <c r="A2501" t="str">
        <f>IF('ATP Fills'!A2501="","",IF('ATP Fills'!Q2501="PHILLIPSG",'ATP Fills'!F2501,""))</f>
        <v/>
      </c>
      <c r="B2501" t="str">
        <f>IF(A2501="","",'ATP Fills'!L2501)</f>
        <v/>
      </c>
      <c r="C2501" t="str">
        <f>IF(A2501="","",'ATP Fills'!M2501)</f>
        <v/>
      </c>
      <c r="D2501" t="str">
        <f>IF(A2501="","",'ATP Fills'!B2501)</f>
        <v/>
      </c>
      <c r="E2501" s="3" t="str">
        <f>IF(A2501="","",IF(DATE(LEFT(D2501,4),MID(D2501,5,2),RIGHT(D2501,2))=Helper1!$P$1,Helper1!$P$1,""))</f>
        <v/>
      </c>
      <c r="F2501" s="3" t="str">
        <f>IF(A2501="","",'ATP Fills'!G2501)</f>
        <v/>
      </c>
      <c r="G2501" t="str">
        <f>IF(A2501="","",'ATP Fills'!H2501)</f>
        <v/>
      </c>
      <c r="H2501" t="str">
        <f>IF(A2501="","",VLOOKUP(G2501,表3_3[],2,0))</f>
        <v/>
      </c>
      <c r="I2501" t="str">
        <f>IF(A2501="","",VLOOKUP(G2501,表3_3[],3,0))</f>
        <v/>
      </c>
      <c r="J2501" t="str">
        <f>IF(A2501="","",IF('ATP Fills'!I2501="3M","",VLOOKUP(RIGHT('ATP Fills'!I2501,2),Helper1!$O$36:$P$48,2,0)))</f>
        <v/>
      </c>
      <c r="K2501" t="str">
        <f>IF(J2501="","",LEFT('ATP Fills'!I2501,4))</f>
        <v/>
      </c>
      <c r="L2501" t="str">
        <f>IF(A2501="","",IF('ATP Fills'!G2501="LME",'ATP Fills'!I2501,""))</f>
        <v/>
      </c>
      <c r="M2501" t="str">
        <f t="shared" si="39"/>
        <v/>
      </c>
    </row>
    <row r="2502" spans="1:13">
      <c r="A2502" t="str">
        <f>IF('ATP Fills'!A2502="","",IF('ATP Fills'!Q2502="PHILLIPSG",'ATP Fills'!F2502,""))</f>
        <v/>
      </c>
      <c r="B2502" t="str">
        <f>IF(A2502="","",'ATP Fills'!L2502)</f>
        <v/>
      </c>
      <c r="C2502" t="str">
        <f>IF(A2502="","",'ATP Fills'!M2502)</f>
        <v/>
      </c>
      <c r="D2502" t="str">
        <f>IF(A2502="","",'ATP Fills'!B2502)</f>
        <v/>
      </c>
      <c r="E2502" s="3" t="str">
        <f>IF(A2502="","",IF(DATE(LEFT(D2502,4),MID(D2502,5,2),RIGHT(D2502,2))=Helper1!$P$1,Helper1!$P$1,""))</f>
        <v/>
      </c>
      <c r="F2502" s="3" t="str">
        <f>IF(A2502="","",'ATP Fills'!G2502)</f>
        <v/>
      </c>
      <c r="G2502" t="str">
        <f>IF(A2502="","",'ATP Fills'!H2502)</f>
        <v/>
      </c>
      <c r="H2502" t="str">
        <f>IF(A2502="","",VLOOKUP(G2502,表3_3[],2,0))</f>
        <v/>
      </c>
      <c r="I2502" t="str">
        <f>IF(A2502="","",VLOOKUP(G2502,表3_3[],3,0))</f>
        <v/>
      </c>
      <c r="J2502" t="str">
        <f>IF(A2502="","",IF('ATP Fills'!I2502="3M","",VLOOKUP(RIGHT('ATP Fills'!I2502,2),Helper1!$O$36:$P$48,2,0)))</f>
        <v/>
      </c>
      <c r="K2502" t="str">
        <f>IF(J2502="","",LEFT('ATP Fills'!I2502,4))</f>
        <v/>
      </c>
      <c r="L2502" t="str">
        <f>IF(A2502="","",IF('ATP Fills'!G2502="LME",'ATP Fills'!I2502,""))</f>
        <v/>
      </c>
      <c r="M2502" t="str">
        <f t="shared" si="39"/>
        <v/>
      </c>
    </row>
    <row r="2503" spans="1:13">
      <c r="A2503" t="str">
        <f>IF('ATP Fills'!A2503="","",IF('ATP Fills'!Q2503="PHILLIPSG",'ATP Fills'!F2503,""))</f>
        <v/>
      </c>
      <c r="B2503" t="str">
        <f>IF(A2503="","",'ATP Fills'!L2503)</f>
        <v/>
      </c>
      <c r="C2503" t="str">
        <f>IF(A2503="","",'ATP Fills'!M2503)</f>
        <v/>
      </c>
      <c r="D2503" t="str">
        <f>IF(A2503="","",'ATP Fills'!B2503)</f>
        <v/>
      </c>
      <c r="E2503" s="3" t="str">
        <f>IF(A2503="","",IF(DATE(LEFT(D2503,4),MID(D2503,5,2),RIGHT(D2503,2))=Helper1!$P$1,Helper1!$P$1,""))</f>
        <v/>
      </c>
      <c r="F2503" s="3" t="str">
        <f>IF(A2503="","",'ATP Fills'!G2503)</f>
        <v/>
      </c>
      <c r="G2503" t="str">
        <f>IF(A2503="","",'ATP Fills'!H2503)</f>
        <v/>
      </c>
      <c r="H2503" t="str">
        <f>IF(A2503="","",VLOOKUP(G2503,表3_3[],2,0))</f>
        <v/>
      </c>
      <c r="I2503" t="str">
        <f>IF(A2503="","",VLOOKUP(G2503,表3_3[],3,0))</f>
        <v/>
      </c>
      <c r="J2503" t="str">
        <f>IF(A2503="","",IF('ATP Fills'!I2503="3M","",VLOOKUP(RIGHT('ATP Fills'!I2503,2),Helper1!$O$36:$P$48,2,0)))</f>
        <v/>
      </c>
      <c r="K2503" t="str">
        <f>IF(J2503="","",LEFT('ATP Fills'!I2503,4))</f>
        <v/>
      </c>
      <c r="L2503" t="str">
        <f>IF(A2503="","",IF('ATP Fills'!G2503="LME",'ATP Fills'!I2503,""))</f>
        <v/>
      </c>
      <c r="M2503" t="str">
        <f t="shared" si="39"/>
        <v/>
      </c>
    </row>
    <row r="2504" spans="1:13">
      <c r="A2504" t="str">
        <f>IF('ATP Fills'!A2504="","",IF('ATP Fills'!Q2504="PHILLIPSG",'ATP Fills'!F2504,""))</f>
        <v/>
      </c>
      <c r="B2504" t="str">
        <f>IF(A2504="","",'ATP Fills'!L2504)</f>
        <v/>
      </c>
      <c r="C2504" t="str">
        <f>IF(A2504="","",'ATP Fills'!M2504)</f>
        <v/>
      </c>
      <c r="D2504" t="str">
        <f>IF(A2504="","",'ATP Fills'!B2504)</f>
        <v/>
      </c>
      <c r="E2504" s="3" t="str">
        <f>IF(A2504="","",IF(DATE(LEFT(D2504,4),MID(D2504,5,2),RIGHT(D2504,2))=Helper1!$P$1,Helper1!$P$1,""))</f>
        <v/>
      </c>
      <c r="F2504" s="3" t="str">
        <f>IF(A2504="","",'ATP Fills'!G2504)</f>
        <v/>
      </c>
      <c r="G2504" t="str">
        <f>IF(A2504="","",'ATP Fills'!H2504)</f>
        <v/>
      </c>
      <c r="H2504" t="str">
        <f>IF(A2504="","",VLOOKUP(G2504,表3_3[],2,0))</f>
        <v/>
      </c>
      <c r="I2504" t="str">
        <f>IF(A2504="","",VLOOKUP(G2504,表3_3[],3,0))</f>
        <v/>
      </c>
      <c r="J2504" t="str">
        <f>IF(A2504="","",IF('ATP Fills'!I2504="3M","",VLOOKUP(RIGHT('ATP Fills'!I2504,2),Helper1!$O$36:$P$48,2,0)))</f>
        <v/>
      </c>
      <c r="K2504" t="str">
        <f>IF(J2504="","",LEFT('ATP Fills'!I2504,4))</f>
        <v/>
      </c>
      <c r="L2504" t="str">
        <f>IF(A2504="","",IF('ATP Fills'!G2504="LME",'ATP Fills'!I2504,""))</f>
        <v/>
      </c>
      <c r="M2504" t="str">
        <f t="shared" si="39"/>
        <v/>
      </c>
    </row>
    <row r="2505" spans="1:13">
      <c r="A2505" t="str">
        <f>IF('ATP Fills'!A2505="","",IF('ATP Fills'!Q2505="PHILLIPSG",'ATP Fills'!F2505,""))</f>
        <v/>
      </c>
      <c r="B2505" t="str">
        <f>IF(A2505="","",'ATP Fills'!L2505)</f>
        <v/>
      </c>
      <c r="C2505" t="str">
        <f>IF(A2505="","",'ATP Fills'!M2505)</f>
        <v/>
      </c>
      <c r="D2505" t="str">
        <f>IF(A2505="","",'ATP Fills'!B2505)</f>
        <v/>
      </c>
      <c r="E2505" s="3" t="str">
        <f>IF(A2505="","",IF(DATE(LEFT(D2505,4),MID(D2505,5,2),RIGHT(D2505,2))=Helper1!$P$1,Helper1!$P$1,""))</f>
        <v/>
      </c>
      <c r="F2505" s="3" t="str">
        <f>IF(A2505="","",'ATP Fills'!G2505)</f>
        <v/>
      </c>
      <c r="G2505" t="str">
        <f>IF(A2505="","",'ATP Fills'!H2505)</f>
        <v/>
      </c>
      <c r="H2505" t="str">
        <f>IF(A2505="","",VLOOKUP(G2505,表3_3[],2,0))</f>
        <v/>
      </c>
      <c r="I2505" t="str">
        <f>IF(A2505="","",VLOOKUP(G2505,表3_3[],3,0))</f>
        <v/>
      </c>
      <c r="J2505" t="str">
        <f>IF(A2505="","",IF('ATP Fills'!I2505="3M","",VLOOKUP(RIGHT('ATP Fills'!I2505,2),Helper1!$O$36:$P$48,2,0)))</f>
        <v/>
      </c>
      <c r="K2505" t="str">
        <f>IF(J2505="","",LEFT('ATP Fills'!I2505,4))</f>
        <v/>
      </c>
      <c r="L2505" t="str">
        <f>IF(A2505="","",IF('ATP Fills'!G2505="LME",'ATP Fills'!I2505,""))</f>
        <v/>
      </c>
      <c r="M2505" t="str">
        <f t="shared" si="39"/>
        <v/>
      </c>
    </row>
    <row r="2506" spans="1:13">
      <c r="A2506" t="str">
        <f>IF('ATP Fills'!A2506="","",IF('ATP Fills'!Q2506="PHILLIPSG",'ATP Fills'!F2506,""))</f>
        <v/>
      </c>
      <c r="B2506" t="str">
        <f>IF(A2506="","",'ATP Fills'!L2506)</f>
        <v/>
      </c>
      <c r="C2506" t="str">
        <f>IF(A2506="","",'ATP Fills'!M2506)</f>
        <v/>
      </c>
      <c r="D2506" t="str">
        <f>IF(A2506="","",'ATP Fills'!B2506)</f>
        <v/>
      </c>
      <c r="E2506" s="3" t="str">
        <f>IF(A2506="","",IF(DATE(LEFT(D2506,4),MID(D2506,5,2),RIGHT(D2506,2))=Helper1!$P$1,Helper1!$P$1,""))</f>
        <v/>
      </c>
      <c r="F2506" s="3" t="str">
        <f>IF(A2506="","",'ATP Fills'!G2506)</f>
        <v/>
      </c>
      <c r="G2506" t="str">
        <f>IF(A2506="","",'ATP Fills'!H2506)</f>
        <v/>
      </c>
      <c r="H2506" t="str">
        <f>IF(A2506="","",VLOOKUP(G2506,表3_3[],2,0))</f>
        <v/>
      </c>
      <c r="I2506" t="str">
        <f>IF(A2506="","",VLOOKUP(G2506,表3_3[],3,0))</f>
        <v/>
      </c>
      <c r="J2506" t="str">
        <f>IF(A2506="","",IF('ATP Fills'!I2506="3M","",VLOOKUP(RIGHT('ATP Fills'!I2506,2),Helper1!$O$36:$P$48,2,0)))</f>
        <v/>
      </c>
      <c r="K2506" t="str">
        <f>IF(J2506="","",LEFT('ATP Fills'!I2506,4))</f>
        <v/>
      </c>
      <c r="L2506" t="str">
        <f>IF(A2506="","",IF('ATP Fills'!G2506="LME",'ATP Fills'!I2506,""))</f>
        <v/>
      </c>
      <c r="M2506" t="str">
        <f t="shared" si="39"/>
        <v/>
      </c>
    </row>
    <row r="2507" spans="1:13">
      <c r="A2507" t="str">
        <f>IF('ATP Fills'!A2507="","",IF('ATP Fills'!Q2507="PHILLIPSG",'ATP Fills'!F2507,""))</f>
        <v/>
      </c>
      <c r="B2507" t="str">
        <f>IF(A2507="","",'ATP Fills'!L2507)</f>
        <v/>
      </c>
      <c r="C2507" t="str">
        <f>IF(A2507="","",'ATP Fills'!M2507)</f>
        <v/>
      </c>
      <c r="D2507" t="str">
        <f>IF(A2507="","",'ATP Fills'!B2507)</f>
        <v/>
      </c>
      <c r="E2507" s="3" t="str">
        <f>IF(A2507="","",IF(DATE(LEFT(D2507,4),MID(D2507,5,2),RIGHT(D2507,2))=Helper1!$P$1,Helper1!$P$1,""))</f>
        <v/>
      </c>
      <c r="F2507" s="3" t="str">
        <f>IF(A2507="","",'ATP Fills'!G2507)</f>
        <v/>
      </c>
      <c r="G2507" t="str">
        <f>IF(A2507="","",'ATP Fills'!H2507)</f>
        <v/>
      </c>
      <c r="H2507" t="str">
        <f>IF(A2507="","",VLOOKUP(G2507,表3_3[],2,0))</f>
        <v/>
      </c>
      <c r="I2507" t="str">
        <f>IF(A2507="","",VLOOKUP(G2507,表3_3[],3,0))</f>
        <v/>
      </c>
      <c r="J2507" t="str">
        <f>IF(A2507="","",IF('ATP Fills'!I2507="3M","",VLOOKUP(RIGHT('ATP Fills'!I2507,2),Helper1!$O$36:$P$48,2,0)))</f>
        <v/>
      </c>
      <c r="K2507" t="str">
        <f>IF(J2507="","",LEFT('ATP Fills'!I2507,4))</f>
        <v/>
      </c>
      <c r="L2507" t="str">
        <f>IF(A2507="","",IF('ATP Fills'!G2507="LME",'ATP Fills'!I2507,""))</f>
        <v/>
      </c>
      <c r="M2507" t="str">
        <f t="shared" si="39"/>
        <v/>
      </c>
    </row>
    <row r="2508" spans="1:13">
      <c r="A2508" t="str">
        <f>IF('ATP Fills'!A2508="","",IF('ATP Fills'!Q2508="PHILLIPSG",'ATP Fills'!F2508,""))</f>
        <v/>
      </c>
      <c r="B2508" t="str">
        <f>IF(A2508="","",'ATP Fills'!L2508)</f>
        <v/>
      </c>
      <c r="C2508" t="str">
        <f>IF(A2508="","",'ATP Fills'!M2508)</f>
        <v/>
      </c>
      <c r="D2508" t="str">
        <f>IF(A2508="","",'ATP Fills'!B2508)</f>
        <v/>
      </c>
      <c r="E2508" s="3" t="str">
        <f>IF(A2508="","",IF(DATE(LEFT(D2508,4),MID(D2508,5,2),RIGHT(D2508,2))=Helper1!$P$1,Helper1!$P$1,""))</f>
        <v/>
      </c>
      <c r="F2508" s="3" t="str">
        <f>IF(A2508="","",'ATP Fills'!G2508)</f>
        <v/>
      </c>
      <c r="G2508" t="str">
        <f>IF(A2508="","",'ATP Fills'!H2508)</f>
        <v/>
      </c>
      <c r="H2508" t="str">
        <f>IF(A2508="","",VLOOKUP(G2508,表3_3[],2,0))</f>
        <v/>
      </c>
      <c r="I2508" t="str">
        <f>IF(A2508="","",VLOOKUP(G2508,表3_3[],3,0))</f>
        <v/>
      </c>
      <c r="J2508" t="str">
        <f>IF(A2508="","",IF('ATP Fills'!I2508="3M","",VLOOKUP(RIGHT('ATP Fills'!I2508,2),Helper1!$O$36:$P$48,2,0)))</f>
        <v/>
      </c>
      <c r="K2508" t="str">
        <f>IF(J2508="","",LEFT('ATP Fills'!I2508,4))</f>
        <v/>
      </c>
      <c r="L2508" t="str">
        <f>IF(A2508="","",IF('ATP Fills'!G2508="LME",'ATP Fills'!I2508,""))</f>
        <v/>
      </c>
      <c r="M2508" t="str">
        <f t="shared" si="39"/>
        <v/>
      </c>
    </row>
    <row r="2509" spans="1:13">
      <c r="A2509" t="str">
        <f>IF('ATP Fills'!A2509="","",IF('ATP Fills'!Q2509="PHILLIPSG",'ATP Fills'!F2509,""))</f>
        <v/>
      </c>
      <c r="B2509" t="str">
        <f>IF(A2509="","",'ATP Fills'!L2509)</f>
        <v/>
      </c>
      <c r="C2509" t="str">
        <f>IF(A2509="","",'ATP Fills'!M2509)</f>
        <v/>
      </c>
      <c r="D2509" t="str">
        <f>IF(A2509="","",'ATP Fills'!B2509)</f>
        <v/>
      </c>
      <c r="E2509" s="3" t="str">
        <f>IF(A2509="","",IF(DATE(LEFT(D2509,4),MID(D2509,5,2),RIGHT(D2509,2))=Helper1!$P$1,Helper1!$P$1,""))</f>
        <v/>
      </c>
      <c r="F2509" s="3" t="str">
        <f>IF(A2509="","",'ATP Fills'!G2509)</f>
        <v/>
      </c>
      <c r="G2509" t="str">
        <f>IF(A2509="","",'ATP Fills'!H2509)</f>
        <v/>
      </c>
      <c r="H2509" t="str">
        <f>IF(A2509="","",VLOOKUP(G2509,表3_3[],2,0))</f>
        <v/>
      </c>
      <c r="I2509" t="str">
        <f>IF(A2509="","",VLOOKUP(G2509,表3_3[],3,0))</f>
        <v/>
      </c>
      <c r="J2509" t="str">
        <f>IF(A2509="","",IF('ATP Fills'!I2509="3M","",VLOOKUP(RIGHT('ATP Fills'!I2509,2),Helper1!$O$36:$P$48,2,0)))</f>
        <v/>
      </c>
      <c r="K2509" t="str">
        <f>IF(J2509="","",LEFT('ATP Fills'!I2509,4))</f>
        <v/>
      </c>
      <c r="L2509" t="str">
        <f>IF(A2509="","",IF('ATP Fills'!G2509="LME",'ATP Fills'!I2509,""))</f>
        <v/>
      </c>
      <c r="M2509" t="str">
        <f t="shared" si="39"/>
        <v/>
      </c>
    </row>
    <row r="2510" spans="1:13">
      <c r="A2510" t="str">
        <f>IF('ATP Fills'!A2510="","",IF('ATP Fills'!Q2510="PHILLIPSG",'ATP Fills'!F2510,""))</f>
        <v/>
      </c>
      <c r="B2510" t="str">
        <f>IF(A2510="","",'ATP Fills'!L2510)</f>
        <v/>
      </c>
      <c r="C2510" t="str">
        <f>IF(A2510="","",'ATP Fills'!M2510)</f>
        <v/>
      </c>
      <c r="D2510" t="str">
        <f>IF(A2510="","",'ATP Fills'!B2510)</f>
        <v/>
      </c>
      <c r="E2510" s="3" t="str">
        <f>IF(A2510="","",IF(DATE(LEFT(D2510,4),MID(D2510,5,2),RIGHT(D2510,2))=Helper1!$P$1,Helper1!$P$1,""))</f>
        <v/>
      </c>
      <c r="F2510" s="3" t="str">
        <f>IF(A2510="","",'ATP Fills'!G2510)</f>
        <v/>
      </c>
      <c r="G2510" t="str">
        <f>IF(A2510="","",'ATP Fills'!H2510)</f>
        <v/>
      </c>
      <c r="H2510" t="str">
        <f>IF(A2510="","",VLOOKUP(G2510,表3_3[],2,0))</f>
        <v/>
      </c>
      <c r="I2510" t="str">
        <f>IF(A2510="","",VLOOKUP(G2510,表3_3[],3,0))</f>
        <v/>
      </c>
      <c r="J2510" t="str">
        <f>IF(A2510="","",IF('ATP Fills'!I2510="3M","",VLOOKUP(RIGHT('ATP Fills'!I2510,2),Helper1!$O$36:$P$48,2,0)))</f>
        <v/>
      </c>
      <c r="K2510" t="str">
        <f>IF(J2510="","",LEFT('ATP Fills'!I2510,4))</f>
        <v/>
      </c>
      <c r="L2510" t="str">
        <f>IF(A2510="","",IF('ATP Fills'!G2510="LME",'ATP Fills'!I2510,""))</f>
        <v/>
      </c>
      <c r="M2510" t="str">
        <f t="shared" si="39"/>
        <v/>
      </c>
    </row>
    <row r="2511" spans="1:13">
      <c r="A2511" t="str">
        <f>IF('ATP Fills'!A2511="","",IF('ATP Fills'!Q2511="PHILLIPSG",'ATP Fills'!F2511,""))</f>
        <v/>
      </c>
      <c r="B2511" t="str">
        <f>IF(A2511="","",'ATP Fills'!L2511)</f>
        <v/>
      </c>
      <c r="C2511" t="str">
        <f>IF(A2511="","",'ATP Fills'!M2511)</f>
        <v/>
      </c>
      <c r="D2511" t="str">
        <f>IF(A2511="","",'ATP Fills'!B2511)</f>
        <v/>
      </c>
      <c r="E2511" s="3" t="str">
        <f>IF(A2511="","",IF(DATE(LEFT(D2511,4),MID(D2511,5,2),RIGHT(D2511,2))=Helper1!$P$1,Helper1!$P$1,""))</f>
        <v/>
      </c>
      <c r="F2511" s="3" t="str">
        <f>IF(A2511="","",'ATP Fills'!G2511)</f>
        <v/>
      </c>
      <c r="G2511" t="str">
        <f>IF(A2511="","",'ATP Fills'!H2511)</f>
        <v/>
      </c>
      <c r="H2511" t="str">
        <f>IF(A2511="","",VLOOKUP(G2511,表3_3[],2,0))</f>
        <v/>
      </c>
      <c r="I2511" t="str">
        <f>IF(A2511="","",VLOOKUP(G2511,表3_3[],3,0))</f>
        <v/>
      </c>
      <c r="J2511" t="str">
        <f>IF(A2511="","",IF('ATP Fills'!I2511="3M","",VLOOKUP(RIGHT('ATP Fills'!I2511,2),Helper1!$O$36:$P$48,2,0)))</f>
        <v/>
      </c>
      <c r="K2511" t="str">
        <f>IF(J2511="","",LEFT('ATP Fills'!I2511,4))</f>
        <v/>
      </c>
      <c r="L2511" t="str">
        <f>IF(A2511="","",IF('ATP Fills'!G2511="LME",'ATP Fills'!I2511,""))</f>
        <v/>
      </c>
      <c r="M2511" t="str">
        <f t="shared" si="39"/>
        <v/>
      </c>
    </row>
    <row r="2512" spans="1:13">
      <c r="A2512" t="str">
        <f>IF('ATP Fills'!A2512="","",IF('ATP Fills'!Q2512="PHILLIPSG",'ATP Fills'!F2512,""))</f>
        <v/>
      </c>
      <c r="B2512" t="str">
        <f>IF(A2512="","",'ATP Fills'!L2512)</f>
        <v/>
      </c>
      <c r="C2512" t="str">
        <f>IF(A2512="","",'ATP Fills'!M2512)</f>
        <v/>
      </c>
      <c r="D2512" t="str">
        <f>IF(A2512="","",'ATP Fills'!B2512)</f>
        <v/>
      </c>
      <c r="E2512" s="3" t="str">
        <f>IF(A2512="","",IF(DATE(LEFT(D2512,4),MID(D2512,5,2),RIGHT(D2512,2))=Helper1!$P$1,Helper1!$P$1,""))</f>
        <v/>
      </c>
      <c r="F2512" s="3" t="str">
        <f>IF(A2512="","",'ATP Fills'!G2512)</f>
        <v/>
      </c>
      <c r="G2512" t="str">
        <f>IF(A2512="","",'ATP Fills'!H2512)</f>
        <v/>
      </c>
      <c r="H2512" t="str">
        <f>IF(A2512="","",VLOOKUP(G2512,表3_3[],2,0))</f>
        <v/>
      </c>
      <c r="I2512" t="str">
        <f>IF(A2512="","",VLOOKUP(G2512,表3_3[],3,0))</f>
        <v/>
      </c>
      <c r="J2512" t="str">
        <f>IF(A2512="","",IF('ATP Fills'!I2512="3M","",VLOOKUP(RIGHT('ATP Fills'!I2512,2),Helper1!$O$36:$P$48,2,0)))</f>
        <v/>
      </c>
      <c r="K2512" t="str">
        <f>IF(J2512="","",LEFT('ATP Fills'!I2512,4))</f>
        <v/>
      </c>
      <c r="L2512" t="str">
        <f>IF(A2512="","",IF('ATP Fills'!G2512="LME",'ATP Fills'!I2512,""))</f>
        <v/>
      </c>
      <c r="M2512" t="str">
        <f t="shared" si="39"/>
        <v/>
      </c>
    </row>
    <row r="2513" spans="1:13">
      <c r="A2513" t="str">
        <f>IF('ATP Fills'!A2513="","",IF('ATP Fills'!Q2513="PHILLIPSG",'ATP Fills'!F2513,""))</f>
        <v/>
      </c>
      <c r="B2513" t="str">
        <f>IF(A2513="","",'ATP Fills'!L2513)</f>
        <v/>
      </c>
      <c r="C2513" t="str">
        <f>IF(A2513="","",'ATP Fills'!M2513)</f>
        <v/>
      </c>
      <c r="D2513" t="str">
        <f>IF(A2513="","",'ATP Fills'!B2513)</f>
        <v/>
      </c>
      <c r="E2513" s="3" t="str">
        <f>IF(A2513="","",IF(DATE(LEFT(D2513,4),MID(D2513,5,2),RIGHT(D2513,2))=Helper1!$P$1,Helper1!$P$1,""))</f>
        <v/>
      </c>
      <c r="F2513" s="3" t="str">
        <f>IF(A2513="","",'ATP Fills'!G2513)</f>
        <v/>
      </c>
      <c r="G2513" t="str">
        <f>IF(A2513="","",'ATP Fills'!H2513)</f>
        <v/>
      </c>
      <c r="H2513" t="str">
        <f>IF(A2513="","",VLOOKUP(G2513,表3_3[],2,0))</f>
        <v/>
      </c>
      <c r="I2513" t="str">
        <f>IF(A2513="","",VLOOKUP(G2513,表3_3[],3,0))</f>
        <v/>
      </c>
      <c r="J2513" t="str">
        <f>IF(A2513="","",IF('ATP Fills'!I2513="3M","",VLOOKUP(RIGHT('ATP Fills'!I2513,2),Helper1!$O$36:$P$48,2,0)))</f>
        <v/>
      </c>
      <c r="K2513" t="str">
        <f>IF(J2513="","",LEFT('ATP Fills'!I2513,4))</f>
        <v/>
      </c>
      <c r="L2513" t="str">
        <f>IF(A2513="","",IF('ATP Fills'!G2513="LME",'ATP Fills'!I2513,""))</f>
        <v/>
      </c>
      <c r="M2513" t="str">
        <f t="shared" si="39"/>
        <v/>
      </c>
    </row>
    <row r="2514" spans="1:13">
      <c r="A2514" t="str">
        <f>IF('ATP Fills'!A2514="","",IF('ATP Fills'!Q2514="PHILLIPSG",'ATP Fills'!F2514,""))</f>
        <v/>
      </c>
      <c r="B2514" t="str">
        <f>IF(A2514="","",'ATP Fills'!L2514)</f>
        <v/>
      </c>
      <c r="C2514" t="str">
        <f>IF(A2514="","",'ATP Fills'!M2514)</f>
        <v/>
      </c>
      <c r="D2514" t="str">
        <f>IF(A2514="","",'ATP Fills'!B2514)</f>
        <v/>
      </c>
      <c r="E2514" s="3" t="str">
        <f>IF(A2514="","",IF(DATE(LEFT(D2514,4),MID(D2514,5,2),RIGHT(D2514,2))=Helper1!$P$1,Helper1!$P$1,""))</f>
        <v/>
      </c>
      <c r="F2514" s="3" t="str">
        <f>IF(A2514="","",'ATP Fills'!G2514)</f>
        <v/>
      </c>
      <c r="G2514" t="str">
        <f>IF(A2514="","",'ATP Fills'!H2514)</f>
        <v/>
      </c>
      <c r="H2514" t="str">
        <f>IF(A2514="","",VLOOKUP(G2514,表3_3[],2,0))</f>
        <v/>
      </c>
      <c r="I2514" t="str">
        <f>IF(A2514="","",VLOOKUP(G2514,表3_3[],3,0))</f>
        <v/>
      </c>
      <c r="J2514" t="str">
        <f>IF(A2514="","",IF('ATP Fills'!I2514="3M","",VLOOKUP(RIGHT('ATP Fills'!I2514,2),Helper1!$O$36:$P$48,2,0)))</f>
        <v/>
      </c>
      <c r="K2514" t="str">
        <f>IF(J2514="","",LEFT('ATP Fills'!I2514,4))</f>
        <v/>
      </c>
      <c r="L2514" t="str">
        <f>IF(A2514="","",IF('ATP Fills'!G2514="LME",'ATP Fills'!I2514,""))</f>
        <v/>
      </c>
      <c r="M2514" t="str">
        <f t="shared" si="39"/>
        <v/>
      </c>
    </row>
    <row r="2515" spans="1:13">
      <c r="A2515" t="str">
        <f>IF('ATP Fills'!A2515="","",IF('ATP Fills'!Q2515="PHILLIPSG",'ATP Fills'!F2515,""))</f>
        <v/>
      </c>
      <c r="B2515" t="str">
        <f>IF(A2515="","",'ATP Fills'!L2515)</f>
        <v/>
      </c>
      <c r="C2515" t="str">
        <f>IF(A2515="","",'ATP Fills'!M2515)</f>
        <v/>
      </c>
      <c r="D2515" t="str">
        <f>IF(A2515="","",'ATP Fills'!B2515)</f>
        <v/>
      </c>
      <c r="E2515" s="3" t="str">
        <f>IF(A2515="","",IF(DATE(LEFT(D2515,4),MID(D2515,5,2),RIGHT(D2515,2))=Helper1!$P$1,Helper1!$P$1,""))</f>
        <v/>
      </c>
      <c r="F2515" s="3" t="str">
        <f>IF(A2515="","",'ATP Fills'!G2515)</f>
        <v/>
      </c>
      <c r="G2515" t="str">
        <f>IF(A2515="","",'ATP Fills'!H2515)</f>
        <v/>
      </c>
      <c r="H2515" t="str">
        <f>IF(A2515="","",VLOOKUP(G2515,表3_3[],2,0))</f>
        <v/>
      </c>
      <c r="I2515" t="str">
        <f>IF(A2515="","",VLOOKUP(G2515,表3_3[],3,0))</f>
        <v/>
      </c>
      <c r="J2515" t="str">
        <f>IF(A2515="","",IF('ATP Fills'!I2515="3M","",VLOOKUP(RIGHT('ATP Fills'!I2515,2),Helper1!$O$36:$P$48,2,0)))</f>
        <v/>
      </c>
      <c r="K2515" t="str">
        <f>IF(J2515="","",LEFT('ATP Fills'!I2515,4))</f>
        <v/>
      </c>
      <c r="L2515" t="str">
        <f>IF(A2515="","",IF('ATP Fills'!G2515="LME",'ATP Fills'!I2515,""))</f>
        <v/>
      </c>
      <c r="M2515" t="str">
        <f t="shared" si="39"/>
        <v/>
      </c>
    </row>
    <row r="2516" spans="1:13">
      <c r="A2516" t="str">
        <f>IF('ATP Fills'!A2516="","",IF('ATP Fills'!Q2516="PHILLIPSG",'ATP Fills'!F2516,""))</f>
        <v/>
      </c>
      <c r="B2516" t="str">
        <f>IF(A2516="","",'ATP Fills'!L2516)</f>
        <v/>
      </c>
      <c r="C2516" t="str">
        <f>IF(A2516="","",'ATP Fills'!M2516)</f>
        <v/>
      </c>
      <c r="D2516" t="str">
        <f>IF(A2516="","",'ATP Fills'!B2516)</f>
        <v/>
      </c>
      <c r="E2516" s="3" t="str">
        <f>IF(A2516="","",IF(DATE(LEFT(D2516,4),MID(D2516,5,2),RIGHT(D2516,2))=Helper1!$P$1,Helper1!$P$1,""))</f>
        <v/>
      </c>
      <c r="F2516" s="3" t="str">
        <f>IF(A2516="","",'ATP Fills'!G2516)</f>
        <v/>
      </c>
      <c r="G2516" t="str">
        <f>IF(A2516="","",'ATP Fills'!H2516)</f>
        <v/>
      </c>
      <c r="H2516" t="str">
        <f>IF(A2516="","",VLOOKUP(G2516,表3_3[],2,0))</f>
        <v/>
      </c>
      <c r="I2516" t="str">
        <f>IF(A2516="","",VLOOKUP(G2516,表3_3[],3,0))</f>
        <v/>
      </c>
      <c r="J2516" t="str">
        <f>IF(A2516="","",IF('ATP Fills'!I2516="3M","",VLOOKUP(RIGHT('ATP Fills'!I2516,2),Helper1!$O$36:$P$48,2,0)))</f>
        <v/>
      </c>
      <c r="K2516" t="str">
        <f>IF(J2516="","",LEFT('ATP Fills'!I2516,4))</f>
        <v/>
      </c>
      <c r="L2516" t="str">
        <f>IF(A2516="","",IF('ATP Fills'!G2516="LME",'ATP Fills'!I2516,""))</f>
        <v/>
      </c>
      <c r="M2516" t="str">
        <f t="shared" si="39"/>
        <v/>
      </c>
    </row>
    <row r="2517" spans="1:13">
      <c r="A2517" t="str">
        <f>IF('ATP Fills'!A2517="","",IF('ATP Fills'!Q2517="PHILLIPSG",'ATP Fills'!F2517,""))</f>
        <v/>
      </c>
      <c r="B2517" t="str">
        <f>IF(A2517="","",'ATP Fills'!L2517)</f>
        <v/>
      </c>
      <c r="C2517" t="str">
        <f>IF(A2517="","",'ATP Fills'!M2517)</f>
        <v/>
      </c>
      <c r="D2517" t="str">
        <f>IF(A2517="","",'ATP Fills'!B2517)</f>
        <v/>
      </c>
      <c r="E2517" s="3" t="str">
        <f>IF(A2517="","",IF(DATE(LEFT(D2517,4),MID(D2517,5,2),RIGHT(D2517,2))=Helper1!$P$1,Helper1!$P$1,""))</f>
        <v/>
      </c>
      <c r="F2517" s="3" t="str">
        <f>IF(A2517="","",'ATP Fills'!G2517)</f>
        <v/>
      </c>
      <c r="G2517" t="str">
        <f>IF(A2517="","",'ATP Fills'!H2517)</f>
        <v/>
      </c>
      <c r="H2517" t="str">
        <f>IF(A2517="","",VLOOKUP(G2517,表3_3[],2,0))</f>
        <v/>
      </c>
      <c r="I2517" t="str">
        <f>IF(A2517="","",VLOOKUP(G2517,表3_3[],3,0))</f>
        <v/>
      </c>
      <c r="J2517" t="str">
        <f>IF(A2517="","",IF('ATP Fills'!I2517="3M","",VLOOKUP(RIGHT('ATP Fills'!I2517,2),Helper1!$O$36:$P$48,2,0)))</f>
        <v/>
      </c>
      <c r="K2517" t="str">
        <f>IF(J2517="","",LEFT('ATP Fills'!I2517,4))</f>
        <v/>
      </c>
      <c r="L2517" t="str">
        <f>IF(A2517="","",IF('ATP Fills'!G2517="LME",'ATP Fills'!I2517,""))</f>
        <v/>
      </c>
      <c r="M2517" t="str">
        <f t="shared" si="39"/>
        <v/>
      </c>
    </row>
    <row r="2518" spans="1:13">
      <c r="A2518" t="str">
        <f>IF('ATP Fills'!A2518="","",IF('ATP Fills'!Q2518="PHILLIPSG",'ATP Fills'!F2518,""))</f>
        <v/>
      </c>
      <c r="B2518" t="str">
        <f>IF(A2518="","",'ATP Fills'!L2518)</f>
        <v/>
      </c>
      <c r="C2518" t="str">
        <f>IF(A2518="","",'ATP Fills'!M2518)</f>
        <v/>
      </c>
      <c r="D2518" t="str">
        <f>IF(A2518="","",'ATP Fills'!B2518)</f>
        <v/>
      </c>
      <c r="E2518" s="3" t="str">
        <f>IF(A2518="","",IF(DATE(LEFT(D2518,4),MID(D2518,5,2),RIGHT(D2518,2))=Helper1!$P$1,Helper1!$P$1,""))</f>
        <v/>
      </c>
      <c r="F2518" s="3" t="str">
        <f>IF(A2518="","",'ATP Fills'!G2518)</f>
        <v/>
      </c>
      <c r="G2518" t="str">
        <f>IF(A2518="","",'ATP Fills'!H2518)</f>
        <v/>
      </c>
      <c r="H2518" t="str">
        <f>IF(A2518="","",VLOOKUP(G2518,表3_3[],2,0))</f>
        <v/>
      </c>
      <c r="I2518" t="str">
        <f>IF(A2518="","",VLOOKUP(G2518,表3_3[],3,0))</f>
        <v/>
      </c>
      <c r="J2518" t="str">
        <f>IF(A2518="","",IF('ATP Fills'!I2518="3M","",VLOOKUP(RIGHT('ATP Fills'!I2518,2),Helper1!$O$36:$P$48,2,0)))</f>
        <v/>
      </c>
      <c r="K2518" t="str">
        <f>IF(J2518="","",LEFT('ATP Fills'!I2518,4))</f>
        <v/>
      </c>
      <c r="L2518" t="str">
        <f>IF(A2518="","",IF('ATP Fills'!G2518="LME",'ATP Fills'!I2518,""))</f>
        <v/>
      </c>
      <c r="M2518" t="str">
        <f t="shared" si="39"/>
        <v/>
      </c>
    </row>
    <row r="2519" spans="1:13">
      <c r="A2519" t="str">
        <f>IF('ATP Fills'!A2519="","",IF('ATP Fills'!Q2519="PHILLIPSG",'ATP Fills'!F2519,""))</f>
        <v/>
      </c>
      <c r="B2519" t="str">
        <f>IF(A2519="","",'ATP Fills'!L2519)</f>
        <v/>
      </c>
      <c r="C2519" t="str">
        <f>IF(A2519="","",'ATP Fills'!M2519)</f>
        <v/>
      </c>
      <c r="D2519" t="str">
        <f>IF(A2519="","",'ATP Fills'!B2519)</f>
        <v/>
      </c>
      <c r="E2519" s="3" t="str">
        <f>IF(A2519="","",IF(DATE(LEFT(D2519,4),MID(D2519,5,2),RIGHT(D2519,2))=Helper1!$P$1,Helper1!$P$1,""))</f>
        <v/>
      </c>
      <c r="F2519" s="3" t="str">
        <f>IF(A2519="","",'ATP Fills'!G2519)</f>
        <v/>
      </c>
      <c r="G2519" t="str">
        <f>IF(A2519="","",'ATP Fills'!H2519)</f>
        <v/>
      </c>
      <c r="H2519" t="str">
        <f>IF(A2519="","",VLOOKUP(G2519,表3_3[],2,0))</f>
        <v/>
      </c>
      <c r="I2519" t="str">
        <f>IF(A2519="","",VLOOKUP(G2519,表3_3[],3,0))</f>
        <v/>
      </c>
      <c r="J2519" t="str">
        <f>IF(A2519="","",IF('ATP Fills'!I2519="3M","",VLOOKUP(RIGHT('ATP Fills'!I2519,2),Helper1!$O$36:$P$48,2,0)))</f>
        <v/>
      </c>
      <c r="K2519" t="str">
        <f>IF(J2519="","",LEFT('ATP Fills'!I2519,4))</f>
        <v/>
      </c>
      <c r="L2519" t="str">
        <f>IF(A2519="","",IF('ATP Fills'!G2519="LME",'ATP Fills'!I2519,""))</f>
        <v/>
      </c>
      <c r="M2519" t="str">
        <f t="shared" si="39"/>
        <v/>
      </c>
    </row>
    <row r="2520" spans="1:13">
      <c r="A2520" t="str">
        <f>IF('ATP Fills'!A2520="","",IF('ATP Fills'!Q2520="PHILLIPSG",'ATP Fills'!F2520,""))</f>
        <v/>
      </c>
      <c r="B2520" t="str">
        <f>IF(A2520="","",'ATP Fills'!L2520)</f>
        <v/>
      </c>
      <c r="C2520" t="str">
        <f>IF(A2520="","",'ATP Fills'!M2520)</f>
        <v/>
      </c>
      <c r="D2520" t="str">
        <f>IF(A2520="","",'ATP Fills'!B2520)</f>
        <v/>
      </c>
      <c r="E2520" s="3" t="str">
        <f>IF(A2520="","",IF(DATE(LEFT(D2520,4),MID(D2520,5,2),RIGHT(D2520,2))=Helper1!$P$1,Helper1!$P$1,""))</f>
        <v/>
      </c>
      <c r="F2520" s="3" t="str">
        <f>IF(A2520="","",'ATP Fills'!G2520)</f>
        <v/>
      </c>
      <c r="G2520" t="str">
        <f>IF(A2520="","",'ATP Fills'!H2520)</f>
        <v/>
      </c>
      <c r="H2520" t="str">
        <f>IF(A2520="","",VLOOKUP(G2520,表3_3[],2,0))</f>
        <v/>
      </c>
      <c r="I2520" t="str">
        <f>IF(A2520="","",VLOOKUP(G2520,表3_3[],3,0))</f>
        <v/>
      </c>
      <c r="J2520" t="str">
        <f>IF(A2520="","",IF('ATP Fills'!I2520="3M","",VLOOKUP(RIGHT('ATP Fills'!I2520,2),Helper1!$O$36:$P$48,2,0)))</f>
        <v/>
      </c>
      <c r="K2520" t="str">
        <f>IF(J2520="","",LEFT('ATP Fills'!I2520,4))</f>
        <v/>
      </c>
      <c r="L2520" t="str">
        <f>IF(A2520="","",IF('ATP Fills'!G2520="LME",'ATP Fills'!I2520,""))</f>
        <v/>
      </c>
      <c r="M2520" t="str">
        <f t="shared" si="39"/>
        <v/>
      </c>
    </row>
    <row r="2521" spans="1:13">
      <c r="A2521" t="str">
        <f>IF('ATP Fills'!A2521="","",IF('ATP Fills'!Q2521="PHILLIPSG",'ATP Fills'!F2521,""))</f>
        <v/>
      </c>
      <c r="B2521" t="str">
        <f>IF(A2521="","",'ATP Fills'!L2521)</f>
        <v/>
      </c>
      <c r="C2521" t="str">
        <f>IF(A2521="","",'ATP Fills'!M2521)</f>
        <v/>
      </c>
      <c r="D2521" t="str">
        <f>IF(A2521="","",'ATP Fills'!B2521)</f>
        <v/>
      </c>
      <c r="E2521" s="3" t="str">
        <f>IF(A2521="","",IF(DATE(LEFT(D2521,4),MID(D2521,5,2),RIGHT(D2521,2))=Helper1!$P$1,Helper1!$P$1,""))</f>
        <v/>
      </c>
      <c r="F2521" s="3" t="str">
        <f>IF(A2521="","",'ATP Fills'!G2521)</f>
        <v/>
      </c>
      <c r="G2521" t="str">
        <f>IF(A2521="","",'ATP Fills'!H2521)</f>
        <v/>
      </c>
      <c r="H2521" t="str">
        <f>IF(A2521="","",VLOOKUP(G2521,表3_3[],2,0))</f>
        <v/>
      </c>
      <c r="I2521" t="str">
        <f>IF(A2521="","",VLOOKUP(G2521,表3_3[],3,0))</f>
        <v/>
      </c>
      <c r="J2521" t="str">
        <f>IF(A2521="","",IF('ATP Fills'!I2521="3M","",VLOOKUP(RIGHT('ATP Fills'!I2521,2),Helper1!$O$36:$P$48,2,0)))</f>
        <v/>
      </c>
      <c r="K2521" t="str">
        <f>IF(J2521="","",LEFT('ATP Fills'!I2521,4))</f>
        <v/>
      </c>
      <c r="L2521" t="str">
        <f>IF(A2521="","",IF('ATP Fills'!G2521="LME",'ATP Fills'!I2521,""))</f>
        <v/>
      </c>
      <c r="M2521" t="str">
        <f t="shared" si="39"/>
        <v/>
      </c>
    </row>
    <row r="2522" spans="1:13">
      <c r="A2522" t="str">
        <f>IF('ATP Fills'!A2522="","",IF('ATP Fills'!Q2522="PHILLIPSG",'ATP Fills'!F2522,""))</f>
        <v/>
      </c>
      <c r="B2522" t="str">
        <f>IF(A2522="","",'ATP Fills'!L2522)</f>
        <v/>
      </c>
      <c r="C2522" t="str">
        <f>IF(A2522="","",'ATP Fills'!M2522)</f>
        <v/>
      </c>
      <c r="D2522" t="str">
        <f>IF(A2522="","",'ATP Fills'!B2522)</f>
        <v/>
      </c>
      <c r="E2522" s="3" t="str">
        <f>IF(A2522="","",IF(DATE(LEFT(D2522,4),MID(D2522,5,2),RIGHT(D2522,2))=Helper1!$P$1,Helper1!$P$1,""))</f>
        <v/>
      </c>
      <c r="F2522" s="3" t="str">
        <f>IF(A2522="","",'ATP Fills'!G2522)</f>
        <v/>
      </c>
      <c r="G2522" t="str">
        <f>IF(A2522="","",'ATP Fills'!H2522)</f>
        <v/>
      </c>
      <c r="H2522" t="str">
        <f>IF(A2522="","",VLOOKUP(G2522,表3_3[],2,0))</f>
        <v/>
      </c>
      <c r="I2522" t="str">
        <f>IF(A2522="","",VLOOKUP(G2522,表3_3[],3,0))</f>
        <v/>
      </c>
      <c r="J2522" t="str">
        <f>IF(A2522="","",IF('ATP Fills'!I2522="3M","",VLOOKUP(RIGHT('ATP Fills'!I2522,2),Helper1!$O$36:$P$48,2,0)))</f>
        <v/>
      </c>
      <c r="K2522" t="str">
        <f>IF(J2522="","",LEFT('ATP Fills'!I2522,4))</f>
        <v/>
      </c>
      <c r="L2522" t="str">
        <f>IF(A2522="","",IF('ATP Fills'!G2522="LME",'ATP Fills'!I2522,""))</f>
        <v/>
      </c>
      <c r="M2522" t="str">
        <f t="shared" si="39"/>
        <v/>
      </c>
    </row>
    <row r="2523" spans="1:13">
      <c r="A2523" t="str">
        <f>IF('ATP Fills'!A2523="","",IF('ATP Fills'!Q2523="PHILLIPSG",'ATP Fills'!F2523,""))</f>
        <v/>
      </c>
      <c r="B2523" t="str">
        <f>IF(A2523="","",'ATP Fills'!L2523)</f>
        <v/>
      </c>
      <c r="C2523" t="str">
        <f>IF(A2523="","",'ATP Fills'!M2523)</f>
        <v/>
      </c>
      <c r="D2523" t="str">
        <f>IF(A2523="","",'ATP Fills'!B2523)</f>
        <v/>
      </c>
      <c r="E2523" s="3" t="str">
        <f>IF(A2523="","",IF(DATE(LEFT(D2523,4),MID(D2523,5,2),RIGHT(D2523,2))=Helper1!$P$1,Helper1!$P$1,""))</f>
        <v/>
      </c>
      <c r="F2523" s="3" t="str">
        <f>IF(A2523="","",'ATP Fills'!G2523)</f>
        <v/>
      </c>
      <c r="G2523" t="str">
        <f>IF(A2523="","",'ATP Fills'!H2523)</f>
        <v/>
      </c>
      <c r="H2523" t="str">
        <f>IF(A2523="","",VLOOKUP(G2523,表3_3[],2,0))</f>
        <v/>
      </c>
      <c r="I2523" t="str">
        <f>IF(A2523="","",VLOOKUP(G2523,表3_3[],3,0))</f>
        <v/>
      </c>
      <c r="J2523" t="str">
        <f>IF(A2523="","",IF('ATP Fills'!I2523="3M","",VLOOKUP(RIGHT('ATP Fills'!I2523,2),Helper1!$O$36:$P$48,2,0)))</f>
        <v/>
      </c>
      <c r="K2523" t="str">
        <f>IF(J2523="","",LEFT('ATP Fills'!I2523,4))</f>
        <v/>
      </c>
      <c r="L2523" t="str">
        <f>IF(A2523="","",IF('ATP Fills'!G2523="LME",'ATP Fills'!I2523,""))</f>
        <v/>
      </c>
      <c r="M2523" t="str">
        <f t="shared" si="39"/>
        <v/>
      </c>
    </row>
    <row r="2524" spans="1:13">
      <c r="A2524" t="str">
        <f>IF('ATP Fills'!A2524="","",IF('ATP Fills'!Q2524="PHILLIPSG",'ATP Fills'!F2524,""))</f>
        <v/>
      </c>
      <c r="B2524" t="str">
        <f>IF(A2524="","",'ATP Fills'!L2524)</f>
        <v/>
      </c>
      <c r="C2524" t="str">
        <f>IF(A2524="","",'ATP Fills'!M2524)</f>
        <v/>
      </c>
      <c r="D2524" t="str">
        <f>IF(A2524="","",'ATP Fills'!B2524)</f>
        <v/>
      </c>
      <c r="E2524" s="3" t="str">
        <f>IF(A2524="","",IF(DATE(LEFT(D2524,4),MID(D2524,5,2),RIGHT(D2524,2))=Helper1!$P$1,Helper1!$P$1,""))</f>
        <v/>
      </c>
      <c r="F2524" s="3" t="str">
        <f>IF(A2524="","",'ATP Fills'!G2524)</f>
        <v/>
      </c>
      <c r="G2524" t="str">
        <f>IF(A2524="","",'ATP Fills'!H2524)</f>
        <v/>
      </c>
      <c r="H2524" t="str">
        <f>IF(A2524="","",VLOOKUP(G2524,表3_3[],2,0))</f>
        <v/>
      </c>
      <c r="I2524" t="str">
        <f>IF(A2524="","",VLOOKUP(G2524,表3_3[],3,0))</f>
        <v/>
      </c>
      <c r="J2524" t="str">
        <f>IF(A2524="","",IF('ATP Fills'!I2524="3M","",VLOOKUP(RIGHT('ATP Fills'!I2524,2),Helper1!$O$36:$P$48,2,0)))</f>
        <v/>
      </c>
      <c r="K2524" t="str">
        <f>IF(J2524="","",LEFT('ATP Fills'!I2524,4))</f>
        <v/>
      </c>
      <c r="L2524" t="str">
        <f>IF(A2524="","",IF('ATP Fills'!G2524="LME",'ATP Fills'!I2524,""))</f>
        <v/>
      </c>
      <c r="M2524" t="str">
        <f t="shared" si="39"/>
        <v/>
      </c>
    </row>
    <row r="2525" spans="1:13">
      <c r="A2525" t="str">
        <f>IF('ATP Fills'!A2525="","",IF('ATP Fills'!Q2525="PHILLIPSG",'ATP Fills'!F2525,""))</f>
        <v/>
      </c>
      <c r="B2525" t="str">
        <f>IF(A2525="","",'ATP Fills'!L2525)</f>
        <v/>
      </c>
      <c r="C2525" t="str">
        <f>IF(A2525="","",'ATP Fills'!M2525)</f>
        <v/>
      </c>
      <c r="D2525" t="str">
        <f>IF(A2525="","",'ATP Fills'!B2525)</f>
        <v/>
      </c>
      <c r="E2525" s="3" t="str">
        <f>IF(A2525="","",IF(DATE(LEFT(D2525,4),MID(D2525,5,2),RIGHT(D2525,2))=Helper1!$P$1,Helper1!$P$1,""))</f>
        <v/>
      </c>
      <c r="F2525" s="3" t="str">
        <f>IF(A2525="","",'ATP Fills'!G2525)</f>
        <v/>
      </c>
      <c r="G2525" t="str">
        <f>IF(A2525="","",'ATP Fills'!H2525)</f>
        <v/>
      </c>
      <c r="H2525" t="str">
        <f>IF(A2525="","",VLOOKUP(G2525,表3_3[],2,0))</f>
        <v/>
      </c>
      <c r="I2525" t="str">
        <f>IF(A2525="","",VLOOKUP(G2525,表3_3[],3,0))</f>
        <v/>
      </c>
      <c r="J2525" t="str">
        <f>IF(A2525="","",IF('ATP Fills'!I2525="3M","",VLOOKUP(RIGHT('ATP Fills'!I2525,2),Helper1!$O$36:$P$48,2,0)))</f>
        <v/>
      </c>
      <c r="K2525" t="str">
        <f>IF(J2525="","",LEFT('ATP Fills'!I2525,4))</f>
        <v/>
      </c>
      <c r="L2525" t="str">
        <f>IF(A2525="","",IF('ATP Fills'!G2525="LME",'ATP Fills'!I2525,""))</f>
        <v/>
      </c>
      <c r="M2525" t="str">
        <f t="shared" si="39"/>
        <v/>
      </c>
    </row>
    <row r="2526" spans="1:13">
      <c r="A2526" t="str">
        <f>IF('ATP Fills'!A2526="","",IF('ATP Fills'!Q2526="PHILLIPSG",'ATP Fills'!F2526,""))</f>
        <v/>
      </c>
      <c r="B2526" t="str">
        <f>IF(A2526="","",'ATP Fills'!L2526)</f>
        <v/>
      </c>
      <c r="C2526" t="str">
        <f>IF(A2526="","",'ATP Fills'!M2526)</f>
        <v/>
      </c>
      <c r="D2526" t="str">
        <f>IF(A2526="","",'ATP Fills'!B2526)</f>
        <v/>
      </c>
      <c r="E2526" s="3" t="str">
        <f>IF(A2526="","",IF(DATE(LEFT(D2526,4),MID(D2526,5,2),RIGHT(D2526,2))=Helper1!$P$1,Helper1!$P$1,""))</f>
        <v/>
      </c>
      <c r="F2526" s="3" t="str">
        <f>IF(A2526="","",'ATP Fills'!G2526)</f>
        <v/>
      </c>
      <c r="G2526" t="str">
        <f>IF(A2526="","",'ATP Fills'!H2526)</f>
        <v/>
      </c>
      <c r="H2526" t="str">
        <f>IF(A2526="","",VLOOKUP(G2526,表3_3[],2,0))</f>
        <v/>
      </c>
      <c r="I2526" t="str">
        <f>IF(A2526="","",VLOOKUP(G2526,表3_3[],3,0))</f>
        <v/>
      </c>
      <c r="J2526" t="str">
        <f>IF(A2526="","",IF('ATP Fills'!I2526="3M","",VLOOKUP(RIGHT('ATP Fills'!I2526,2),Helper1!$O$36:$P$48,2,0)))</f>
        <v/>
      </c>
      <c r="K2526" t="str">
        <f>IF(J2526="","",LEFT('ATP Fills'!I2526,4))</f>
        <v/>
      </c>
      <c r="L2526" t="str">
        <f>IF(A2526="","",IF('ATP Fills'!G2526="LME",'ATP Fills'!I2526,""))</f>
        <v/>
      </c>
      <c r="M2526" t="str">
        <f t="shared" si="39"/>
        <v/>
      </c>
    </row>
    <row r="2527" spans="1:13">
      <c r="A2527" t="str">
        <f>IF('ATP Fills'!A2527="","",IF('ATP Fills'!Q2527="PHILLIPSG",'ATP Fills'!F2527,""))</f>
        <v/>
      </c>
      <c r="B2527" t="str">
        <f>IF(A2527="","",'ATP Fills'!L2527)</f>
        <v/>
      </c>
      <c r="C2527" t="str">
        <f>IF(A2527="","",'ATP Fills'!M2527)</f>
        <v/>
      </c>
      <c r="D2527" t="str">
        <f>IF(A2527="","",'ATP Fills'!B2527)</f>
        <v/>
      </c>
      <c r="E2527" s="3" t="str">
        <f>IF(A2527="","",IF(DATE(LEFT(D2527,4),MID(D2527,5,2),RIGHT(D2527,2))=Helper1!$P$1,Helper1!$P$1,""))</f>
        <v/>
      </c>
      <c r="F2527" s="3" t="str">
        <f>IF(A2527="","",'ATP Fills'!G2527)</f>
        <v/>
      </c>
      <c r="G2527" t="str">
        <f>IF(A2527="","",'ATP Fills'!H2527)</f>
        <v/>
      </c>
      <c r="H2527" t="str">
        <f>IF(A2527="","",VLOOKUP(G2527,表3_3[],2,0))</f>
        <v/>
      </c>
      <c r="I2527" t="str">
        <f>IF(A2527="","",VLOOKUP(G2527,表3_3[],3,0))</f>
        <v/>
      </c>
      <c r="J2527" t="str">
        <f>IF(A2527="","",IF('ATP Fills'!I2527="3M","",VLOOKUP(RIGHT('ATP Fills'!I2527,2),Helper1!$O$36:$P$48,2,0)))</f>
        <v/>
      </c>
      <c r="K2527" t="str">
        <f>IF(J2527="","",LEFT('ATP Fills'!I2527,4))</f>
        <v/>
      </c>
      <c r="L2527" t="str">
        <f>IF(A2527="","",IF('ATP Fills'!G2527="LME",'ATP Fills'!I2527,""))</f>
        <v/>
      </c>
      <c r="M2527" t="str">
        <f t="shared" si="39"/>
        <v/>
      </c>
    </row>
    <row r="2528" spans="1:13">
      <c r="A2528" t="str">
        <f>IF('ATP Fills'!A2528="","",IF('ATP Fills'!Q2528="PHILLIPSG",'ATP Fills'!F2528,""))</f>
        <v/>
      </c>
      <c r="B2528" t="str">
        <f>IF(A2528="","",'ATP Fills'!L2528)</f>
        <v/>
      </c>
      <c r="C2528" t="str">
        <f>IF(A2528="","",'ATP Fills'!M2528)</f>
        <v/>
      </c>
      <c r="D2528" t="str">
        <f>IF(A2528="","",'ATP Fills'!B2528)</f>
        <v/>
      </c>
      <c r="E2528" s="3" t="str">
        <f>IF(A2528="","",IF(DATE(LEFT(D2528,4),MID(D2528,5,2),RIGHT(D2528,2))=Helper1!$P$1,Helper1!$P$1,""))</f>
        <v/>
      </c>
      <c r="F2528" s="3" t="str">
        <f>IF(A2528="","",'ATP Fills'!G2528)</f>
        <v/>
      </c>
      <c r="G2528" t="str">
        <f>IF(A2528="","",'ATP Fills'!H2528)</f>
        <v/>
      </c>
      <c r="H2528" t="str">
        <f>IF(A2528="","",VLOOKUP(G2528,表3_3[],2,0))</f>
        <v/>
      </c>
      <c r="I2528" t="str">
        <f>IF(A2528="","",VLOOKUP(G2528,表3_3[],3,0))</f>
        <v/>
      </c>
      <c r="J2528" t="str">
        <f>IF(A2528="","",IF('ATP Fills'!I2528="3M","",VLOOKUP(RIGHT('ATP Fills'!I2528,2),Helper1!$O$36:$P$48,2,0)))</f>
        <v/>
      </c>
      <c r="K2528" t="str">
        <f>IF(J2528="","",LEFT('ATP Fills'!I2528,4))</f>
        <v/>
      </c>
      <c r="L2528" t="str">
        <f>IF(A2528="","",IF('ATP Fills'!G2528="LME",'ATP Fills'!I2528,""))</f>
        <v/>
      </c>
      <c r="M2528" t="str">
        <f t="shared" si="39"/>
        <v/>
      </c>
    </row>
    <row r="2529" spans="1:13">
      <c r="A2529" t="str">
        <f>IF('ATP Fills'!A2529="","",IF('ATP Fills'!Q2529="PHILLIPSG",'ATP Fills'!F2529,""))</f>
        <v/>
      </c>
      <c r="B2529" t="str">
        <f>IF(A2529="","",'ATP Fills'!L2529)</f>
        <v/>
      </c>
      <c r="C2529" t="str">
        <f>IF(A2529="","",'ATP Fills'!M2529)</f>
        <v/>
      </c>
      <c r="D2529" t="str">
        <f>IF(A2529="","",'ATP Fills'!B2529)</f>
        <v/>
      </c>
      <c r="E2529" s="3" t="str">
        <f>IF(A2529="","",IF(DATE(LEFT(D2529,4),MID(D2529,5,2),RIGHT(D2529,2))=Helper1!$P$1,Helper1!$P$1,""))</f>
        <v/>
      </c>
      <c r="F2529" s="3" t="str">
        <f>IF(A2529="","",'ATP Fills'!G2529)</f>
        <v/>
      </c>
      <c r="G2529" t="str">
        <f>IF(A2529="","",'ATP Fills'!H2529)</f>
        <v/>
      </c>
      <c r="H2529" t="str">
        <f>IF(A2529="","",VLOOKUP(G2529,表3_3[],2,0))</f>
        <v/>
      </c>
      <c r="I2529" t="str">
        <f>IF(A2529="","",VLOOKUP(G2529,表3_3[],3,0))</f>
        <v/>
      </c>
      <c r="J2529" t="str">
        <f>IF(A2529="","",IF('ATP Fills'!I2529="3M","",VLOOKUP(RIGHT('ATP Fills'!I2529,2),Helper1!$O$36:$P$48,2,0)))</f>
        <v/>
      </c>
      <c r="K2529" t="str">
        <f>IF(J2529="","",LEFT('ATP Fills'!I2529,4))</f>
        <v/>
      </c>
      <c r="L2529" t="str">
        <f>IF(A2529="","",IF('ATP Fills'!G2529="LME",'ATP Fills'!I2529,""))</f>
        <v/>
      </c>
      <c r="M2529" t="str">
        <f t="shared" si="39"/>
        <v/>
      </c>
    </row>
    <row r="2530" spans="1:13">
      <c r="A2530" t="str">
        <f>IF('ATP Fills'!A2530="","",IF('ATP Fills'!Q2530="PHILLIPSG",'ATP Fills'!F2530,""))</f>
        <v/>
      </c>
      <c r="B2530" t="str">
        <f>IF(A2530="","",'ATP Fills'!L2530)</f>
        <v/>
      </c>
      <c r="C2530" t="str">
        <f>IF(A2530="","",'ATP Fills'!M2530)</f>
        <v/>
      </c>
      <c r="D2530" t="str">
        <f>IF(A2530="","",'ATP Fills'!B2530)</f>
        <v/>
      </c>
      <c r="E2530" s="3" t="str">
        <f>IF(A2530="","",IF(DATE(LEFT(D2530,4),MID(D2530,5,2),RIGHT(D2530,2))=Helper1!$P$1,Helper1!$P$1,""))</f>
        <v/>
      </c>
      <c r="F2530" s="3" t="str">
        <f>IF(A2530="","",'ATP Fills'!G2530)</f>
        <v/>
      </c>
      <c r="G2530" t="str">
        <f>IF(A2530="","",'ATP Fills'!H2530)</f>
        <v/>
      </c>
      <c r="H2530" t="str">
        <f>IF(A2530="","",VLOOKUP(G2530,表3_3[],2,0))</f>
        <v/>
      </c>
      <c r="I2530" t="str">
        <f>IF(A2530="","",VLOOKUP(G2530,表3_3[],3,0))</f>
        <v/>
      </c>
      <c r="J2530" t="str">
        <f>IF(A2530="","",IF('ATP Fills'!I2530="3M","",VLOOKUP(RIGHT('ATP Fills'!I2530,2),Helper1!$O$36:$P$48,2,0)))</f>
        <v/>
      </c>
      <c r="K2530" t="str">
        <f>IF(J2530="","",LEFT('ATP Fills'!I2530,4))</f>
        <v/>
      </c>
      <c r="L2530" t="str">
        <f>IF(A2530="","",IF('ATP Fills'!G2530="LME",'ATP Fills'!I2530,""))</f>
        <v/>
      </c>
      <c r="M2530" t="str">
        <f t="shared" si="39"/>
        <v/>
      </c>
    </row>
    <row r="2531" spans="1:13">
      <c r="A2531" t="str">
        <f>IF('ATP Fills'!A2531="","",IF('ATP Fills'!Q2531="PHILLIPSG",'ATP Fills'!F2531,""))</f>
        <v/>
      </c>
      <c r="B2531" t="str">
        <f>IF(A2531="","",'ATP Fills'!L2531)</f>
        <v/>
      </c>
      <c r="C2531" t="str">
        <f>IF(A2531="","",'ATP Fills'!M2531)</f>
        <v/>
      </c>
      <c r="D2531" t="str">
        <f>IF(A2531="","",'ATP Fills'!B2531)</f>
        <v/>
      </c>
      <c r="E2531" s="3" t="str">
        <f>IF(A2531="","",IF(DATE(LEFT(D2531,4),MID(D2531,5,2),RIGHT(D2531,2))=Helper1!$P$1,Helper1!$P$1,""))</f>
        <v/>
      </c>
      <c r="F2531" s="3" t="str">
        <f>IF(A2531="","",'ATP Fills'!G2531)</f>
        <v/>
      </c>
      <c r="G2531" t="str">
        <f>IF(A2531="","",'ATP Fills'!H2531)</f>
        <v/>
      </c>
      <c r="H2531" t="str">
        <f>IF(A2531="","",VLOOKUP(G2531,表3_3[],2,0))</f>
        <v/>
      </c>
      <c r="I2531" t="str">
        <f>IF(A2531="","",VLOOKUP(G2531,表3_3[],3,0))</f>
        <v/>
      </c>
      <c r="J2531" t="str">
        <f>IF(A2531="","",IF('ATP Fills'!I2531="3M","",VLOOKUP(RIGHT('ATP Fills'!I2531,2),Helper1!$O$36:$P$48,2,0)))</f>
        <v/>
      </c>
      <c r="K2531" t="str">
        <f>IF(J2531="","",LEFT('ATP Fills'!I2531,4))</f>
        <v/>
      </c>
      <c r="L2531" t="str">
        <f>IF(A2531="","",IF('ATP Fills'!G2531="LME",'ATP Fills'!I2531,""))</f>
        <v/>
      </c>
      <c r="M2531" t="str">
        <f t="shared" si="39"/>
        <v/>
      </c>
    </row>
    <row r="2532" spans="1:13">
      <c r="A2532" t="str">
        <f>IF('ATP Fills'!A2532="","",IF('ATP Fills'!Q2532="PHILLIPSG",'ATP Fills'!F2532,""))</f>
        <v/>
      </c>
      <c r="B2532" t="str">
        <f>IF(A2532="","",'ATP Fills'!L2532)</f>
        <v/>
      </c>
      <c r="C2532" t="str">
        <f>IF(A2532="","",'ATP Fills'!M2532)</f>
        <v/>
      </c>
      <c r="D2532" t="str">
        <f>IF(A2532="","",'ATP Fills'!B2532)</f>
        <v/>
      </c>
      <c r="E2532" s="3" t="str">
        <f>IF(A2532="","",IF(DATE(LEFT(D2532,4),MID(D2532,5,2),RIGHT(D2532,2))=Helper1!$P$1,Helper1!$P$1,""))</f>
        <v/>
      </c>
      <c r="F2532" s="3" t="str">
        <f>IF(A2532="","",'ATP Fills'!G2532)</f>
        <v/>
      </c>
      <c r="G2532" t="str">
        <f>IF(A2532="","",'ATP Fills'!H2532)</f>
        <v/>
      </c>
      <c r="H2532" t="str">
        <f>IF(A2532="","",VLOOKUP(G2532,表3_3[],2,0))</f>
        <v/>
      </c>
      <c r="I2532" t="str">
        <f>IF(A2532="","",VLOOKUP(G2532,表3_3[],3,0))</f>
        <v/>
      </c>
      <c r="J2532" t="str">
        <f>IF(A2532="","",IF('ATP Fills'!I2532="3M","",VLOOKUP(RIGHT('ATP Fills'!I2532,2),Helper1!$O$36:$P$48,2,0)))</f>
        <v/>
      </c>
      <c r="K2532" t="str">
        <f>IF(J2532="","",LEFT('ATP Fills'!I2532,4))</f>
        <v/>
      </c>
      <c r="L2532" t="str">
        <f>IF(A2532="","",IF('ATP Fills'!G2532="LME",'ATP Fills'!I2532,""))</f>
        <v/>
      </c>
      <c r="M2532" t="str">
        <f t="shared" si="39"/>
        <v/>
      </c>
    </row>
    <row r="2533" spans="1:13">
      <c r="A2533" t="str">
        <f>IF('ATP Fills'!A2533="","",IF('ATP Fills'!Q2533="PHILLIPSG",'ATP Fills'!F2533,""))</f>
        <v/>
      </c>
      <c r="B2533" t="str">
        <f>IF(A2533="","",'ATP Fills'!L2533)</f>
        <v/>
      </c>
      <c r="C2533" t="str">
        <f>IF(A2533="","",'ATP Fills'!M2533)</f>
        <v/>
      </c>
      <c r="D2533" t="str">
        <f>IF(A2533="","",'ATP Fills'!B2533)</f>
        <v/>
      </c>
      <c r="E2533" s="3" t="str">
        <f>IF(A2533="","",IF(DATE(LEFT(D2533,4),MID(D2533,5,2),RIGHT(D2533,2))=Helper1!$P$1,Helper1!$P$1,""))</f>
        <v/>
      </c>
      <c r="F2533" s="3" t="str">
        <f>IF(A2533="","",'ATP Fills'!G2533)</f>
        <v/>
      </c>
      <c r="G2533" t="str">
        <f>IF(A2533="","",'ATP Fills'!H2533)</f>
        <v/>
      </c>
      <c r="H2533" t="str">
        <f>IF(A2533="","",VLOOKUP(G2533,表3_3[],2,0))</f>
        <v/>
      </c>
      <c r="I2533" t="str">
        <f>IF(A2533="","",VLOOKUP(G2533,表3_3[],3,0))</f>
        <v/>
      </c>
      <c r="J2533" t="str">
        <f>IF(A2533="","",IF('ATP Fills'!I2533="3M","",VLOOKUP(RIGHT('ATP Fills'!I2533,2),Helper1!$O$36:$P$48,2,0)))</f>
        <v/>
      </c>
      <c r="K2533" t="str">
        <f>IF(J2533="","",LEFT('ATP Fills'!I2533,4))</f>
        <v/>
      </c>
      <c r="L2533" t="str">
        <f>IF(A2533="","",IF('ATP Fills'!G2533="LME",'ATP Fills'!I2533,""))</f>
        <v/>
      </c>
      <c r="M2533" t="str">
        <f t="shared" si="39"/>
        <v/>
      </c>
    </row>
    <row r="2534" spans="1:13">
      <c r="A2534" t="str">
        <f>IF('ATP Fills'!A2534="","",IF('ATP Fills'!Q2534="PHILLIPSG",'ATP Fills'!F2534,""))</f>
        <v/>
      </c>
      <c r="B2534" t="str">
        <f>IF(A2534="","",'ATP Fills'!L2534)</f>
        <v/>
      </c>
      <c r="C2534" t="str">
        <f>IF(A2534="","",'ATP Fills'!M2534)</f>
        <v/>
      </c>
      <c r="D2534" t="str">
        <f>IF(A2534="","",'ATP Fills'!B2534)</f>
        <v/>
      </c>
      <c r="E2534" s="3" t="str">
        <f>IF(A2534="","",IF(DATE(LEFT(D2534,4),MID(D2534,5,2),RIGHT(D2534,2))=Helper1!$P$1,Helper1!$P$1,""))</f>
        <v/>
      </c>
      <c r="F2534" s="3" t="str">
        <f>IF(A2534="","",'ATP Fills'!G2534)</f>
        <v/>
      </c>
      <c r="G2534" t="str">
        <f>IF(A2534="","",'ATP Fills'!H2534)</f>
        <v/>
      </c>
      <c r="H2534" t="str">
        <f>IF(A2534="","",VLOOKUP(G2534,表3_3[],2,0))</f>
        <v/>
      </c>
      <c r="I2534" t="str">
        <f>IF(A2534="","",VLOOKUP(G2534,表3_3[],3,0))</f>
        <v/>
      </c>
      <c r="J2534" t="str">
        <f>IF(A2534="","",IF('ATP Fills'!I2534="3M","",VLOOKUP(RIGHT('ATP Fills'!I2534,2),Helper1!$O$36:$P$48,2,0)))</f>
        <v/>
      </c>
      <c r="K2534" t="str">
        <f>IF(J2534="","",LEFT('ATP Fills'!I2534,4))</f>
        <v/>
      </c>
      <c r="L2534" t="str">
        <f>IF(A2534="","",IF('ATP Fills'!G2534="LME",'ATP Fills'!I2534,""))</f>
        <v/>
      </c>
      <c r="M2534" t="str">
        <f t="shared" si="39"/>
        <v/>
      </c>
    </row>
    <row r="2535" spans="1:13">
      <c r="A2535" t="str">
        <f>IF('ATP Fills'!A2535="","",IF('ATP Fills'!Q2535="PHILLIPSG",'ATP Fills'!F2535,""))</f>
        <v/>
      </c>
      <c r="B2535" t="str">
        <f>IF(A2535="","",'ATP Fills'!L2535)</f>
        <v/>
      </c>
      <c r="C2535" t="str">
        <f>IF(A2535="","",'ATP Fills'!M2535)</f>
        <v/>
      </c>
      <c r="D2535" t="str">
        <f>IF(A2535="","",'ATP Fills'!B2535)</f>
        <v/>
      </c>
      <c r="E2535" s="3" t="str">
        <f>IF(A2535="","",IF(DATE(LEFT(D2535,4),MID(D2535,5,2),RIGHT(D2535,2))=Helper1!$P$1,Helper1!$P$1,""))</f>
        <v/>
      </c>
      <c r="F2535" s="3" t="str">
        <f>IF(A2535="","",'ATP Fills'!G2535)</f>
        <v/>
      </c>
      <c r="G2535" t="str">
        <f>IF(A2535="","",'ATP Fills'!H2535)</f>
        <v/>
      </c>
      <c r="H2535" t="str">
        <f>IF(A2535="","",VLOOKUP(G2535,表3_3[],2,0))</f>
        <v/>
      </c>
      <c r="I2535" t="str">
        <f>IF(A2535="","",VLOOKUP(G2535,表3_3[],3,0))</f>
        <v/>
      </c>
      <c r="J2535" t="str">
        <f>IF(A2535="","",IF('ATP Fills'!I2535="3M","",VLOOKUP(RIGHT('ATP Fills'!I2535,2),Helper1!$O$36:$P$48,2,0)))</f>
        <v/>
      </c>
      <c r="K2535" t="str">
        <f>IF(J2535="","",LEFT('ATP Fills'!I2535,4))</f>
        <v/>
      </c>
      <c r="L2535" t="str">
        <f>IF(A2535="","",IF('ATP Fills'!G2535="LME",'ATP Fills'!I2535,""))</f>
        <v/>
      </c>
      <c r="M2535" t="str">
        <f t="shared" si="39"/>
        <v/>
      </c>
    </row>
    <row r="2536" spans="1:13">
      <c r="A2536" t="str">
        <f>IF('ATP Fills'!A2536="","",IF('ATP Fills'!Q2536="PHILLIPSG",'ATP Fills'!F2536,""))</f>
        <v/>
      </c>
      <c r="B2536" t="str">
        <f>IF(A2536="","",'ATP Fills'!L2536)</f>
        <v/>
      </c>
      <c r="C2536" t="str">
        <f>IF(A2536="","",'ATP Fills'!M2536)</f>
        <v/>
      </c>
      <c r="D2536" t="str">
        <f>IF(A2536="","",'ATP Fills'!B2536)</f>
        <v/>
      </c>
      <c r="E2536" s="3" t="str">
        <f>IF(A2536="","",IF(DATE(LEFT(D2536,4),MID(D2536,5,2),RIGHT(D2536,2))=Helper1!$P$1,Helper1!$P$1,""))</f>
        <v/>
      </c>
      <c r="F2536" s="3" t="str">
        <f>IF(A2536="","",'ATP Fills'!G2536)</f>
        <v/>
      </c>
      <c r="G2536" t="str">
        <f>IF(A2536="","",'ATP Fills'!H2536)</f>
        <v/>
      </c>
      <c r="H2536" t="str">
        <f>IF(A2536="","",VLOOKUP(G2536,表3_3[],2,0))</f>
        <v/>
      </c>
      <c r="I2536" t="str">
        <f>IF(A2536="","",VLOOKUP(G2536,表3_3[],3,0))</f>
        <v/>
      </c>
      <c r="J2536" t="str">
        <f>IF(A2536="","",IF('ATP Fills'!I2536="3M","",VLOOKUP(RIGHT('ATP Fills'!I2536,2),Helper1!$O$36:$P$48,2,0)))</f>
        <v/>
      </c>
      <c r="K2536" t="str">
        <f>IF(J2536="","",LEFT('ATP Fills'!I2536,4))</f>
        <v/>
      </c>
      <c r="L2536" t="str">
        <f>IF(A2536="","",IF('ATP Fills'!G2536="LME",'ATP Fills'!I2536,""))</f>
        <v/>
      </c>
      <c r="M2536" t="str">
        <f t="shared" si="39"/>
        <v/>
      </c>
    </row>
    <row r="2537" spans="1:13">
      <c r="A2537" t="str">
        <f>IF('ATP Fills'!A2537="","",IF('ATP Fills'!Q2537="PHILLIPSG",'ATP Fills'!F2537,""))</f>
        <v/>
      </c>
      <c r="B2537" t="str">
        <f>IF(A2537="","",'ATP Fills'!L2537)</f>
        <v/>
      </c>
      <c r="C2537" t="str">
        <f>IF(A2537="","",'ATP Fills'!M2537)</f>
        <v/>
      </c>
      <c r="D2537" t="str">
        <f>IF(A2537="","",'ATP Fills'!B2537)</f>
        <v/>
      </c>
      <c r="E2537" s="3" t="str">
        <f>IF(A2537="","",IF(DATE(LEFT(D2537,4),MID(D2537,5,2),RIGHT(D2537,2))=Helper1!$P$1,Helper1!$P$1,""))</f>
        <v/>
      </c>
      <c r="F2537" s="3" t="str">
        <f>IF(A2537="","",'ATP Fills'!G2537)</f>
        <v/>
      </c>
      <c r="G2537" t="str">
        <f>IF(A2537="","",'ATP Fills'!H2537)</f>
        <v/>
      </c>
      <c r="H2537" t="str">
        <f>IF(A2537="","",VLOOKUP(G2537,表3_3[],2,0))</f>
        <v/>
      </c>
      <c r="I2537" t="str">
        <f>IF(A2537="","",VLOOKUP(G2537,表3_3[],3,0))</f>
        <v/>
      </c>
      <c r="J2537" t="str">
        <f>IF(A2537="","",IF('ATP Fills'!I2537="3M","",VLOOKUP(RIGHT('ATP Fills'!I2537,2),Helper1!$O$36:$P$48,2,0)))</f>
        <v/>
      </c>
      <c r="K2537" t="str">
        <f>IF(J2537="","",LEFT('ATP Fills'!I2537,4))</f>
        <v/>
      </c>
      <c r="L2537" t="str">
        <f>IF(A2537="","",IF('ATP Fills'!G2537="LME",'ATP Fills'!I2537,""))</f>
        <v/>
      </c>
      <c r="M2537" t="str">
        <f t="shared" si="39"/>
        <v/>
      </c>
    </row>
    <row r="2538" spans="1:13">
      <c r="A2538" t="str">
        <f>IF('ATP Fills'!A2538="","",IF('ATP Fills'!Q2538="PHILLIPSG",'ATP Fills'!F2538,""))</f>
        <v/>
      </c>
      <c r="B2538" t="str">
        <f>IF(A2538="","",'ATP Fills'!L2538)</f>
        <v/>
      </c>
      <c r="C2538" t="str">
        <f>IF(A2538="","",'ATP Fills'!M2538)</f>
        <v/>
      </c>
      <c r="D2538" t="str">
        <f>IF(A2538="","",'ATP Fills'!B2538)</f>
        <v/>
      </c>
      <c r="E2538" s="3" t="str">
        <f>IF(A2538="","",IF(DATE(LEFT(D2538,4),MID(D2538,5,2),RIGHT(D2538,2))=Helper1!$P$1,Helper1!$P$1,""))</f>
        <v/>
      </c>
      <c r="F2538" s="3" t="str">
        <f>IF(A2538="","",'ATP Fills'!G2538)</f>
        <v/>
      </c>
      <c r="G2538" t="str">
        <f>IF(A2538="","",'ATP Fills'!H2538)</f>
        <v/>
      </c>
      <c r="H2538" t="str">
        <f>IF(A2538="","",VLOOKUP(G2538,表3_3[],2,0))</f>
        <v/>
      </c>
      <c r="I2538" t="str">
        <f>IF(A2538="","",VLOOKUP(G2538,表3_3[],3,0))</f>
        <v/>
      </c>
      <c r="J2538" t="str">
        <f>IF(A2538="","",IF('ATP Fills'!I2538="3M","",VLOOKUP(RIGHT('ATP Fills'!I2538,2),Helper1!$O$36:$P$48,2,0)))</f>
        <v/>
      </c>
      <c r="K2538" t="str">
        <f>IF(J2538="","",LEFT('ATP Fills'!I2538,4))</f>
        <v/>
      </c>
      <c r="L2538" t="str">
        <f>IF(A2538="","",IF('ATP Fills'!G2538="LME",'ATP Fills'!I2538,""))</f>
        <v/>
      </c>
      <c r="M2538" t="str">
        <f t="shared" si="39"/>
        <v/>
      </c>
    </row>
    <row r="2539" spans="1:13">
      <c r="A2539" t="str">
        <f>IF('ATP Fills'!A2539="","",IF('ATP Fills'!Q2539="PHILLIPSG",'ATP Fills'!F2539,""))</f>
        <v/>
      </c>
      <c r="B2539" t="str">
        <f>IF(A2539="","",'ATP Fills'!L2539)</f>
        <v/>
      </c>
      <c r="C2539" t="str">
        <f>IF(A2539="","",'ATP Fills'!M2539)</f>
        <v/>
      </c>
      <c r="D2539" t="str">
        <f>IF(A2539="","",'ATP Fills'!B2539)</f>
        <v/>
      </c>
      <c r="E2539" s="3" t="str">
        <f>IF(A2539="","",IF(DATE(LEFT(D2539,4),MID(D2539,5,2),RIGHT(D2539,2))=Helper1!$P$1,Helper1!$P$1,""))</f>
        <v/>
      </c>
      <c r="F2539" s="3" t="str">
        <f>IF(A2539="","",'ATP Fills'!G2539)</f>
        <v/>
      </c>
      <c r="G2539" t="str">
        <f>IF(A2539="","",'ATP Fills'!H2539)</f>
        <v/>
      </c>
      <c r="H2539" t="str">
        <f>IF(A2539="","",VLOOKUP(G2539,表3_3[],2,0))</f>
        <v/>
      </c>
      <c r="I2539" t="str">
        <f>IF(A2539="","",VLOOKUP(G2539,表3_3[],3,0))</f>
        <v/>
      </c>
      <c r="J2539" t="str">
        <f>IF(A2539="","",IF('ATP Fills'!I2539="3M","",VLOOKUP(RIGHT('ATP Fills'!I2539,2),Helper1!$O$36:$P$48,2,0)))</f>
        <v/>
      </c>
      <c r="K2539" t="str">
        <f>IF(J2539="","",LEFT('ATP Fills'!I2539,4))</f>
        <v/>
      </c>
      <c r="L2539" t="str">
        <f>IF(A2539="","",IF('ATP Fills'!G2539="LME",'ATP Fills'!I2539,""))</f>
        <v/>
      </c>
      <c r="M2539" t="str">
        <f t="shared" si="39"/>
        <v/>
      </c>
    </row>
    <row r="2540" spans="1:13">
      <c r="A2540" t="str">
        <f>IF('ATP Fills'!A2540="","",IF('ATP Fills'!Q2540="PHILLIPSG",'ATP Fills'!F2540,""))</f>
        <v/>
      </c>
      <c r="B2540" t="str">
        <f>IF(A2540="","",'ATP Fills'!L2540)</f>
        <v/>
      </c>
      <c r="C2540" t="str">
        <f>IF(A2540="","",'ATP Fills'!M2540)</f>
        <v/>
      </c>
      <c r="D2540" t="str">
        <f>IF(A2540="","",'ATP Fills'!B2540)</f>
        <v/>
      </c>
      <c r="E2540" s="3" t="str">
        <f>IF(A2540="","",IF(DATE(LEFT(D2540,4),MID(D2540,5,2),RIGHT(D2540,2))=Helper1!$P$1,Helper1!$P$1,""))</f>
        <v/>
      </c>
      <c r="F2540" s="3" t="str">
        <f>IF(A2540="","",'ATP Fills'!G2540)</f>
        <v/>
      </c>
      <c r="G2540" t="str">
        <f>IF(A2540="","",'ATP Fills'!H2540)</f>
        <v/>
      </c>
      <c r="H2540" t="str">
        <f>IF(A2540="","",VLOOKUP(G2540,表3_3[],2,0))</f>
        <v/>
      </c>
      <c r="I2540" t="str">
        <f>IF(A2540="","",VLOOKUP(G2540,表3_3[],3,0))</f>
        <v/>
      </c>
      <c r="J2540" t="str">
        <f>IF(A2540="","",IF('ATP Fills'!I2540="3M","",VLOOKUP(RIGHT('ATP Fills'!I2540,2),Helper1!$O$36:$P$48,2,0)))</f>
        <v/>
      </c>
      <c r="K2540" t="str">
        <f>IF(J2540="","",LEFT('ATP Fills'!I2540,4))</f>
        <v/>
      </c>
      <c r="L2540" t="str">
        <f>IF(A2540="","",IF('ATP Fills'!G2540="LME",'ATP Fills'!I2540,""))</f>
        <v/>
      </c>
      <c r="M2540" t="str">
        <f t="shared" si="39"/>
        <v/>
      </c>
    </row>
    <row r="2541" spans="1:13">
      <c r="A2541" t="str">
        <f>IF('ATP Fills'!A2541="","",IF('ATP Fills'!Q2541="PHILLIPSG",'ATP Fills'!F2541,""))</f>
        <v/>
      </c>
      <c r="B2541" t="str">
        <f>IF(A2541="","",'ATP Fills'!L2541)</f>
        <v/>
      </c>
      <c r="C2541" t="str">
        <f>IF(A2541="","",'ATP Fills'!M2541)</f>
        <v/>
      </c>
      <c r="D2541" t="str">
        <f>IF(A2541="","",'ATP Fills'!B2541)</f>
        <v/>
      </c>
      <c r="E2541" s="3" t="str">
        <f>IF(A2541="","",IF(DATE(LEFT(D2541,4),MID(D2541,5,2),RIGHT(D2541,2))=Helper1!$P$1,Helper1!$P$1,""))</f>
        <v/>
      </c>
      <c r="F2541" s="3" t="str">
        <f>IF(A2541="","",'ATP Fills'!G2541)</f>
        <v/>
      </c>
      <c r="G2541" t="str">
        <f>IF(A2541="","",'ATP Fills'!H2541)</f>
        <v/>
      </c>
      <c r="H2541" t="str">
        <f>IF(A2541="","",VLOOKUP(G2541,表3_3[],2,0))</f>
        <v/>
      </c>
      <c r="I2541" t="str">
        <f>IF(A2541="","",VLOOKUP(G2541,表3_3[],3,0))</f>
        <v/>
      </c>
      <c r="J2541" t="str">
        <f>IF(A2541="","",IF('ATP Fills'!I2541="3M","",VLOOKUP(RIGHT('ATP Fills'!I2541,2),Helper1!$O$36:$P$48,2,0)))</f>
        <v/>
      </c>
      <c r="K2541" t="str">
        <f>IF(J2541="","",LEFT('ATP Fills'!I2541,4))</f>
        <v/>
      </c>
      <c r="L2541" t="str">
        <f>IF(A2541="","",IF('ATP Fills'!G2541="LME",'ATP Fills'!I2541,""))</f>
        <v/>
      </c>
      <c r="M2541" t="str">
        <f t="shared" si="39"/>
        <v/>
      </c>
    </row>
    <row r="2542" spans="1:13">
      <c r="A2542" t="str">
        <f>IF('ATP Fills'!A2542="","",IF('ATP Fills'!Q2542="PHILLIPSG",'ATP Fills'!F2542,""))</f>
        <v/>
      </c>
      <c r="B2542" t="str">
        <f>IF(A2542="","",'ATP Fills'!L2542)</f>
        <v/>
      </c>
      <c r="C2542" t="str">
        <f>IF(A2542="","",'ATP Fills'!M2542)</f>
        <v/>
      </c>
      <c r="D2542" t="str">
        <f>IF(A2542="","",'ATP Fills'!B2542)</f>
        <v/>
      </c>
      <c r="E2542" s="3" t="str">
        <f>IF(A2542="","",IF(DATE(LEFT(D2542,4),MID(D2542,5,2),RIGHT(D2542,2))=Helper1!$P$1,Helper1!$P$1,""))</f>
        <v/>
      </c>
      <c r="F2542" s="3" t="str">
        <f>IF(A2542="","",'ATP Fills'!G2542)</f>
        <v/>
      </c>
      <c r="G2542" t="str">
        <f>IF(A2542="","",'ATP Fills'!H2542)</f>
        <v/>
      </c>
      <c r="H2542" t="str">
        <f>IF(A2542="","",VLOOKUP(G2542,表3_3[],2,0))</f>
        <v/>
      </c>
      <c r="I2542" t="str">
        <f>IF(A2542="","",VLOOKUP(G2542,表3_3[],3,0))</f>
        <v/>
      </c>
      <c r="J2542" t="str">
        <f>IF(A2542="","",IF('ATP Fills'!I2542="3M","",VLOOKUP(RIGHT('ATP Fills'!I2542,2),Helper1!$O$36:$P$48,2,0)))</f>
        <v/>
      </c>
      <c r="K2542" t="str">
        <f>IF(J2542="","",LEFT('ATP Fills'!I2542,4))</f>
        <v/>
      </c>
      <c r="L2542" t="str">
        <f>IF(A2542="","",IF('ATP Fills'!G2542="LME",'ATP Fills'!I2542,""))</f>
        <v/>
      </c>
      <c r="M2542" t="str">
        <f t="shared" si="39"/>
        <v/>
      </c>
    </row>
    <row r="2543" spans="1:13">
      <c r="A2543" t="str">
        <f>IF('ATP Fills'!A2543="","",IF('ATP Fills'!Q2543="PHILLIPSG",'ATP Fills'!F2543,""))</f>
        <v/>
      </c>
      <c r="B2543" t="str">
        <f>IF(A2543="","",'ATP Fills'!L2543)</f>
        <v/>
      </c>
      <c r="C2543" t="str">
        <f>IF(A2543="","",'ATP Fills'!M2543)</f>
        <v/>
      </c>
      <c r="D2543" t="str">
        <f>IF(A2543="","",'ATP Fills'!B2543)</f>
        <v/>
      </c>
      <c r="E2543" s="3" t="str">
        <f>IF(A2543="","",IF(DATE(LEFT(D2543,4),MID(D2543,5,2),RIGHT(D2543,2))=Helper1!$P$1,Helper1!$P$1,""))</f>
        <v/>
      </c>
      <c r="F2543" s="3" t="str">
        <f>IF(A2543="","",'ATP Fills'!G2543)</f>
        <v/>
      </c>
      <c r="G2543" t="str">
        <f>IF(A2543="","",'ATP Fills'!H2543)</f>
        <v/>
      </c>
      <c r="H2543" t="str">
        <f>IF(A2543="","",VLOOKUP(G2543,表3_3[],2,0))</f>
        <v/>
      </c>
      <c r="I2543" t="str">
        <f>IF(A2543="","",VLOOKUP(G2543,表3_3[],3,0))</f>
        <v/>
      </c>
      <c r="J2543" t="str">
        <f>IF(A2543="","",IF('ATP Fills'!I2543="3M","",VLOOKUP(RIGHT('ATP Fills'!I2543,2),Helper1!$O$36:$P$48,2,0)))</f>
        <v/>
      </c>
      <c r="K2543" t="str">
        <f>IF(J2543="","",LEFT('ATP Fills'!I2543,4))</f>
        <v/>
      </c>
      <c r="L2543" t="str">
        <f>IF(A2543="","",IF('ATP Fills'!G2543="LME",'ATP Fills'!I2543,""))</f>
        <v/>
      </c>
      <c r="M2543" t="str">
        <f t="shared" si="39"/>
        <v/>
      </c>
    </row>
    <row r="2544" spans="1:13">
      <c r="A2544" t="str">
        <f>IF('ATP Fills'!A2544="","",IF('ATP Fills'!Q2544="PHILLIPSG",'ATP Fills'!F2544,""))</f>
        <v/>
      </c>
      <c r="B2544" t="str">
        <f>IF(A2544="","",'ATP Fills'!L2544)</f>
        <v/>
      </c>
      <c r="C2544" t="str">
        <f>IF(A2544="","",'ATP Fills'!M2544)</f>
        <v/>
      </c>
      <c r="D2544" t="str">
        <f>IF(A2544="","",'ATP Fills'!B2544)</f>
        <v/>
      </c>
      <c r="E2544" s="3" t="str">
        <f>IF(A2544="","",IF(DATE(LEFT(D2544,4),MID(D2544,5,2),RIGHT(D2544,2))=Helper1!$P$1,Helper1!$P$1,""))</f>
        <v/>
      </c>
      <c r="F2544" s="3" t="str">
        <f>IF(A2544="","",'ATP Fills'!G2544)</f>
        <v/>
      </c>
      <c r="G2544" t="str">
        <f>IF(A2544="","",'ATP Fills'!H2544)</f>
        <v/>
      </c>
      <c r="H2544" t="str">
        <f>IF(A2544="","",VLOOKUP(G2544,表3_3[],2,0))</f>
        <v/>
      </c>
      <c r="I2544" t="str">
        <f>IF(A2544="","",VLOOKUP(G2544,表3_3[],3,0))</f>
        <v/>
      </c>
      <c r="J2544" t="str">
        <f>IF(A2544="","",IF('ATP Fills'!I2544="3M","",VLOOKUP(RIGHT('ATP Fills'!I2544,2),Helper1!$O$36:$P$48,2,0)))</f>
        <v/>
      </c>
      <c r="K2544" t="str">
        <f>IF(J2544="","",LEFT('ATP Fills'!I2544,4))</f>
        <v/>
      </c>
      <c r="L2544" t="str">
        <f>IF(A2544="","",IF('ATP Fills'!G2544="LME",'ATP Fills'!I2544,""))</f>
        <v/>
      </c>
      <c r="M2544" t="str">
        <f t="shared" si="39"/>
        <v/>
      </c>
    </row>
    <row r="2545" spans="1:13">
      <c r="A2545" t="str">
        <f>IF('ATP Fills'!A2545="","",IF('ATP Fills'!Q2545="PHILLIPSG",'ATP Fills'!F2545,""))</f>
        <v/>
      </c>
      <c r="B2545" t="str">
        <f>IF(A2545="","",'ATP Fills'!L2545)</f>
        <v/>
      </c>
      <c r="C2545" t="str">
        <f>IF(A2545="","",'ATP Fills'!M2545)</f>
        <v/>
      </c>
      <c r="D2545" t="str">
        <f>IF(A2545="","",'ATP Fills'!B2545)</f>
        <v/>
      </c>
      <c r="E2545" s="3" t="str">
        <f>IF(A2545="","",IF(DATE(LEFT(D2545,4),MID(D2545,5,2),RIGHT(D2545,2))=Helper1!$P$1,Helper1!$P$1,""))</f>
        <v/>
      </c>
      <c r="F2545" s="3" t="str">
        <f>IF(A2545="","",'ATP Fills'!G2545)</f>
        <v/>
      </c>
      <c r="G2545" t="str">
        <f>IF(A2545="","",'ATP Fills'!H2545)</f>
        <v/>
      </c>
      <c r="H2545" t="str">
        <f>IF(A2545="","",VLOOKUP(G2545,表3_3[],2,0))</f>
        <v/>
      </c>
      <c r="I2545" t="str">
        <f>IF(A2545="","",VLOOKUP(G2545,表3_3[],3,0))</f>
        <v/>
      </c>
      <c r="J2545" t="str">
        <f>IF(A2545="","",IF('ATP Fills'!I2545="3M","",VLOOKUP(RIGHT('ATP Fills'!I2545,2),Helper1!$O$36:$P$48,2,0)))</f>
        <v/>
      </c>
      <c r="K2545" t="str">
        <f>IF(J2545="","",LEFT('ATP Fills'!I2545,4))</f>
        <v/>
      </c>
      <c r="L2545" t="str">
        <f>IF(A2545="","",IF('ATP Fills'!G2545="LME",'ATP Fills'!I2545,""))</f>
        <v/>
      </c>
      <c r="M2545" t="str">
        <f t="shared" si="39"/>
        <v/>
      </c>
    </row>
    <row r="2546" spans="1:13">
      <c r="A2546" t="str">
        <f>IF('ATP Fills'!A2546="","",IF('ATP Fills'!Q2546="PHILLIPSG",'ATP Fills'!F2546,""))</f>
        <v/>
      </c>
      <c r="B2546" t="str">
        <f>IF(A2546="","",'ATP Fills'!L2546)</f>
        <v/>
      </c>
      <c r="C2546" t="str">
        <f>IF(A2546="","",'ATP Fills'!M2546)</f>
        <v/>
      </c>
      <c r="D2546" t="str">
        <f>IF(A2546="","",'ATP Fills'!B2546)</f>
        <v/>
      </c>
      <c r="E2546" s="3" t="str">
        <f>IF(A2546="","",IF(DATE(LEFT(D2546,4),MID(D2546,5,2),RIGHT(D2546,2))=Helper1!$P$1,Helper1!$P$1,""))</f>
        <v/>
      </c>
      <c r="F2546" s="3" t="str">
        <f>IF(A2546="","",'ATP Fills'!G2546)</f>
        <v/>
      </c>
      <c r="G2546" t="str">
        <f>IF(A2546="","",'ATP Fills'!H2546)</f>
        <v/>
      </c>
      <c r="H2546" t="str">
        <f>IF(A2546="","",VLOOKUP(G2546,表3_3[],2,0))</f>
        <v/>
      </c>
      <c r="I2546" t="str">
        <f>IF(A2546="","",VLOOKUP(G2546,表3_3[],3,0))</f>
        <v/>
      </c>
      <c r="J2546" t="str">
        <f>IF(A2546="","",IF('ATP Fills'!I2546="3M","",VLOOKUP(RIGHT('ATP Fills'!I2546,2),Helper1!$O$36:$P$48,2,0)))</f>
        <v/>
      </c>
      <c r="K2546" t="str">
        <f>IF(J2546="","",LEFT('ATP Fills'!I2546,4))</f>
        <v/>
      </c>
      <c r="L2546" t="str">
        <f>IF(A2546="","",IF('ATP Fills'!G2546="LME",'ATP Fills'!I2546,""))</f>
        <v/>
      </c>
      <c r="M2546" t="str">
        <f t="shared" si="39"/>
        <v/>
      </c>
    </row>
    <row r="2547" spans="1:13">
      <c r="A2547" t="str">
        <f>IF('ATP Fills'!A2547="","",IF('ATP Fills'!Q2547="PHILLIPSG",'ATP Fills'!F2547,""))</f>
        <v/>
      </c>
      <c r="B2547" t="str">
        <f>IF(A2547="","",'ATP Fills'!L2547)</f>
        <v/>
      </c>
      <c r="C2547" t="str">
        <f>IF(A2547="","",'ATP Fills'!M2547)</f>
        <v/>
      </c>
      <c r="D2547" t="str">
        <f>IF(A2547="","",'ATP Fills'!B2547)</f>
        <v/>
      </c>
      <c r="E2547" s="3" t="str">
        <f>IF(A2547="","",IF(DATE(LEFT(D2547,4),MID(D2547,5,2),RIGHT(D2547,2))=Helper1!$P$1,Helper1!$P$1,""))</f>
        <v/>
      </c>
      <c r="F2547" s="3" t="str">
        <f>IF(A2547="","",'ATP Fills'!G2547)</f>
        <v/>
      </c>
      <c r="G2547" t="str">
        <f>IF(A2547="","",'ATP Fills'!H2547)</f>
        <v/>
      </c>
      <c r="H2547" t="str">
        <f>IF(A2547="","",VLOOKUP(G2547,表3_3[],2,0))</f>
        <v/>
      </c>
      <c r="I2547" t="str">
        <f>IF(A2547="","",VLOOKUP(G2547,表3_3[],3,0))</f>
        <v/>
      </c>
      <c r="J2547" t="str">
        <f>IF(A2547="","",IF('ATP Fills'!I2547="3M","",VLOOKUP(RIGHT('ATP Fills'!I2547,2),Helper1!$O$36:$P$48,2,0)))</f>
        <v/>
      </c>
      <c r="K2547" t="str">
        <f>IF(J2547="","",LEFT('ATP Fills'!I2547,4))</f>
        <v/>
      </c>
      <c r="L2547" t="str">
        <f>IF(A2547="","",IF('ATP Fills'!G2547="LME",'ATP Fills'!I2547,""))</f>
        <v/>
      </c>
      <c r="M2547" t="str">
        <f t="shared" si="39"/>
        <v/>
      </c>
    </row>
    <row r="2548" spans="1:13">
      <c r="A2548" t="str">
        <f>IF('ATP Fills'!A2548="","",IF('ATP Fills'!Q2548="PHILLIPSG",'ATP Fills'!F2548,""))</f>
        <v/>
      </c>
      <c r="B2548" t="str">
        <f>IF(A2548="","",'ATP Fills'!L2548)</f>
        <v/>
      </c>
      <c r="C2548" t="str">
        <f>IF(A2548="","",'ATP Fills'!M2548)</f>
        <v/>
      </c>
      <c r="D2548" t="str">
        <f>IF(A2548="","",'ATP Fills'!B2548)</f>
        <v/>
      </c>
      <c r="E2548" s="3" t="str">
        <f>IF(A2548="","",IF(DATE(LEFT(D2548,4),MID(D2548,5,2),RIGHT(D2548,2))=Helper1!$P$1,Helper1!$P$1,""))</f>
        <v/>
      </c>
      <c r="F2548" s="3" t="str">
        <f>IF(A2548="","",'ATP Fills'!G2548)</f>
        <v/>
      </c>
      <c r="G2548" t="str">
        <f>IF(A2548="","",'ATP Fills'!H2548)</f>
        <v/>
      </c>
      <c r="H2548" t="str">
        <f>IF(A2548="","",VLOOKUP(G2548,表3_3[],2,0))</f>
        <v/>
      </c>
      <c r="I2548" t="str">
        <f>IF(A2548="","",VLOOKUP(G2548,表3_3[],3,0))</f>
        <v/>
      </c>
      <c r="J2548" t="str">
        <f>IF(A2548="","",IF('ATP Fills'!I2548="3M","",VLOOKUP(RIGHT('ATP Fills'!I2548,2),Helper1!$O$36:$P$48,2,0)))</f>
        <v/>
      </c>
      <c r="K2548" t="str">
        <f>IF(J2548="","",LEFT('ATP Fills'!I2548,4))</f>
        <v/>
      </c>
      <c r="L2548" t="str">
        <f>IF(A2548="","",IF('ATP Fills'!G2548="LME",'ATP Fills'!I2548,""))</f>
        <v/>
      </c>
      <c r="M2548" t="str">
        <f t="shared" si="39"/>
        <v/>
      </c>
    </row>
    <row r="2549" spans="1:13">
      <c r="A2549" t="str">
        <f>IF('ATP Fills'!A2549="","",IF('ATP Fills'!Q2549="PHILLIPSG",'ATP Fills'!F2549,""))</f>
        <v/>
      </c>
      <c r="B2549" t="str">
        <f>IF(A2549="","",'ATP Fills'!L2549)</f>
        <v/>
      </c>
      <c r="C2549" t="str">
        <f>IF(A2549="","",'ATP Fills'!M2549)</f>
        <v/>
      </c>
      <c r="D2549" t="str">
        <f>IF(A2549="","",'ATP Fills'!B2549)</f>
        <v/>
      </c>
      <c r="E2549" s="3" t="str">
        <f>IF(A2549="","",IF(DATE(LEFT(D2549,4),MID(D2549,5,2),RIGHT(D2549,2))=Helper1!$P$1,Helper1!$P$1,""))</f>
        <v/>
      </c>
      <c r="F2549" s="3" t="str">
        <f>IF(A2549="","",'ATP Fills'!G2549)</f>
        <v/>
      </c>
      <c r="G2549" t="str">
        <f>IF(A2549="","",'ATP Fills'!H2549)</f>
        <v/>
      </c>
      <c r="H2549" t="str">
        <f>IF(A2549="","",VLOOKUP(G2549,表3_3[],2,0))</f>
        <v/>
      </c>
      <c r="I2549" t="str">
        <f>IF(A2549="","",VLOOKUP(G2549,表3_3[],3,0))</f>
        <v/>
      </c>
      <c r="J2549" t="str">
        <f>IF(A2549="","",IF('ATP Fills'!I2549="3M","",VLOOKUP(RIGHT('ATP Fills'!I2549,2),Helper1!$O$36:$P$48,2,0)))</f>
        <v/>
      </c>
      <c r="K2549" t="str">
        <f>IF(J2549="","",LEFT('ATP Fills'!I2549,4))</f>
        <v/>
      </c>
      <c r="L2549" t="str">
        <f>IF(A2549="","",IF('ATP Fills'!G2549="LME",'ATP Fills'!I2549,""))</f>
        <v/>
      </c>
      <c r="M2549" t="str">
        <f t="shared" si="39"/>
        <v/>
      </c>
    </row>
    <row r="2550" spans="1:13">
      <c r="A2550" t="str">
        <f>IF('ATP Fills'!A2550="","",IF('ATP Fills'!Q2550="PHILLIPSG",'ATP Fills'!F2550,""))</f>
        <v/>
      </c>
      <c r="B2550" t="str">
        <f>IF(A2550="","",'ATP Fills'!L2550)</f>
        <v/>
      </c>
      <c r="C2550" t="str">
        <f>IF(A2550="","",'ATP Fills'!M2550)</f>
        <v/>
      </c>
      <c r="D2550" t="str">
        <f>IF(A2550="","",'ATP Fills'!B2550)</f>
        <v/>
      </c>
      <c r="E2550" s="3" t="str">
        <f>IF(A2550="","",IF(DATE(LEFT(D2550,4),MID(D2550,5,2),RIGHT(D2550,2))=Helper1!$P$1,Helper1!$P$1,""))</f>
        <v/>
      </c>
      <c r="F2550" s="3" t="str">
        <f>IF(A2550="","",'ATP Fills'!G2550)</f>
        <v/>
      </c>
      <c r="G2550" t="str">
        <f>IF(A2550="","",'ATP Fills'!H2550)</f>
        <v/>
      </c>
      <c r="H2550" t="str">
        <f>IF(A2550="","",VLOOKUP(G2550,表3_3[],2,0))</f>
        <v/>
      </c>
      <c r="I2550" t="str">
        <f>IF(A2550="","",VLOOKUP(G2550,表3_3[],3,0))</f>
        <v/>
      </c>
      <c r="J2550" t="str">
        <f>IF(A2550="","",IF('ATP Fills'!I2550="3M","",VLOOKUP(RIGHT('ATP Fills'!I2550,2),Helper1!$O$36:$P$48,2,0)))</f>
        <v/>
      </c>
      <c r="K2550" t="str">
        <f>IF(J2550="","",LEFT('ATP Fills'!I2550,4))</f>
        <v/>
      </c>
      <c r="L2550" t="str">
        <f>IF(A2550="","",IF('ATP Fills'!G2550="LME",'ATP Fills'!I2550,""))</f>
        <v/>
      </c>
      <c r="M2550" t="str">
        <f t="shared" si="39"/>
        <v/>
      </c>
    </row>
    <row r="2551" spans="1:13">
      <c r="A2551" t="str">
        <f>IF('ATP Fills'!A2551="","",IF('ATP Fills'!Q2551="PHILLIPSG",'ATP Fills'!F2551,""))</f>
        <v/>
      </c>
      <c r="B2551" t="str">
        <f>IF(A2551="","",'ATP Fills'!L2551)</f>
        <v/>
      </c>
      <c r="C2551" t="str">
        <f>IF(A2551="","",'ATP Fills'!M2551)</f>
        <v/>
      </c>
      <c r="D2551" t="str">
        <f>IF(A2551="","",'ATP Fills'!B2551)</f>
        <v/>
      </c>
      <c r="E2551" s="3" t="str">
        <f>IF(A2551="","",IF(DATE(LEFT(D2551,4),MID(D2551,5,2),RIGHT(D2551,2))=Helper1!$P$1,Helper1!$P$1,""))</f>
        <v/>
      </c>
      <c r="F2551" s="3" t="str">
        <f>IF(A2551="","",'ATP Fills'!G2551)</f>
        <v/>
      </c>
      <c r="G2551" t="str">
        <f>IF(A2551="","",'ATP Fills'!H2551)</f>
        <v/>
      </c>
      <c r="H2551" t="str">
        <f>IF(A2551="","",VLOOKUP(G2551,表3_3[],2,0))</f>
        <v/>
      </c>
      <c r="I2551" t="str">
        <f>IF(A2551="","",VLOOKUP(G2551,表3_3[],3,0))</f>
        <v/>
      </c>
      <c r="J2551" t="str">
        <f>IF(A2551="","",IF('ATP Fills'!I2551="3M","",VLOOKUP(RIGHT('ATP Fills'!I2551,2),Helper1!$O$36:$P$48,2,0)))</f>
        <v/>
      </c>
      <c r="K2551" t="str">
        <f>IF(J2551="","",LEFT('ATP Fills'!I2551,4))</f>
        <v/>
      </c>
      <c r="L2551" t="str">
        <f>IF(A2551="","",IF('ATP Fills'!G2551="LME",'ATP Fills'!I2551,""))</f>
        <v/>
      </c>
      <c r="M2551" t="str">
        <f t="shared" si="39"/>
        <v/>
      </c>
    </row>
    <row r="2552" spans="1:13">
      <c r="A2552" t="str">
        <f>IF('ATP Fills'!A2552="","",IF('ATP Fills'!Q2552="PHILLIPSG",'ATP Fills'!F2552,""))</f>
        <v/>
      </c>
      <c r="B2552" t="str">
        <f>IF(A2552="","",'ATP Fills'!L2552)</f>
        <v/>
      </c>
      <c r="C2552" t="str">
        <f>IF(A2552="","",'ATP Fills'!M2552)</f>
        <v/>
      </c>
      <c r="D2552" t="str">
        <f>IF(A2552="","",'ATP Fills'!B2552)</f>
        <v/>
      </c>
      <c r="E2552" s="3" t="str">
        <f>IF(A2552="","",IF(DATE(LEFT(D2552,4),MID(D2552,5,2),RIGHT(D2552,2))=Helper1!$P$1,Helper1!$P$1,""))</f>
        <v/>
      </c>
      <c r="F2552" s="3" t="str">
        <f>IF(A2552="","",'ATP Fills'!G2552)</f>
        <v/>
      </c>
      <c r="G2552" t="str">
        <f>IF(A2552="","",'ATP Fills'!H2552)</f>
        <v/>
      </c>
      <c r="H2552" t="str">
        <f>IF(A2552="","",VLOOKUP(G2552,表3_3[],2,0))</f>
        <v/>
      </c>
      <c r="I2552" t="str">
        <f>IF(A2552="","",VLOOKUP(G2552,表3_3[],3,0))</f>
        <v/>
      </c>
      <c r="J2552" t="str">
        <f>IF(A2552="","",IF('ATP Fills'!I2552="3M","",VLOOKUP(RIGHT('ATP Fills'!I2552,2),Helper1!$O$36:$P$48,2,0)))</f>
        <v/>
      </c>
      <c r="K2552" t="str">
        <f>IF(J2552="","",LEFT('ATP Fills'!I2552,4))</f>
        <v/>
      </c>
      <c r="L2552" t="str">
        <f>IF(A2552="","",IF('ATP Fills'!G2552="LME",'ATP Fills'!I2552,""))</f>
        <v/>
      </c>
      <c r="M2552" t="str">
        <f t="shared" si="39"/>
        <v/>
      </c>
    </row>
    <row r="2553" spans="1:13">
      <c r="A2553" t="str">
        <f>IF('ATP Fills'!A2553="","",IF('ATP Fills'!Q2553="PHILLIPSG",'ATP Fills'!F2553,""))</f>
        <v/>
      </c>
      <c r="B2553" t="str">
        <f>IF(A2553="","",'ATP Fills'!L2553)</f>
        <v/>
      </c>
      <c r="C2553" t="str">
        <f>IF(A2553="","",'ATP Fills'!M2553)</f>
        <v/>
      </c>
      <c r="D2553" t="str">
        <f>IF(A2553="","",'ATP Fills'!B2553)</f>
        <v/>
      </c>
      <c r="E2553" s="3" t="str">
        <f>IF(A2553="","",IF(DATE(LEFT(D2553,4),MID(D2553,5,2),RIGHT(D2553,2))=Helper1!$P$1,Helper1!$P$1,""))</f>
        <v/>
      </c>
      <c r="F2553" s="3" t="str">
        <f>IF(A2553="","",'ATP Fills'!G2553)</f>
        <v/>
      </c>
      <c r="G2553" t="str">
        <f>IF(A2553="","",'ATP Fills'!H2553)</f>
        <v/>
      </c>
      <c r="H2553" t="str">
        <f>IF(A2553="","",VLOOKUP(G2553,表3_3[],2,0))</f>
        <v/>
      </c>
      <c r="I2553" t="str">
        <f>IF(A2553="","",VLOOKUP(G2553,表3_3[],3,0))</f>
        <v/>
      </c>
      <c r="J2553" t="str">
        <f>IF(A2553="","",IF('ATP Fills'!I2553="3M","",VLOOKUP(RIGHT('ATP Fills'!I2553,2),Helper1!$O$36:$P$48,2,0)))</f>
        <v/>
      </c>
      <c r="K2553" t="str">
        <f>IF(J2553="","",LEFT('ATP Fills'!I2553,4))</f>
        <v/>
      </c>
      <c r="L2553" t="str">
        <f>IF(A2553="","",IF('ATP Fills'!G2553="LME",'ATP Fills'!I2553,""))</f>
        <v/>
      </c>
      <c r="M2553" t="str">
        <f t="shared" si="39"/>
        <v/>
      </c>
    </row>
    <row r="2554" spans="1:13">
      <c r="A2554" t="str">
        <f>IF('ATP Fills'!A2554="","",IF('ATP Fills'!Q2554="PHILLIPSG",'ATP Fills'!F2554,""))</f>
        <v/>
      </c>
      <c r="B2554" t="str">
        <f>IF(A2554="","",'ATP Fills'!L2554)</f>
        <v/>
      </c>
      <c r="C2554" t="str">
        <f>IF(A2554="","",'ATP Fills'!M2554)</f>
        <v/>
      </c>
      <c r="D2554" t="str">
        <f>IF(A2554="","",'ATP Fills'!B2554)</f>
        <v/>
      </c>
      <c r="E2554" s="3" t="str">
        <f>IF(A2554="","",IF(DATE(LEFT(D2554,4),MID(D2554,5,2),RIGHT(D2554,2))=Helper1!$P$1,Helper1!$P$1,""))</f>
        <v/>
      </c>
      <c r="F2554" s="3" t="str">
        <f>IF(A2554="","",'ATP Fills'!G2554)</f>
        <v/>
      </c>
      <c r="G2554" t="str">
        <f>IF(A2554="","",'ATP Fills'!H2554)</f>
        <v/>
      </c>
      <c r="H2554" t="str">
        <f>IF(A2554="","",VLOOKUP(G2554,表3_3[],2,0))</f>
        <v/>
      </c>
      <c r="I2554" t="str">
        <f>IF(A2554="","",VLOOKUP(G2554,表3_3[],3,0))</f>
        <v/>
      </c>
      <c r="J2554" t="str">
        <f>IF(A2554="","",IF('ATP Fills'!I2554="3M","",VLOOKUP(RIGHT('ATP Fills'!I2554,2),Helper1!$O$36:$P$48,2,0)))</f>
        <v/>
      </c>
      <c r="K2554" t="str">
        <f>IF(J2554="","",LEFT('ATP Fills'!I2554,4))</f>
        <v/>
      </c>
      <c r="L2554" t="str">
        <f>IF(A2554="","",IF('ATP Fills'!G2554="LME",'ATP Fills'!I2554,""))</f>
        <v/>
      </c>
      <c r="M2554" t="str">
        <f t="shared" si="39"/>
        <v/>
      </c>
    </row>
    <row r="2555" spans="1:13">
      <c r="A2555" t="str">
        <f>IF('ATP Fills'!A2555="","",IF('ATP Fills'!Q2555="PHILLIPSG",'ATP Fills'!F2555,""))</f>
        <v/>
      </c>
      <c r="B2555" t="str">
        <f>IF(A2555="","",'ATP Fills'!L2555)</f>
        <v/>
      </c>
      <c r="C2555" t="str">
        <f>IF(A2555="","",'ATP Fills'!M2555)</f>
        <v/>
      </c>
      <c r="D2555" t="str">
        <f>IF(A2555="","",'ATP Fills'!B2555)</f>
        <v/>
      </c>
      <c r="E2555" s="3" t="str">
        <f>IF(A2555="","",IF(DATE(LEFT(D2555,4),MID(D2555,5,2),RIGHT(D2555,2))=Helper1!$P$1,Helper1!$P$1,""))</f>
        <v/>
      </c>
      <c r="F2555" s="3" t="str">
        <f>IF(A2555="","",'ATP Fills'!G2555)</f>
        <v/>
      </c>
      <c r="G2555" t="str">
        <f>IF(A2555="","",'ATP Fills'!H2555)</f>
        <v/>
      </c>
      <c r="H2555" t="str">
        <f>IF(A2555="","",VLOOKUP(G2555,表3_3[],2,0))</f>
        <v/>
      </c>
      <c r="I2555" t="str">
        <f>IF(A2555="","",VLOOKUP(G2555,表3_3[],3,0))</f>
        <v/>
      </c>
      <c r="J2555" t="str">
        <f>IF(A2555="","",IF('ATP Fills'!I2555="3M","",VLOOKUP(RIGHT('ATP Fills'!I2555,2),Helper1!$O$36:$P$48,2,0)))</f>
        <v/>
      </c>
      <c r="K2555" t="str">
        <f>IF(J2555="","",LEFT('ATP Fills'!I2555,4))</f>
        <v/>
      </c>
      <c r="L2555" t="str">
        <f>IF(A2555="","",IF('ATP Fills'!G2555="LME",'ATP Fills'!I2555,""))</f>
        <v/>
      </c>
      <c r="M2555" t="str">
        <f t="shared" si="39"/>
        <v/>
      </c>
    </row>
    <row r="2556" spans="1:13">
      <c r="A2556" t="str">
        <f>IF('ATP Fills'!A2556="","",IF('ATP Fills'!Q2556="PHILLIPSG",'ATP Fills'!F2556,""))</f>
        <v/>
      </c>
      <c r="B2556" t="str">
        <f>IF(A2556="","",'ATP Fills'!L2556)</f>
        <v/>
      </c>
      <c r="C2556" t="str">
        <f>IF(A2556="","",'ATP Fills'!M2556)</f>
        <v/>
      </c>
      <c r="D2556" t="str">
        <f>IF(A2556="","",'ATP Fills'!B2556)</f>
        <v/>
      </c>
      <c r="E2556" s="3" t="str">
        <f>IF(A2556="","",IF(DATE(LEFT(D2556,4),MID(D2556,5,2),RIGHT(D2556,2))=Helper1!$P$1,Helper1!$P$1,""))</f>
        <v/>
      </c>
      <c r="F2556" s="3" t="str">
        <f>IF(A2556="","",'ATP Fills'!G2556)</f>
        <v/>
      </c>
      <c r="G2556" t="str">
        <f>IF(A2556="","",'ATP Fills'!H2556)</f>
        <v/>
      </c>
      <c r="H2556" t="str">
        <f>IF(A2556="","",VLOOKUP(G2556,表3_3[],2,0))</f>
        <v/>
      </c>
      <c r="I2556" t="str">
        <f>IF(A2556="","",VLOOKUP(G2556,表3_3[],3,0))</f>
        <v/>
      </c>
      <c r="J2556" t="str">
        <f>IF(A2556="","",IF('ATP Fills'!I2556="3M","",VLOOKUP(RIGHT('ATP Fills'!I2556,2),Helper1!$O$36:$P$48,2,0)))</f>
        <v/>
      </c>
      <c r="K2556" t="str">
        <f>IF(J2556="","",LEFT('ATP Fills'!I2556,4))</f>
        <v/>
      </c>
      <c r="L2556" t="str">
        <f>IF(A2556="","",IF('ATP Fills'!G2556="LME",'ATP Fills'!I2556,""))</f>
        <v/>
      </c>
      <c r="M2556" t="str">
        <f t="shared" si="39"/>
        <v/>
      </c>
    </row>
    <row r="2557" spans="1:13">
      <c r="A2557" t="str">
        <f>IF('ATP Fills'!A2557="","",IF('ATP Fills'!Q2557="PHILLIPSG",'ATP Fills'!F2557,""))</f>
        <v/>
      </c>
      <c r="B2557" t="str">
        <f>IF(A2557="","",'ATP Fills'!L2557)</f>
        <v/>
      </c>
      <c r="C2557" t="str">
        <f>IF(A2557="","",'ATP Fills'!M2557)</f>
        <v/>
      </c>
      <c r="D2557" t="str">
        <f>IF(A2557="","",'ATP Fills'!B2557)</f>
        <v/>
      </c>
      <c r="E2557" s="3" t="str">
        <f>IF(A2557="","",IF(DATE(LEFT(D2557,4),MID(D2557,5,2),RIGHT(D2557,2))=Helper1!$P$1,Helper1!$P$1,""))</f>
        <v/>
      </c>
      <c r="F2557" s="3" t="str">
        <f>IF(A2557="","",'ATP Fills'!G2557)</f>
        <v/>
      </c>
      <c r="G2557" t="str">
        <f>IF(A2557="","",'ATP Fills'!H2557)</f>
        <v/>
      </c>
      <c r="H2557" t="str">
        <f>IF(A2557="","",VLOOKUP(G2557,表3_3[],2,0))</f>
        <v/>
      </c>
      <c r="I2557" t="str">
        <f>IF(A2557="","",VLOOKUP(G2557,表3_3[],3,0))</f>
        <v/>
      </c>
      <c r="J2557" t="str">
        <f>IF(A2557="","",IF('ATP Fills'!I2557="3M","",VLOOKUP(RIGHT('ATP Fills'!I2557,2),Helper1!$O$36:$P$48,2,0)))</f>
        <v/>
      </c>
      <c r="K2557" t="str">
        <f>IF(J2557="","",LEFT('ATP Fills'!I2557,4))</f>
        <v/>
      </c>
      <c r="L2557" t="str">
        <f>IF(A2557="","",IF('ATP Fills'!G2557="LME",'ATP Fills'!I2557,""))</f>
        <v/>
      </c>
      <c r="M2557" t="str">
        <f t="shared" si="39"/>
        <v/>
      </c>
    </row>
    <row r="2558" spans="1:13">
      <c r="A2558" t="str">
        <f>IF('ATP Fills'!A2558="","",IF('ATP Fills'!Q2558="PHILLIPSG",'ATP Fills'!F2558,""))</f>
        <v/>
      </c>
      <c r="B2558" t="str">
        <f>IF(A2558="","",'ATP Fills'!L2558)</f>
        <v/>
      </c>
      <c r="C2558" t="str">
        <f>IF(A2558="","",'ATP Fills'!M2558)</f>
        <v/>
      </c>
      <c r="D2558" t="str">
        <f>IF(A2558="","",'ATP Fills'!B2558)</f>
        <v/>
      </c>
      <c r="E2558" s="3" t="str">
        <f>IF(A2558="","",IF(DATE(LEFT(D2558,4),MID(D2558,5,2),RIGHT(D2558,2))=Helper1!$P$1,Helper1!$P$1,""))</f>
        <v/>
      </c>
      <c r="F2558" s="3" t="str">
        <f>IF(A2558="","",'ATP Fills'!G2558)</f>
        <v/>
      </c>
      <c r="G2558" t="str">
        <f>IF(A2558="","",'ATP Fills'!H2558)</f>
        <v/>
      </c>
      <c r="H2558" t="str">
        <f>IF(A2558="","",VLOOKUP(G2558,表3_3[],2,0))</f>
        <v/>
      </c>
      <c r="I2558" t="str">
        <f>IF(A2558="","",VLOOKUP(G2558,表3_3[],3,0))</f>
        <v/>
      </c>
      <c r="J2558" t="str">
        <f>IF(A2558="","",IF('ATP Fills'!I2558="3M","",VLOOKUP(RIGHT('ATP Fills'!I2558,2),Helper1!$O$36:$P$48,2,0)))</f>
        <v/>
      </c>
      <c r="K2558" t="str">
        <f>IF(J2558="","",LEFT('ATP Fills'!I2558,4))</f>
        <v/>
      </c>
      <c r="L2558" t="str">
        <f>IF(A2558="","",IF('ATP Fills'!G2558="LME",'ATP Fills'!I2558,""))</f>
        <v/>
      </c>
      <c r="M2558" t="str">
        <f t="shared" si="39"/>
        <v/>
      </c>
    </row>
    <row r="2559" spans="1:13">
      <c r="A2559" t="str">
        <f>IF('ATP Fills'!A2559="","",IF('ATP Fills'!Q2559="PHILLIPSG",'ATP Fills'!F2559,""))</f>
        <v/>
      </c>
      <c r="B2559" t="str">
        <f>IF(A2559="","",'ATP Fills'!L2559)</f>
        <v/>
      </c>
      <c r="C2559" t="str">
        <f>IF(A2559="","",'ATP Fills'!M2559)</f>
        <v/>
      </c>
      <c r="D2559" t="str">
        <f>IF(A2559="","",'ATP Fills'!B2559)</f>
        <v/>
      </c>
      <c r="E2559" s="3" t="str">
        <f>IF(A2559="","",IF(DATE(LEFT(D2559,4),MID(D2559,5,2),RIGHT(D2559,2))=Helper1!$P$1,Helper1!$P$1,""))</f>
        <v/>
      </c>
      <c r="F2559" s="3" t="str">
        <f>IF(A2559="","",'ATP Fills'!G2559)</f>
        <v/>
      </c>
      <c r="G2559" t="str">
        <f>IF(A2559="","",'ATP Fills'!H2559)</f>
        <v/>
      </c>
      <c r="H2559" t="str">
        <f>IF(A2559="","",VLOOKUP(G2559,表3_3[],2,0))</f>
        <v/>
      </c>
      <c r="I2559" t="str">
        <f>IF(A2559="","",VLOOKUP(G2559,表3_3[],3,0))</f>
        <v/>
      </c>
      <c r="J2559" t="str">
        <f>IF(A2559="","",IF('ATP Fills'!I2559="3M","",VLOOKUP(RIGHT('ATP Fills'!I2559,2),Helper1!$O$36:$P$48,2,0)))</f>
        <v/>
      </c>
      <c r="K2559" t="str">
        <f>IF(J2559="","",LEFT('ATP Fills'!I2559,4))</f>
        <v/>
      </c>
      <c r="L2559" t="str">
        <f>IF(A2559="","",IF('ATP Fills'!G2559="LME",'ATP Fills'!I2559,""))</f>
        <v/>
      </c>
      <c r="M2559" t="str">
        <f t="shared" si="39"/>
        <v/>
      </c>
    </row>
    <row r="2560" spans="1:13">
      <c r="A2560" t="str">
        <f>IF('ATP Fills'!A2560="","",IF('ATP Fills'!Q2560="PHILLIPSG",'ATP Fills'!F2560,""))</f>
        <v/>
      </c>
      <c r="B2560" t="str">
        <f>IF(A2560="","",'ATP Fills'!L2560)</f>
        <v/>
      </c>
      <c r="C2560" t="str">
        <f>IF(A2560="","",'ATP Fills'!M2560)</f>
        <v/>
      </c>
      <c r="D2560" t="str">
        <f>IF(A2560="","",'ATP Fills'!B2560)</f>
        <v/>
      </c>
      <c r="E2560" s="3" t="str">
        <f>IF(A2560="","",IF(DATE(LEFT(D2560,4),MID(D2560,5,2),RIGHT(D2560,2))=Helper1!$P$1,Helper1!$P$1,""))</f>
        <v/>
      </c>
      <c r="F2560" s="3" t="str">
        <f>IF(A2560="","",'ATP Fills'!G2560)</f>
        <v/>
      </c>
      <c r="G2560" t="str">
        <f>IF(A2560="","",'ATP Fills'!H2560)</f>
        <v/>
      </c>
      <c r="H2560" t="str">
        <f>IF(A2560="","",VLOOKUP(G2560,表3_3[],2,0))</f>
        <v/>
      </c>
      <c r="I2560" t="str">
        <f>IF(A2560="","",VLOOKUP(G2560,表3_3[],3,0))</f>
        <v/>
      </c>
      <c r="J2560" t="str">
        <f>IF(A2560="","",IF('ATP Fills'!I2560="3M","",VLOOKUP(RIGHT('ATP Fills'!I2560,2),Helper1!$O$36:$P$48,2,0)))</f>
        <v/>
      </c>
      <c r="K2560" t="str">
        <f>IF(J2560="","",LEFT('ATP Fills'!I2560,4))</f>
        <v/>
      </c>
      <c r="L2560" t="str">
        <f>IF(A2560="","",IF('ATP Fills'!G2560="LME",'ATP Fills'!I2560,""))</f>
        <v/>
      </c>
      <c r="M2560" t="str">
        <f t="shared" si="39"/>
        <v/>
      </c>
    </row>
    <row r="2561" spans="1:13">
      <c r="A2561" t="str">
        <f>IF('ATP Fills'!A2561="","",IF('ATP Fills'!Q2561="PHILLIPSG",'ATP Fills'!F2561,""))</f>
        <v/>
      </c>
      <c r="B2561" t="str">
        <f>IF(A2561="","",'ATP Fills'!L2561)</f>
        <v/>
      </c>
      <c r="C2561" t="str">
        <f>IF(A2561="","",'ATP Fills'!M2561)</f>
        <v/>
      </c>
      <c r="D2561" t="str">
        <f>IF(A2561="","",'ATP Fills'!B2561)</f>
        <v/>
      </c>
      <c r="E2561" s="3" t="str">
        <f>IF(A2561="","",IF(DATE(LEFT(D2561,4),MID(D2561,5,2),RIGHT(D2561,2))=Helper1!$P$1,Helper1!$P$1,""))</f>
        <v/>
      </c>
      <c r="F2561" s="3" t="str">
        <f>IF(A2561="","",'ATP Fills'!G2561)</f>
        <v/>
      </c>
      <c r="G2561" t="str">
        <f>IF(A2561="","",'ATP Fills'!H2561)</f>
        <v/>
      </c>
      <c r="H2561" t="str">
        <f>IF(A2561="","",VLOOKUP(G2561,表3_3[],2,0))</f>
        <v/>
      </c>
      <c r="I2561" t="str">
        <f>IF(A2561="","",VLOOKUP(G2561,表3_3[],3,0))</f>
        <v/>
      </c>
      <c r="J2561" t="str">
        <f>IF(A2561="","",IF('ATP Fills'!I2561="3M","",VLOOKUP(RIGHT('ATP Fills'!I2561,2),Helper1!$O$36:$P$48,2,0)))</f>
        <v/>
      </c>
      <c r="K2561" t="str">
        <f>IF(J2561="","",LEFT('ATP Fills'!I2561,4))</f>
        <v/>
      </c>
      <c r="L2561" t="str">
        <f>IF(A2561="","",IF('ATP Fills'!G2561="LME",'ATP Fills'!I2561,""))</f>
        <v/>
      </c>
      <c r="M2561" t="str">
        <f t="shared" si="39"/>
        <v/>
      </c>
    </row>
    <row r="2562" spans="1:13">
      <c r="A2562" t="str">
        <f>IF('ATP Fills'!A2562="","",IF('ATP Fills'!Q2562="PHILLIPSG",'ATP Fills'!F2562,""))</f>
        <v/>
      </c>
      <c r="B2562" t="str">
        <f>IF(A2562="","",'ATP Fills'!L2562)</f>
        <v/>
      </c>
      <c r="C2562" t="str">
        <f>IF(A2562="","",'ATP Fills'!M2562)</f>
        <v/>
      </c>
      <c r="D2562" t="str">
        <f>IF(A2562="","",'ATP Fills'!B2562)</f>
        <v/>
      </c>
      <c r="E2562" s="3" t="str">
        <f>IF(A2562="","",IF(DATE(LEFT(D2562,4),MID(D2562,5,2),RIGHT(D2562,2))=Helper1!$P$1,Helper1!$P$1,""))</f>
        <v/>
      </c>
      <c r="F2562" s="3" t="str">
        <f>IF(A2562="","",'ATP Fills'!G2562)</f>
        <v/>
      </c>
      <c r="G2562" t="str">
        <f>IF(A2562="","",'ATP Fills'!H2562)</f>
        <v/>
      </c>
      <c r="H2562" t="str">
        <f>IF(A2562="","",VLOOKUP(G2562,表3_3[],2,0))</f>
        <v/>
      </c>
      <c r="I2562" t="str">
        <f>IF(A2562="","",VLOOKUP(G2562,表3_3[],3,0))</f>
        <v/>
      </c>
      <c r="J2562" t="str">
        <f>IF(A2562="","",IF('ATP Fills'!I2562="3M","",VLOOKUP(RIGHT('ATP Fills'!I2562,2),Helper1!$O$36:$P$48,2,0)))</f>
        <v/>
      </c>
      <c r="K2562" t="str">
        <f>IF(J2562="","",LEFT('ATP Fills'!I2562,4))</f>
        <v/>
      </c>
      <c r="L2562" t="str">
        <f>IF(A2562="","",IF('ATP Fills'!G2562="LME",'ATP Fills'!I2562,""))</f>
        <v/>
      </c>
      <c r="M2562" t="str">
        <f t="shared" si="39"/>
        <v/>
      </c>
    </row>
    <row r="2563" spans="1:13">
      <c r="A2563" t="str">
        <f>IF('ATP Fills'!A2563="","",IF('ATP Fills'!Q2563="PHILLIPSG",'ATP Fills'!F2563,""))</f>
        <v/>
      </c>
      <c r="B2563" t="str">
        <f>IF(A2563="","",'ATP Fills'!L2563)</f>
        <v/>
      </c>
      <c r="C2563" t="str">
        <f>IF(A2563="","",'ATP Fills'!M2563)</f>
        <v/>
      </c>
      <c r="D2563" t="str">
        <f>IF(A2563="","",'ATP Fills'!B2563)</f>
        <v/>
      </c>
      <c r="E2563" s="3" t="str">
        <f>IF(A2563="","",IF(DATE(LEFT(D2563,4),MID(D2563,5,2),RIGHT(D2563,2))=Helper1!$P$1,Helper1!$P$1,""))</f>
        <v/>
      </c>
      <c r="F2563" s="3" t="str">
        <f>IF(A2563="","",'ATP Fills'!G2563)</f>
        <v/>
      </c>
      <c r="G2563" t="str">
        <f>IF(A2563="","",'ATP Fills'!H2563)</f>
        <v/>
      </c>
      <c r="H2563" t="str">
        <f>IF(A2563="","",VLOOKUP(G2563,表3_3[],2,0))</f>
        <v/>
      </c>
      <c r="I2563" t="str">
        <f>IF(A2563="","",VLOOKUP(G2563,表3_3[],3,0))</f>
        <v/>
      </c>
      <c r="J2563" t="str">
        <f>IF(A2563="","",IF('ATP Fills'!I2563="3M","",VLOOKUP(RIGHT('ATP Fills'!I2563,2),Helper1!$O$36:$P$48,2,0)))</f>
        <v/>
      </c>
      <c r="K2563" t="str">
        <f>IF(J2563="","",LEFT('ATP Fills'!I2563,4))</f>
        <v/>
      </c>
      <c r="L2563" t="str">
        <f>IF(A2563="","",IF('ATP Fills'!G2563="LME",'ATP Fills'!I2563,""))</f>
        <v/>
      </c>
      <c r="M2563" t="str">
        <f t="shared" ref="M2563:M2626" si="40">IF(A2563="","",IF(F2563="LME",F2563&amp;"-"&amp;I2563&amp;"-"&amp;L2563,J2563&amp;"-"&amp;K2563&amp;"-"&amp;I2563))</f>
        <v/>
      </c>
    </row>
    <row r="2564" spans="1:13">
      <c r="A2564" t="str">
        <f>IF('ATP Fills'!A2564="","",IF('ATP Fills'!Q2564="PHILLIPSG",'ATP Fills'!F2564,""))</f>
        <v/>
      </c>
      <c r="B2564" t="str">
        <f>IF(A2564="","",'ATP Fills'!L2564)</f>
        <v/>
      </c>
      <c r="C2564" t="str">
        <f>IF(A2564="","",'ATP Fills'!M2564)</f>
        <v/>
      </c>
      <c r="D2564" t="str">
        <f>IF(A2564="","",'ATP Fills'!B2564)</f>
        <v/>
      </c>
      <c r="E2564" s="3" t="str">
        <f>IF(A2564="","",IF(DATE(LEFT(D2564,4),MID(D2564,5,2),RIGHT(D2564,2))=Helper1!$P$1,Helper1!$P$1,""))</f>
        <v/>
      </c>
      <c r="F2564" s="3" t="str">
        <f>IF(A2564="","",'ATP Fills'!G2564)</f>
        <v/>
      </c>
      <c r="G2564" t="str">
        <f>IF(A2564="","",'ATP Fills'!H2564)</f>
        <v/>
      </c>
      <c r="H2564" t="str">
        <f>IF(A2564="","",VLOOKUP(G2564,表3_3[],2,0))</f>
        <v/>
      </c>
      <c r="I2564" t="str">
        <f>IF(A2564="","",VLOOKUP(G2564,表3_3[],3,0))</f>
        <v/>
      </c>
      <c r="J2564" t="str">
        <f>IF(A2564="","",IF('ATP Fills'!I2564="3M","",VLOOKUP(RIGHT('ATP Fills'!I2564,2),Helper1!$O$36:$P$48,2,0)))</f>
        <v/>
      </c>
      <c r="K2564" t="str">
        <f>IF(J2564="","",LEFT('ATP Fills'!I2564,4))</f>
        <v/>
      </c>
      <c r="L2564" t="str">
        <f>IF(A2564="","",IF('ATP Fills'!G2564="LME",'ATP Fills'!I2564,""))</f>
        <v/>
      </c>
      <c r="M2564" t="str">
        <f t="shared" si="40"/>
        <v/>
      </c>
    </row>
    <row r="2565" spans="1:13">
      <c r="A2565" t="str">
        <f>IF('ATP Fills'!A2565="","",IF('ATP Fills'!Q2565="PHILLIPSG",'ATP Fills'!F2565,""))</f>
        <v/>
      </c>
      <c r="B2565" t="str">
        <f>IF(A2565="","",'ATP Fills'!L2565)</f>
        <v/>
      </c>
      <c r="C2565" t="str">
        <f>IF(A2565="","",'ATP Fills'!M2565)</f>
        <v/>
      </c>
      <c r="D2565" t="str">
        <f>IF(A2565="","",'ATP Fills'!B2565)</f>
        <v/>
      </c>
      <c r="E2565" s="3" t="str">
        <f>IF(A2565="","",IF(DATE(LEFT(D2565,4),MID(D2565,5,2),RIGHT(D2565,2))=Helper1!$P$1,Helper1!$P$1,""))</f>
        <v/>
      </c>
      <c r="F2565" s="3" t="str">
        <f>IF(A2565="","",'ATP Fills'!G2565)</f>
        <v/>
      </c>
      <c r="G2565" t="str">
        <f>IF(A2565="","",'ATP Fills'!H2565)</f>
        <v/>
      </c>
      <c r="H2565" t="str">
        <f>IF(A2565="","",VLOOKUP(G2565,表3_3[],2,0))</f>
        <v/>
      </c>
      <c r="I2565" t="str">
        <f>IF(A2565="","",VLOOKUP(G2565,表3_3[],3,0))</f>
        <v/>
      </c>
      <c r="J2565" t="str">
        <f>IF(A2565="","",IF('ATP Fills'!I2565="3M","",VLOOKUP(RIGHT('ATP Fills'!I2565,2),Helper1!$O$36:$P$48,2,0)))</f>
        <v/>
      </c>
      <c r="K2565" t="str">
        <f>IF(J2565="","",LEFT('ATP Fills'!I2565,4))</f>
        <v/>
      </c>
      <c r="L2565" t="str">
        <f>IF(A2565="","",IF('ATP Fills'!G2565="LME",'ATP Fills'!I2565,""))</f>
        <v/>
      </c>
      <c r="M2565" t="str">
        <f t="shared" si="40"/>
        <v/>
      </c>
    </row>
    <row r="2566" spans="1:13">
      <c r="A2566" t="str">
        <f>IF('ATP Fills'!A2566="","",IF('ATP Fills'!Q2566="PHILLIPSG",'ATP Fills'!F2566,""))</f>
        <v/>
      </c>
      <c r="B2566" t="str">
        <f>IF(A2566="","",'ATP Fills'!L2566)</f>
        <v/>
      </c>
      <c r="C2566" t="str">
        <f>IF(A2566="","",'ATP Fills'!M2566)</f>
        <v/>
      </c>
      <c r="D2566" t="str">
        <f>IF(A2566="","",'ATP Fills'!B2566)</f>
        <v/>
      </c>
      <c r="E2566" s="3" t="str">
        <f>IF(A2566="","",IF(DATE(LEFT(D2566,4),MID(D2566,5,2),RIGHT(D2566,2))=Helper1!$P$1,Helper1!$P$1,""))</f>
        <v/>
      </c>
      <c r="F2566" s="3" t="str">
        <f>IF(A2566="","",'ATP Fills'!G2566)</f>
        <v/>
      </c>
      <c r="G2566" t="str">
        <f>IF(A2566="","",'ATP Fills'!H2566)</f>
        <v/>
      </c>
      <c r="H2566" t="str">
        <f>IF(A2566="","",VLOOKUP(G2566,表3_3[],2,0))</f>
        <v/>
      </c>
      <c r="I2566" t="str">
        <f>IF(A2566="","",VLOOKUP(G2566,表3_3[],3,0))</f>
        <v/>
      </c>
      <c r="J2566" t="str">
        <f>IF(A2566="","",IF('ATP Fills'!I2566="3M","",VLOOKUP(RIGHT('ATP Fills'!I2566,2),Helper1!$O$36:$P$48,2,0)))</f>
        <v/>
      </c>
      <c r="K2566" t="str">
        <f>IF(J2566="","",LEFT('ATP Fills'!I2566,4))</f>
        <v/>
      </c>
      <c r="L2566" t="str">
        <f>IF(A2566="","",IF('ATP Fills'!G2566="LME",'ATP Fills'!I2566,""))</f>
        <v/>
      </c>
      <c r="M2566" t="str">
        <f t="shared" si="40"/>
        <v/>
      </c>
    </row>
    <row r="2567" spans="1:13">
      <c r="A2567" t="str">
        <f>IF('ATP Fills'!A2567="","",IF('ATP Fills'!Q2567="PHILLIPSG",'ATP Fills'!F2567,""))</f>
        <v/>
      </c>
      <c r="B2567" t="str">
        <f>IF(A2567="","",'ATP Fills'!L2567)</f>
        <v/>
      </c>
      <c r="C2567" t="str">
        <f>IF(A2567="","",'ATP Fills'!M2567)</f>
        <v/>
      </c>
      <c r="D2567" t="str">
        <f>IF(A2567="","",'ATP Fills'!B2567)</f>
        <v/>
      </c>
      <c r="E2567" s="3" t="str">
        <f>IF(A2567="","",IF(DATE(LEFT(D2567,4),MID(D2567,5,2),RIGHT(D2567,2))=Helper1!$P$1,Helper1!$P$1,""))</f>
        <v/>
      </c>
      <c r="F2567" s="3" t="str">
        <f>IF(A2567="","",'ATP Fills'!G2567)</f>
        <v/>
      </c>
      <c r="G2567" t="str">
        <f>IF(A2567="","",'ATP Fills'!H2567)</f>
        <v/>
      </c>
      <c r="H2567" t="str">
        <f>IF(A2567="","",VLOOKUP(G2567,表3_3[],2,0))</f>
        <v/>
      </c>
      <c r="I2567" t="str">
        <f>IF(A2567="","",VLOOKUP(G2567,表3_3[],3,0))</f>
        <v/>
      </c>
      <c r="J2567" t="str">
        <f>IF(A2567="","",IF('ATP Fills'!I2567="3M","",VLOOKUP(RIGHT('ATP Fills'!I2567,2),Helper1!$O$36:$P$48,2,0)))</f>
        <v/>
      </c>
      <c r="K2567" t="str">
        <f>IF(J2567="","",LEFT('ATP Fills'!I2567,4))</f>
        <v/>
      </c>
      <c r="L2567" t="str">
        <f>IF(A2567="","",IF('ATP Fills'!G2567="LME",'ATP Fills'!I2567,""))</f>
        <v/>
      </c>
      <c r="M2567" t="str">
        <f t="shared" si="40"/>
        <v/>
      </c>
    </row>
    <row r="2568" spans="1:13">
      <c r="A2568" t="str">
        <f>IF('ATP Fills'!A2568="","",IF('ATP Fills'!Q2568="PHILLIPSG",'ATP Fills'!F2568,""))</f>
        <v/>
      </c>
      <c r="B2568" t="str">
        <f>IF(A2568="","",'ATP Fills'!L2568)</f>
        <v/>
      </c>
      <c r="C2568" t="str">
        <f>IF(A2568="","",'ATP Fills'!M2568)</f>
        <v/>
      </c>
      <c r="D2568" t="str">
        <f>IF(A2568="","",'ATP Fills'!B2568)</f>
        <v/>
      </c>
      <c r="E2568" s="3" t="str">
        <f>IF(A2568="","",IF(DATE(LEFT(D2568,4),MID(D2568,5,2),RIGHT(D2568,2))=Helper1!$P$1,Helper1!$P$1,""))</f>
        <v/>
      </c>
      <c r="F2568" s="3" t="str">
        <f>IF(A2568="","",'ATP Fills'!G2568)</f>
        <v/>
      </c>
      <c r="G2568" t="str">
        <f>IF(A2568="","",'ATP Fills'!H2568)</f>
        <v/>
      </c>
      <c r="H2568" t="str">
        <f>IF(A2568="","",VLOOKUP(G2568,表3_3[],2,0))</f>
        <v/>
      </c>
      <c r="I2568" t="str">
        <f>IF(A2568="","",VLOOKUP(G2568,表3_3[],3,0))</f>
        <v/>
      </c>
      <c r="J2568" t="str">
        <f>IF(A2568="","",IF('ATP Fills'!I2568="3M","",VLOOKUP(RIGHT('ATP Fills'!I2568,2),Helper1!$O$36:$P$48,2,0)))</f>
        <v/>
      </c>
      <c r="K2568" t="str">
        <f>IF(J2568="","",LEFT('ATP Fills'!I2568,4))</f>
        <v/>
      </c>
      <c r="L2568" t="str">
        <f>IF(A2568="","",IF('ATP Fills'!G2568="LME",'ATP Fills'!I2568,""))</f>
        <v/>
      </c>
      <c r="M2568" t="str">
        <f t="shared" si="40"/>
        <v/>
      </c>
    </row>
    <row r="2569" spans="1:13">
      <c r="A2569" t="str">
        <f>IF('ATP Fills'!A2569="","",IF('ATP Fills'!Q2569="PHILLIPSG",'ATP Fills'!F2569,""))</f>
        <v/>
      </c>
      <c r="B2569" t="str">
        <f>IF(A2569="","",'ATP Fills'!L2569)</f>
        <v/>
      </c>
      <c r="C2569" t="str">
        <f>IF(A2569="","",'ATP Fills'!M2569)</f>
        <v/>
      </c>
      <c r="D2569" t="str">
        <f>IF(A2569="","",'ATP Fills'!B2569)</f>
        <v/>
      </c>
      <c r="E2569" s="3" t="str">
        <f>IF(A2569="","",IF(DATE(LEFT(D2569,4),MID(D2569,5,2),RIGHT(D2569,2))=Helper1!$P$1,Helper1!$P$1,""))</f>
        <v/>
      </c>
      <c r="F2569" s="3" t="str">
        <f>IF(A2569="","",'ATP Fills'!G2569)</f>
        <v/>
      </c>
      <c r="G2569" t="str">
        <f>IF(A2569="","",'ATP Fills'!H2569)</f>
        <v/>
      </c>
      <c r="H2569" t="str">
        <f>IF(A2569="","",VLOOKUP(G2569,表3_3[],2,0))</f>
        <v/>
      </c>
      <c r="I2569" t="str">
        <f>IF(A2569="","",VLOOKUP(G2569,表3_3[],3,0))</f>
        <v/>
      </c>
      <c r="J2569" t="str">
        <f>IF(A2569="","",IF('ATP Fills'!I2569="3M","",VLOOKUP(RIGHT('ATP Fills'!I2569,2),Helper1!$O$36:$P$48,2,0)))</f>
        <v/>
      </c>
      <c r="K2569" t="str">
        <f>IF(J2569="","",LEFT('ATP Fills'!I2569,4))</f>
        <v/>
      </c>
      <c r="L2569" t="str">
        <f>IF(A2569="","",IF('ATP Fills'!G2569="LME",'ATP Fills'!I2569,""))</f>
        <v/>
      </c>
      <c r="M2569" t="str">
        <f t="shared" si="40"/>
        <v/>
      </c>
    </row>
    <row r="2570" spans="1:13">
      <c r="A2570" t="str">
        <f>IF('ATP Fills'!A2570="","",IF('ATP Fills'!Q2570="PHILLIPSG",'ATP Fills'!F2570,""))</f>
        <v/>
      </c>
      <c r="B2570" t="str">
        <f>IF(A2570="","",'ATP Fills'!L2570)</f>
        <v/>
      </c>
      <c r="C2570" t="str">
        <f>IF(A2570="","",'ATP Fills'!M2570)</f>
        <v/>
      </c>
      <c r="D2570" t="str">
        <f>IF(A2570="","",'ATP Fills'!B2570)</f>
        <v/>
      </c>
      <c r="E2570" s="3" t="str">
        <f>IF(A2570="","",IF(DATE(LEFT(D2570,4),MID(D2570,5,2),RIGHT(D2570,2))=Helper1!$P$1,Helper1!$P$1,""))</f>
        <v/>
      </c>
      <c r="F2570" s="3" t="str">
        <f>IF(A2570="","",'ATP Fills'!G2570)</f>
        <v/>
      </c>
      <c r="G2570" t="str">
        <f>IF(A2570="","",'ATP Fills'!H2570)</f>
        <v/>
      </c>
      <c r="H2570" t="str">
        <f>IF(A2570="","",VLOOKUP(G2570,表3_3[],2,0))</f>
        <v/>
      </c>
      <c r="I2570" t="str">
        <f>IF(A2570="","",VLOOKUP(G2570,表3_3[],3,0))</f>
        <v/>
      </c>
      <c r="J2570" t="str">
        <f>IF(A2570="","",IF('ATP Fills'!I2570="3M","",VLOOKUP(RIGHT('ATP Fills'!I2570,2),Helper1!$O$36:$P$48,2,0)))</f>
        <v/>
      </c>
      <c r="K2570" t="str">
        <f>IF(J2570="","",LEFT('ATP Fills'!I2570,4))</f>
        <v/>
      </c>
      <c r="L2570" t="str">
        <f>IF(A2570="","",IF('ATP Fills'!G2570="LME",'ATP Fills'!I2570,""))</f>
        <v/>
      </c>
      <c r="M2570" t="str">
        <f t="shared" si="40"/>
        <v/>
      </c>
    </row>
    <row r="2571" spans="1:13">
      <c r="A2571" t="str">
        <f>IF('ATP Fills'!A2571="","",IF('ATP Fills'!Q2571="PHILLIPSG",'ATP Fills'!F2571,""))</f>
        <v/>
      </c>
      <c r="B2571" t="str">
        <f>IF(A2571="","",'ATP Fills'!L2571)</f>
        <v/>
      </c>
      <c r="C2571" t="str">
        <f>IF(A2571="","",'ATP Fills'!M2571)</f>
        <v/>
      </c>
      <c r="D2571" t="str">
        <f>IF(A2571="","",'ATP Fills'!B2571)</f>
        <v/>
      </c>
      <c r="E2571" s="3" t="str">
        <f>IF(A2571="","",IF(DATE(LEFT(D2571,4),MID(D2571,5,2),RIGHT(D2571,2))=Helper1!$P$1,Helper1!$P$1,""))</f>
        <v/>
      </c>
      <c r="F2571" s="3" t="str">
        <f>IF(A2571="","",'ATP Fills'!G2571)</f>
        <v/>
      </c>
      <c r="G2571" t="str">
        <f>IF(A2571="","",'ATP Fills'!H2571)</f>
        <v/>
      </c>
      <c r="H2571" t="str">
        <f>IF(A2571="","",VLOOKUP(G2571,表3_3[],2,0))</f>
        <v/>
      </c>
      <c r="I2571" t="str">
        <f>IF(A2571="","",VLOOKUP(G2571,表3_3[],3,0))</f>
        <v/>
      </c>
      <c r="J2571" t="str">
        <f>IF(A2571="","",IF('ATP Fills'!I2571="3M","",VLOOKUP(RIGHT('ATP Fills'!I2571,2),Helper1!$O$36:$P$48,2,0)))</f>
        <v/>
      </c>
      <c r="K2571" t="str">
        <f>IF(J2571="","",LEFT('ATP Fills'!I2571,4))</f>
        <v/>
      </c>
      <c r="L2571" t="str">
        <f>IF(A2571="","",IF('ATP Fills'!G2571="LME",'ATP Fills'!I2571,""))</f>
        <v/>
      </c>
      <c r="M2571" t="str">
        <f t="shared" si="40"/>
        <v/>
      </c>
    </row>
    <row r="2572" spans="1:13">
      <c r="A2572" t="str">
        <f>IF('ATP Fills'!A2572="","",IF('ATP Fills'!Q2572="PHILLIPSG",'ATP Fills'!F2572,""))</f>
        <v/>
      </c>
      <c r="B2572" t="str">
        <f>IF(A2572="","",'ATP Fills'!L2572)</f>
        <v/>
      </c>
      <c r="C2572" t="str">
        <f>IF(A2572="","",'ATP Fills'!M2572)</f>
        <v/>
      </c>
      <c r="D2572" t="str">
        <f>IF(A2572="","",'ATP Fills'!B2572)</f>
        <v/>
      </c>
      <c r="E2572" s="3" t="str">
        <f>IF(A2572="","",IF(DATE(LEFT(D2572,4),MID(D2572,5,2),RIGHT(D2572,2))=Helper1!$P$1,Helper1!$P$1,""))</f>
        <v/>
      </c>
      <c r="F2572" s="3" t="str">
        <f>IF(A2572="","",'ATP Fills'!G2572)</f>
        <v/>
      </c>
      <c r="G2572" t="str">
        <f>IF(A2572="","",'ATP Fills'!H2572)</f>
        <v/>
      </c>
      <c r="H2572" t="str">
        <f>IF(A2572="","",VLOOKUP(G2572,表3_3[],2,0))</f>
        <v/>
      </c>
      <c r="I2572" t="str">
        <f>IF(A2572="","",VLOOKUP(G2572,表3_3[],3,0))</f>
        <v/>
      </c>
      <c r="J2572" t="str">
        <f>IF(A2572="","",IF('ATP Fills'!I2572="3M","",VLOOKUP(RIGHT('ATP Fills'!I2572,2),Helper1!$O$36:$P$48,2,0)))</f>
        <v/>
      </c>
      <c r="K2572" t="str">
        <f>IF(J2572="","",LEFT('ATP Fills'!I2572,4))</f>
        <v/>
      </c>
      <c r="L2572" t="str">
        <f>IF(A2572="","",IF('ATP Fills'!G2572="LME",'ATP Fills'!I2572,""))</f>
        <v/>
      </c>
      <c r="M2572" t="str">
        <f t="shared" si="40"/>
        <v/>
      </c>
    </row>
    <row r="2573" spans="1:13">
      <c r="A2573" t="str">
        <f>IF('ATP Fills'!A2573="","",IF('ATP Fills'!Q2573="PHILLIPSG",'ATP Fills'!F2573,""))</f>
        <v/>
      </c>
      <c r="B2573" t="str">
        <f>IF(A2573="","",'ATP Fills'!L2573)</f>
        <v/>
      </c>
      <c r="C2573" t="str">
        <f>IF(A2573="","",'ATP Fills'!M2573)</f>
        <v/>
      </c>
      <c r="D2573" t="str">
        <f>IF(A2573="","",'ATP Fills'!B2573)</f>
        <v/>
      </c>
      <c r="E2573" s="3" t="str">
        <f>IF(A2573="","",IF(DATE(LEFT(D2573,4),MID(D2573,5,2),RIGHT(D2573,2))=Helper1!$P$1,Helper1!$P$1,""))</f>
        <v/>
      </c>
      <c r="F2573" s="3" t="str">
        <f>IF(A2573="","",'ATP Fills'!G2573)</f>
        <v/>
      </c>
      <c r="G2573" t="str">
        <f>IF(A2573="","",'ATP Fills'!H2573)</f>
        <v/>
      </c>
      <c r="H2573" t="str">
        <f>IF(A2573="","",VLOOKUP(G2573,表3_3[],2,0))</f>
        <v/>
      </c>
      <c r="I2573" t="str">
        <f>IF(A2573="","",VLOOKUP(G2573,表3_3[],3,0))</f>
        <v/>
      </c>
      <c r="J2573" t="str">
        <f>IF(A2573="","",IF('ATP Fills'!I2573="3M","",VLOOKUP(RIGHT('ATP Fills'!I2573,2),Helper1!$O$36:$P$48,2,0)))</f>
        <v/>
      </c>
      <c r="K2573" t="str">
        <f>IF(J2573="","",LEFT('ATP Fills'!I2573,4))</f>
        <v/>
      </c>
      <c r="L2573" t="str">
        <f>IF(A2573="","",IF('ATP Fills'!G2573="LME",'ATP Fills'!I2573,""))</f>
        <v/>
      </c>
      <c r="M2573" t="str">
        <f t="shared" si="40"/>
        <v/>
      </c>
    </row>
    <row r="2574" spans="1:13">
      <c r="A2574" t="str">
        <f>IF('ATP Fills'!A2574="","",IF('ATP Fills'!Q2574="PHILLIPSG",'ATP Fills'!F2574,""))</f>
        <v/>
      </c>
      <c r="B2574" t="str">
        <f>IF(A2574="","",'ATP Fills'!L2574)</f>
        <v/>
      </c>
      <c r="C2574" t="str">
        <f>IF(A2574="","",'ATP Fills'!M2574)</f>
        <v/>
      </c>
      <c r="D2574" t="str">
        <f>IF(A2574="","",'ATP Fills'!B2574)</f>
        <v/>
      </c>
      <c r="E2574" s="3" t="str">
        <f>IF(A2574="","",IF(DATE(LEFT(D2574,4),MID(D2574,5,2),RIGHT(D2574,2))=Helper1!$P$1,Helper1!$P$1,""))</f>
        <v/>
      </c>
      <c r="F2574" s="3" t="str">
        <f>IF(A2574="","",'ATP Fills'!G2574)</f>
        <v/>
      </c>
      <c r="G2574" t="str">
        <f>IF(A2574="","",'ATP Fills'!H2574)</f>
        <v/>
      </c>
      <c r="H2574" t="str">
        <f>IF(A2574="","",VLOOKUP(G2574,表3_3[],2,0))</f>
        <v/>
      </c>
      <c r="I2574" t="str">
        <f>IF(A2574="","",VLOOKUP(G2574,表3_3[],3,0))</f>
        <v/>
      </c>
      <c r="J2574" t="str">
        <f>IF(A2574="","",IF('ATP Fills'!I2574="3M","",VLOOKUP(RIGHT('ATP Fills'!I2574,2),Helper1!$O$36:$P$48,2,0)))</f>
        <v/>
      </c>
      <c r="K2574" t="str">
        <f>IF(J2574="","",LEFT('ATP Fills'!I2574,4))</f>
        <v/>
      </c>
      <c r="L2574" t="str">
        <f>IF(A2574="","",IF('ATP Fills'!G2574="LME",'ATP Fills'!I2574,""))</f>
        <v/>
      </c>
      <c r="M2574" t="str">
        <f t="shared" si="40"/>
        <v/>
      </c>
    </row>
    <row r="2575" spans="1:13">
      <c r="A2575" t="str">
        <f>IF('ATP Fills'!A2575="","",IF('ATP Fills'!Q2575="PHILLIPSG",'ATP Fills'!F2575,""))</f>
        <v/>
      </c>
      <c r="B2575" t="str">
        <f>IF(A2575="","",'ATP Fills'!L2575)</f>
        <v/>
      </c>
      <c r="C2575" t="str">
        <f>IF(A2575="","",'ATP Fills'!M2575)</f>
        <v/>
      </c>
      <c r="D2575" t="str">
        <f>IF(A2575="","",'ATP Fills'!B2575)</f>
        <v/>
      </c>
      <c r="E2575" s="3" t="str">
        <f>IF(A2575="","",IF(DATE(LEFT(D2575,4),MID(D2575,5,2),RIGHT(D2575,2))=Helper1!$P$1,Helper1!$P$1,""))</f>
        <v/>
      </c>
      <c r="F2575" s="3" t="str">
        <f>IF(A2575="","",'ATP Fills'!G2575)</f>
        <v/>
      </c>
      <c r="G2575" t="str">
        <f>IF(A2575="","",'ATP Fills'!H2575)</f>
        <v/>
      </c>
      <c r="H2575" t="str">
        <f>IF(A2575="","",VLOOKUP(G2575,表3_3[],2,0))</f>
        <v/>
      </c>
      <c r="I2575" t="str">
        <f>IF(A2575="","",VLOOKUP(G2575,表3_3[],3,0))</f>
        <v/>
      </c>
      <c r="J2575" t="str">
        <f>IF(A2575="","",IF('ATP Fills'!I2575="3M","",VLOOKUP(RIGHT('ATP Fills'!I2575,2),Helper1!$O$36:$P$48,2,0)))</f>
        <v/>
      </c>
      <c r="K2575" t="str">
        <f>IF(J2575="","",LEFT('ATP Fills'!I2575,4))</f>
        <v/>
      </c>
      <c r="L2575" t="str">
        <f>IF(A2575="","",IF('ATP Fills'!G2575="LME",'ATP Fills'!I2575,""))</f>
        <v/>
      </c>
      <c r="M2575" t="str">
        <f t="shared" si="40"/>
        <v/>
      </c>
    </row>
    <row r="2576" spans="1:13">
      <c r="A2576" t="str">
        <f>IF('ATP Fills'!A2576="","",IF('ATP Fills'!Q2576="PHILLIPSG",'ATP Fills'!F2576,""))</f>
        <v/>
      </c>
      <c r="B2576" t="str">
        <f>IF(A2576="","",'ATP Fills'!L2576)</f>
        <v/>
      </c>
      <c r="C2576" t="str">
        <f>IF(A2576="","",'ATP Fills'!M2576)</f>
        <v/>
      </c>
      <c r="D2576" t="str">
        <f>IF(A2576="","",'ATP Fills'!B2576)</f>
        <v/>
      </c>
      <c r="E2576" s="3" t="str">
        <f>IF(A2576="","",IF(DATE(LEFT(D2576,4),MID(D2576,5,2),RIGHT(D2576,2))=Helper1!$P$1,Helper1!$P$1,""))</f>
        <v/>
      </c>
      <c r="F2576" s="3" t="str">
        <f>IF(A2576="","",'ATP Fills'!G2576)</f>
        <v/>
      </c>
      <c r="G2576" t="str">
        <f>IF(A2576="","",'ATP Fills'!H2576)</f>
        <v/>
      </c>
      <c r="H2576" t="str">
        <f>IF(A2576="","",VLOOKUP(G2576,表3_3[],2,0))</f>
        <v/>
      </c>
      <c r="I2576" t="str">
        <f>IF(A2576="","",VLOOKUP(G2576,表3_3[],3,0))</f>
        <v/>
      </c>
      <c r="J2576" t="str">
        <f>IF(A2576="","",IF('ATP Fills'!I2576="3M","",VLOOKUP(RIGHT('ATP Fills'!I2576,2),Helper1!$O$36:$P$48,2,0)))</f>
        <v/>
      </c>
      <c r="K2576" t="str">
        <f>IF(J2576="","",LEFT('ATP Fills'!I2576,4))</f>
        <v/>
      </c>
      <c r="L2576" t="str">
        <f>IF(A2576="","",IF('ATP Fills'!G2576="LME",'ATP Fills'!I2576,""))</f>
        <v/>
      </c>
      <c r="M2576" t="str">
        <f t="shared" si="40"/>
        <v/>
      </c>
    </row>
    <row r="2577" spans="1:13">
      <c r="A2577" t="str">
        <f>IF('ATP Fills'!A2577="","",IF('ATP Fills'!Q2577="PHILLIPSG",'ATP Fills'!F2577,""))</f>
        <v/>
      </c>
      <c r="B2577" t="str">
        <f>IF(A2577="","",'ATP Fills'!L2577)</f>
        <v/>
      </c>
      <c r="C2577" t="str">
        <f>IF(A2577="","",'ATP Fills'!M2577)</f>
        <v/>
      </c>
      <c r="D2577" t="str">
        <f>IF(A2577="","",'ATP Fills'!B2577)</f>
        <v/>
      </c>
      <c r="E2577" s="3" t="str">
        <f>IF(A2577="","",IF(DATE(LEFT(D2577,4),MID(D2577,5,2),RIGHT(D2577,2))=Helper1!$P$1,Helper1!$P$1,""))</f>
        <v/>
      </c>
      <c r="F2577" s="3" t="str">
        <f>IF(A2577="","",'ATP Fills'!G2577)</f>
        <v/>
      </c>
      <c r="G2577" t="str">
        <f>IF(A2577="","",'ATP Fills'!H2577)</f>
        <v/>
      </c>
      <c r="H2577" t="str">
        <f>IF(A2577="","",VLOOKUP(G2577,表3_3[],2,0))</f>
        <v/>
      </c>
      <c r="I2577" t="str">
        <f>IF(A2577="","",VLOOKUP(G2577,表3_3[],3,0))</f>
        <v/>
      </c>
      <c r="J2577" t="str">
        <f>IF(A2577="","",IF('ATP Fills'!I2577="3M","",VLOOKUP(RIGHT('ATP Fills'!I2577,2),Helper1!$O$36:$P$48,2,0)))</f>
        <v/>
      </c>
      <c r="K2577" t="str">
        <f>IF(J2577="","",LEFT('ATP Fills'!I2577,4))</f>
        <v/>
      </c>
      <c r="L2577" t="str">
        <f>IF(A2577="","",IF('ATP Fills'!G2577="LME",'ATP Fills'!I2577,""))</f>
        <v/>
      </c>
      <c r="M2577" t="str">
        <f t="shared" si="40"/>
        <v/>
      </c>
    </row>
    <row r="2578" spans="1:13">
      <c r="A2578" t="str">
        <f>IF('ATP Fills'!A2578="","",IF('ATP Fills'!Q2578="PHILLIPSG",'ATP Fills'!F2578,""))</f>
        <v/>
      </c>
      <c r="B2578" t="str">
        <f>IF(A2578="","",'ATP Fills'!L2578)</f>
        <v/>
      </c>
      <c r="C2578" t="str">
        <f>IF(A2578="","",'ATP Fills'!M2578)</f>
        <v/>
      </c>
      <c r="D2578" t="str">
        <f>IF(A2578="","",'ATP Fills'!B2578)</f>
        <v/>
      </c>
      <c r="E2578" s="3" t="str">
        <f>IF(A2578="","",IF(DATE(LEFT(D2578,4),MID(D2578,5,2),RIGHT(D2578,2))=Helper1!$P$1,Helper1!$P$1,""))</f>
        <v/>
      </c>
      <c r="F2578" s="3" t="str">
        <f>IF(A2578="","",'ATP Fills'!G2578)</f>
        <v/>
      </c>
      <c r="G2578" t="str">
        <f>IF(A2578="","",'ATP Fills'!H2578)</f>
        <v/>
      </c>
      <c r="H2578" t="str">
        <f>IF(A2578="","",VLOOKUP(G2578,表3_3[],2,0))</f>
        <v/>
      </c>
      <c r="I2578" t="str">
        <f>IF(A2578="","",VLOOKUP(G2578,表3_3[],3,0))</f>
        <v/>
      </c>
      <c r="J2578" t="str">
        <f>IF(A2578="","",IF('ATP Fills'!I2578="3M","",VLOOKUP(RIGHT('ATP Fills'!I2578,2),Helper1!$O$36:$P$48,2,0)))</f>
        <v/>
      </c>
      <c r="K2578" t="str">
        <f>IF(J2578="","",LEFT('ATP Fills'!I2578,4))</f>
        <v/>
      </c>
      <c r="L2578" t="str">
        <f>IF(A2578="","",IF('ATP Fills'!G2578="LME",'ATP Fills'!I2578,""))</f>
        <v/>
      </c>
      <c r="M2578" t="str">
        <f t="shared" si="40"/>
        <v/>
      </c>
    </row>
    <row r="2579" spans="1:13">
      <c r="A2579" t="str">
        <f>IF('ATP Fills'!A2579="","",IF('ATP Fills'!Q2579="PHILLIPSG",'ATP Fills'!F2579,""))</f>
        <v/>
      </c>
      <c r="B2579" t="str">
        <f>IF(A2579="","",'ATP Fills'!L2579)</f>
        <v/>
      </c>
      <c r="C2579" t="str">
        <f>IF(A2579="","",'ATP Fills'!M2579)</f>
        <v/>
      </c>
      <c r="D2579" t="str">
        <f>IF(A2579="","",'ATP Fills'!B2579)</f>
        <v/>
      </c>
      <c r="E2579" s="3" t="str">
        <f>IF(A2579="","",IF(DATE(LEFT(D2579,4),MID(D2579,5,2),RIGHT(D2579,2))=Helper1!$P$1,Helper1!$P$1,""))</f>
        <v/>
      </c>
      <c r="F2579" s="3" t="str">
        <f>IF(A2579="","",'ATP Fills'!G2579)</f>
        <v/>
      </c>
      <c r="G2579" t="str">
        <f>IF(A2579="","",'ATP Fills'!H2579)</f>
        <v/>
      </c>
      <c r="H2579" t="str">
        <f>IF(A2579="","",VLOOKUP(G2579,表3_3[],2,0))</f>
        <v/>
      </c>
      <c r="I2579" t="str">
        <f>IF(A2579="","",VLOOKUP(G2579,表3_3[],3,0))</f>
        <v/>
      </c>
      <c r="J2579" t="str">
        <f>IF(A2579="","",IF('ATP Fills'!I2579="3M","",VLOOKUP(RIGHT('ATP Fills'!I2579,2),Helper1!$O$36:$P$48,2,0)))</f>
        <v/>
      </c>
      <c r="K2579" t="str">
        <f>IF(J2579="","",LEFT('ATP Fills'!I2579,4))</f>
        <v/>
      </c>
      <c r="L2579" t="str">
        <f>IF(A2579="","",IF('ATP Fills'!G2579="LME",'ATP Fills'!I2579,""))</f>
        <v/>
      </c>
      <c r="M2579" t="str">
        <f t="shared" si="40"/>
        <v/>
      </c>
    </row>
    <row r="2580" spans="1:13">
      <c r="A2580" t="str">
        <f>IF('ATP Fills'!A2580="","",IF('ATP Fills'!Q2580="PHILLIPSG",'ATP Fills'!F2580,""))</f>
        <v/>
      </c>
      <c r="B2580" t="str">
        <f>IF(A2580="","",'ATP Fills'!L2580)</f>
        <v/>
      </c>
      <c r="C2580" t="str">
        <f>IF(A2580="","",'ATP Fills'!M2580)</f>
        <v/>
      </c>
      <c r="D2580" t="str">
        <f>IF(A2580="","",'ATP Fills'!B2580)</f>
        <v/>
      </c>
      <c r="E2580" s="3" t="str">
        <f>IF(A2580="","",IF(DATE(LEFT(D2580,4),MID(D2580,5,2),RIGHT(D2580,2))=Helper1!$P$1,Helper1!$P$1,""))</f>
        <v/>
      </c>
      <c r="F2580" s="3" t="str">
        <f>IF(A2580="","",'ATP Fills'!G2580)</f>
        <v/>
      </c>
      <c r="G2580" t="str">
        <f>IF(A2580="","",'ATP Fills'!H2580)</f>
        <v/>
      </c>
      <c r="H2580" t="str">
        <f>IF(A2580="","",VLOOKUP(G2580,表3_3[],2,0))</f>
        <v/>
      </c>
      <c r="I2580" t="str">
        <f>IF(A2580="","",VLOOKUP(G2580,表3_3[],3,0))</f>
        <v/>
      </c>
      <c r="J2580" t="str">
        <f>IF(A2580="","",IF('ATP Fills'!I2580="3M","",VLOOKUP(RIGHT('ATP Fills'!I2580,2),Helper1!$O$36:$P$48,2,0)))</f>
        <v/>
      </c>
      <c r="K2580" t="str">
        <f>IF(J2580="","",LEFT('ATP Fills'!I2580,4))</f>
        <v/>
      </c>
      <c r="L2580" t="str">
        <f>IF(A2580="","",IF('ATP Fills'!G2580="LME",'ATP Fills'!I2580,""))</f>
        <v/>
      </c>
      <c r="M2580" t="str">
        <f t="shared" si="40"/>
        <v/>
      </c>
    </row>
    <row r="2581" spans="1:13">
      <c r="A2581" t="str">
        <f>IF('ATP Fills'!A2581="","",IF('ATP Fills'!Q2581="PHILLIPSG",'ATP Fills'!F2581,""))</f>
        <v/>
      </c>
      <c r="B2581" t="str">
        <f>IF(A2581="","",'ATP Fills'!L2581)</f>
        <v/>
      </c>
      <c r="C2581" t="str">
        <f>IF(A2581="","",'ATP Fills'!M2581)</f>
        <v/>
      </c>
      <c r="D2581" t="str">
        <f>IF(A2581="","",'ATP Fills'!B2581)</f>
        <v/>
      </c>
      <c r="E2581" s="3" t="str">
        <f>IF(A2581="","",IF(DATE(LEFT(D2581,4),MID(D2581,5,2),RIGHT(D2581,2))=Helper1!$P$1,Helper1!$P$1,""))</f>
        <v/>
      </c>
      <c r="F2581" s="3" t="str">
        <f>IF(A2581="","",'ATP Fills'!G2581)</f>
        <v/>
      </c>
      <c r="G2581" t="str">
        <f>IF(A2581="","",'ATP Fills'!H2581)</f>
        <v/>
      </c>
      <c r="H2581" t="str">
        <f>IF(A2581="","",VLOOKUP(G2581,表3_3[],2,0))</f>
        <v/>
      </c>
      <c r="I2581" t="str">
        <f>IF(A2581="","",VLOOKUP(G2581,表3_3[],3,0))</f>
        <v/>
      </c>
      <c r="J2581" t="str">
        <f>IF(A2581="","",IF('ATP Fills'!I2581="3M","",VLOOKUP(RIGHT('ATP Fills'!I2581,2),Helper1!$O$36:$P$48,2,0)))</f>
        <v/>
      </c>
      <c r="K2581" t="str">
        <f>IF(J2581="","",LEFT('ATP Fills'!I2581,4))</f>
        <v/>
      </c>
      <c r="L2581" t="str">
        <f>IF(A2581="","",IF('ATP Fills'!G2581="LME",'ATP Fills'!I2581,""))</f>
        <v/>
      </c>
      <c r="M2581" t="str">
        <f t="shared" si="40"/>
        <v/>
      </c>
    </row>
    <row r="2582" spans="1:13">
      <c r="A2582" t="str">
        <f>IF('ATP Fills'!A2582="","",IF('ATP Fills'!Q2582="PHILLIPSG",'ATP Fills'!F2582,""))</f>
        <v/>
      </c>
      <c r="B2582" t="str">
        <f>IF(A2582="","",'ATP Fills'!L2582)</f>
        <v/>
      </c>
      <c r="C2582" t="str">
        <f>IF(A2582="","",'ATP Fills'!M2582)</f>
        <v/>
      </c>
      <c r="D2582" t="str">
        <f>IF(A2582="","",'ATP Fills'!B2582)</f>
        <v/>
      </c>
      <c r="E2582" s="3" t="str">
        <f>IF(A2582="","",IF(DATE(LEFT(D2582,4),MID(D2582,5,2),RIGHT(D2582,2))=Helper1!$P$1,Helper1!$P$1,""))</f>
        <v/>
      </c>
      <c r="F2582" s="3" t="str">
        <f>IF(A2582="","",'ATP Fills'!G2582)</f>
        <v/>
      </c>
      <c r="G2582" t="str">
        <f>IF(A2582="","",'ATP Fills'!H2582)</f>
        <v/>
      </c>
      <c r="H2582" t="str">
        <f>IF(A2582="","",VLOOKUP(G2582,表3_3[],2,0))</f>
        <v/>
      </c>
      <c r="I2582" t="str">
        <f>IF(A2582="","",VLOOKUP(G2582,表3_3[],3,0))</f>
        <v/>
      </c>
      <c r="J2582" t="str">
        <f>IF(A2582="","",IF('ATP Fills'!I2582="3M","",VLOOKUP(RIGHT('ATP Fills'!I2582,2),Helper1!$O$36:$P$48,2,0)))</f>
        <v/>
      </c>
      <c r="K2582" t="str">
        <f>IF(J2582="","",LEFT('ATP Fills'!I2582,4))</f>
        <v/>
      </c>
      <c r="L2582" t="str">
        <f>IF(A2582="","",IF('ATP Fills'!G2582="LME",'ATP Fills'!I2582,""))</f>
        <v/>
      </c>
      <c r="M2582" t="str">
        <f t="shared" si="40"/>
        <v/>
      </c>
    </row>
    <row r="2583" spans="1:13">
      <c r="A2583" t="str">
        <f>IF('ATP Fills'!A2583="","",IF('ATP Fills'!Q2583="PHILLIPSG",'ATP Fills'!F2583,""))</f>
        <v/>
      </c>
      <c r="B2583" t="str">
        <f>IF(A2583="","",'ATP Fills'!L2583)</f>
        <v/>
      </c>
      <c r="C2583" t="str">
        <f>IF(A2583="","",'ATP Fills'!M2583)</f>
        <v/>
      </c>
      <c r="D2583" t="str">
        <f>IF(A2583="","",'ATP Fills'!B2583)</f>
        <v/>
      </c>
      <c r="E2583" s="3" t="str">
        <f>IF(A2583="","",IF(DATE(LEFT(D2583,4),MID(D2583,5,2),RIGHT(D2583,2))=Helper1!$P$1,Helper1!$P$1,""))</f>
        <v/>
      </c>
      <c r="F2583" s="3" t="str">
        <f>IF(A2583="","",'ATP Fills'!G2583)</f>
        <v/>
      </c>
      <c r="G2583" t="str">
        <f>IF(A2583="","",'ATP Fills'!H2583)</f>
        <v/>
      </c>
      <c r="H2583" t="str">
        <f>IF(A2583="","",VLOOKUP(G2583,表3_3[],2,0))</f>
        <v/>
      </c>
      <c r="I2583" t="str">
        <f>IF(A2583="","",VLOOKUP(G2583,表3_3[],3,0))</f>
        <v/>
      </c>
      <c r="J2583" t="str">
        <f>IF(A2583="","",IF('ATP Fills'!I2583="3M","",VLOOKUP(RIGHT('ATP Fills'!I2583,2),Helper1!$O$36:$P$48,2,0)))</f>
        <v/>
      </c>
      <c r="K2583" t="str">
        <f>IF(J2583="","",LEFT('ATP Fills'!I2583,4))</f>
        <v/>
      </c>
      <c r="L2583" t="str">
        <f>IF(A2583="","",IF('ATP Fills'!G2583="LME",'ATP Fills'!I2583,""))</f>
        <v/>
      </c>
      <c r="M2583" t="str">
        <f t="shared" si="40"/>
        <v/>
      </c>
    </row>
    <row r="2584" spans="1:13">
      <c r="A2584" t="str">
        <f>IF('ATP Fills'!A2584="","",IF('ATP Fills'!Q2584="PHILLIPSG",'ATP Fills'!F2584,""))</f>
        <v/>
      </c>
      <c r="B2584" t="str">
        <f>IF(A2584="","",'ATP Fills'!L2584)</f>
        <v/>
      </c>
      <c r="C2584" t="str">
        <f>IF(A2584="","",'ATP Fills'!M2584)</f>
        <v/>
      </c>
      <c r="D2584" t="str">
        <f>IF(A2584="","",'ATP Fills'!B2584)</f>
        <v/>
      </c>
      <c r="E2584" s="3" t="str">
        <f>IF(A2584="","",IF(DATE(LEFT(D2584,4),MID(D2584,5,2),RIGHT(D2584,2))=Helper1!$P$1,Helper1!$P$1,""))</f>
        <v/>
      </c>
      <c r="F2584" s="3" t="str">
        <f>IF(A2584="","",'ATP Fills'!G2584)</f>
        <v/>
      </c>
      <c r="G2584" t="str">
        <f>IF(A2584="","",'ATP Fills'!H2584)</f>
        <v/>
      </c>
      <c r="H2584" t="str">
        <f>IF(A2584="","",VLOOKUP(G2584,表3_3[],2,0))</f>
        <v/>
      </c>
      <c r="I2584" t="str">
        <f>IF(A2584="","",VLOOKUP(G2584,表3_3[],3,0))</f>
        <v/>
      </c>
      <c r="J2584" t="str">
        <f>IF(A2584="","",IF('ATP Fills'!I2584="3M","",VLOOKUP(RIGHT('ATP Fills'!I2584,2),Helper1!$O$36:$P$48,2,0)))</f>
        <v/>
      </c>
      <c r="K2584" t="str">
        <f>IF(J2584="","",LEFT('ATP Fills'!I2584,4))</f>
        <v/>
      </c>
      <c r="L2584" t="str">
        <f>IF(A2584="","",IF('ATP Fills'!G2584="LME",'ATP Fills'!I2584,""))</f>
        <v/>
      </c>
      <c r="M2584" t="str">
        <f t="shared" si="40"/>
        <v/>
      </c>
    </row>
    <row r="2585" spans="1:13">
      <c r="A2585" t="str">
        <f>IF('ATP Fills'!A2585="","",IF('ATP Fills'!Q2585="PHILLIPSG",'ATP Fills'!F2585,""))</f>
        <v/>
      </c>
      <c r="B2585" t="str">
        <f>IF(A2585="","",'ATP Fills'!L2585)</f>
        <v/>
      </c>
      <c r="C2585" t="str">
        <f>IF(A2585="","",'ATP Fills'!M2585)</f>
        <v/>
      </c>
      <c r="D2585" t="str">
        <f>IF(A2585="","",'ATP Fills'!B2585)</f>
        <v/>
      </c>
      <c r="E2585" s="3" t="str">
        <f>IF(A2585="","",IF(DATE(LEFT(D2585,4),MID(D2585,5,2),RIGHT(D2585,2))=Helper1!$P$1,Helper1!$P$1,""))</f>
        <v/>
      </c>
      <c r="F2585" s="3" t="str">
        <f>IF(A2585="","",'ATP Fills'!G2585)</f>
        <v/>
      </c>
      <c r="G2585" t="str">
        <f>IF(A2585="","",'ATP Fills'!H2585)</f>
        <v/>
      </c>
      <c r="H2585" t="str">
        <f>IF(A2585="","",VLOOKUP(G2585,表3_3[],2,0))</f>
        <v/>
      </c>
      <c r="I2585" t="str">
        <f>IF(A2585="","",VLOOKUP(G2585,表3_3[],3,0))</f>
        <v/>
      </c>
      <c r="J2585" t="str">
        <f>IF(A2585="","",IF('ATP Fills'!I2585="3M","",VLOOKUP(RIGHT('ATP Fills'!I2585,2),Helper1!$O$36:$P$48,2,0)))</f>
        <v/>
      </c>
      <c r="K2585" t="str">
        <f>IF(J2585="","",LEFT('ATP Fills'!I2585,4))</f>
        <v/>
      </c>
      <c r="L2585" t="str">
        <f>IF(A2585="","",IF('ATP Fills'!G2585="LME",'ATP Fills'!I2585,""))</f>
        <v/>
      </c>
      <c r="M2585" t="str">
        <f t="shared" si="40"/>
        <v/>
      </c>
    </row>
    <row r="2586" spans="1:13">
      <c r="A2586" t="str">
        <f>IF('ATP Fills'!A2586="","",IF('ATP Fills'!Q2586="PHILLIPSG",'ATP Fills'!F2586,""))</f>
        <v/>
      </c>
      <c r="B2586" t="str">
        <f>IF(A2586="","",'ATP Fills'!L2586)</f>
        <v/>
      </c>
      <c r="C2586" t="str">
        <f>IF(A2586="","",'ATP Fills'!M2586)</f>
        <v/>
      </c>
      <c r="D2586" t="str">
        <f>IF(A2586="","",'ATP Fills'!B2586)</f>
        <v/>
      </c>
      <c r="E2586" s="3" t="str">
        <f>IF(A2586="","",IF(DATE(LEFT(D2586,4),MID(D2586,5,2),RIGHT(D2586,2))=Helper1!$P$1,Helper1!$P$1,""))</f>
        <v/>
      </c>
      <c r="F2586" s="3" t="str">
        <f>IF(A2586="","",'ATP Fills'!G2586)</f>
        <v/>
      </c>
      <c r="G2586" t="str">
        <f>IF(A2586="","",'ATP Fills'!H2586)</f>
        <v/>
      </c>
      <c r="H2586" t="str">
        <f>IF(A2586="","",VLOOKUP(G2586,表3_3[],2,0))</f>
        <v/>
      </c>
      <c r="I2586" t="str">
        <f>IF(A2586="","",VLOOKUP(G2586,表3_3[],3,0))</f>
        <v/>
      </c>
      <c r="J2586" t="str">
        <f>IF(A2586="","",IF('ATP Fills'!I2586="3M","",VLOOKUP(RIGHT('ATP Fills'!I2586,2),Helper1!$O$36:$P$48,2,0)))</f>
        <v/>
      </c>
      <c r="K2586" t="str">
        <f>IF(J2586="","",LEFT('ATP Fills'!I2586,4))</f>
        <v/>
      </c>
      <c r="L2586" t="str">
        <f>IF(A2586="","",IF('ATP Fills'!G2586="LME",'ATP Fills'!I2586,""))</f>
        <v/>
      </c>
      <c r="M2586" t="str">
        <f t="shared" si="40"/>
        <v/>
      </c>
    </row>
    <row r="2587" spans="1:13">
      <c r="A2587" t="str">
        <f>IF('ATP Fills'!A2587="","",IF('ATP Fills'!Q2587="PHILLIPSG",'ATP Fills'!F2587,""))</f>
        <v/>
      </c>
      <c r="B2587" t="str">
        <f>IF(A2587="","",'ATP Fills'!L2587)</f>
        <v/>
      </c>
      <c r="C2587" t="str">
        <f>IF(A2587="","",'ATP Fills'!M2587)</f>
        <v/>
      </c>
      <c r="D2587" t="str">
        <f>IF(A2587="","",'ATP Fills'!B2587)</f>
        <v/>
      </c>
      <c r="E2587" s="3" t="str">
        <f>IF(A2587="","",IF(DATE(LEFT(D2587,4),MID(D2587,5,2),RIGHT(D2587,2))=Helper1!$P$1,Helper1!$P$1,""))</f>
        <v/>
      </c>
      <c r="F2587" s="3" t="str">
        <f>IF(A2587="","",'ATP Fills'!G2587)</f>
        <v/>
      </c>
      <c r="G2587" t="str">
        <f>IF(A2587="","",'ATP Fills'!H2587)</f>
        <v/>
      </c>
      <c r="H2587" t="str">
        <f>IF(A2587="","",VLOOKUP(G2587,表3_3[],2,0))</f>
        <v/>
      </c>
      <c r="I2587" t="str">
        <f>IF(A2587="","",VLOOKUP(G2587,表3_3[],3,0))</f>
        <v/>
      </c>
      <c r="J2587" t="str">
        <f>IF(A2587="","",IF('ATP Fills'!I2587="3M","",VLOOKUP(RIGHT('ATP Fills'!I2587,2),Helper1!$O$36:$P$48,2,0)))</f>
        <v/>
      </c>
      <c r="K2587" t="str">
        <f>IF(J2587="","",LEFT('ATP Fills'!I2587,4))</f>
        <v/>
      </c>
      <c r="L2587" t="str">
        <f>IF(A2587="","",IF('ATP Fills'!G2587="LME",'ATP Fills'!I2587,""))</f>
        <v/>
      </c>
      <c r="M2587" t="str">
        <f t="shared" si="40"/>
        <v/>
      </c>
    </row>
    <row r="2588" spans="1:13">
      <c r="A2588" t="str">
        <f>IF('ATP Fills'!A2588="","",IF('ATP Fills'!Q2588="PHILLIPSG",'ATP Fills'!F2588,""))</f>
        <v/>
      </c>
      <c r="B2588" t="str">
        <f>IF(A2588="","",'ATP Fills'!L2588)</f>
        <v/>
      </c>
      <c r="C2588" t="str">
        <f>IF(A2588="","",'ATP Fills'!M2588)</f>
        <v/>
      </c>
      <c r="D2588" t="str">
        <f>IF(A2588="","",'ATP Fills'!B2588)</f>
        <v/>
      </c>
      <c r="E2588" s="3" t="str">
        <f>IF(A2588="","",IF(DATE(LEFT(D2588,4),MID(D2588,5,2),RIGHT(D2588,2))=Helper1!$P$1,Helper1!$P$1,""))</f>
        <v/>
      </c>
      <c r="F2588" s="3" t="str">
        <f>IF(A2588="","",'ATP Fills'!G2588)</f>
        <v/>
      </c>
      <c r="G2588" t="str">
        <f>IF(A2588="","",'ATP Fills'!H2588)</f>
        <v/>
      </c>
      <c r="H2588" t="str">
        <f>IF(A2588="","",VLOOKUP(G2588,表3_3[],2,0))</f>
        <v/>
      </c>
      <c r="I2588" t="str">
        <f>IF(A2588="","",VLOOKUP(G2588,表3_3[],3,0))</f>
        <v/>
      </c>
      <c r="J2588" t="str">
        <f>IF(A2588="","",IF('ATP Fills'!I2588="3M","",VLOOKUP(RIGHT('ATP Fills'!I2588,2),Helper1!$O$36:$P$48,2,0)))</f>
        <v/>
      </c>
      <c r="K2588" t="str">
        <f>IF(J2588="","",LEFT('ATP Fills'!I2588,4))</f>
        <v/>
      </c>
      <c r="L2588" t="str">
        <f>IF(A2588="","",IF('ATP Fills'!G2588="LME",'ATP Fills'!I2588,""))</f>
        <v/>
      </c>
      <c r="M2588" t="str">
        <f t="shared" si="40"/>
        <v/>
      </c>
    </row>
    <row r="2589" spans="1:13">
      <c r="A2589" t="str">
        <f>IF('ATP Fills'!A2589="","",IF('ATP Fills'!Q2589="PHILLIPSG",'ATP Fills'!F2589,""))</f>
        <v/>
      </c>
      <c r="B2589" t="str">
        <f>IF(A2589="","",'ATP Fills'!L2589)</f>
        <v/>
      </c>
      <c r="C2589" t="str">
        <f>IF(A2589="","",'ATP Fills'!M2589)</f>
        <v/>
      </c>
      <c r="D2589" t="str">
        <f>IF(A2589="","",'ATP Fills'!B2589)</f>
        <v/>
      </c>
      <c r="E2589" s="3" t="str">
        <f>IF(A2589="","",IF(DATE(LEFT(D2589,4),MID(D2589,5,2),RIGHT(D2589,2))=Helper1!$P$1,Helper1!$P$1,""))</f>
        <v/>
      </c>
      <c r="F2589" s="3" t="str">
        <f>IF(A2589="","",'ATP Fills'!G2589)</f>
        <v/>
      </c>
      <c r="G2589" t="str">
        <f>IF(A2589="","",'ATP Fills'!H2589)</f>
        <v/>
      </c>
      <c r="H2589" t="str">
        <f>IF(A2589="","",VLOOKUP(G2589,表3_3[],2,0))</f>
        <v/>
      </c>
      <c r="I2589" t="str">
        <f>IF(A2589="","",VLOOKUP(G2589,表3_3[],3,0))</f>
        <v/>
      </c>
      <c r="J2589" t="str">
        <f>IF(A2589="","",IF('ATP Fills'!I2589="3M","",VLOOKUP(RIGHT('ATP Fills'!I2589,2),Helper1!$O$36:$P$48,2,0)))</f>
        <v/>
      </c>
      <c r="K2589" t="str">
        <f>IF(J2589="","",LEFT('ATP Fills'!I2589,4))</f>
        <v/>
      </c>
      <c r="L2589" t="str">
        <f>IF(A2589="","",IF('ATP Fills'!G2589="LME",'ATP Fills'!I2589,""))</f>
        <v/>
      </c>
      <c r="M2589" t="str">
        <f t="shared" si="40"/>
        <v/>
      </c>
    </row>
    <row r="2590" spans="1:13">
      <c r="A2590" t="str">
        <f>IF('ATP Fills'!A2590="","",IF('ATP Fills'!Q2590="PHILLIPSG",'ATP Fills'!F2590,""))</f>
        <v/>
      </c>
      <c r="B2590" t="str">
        <f>IF(A2590="","",'ATP Fills'!L2590)</f>
        <v/>
      </c>
      <c r="C2590" t="str">
        <f>IF(A2590="","",'ATP Fills'!M2590)</f>
        <v/>
      </c>
      <c r="D2590" t="str">
        <f>IF(A2590="","",'ATP Fills'!B2590)</f>
        <v/>
      </c>
      <c r="E2590" s="3" t="str">
        <f>IF(A2590="","",IF(DATE(LEFT(D2590,4),MID(D2590,5,2),RIGHT(D2590,2))=Helper1!$P$1,Helper1!$P$1,""))</f>
        <v/>
      </c>
      <c r="F2590" s="3" t="str">
        <f>IF(A2590="","",'ATP Fills'!G2590)</f>
        <v/>
      </c>
      <c r="G2590" t="str">
        <f>IF(A2590="","",'ATP Fills'!H2590)</f>
        <v/>
      </c>
      <c r="H2590" t="str">
        <f>IF(A2590="","",VLOOKUP(G2590,表3_3[],2,0))</f>
        <v/>
      </c>
      <c r="I2590" t="str">
        <f>IF(A2590="","",VLOOKUP(G2590,表3_3[],3,0))</f>
        <v/>
      </c>
      <c r="J2590" t="str">
        <f>IF(A2590="","",IF('ATP Fills'!I2590="3M","",VLOOKUP(RIGHT('ATP Fills'!I2590,2),Helper1!$O$36:$P$48,2,0)))</f>
        <v/>
      </c>
      <c r="K2590" t="str">
        <f>IF(J2590="","",LEFT('ATP Fills'!I2590,4))</f>
        <v/>
      </c>
      <c r="L2590" t="str">
        <f>IF(A2590="","",IF('ATP Fills'!G2590="LME",'ATP Fills'!I2590,""))</f>
        <v/>
      </c>
      <c r="M2590" t="str">
        <f t="shared" si="40"/>
        <v/>
      </c>
    </row>
    <row r="2591" spans="1:13">
      <c r="A2591" t="str">
        <f>IF('ATP Fills'!A2591="","",IF('ATP Fills'!Q2591="PHILLIPSG",'ATP Fills'!F2591,""))</f>
        <v/>
      </c>
      <c r="B2591" t="str">
        <f>IF(A2591="","",'ATP Fills'!L2591)</f>
        <v/>
      </c>
      <c r="C2591" t="str">
        <f>IF(A2591="","",'ATP Fills'!M2591)</f>
        <v/>
      </c>
      <c r="D2591" t="str">
        <f>IF(A2591="","",'ATP Fills'!B2591)</f>
        <v/>
      </c>
      <c r="E2591" s="3" t="str">
        <f>IF(A2591="","",IF(DATE(LEFT(D2591,4),MID(D2591,5,2),RIGHT(D2591,2))=Helper1!$P$1,Helper1!$P$1,""))</f>
        <v/>
      </c>
      <c r="F2591" s="3" t="str">
        <f>IF(A2591="","",'ATP Fills'!G2591)</f>
        <v/>
      </c>
      <c r="G2591" t="str">
        <f>IF(A2591="","",'ATP Fills'!H2591)</f>
        <v/>
      </c>
      <c r="H2591" t="str">
        <f>IF(A2591="","",VLOOKUP(G2591,表3_3[],2,0))</f>
        <v/>
      </c>
      <c r="I2591" t="str">
        <f>IF(A2591="","",VLOOKUP(G2591,表3_3[],3,0))</f>
        <v/>
      </c>
      <c r="J2591" t="str">
        <f>IF(A2591="","",IF('ATP Fills'!I2591="3M","",VLOOKUP(RIGHT('ATP Fills'!I2591,2),Helper1!$O$36:$P$48,2,0)))</f>
        <v/>
      </c>
      <c r="K2591" t="str">
        <f>IF(J2591="","",LEFT('ATP Fills'!I2591,4))</f>
        <v/>
      </c>
      <c r="L2591" t="str">
        <f>IF(A2591="","",IF('ATP Fills'!G2591="LME",'ATP Fills'!I2591,""))</f>
        <v/>
      </c>
      <c r="M2591" t="str">
        <f t="shared" si="40"/>
        <v/>
      </c>
    </row>
    <row r="2592" spans="1:13">
      <c r="A2592" t="str">
        <f>IF('ATP Fills'!A2592="","",IF('ATP Fills'!Q2592="PHILLIPSG",'ATP Fills'!F2592,""))</f>
        <v/>
      </c>
      <c r="B2592" t="str">
        <f>IF(A2592="","",'ATP Fills'!L2592)</f>
        <v/>
      </c>
      <c r="C2592" t="str">
        <f>IF(A2592="","",'ATP Fills'!M2592)</f>
        <v/>
      </c>
      <c r="D2592" t="str">
        <f>IF(A2592="","",'ATP Fills'!B2592)</f>
        <v/>
      </c>
      <c r="E2592" s="3" t="str">
        <f>IF(A2592="","",IF(DATE(LEFT(D2592,4),MID(D2592,5,2),RIGHT(D2592,2))=Helper1!$P$1,Helper1!$P$1,""))</f>
        <v/>
      </c>
      <c r="F2592" s="3" t="str">
        <f>IF(A2592="","",'ATP Fills'!G2592)</f>
        <v/>
      </c>
      <c r="G2592" t="str">
        <f>IF(A2592="","",'ATP Fills'!H2592)</f>
        <v/>
      </c>
      <c r="H2592" t="str">
        <f>IF(A2592="","",VLOOKUP(G2592,表3_3[],2,0))</f>
        <v/>
      </c>
      <c r="I2592" t="str">
        <f>IF(A2592="","",VLOOKUP(G2592,表3_3[],3,0))</f>
        <v/>
      </c>
      <c r="J2592" t="str">
        <f>IF(A2592="","",IF('ATP Fills'!I2592="3M","",VLOOKUP(RIGHT('ATP Fills'!I2592,2),Helper1!$O$36:$P$48,2,0)))</f>
        <v/>
      </c>
      <c r="K2592" t="str">
        <f>IF(J2592="","",LEFT('ATP Fills'!I2592,4))</f>
        <v/>
      </c>
      <c r="L2592" t="str">
        <f>IF(A2592="","",IF('ATP Fills'!G2592="LME",'ATP Fills'!I2592,""))</f>
        <v/>
      </c>
      <c r="M2592" t="str">
        <f t="shared" si="40"/>
        <v/>
      </c>
    </row>
    <row r="2593" spans="1:13">
      <c r="A2593" t="str">
        <f>IF('ATP Fills'!A2593="","",IF('ATP Fills'!Q2593="PHILLIPSG",'ATP Fills'!F2593,""))</f>
        <v/>
      </c>
      <c r="B2593" t="str">
        <f>IF(A2593="","",'ATP Fills'!L2593)</f>
        <v/>
      </c>
      <c r="C2593" t="str">
        <f>IF(A2593="","",'ATP Fills'!M2593)</f>
        <v/>
      </c>
      <c r="D2593" t="str">
        <f>IF(A2593="","",'ATP Fills'!B2593)</f>
        <v/>
      </c>
      <c r="E2593" s="3" t="str">
        <f>IF(A2593="","",IF(DATE(LEFT(D2593,4),MID(D2593,5,2),RIGHT(D2593,2))=Helper1!$P$1,Helper1!$P$1,""))</f>
        <v/>
      </c>
      <c r="F2593" s="3" t="str">
        <f>IF(A2593="","",'ATP Fills'!G2593)</f>
        <v/>
      </c>
      <c r="G2593" t="str">
        <f>IF(A2593="","",'ATP Fills'!H2593)</f>
        <v/>
      </c>
      <c r="H2593" t="str">
        <f>IF(A2593="","",VLOOKUP(G2593,表3_3[],2,0))</f>
        <v/>
      </c>
      <c r="I2593" t="str">
        <f>IF(A2593="","",VLOOKUP(G2593,表3_3[],3,0))</f>
        <v/>
      </c>
      <c r="J2593" t="str">
        <f>IF(A2593="","",IF('ATP Fills'!I2593="3M","",VLOOKUP(RIGHT('ATP Fills'!I2593,2),Helper1!$O$36:$P$48,2,0)))</f>
        <v/>
      </c>
      <c r="K2593" t="str">
        <f>IF(J2593="","",LEFT('ATP Fills'!I2593,4))</f>
        <v/>
      </c>
      <c r="L2593" t="str">
        <f>IF(A2593="","",IF('ATP Fills'!G2593="LME",'ATP Fills'!I2593,""))</f>
        <v/>
      </c>
      <c r="M2593" t="str">
        <f t="shared" si="40"/>
        <v/>
      </c>
    </row>
    <row r="2594" spans="1:13">
      <c r="A2594" t="str">
        <f>IF('ATP Fills'!A2594="","",IF('ATP Fills'!Q2594="PHILLIPSG",'ATP Fills'!F2594,""))</f>
        <v/>
      </c>
      <c r="B2594" t="str">
        <f>IF(A2594="","",'ATP Fills'!L2594)</f>
        <v/>
      </c>
      <c r="C2594" t="str">
        <f>IF(A2594="","",'ATP Fills'!M2594)</f>
        <v/>
      </c>
      <c r="D2594" t="str">
        <f>IF(A2594="","",'ATP Fills'!B2594)</f>
        <v/>
      </c>
      <c r="E2594" s="3" t="str">
        <f>IF(A2594="","",IF(DATE(LEFT(D2594,4),MID(D2594,5,2),RIGHT(D2594,2))=Helper1!$P$1,Helper1!$P$1,""))</f>
        <v/>
      </c>
      <c r="F2594" s="3" t="str">
        <f>IF(A2594="","",'ATP Fills'!G2594)</f>
        <v/>
      </c>
      <c r="G2594" t="str">
        <f>IF(A2594="","",'ATP Fills'!H2594)</f>
        <v/>
      </c>
      <c r="H2594" t="str">
        <f>IF(A2594="","",VLOOKUP(G2594,表3_3[],2,0))</f>
        <v/>
      </c>
      <c r="I2594" t="str">
        <f>IF(A2594="","",VLOOKUP(G2594,表3_3[],3,0))</f>
        <v/>
      </c>
      <c r="J2594" t="str">
        <f>IF(A2594="","",IF('ATP Fills'!I2594="3M","",VLOOKUP(RIGHT('ATP Fills'!I2594,2),Helper1!$O$36:$P$48,2,0)))</f>
        <v/>
      </c>
      <c r="K2594" t="str">
        <f>IF(J2594="","",LEFT('ATP Fills'!I2594,4))</f>
        <v/>
      </c>
      <c r="L2594" t="str">
        <f>IF(A2594="","",IF('ATP Fills'!G2594="LME",'ATP Fills'!I2594,""))</f>
        <v/>
      </c>
      <c r="M2594" t="str">
        <f t="shared" si="40"/>
        <v/>
      </c>
    </row>
    <row r="2595" spans="1:13">
      <c r="A2595" t="str">
        <f>IF('ATP Fills'!A2595="","",IF('ATP Fills'!Q2595="PHILLIPSG",'ATP Fills'!F2595,""))</f>
        <v/>
      </c>
      <c r="B2595" t="str">
        <f>IF(A2595="","",'ATP Fills'!L2595)</f>
        <v/>
      </c>
      <c r="C2595" t="str">
        <f>IF(A2595="","",'ATP Fills'!M2595)</f>
        <v/>
      </c>
      <c r="D2595" t="str">
        <f>IF(A2595="","",'ATP Fills'!B2595)</f>
        <v/>
      </c>
      <c r="E2595" s="3" t="str">
        <f>IF(A2595="","",IF(DATE(LEFT(D2595,4),MID(D2595,5,2),RIGHT(D2595,2))=Helper1!$P$1,Helper1!$P$1,""))</f>
        <v/>
      </c>
      <c r="F2595" s="3" t="str">
        <f>IF(A2595="","",'ATP Fills'!G2595)</f>
        <v/>
      </c>
      <c r="G2595" t="str">
        <f>IF(A2595="","",'ATP Fills'!H2595)</f>
        <v/>
      </c>
      <c r="H2595" t="str">
        <f>IF(A2595="","",VLOOKUP(G2595,表3_3[],2,0))</f>
        <v/>
      </c>
      <c r="I2595" t="str">
        <f>IF(A2595="","",VLOOKUP(G2595,表3_3[],3,0))</f>
        <v/>
      </c>
      <c r="J2595" t="str">
        <f>IF(A2595="","",IF('ATP Fills'!I2595="3M","",VLOOKUP(RIGHT('ATP Fills'!I2595,2),Helper1!$O$36:$P$48,2,0)))</f>
        <v/>
      </c>
      <c r="K2595" t="str">
        <f>IF(J2595="","",LEFT('ATP Fills'!I2595,4))</f>
        <v/>
      </c>
      <c r="L2595" t="str">
        <f>IF(A2595="","",IF('ATP Fills'!G2595="LME",'ATP Fills'!I2595,""))</f>
        <v/>
      </c>
      <c r="M2595" t="str">
        <f t="shared" si="40"/>
        <v/>
      </c>
    </row>
    <row r="2596" spans="1:13">
      <c r="A2596" t="str">
        <f>IF('ATP Fills'!A2596="","",IF('ATP Fills'!Q2596="PHILLIPSG",'ATP Fills'!F2596,""))</f>
        <v/>
      </c>
      <c r="B2596" t="str">
        <f>IF(A2596="","",'ATP Fills'!L2596)</f>
        <v/>
      </c>
      <c r="C2596" t="str">
        <f>IF(A2596="","",'ATP Fills'!M2596)</f>
        <v/>
      </c>
      <c r="D2596" t="str">
        <f>IF(A2596="","",'ATP Fills'!B2596)</f>
        <v/>
      </c>
      <c r="E2596" s="3" t="str">
        <f>IF(A2596="","",IF(DATE(LEFT(D2596,4),MID(D2596,5,2),RIGHT(D2596,2))=Helper1!$P$1,Helper1!$P$1,""))</f>
        <v/>
      </c>
      <c r="F2596" s="3" t="str">
        <f>IF(A2596="","",'ATP Fills'!G2596)</f>
        <v/>
      </c>
      <c r="G2596" t="str">
        <f>IF(A2596="","",'ATP Fills'!H2596)</f>
        <v/>
      </c>
      <c r="H2596" t="str">
        <f>IF(A2596="","",VLOOKUP(G2596,表3_3[],2,0))</f>
        <v/>
      </c>
      <c r="I2596" t="str">
        <f>IF(A2596="","",VLOOKUP(G2596,表3_3[],3,0))</f>
        <v/>
      </c>
      <c r="J2596" t="str">
        <f>IF(A2596="","",IF('ATP Fills'!I2596="3M","",VLOOKUP(RIGHT('ATP Fills'!I2596,2),Helper1!$O$36:$P$48,2,0)))</f>
        <v/>
      </c>
      <c r="K2596" t="str">
        <f>IF(J2596="","",LEFT('ATP Fills'!I2596,4))</f>
        <v/>
      </c>
      <c r="L2596" t="str">
        <f>IF(A2596="","",IF('ATP Fills'!G2596="LME",'ATP Fills'!I2596,""))</f>
        <v/>
      </c>
      <c r="M2596" t="str">
        <f t="shared" si="40"/>
        <v/>
      </c>
    </row>
    <row r="2597" spans="1:13">
      <c r="A2597" t="str">
        <f>IF('ATP Fills'!A2597="","",IF('ATP Fills'!Q2597="PHILLIPSG",'ATP Fills'!F2597,""))</f>
        <v/>
      </c>
      <c r="B2597" t="str">
        <f>IF(A2597="","",'ATP Fills'!L2597)</f>
        <v/>
      </c>
      <c r="C2597" t="str">
        <f>IF(A2597="","",'ATP Fills'!M2597)</f>
        <v/>
      </c>
      <c r="D2597" t="str">
        <f>IF(A2597="","",'ATP Fills'!B2597)</f>
        <v/>
      </c>
      <c r="E2597" s="3" t="str">
        <f>IF(A2597="","",IF(DATE(LEFT(D2597,4),MID(D2597,5,2),RIGHT(D2597,2))=Helper1!$P$1,Helper1!$P$1,""))</f>
        <v/>
      </c>
      <c r="F2597" s="3" t="str">
        <f>IF(A2597="","",'ATP Fills'!G2597)</f>
        <v/>
      </c>
      <c r="G2597" t="str">
        <f>IF(A2597="","",'ATP Fills'!H2597)</f>
        <v/>
      </c>
      <c r="H2597" t="str">
        <f>IF(A2597="","",VLOOKUP(G2597,表3_3[],2,0))</f>
        <v/>
      </c>
      <c r="I2597" t="str">
        <f>IF(A2597="","",VLOOKUP(G2597,表3_3[],3,0))</f>
        <v/>
      </c>
      <c r="J2597" t="str">
        <f>IF(A2597="","",IF('ATP Fills'!I2597="3M","",VLOOKUP(RIGHT('ATP Fills'!I2597,2),Helper1!$O$36:$P$48,2,0)))</f>
        <v/>
      </c>
      <c r="K2597" t="str">
        <f>IF(J2597="","",LEFT('ATP Fills'!I2597,4))</f>
        <v/>
      </c>
      <c r="L2597" t="str">
        <f>IF(A2597="","",IF('ATP Fills'!G2597="LME",'ATP Fills'!I2597,""))</f>
        <v/>
      </c>
      <c r="M2597" t="str">
        <f t="shared" si="40"/>
        <v/>
      </c>
    </row>
    <row r="2598" spans="1:13">
      <c r="A2598" t="str">
        <f>IF('ATP Fills'!A2598="","",IF('ATP Fills'!Q2598="PHILLIPSG",'ATP Fills'!F2598,""))</f>
        <v/>
      </c>
      <c r="B2598" t="str">
        <f>IF(A2598="","",'ATP Fills'!L2598)</f>
        <v/>
      </c>
      <c r="C2598" t="str">
        <f>IF(A2598="","",'ATP Fills'!M2598)</f>
        <v/>
      </c>
      <c r="D2598" t="str">
        <f>IF(A2598="","",'ATP Fills'!B2598)</f>
        <v/>
      </c>
      <c r="E2598" s="3" t="str">
        <f>IF(A2598="","",IF(DATE(LEFT(D2598,4),MID(D2598,5,2),RIGHT(D2598,2))=Helper1!$P$1,Helper1!$P$1,""))</f>
        <v/>
      </c>
      <c r="F2598" s="3" t="str">
        <f>IF(A2598="","",'ATP Fills'!G2598)</f>
        <v/>
      </c>
      <c r="G2598" t="str">
        <f>IF(A2598="","",'ATP Fills'!H2598)</f>
        <v/>
      </c>
      <c r="H2598" t="str">
        <f>IF(A2598="","",VLOOKUP(G2598,表3_3[],2,0))</f>
        <v/>
      </c>
      <c r="I2598" t="str">
        <f>IF(A2598="","",VLOOKUP(G2598,表3_3[],3,0))</f>
        <v/>
      </c>
      <c r="J2598" t="str">
        <f>IF(A2598="","",IF('ATP Fills'!I2598="3M","",VLOOKUP(RIGHT('ATP Fills'!I2598,2),Helper1!$O$36:$P$48,2,0)))</f>
        <v/>
      </c>
      <c r="K2598" t="str">
        <f>IF(J2598="","",LEFT('ATP Fills'!I2598,4))</f>
        <v/>
      </c>
      <c r="L2598" t="str">
        <f>IF(A2598="","",IF('ATP Fills'!G2598="LME",'ATP Fills'!I2598,""))</f>
        <v/>
      </c>
      <c r="M2598" t="str">
        <f t="shared" si="40"/>
        <v/>
      </c>
    </row>
    <row r="2599" spans="1:13">
      <c r="A2599" t="str">
        <f>IF('ATP Fills'!A2599="","",IF('ATP Fills'!Q2599="PHILLIPSG",'ATP Fills'!F2599,""))</f>
        <v/>
      </c>
      <c r="B2599" t="str">
        <f>IF(A2599="","",'ATP Fills'!L2599)</f>
        <v/>
      </c>
      <c r="C2599" t="str">
        <f>IF(A2599="","",'ATP Fills'!M2599)</f>
        <v/>
      </c>
      <c r="D2599" t="str">
        <f>IF(A2599="","",'ATP Fills'!B2599)</f>
        <v/>
      </c>
      <c r="E2599" s="3" t="str">
        <f>IF(A2599="","",IF(DATE(LEFT(D2599,4),MID(D2599,5,2),RIGHT(D2599,2))=Helper1!$P$1,Helper1!$P$1,""))</f>
        <v/>
      </c>
      <c r="F2599" s="3" t="str">
        <f>IF(A2599="","",'ATP Fills'!G2599)</f>
        <v/>
      </c>
      <c r="G2599" t="str">
        <f>IF(A2599="","",'ATP Fills'!H2599)</f>
        <v/>
      </c>
      <c r="H2599" t="str">
        <f>IF(A2599="","",VLOOKUP(G2599,表3_3[],2,0))</f>
        <v/>
      </c>
      <c r="I2599" t="str">
        <f>IF(A2599="","",VLOOKUP(G2599,表3_3[],3,0))</f>
        <v/>
      </c>
      <c r="J2599" t="str">
        <f>IF(A2599="","",IF('ATP Fills'!I2599="3M","",VLOOKUP(RIGHT('ATP Fills'!I2599,2),Helper1!$O$36:$P$48,2,0)))</f>
        <v/>
      </c>
      <c r="K2599" t="str">
        <f>IF(J2599="","",LEFT('ATP Fills'!I2599,4))</f>
        <v/>
      </c>
      <c r="L2599" t="str">
        <f>IF(A2599="","",IF('ATP Fills'!G2599="LME",'ATP Fills'!I2599,""))</f>
        <v/>
      </c>
      <c r="M2599" t="str">
        <f t="shared" si="40"/>
        <v/>
      </c>
    </row>
    <row r="2600" spans="1:13">
      <c r="A2600" t="str">
        <f>IF('ATP Fills'!A2600="","",IF('ATP Fills'!Q2600="PHILLIPSG",'ATP Fills'!F2600,""))</f>
        <v/>
      </c>
      <c r="B2600" t="str">
        <f>IF(A2600="","",'ATP Fills'!L2600)</f>
        <v/>
      </c>
      <c r="C2600" t="str">
        <f>IF(A2600="","",'ATP Fills'!M2600)</f>
        <v/>
      </c>
      <c r="D2600" t="str">
        <f>IF(A2600="","",'ATP Fills'!B2600)</f>
        <v/>
      </c>
      <c r="E2600" s="3" t="str">
        <f>IF(A2600="","",IF(DATE(LEFT(D2600,4),MID(D2600,5,2),RIGHT(D2600,2))=Helper1!$P$1,Helper1!$P$1,""))</f>
        <v/>
      </c>
      <c r="F2600" s="3" t="str">
        <f>IF(A2600="","",'ATP Fills'!G2600)</f>
        <v/>
      </c>
      <c r="G2600" t="str">
        <f>IF(A2600="","",'ATP Fills'!H2600)</f>
        <v/>
      </c>
      <c r="H2600" t="str">
        <f>IF(A2600="","",VLOOKUP(G2600,表3_3[],2,0))</f>
        <v/>
      </c>
      <c r="I2600" t="str">
        <f>IF(A2600="","",VLOOKUP(G2600,表3_3[],3,0))</f>
        <v/>
      </c>
      <c r="J2600" t="str">
        <f>IF(A2600="","",IF('ATP Fills'!I2600="3M","",VLOOKUP(RIGHT('ATP Fills'!I2600,2),Helper1!$O$36:$P$48,2,0)))</f>
        <v/>
      </c>
      <c r="K2600" t="str">
        <f>IF(J2600="","",LEFT('ATP Fills'!I2600,4))</f>
        <v/>
      </c>
      <c r="L2600" t="str">
        <f>IF(A2600="","",IF('ATP Fills'!G2600="LME",'ATP Fills'!I2600,""))</f>
        <v/>
      </c>
      <c r="M2600" t="str">
        <f t="shared" si="40"/>
        <v/>
      </c>
    </row>
    <row r="2601" spans="1:13">
      <c r="A2601" t="str">
        <f>IF('ATP Fills'!A2601="","",IF('ATP Fills'!Q2601="PHILLIPSG",'ATP Fills'!F2601,""))</f>
        <v/>
      </c>
      <c r="B2601" t="str">
        <f>IF(A2601="","",'ATP Fills'!L2601)</f>
        <v/>
      </c>
      <c r="C2601" t="str">
        <f>IF(A2601="","",'ATP Fills'!M2601)</f>
        <v/>
      </c>
      <c r="D2601" t="str">
        <f>IF(A2601="","",'ATP Fills'!B2601)</f>
        <v/>
      </c>
      <c r="E2601" s="3" t="str">
        <f>IF(A2601="","",IF(DATE(LEFT(D2601,4),MID(D2601,5,2),RIGHT(D2601,2))=Helper1!$P$1,Helper1!$P$1,""))</f>
        <v/>
      </c>
      <c r="F2601" s="3" t="str">
        <f>IF(A2601="","",'ATP Fills'!G2601)</f>
        <v/>
      </c>
      <c r="G2601" t="str">
        <f>IF(A2601="","",'ATP Fills'!H2601)</f>
        <v/>
      </c>
      <c r="H2601" t="str">
        <f>IF(A2601="","",VLOOKUP(G2601,表3_3[],2,0))</f>
        <v/>
      </c>
      <c r="I2601" t="str">
        <f>IF(A2601="","",VLOOKUP(G2601,表3_3[],3,0))</f>
        <v/>
      </c>
      <c r="J2601" t="str">
        <f>IF(A2601="","",IF('ATP Fills'!I2601="3M","",VLOOKUP(RIGHT('ATP Fills'!I2601,2),Helper1!$O$36:$P$48,2,0)))</f>
        <v/>
      </c>
      <c r="K2601" t="str">
        <f>IF(J2601="","",LEFT('ATP Fills'!I2601,4))</f>
        <v/>
      </c>
      <c r="L2601" t="str">
        <f>IF(A2601="","",IF('ATP Fills'!G2601="LME",'ATP Fills'!I2601,""))</f>
        <v/>
      </c>
      <c r="M2601" t="str">
        <f t="shared" si="40"/>
        <v/>
      </c>
    </row>
    <row r="2602" spans="1:13">
      <c r="A2602" t="str">
        <f>IF('ATP Fills'!A2602="","",IF('ATP Fills'!Q2602="PHILLIPSG",'ATP Fills'!F2602,""))</f>
        <v/>
      </c>
      <c r="B2602" t="str">
        <f>IF(A2602="","",'ATP Fills'!L2602)</f>
        <v/>
      </c>
      <c r="C2602" t="str">
        <f>IF(A2602="","",'ATP Fills'!M2602)</f>
        <v/>
      </c>
      <c r="D2602" t="str">
        <f>IF(A2602="","",'ATP Fills'!B2602)</f>
        <v/>
      </c>
      <c r="E2602" s="3" t="str">
        <f>IF(A2602="","",IF(DATE(LEFT(D2602,4),MID(D2602,5,2),RIGHT(D2602,2))=Helper1!$P$1,Helper1!$P$1,""))</f>
        <v/>
      </c>
      <c r="F2602" s="3" t="str">
        <f>IF(A2602="","",'ATP Fills'!G2602)</f>
        <v/>
      </c>
      <c r="G2602" t="str">
        <f>IF(A2602="","",'ATP Fills'!H2602)</f>
        <v/>
      </c>
      <c r="H2602" t="str">
        <f>IF(A2602="","",VLOOKUP(G2602,表3_3[],2,0))</f>
        <v/>
      </c>
      <c r="I2602" t="str">
        <f>IF(A2602="","",VLOOKUP(G2602,表3_3[],3,0))</f>
        <v/>
      </c>
      <c r="J2602" t="str">
        <f>IF(A2602="","",IF('ATP Fills'!I2602="3M","",VLOOKUP(RIGHT('ATP Fills'!I2602,2),Helper1!$O$36:$P$48,2,0)))</f>
        <v/>
      </c>
      <c r="K2602" t="str">
        <f>IF(J2602="","",LEFT('ATP Fills'!I2602,4))</f>
        <v/>
      </c>
      <c r="L2602" t="str">
        <f>IF(A2602="","",IF('ATP Fills'!G2602="LME",'ATP Fills'!I2602,""))</f>
        <v/>
      </c>
      <c r="M2602" t="str">
        <f t="shared" si="40"/>
        <v/>
      </c>
    </row>
    <row r="2603" spans="1:13">
      <c r="A2603" t="str">
        <f>IF('ATP Fills'!A2603="","",IF('ATP Fills'!Q2603="PHILLIPSG",'ATP Fills'!F2603,""))</f>
        <v/>
      </c>
      <c r="B2603" t="str">
        <f>IF(A2603="","",'ATP Fills'!L2603)</f>
        <v/>
      </c>
      <c r="C2603" t="str">
        <f>IF(A2603="","",'ATP Fills'!M2603)</f>
        <v/>
      </c>
      <c r="D2603" t="str">
        <f>IF(A2603="","",'ATP Fills'!B2603)</f>
        <v/>
      </c>
      <c r="E2603" s="3" t="str">
        <f>IF(A2603="","",IF(DATE(LEFT(D2603,4),MID(D2603,5,2),RIGHT(D2603,2))=Helper1!$P$1,Helper1!$P$1,""))</f>
        <v/>
      </c>
      <c r="F2603" s="3" t="str">
        <f>IF(A2603="","",'ATP Fills'!G2603)</f>
        <v/>
      </c>
      <c r="G2603" t="str">
        <f>IF(A2603="","",'ATP Fills'!H2603)</f>
        <v/>
      </c>
      <c r="H2603" t="str">
        <f>IF(A2603="","",VLOOKUP(G2603,表3_3[],2,0))</f>
        <v/>
      </c>
      <c r="I2603" t="str">
        <f>IF(A2603="","",VLOOKUP(G2603,表3_3[],3,0))</f>
        <v/>
      </c>
      <c r="J2603" t="str">
        <f>IF(A2603="","",IF('ATP Fills'!I2603="3M","",VLOOKUP(RIGHT('ATP Fills'!I2603,2),Helper1!$O$36:$P$48,2,0)))</f>
        <v/>
      </c>
      <c r="K2603" t="str">
        <f>IF(J2603="","",LEFT('ATP Fills'!I2603,4))</f>
        <v/>
      </c>
      <c r="L2603" t="str">
        <f>IF(A2603="","",IF('ATP Fills'!G2603="LME",'ATP Fills'!I2603,""))</f>
        <v/>
      </c>
      <c r="M2603" t="str">
        <f t="shared" si="40"/>
        <v/>
      </c>
    </row>
    <row r="2604" spans="1:13">
      <c r="A2604" t="str">
        <f>IF('ATP Fills'!A2604="","",IF('ATP Fills'!Q2604="PHILLIPSG",'ATP Fills'!F2604,""))</f>
        <v/>
      </c>
      <c r="B2604" t="str">
        <f>IF(A2604="","",'ATP Fills'!L2604)</f>
        <v/>
      </c>
      <c r="C2604" t="str">
        <f>IF(A2604="","",'ATP Fills'!M2604)</f>
        <v/>
      </c>
      <c r="D2604" t="str">
        <f>IF(A2604="","",'ATP Fills'!B2604)</f>
        <v/>
      </c>
      <c r="E2604" s="3" t="str">
        <f>IF(A2604="","",IF(DATE(LEFT(D2604,4),MID(D2604,5,2),RIGHT(D2604,2))=Helper1!$P$1,Helper1!$P$1,""))</f>
        <v/>
      </c>
      <c r="F2604" s="3" t="str">
        <f>IF(A2604="","",'ATP Fills'!G2604)</f>
        <v/>
      </c>
      <c r="G2604" t="str">
        <f>IF(A2604="","",'ATP Fills'!H2604)</f>
        <v/>
      </c>
      <c r="H2604" t="str">
        <f>IF(A2604="","",VLOOKUP(G2604,表3_3[],2,0))</f>
        <v/>
      </c>
      <c r="I2604" t="str">
        <f>IF(A2604="","",VLOOKUP(G2604,表3_3[],3,0))</f>
        <v/>
      </c>
      <c r="J2604" t="str">
        <f>IF(A2604="","",IF('ATP Fills'!I2604="3M","",VLOOKUP(RIGHT('ATP Fills'!I2604,2),Helper1!$O$36:$P$48,2,0)))</f>
        <v/>
      </c>
      <c r="K2604" t="str">
        <f>IF(J2604="","",LEFT('ATP Fills'!I2604,4))</f>
        <v/>
      </c>
      <c r="L2604" t="str">
        <f>IF(A2604="","",IF('ATP Fills'!G2604="LME",'ATP Fills'!I2604,""))</f>
        <v/>
      </c>
      <c r="M2604" t="str">
        <f t="shared" si="40"/>
        <v/>
      </c>
    </row>
    <row r="2605" spans="1:13">
      <c r="A2605" t="str">
        <f>IF('ATP Fills'!A2605="","",IF('ATP Fills'!Q2605="PHILLIPSG",'ATP Fills'!F2605,""))</f>
        <v/>
      </c>
      <c r="B2605" t="str">
        <f>IF(A2605="","",'ATP Fills'!L2605)</f>
        <v/>
      </c>
      <c r="C2605" t="str">
        <f>IF(A2605="","",'ATP Fills'!M2605)</f>
        <v/>
      </c>
      <c r="D2605" t="str">
        <f>IF(A2605="","",'ATP Fills'!B2605)</f>
        <v/>
      </c>
      <c r="E2605" s="3" t="str">
        <f>IF(A2605="","",IF(DATE(LEFT(D2605,4),MID(D2605,5,2),RIGHT(D2605,2))=Helper1!$P$1,Helper1!$P$1,""))</f>
        <v/>
      </c>
      <c r="F2605" s="3" t="str">
        <f>IF(A2605="","",'ATP Fills'!G2605)</f>
        <v/>
      </c>
      <c r="G2605" t="str">
        <f>IF(A2605="","",'ATP Fills'!H2605)</f>
        <v/>
      </c>
      <c r="H2605" t="str">
        <f>IF(A2605="","",VLOOKUP(G2605,表3_3[],2,0))</f>
        <v/>
      </c>
      <c r="I2605" t="str">
        <f>IF(A2605="","",VLOOKUP(G2605,表3_3[],3,0))</f>
        <v/>
      </c>
      <c r="J2605" t="str">
        <f>IF(A2605="","",IF('ATP Fills'!I2605="3M","",VLOOKUP(RIGHT('ATP Fills'!I2605,2),Helper1!$O$36:$P$48,2,0)))</f>
        <v/>
      </c>
      <c r="K2605" t="str">
        <f>IF(J2605="","",LEFT('ATP Fills'!I2605,4))</f>
        <v/>
      </c>
      <c r="L2605" t="str">
        <f>IF(A2605="","",IF('ATP Fills'!G2605="LME",'ATP Fills'!I2605,""))</f>
        <v/>
      </c>
      <c r="M2605" t="str">
        <f t="shared" si="40"/>
        <v/>
      </c>
    </row>
    <row r="2606" spans="1:13">
      <c r="A2606" t="str">
        <f>IF('ATP Fills'!A2606="","",IF('ATP Fills'!Q2606="PHILLIPSG",'ATP Fills'!F2606,""))</f>
        <v/>
      </c>
      <c r="B2606" t="str">
        <f>IF(A2606="","",'ATP Fills'!L2606)</f>
        <v/>
      </c>
      <c r="C2606" t="str">
        <f>IF(A2606="","",'ATP Fills'!M2606)</f>
        <v/>
      </c>
      <c r="D2606" t="str">
        <f>IF(A2606="","",'ATP Fills'!B2606)</f>
        <v/>
      </c>
      <c r="E2606" s="3" t="str">
        <f>IF(A2606="","",IF(DATE(LEFT(D2606,4),MID(D2606,5,2),RIGHT(D2606,2))=Helper1!$P$1,Helper1!$P$1,""))</f>
        <v/>
      </c>
      <c r="F2606" s="3" t="str">
        <f>IF(A2606="","",'ATP Fills'!G2606)</f>
        <v/>
      </c>
      <c r="G2606" t="str">
        <f>IF(A2606="","",'ATP Fills'!H2606)</f>
        <v/>
      </c>
      <c r="H2606" t="str">
        <f>IF(A2606="","",VLOOKUP(G2606,表3_3[],2,0))</f>
        <v/>
      </c>
      <c r="I2606" t="str">
        <f>IF(A2606="","",VLOOKUP(G2606,表3_3[],3,0))</f>
        <v/>
      </c>
      <c r="J2606" t="str">
        <f>IF(A2606="","",IF('ATP Fills'!I2606="3M","",VLOOKUP(RIGHT('ATP Fills'!I2606,2),Helper1!$O$36:$P$48,2,0)))</f>
        <v/>
      </c>
      <c r="K2606" t="str">
        <f>IF(J2606="","",LEFT('ATP Fills'!I2606,4))</f>
        <v/>
      </c>
      <c r="L2606" t="str">
        <f>IF(A2606="","",IF('ATP Fills'!G2606="LME",'ATP Fills'!I2606,""))</f>
        <v/>
      </c>
      <c r="M2606" t="str">
        <f t="shared" si="40"/>
        <v/>
      </c>
    </row>
    <row r="2607" spans="1:13">
      <c r="A2607" t="str">
        <f>IF('ATP Fills'!A2607="","",IF('ATP Fills'!Q2607="PHILLIPSG",'ATP Fills'!F2607,""))</f>
        <v/>
      </c>
      <c r="B2607" t="str">
        <f>IF(A2607="","",'ATP Fills'!L2607)</f>
        <v/>
      </c>
      <c r="C2607" t="str">
        <f>IF(A2607="","",'ATP Fills'!M2607)</f>
        <v/>
      </c>
      <c r="D2607" t="str">
        <f>IF(A2607="","",'ATP Fills'!B2607)</f>
        <v/>
      </c>
      <c r="E2607" s="3" t="str">
        <f>IF(A2607="","",IF(DATE(LEFT(D2607,4),MID(D2607,5,2),RIGHT(D2607,2))=Helper1!$P$1,Helper1!$P$1,""))</f>
        <v/>
      </c>
      <c r="F2607" s="3" t="str">
        <f>IF(A2607="","",'ATP Fills'!G2607)</f>
        <v/>
      </c>
      <c r="G2607" t="str">
        <f>IF(A2607="","",'ATP Fills'!H2607)</f>
        <v/>
      </c>
      <c r="H2607" t="str">
        <f>IF(A2607="","",VLOOKUP(G2607,表3_3[],2,0))</f>
        <v/>
      </c>
      <c r="I2607" t="str">
        <f>IF(A2607="","",VLOOKUP(G2607,表3_3[],3,0))</f>
        <v/>
      </c>
      <c r="J2607" t="str">
        <f>IF(A2607="","",IF('ATP Fills'!I2607="3M","",VLOOKUP(RIGHT('ATP Fills'!I2607,2),Helper1!$O$36:$P$48,2,0)))</f>
        <v/>
      </c>
      <c r="K2607" t="str">
        <f>IF(J2607="","",LEFT('ATP Fills'!I2607,4))</f>
        <v/>
      </c>
      <c r="L2607" t="str">
        <f>IF(A2607="","",IF('ATP Fills'!G2607="LME",'ATP Fills'!I2607,""))</f>
        <v/>
      </c>
      <c r="M2607" t="str">
        <f t="shared" si="40"/>
        <v/>
      </c>
    </row>
    <row r="2608" spans="1:13">
      <c r="A2608" t="str">
        <f>IF('ATP Fills'!A2608="","",IF('ATP Fills'!Q2608="PHILLIPSG",'ATP Fills'!F2608,""))</f>
        <v/>
      </c>
      <c r="B2608" t="str">
        <f>IF(A2608="","",'ATP Fills'!L2608)</f>
        <v/>
      </c>
      <c r="C2608" t="str">
        <f>IF(A2608="","",'ATP Fills'!M2608)</f>
        <v/>
      </c>
      <c r="D2608" t="str">
        <f>IF(A2608="","",'ATP Fills'!B2608)</f>
        <v/>
      </c>
      <c r="E2608" s="3" t="str">
        <f>IF(A2608="","",IF(DATE(LEFT(D2608,4),MID(D2608,5,2),RIGHT(D2608,2))=Helper1!$P$1,Helper1!$P$1,""))</f>
        <v/>
      </c>
      <c r="F2608" s="3" t="str">
        <f>IF(A2608="","",'ATP Fills'!G2608)</f>
        <v/>
      </c>
      <c r="G2608" t="str">
        <f>IF(A2608="","",'ATP Fills'!H2608)</f>
        <v/>
      </c>
      <c r="H2608" t="str">
        <f>IF(A2608="","",VLOOKUP(G2608,表3_3[],2,0))</f>
        <v/>
      </c>
      <c r="I2608" t="str">
        <f>IF(A2608="","",VLOOKUP(G2608,表3_3[],3,0))</f>
        <v/>
      </c>
      <c r="J2608" t="str">
        <f>IF(A2608="","",IF('ATP Fills'!I2608="3M","",VLOOKUP(RIGHT('ATP Fills'!I2608,2),Helper1!$O$36:$P$48,2,0)))</f>
        <v/>
      </c>
      <c r="K2608" t="str">
        <f>IF(J2608="","",LEFT('ATP Fills'!I2608,4))</f>
        <v/>
      </c>
      <c r="L2608" t="str">
        <f>IF(A2608="","",IF('ATP Fills'!G2608="LME",'ATP Fills'!I2608,""))</f>
        <v/>
      </c>
      <c r="M2608" t="str">
        <f t="shared" si="40"/>
        <v/>
      </c>
    </row>
    <row r="2609" spans="1:13">
      <c r="A2609" t="str">
        <f>IF('ATP Fills'!A2609="","",IF('ATP Fills'!Q2609="PHILLIPSG",'ATP Fills'!F2609,""))</f>
        <v/>
      </c>
      <c r="B2609" t="str">
        <f>IF(A2609="","",'ATP Fills'!L2609)</f>
        <v/>
      </c>
      <c r="C2609" t="str">
        <f>IF(A2609="","",'ATP Fills'!M2609)</f>
        <v/>
      </c>
      <c r="D2609" t="str">
        <f>IF(A2609="","",'ATP Fills'!B2609)</f>
        <v/>
      </c>
      <c r="E2609" s="3" t="str">
        <f>IF(A2609="","",IF(DATE(LEFT(D2609,4),MID(D2609,5,2),RIGHT(D2609,2))=Helper1!$P$1,Helper1!$P$1,""))</f>
        <v/>
      </c>
      <c r="F2609" s="3" t="str">
        <f>IF(A2609="","",'ATP Fills'!G2609)</f>
        <v/>
      </c>
      <c r="G2609" t="str">
        <f>IF(A2609="","",'ATP Fills'!H2609)</f>
        <v/>
      </c>
      <c r="H2609" t="str">
        <f>IF(A2609="","",VLOOKUP(G2609,表3_3[],2,0))</f>
        <v/>
      </c>
      <c r="I2609" t="str">
        <f>IF(A2609="","",VLOOKUP(G2609,表3_3[],3,0))</f>
        <v/>
      </c>
      <c r="J2609" t="str">
        <f>IF(A2609="","",IF('ATP Fills'!I2609="3M","",VLOOKUP(RIGHT('ATP Fills'!I2609,2),Helper1!$O$36:$P$48,2,0)))</f>
        <v/>
      </c>
      <c r="K2609" t="str">
        <f>IF(J2609="","",LEFT('ATP Fills'!I2609,4))</f>
        <v/>
      </c>
      <c r="L2609" t="str">
        <f>IF(A2609="","",IF('ATP Fills'!G2609="LME",'ATP Fills'!I2609,""))</f>
        <v/>
      </c>
      <c r="M2609" t="str">
        <f t="shared" si="40"/>
        <v/>
      </c>
    </row>
    <row r="2610" spans="1:13">
      <c r="A2610" t="str">
        <f>IF('ATP Fills'!A2610="","",IF('ATP Fills'!Q2610="PHILLIPSG",'ATP Fills'!F2610,""))</f>
        <v/>
      </c>
      <c r="B2610" t="str">
        <f>IF(A2610="","",'ATP Fills'!L2610)</f>
        <v/>
      </c>
      <c r="C2610" t="str">
        <f>IF(A2610="","",'ATP Fills'!M2610)</f>
        <v/>
      </c>
      <c r="D2610" t="str">
        <f>IF(A2610="","",'ATP Fills'!B2610)</f>
        <v/>
      </c>
      <c r="E2610" s="3" t="str">
        <f>IF(A2610="","",IF(DATE(LEFT(D2610,4),MID(D2610,5,2),RIGHT(D2610,2))=Helper1!$P$1,Helper1!$P$1,""))</f>
        <v/>
      </c>
      <c r="F2610" s="3" t="str">
        <f>IF(A2610="","",'ATP Fills'!G2610)</f>
        <v/>
      </c>
      <c r="G2610" t="str">
        <f>IF(A2610="","",'ATP Fills'!H2610)</f>
        <v/>
      </c>
      <c r="H2610" t="str">
        <f>IF(A2610="","",VLOOKUP(G2610,表3_3[],2,0))</f>
        <v/>
      </c>
      <c r="I2610" t="str">
        <f>IF(A2610="","",VLOOKUP(G2610,表3_3[],3,0))</f>
        <v/>
      </c>
      <c r="J2610" t="str">
        <f>IF(A2610="","",IF('ATP Fills'!I2610="3M","",VLOOKUP(RIGHT('ATP Fills'!I2610,2),Helper1!$O$36:$P$48,2,0)))</f>
        <v/>
      </c>
      <c r="K2610" t="str">
        <f>IF(J2610="","",LEFT('ATP Fills'!I2610,4))</f>
        <v/>
      </c>
      <c r="L2610" t="str">
        <f>IF(A2610="","",IF('ATP Fills'!G2610="LME",'ATP Fills'!I2610,""))</f>
        <v/>
      </c>
      <c r="M2610" t="str">
        <f t="shared" si="40"/>
        <v/>
      </c>
    </row>
    <row r="2611" spans="1:13">
      <c r="A2611" t="str">
        <f>IF('ATP Fills'!A2611="","",IF('ATP Fills'!Q2611="PHILLIPSG",'ATP Fills'!F2611,""))</f>
        <v/>
      </c>
      <c r="B2611" t="str">
        <f>IF(A2611="","",'ATP Fills'!L2611)</f>
        <v/>
      </c>
      <c r="C2611" t="str">
        <f>IF(A2611="","",'ATP Fills'!M2611)</f>
        <v/>
      </c>
      <c r="D2611" t="str">
        <f>IF(A2611="","",'ATP Fills'!B2611)</f>
        <v/>
      </c>
      <c r="E2611" s="3" t="str">
        <f>IF(A2611="","",IF(DATE(LEFT(D2611,4),MID(D2611,5,2),RIGHT(D2611,2))=Helper1!$P$1,Helper1!$P$1,""))</f>
        <v/>
      </c>
      <c r="F2611" s="3" t="str">
        <f>IF(A2611="","",'ATP Fills'!G2611)</f>
        <v/>
      </c>
      <c r="G2611" t="str">
        <f>IF(A2611="","",'ATP Fills'!H2611)</f>
        <v/>
      </c>
      <c r="H2611" t="str">
        <f>IF(A2611="","",VLOOKUP(G2611,表3_3[],2,0))</f>
        <v/>
      </c>
      <c r="I2611" t="str">
        <f>IF(A2611="","",VLOOKUP(G2611,表3_3[],3,0))</f>
        <v/>
      </c>
      <c r="J2611" t="str">
        <f>IF(A2611="","",IF('ATP Fills'!I2611="3M","",VLOOKUP(RIGHT('ATP Fills'!I2611,2),Helper1!$O$36:$P$48,2,0)))</f>
        <v/>
      </c>
      <c r="K2611" t="str">
        <f>IF(J2611="","",LEFT('ATP Fills'!I2611,4))</f>
        <v/>
      </c>
      <c r="L2611" t="str">
        <f>IF(A2611="","",IF('ATP Fills'!G2611="LME",'ATP Fills'!I2611,""))</f>
        <v/>
      </c>
      <c r="M2611" t="str">
        <f t="shared" si="40"/>
        <v/>
      </c>
    </row>
    <row r="2612" spans="1:13">
      <c r="A2612" t="str">
        <f>IF('ATP Fills'!A2612="","",IF('ATP Fills'!Q2612="PHILLIPSG",'ATP Fills'!F2612,""))</f>
        <v/>
      </c>
      <c r="B2612" t="str">
        <f>IF(A2612="","",'ATP Fills'!L2612)</f>
        <v/>
      </c>
      <c r="C2612" t="str">
        <f>IF(A2612="","",'ATP Fills'!M2612)</f>
        <v/>
      </c>
      <c r="D2612" t="str">
        <f>IF(A2612="","",'ATP Fills'!B2612)</f>
        <v/>
      </c>
      <c r="E2612" s="3" t="str">
        <f>IF(A2612="","",IF(DATE(LEFT(D2612,4),MID(D2612,5,2),RIGHT(D2612,2))=Helper1!$P$1,Helper1!$P$1,""))</f>
        <v/>
      </c>
      <c r="F2612" s="3" t="str">
        <f>IF(A2612="","",'ATP Fills'!G2612)</f>
        <v/>
      </c>
      <c r="G2612" t="str">
        <f>IF(A2612="","",'ATP Fills'!H2612)</f>
        <v/>
      </c>
      <c r="H2612" t="str">
        <f>IF(A2612="","",VLOOKUP(G2612,表3_3[],2,0))</f>
        <v/>
      </c>
      <c r="I2612" t="str">
        <f>IF(A2612="","",VLOOKUP(G2612,表3_3[],3,0))</f>
        <v/>
      </c>
      <c r="J2612" t="str">
        <f>IF(A2612="","",IF('ATP Fills'!I2612="3M","",VLOOKUP(RIGHT('ATP Fills'!I2612,2),Helper1!$O$36:$P$48,2,0)))</f>
        <v/>
      </c>
      <c r="K2612" t="str">
        <f>IF(J2612="","",LEFT('ATP Fills'!I2612,4))</f>
        <v/>
      </c>
      <c r="L2612" t="str">
        <f>IF(A2612="","",IF('ATP Fills'!G2612="LME",'ATP Fills'!I2612,""))</f>
        <v/>
      </c>
      <c r="M2612" t="str">
        <f t="shared" si="40"/>
        <v/>
      </c>
    </row>
    <row r="2613" spans="1:13">
      <c r="A2613" t="str">
        <f>IF('ATP Fills'!A2613="","",IF('ATP Fills'!Q2613="PHILLIPSG",'ATP Fills'!F2613,""))</f>
        <v/>
      </c>
      <c r="B2613" t="str">
        <f>IF(A2613="","",'ATP Fills'!L2613)</f>
        <v/>
      </c>
      <c r="C2613" t="str">
        <f>IF(A2613="","",'ATP Fills'!M2613)</f>
        <v/>
      </c>
      <c r="D2613" t="str">
        <f>IF(A2613="","",'ATP Fills'!B2613)</f>
        <v/>
      </c>
      <c r="E2613" s="3" t="str">
        <f>IF(A2613="","",IF(DATE(LEFT(D2613,4),MID(D2613,5,2),RIGHT(D2613,2))=Helper1!$P$1,Helper1!$P$1,""))</f>
        <v/>
      </c>
      <c r="F2613" s="3" t="str">
        <f>IF(A2613="","",'ATP Fills'!G2613)</f>
        <v/>
      </c>
      <c r="G2613" t="str">
        <f>IF(A2613="","",'ATP Fills'!H2613)</f>
        <v/>
      </c>
      <c r="H2613" t="str">
        <f>IF(A2613="","",VLOOKUP(G2613,表3_3[],2,0))</f>
        <v/>
      </c>
      <c r="I2613" t="str">
        <f>IF(A2613="","",VLOOKUP(G2613,表3_3[],3,0))</f>
        <v/>
      </c>
      <c r="J2613" t="str">
        <f>IF(A2613="","",IF('ATP Fills'!I2613="3M","",VLOOKUP(RIGHT('ATP Fills'!I2613,2),Helper1!$O$36:$P$48,2,0)))</f>
        <v/>
      </c>
      <c r="K2613" t="str">
        <f>IF(J2613="","",LEFT('ATP Fills'!I2613,4))</f>
        <v/>
      </c>
      <c r="L2613" t="str">
        <f>IF(A2613="","",IF('ATP Fills'!G2613="LME",'ATP Fills'!I2613,""))</f>
        <v/>
      </c>
      <c r="M2613" t="str">
        <f t="shared" si="40"/>
        <v/>
      </c>
    </row>
    <row r="2614" spans="1:13">
      <c r="A2614" t="str">
        <f>IF('ATP Fills'!A2614="","",IF('ATP Fills'!Q2614="PHILLIPSG",'ATP Fills'!F2614,""))</f>
        <v/>
      </c>
      <c r="B2614" t="str">
        <f>IF(A2614="","",'ATP Fills'!L2614)</f>
        <v/>
      </c>
      <c r="C2614" t="str">
        <f>IF(A2614="","",'ATP Fills'!M2614)</f>
        <v/>
      </c>
      <c r="D2614" t="str">
        <f>IF(A2614="","",'ATP Fills'!B2614)</f>
        <v/>
      </c>
      <c r="E2614" s="3" t="str">
        <f>IF(A2614="","",IF(DATE(LEFT(D2614,4),MID(D2614,5,2),RIGHT(D2614,2))=Helper1!$P$1,Helper1!$P$1,""))</f>
        <v/>
      </c>
      <c r="F2614" s="3" t="str">
        <f>IF(A2614="","",'ATP Fills'!G2614)</f>
        <v/>
      </c>
      <c r="G2614" t="str">
        <f>IF(A2614="","",'ATP Fills'!H2614)</f>
        <v/>
      </c>
      <c r="H2614" t="str">
        <f>IF(A2614="","",VLOOKUP(G2614,表3_3[],2,0))</f>
        <v/>
      </c>
      <c r="I2614" t="str">
        <f>IF(A2614="","",VLOOKUP(G2614,表3_3[],3,0))</f>
        <v/>
      </c>
      <c r="J2614" t="str">
        <f>IF(A2614="","",IF('ATP Fills'!I2614="3M","",VLOOKUP(RIGHT('ATP Fills'!I2614,2),Helper1!$O$36:$P$48,2,0)))</f>
        <v/>
      </c>
      <c r="K2614" t="str">
        <f>IF(J2614="","",LEFT('ATP Fills'!I2614,4))</f>
        <v/>
      </c>
      <c r="L2614" t="str">
        <f>IF(A2614="","",IF('ATP Fills'!G2614="LME",'ATP Fills'!I2614,""))</f>
        <v/>
      </c>
      <c r="M2614" t="str">
        <f t="shared" si="40"/>
        <v/>
      </c>
    </row>
    <row r="2615" spans="1:13">
      <c r="A2615" t="str">
        <f>IF('ATP Fills'!A2615="","",IF('ATP Fills'!Q2615="PHILLIPSG",'ATP Fills'!F2615,""))</f>
        <v/>
      </c>
      <c r="B2615" t="str">
        <f>IF(A2615="","",'ATP Fills'!L2615)</f>
        <v/>
      </c>
      <c r="C2615" t="str">
        <f>IF(A2615="","",'ATP Fills'!M2615)</f>
        <v/>
      </c>
      <c r="D2615" t="str">
        <f>IF(A2615="","",'ATP Fills'!B2615)</f>
        <v/>
      </c>
      <c r="E2615" s="3" t="str">
        <f>IF(A2615="","",IF(DATE(LEFT(D2615,4),MID(D2615,5,2),RIGHT(D2615,2))=Helper1!$P$1,Helper1!$P$1,""))</f>
        <v/>
      </c>
      <c r="F2615" s="3" t="str">
        <f>IF(A2615="","",'ATP Fills'!G2615)</f>
        <v/>
      </c>
      <c r="G2615" t="str">
        <f>IF(A2615="","",'ATP Fills'!H2615)</f>
        <v/>
      </c>
      <c r="H2615" t="str">
        <f>IF(A2615="","",VLOOKUP(G2615,表3_3[],2,0))</f>
        <v/>
      </c>
      <c r="I2615" t="str">
        <f>IF(A2615="","",VLOOKUP(G2615,表3_3[],3,0))</f>
        <v/>
      </c>
      <c r="J2615" t="str">
        <f>IF(A2615="","",IF('ATP Fills'!I2615="3M","",VLOOKUP(RIGHT('ATP Fills'!I2615,2),Helper1!$O$36:$P$48,2,0)))</f>
        <v/>
      </c>
      <c r="K2615" t="str">
        <f>IF(J2615="","",LEFT('ATP Fills'!I2615,4))</f>
        <v/>
      </c>
      <c r="L2615" t="str">
        <f>IF(A2615="","",IF('ATP Fills'!G2615="LME",'ATP Fills'!I2615,""))</f>
        <v/>
      </c>
      <c r="M2615" t="str">
        <f t="shared" si="40"/>
        <v/>
      </c>
    </row>
    <row r="2616" spans="1:13">
      <c r="A2616" t="str">
        <f>IF('ATP Fills'!A2616="","",IF('ATP Fills'!Q2616="PHILLIPSG",'ATP Fills'!F2616,""))</f>
        <v/>
      </c>
      <c r="B2616" t="str">
        <f>IF(A2616="","",'ATP Fills'!L2616)</f>
        <v/>
      </c>
      <c r="C2616" t="str">
        <f>IF(A2616="","",'ATP Fills'!M2616)</f>
        <v/>
      </c>
      <c r="D2616" t="str">
        <f>IF(A2616="","",'ATP Fills'!B2616)</f>
        <v/>
      </c>
      <c r="E2616" s="3" t="str">
        <f>IF(A2616="","",IF(DATE(LEFT(D2616,4),MID(D2616,5,2),RIGHT(D2616,2))=Helper1!$P$1,Helper1!$P$1,""))</f>
        <v/>
      </c>
      <c r="F2616" s="3" t="str">
        <f>IF(A2616="","",'ATP Fills'!G2616)</f>
        <v/>
      </c>
      <c r="G2616" t="str">
        <f>IF(A2616="","",'ATP Fills'!H2616)</f>
        <v/>
      </c>
      <c r="H2616" t="str">
        <f>IF(A2616="","",VLOOKUP(G2616,表3_3[],2,0))</f>
        <v/>
      </c>
      <c r="I2616" t="str">
        <f>IF(A2616="","",VLOOKUP(G2616,表3_3[],3,0))</f>
        <v/>
      </c>
      <c r="J2616" t="str">
        <f>IF(A2616="","",IF('ATP Fills'!I2616="3M","",VLOOKUP(RIGHT('ATP Fills'!I2616,2),Helper1!$O$36:$P$48,2,0)))</f>
        <v/>
      </c>
      <c r="K2616" t="str">
        <f>IF(J2616="","",LEFT('ATP Fills'!I2616,4))</f>
        <v/>
      </c>
      <c r="L2616" t="str">
        <f>IF(A2616="","",IF('ATP Fills'!G2616="LME",'ATP Fills'!I2616,""))</f>
        <v/>
      </c>
      <c r="M2616" t="str">
        <f t="shared" si="40"/>
        <v/>
      </c>
    </row>
    <row r="2617" spans="1:13">
      <c r="A2617" t="str">
        <f>IF('ATP Fills'!A2617="","",IF('ATP Fills'!Q2617="PHILLIPSG",'ATP Fills'!F2617,""))</f>
        <v/>
      </c>
      <c r="B2617" t="str">
        <f>IF(A2617="","",'ATP Fills'!L2617)</f>
        <v/>
      </c>
      <c r="C2617" t="str">
        <f>IF(A2617="","",'ATP Fills'!M2617)</f>
        <v/>
      </c>
      <c r="D2617" t="str">
        <f>IF(A2617="","",'ATP Fills'!B2617)</f>
        <v/>
      </c>
      <c r="E2617" s="3" t="str">
        <f>IF(A2617="","",IF(DATE(LEFT(D2617,4),MID(D2617,5,2),RIGHT(D2617,2))=Helper1!$P$1,Helper1!$P$1,""))</f>
        <v/>
      </c>
      <c r="F2617" s="3" t="str">
        <f>IF(A2617="","",'ATP Fills'!G2617)</f>
        <v/>
      </c>
      <c r="G2617" t="str">
        <f>IF(A2617="","",'ATP Fills'!H2617)</f>
        <v/>
      </c>
      <c r="H2617" t="str">
        <f>IF(A2617="","",VLOOKUP(G2617,表3_3[],2,0))</f>
        <v/>
      </c>
      <c r="I2617" t="str">
        <f>IF(A2617="","",VLOOKUP(G2617,表3_3[],3,0))</f>
        <v/>
      </c>
      <c r="J2617" t="str">
        <f>IF(A2617="","",IF('ATP Fills'!I2617="3M","",VLOOKUP(RIGHT('ATP Fills'!I2617,2),Helper1!$O$36:$P$48,2,0)))</f>
        <v/>
      </c>
      <c r="K2617" t="str">
        <f>IF(J2617="","",LEFT('ATP Fills'!I2617,4))</f>
        <v/>
      </c>
      <c r="L2617" t="str">
        <f>IF(A2617="","",IF('ATP Fills'!G2617="LME",'ATP Fills'!I2617,""))</f>
        <v/>
      </c>
      <c r="M2617" t="str">
        <f t="shared" si="40"/>
        <v/>
      </c>
    </row>
    <row r="2618" spans="1:13">
      <c r="A2618" t="str">
        <f>IF('ATP Fills'!A2618="","",IF('ATP Fills'!Q2618="PHILLIPSG",'ATP Fills'!F2618,""))</f>
        <v/>
      </c>
      <c r="B2618" t="str">
        <f>IF(A2618="","",'ATP Fills'!L2618)</f>
        <v/>
      </c>
      <c r="C2618" t="str">
        <f>IF(A2618="","",'ATP Fills'!M2618)</f>
        <v/>
      </c>
      <c r="D2618" t="str">
        <f>IF(A2618="","",'ATP Fills'!B2618)</f>
        <v/>
      </c>
      <c r="E2618" s="3" t="str">
        <f>IF(A2618="","",IF(DATE(LEFT(D2618,4),MID(D2618,5,2),RIGHT(D2618,2))=Helper1!$P$1,Helper1!$P$1,""))</f>
        <v/>
      </c>
      <c r="F2618" s="3" t="str">
        <f>IF(A2618="","",'ATP Fills'!G2618)</f>
        <v/>
      </c>
      <c r="G2618" t="str">
        <f>IF(A2618="","",'ATP Fills'!H2618)</f>
        <v/>
      </c>
      <c r="H2618" t="str">
        <f>IF(A2618="","",VLOOKUP(G2618,表3_3[],2,0))</f>
        <v/>
      </c>
      <c r="I2618" t="str">
        <f>IF(A2618="","",VLOOKUP(G2618,表3_3[],3,0))</f>
        <v/>
      </c>
      <c r="J2618" t="str">
        <f>IF(A2618="","",IF('ATP Fills'!I2618="3M","",VLOOKUP(RIGHT('ATP Fills'!I2618,2),Helper1!$O$36:$P$48,2,0)))</f>
        <v/>
      </c>
      <c r="K2618" t="str">
        <f>IF(J2618="","",LEFT('ATP Fills'!I2618,4))</f>
        <v/>
      </c>
      <c r="L2618" t="str">
        <f>IF(A2618="","",IF('ATP Fills'!G2618="LME",'ATP Fills'!I2618,""))</f>
        <v/>
      </c>
      <c r="M2618" t="str">
        <f t="shared" si="40"/>
        <v/>
      </c>
    </row>
    <row r="2619" spans="1:13">
      <c r="A2619" t="str">
        <f>IF('ATP Fills'!A2619="","",IF('ATP Fills'!Q2619="PHILLIPSG",'ATP Fills'!F2619,""))</f>
        <v/>
      </c>
      <c r="B2619" t="str">
        <f>IF(A2619="","",'ATP Fills'!L2619)</f>
        <v/>
      </c>
      <c r="C2619" t="str">
        <f>IF(A2619="","",'ATP Fills'!M2619)</f>
        <v/>
      </c>
      <c r="D2619" t="str">
        <f>IF(A2619="","",'ATP Fills'!B2619)</f>
        <v/>
      </c>
      <c r="E2619" s="3" t="str">
        <f>IF(A2619="","",IF(DATE(LEFT(D2619,4),MID(D2619,5,2),RIGHT(D2619,2))=Helper1!$P$1,Helper1!$P$1,""))</f>
        <v/>
      </c>
      <c r="F2619" s="3" t="str">
        <f>IF(A2619="","",'ATP Fills'!G2619)</f>
        <v/>
      </c>
      <c r="G2619" t="str">
        <f>IF(A2619="","",'ATP Fills'!H2619)</f>
        <v/>
      </c>
      <c r="H2619" t="str">
        <f>IF(A2619="","",VLOOKUP(G2619,表3_3[],2,0))</f>
        <v/>
      </c>
      <c r="I2619" t="str">
        <f>IF(A2619="","",VLOOKUP(G2619,表3_3[],3,0))</f>
        <v/>
      </c>
      <c r="J2619" t="str">
        <f>IF(A2619="","",IF('ATP Fills'!I2619="3M","",VLOOKUP(RIGHT('ATP Fills'!I2619,2),Helper1!$O$36:$P$48,2,0)))</f>
        <v/>
      </c>
      <c r="K2619" t="str">
        <f>IF(J2619="","",LEFT('ATP Fills'!I2619,4))</f>
        <v/>
      </c>
      <c r="L2619" t="str">
        <f>IF(A2619="","",IF('ATP Fills'!G2619="LME",'ATP Fills'!I2619,""))</f>
        <v/>
      </c>
      <c r="M2619" t="str">
        <f t="shared" si="40"/>
        <v/>
      </c>
    </row>
    <row r="2620" spans="1:13">
      <c r="A2620" t="str">
        <f>IF('ATP Fills'!A2620="","",IF('ATP Fills'!Q2620="PHILLIPSG",'ATP Fills'!F2620,""))</f>
        <v/>
      </c>
      <c r="B2620" t="str">
        <f>IF(A2620="","",'ATP Fills'!L2620)</f>
        <v/>
      </c>
      <c r="C2620" t="str">
        <f>IF(A2620="","",'ATP Fills'!M2620)</f>
        <v/>
      </c>
      <c r="D2620" t="str">
        <f>IF(A2620="","",'ATP Fills'!B2620)</f>
        <v/>
      </c>
      <c r="E2620" s="3" t="str">
        <f>IF(A2620="","",IF(DATE(LEFT(D2620,4),MID(D2620,5,2),RIGHT(D2620,2))=Helper1!$P$1,Helper1!$P$1,""))</f>
        <v/>
      </c>
      <c r="F2620" s="3" t="str">
        <f>IF(A2620="","",'ATP Fills'!G2620)</f>
        <v/>
      </c>
      <c r="G2620" t="str">
        <f>IF(A2620="","",'ATP Fills'!H2620)</f>
        <v/>
      </c>
      <c r="H2620" t="str">
        <f>IF(A2620="","",VLOOKUP(G2620,表3_3[],2,0))</f>
        <v/>
      </c>
      <c r="I2620" t="str">
        <f>IF(A2620="","",VLOOKUP(G2620,表3_3[],3,0))</f>
        <v/>
      </c>
      <c r="J2620" t="str">
        <f>IF(A2620="","",IF('ATP Fills'!I2620="3M","",VLOOKUP(RIGHT('ATP Fills'!I2620,2),Helper1!$O$36:$P$48,2,0)))</f>
        <v/>
      </c>
      <c r="K2620" t="str">
        <f>IF(J2620="","",LEFT('ATP Fills'!I2620,4))</f>
        <v/>
      </c>
      <c r="L2620" t="str">
        <f>IF(A2620="","",IF('ATP Fills'!G2620="LME",'ATP Fills'!I2620,""))</f>
        <v/>
      </c>
      <c r="M2620" t="str">
        <f t="shared" si="40"/>
        <v/>
      </c>
    </row>
    <row r="2621" spans="1:13">
      <c r="A2621" t="str">
        <f>IF('ATP Fills'!A2621="","",IF('ATP Fills'!Q2621="PHILLIPSG",'ATP Fills'!F2621,""))</f>
        <v/>
      </c>
      <c r="B2621" t="str">
        <f>IF(A2621="","",'ATP Fills'!L2621)</f>
        <v/>
      </c>
      <c r="C2621" t="str">
        <f>IF(A2621="","",'ATP Fills'!M2621)</f>
        <v/>
      </c>
      <c r="D2621" t="str">
        <f>IF(A2621="","",'ATP Fills'!B2621)</f>
        <v/>
      </c>
      <c r="E2621" s="3" t="str">
        <f>IF(A2621="","",IF(DATE(LEFT(D2621,4),MID(D2621,5,2),RIGHT(D2621,2))=Helper1!$P$1,Helper1!$P$1,""))</f>
        <v/>
      </c>
      <c r="F2621" s="3" t="str">
        <f>IF(A2621="","",'ATP Fills'!G2621)</f>
        <v/>
      </c>
      <c r="G2621" t="str">
        <f>IF(A2621="","",'ATP Fills'!H2621)</f>
        <v/>
      </c>
      <c r="H2621" t="str">
        <f>IF(A2621="","",VLOOKUP(G2621,表3_3[],2,0))</f>
        <v/>
      </c>
      <c r="I2621" t="str">
        <f>IF(A2621="","",VLOOKUP(G2621,表3_3[],3,0))</f>
        <v/>
      </c>
      <c r="J2621" t="str">
        <f>IF(A2621="","",IF('ATP Fills'!I2621="3M","",VLOOKUP(RIGHT('ATP Fills'!I2621,2),Helper1!$O$36:$P$48,2,0)))</f>
        <v/>
      </c>
      <c r="K2621" t="str">
        <f>IF(J2621="","",LEFT('ATP Fills'!I2621,4))</f>
        <v/>
      </c>
      <c r="L2621" t="str">
        <f>IF(A2621="","",IF('ATP Fills'!G2621="LME",'ATP Fills'!I2621,""))</f>
        <v/>
      </c>
      <c r="M2621" t="str">
        <f t="shared" si="40"/>
        <v/>
      </c>
    </row>
    <row r="2622" spans="1:13">
      <c r="A2622" t="str">
        <f>IF('ATP Fills'!A2622="","",IF('ATP Fills'!Q2622="PHILLIPSG",'ATP Fills'!F2622,""))</f>
        <v/>
      </c>
      <c r="B2622" t="str">
        <f>IF(A2622="","",'ATP Fills'!L2622)</f>
        <v/>
      </c>
      <c r="C2622" t="str">
        <f>IF(A2622="","",'ATP Fills'!M2622)</f>
        <v/>
      </c>
      <c r="D2622" t="str">
        <f>IF(A2622="","",'ATP Fills'!B2622)</f>
        <v/>
      </c>
      <c r="E2622" s="3" t="str">
        <f>IF(A2622="","",IF(DATE(LEFT(D2622,4),MID(D2622,5,2),RIGHT(D2622,2))=Helper1!$P$1,Helper1!$P$1,""))</f>
        <v/>
      </c>
      <c r="F2622" s="3" t="str">
        <f>IF(A2622="","",'ATP Fills'!G2622)</f>
        <v/>
      </c>
      <c r="G2622" t="str">
        <f>IF(A2622="","",'ATP Fills'!H2622)</f>
        <v/>
      </c>
      <c r="H2622" t="str">
        <f>IF(A2622="","",VLOOKUP(G2622,表3_3[],2,0))</f>
        <v/>
      </c>
      <c r="I2622" t="str">
        <f>IF(A2622="","",VLOOKUP(G2622,表3_3[],3,0))</f>
        <v/>
      </c>
      <c r="J2622" t="str">
        <f>IF(A2622="","",IF('ATP Fills'!I2622="3M","",VLOOKUP(RIGHT('ATP Fills'!I2622,2),Helper1!$O$36:$P$48,2,0)))</f>
        <v/>
      </c>
      <c r="K2622" t="str">
        <f>IF(J2622="","",LEFT('ATP Fills'!I2622,4))</f>
        <v/>
      </c>
      <c r="L2622" t="str">
        <f>IF(A2622="","",IF('ATP Fills'!G2622="LME",'ATP Fills'!I2622,""))</f>
        <v/>
      </c>
      <c r="M2622" t="str">
        <f t="shared" si="40"/>
        <v/>
      </c>
    </row>
    <row r="2623" spans="1:13">
      <c r="A2623" t="str">
        <f>IF('ATP Fills'!A2623="","",IF('ATP Fills'!Q2623="PHILLIPSG",'ATP Fills'!F2623,""))</f>
        <v/>
      </c>
      <c r="B2623" t="str">
        <f>IF(A2623="","",'ATP Fills'!L2623)</f>
        <v/>
      </c>
      <c r="C2623" t="str">
        <f>IF(A2623="","",'ATP Fills'!M2623)</f>
        <v/>
      </c>
      <c r="D2623" t="str">
        <f>IF(A2623="","",'ATP Fills'!B2623)</f>
        <v/>
      </c>
      <c r="E2623" s="3" t="str">
        <f>IF(A2623="","",IF(DATE(LEFT(D2623,4),MID(D2623,5,2),RIGHT(D2623,2))=Helper1!$P$1,Helper1!$P$1,""))</f>
        <v/>
      </c>
      <c r="F2623" s="3" t="str">
        <f>IF(A2623="","",'ATP Fills'!G2623)</f>
        <v/>
      </c>
      <c r="G2623" t="str">
        <f>IF(A2623="","",'ATP Fills'!H2623)</f>
        <v/>
      </c>
      <c r="H2623" t="str">
        <f>IF(A2623="","",VLOOKUP(G2623,表3_3[],2,0))</f>
        <v/>
      </c>
      <c r="I2623" t="str">
        <f>IF(A2623="","",VLOOKUP(G2623,表3_3[],3,0))</f>
        <v/>
      </c>
      <c r="J2623" t="str">
        <f>IF(A2623="","",IF('ATP Fills'!I2623="3M","",VLOOKUP(RIGHT('ATP Fills'!I2623,2),Helper1!$O$36:$P$48,2,0)))</f>
        <v/>
      </c>
      <c r="K2623" t="str">
        <f>IF(J2623="","",LEFT('ATP Fills'!I2623,4))</f>
        <v/>
      </c>
      <c r="L2623" t="str">
        <f>IF(A2623="","",IF('ATP Fills'!G2623="LME",'ATP Fills'!I2623,""))</f>
        <v/>
      </c>
      <c r="M2623" t="str">
        <f t="shared" si="40"/>
        <v/>
      </c>
    </row>
    <row r="2624" spans="1:13">
      <c r="A2624" t="str">
        <f>IF('ATP Fills'!A2624="","",IF('ATP Fills'!Q2624="PHILLIPSG",'ATP Fills'!F2624,""))</f>
        <v/>
      </c>
      <c r="B2624" t="str">
        <f>IF(A2624="","",'ATP Fills'!L2624)</f>
        <v/>
      </c>
      <c r="C2624" t="str">
        <f>IF(A2624="","",'ATP Fills'!M2624)</f>
        <v/>
      </c>
      <c r="D2624" t="str">
        <f>IF(A2624="","",'ATP Fills'!B2624)</f>
        <v/>
      </c>
      <c r="E2624" s="3" t="str">
        <f>IF(A2624="","",IF(DATE(LEFT(D2624,4),MID(D2624,5,2),RIGHT(D2624,2))=Helper1!$P$1,Helper1!$P$1,""))</f>
        <v/>
      </c>
      <c r="F2624" s="3" t="str">
        <f>IF(A2624="","",'ATP Fills'!G2624)</f>
        <v/>
      </c>
      <c r="G2624" t="str">
        <f>IF(A2624="","",'ATP Fills'!H2624)</f>
        <v/>
      </c>
      <c r="H2624" t="str">
        <f>IF(A2624="","",VLOOKUP(G2624,表3_3[],2,0))</f>
        <v/>
      </c>
      <c r="I2624" t="str">
        <f>IF(A2624="","",VLOOKUP(G2624,表3_3[],3,0))</f>
        <v/>
      </c>
      <c r="J2624" t="str">
        <f>IF(A2624="","",IF('ATP Fills'!I2624="3M","",VLOOKUP(RIGHT('ATP Fills'!I2624,2),Helper1!$O$36:$P$48,2,0)))</f>
        <v/>
      </c>
      <c r="K2624" t="str">
        <f>IF(J2624="","",LEFT('ATP Fills'!I2624,4))</f>
        <v/>
      </c>
      <c r="L2624" t="str">
        <f>IF(A2624="","",IF('ATP Fills'!G2624="LME",'ATP Fills'!I2624,""))</f>
        <v/>
      </c>
      <c r="M2624" t="str">
        <f t="shared" si="40"/>
        <v/>
      </c>
    </row>
    <row r="2625" spans="1:13">
      <c r="A2625" t="str">
        <f>IF('ATP Fills'!A2625="","",IF('ATP Fills'!Q2625="PHILLIPSG",'ATP Fills'!F2625,""))</f>
        <v/>
      </c>
      <c r="B2625" t="str">
        <f>IF(A2625="","",'ATP Fills'!L2625)</f>
        <v/>
      </c>
      <c r="C2625" t="str">
        <f>IF(A2625="","",'ATP Fills'!M2625)</f>
        <v/>
      </c>
      <c r="D2625" t="str">
        <f>IF(A2625="","",'ATP Fills'!B2625)</f>
        <v/>
      </c>
      <c r="E2625" s="3" t="str">
        <f>IF(A2625="","",IF(DATE(LEFT(D2625,4),MID(D2625,5,2),RIGHT(D2625,2))=Helper1!$P$1,Helper1!$P$1,""))</f>
        <v/>
      </c>
      <c r="F2625" s="3" t="str">
        <f>IF(A2625="","",'ATP Fills'!G2625)</f>
        <v/>
      </c>
      <c r="G2625" t="str">
        <f>IF(A2625="","",'ATP Fills'!H2625)</f>
        <v/>
      </c>
      <c r="H2625" t="str">
        <f>IF(A2625="","",VLOOKUP(G2625,表3_3[],2,0))</f>
        <v/>
      </c>
      <c r="I2625" t="str">
        <f>IF(A2625="","",VLOOKUP(G2625,表3_3[],3,0))</f>
        <v/>
      </c>
      <c r="J2625" t="str">
        <f>IF(A2625="","",IF('ATP Fills'!I2625="3M","",VLOOKUP(RIGHT('ATP Fills'!I2625,2),Helper1!$O$36:$P$48,2,0)))</f>
        <v/>
      </c>
      <c r="K2625" t="str">
        <f>IF(J2625="","",LEFT('ATP Fills'!I2625,4))</f>
        <v/>
      </c>
      <c r="L2625" t="str">
        <f>IF(A2625="","",IF('ATP Fills'!G2625="LME",'ATP Fills'!I2625,""))</f>
        <v/>
      </c>
      <c r="M2625" t="str">
        <f t="shared" si="40"/>
        <v/>
      </c>
    </row>
    <row r="2626" spans="1:13">
      <c r="A2626" t="str">
        <f>IF('ATP Fills'!A2626="","",IF('ATP Fills'!Q2626="PHILLIPSG",'ATP Fills'!F2626,""))</f>
        <v/>
      </c>
      <c r="B2626" t="str">
        <f>IF(A2626="","",'ATP Fills'!L2626)</f>
        <v/>
      </c>
      <c r="C2626" t="str">
        <f>IF(A2626="","",'ATP Fills'!M2626)</f>
        <v/>
      </c>
      <c r="D2626" t="str">
        <f>IF(A2626="","",'ATP Fills'!B2626)</f>
        <v/>
      </c>
      <c r="E2626" s="3" t="str">
        <f>IF(A2626="","",IF(DATE(LEFT(D2626,4),MID(D2626,5,2),RIGHT(D2626,2))=Helper1!$P$1,Helper1!$P$1,""))</f>
        <v/>
      </c>
      <c r="F2626" s="3" t="str">
        <f>IF(A2626="","",'ATP Fills'!G2626)</f>
        <v/>
      </c>
      <c r="G2626" t="str">
        <f>IF(A2626="","",'ATP Fills'!H2626)</f>
        <v/>
      </c>
      <c r="H2626" t="str">
        <f>IF(A2626="","",VLOOKUP(G2626,表3_3[],2,0))</f>
        <v/>
      </c>
      <c r="I2626" t="str">
        <f>IF(A2626="","",VLOOKUP(G2626,表3_3[],3,0))</f>
        <v/>
      </c>
      <c r="J2626" t="str">
        <f>IF(A2626="","",IF('ATP Fills'!I2626="3M","",VLOOKUP(RIGHT('ATP Fills'!I2626,2),Helper1!$O$36:$P$48,2,0)))</f>
        <v/>
      </c>
      <c r="K2626" t="str">
        <f>IF(J2626="","",LEFT('ATP Fills'!I2626,4))</f>
        <v/>
      </c>
      <c r="L2626" t="str">
        <f>IF(A2626="","",IF('ATP Fills'!G2626="LME",'ATP Fills'!I2626,""))</f>
        <v/>
      </c>
      <c r="M2626" t="str">
        <f t="shared" si="40"/>
        <v/>
      </c>
    </row>
    <row r="2627" spans="1:13">
      <c r="A2627" t="str">
        <f>IF('ATP Fills'!A2627="","",IF('ATP Fills'!Q2627="PHILLIPSG",'ATP Fills'!F2627,""))</f>
        <v/>
      </c>
      <c r="B2627" t="str">
        <f>IF(A2627="","",'ATP Fills'!L2627)</f>
        <v/>
      </c>
      <c r="C2627" t="str">
        <f>IF(A2627="","",'ATP Fills'!M2627)</f>
        <v/>
      </c>
      <c r="D2627" t="str">
        <f>IF(A2627="","",'ATP Fills'!B2627)</f>
        <v/>
      </c>
      <c r="E2627" s="3" t="str">
        <f>IF(A2627="","",IF(DATE(LEFT(D2627,4),MID(D2627,5,2),RIGHT(D2627,2))=Helper1!$P$1,Helper1!$P$1,""))</f>
        <v/>
      </c>
      <c r="F2627" s="3" t="str">
        <f>IF(A2627="","",'ATP Fills'!G2627)</f>
        <v/>
      </c>
      <c r="G2627" t="str">
        <f>IF(A2627="","",'ATP Fills'!H2627)</f>
        <v/>
      </c>
      <c r="H2627" t="str">
        <f>IF(A2627="","",VLOOKUP(G2627,表3_3[],2,0))</f>
        <v/>
      </c>
      <c r="I2627" t="str">
        <f>IF(A2627="","",VLOOKUP(G2627,表3_3[],3,0))</f>
        <v/>
      </c>
      <c r="J2627" t="str">
        <f>IF(A2627="","",IF('ATP Fills'!I2627="3M","",VLOOKUP(RIGHT('ATP Fills'!I2627,2),Helper1!$O$36:$P$48,2,0)))</f>
        <v/>
      </c>
      <c r="K2627" t="str">
        <f>IF(J2627="","",LEFT('ATP Fills'!I2627,4))</f>
        <v/>
      </c>
      <c r="L2627" t="str">
        <f>IF(A2627="","",IF('ATP Fills'!G2627="LME",'ATP Fills'!I2627,""))</f>
        <v/>
      </c>
      <c r="M2627" t="str">
        <f t="shared" ref="M2627:M2690" si="41">IF(A2627="","",IF(F2627="LME",F2627&amp;"-"&amp;I2627&amp;"-"&amp;L2627,J2627&amp;"-"&amp;K2627&amp;"-"&amp;I2627))</f>
        <v/>
      </c>
    </row>
    <row r="2628" spans="1:13">
      <c r="A2628" t="str">
        <f>IF('ATP Fills'!A2628="","",IF('ATP Fills'!Q2628="PHILLIPSG",'ATP Fills'!F2628,""))</f>
        <v/>
      </c>
      <c r="B2628" t="str">
        <f>IF(A2628="","",'ATP Fills'!L2628)</f>
        <v/>
      </c>
      <c r="C2628" t="str">
        <f>IF(A2628="","",'ATP Fills'!M2628)</f>
        <v/>
      </c>
      <c r="D2628" t="str">
        <f>IF(A2628="","",'ATP Fills'!B2628)</f>
        <v/>
      </c>
      <c r="E2628" s="3" t="str">
        <f>IF(A2628="","",IF(DATE(LEFT(D2628,4),MID(D2628,5,2),RIGHT(D2628,2))=Helper1!$P$1,Helper1!$P$1,""))</f>
        <v/>
      </c>
      <c r="F2628" s="3" t="str">
        <f>IF(A2628="","",'ATP Fills'!G2628)</f>
        <v/>
      </c>
      <c r="G2628" t="str">
        <f>IF(A2628="","",'ATP Fills'!H2628)</f>
        <v/>
      </c>
      <c r="H2628" t="str">
        <f>IF(A2628="","",VLOOKUP(G2628,表3_3[],2,0))</f>
        <v/>
      </c>
      <c r="I2628" t="str">
        <f>IF(A2628="","",VLOOKUP(G2628,表3_3[],3,0))</f>
        <v/>
      </c>
      <c r="J2628" t="str">
        <f>IF(A2628="","",IF('ATP Fills'!I2628="3M","",VLOOKUP(RIGHT('ATP Fills'!I2628,2),Helper1!$O$36:$P$48,2,0)))</f>
        <v/>
      </c>
      <c r="K2628" t="str">
        <f>IF(J2628="","",LEFT('ATP Fills'!I2628,4))</f>
        <v/>
      </c>
      <c r="L2628" t="str">
        <f>IF(A2628="","",IF('ATP Fills'!G2628="LME",'ATP Fills'!I2628,""))</f>
        <v/>
      </c>
      <c r="M2628" t="str">
        <f t="shared" si="41"/>
        <v/>
      </c>
    </row>
    <row r="2629" spans="1:13">
      <c r="A2629" t="str">
        <f>IF('ATP Fills'!A2629="","",IF('ATP Fills'!Q2629="PHILLIPSG",'ATP Fills'!F2629,""))</f>
        <v/>
      </c>
      <c r="B2629" t="str">
        <f>IF(A2629="","",'ATP Fills'!L2629)</f>
        <v/>
      </c>
      <c r="C2629" t="str">
        <f>IF(A2629="","",'ATP Fills'!M2629)</f>
        <v/>
      </c>
      <c r="D2629" t="str">
        <f>IF(A2629="","",'ATP Fills'!B2629)</f>
        <v/>
      </c>
      <c r="E2629" s="3" t="str">
        <f>IF(A2629="","",IF(DATE(LEFT(D2629,4),MID(D2629,5,2),RIGHT(D2629,2))=Helper1!$P$1,Helper1!$P$1,""))</f>
        <v/>
      </c>
      <c r="F2629" s="3" t="str">
        <f>IF(A2629="","",'ATP Fills'!G2629)</f>
        <v/>
      </c>
      <c r="G2629" t="str">
        <f>IF(A2629="","",'ATP Fills'!H2629)</f>
        <v/>
      </c>
      <c r="H2629" t="str">
        <f>IF(A2629="","",VLOOKUP(G2629,表3_3[],2,0))</f>
        <v/>
      </c>
      <c r="I2629" t="str">
        <f>IF(A2629="","",VLOOKUP(G2629,表3_3[],3,0))</f>
        <v/>
      </c>
      <c r="J2629" t="str">
        <f>IF(A2629="","",IF('ATP Fills'!I2629="3M","",VLOOKUP(RIGHT('ATP Fills'!I2629,2),Helper1!$O$36:$P$48,2,0)))</f>
        <v/>
      </c>
      <c r="K2629" t="str">
        <f>IF(J2629="","",LEFT('ATP Fills'!I2629,4))</f>
        <v/>
      </c>
      <c r="L2629" t="str">
        <f>IF(A2629="","",IF('ATP Fills'!G2629="LME",'ATP Fills'!I2629,""))</f>
        <v/>
      </c>
      <c r="M2629" t="str">
        <f t="shared" si="41"/>
        <v/>
      </c>
    </row>
    <row r="2630" spans="1:13">
      <c r="A2630" t="str">
        <f>IF('ATP Fills'!A2630="","",IF('ATP Fills'!Q2630="PHILLIPSG",'ATP Fills'!F2630,""))</f>
        <v/>
      </c>
      <c r="B2630" t="str">
        <f>IF(A2630="","",'ATP Fills'!L2630)</f>
        <v/>
      </c>
      <c r="C2630" t="str">
        <f>IF(A2630="","",'ATP Fills'!M2630)</f>
        <v/>
      </c>
      <c r="D2630" t="str">
        <f>IF(A2630="","",'ATP Fills'!B2630)</f>
        <v/>
      </c>
      <c r="E2630" s="3" t="str">
        <f>IF(A2630="","",IF(DATE(LEFT(D2630,4),MID(D2630,5,2),RIGHT(D2630,2))=Helper1!$P$1,Helper1!$P$1,""))</f>
        <v/>
      </c>
      <c r="F2630" s="3" t="str">
        <f>IF(A2630="","",'ATP Fills'!G2630)</f>
        <v/>
      </c>
      <c r="G2630" t="str">
        <f>IF(A2630="","",'ATP Fills'!H2630)</f>
        <v/>
      </c>
      <c r="H2630" t="str">
        <f>IF(A2630="","",VLOOKUP(G2630,表3_3[],2,0))</f>
        <v/>
      </c>
      <c r="I2630" t="str">
        <f>IF(A2630="","",VLOOKUP(G2630,表3_3[],3,0))</f>
        <v/>
      </c>
      <c r="J2630" t="str">
        <f>IF(A2630="","",IF('ATP Fills'!I2630="3M","",VLOOKUP(RIGHT('ATP Fills'!I2630,2),Helper1!$O$36:$P$48,2,0)))</f>
        <v/>
      </c>
      <c r="K2630" t="str">
        <f>IF(J2630="","",LEFT('ATP Fills'!I2630,4))</f>
        <v/>
      </c>
      <c r="L2630" t="str">
        <f>IF(A2630="","",IF('ATP Fills'!G2630="LME",'ATP Fills'!I2630,""))</f>
        <v/>
      </c>
      <c r="M2630" t="str">
        <f t="shared" si="41"/>
        <v/>
      </c>
    </row>
    <row r="2631" spans="1:13">
      <c r="A2631" t="str">
        <f>IF('ATP Fills'!A2631="","",IF('ATP Fills'!Q2631="PHILLIPSG",'ATP Fills'!F2631,""))</f>
        <v/>
      </c>
      <c r="B2631" t="str">
        <f>IF(A2631="","",'ATP Fills'!L2631)</f>
        <v/>
      </c>
      <c r="C2631" t="str">
        <f>IF(A2631="","",'ATP Fills'!M2631)</f>
        <v/>
      </c>
      <c r="D2631" t="str">
        <f>IF(A2631="","",'ATP Fills'!B2631)</f>
        <v/>
      </c>
      <c r="E2631" s="3" t="str">
        <f>IF(A2631="","",IF(DATE(LEFT(D2631,4),MID(D2631,5,2),RIGHT(D2631,2))=Helper1!$P$1,Helper1!$P$1,""))</f>
        <v/>
      </c>
      <c r="F2631" s="3" t="str">
        <f>IF(A2631="","",'ATP Fills'!G2631)</f>
        <v/>
      </c>
      <c r="G2631" t="str">
        <f>IF(A2631="","",'ATP Fills'!H2631)</f>
        <v/>
      </c>
      <c r="H2631" t="str">
        <f>IF(A2631="","",VLOOKUP(G2631,表3_3[],2,0))</f>
        <v/>
      </c>
      <c r="I2631" t="str">
        <f>IF(A2631="","",VLOOKUP(G2631,表3_3[],3,0))</f>
        <v/>
      </c>
      <c r="J2631" t="str">
        <f>IF(A2631="","",IF('ATP Fills'!I2631="3M","",VLOOKUP(RIGHT('ATP Fills'!I2631,2),Helper1!$O$36:$P$48,2,0)))</f>
        <v/>
      </c>
      <c r="K2631" t="str">
        <f>IF(J2631="","",LEFT('ATP Fills'!I2631,4))</f>
        <v/>
      </c>
      <c r="L2631" t="str">
        <f>IF(A2631="","",IF('ATP Fills'!G2631="LME",'ATP Fills'!I2631,""))</f>
        <v/>
      </c>
      <c r="M2631" t="str">
        <f t="shared" si="41"/>
        <v/>
      </c>
    </row>
    <row r="2632" spans="1:13">
      <c r="A2632" t="str">
        <f>IF('ATP Fills'!A2632="","",IF('ATP Fills'!Q2632="PHILLIPSG",'ATP Fills'!F2632,""))</f>
        <v/>
      </c>
      <c r="B2632" t="str">
        <f>IF(A2632="","",'ATP Fills'!L2632)</f>
        <v/>
      </c>
      <c r="C2632" t="str">
        <f>IF(A2632="","",'ATP Fills'!M2632)</f>
        <v/>
      </c>
      <c r="D2632" t="str">
        <f>IF(A2632="","",'ATP Fills'!B2632)</f>
        <v/>
      </c>
      <c r="E2632" s="3" t="str">
        <f>IF(A2632="","",IF(DATE(LEFT(D2632,4),MID(D2632,5,2),RIGHT(D2632,2))=Helper1!$P$1,Helper1!$P$1,""))</f>
        <v/>
      </c>
      <c r="F2632" s="3" t="str">
        <f>IF(A2632="","",'ATP Fills'!G2632)</f>
        <v/>
      </c>
      <c r="G2632" t="str">
        <f>IF(A2632="","",'ATP Fills'!H2632)</f>
        <v/>
      </c>
      <c r="H2632" t="str">
        <f>IF(A2632="","",VLOOKUP(G2632,表3_3[],2,0))</f>
        <v/>
      </c>
      <c r="I2632" t="str">
        <f>IF(A2632="","",VLOOKUP(G2632,表3_3[],3,0))</f>
        <v/>
      </c>
      <c r="J2632" t="str">
        <f>IF(A2632="","",IF('ATP Fills'!I2632="3M","",VLOOKUP(RIGHT('ATP Fills'!I2632,2),Helper1!$O$36:$P$48,2,0)))</f>
        <v/>
      </c>
      <c r="K2632" t="str">
        <f>IF(J2632="","",LEFT('ATP Fills'!I2632,4))</f>
        <v/>
      </c>
      <c r="L2632" t="str">
        <f>IF(A2632="","",IF('ATP Fills'!G2632="LME",'ATP Fills'!I2632,""))</f>
        <v/>
      </c>
      <c r="M2632" t="str">
        <f t="shared" si="41"/>
        <v/>
      </c>
    </row>
    <row r="2633" spans="1:13">
      <c r="A2633" t="str">
        <f>IF('ATP Fills'!A2633="","",IF('ATP Fills'!Q2633="PHILLIPSG",'ATP Fills'!F2633,""))</f>
        <v/>
      </c>
      <c r="B2633" t="str">
        <f>IF(A2633="","",'ATP Fills'!L2633)</f>
        <v/>
      </c>
      <c r="C2633" t="str">
        <f>IF(A2633="","",'ATP Fills'!M2633)</f>
        <v/>
      </c>
      <c r="D2633" t="str">
        <f>IF(A2633="","",'ATP Fills'!B2633)</f>
        <v/>
      </c>
      <c r="E2633" s="3" t="str">
        <f>IF(A2633="","",IF(DATE(LEFT(D2633,4),MID(D2633,5,2),RIGHT(D2633,2))=Helper1!$P$1,Helper1!$P$1,""))</f>
        <v/>
      </c>
      <c r="F2633" s="3" t="str">
        <f>IF(A2633="","",'ATP Fills'!G2633)</f>
        <v/>
      </c>
      <c r="G2633" t="str">
        <f>IF(A2633="","",'ATP Fills'!H2633)</f>
        <v/>
      </c>
      <c r="H2633" t="str">
        <f>IF(A2633="","",VLOOKUP(G2633,表3_3[],2,0))</f>
        <v/>
      </c>
      <c r="I2633" t="str">
        <f>IF(A2633="","",VLOOKUP(G2633,表3_3[],3,0))</f>
        <v/>
      </c>
      <c r="J2633" t="str">
        <f>IF(A2633="","",IF('ATP Fills'!I2633="3M","",VLOOKUP(RIGHT('ATP Fills'!I2633,2),Helper1!$O$36:$P$48,2,0)))</f>
        <v/>
      </c>
      <c r="K2633" t="str">
        <f>IF(J2633="","",LEFT('ATP Fills'!I2633,4))</f>
        <v/>
      </c>
      <c r="L2633" t="str">
        <f>IF(A2633="","",IF('ATP Fills'!G2633="LME",'ATP Fills'!I2633,""))</f>
        <v/>
      </c>
      <c r="M2633" t="str">
        <f t="shared" si="41"/>
        <v/>
      </c>
    </row>
    <row r="2634" spans="1:13">
      <c r="A2634" t="str">
        <f>IF('ATP Fills'!A2634="","",IF('ATP Fills'!Q2634="PHILLIPSG",'ATP Fills'!F2634,""))</f>
        <v/>
      </c>
      <c r="B2634" t="str">
        <f>IF(A2634="","",'ATP Fills'!L2634)</f>
        <v/>
      </c>
      <c r="C2634" t="str">
        <f>IF(A2634="","",'ATP Fills'!M2634)</f>
        <v/>
      </c>
      <c r="D2634" t="str">
        <f>IF(A2634="","",'ATP Fills'!B2634)</f>
        <v/>
      </c>
      <c r="E2634" s="3" t="str">
        <f>IF(A2634="","",IF(DATE(LEFT(D2634,4),MID(D2634,5,2),RIGHT(D2634,2))=Helper1!$P$1,Helper1!$P$1,""))</f>
        <v/>
      </c>
      <c r="F2634" s="3" t="str">
        <f>IF(A2634="","",'ATP Fills'!G2634)</f>
        <v/>
      </c>
      <c r="G2634" t="str">
        <f>IF(A2634="","",'ATP Fills'!H2634)</f>
        <v/>
      </c>
      <c r="H2634" t="str">
        <f>IF(A2634="","",VLOOKUP(G2634,表3_3[],2,0))</f>
        <v/>
      </c>
      <c r="I2634" t="str">
        <f>IF(A2634="","",VLOOKUP(G2634,表3_3[],3,0))</f>
        <v/>
      </c>
      <c r="J2634" t="str">
        <f>IF(A2634="","",IF('ATP Fills'!I2634="3M","",VLOOKUP(RIGHT('ATP Fills'!I2634,2),Helper1!$O$36:$P$48,2,0)))</f>
        <v/>
      </c>
      <c r="K2634" t="str">
        <f>IF(J2634="","",LEFT('ATP Fills'!I2634,4))</f>
        <v/>
      </c>
      <c r="L2634" t="str">
        <f>IF(A2634="","",IF('ATP Fills'!G2634="LME",'ATP Fills'!I2634,""))</f>
        <v/>
      </c>
      <c r="M2634" t="str">
        <f t="shared" si="41"/>
        <v/>
      </c>
    </row>
    <row r="2635" spans="1:13">
      <c r="A2635" t="str">
        <f>IF('ATP Fills'!A2635="","",IF('ATP Fills'!Q2635="PHILLIPSG",'ATP Fills'!F2635,""))</f>
        <v/>
      </c>
      <c r="B2635" t="str">
        <f>IF(A2635="","",'ATP Fills'!L2635)</f>
        <v/>
      </c>
      <c r="C2635" t="str">
        <f>IF(A2635="","",'ATP Fills'!M2635)</f>
        <v/>
      </c>
      <c r="D2635" t="str">
        <f>IF(A2635="","",'ATP Fills'!B2635)</f>
        <v/>
      </c>
      <c r="E2635" s="3" t="str">
        <f>IF(A2635="","",IF(DATE(LEFT(D2635,4),MID(D2635,5,2),RIGHT(D2635,2))=Helper1!$P$1,Helper1!$P$1,""))</f>
        <v/>
      </c>
      <c r="F2635" s="3" t="str">
        <f>IF(A2635="","",'ATP Fills'!G2635)</f>
        <v/>
      </c>
      <c r="G2635" t="str">
        <f>IF(A2635="","",'ATP Fills'!H2635)</f>
        <v/>
      </c>
      <c r="H2635" t="str">
        <f>IF(A2635="","",VLOOKUP(G2635,表3_3[],2,0))</f>
        <v/>
      </c>
      <c r="I2635" t="str">
        <f>IF(A2635="","",VLOOKUP(G2635,表3_3[],3,0))</f>
        <v/>
      </c>
      <c r="J2635" t="str">
        <f>IF(A2635="","",IF('ATP Fills'!I2635="3M","",VLOOKUP(RIGHT('ATP Fills'!I2635,2),Helper1!$O$36:$P$48,2,0)))</f>
        <v/>
      </c>
      <c r="K2635" t="str">
        <f>IF(J2635="","",LEFT('ATP Fills'!I2635,4))</f>
        <v/>
      </c>
      <c r="L2635" t="str">
        <f>IF(A2635="","",IF('ATP Fills'!G2635="LME",'ATP Fills'!I2635,""))</f>
        <v/>
      </c>
      <c r="M2635" t="str">
        <f t="shared" si="41"/>
        <v/>
      </c>
    </row>
    <row r="2636" spans="1:13">
      <c r="A2636" t="str">
        <f>IF('ATP Fills'!A2636="","",IF('ATP Fills'!Q2636="PHILLIPSG",'ATP Fills'!F2636,""))</f>
        <v/>
      </c>
      <c r="B2636" t="str">
        <f>IF(A2636="","",'ATP Fills'!L2636)</f>
        <v/>
      </c>
      <c r="C2636" t="str">
        <f>IF(A2636="","",'ATP Fills'!M2636)</f>
        <v/>
      </c>
      <c r="D2636" t="str">
        <f>IF(A2636="","",'ATP Fills'!B2636)</f>
        <v/>
      </c>
      <c r="E2636" s="3" t="str">
        <f>IF(A2636="","",IF(DATE(LEFT(D2636,4),MID(D2636,5,2),RIGHT(D2636,2))=Helper1!$P$1,Helper1!$P$1,""))</f>
        <v/>
      </c>
      <c r="F2636" s="3" t="str">
        <f>IF(A2636="","",'ATP Fills'!G2636)</f>
        <v/>
      </c>
      <c r="G2636" t="str">
        <f>IF(A2636="","",'ATP Fills'!H2636)</f>
        <v/>
      </c>
      <c r="H2636" t="str">
        <f>IF(A2636="","",VLOOKUP(G2636,表3_3[],2,0))</f>
        <v/>
      </c>
      <c r="I2636" t="str">
        <f>IF(A2636="","",VLOOKUP(G2636,表3_3[],3,0))</f>
        <v/>
      </c>
      <c r="J2636" t="str">
        <f>IF(A2636="","",IF('ATP Fills'!I2636="3M","",VLOOKUP(RIGHT('ATP Fills'!I2636,2),Helper1!$O$36:$P$48,2,0)))</f>
        <v/>
      </c>
      <c r="K2636" t="str">
        <f>IF(J2636="","",LEFT('ATP Fills'!I2636,4))</f>
        <v/>
      </c>
      <c r="L2636" t="str">
        <f>IF(A2636="","",IF('ATP Fills'!G2636="LME",'ATP Fills'!I2636,""))</f>
        <v/>
      </c>
      <c r="M2636" t="str">
        <f t="shared" si="41"/>
        <v/>
      </c>
    </row>
    <row r="2637" spans="1:13">
      <c r="A2637" t="str">
        <f>IF('ATP Fills'!A2637="","",IF('ATP Fills'!Q2637="PHILLIPSG",'ATP Fills'!F2637,""))</f>
        <v/>
      </c>
      <c r="B2637" t="str">
        <f>IF(A2637="","",'ATP Fills'!L2637)</f>
        <v/>
      </c>
      <c r="C2637" t="str">
        <f>IF(A2637="","",'ATP Fills'!M2637)</f>
        <v/>
      </c>
      <c r="D2637" t="str">
        <f>IF(A2637="","",'ATP Fills'!B2637)</f>
        <v/>
      </c>
      <c r="E2637" s="3" t="str">
        <f>IF(A2637="","",IF(DATE(LEFT(D2637,4),MID(D2637,5,2),RIGHT(D2637,2))=Helper1!$P$1,Helper1!$P$1,""))</f>
        <v/>
      </c>
      <c r="F2637" s="3" t="str">
        <f>IF(A2637="","",'ATP Fills'!G2637)</f>
        <v/>
      </c>
      <c r="G2637" t="str">
        <f>IF(A2637="","",'ATP Fills'!H2637)</f>
        <v/>
      </c>
      <c r="H2637" t="str">
        <f>IF(A2637="","",VLOOKUP(G2637,表3_3[],2,0))</f>
        <v/>
      </c>
      <c r="I2637" t="str">
        <f>IF(A2637="","",VLOOKUP(G2637,表3_3[],3,0))</f>
        <v/>
      </c>
      <c r="J2637" t="str">
        <f>IF(A2637="","",IF('ATP Fills'!I2637="3M","",VLOOKUP(RIGHT('ATP Fills'!I2637,2),Helper1!$O$36:$P$48,2,0)))</f>
        <v/>
      </c>
      <c r="K2637" t="str">
        <f>IF(J2637="","",LEFT('ATP Fills'!I2637,4))</f>
        <v/>
      </c>
      <c r="L2637" t="str">
        <f>IF(A2637="","",IF('ATP Fills'!G2637="LME",'ATP Fills'!I2637,""))</f>
        <v/>
      </c>
      <c r="M2637" t="str">
        <f t="shared" si="41"/>
        <v/>
      </c>
    </row>
    <row r="2638" spans="1:13">
      <c r="A2638" t="str">
        <f>IF('ATP Fills'!A2638="","",IF('ATP Fills'!Q2638="PHILLIPSG",'ATP Fills'!F2638,""))</f>
        <v/>
      </c>
      <c r="B2638" t="str">
        <f>IF(A2638="","",'ATP Fills'!L2638)</f>
        <v/>
      </c>
      <c r="C2638" t="str">
        <f>IF(A2638="","",'ATP Fills'!M2638)</f>
        <v/>
      </c>
      <c r="D2638" t="str">
        <f>IF(A2638="","",'ATP Fills'!B2638)</f>
        <v/>
      </c>
      <c r="E2638" s="3" t="str">
        <f>IF(A2638="","",IF(DATE(LEFT(D2638,4),MID(D2638,5,2),RIGHT(D2638,2))=Helper1!$P$1,Helper1!$P$1,""))</f>
        <v/>
      </c>
      <c r="F2638" s="3" t="str">
        <f>IF(A2638="","",'ATP Fills'!G2638)</f>
        <v/>
      </c>
      <c r="G2638" t="str">
        <f>IF(A2638="","",'ATP Fills'!H2638)</f>
        <v/>
      </c>
      <c r="H2638" t="str">
        <f>IF(A2638="","",VLOOKUP(G2638,表3_3[],2,0))</f>
        <v/>
      </c>
      <c r="I2638" t="str">
        <f>IF(A2638="","",VLOOKUP(G2638,表3_3[],3,0))</f>
        <v/>
      </c>
      <c r="J2638" t="str">
        <f>IF(A2638="","",IF('ATP Fills'!I2638="3M","",VLOOKUP(RIGHT('ATP Fills'!I2638,2),Helper1!$O$36:$P$48,2,0)))</f>
        <v/>
      </c>
      <c r="K2638" t="str">
        <f>IF(J2638="","",LEFT('ATP Fills'!I2638,4))</f>
        <v/>
      </c>
      <c r="L2638" t="str">
        <f>IF(A2638="","",IF('ATP Fills'!G2638="LME",'ATP Fills'!I2638,""))</f>
        <v/>
      </c>
      <c r="M2638" t="str">
        <f t="shared" si="41"/>
        <v/>
      </c>
    </row>
    <row r="2639" spans="1:13">
      <c r="A2639" t="str">
        <f>IF('ATP Fills'!A2639="","",IF('ATP Fills'!Q2639="PHILLIPSG",'ATP Fills'!F2639,""))</f>
        <v/>
      </c>
      <c r="B2639" t="str">
        <f>IF(A2639="","",'ATP Fills'!L2639)</f>
        <v/>
      </c>
      <c r="C2639" t="str">
        <f>IF(A2639="","",'ATP Fills'!M2639)</f>
        <v/>
      </c>
      <c r="D2639" t="str">
        <f>IF(A2639="","",'ATP Fills'!B2639)</f>
        <v/>
      </c>
      <c r="E2639" s="3" t="str">
        <f>IF(A2639="","",IF(DATE(LEFT(D2639,4),MID(D2639,5,2),RIGHT(D2639,2))=Helper1!$P$1,Helper1!$P$1,""))</f>
        <v/>
      </c>
      <c r="F2639" s="3" t="str">
        <f>IF(A2639="","",'ATP Fills'!G2639)</f>
        <v/>
      </c>
      <c r="G2639" t="str">
        <f>IF(A2639="","",'ATP Fills'!H2639)</f>
        <v/>
      </c>
      <c r="H2639" t="str">
        <f>IF(A2639="","",VLOOKUP(G2639,表3_3[],2,0))</f>
        <v/>
      </c>
      <c r="I2639" t="str">
        <f>IF(A2639="","",VLOOKUP(G2639,表3_3[],3,0))</f>
        <v/>
      </c>
      <c r="J2639" t="str">
        <f>IF(A2639="","",IF('ATP Fills'!I2639="3M","",VLOOKUP(RIGHT('ATP Fills'!I2639,2),Helper1!$O$36:$P$48,2,0)))</f>
        <v/>
      </c>
      <c r="K2639" t="str">
        <f>IF(J2639="","",LEFT('ATP Fills'!I2639,4))</f>
        <v/>
      </c>
      <c r="L2639" t="str">
        <f>IF(A2639="","",IF('ATP Fills'!G2639="LME",'ATP Fills'!I2639,""))</f>
        <v/>
      </c>
      <c r="M2639" t="str">
        <f t="shared" si="41"/>
        <v/>
      </c>
    </row>
    <row r="2640" spans="1:13">
      <c r="A2640" t="str">
        <f>IF('ATP Fills'!A2640="","",IF('ATP Fills'!Q2640="PHILLIPSG",'ATP Fills'!F2640,""))</f>
        <v/>
      </c>
      <c r="B2640" t="str">
        <f>IF(A2640="","",'ATP Fills'!L2640)</f>
        <v/>
      </c>
      <c r="C2640" t="str">
        <f>IF(A2640="","",'ATP Fills'!M2640)</f>
        <v/>
      </c>
      <c r="D2640" t="str">
        <f>IF(A2640="","",'ATP Fills'!B2640)</f>
        <v/>
      </c>
      <c r="E2640" s="3" t="str">
        <f>IF(A2640="","",IF(DATE(LEFT(D2640,4),MID(D2640,5,2),RIGHT(D2640,2))=Helper1!$P$1,Helper1!$P$1,""))</f>
        <v/>
      </c>
      <c r="F2640" s="3" t="str">
        <f>IF(A2640="","",'ATP Fills'!G2640)</f>
        <v/>
      </c>
      <c r="G2640" t="str">
        <f>IF(A2640="","",'ATP Fills'!H2640)</f>
        <v/>
      </c>
      <c r="H2640" t="str">
        <f>IF(A2640="","",VLOOKUP(G2640,表3_3[],2,0))</f>
        <v/>
      </c>
      <c r="I2640" t="str">
        <f>IF(A2640="","",VLOOKUP(G2640,表3_3[],3,0))</f>
        <v/>
      </c>
      <c r="J2640" t="str">
        <f>IF(A2640="","",IF('ATP Fills'!I2640="3M","",VLOOKUP(RIGHT('ATP Fills'!I2640,2),Helper1!$O$36:$P$48,2,0)))</f>
        <v/>
      </c>
      <c r="K2640" t="str">
        <f>IF(J2640="","",LEFT('ATP Fills'!I2640,4))</f>
        <v/>
      </c>
      <c r="L2640" t="str">
        <f>IF(A2640="","",IF('ATP Fills'!G2640="LME",'ATP Fills'!I2640,""))</f>
        <v/>
      </c>
      <c r="M2640" t="str">
        <f t="shared" si="41"/>
        <v/>
      </c>
    </row>
    <row r="2641" spans="1:13">
      <c r="A2641" t="str">
        <f>IF('ATP Fills'!A2641="","",IF('ATP Fills'!Q2641="PHILLIPSG",'ATP Fills'!F2641,""))</f>
        <v/>
      </c>
      <c r="B2641" t="str">
        <f>IF(A2641="","",'ATP Fills'!L2641)</f>
        <v/>
      </c>
      <c r="C2641" t="str">
        <f>IF(A2641="","",'ATP Fills'!M2641)</f>
        <v/>
      </c>
      <c r="D2641" t="str">
        <f>IF(A2641="","",'ATP Fills'!B2641)</f>
        <v/>
      </c>
      <c r="E2641" s="3" t="str">
        <f>IF(A2641="","",IF(DATE(LEFT(D2641,4),MID(D2641,5,2),RIGHT(D2641,2))=Helper1!$P$1,Helper1!$P$1,""))</f>
        <v/>
      </c>
      <c r="F2641" s="3" t="str">
        <f>IF(A2641="","",'ATP Fills'!G2641)</f>
        <v/>
      </c>
      <c r="G2641" t="str">
        <f>IF(A2641="","",'ATP Fills'!H2641)</f>
        <v/>
      </c>
      <c r="H2641" t="str">
        <f>IF(A2641="","",VLOOKUP(G2641,表3_3[],2,0))</f>
        <v/>
      </c>
      <c r="I2641" t="str">
        <f>IF(A2641="","",VLOOKUP(G2641,表3_3[],3,0))</f>
        <v/>
      </c>
      <c r="J2641" t="str">
        <f>IF(A2641="","",IF('ATP Fills'!I2641="3M","",VLOOKUP(RIGHT('ATP Fills'!I2641,2),Helper1!$O$36:$P$48,2,0)))</f>
        <v/>
      </c>
      <c r="K2641" t="str">
        <f>IF(J2641="","",LEFT('ATP Fills'!I2641,4))</f>
        <v/>
      </c>
      <c r="L2641" t="str">
        <f>IF(A2641="","",IF('ATP Fills'!G2641="LME",'ATP Fills'!I2641,""))</f>
        <v/>
      </c>
      <c r="M2641" t="str">
        <f t="shared" si="41"/>
        <v/>
      </c>
    </row>
    <row r="2642" spans="1:13">
      <c r="A2642" t="str">
        <f>IF('ATP Fills'!A2642="","",IF('ATP Fills'!Q2642="PHILLIPSG",'ATP Fills'!F2642,""))</f>
        <v/>
      </c>
      <c r="B2642" t="str">
        <f>IF(A2642="","",'ATP Fills'!L2642)</f>
        <v/>
      </c>
      <c r="C2642" t="str">
        <f>IF(A2642="","",'ATP Fills'!M2642)</f>
        <v/>
      </c>
      <c r="D2642" t="str">
        <f>IF(A2642="","",'ATP Fills'!B2642)</f>
        <v/>
      </c>
      <c r="E2642" s="3" t="str">
        <f>IF(A2642="","",IF(DATE(LEFT(D2642,4),MID(D2642,5,2),RIGHT(D2642,2))=Helper1!$P$1,Helper1!$P$1,""))</f>
        <v/>
      </c>
      <c r="F2642" s="3" t="str">
        <f>IF(A2642="","",'ATP Fills'!G2642)</f>
        <v/>
      </c>
      <c r="G2642" t="str">
        <f>IF(A2642="","",'ATP Fills'!H2642)</f>
        <v/>
      </c>
      <c r="H2642" t="str">
        <f>IF(A2642="","",VLOOKUP(G2642,表3_3[],2,0))</f>
        <v/>
      </c>
      <c r="I2642" t="str">
        <f>IF(A2642="","",VLOOKUP(G2642,表3_3[],3,0))</f>
        <v/>
      </c>
      <c r="J2642" t="str">
        <f>IF(A2642="","",IF('ATP Fills'!I2642="3M","",VLOOKUP(RIGHT('ATP Fills'!I2642,2),Helper1!$O$36:$P$48,2,0)))</f>
        <v/>
      </c>
      <c r="K2642" t="str">
        <f>IF(J2642="","",LEFT('ATP Fills'!I2642,4))</f>
        <v/>
      </c>
      <c r="L2642" t="str">
        <f>IF(A2642="","",IF('ATP Fills'!G2642="LME",'ATP Fills'!I2642,""))</f>
        <v/>
      </c>
      <c r="M2642" t="str">
        <f t="shared" si="41"/>
        <v/>
      </c>
    </row>
    <row r="2643" spans="1:13">
      <c r="A2643" t="str">
        <f>IF('ATP Fills'!A2643="","",IF('ATP Fills'!Q2643="PHILLIPSG",'ATP Fills'!F2643,""))</f>
        <v/>
      </c>
      <c r="B2643" t="str">
        <f>IF(A2643="","",'ATP Fills'!L2643)</f>
        <v/>
      </c>
      <c r="C2643" t="str">
        <f>IF(A2643="","",'ATP Fills'!M2643)</f>
        <v/>
      </c>
      <c r="D2643" t="str">
        <f>IF(A2643="","",'ATP Fills'!B2643)</f>
        <v/>
      </c>
      <c r="E2643" s="3" t="str">
        <f>IF(A2643="","",IF(DATE(LEFT(D2643,4),MID(D2643,5,2),RIGHT(D2643,2))=Helper1!$P$1,Helper1!$P$1,""))</f>
        <v/>
      </c>
      <c r="F2643" s="3" t="str">
        <f>IF(A2643="","",'ATP Fills'!G2643)</f>
        <v/>
      </c>
      <c r="G2643" t="str">
        <f>IF(A2643="","",'ATP Fills'!H2643)</f>
        <v/>
      </c>
      <c r="H2643" t="str">
        <f>IF(A2643="","",VLOOKUP(G2643,表3_3[],2,0))</f>
        <v/>
      </c>
      <c r="I2643" t="str">
        <f>IF(A2643="","",VLOOKUP(G2643,表3_3[],3,0))</f>
        <v/>
      </c>
      <c r="J2643" t="str">
        <f>IF(A2643="","",IF('ATP Fills'!I2643="3M","",VLOOKUP(RIGHT('ATP Fills'!I2643,2),Helper1!$O$36:$P$48,2,0)))</f>
        <v/>
      </c>
      <c r="K2643" t="str">
        <f>IF(J2643="","",LEFT('ATP Fills'!I2643,4))</f>
        <v/>
      </c>
      <c r="L2643" t="str">
        <f>IF(A2643="","",IF('ATP Fills'!G2643="LME",'ATP Fills'!I2643,""))</f>
        <v/>
      </c>
      <c r="M2643" t="str">
        <f t="shared" si="41"/>
        <v/>
      </c>
    </row>
    <row r="2644" spans="1:13">
      <c r="A2644" t="str">
        <f>IF('ATP Fills'!A2644="","",IF('ATP Fills'!Q2644="PHILLIPSG",'ATP Fills'!F2644,""))</f>
        <v/>
      </c>
      <c r="B2644" t="str">
        <f>IF(A2644="","",'ATP Fills'!L2644)</f>
        <v/>
      </c>
      <c r="C2644" t="str">
        <f>IF(A2644="","",'ATP Fills'!M2644)</f>
        <v/>
      </c>
      <c r="D2644" t="str">
        <f>IF(A2644="","",'ATP Fills'!B2644)</f>
        <v/>
      </c>
      <c r="E2644" s="3" t="str">
        <f>IF(A2644="","",IF(DATE(LEFT(D2644,4),MID(D2644,5,2),RIGHT(D2644,2))=Helper1!$P$1,Helper1!$P$1,""))</f>
        <v/>
      </c>
      <c r="F2644" s="3" t="str">
        <f>IF(A2644="","",'ATP Fills'!G2644)</f>
        <v/>
      </c>
      <c r="G2644" t="str">
        <f>IF(A2644="","",'ATP Fills'!H2644)</f>
        <v/>
      </c>
      <c r="H2644" t="str">
        <f>IF(A2644="","",VLOOKUP(G2644,表3_3[],2,0))</f>
        <v/>
      </c>
      <c r="I2644" t="str">
        <f>IF(A2644="","",VLOOKUP(G2644,表3_3[],3,0))</f>
        <v/>
      </c>
      <c r="J2644" t="str">
        <f>IF(A2644="","",IF('ATP Fills'!I2644="3M","",VLOOKUP(RIGHT('ATP Fills'!I2644,2),Helper1!$O$36:$P$48,2,0)))</f>
        <v/>
      </c>
      <c r="K2644" t="str">
        <f>IF(J2644="","",LEFT('ATP Fills'!I2644,4))</f>
        <v/>
      </c>
      <c r="L2644" t="str">
        <f>IF(A2644="","",IF('ATP Fills'!G2644="LME",'ATP Fills'!I2644,""))</f>
        <v/>
      </c>
      <c r="M2644" t="str">
        <f t="shared" si="41"/>
        <v/>
      </c>
    </row>
    <row r="2645" spans="1:13">
      <c r="A2645" t="str">
        <f>IF('ATP Fills'!A2645="","",IF('ATP Fills'!Q2645="PHILLIPSG",'ATP Fills'!F2645,""))</f>
        <v/>
      </c>
      <c r="B2645" t="str">
        <f>IF(A2645="","",'ATP Fills'!L2645)</f>
        <v/>
      </c>
      <c r="C2645" t="str">
        <f>IF(A2645="","",'ATP Fills'!M2645)</f>
        <v/>
      </c>
      <c r="D2645" t="str">
        <f>IF(A2645="","",'ATP Fills'!B2645)</f>
        <v/>
      </c>
      <c r="E2645" s="3" t="str">
        <f>IF(A2645="","",IF(DATE(LEFT(D2645,4),MID(D2645,5,2),RIGHT(D2645,2))=Helper1!$P$1,Helper1!$P$1,""))</f>
        <v/>
      </c>
      <c r="F2645" s="3" t="str">
        <f>IF(A2645="","",'ATP Fills'!G2645)</f>
        <v/>
      </c>
      <c r="G2645" t="str">
        <f>IF(A2645="","",'ATP Fills'!H2645)</f>
        <v/>
      </c>
      <c r="H2645" t="str">
        <f>IF(A2645="","",VLOOKUP(G2645,表3_3[],2,0))</f>
        <v/>
      </c>
      <c r="I2645" t="str">
        <f>IF(A2645="","",VLOOKUP(G2645,表3_3[],3,0))</f>
        <v/>
      </c>
      <c r="J2645" t="str">
        <f>IF(A2645="","",IF('ATP Fills'!I2645="3M","",VLOOKUP(RIGHT('ATP Fills'!I2645,2),Helper1!$O$36:$P$48,2,0)))</f>
        <v/>
      </c>
      <c r="K2645" t="str">
        <f>IF(J2645="","",LEFT('ATP Fills'!I2645,4))</f>
        <v/>
      </c>
      <c r="L2645" t="str">
        <f>IF(A2645="","",IF('ATP Fills'!G2645="LME",'ATP Fills'!I2645,""))</f>
        <v/>
      </c>
      <c r="M2645" t="str">
        <f t="shared" si="41"/>
        <v/>
      </c>
    </row>
    <row r="2646" spans="1:13">
      <c r="A2646" t="str">
        <f>IF('ATP Fills'!A2646="","",IF('ATP Fills'!Q2646="PHILLIPSG",'ATP Fills'!F2646,""))</f>
        <v/>
      </c>
      <c r="B2646" t="str">
        <f>IF(A2646="","",'ATP Fills'!L2646)</f>
        <v/>
      </c>
      <c r="C2646" t="str">
        <f>IF(A2646="","",'ATP Fills'!M2646)</f>
        <v/>
      </c>
      <c r="D2646" t="str">
        <f>IF(A2646="","",'ATP Fills'!B2646)</f>
        <v/>
      </c>
      <c r="E2646" s="3" t="str">
        <f>IF(A2646="","",IF(DATE(LEFT(D2646,4),MID(D2646,5,2),RIGHT(D2646,2))=Helper1!$P$1,Helper1!$P$1,""))</f>
        <v/>
      </c>
      <c r="F2646" s="3" t="str">
        <f>IF(A2646="","",'ATP Fills'!G2646)</f>
        <v/>
      </c>
      <c r="G2646" t="str">
        <f>IF(A2646="","",'ATP Fills'!H2646)</f>
        <v/>
      </c>
      <c r="H2646" t="str">
        <f>IF(A2646="","",VLOOKUP(G2646,表3_3[],2,0))</f>
        <v/>
      </c>
      <c r="I2646" t="str">
        <f>IF(A2646="","",VLOOKUP(G2646,表3_3[],3,0))</f>
        <v/>
      </c>
      <c r="J2646" t="str">
        <f>IF(A2646="","",IF('ATP Fills'!I2646="3M","",VLOOKUP(RIGHT('ATP Fills'!I2646,2),Helper1!$O$36:$P$48,2,0)))</f>
        <v/>
      </c>
      <c r="K2646" t="str">
        <f>IF(J2646="","",LEFT('ATP Fills'!I2646,4))</f>
        <v/>
      </c>
      <c r="L2646" t="str">
        <f>IF(A2646="","",IF('ATP Fills'!G2646="LME",'ATP Fills'!I2646,""))</f>
        <v/>
      </c>
      <c r="M2646" t="str">
        <f t="shared" si="41"/>
        <v/>
      </c>
    </row>
    <row r="2647" spans="1:13">
      <c r="A2647" t="str">
        <f>IF('ATP Fills'!A2647="","",IF('ATP Fills'!Q2647="PHILLIPSG",'ATP Fills'!F2647,""))</f>
        <v/>
      </c>
      <c r="B2647" t="str">
        <f>IF(A2647="","",'ATP Fills'!L2647)</f>
        <v/>
      </c>
      <c r="C2647" t="str">
        <f>IF(A2647="","",'ATP Fills'!M2647)</f>
        <v/>
      </c>
      <c r="D2647" t="str">
        <f>IF(A2647="","",'ATP Fills'!B2647)</f>
        <v/>
      </c>
      <c r="E2647" s="3" t="str">
        <f>IF(A2647="","",IF(DATE(LEFT(D2647,4),MID(D2647,5,2),RIGHT(D2647,2))=Helper1!$P$1,Helper1!$P$1,""))</f>
        <v/>
      </c>
      <c r="F2647" s="3" t="str">
        <f>IF(A2647="","",'ATP Fills'!G2647)</f>
        <v/>
      </c>
      <c r="G2647" t="str">
        <f>IF(A2647="","",'ATP Fills'!H2647)</f>
        <v/>
      </c>
      <c r="H2647" t="str">
        <f>IF(A2647="","",VLOOKUP(G2647,表3_3[],2,0))</f>
        <v/>
      </c>
      <c r="I2647" t="str">
        <f>IF(A2647="","",VLOOKUP(G2647,表3_3[],3,0))</f>
        <v/>
      </c>
      <c r="J2647" t="str">
        <f>IF(A2647="","",IF('ATP Fills'!I2647="3M","",VLOOKUP(RIGHT('ATP Fills'!I2647,2),Helper1!$O$36:$P$48,2,0)))</f>
        <v/>
      </c>
      <c r="K2647" t="str">
        <f>IF(J2647="","",LEFT('ATP Fills'!I2647,4))</f>
        <v/>
      </c>
      <c r="L2647" t="str">
        <f>IF(A2647="","",IF('ATP Fills'!G2647="LME",'ATP Fills'!I2647,""))</f>
        <v/>
      </c>
      <c r="M2647" t="str">
        <f t="shared" si="41"/>
        <v/>
      </c>
    </row>
    <row r="2648" spans="1:13">
      <c r="A2648" t="str">
        <f>IF('ATP Fills'!A2648="","",IF('ATP Fills'!Q2648="PHILLIPSG",'ATP Fills'!F2648,""))</f>
        <v/>
      </c>
      <c r="B2648" t="str">
        <f>IF(A2648="","",'ATP Fills'!L2648)</f>
        <v/>
      </c>
      <c r="C2648" t="str">
        <f>IF(A2648="","",'ATP Fills'!M2648)</f>
        <v/>
      </c>
      <c r="D2648" t="str">
        <f>IF(A2648="","",'ATP Fills'!B2648)</f>
        <v/>
      </c>
      <c r="E2648" s="3" t="str">
        <f>IF(A2648="","",IF(DATE(LEFT(D2648,4),MID(D2648,5,2),RIGHT(D2648,2))=Helper1!$P$1,Helper1!$P$1,""))</f>
        <v/>
      </c>
      <c r="F2648" s="3" t="str">
        <f>IF(A2648="","",'ATP Fills'!G2648)</f>
        <v/>
      </c>
      <c r="G2648" t="str">
        <f>IF(A2648="","",'ATP Fills'!H2648)</f>
        <v/>
      </c>
      <c r="H2648" t="str">
        <f>IF(A2648="","",VLOOKUP(G2648,表3_3[],2,0))</f>
        <v/>
      </c>
      <c r="I2648" t="str">
        <f>IF(A2648="","",VLOOKUP(G2648,表3_3[],3,0))</f>
        <v/>
      </c>
      <c r="J2648" t="str">
        <f>IF(A2648="","",IF('ATP Fills'!I2648="3M","",VLOOKUP(RIGHT('ATP Fills'!I2648,2),Helper1!$O$36:$P$48,2,0)))</f>
        <v/>
      </c>
      <c r="K2648" t="str">
        <f>IF(J2648="","",LEFT('ATP Fills'!I2648,4))</f>
        <v/>
      </c>
      <c r="L2648" t="str">
        <f>IF(A2648="","",IF('ATP Fills'!G2648="LME",'ATP Fills'!I2648,""))</f>
        <v/>
      </c>
      <c r="M2648" t="str">
        <f t="shared" si="41"/>
        <v/>
      </c>
    </row>
    <row r="2649" spans="1:13">
      <c r="A2649" t="str">
        <f>IF('ATP Fills'!A2649="","",IF('ATP Fills'!Q2649="PHILLIPSG",'ATP Fills'!F2649,""))</f>
        <v/>
      </c>
      <c r="B2649" t="str">
        <f>IF(A2649="","",'ATP Fills'!L2649)</f>
        <v/>
      </c>
      <c r="C2649" t="str">
        <f>IF(A2649="","",'ATP Fills'!M2649)</f>
        <v/>
      </c>
      <c r="D2649" t="str">
        <f>IF(A2649="","",'ATP Fills'!B2649)</f>
        <v/>
      </c>
      <c r="E2649" s="3" t="str">
        <f>IF(A2649="","",IF(DATE(LEFT(D2649,4),MID(D2649,5,2),RIGHT(D2649,2))=Helper1!$P$1,Helper1!$P$1,""))</f>
        <v/>
      </c>
      <c r="F2649" s="3" t="str">
        <f>IF(A2649="","",'ATP Fills'!G2649)</f>
        <v/>
      </c>
      <c r="G2649" t="str">
        <f>IF(A2649="","",'ATP Fills'!H2649)</f>
        <v/>
      </c>
      <c r="H2649" t="str">
        <f>IF(A2649="","",VLOOKUP(G2649,表3_3[],2,0))</f>
        <v/>
      </c>
      <c r="I2649" t="str">
        <f>IF(A2649="","",VLOOKUP(G2649,表3_3[],3,0))</f>
        <v/>
      </c>
      <c r="J2649" t="str">
        <f>IF(A2649="","",IF('ATP Fills'!I2649="3M","",VLOOKUP(RIGHT('ATP Fills'!I2649,2),Helper1!$O$36:$P$48,2,0)))</f>
        <v/>
      </c>
      <c r="K2649" t="str">
        <f>IF(J2649="","",LEFT('ATP Fills'!I2649,4))</f>
        <v/>
      </c>
      <c r="L2649" t="str">
        <f>IF(A2649="","",IF('ATP Fills'!G2649="LME",'ATP Fills'!I2649,""))</f>
        <v/>
      </c>
      <c r="M2649" t="str">
        <f t="shared" si="41"/>
        <v/>
      </c>
    </row>
    <row r="2650" spans="1:13">
      <c r="A2650" t="str">
        <f>IF('ATP Fills'!A2650="","",IF('ATP Fills'!Q2650="PHILLIPSG",'ATP Fills'!F2650,""))</f>
        <v/>
      </c>
      <c r="B2650" t="str">
        <f>IF(A2650="","",'ATP Fills'!L2650)</f>
        <v/>
      </c>
      <c r="C2650" t="str">
        <f>IF(A2650="","",'ATP Fills'!M2650)</f>
        <v/>
      </c>
      <c r="D2650" t="str">
        <f>IF(A2650="","",'ATP Fills'!B2650)</f>
        <v/>
      </c>
      <c r="E2650" s="3" t="str">
        <f>IF(A2650="","",IF(DATE(LEFT(D2650,4),MID(D2650,5,2),RIGHT(D2650,2))=Helper1!$P$1,Helper1!$P$1,""))</f>
        <v/>
      </c>
      <c r="F2650" s="3" t="str">
        <f>IF(A2650="","",'ATP Fills'!G2650)</f>
        <v/>
      </c>
      <c r="G2650" t="str">
        <f>IF(A2650="","",'ATP Fills'!H2650)</f>
        <v/>
      </c>
      <c r="H2650" t="str">
        <f>IF(A2650="","",VLOOKUP(G2650,表3_3[],2,0))</f>
        <v/>
      </c>
      <c r="I2650" t="str">
        <f>IF(A2650="","",VLOOKUP(G2650,表3_3[],3,0))</f>
        <v/>
      </c>
      <c r="J2650" t="str">
        <f>IF(A2650="","",IF('ATP Fills'!I2650="3M","",VLOOKUP(RIGHT('ATP Fills'!I2650,2),Helper1!$O$36:$P$48,2,0)))</f>
        <v/>
      </c>
      <c r="K2650" t="str">
        <f>IF(J2650="","",LEFT('ATP Fills'!I2650,4))</f>
        <v/>
      </c>
      <c r="L2650" t="str">
        <f>IF(A2650="","",IF('ATP Fills'!G2650="LME",'ATP Fills'!I2650,""))</f>
        <v/>
      </c>
      <c r="M2650" t="str">
        <f t="shared" si="41"/>
        <v/>
      </c>
    </row>
    <row r="2651" spans="1:13">
      <c r="A2651" t="str">
        <f>IF('ATP Fills'!A2651="","",IF('ATP Fills'!Q2651="PHILLIPSG",'ATP Fills'!F2651,""))</f>
        <v/>
      </c>
      <c r="B2651" t="str">
        <f>IF(A2651="","",'ATP Fills'!L2651)</f>
        <v/>
      </c>
      <c r="C2651" t="str">
        <f>IF(A2651="","",'ATP Fills'!M2651)</f>
        <v/>
      </c>
      <c r="D2651" t="str">
        <f>IF(A2651="","",'ATP Fills'!B2651)</f>
        <v/>
      </c>
      <c r="E2651" s="3" t="str">
        <f>IF(A2651="","",IF(DATE(LEFT(D2651,4),MID(D2651,5,2),RIGHT(D2651,2))=Helper1!$P$1,Helper1!$P$1,""))</f>
        <v/>
      </c>
      <c r="F2651" s="3" t="str">
        <f>IF(A2651="","",'ATP Fills'!G2651)</f>
        <v/>
      </c>
      <c r="G2651" t="str">
        <f>IF(A2651="","",'ATP Fills'!H2651)</f>
        <v/>
      </c>
      <c r="H2651" t="str">
        <f>IF(A2651="","",VLOOKUP(G2651,表3_3[],2,0))</f>
        <v/>
      </c>
      <c r="I2651" t="str">
        <f>IF(A2651="","",VLOOKUP(G2651,表3_3[],3,0))</f>
        <v/>
      </c>
      <c r="J2651" t="str">
        <f>IF(A2651="","",IF('ATP Fills'!I2651="3M","",VLOOKUP(RIGHT('ATP Fills'!I2651,2),Helper1!$O$36:$P$48,2,0)))</f>
        <v/>
      </c>
      <c r="K2651" t="str">
        <f>IF(J2651="","",LEFT('ATP Fills'!I2651,4))</f>
        <v/>
      </c>
      <c r="L2651" t="str">
        <f>IF(A2651="","",IF('ATP Fills'!G2651="LME",'ATP Fills'!I2651,""))</f>
        <v/>
      </c>
      <c r="M2651" t="str">
        <f t="shared" si="41"/>
        <v/>
      </c>
    </row>
    <row r="2652" spans="1:13">
      <c r="A2652" t="str">
        <f>IF('ATP Fills'!A2652="","",IF('ATP Fills'!Q2652="PHILLIPSG",'ATP Fills'!F2652,""))</f>
        <v/>
      </c>
      <c r="B2652" t="str">
        <f>IF(A2652="","",'ATP Fills'!L2652)</f>
        <v/>
      </c>
      <c r="C2652" t="str">
        <f>IF(A2652="","",'ATP Fills'!M2652)</f>
        <v/>
      </c>
      <c r="D2652" t="str">
        <f>IF(A2652="","",'ATP Fills'!B2652)</f>
        <v/>
      </c>
      <c r="E2652" s="3" t="str">
        <f>IF(A2652="","",IF(DATE(LEFT(D2652,4),MID(D2652,5,2),RIGHT(D2652,2))=Helper1!$P$1,Helper1!$P$1,""))</f>
        <v/>
      </c>
      <c r="F2652" s="3" t="str">
        <f>IF(A2652="","",'ATP Fills'!G2652)</f>
        <v/>
      </c>
      <c r="G2652" t="str">
        <f>IF(A2652="","",'ATP Fills'!H2652)</f>
        <v/>
      </c>
      <c r="H2652" t="str">
        <f>IF(A2652="","",VLOOKUP(G2652,表3_3[],2,0))</f>
        <v/>
      </c>
      <c r="I2652" t="str">
        <f>IF(A2652="","",VLOOKUP(G2652,表3_3[],3,0))</f>
        <v/>
      </c>
      <c r="J2652" t="str">
        <f>IF(A2652="","",IF('ATP Fills'!I2652="3M","",VLOOKUP(RIGHT('ATP Fills'!I2652,2),Helper1!$O$36:$P$48,2,0)))</f>
        <v/>
      </c>
      <c r="K2652" t="str">
        <f>IF(J2652="","",LEFT('ATP Fills'!I2652,4))</f>
        <v/>
      </c>
      <c r="L2652" t="str">
        <f>IF(A2652="","",IF('ATP Fills'!G2652="LME",'ATP Fills'!I2652,""))</f>
        <v/>
      </c>
      <c r="M2652" t="str">
        <f t="shared" si="41"/>
        <v/>
      </c>
    </row>
    <row r="2653" spans="1:13">
      <c r="A2653" t="str">
        <f>IF('ATP Fills'!A2653="","",IF('ATP Fills'!Q2653="PHILLIPSG",'ATP Fills'!F2653,""))</f>
        <v/>
      </c>
      <c r="B2653" t="str">
        <f>IF(A2653="","",'ATP Fills'!L2653)</f>
        <v/>
      </c>
      <c r="C2653" t="str">
        <f>IF(A2653="","",'ATP Fills'!M2653)</f>
        <v/>
      </c>
      <c r="D2653" t="str">
        <f>IF(A2653="","",'ATP Fills'!B2653)</f>
        <v/>
      </c>
      <c r="E2653" s="3" t="str">
        <f>IF(A2653="","",IF(DATE(LEFT(D2653,4),MID(D2653,5,2),RIGHT(D2653,2))=Helper1!$P$1,Helper1!$P$1,""))</f>
        <v/>
      </c>
      <c r="F2653" s="3" t="str">
        <f>IF(A2653="","",'ATP Fills'!G2653)</f>
        <v/>
      </c>
      <c r="G2653" t="str">
        <f>IF(A2653="","",'ATP Fills'!H2653)</f>
        <v/>
      </c>
      <c r="H2653" t="str">
        <f>IF(A2653="","",VLOOKUP(G2653,表3_3[],2,0))</f>
        <v/>
      </c>
      <c r="I2653" t="str">
        <f>IF(A2653="","",VLOOKUP(G2653,表3_3[],3,0))</f>
        <v/>
      </c>
      <c r="J2653" t="str">
        <f>IF(A2653="","",IF('ATP Fills'!I2653="3M","",VLOOKUP(RIGHT('ATP Fills'!I2653,2),Helper1!$O$36:$P$48,2,0)))</f>
        <v/>
      </c>
      <c r="K2653" t="str">
        <f>IF(J2653="","",LEFT('ATP Fills'!I2653,4))</f>
        <v/>
      </c>
      <c r="L2653" t="str">
        <f>IF(A2653="","",IF('ATP Fills'!G2653="LME",'ATP Fills'!I2653,""))</f>
        <v/>
      </c>
      <c r="M2653" t="str">
        <f t="shared" si="41"/>
        <v/>
      </c>
    </row>
    <row r="2654" spans="1:13">
      <c r="A2654" t="str">
        <f>IF('ATP Fills'!A2654="","",IF('ATP Fills'!Q2654="PHILLIPSG",'ATP Fills'!F2654,""))</f>
        <v/>
      </c>
      <c r="B2654" t="str">
        <f>IF(A2654="","",'ATP Fills'!L2654)</f>
        <v/>
      </c>
      <c r="C2654" t="str">
        <f>IF(A2654="","",'ATP Fills'!M2654)</f>
        <v/>
      </c>
      <c r="D2654" t="str">
        <f>IF(A2654="","",'ATP Fills'!B2654)</f>
        <v/>
      </c>
      <c r="E2654" s="3" t="str">
        <f>IF(A2654="","",IF(DATE(LEFT(D2654,4),MID(D2654,5,2),RIGHT(D2654,2))=Helper1!$P$1,Helper1!$P$1,""))</f>
        <v/>
      </c>
      <c r="F2654" s="3" t="str">
        <f>IF(A2654="","",'ATP Fills'!G2654)</f>
        <v/>
      </c>
      <c r="G2654" t="str">
        <f>IF(A2654="","",'ATP Fills'!H2654)</f>
        <v/>
      </c>
      <c r="H2654" t="str">
        <f>IF(A2654="","",VLOOKUP(G2654,表3_3[],2,0))</f>
        <v/>
      </c>
      <c r="I2654" t="str">
        <f>IF(A2654="","",VLOOKUP(G2654,表3_3[],3,0))</f>
        <v/>
      </c>
      <c r="J2654" t="str">
        <f>IF(A2654="","",IF('ATP Fills'!I2654="3M","",VLOOKUP(RIGHT('ATP Fills'!I2654,2),Helper1!$O$36:$P$48,2,0)))</f>
        <v/>
      </c>
      <c r="K2654" t="str">
        <f>IF(J2654="","",LEFT('ATP Fills'!I2654,4))</f>
        <v/>
      </c>
      <c r="L2654" t="str">
        <f>IF(A2654="","",IF('ATP Fills'!G2654="LME",'ATP Fills'!I2654,""))</f>
        <v/>
      </c>
      <c r="M2654" t="str">
        <f t="shared" si="41"/>
        <v/>
      </c>
    </row>
    <row r="2655" spans="1:13">
      <c r="A2655" t="str">
        <f>IF('ATP Fills'!A2655="","",IF('ATP Fills'!Q2655="PHILLIPSG",'ATP Fills'!F2655,""))</f>
        <v/>
      </c>
      <c r="B2655" t="str">
        <f>IF(A2655="","",'ATP Fills'!L2655)</f>
        <v/>
      </c>
      <c r="C2655" t="str">
        <f>IF(A2655="","",'ATP Fills'!M2655)</f>
        <v/>
      </c>
      <c r="D2655" t="str">
        <f>IF(A2655="","",'ATP Fills'!B2655)</f>
        <v/>
      </c>
      <c r="E2655" s="3" t="str">
        <f>IF(A2655="","",IF(DATE(LEFT(D2655,4),MID(D2655,5,2),RIGHT(D2655,2))=Helper1!$P$1,Helper1!$P$1,""))</f>
        <v/>
      </c>
      <c r="F2655" s="3" t="str">
        <f>IF(A2655="","",'ATP Fills'!G2655)</f>
        <v/>
      </c>
      <c r="G2655" t="str">
        <f>IF(A2655="","",'ATP Fills'!H2655)</f>
        <v/>
      </c>
      <c r="H2655" t="str">
        <f>IF(A2655="","",VLOOKUP(G2655,表3_3[],2,0))</f>
        <v/>
      </c>
      <c r="I2655" t="str">
        <f>IF(A2655="","",VLOOKUP(G2655,表3_3[],3,0))</f>
        <v/>
      </c>
      <c r="J2655" t="str">
        <f>IF(A2655="","",IF('ATP Fills'!I2655="3M","",VLOOKUP(RIGHT('ATP Fills'!I2655,2),Helper1!$O$36:$P$48,2,0)))</f>
        <v/>
      </c>
      <c r="K2655" t="str">
        <f>IF(J2655="","",LEFT('ATP Fills'!I2655,4))</f>
        <v/>
      </c>
      <c r="L2655" t="str">
        <f>IF(A2655="","",IF('ATP Fills'!G2655="LME",'ATP Fills'!I2655,""))</f>
        <v/>
      </c>
      <c r="M2655" t="str">
        <f t="shared" si="41"/>
        <v/>
      </c>
    </row>
    <row r="2656" spans="1:13">
      <c r="A2656" t="str">
        <f>IF('ATP Fills'!A2656="","",IF('ATP Fills'!Q2656="PHILLIPSG",'ATP Fills'!F2656,""))</f>
        <v/>
      </c>
      <c r="B2656" t="str">
        <f>IF(A2656="","",'ATP Fills'!L2656)</f>
        <v/>
      </c>
      <c r="C2656" t="str">
        <f>IF(A2656="","",'ATP Fills'!M2656)</f>
        <v/>
      </c>
      <c r="D2656" t="str">
        <f>IF(A2656="","",'ATP Fills'!B2656)</f>
        <v/>
      </c>
      <c r="E2656" s="3" t="str">
        <f>IF(A2656="","",IF(DATE(LEFT(D2656,4),MID(D2656,5,2),RIGHT(D2656,2))=Helper1!$P$1,Helper1!$P$1,""))</f>
        <v/>
      </c>
      <c r="F2656" s="3" t="str">
        <f>IF(A2656="","",'ATP Fills'!G2656)</f>
        <v/>
      </c>
      <c r="G2656" t="str">
        <f>IF(A2656="","",'ATP Fills'!H2656)</f>
        <v/>
      </c>
      <c r="H2656" t="str">
        <f>IF(A2656="","",VLOOKUP(G2656,表3_3[],2,0))</f>
        <v/>
      </c>
      <c r="I2656" t="str">
        <f>IF(A2656="","",VLOOKUP(G2656,表3_3[],3,0))</f>
        <v/>
      </c>
      <c r="J2656" t="str">
        <f>IF(A2656="","",IF('ATP Fills'!I2656="3M","",VLOOKUP(RIGHT('ATP Fills'!I2656,2),Helper1!$O$36:$P$48,2,0)))</f>
        <v/>
      </c>
      <c r="K2656" t="str">
        <f>IF(J2656="","",LEFT('ATP Fills'!I2656,4))</f>
        <v/>
      </c>
      <c r="L2656" t="str">
        <f>IF(A2656="","",IF('ATP Fills'!G2656="LME",'ATP Fills'!I2656,""))</f>
        <v/>
      </c>
      <c r="M2656" t="str">
        <f t="shared" si="41"/>
        <v/>
      </c>
    </row>
    <row r="2657" spans="1:13">
      <c r="A2657" t="str">
        <f>IF('ATP Fills'!A2657="","",IF('ATP Fills'!Q2657="PHILLIPSG",'ATP Fills'!F2657,""))</f>
        <v/>
      </c>
      <c r="B2657" t="str">
        <f>IF(A2657="","",'ATP Fills'!L2657)</f>
        <v/>
      </c>
      <c r="C2657" t="str">
        <f>IF(A2657="","",'ATP Fills'!M2657)</f>
        <v/>
      </c>
      <c r="D2657" t="str">
        <f>IF(A2657="","",'ATP Fills'!B2657)</f>
        <v/>
      </c>
      <c r="E2657" s="3" t="str">
        <f>IF(A2657="","",IF(DATE(LEFT(D2657,4),MID(D2657,5,2),RIGHT(D2657,2))=Helper1!$P$1,Helper1!$P$1,""))</f>
        <v/>
      </c>
      <c r="F2657" s="3" t="str">
        <f>IF(A2657="","",'ATP Fills'!G2657)</f>
        <v/>
      </c>
      <c r="G2657" t="str">
        <f>IF(A2657="","",'ATP Fills'!H2657)</f>
        <v/>
      </c>
      <c r="H2657" t="str">
        <f>IF(A2657="","",VLOOKUP(G2657,表3_3[],2,0))</f>
        <v/>
      </c>
      <c r="I2657" t="str">
        <f>IF(A2657="","",VLOOKUP(G2657,表3_3[],3,0))</f>
        <v/>
      </c>
      <c r="J2657" t="str">
        <f>IF(A2657="","",IF('ATP Fills'!I2657="3M","",VLOOKUP(RIGHT('ATP Fills'!I2657,2),Helper1!$O$36:$P$48,2,0)))</f>
        <v/>
      </c>
      <c r="K2657" t="str">
        <f>IF(J2657="","",LEFT('ATP Fills'!I2657,4))</f>
        <v/>
      </c>
      <c r="L2657" t="str">
        <f>IF(A2657="","",IF('ATP Fills'!G2657="LME",'ATP Fills'!I2657,""))</f>
        <v/>
      </c>
      <c r="M2657" t="str">
        <f t="shared" si="41"/>
        <v/>
      </c>
    </row>
    <row r="2658" spans="1:13">
      <c r="A2658" t="str">
        <f>IF('ATP Fills'!A2658="","",IF('ATP Fills'!Q2658="PHILLIPSG",'ATP Fills'!F2658,""))</f>
        <v/>
      </c>
      <c r="B2658" t="str">
        <f>IF(A2658="","",'ATP Fills'!L2658)</f>
        <v/>
      </c>
      <c r="C2658" t="str">
        <f>IF(A2658="","",'ATP Fills'!M2658)</f>
        <v/>
      </c>
      <c r="D2658" t="str">
        <f>IF(A2658="","",'ATP Fills'!B2658)</f>
        <v/>
      </c>
      <c r="E2658" s="3" t="str">
        <f>IF(A2658="","",IF(DATE(LEFT(D2658,4),MID(D2658,5,2),RIGHT(D2658,2))=Helper1!$P$1,Helper1!$P$1,""))</f>
        <v/>
      </c>
      <c r="F2658" s="3" t="str">
        <f>IF(A2658="","",'ATP Fills'!G2658)</f>
        <v/>
      </c>
      <c r="G2658" t="str">
        <f>IF(A2658="","",'ATP Fills'!H2658)</f>
        <v/>
      </c>
      <c r="H2658" t="str">
        <f>IF(A2658="","",VLOOKUP(G2658,表3_3[],2,0))</f>
        <v/>
      </c>
      <c r="I2658" t="str">
        <f>IF(A2658="","",VLOOKUP(G2658,表3_3[],3,0))</f>
        <v/>
      </c>
      <c r="J2658" t="str">
        <f>IF(A2658="","",IF('ATP Fills'!I2658="3M","",VLOOKUP(RIGHT('ATP Fills'!I2658,2),Helper1!$O$36:$P$48,2,0)))</f>
        <v/>
      </c>
      <c r="K2658" t="str">
        <f>IF(J2658="","",LEFT('ATP Fills'!I2658,4))</f>
        <v/>
      </c>
      <c r="L2658" t="str">
        <f>IF(A2658="","",IF('ATP Fills'!G2658="LME",'ATP Fills'!I2658,""))</f>
        <v/>
      </c>
      <c r="M2658" t="str">
        <f t="shared" si="41"/>
        <v/>
      </c>
    </row>
    <row r="2659" spans="1:13">
      <c r="A2659" t="str">
        <f>IF('ATP Fills'!A2659="","",IF('ATP Fills'!Q2659="PHILLIPSG",'ATP Fills'!F2659,""))</f>
        <v/>
      </c>
      <c r="B2659" t="str">
        <f>IF(A2659="","",'ATP Fills'!L2659)</f>
        <v/>
      </c>
      <c r="C2659" t="str">
        <f>IF(A2659="","",'ATP Fills'!M2659)</f>
        <v/>
      </c>
      <c r="D2659" t="str">
        <f>IF(A2659="","",'ATP Fills'!B2659)</f>
        <v/>
      </c>
      <c r="E2659" s="3" t="str">
        <f>IF(A2659="","",IF(DATE(LEFT(D2659,4),MID(D2659,5,2),RIGHT(D2659,2))=Helper1!$P$1,Helper1!$P$1,""))</f>
        <v/>
      </c>
      <c r="F2659" s="3" t="str">
        <f>IF(A2659="","",'ATP Fills'!G2659)</f>
        <v/>
      </c>
      <c r="G2659" t="str">
        <f>IF(A2659="","",'ATP Fills'!H2659)</f>
        <v/>
      </c>
      <c r="H2659" t="str">
        <f>IF(A2659="","",VLOOKUP(G2659,表3_3[],2,0))</f>
        <v/>
      </c>
      <c r="I2659" t="str">
        <f>IF(A2659="","",VLOOKUP(G2659,表3_3[],3,0))</f>
        <v/>
      </c>
      <c r="J2659" t="str">
        <f>IF(A2659="","",IF('ATP Fills'!I2659="3M","",VLOOKUP(RIGHT('ATP Fills'!I2659,2),Helper1!$O$36:$P$48,2,0)))</f>
        <v/>
      </c>
      <c r="K2659" t="str">
        <f>IF(J2659="","",LEFT('ATP Fills'!I2659,4))</f>
        <v/>
      </c>
      <c r="L2659" t="str">
        <f>IF(A2659="","",IF('ATP Fills'!G2659="LME",'ATP Fills'!I2659,""))</f>
        <v/>
      </c>
      <c r="M2659" t="str">
        <f t="shared" si="41"/>
        <v/>
      </c>
    </row>
    <row r="2660" spans="1:13">
      <c r="A2660" t="str">
        <f>IF('ATP Fills'!A2660="","",IF('ATP Fills'!Q2660="PHILLIPSG",'ATP Fills'!F2660,""))</f>
        <v/>
      </c>
      <c r="B2660" t="str">
        <f>IF(A2660="","",'ATP Fills'!L2660)</f>
        <v/>
      </c>
      <c r="C2660" t="str">
        <f>IF(A2660="","",'ATP Fills'!M2660)</f>
        <v/>
      </c>
      <c r="D2660" t="str">
        <f>IF(A2660="","",'ATP Fills'!B2660)</f>
        <v/>
      </c>
      <c r="E2660" s="3" t="str">
        <f>IF(A2660="","",IF(DATE(LEFT(D2660,4),MID(D2660,5,2),RIGHT(D2660,2))=Helper1!$P$1,Helper1!$P$1,""))</f>
        <v/>
      </c>
      <c r="F2660" s="3" t="str">
        <f>IF(A2660="","",'ATP Fills'!G2660)</f>
        <v/>
      </c>
      <c r="G2660" t="str">
        <f>IF(A2660="","",'ATP Fills'!H2660)</f>
        <v/>
      </c>
      <c r="H2660" t="str">
        <f>IF(A2660="","",VLOOKUP(G2660,表3_3[],2,0))</f>
        <v/>
      </c>
      <c r="I2660" t="str">
        <f>IF(A2660="","",VLOOKUP(G2660,表3_3[],3,0))</f>
        <v/>
      </c>
      <c r="J2660" t="str">
        <f>IF(A2660="","",IF('ATP Fills'!I2660="3M","",VLOOKUP(RIGHT('ATP Fills'!I2660,2),Helper1!$O$36:$P$48,2,0)))</f>
        <v/>
      </c>
      <c r="K2660" t="str">
        <f>IF(J2660="","",LEFT('ATP Fills'!I2660,4))</f>
        <v/>
      </c>
      <c r="L2660" t="str">
        <f>IF(A2660="","",IF('ATP Fills'!G2660="LME",'ATP Fills'!I2660,""))</f>
        <v/>
      </c>
      <c r="M2660" t="str">
        <f t="shared" si="41"/>
        <v/>
      </c>
    </row>
    <row r="2661" spans="1:13">
      <c r="A2661" t="str">
        <f>IF('ATP Fills'!A2661="","",IF('ATP Fills'!Q2661="PHILLIPSG",'ATP Fills'!F2661,""))</f>
        <v/>
      </c>
      <c r="B2661" t="str">
        <f>IF(A2661="","",'ATP Fills'!L2661)</f>
        <v/>
      </c>
      <c r="C2661" t="str">
        <f>IF(A2661="","",'ATP Fills'!M2661)</f>
        <v/>
      </c>
      <c r="D2661" t="str">
        <f>IF(A2661="","",'ATP Fills'!B2661)</f>
        <v/>
      </c>
      <c r="E2661" s="3" t="str">
        <f>IF(A2661="","",IF(DATE(LEFT(D2661,4),MID(D2661,5,2),RIGHT(D2661,2))=Helper1!$P$1,Helper1!$P$1,""))</f>
        <v/>
      </c>
      <c r="F2661" s="3" t="str">
        <f>IF(A2661="","",'ATP Fills'!G2661)</f>
        <v/>
      </c>
      <c r="G2661" t="str">
        <f>IF(A2661="","",'ATP Fills'!H2661)</f>
        <v/>
      </c>
      <c r="H2661" t="str">
        <f>IF(A2661="","",VLOOKUP(G2661,表3_3[],2,0))</f>
        <v/>
      </c>
      <c r="I2661" t="str">
        <f>IF(A2661="","",VLOOKUP(G2661,表3_3[],3,0))</f>
        <v/>
      </c>
      <c r="J2661" t="str">
        <f>IF(A2661="","",IF('ATP Fills'!I2661="3M","",VLOOKUP(RIGHT('ATP Fills'!I2661,2),Helper1!$O$36:$P$48,2,0)))</f>
        <v/>
      </c>
      <c r="K2661" t="str">
        <f>IF(J2661="","",LEFT('ATP Fills'!I2661,4))</f>
        <v/>
      </c>
      <c r="L2661" t="str">
        <f>IF(A2661="","",IF('ATP Fills'!G2661="LME",'ATP Fills'!I2661,""))</f>
        <v/>
      </c>
      <c r="M2661" t="str">
        <f t="shared" si="41"/>
        <v/>
      </c>
    </row>
    <row r="2662" spans="1:13">
      <c r="A2662" t="str">
        <f>IF('ATP Fills'!A2662="","",IF('ATP Fills'!Q2662="PHILLIPSG",'ATP Fills'!F2662,""))</f>
        <v/>
      </c>
      <c r="B2662" t="str">
        <f>IF(A2662="","",'ATP Fills'!L2662)</f>
        <v/>
      </c>
      <c r="C2662" t="str">
        <f>IF(A2662="","",'ATP Fills'!M2662)</f>
        <v/>
      </c>
      <c r="D2662" t="str">
        <f>IF(A2662="","",'ATP Fills'!B2662)</f>
        <v/>
      </c>
      <c r="E2662" s="3" t="str">
        <f>IF(A2662="","",IF(DATE(LEFT(D2662,4),MID(D2662,5,2),RIGHT(D2662,2))=Helper1!$P$1,Helper1!$P$1,""))</f>
        <v/>
      </c>
      <c r="F2662" s="3" t="str">
        <f>IF(A2662="","",'ATP Fills'!G2662)</f>
        <v/>
      </c>
      <c r="G2662" t="str">
        <f>IF(A2662="","",'ATP Fills'!H2662)</f>
        <v/>
      </c>
      <c r="H2662" t="str">
        <f>IF(A2662="","",VLOOKUP(G2662,表3_3[],2,0))</f>
        <v/>
      </c>
      <c r="I2662" t="str">
        <f>IF(A2662="","",VLOOKUP(G2662,表3_3[],3,0))</f>
        <v/>
      </c>
      <c r="J2662" t="str">
        <f>IF(A2662="","",IF('ATP Fills'!I2662="3M","",VLOOKUP(RIGHT('ATP Fills'!I2662,2),Helper1!$O$36:$P$48,2,0)))</f>
        <v/>
      </c>
      <c r="K2662" t="str">
        <f>IF(J2662="","",LEFT('ATP Fills'!I2662,4))</f>
        <v/>
      </c>
      <c r="L2662" t="str">
        <f>IF(A2662="","",IF('ATP Fills'!G2662="LME",'ATP Fills'!I2662,""))</f>
        <v/>
      </c>
      <c r="M2662" t="str">
        <f t="shared" si="41"/>
        <v/>
      </c>
    </row>
    <row r="2663" spans="1:13">
      <c r="A2663" t="str">
        <f>IF('ATP Fills'!A2663="","",IF('ATP Fills'!Q2663="PHILLIPSG",'ATP Fills'!F2663,""))</f>
        <v/>
      </c>
      <c r="B2663" t="str">
        <f>IF(A2663="","",'ATP Fills'!L2663)</f>
        <v/>
      </c>
      <c r="C2663" t="str">
        <f>IF(A2663="","",'ATP Fills'!M2663)</f>
        <v/>
      </c>
      <c r="D2663" t="str">
        <f>IF(A2663="","",'ATP Fills'!B2663)</f>
        <v/>
      </c>
      <c r="E2663" s="3" t="str">
        <f>IF(A2663="","",IF(DATE(LEFT(D2663,4),MID(D2663,5,2),RIGHT(D2663,2))=Helper1!$P$1,Helper1!$P$1,""))</f>
        <v/>
      </c>
      <c r="F2663" s="3" t="str">
        <f>IF(A2663="","",'ATP Fills'!G2663)</f>
        <v/>
      </c>
      <c r="G2663" t="str">
        <f>IF(A2663="","",'ATP Fills'!H2663)</f>
        <v/>
      </c>
      <c r="H2663" t="str">
        <f>IF(A2663="","",VLOOKUP(G2663,表3_3[],2,0))</f>
        <v/>
      </c>
      <c r="I2663" t="str">
        <f>IF(A2663="","",VLOOKUP(G2663,表3_3[],3,0))</f>
        <v/>
      </c>
      <c r="J2663" t="str">
        <f>IF(A2663="","",IF('ATP Fills'!I2663="3M","",VLOOKUP(RIGHT('ATP Fills'!I2663,2),Helper1!$O$36:$P$48,2,0)))</f>
        <v/>
      </c>
      <c r="K2663" t="str">
        <f>IF(J2663="","",LEFT('ATP Fills'!I2663,4))</f>
        <v/>
      </c>
      <c r="L2663" t="str">
        <f>IF(A2663="","",IF('ATP Fills'!G2663="LME",'ATP Fills'!I2663,""))</f>
        <v/>
      </c>
      <c r="M2663" t="str">
        <f t="shared" si="41"/>
        <v/>
      </c>
    </row>
    <row r="2664" spans="1:13">
      <c r="A2664" t="str">
        <f>IF('ATP Fills'!A2664="","",IF('ATP Fills'!Q2664="PHILLIPSG",'ATP Fills'!F2664,""))</f>
        <v/>
      </c>
      <c r="B2664" t="str">
        <f>IF(A2664="","",'ATP Fills'!L2664)</f>
        <v/>
      </c>
      <c r="C2664" t="str">
        <f>IF(A2664="","",'ATP Fills'!M2664)</f>
        <v/>
      </c>
      <c r="D2664" t="str">
        <f>IF(A2664="","",'ATP Fills'!B2664)</f>
        <v/>
      </c>
      <c r="E2664" s="3" t="str">
        <f>IF(A2664="","",IF(DATE(LEFT(D2664,4),MID(D2664,5,2),RIGHT(D2664,2))=Helper1!$P$1,Helper1!$P$1,""))</f>
        <v/>
      </c>
      <c r="F2664" s="3" t="str">
        <f>IF(A2664="","",'ATP Fills'!G2664)</f>
        <v/>
      </c>
      <c r="G2664" t="str">
        <f>IF(A2664="","",'ATP Fills'!H2664)</f>
        <v/>
      </c>
      <c r="H2664" t="str">
        <f>IF(A2664="","",VLOOKUP(G2664,表3_3[],2,0))</f>
        <v/>
      </c>
      <c r="I2664" t="str">
        <f>IF(A2664="","",VLOOKUP(G2664,表3_3[],3,0))</f>
        <v/>
      </c>
      <c r="J2664" t="str">
        <f>IF(A2664="","",IF('ATP Fills'!I2664="3M","",VLOOKUP(RIGHT('ATP Fills'!I2664,2),Helper1!$O$36:$P$48,2,0)))</f>
        <v/>
      </c>
      <c r="K2664" t="str">
        <f>IF(J2664="","",LEFT('ATP Fills'!I2664,4))</f>
        <v/>
      </c>
      <c r="L2664" t="str">
        <f>IF(A2664="","",IF('ATP Fills'!G2664="LME",'ATP Fills'!I2664,""))</f>
        <v/>
      </c>
      <c r="M2664" t="str">
        <f t="shared" si="41"/>
        <v/>
      </c>
    </row>
    <row r="2665" spans="1:13">
      <c r="A2665" t="str">
        <f>IF('ATP Fills'!A2665="","",IF('ATP Fills'!Q2665="PHILLIPSG",'ATP Fills'!F2665,""))</f>
        <v/>
      </c>
      <c r="B2665" t="str">
        <f>IF(A2665="","",'ATP Fills'!L2665)</f>
        <v/>
      </c>
      <c r="C2665" t="str">
        <f>IF(A2665="","",'ATP Fills'!M2665)</f>
        <v/>
      </c>
      <c r="D2665" t="str">
        <f>IF(A2665="","",'ATP Fills'!B2665)</f>
        <v/>
      </c>
      <c r="E2665" s="3" t="str">
        <f>IF(A2665="","",IF(DATE(LEFT(D2665,4),MID(D2665,5,2),RIGHT(D2665,2))=Helper1!$P$1,Helper1!$P$1,""))</f>
        <v/>
      </c>
      <c r="F2665" s="3" t="str">
        <f>IF(A2665="","",'ATP Fills'!G2665)</f>
        <v/>
      </c>
      <c r="G2665" t="str">
        <f>IF(A2665="","",'ATP Fills'!H2665)</f>
        <v/>
      </c>
      <c r="H2665" t="str">
        <f>IF(A2665="","",VLOOKUP(G2665,表3_3[],2,0))</f>
        <v/>
      </c>
      <c r="I2665" t="str">
        <f>IF(A2665="","",VLOOKUP(G2665,表3_3[],3,0))</f>
        <v/>
      </c>
      <c r="J2665" t="str">
        <f>IF(A2665="","",IF('ATP Fills'!I2665="3M","",VLOOKUP(RIGHT('ATP Fills'!I2665,2),Helper1!$O$36:$P$48,2,0)))</f>
        <v/>
      </c>
      <c r="K2665" t="str">
        <f>IF(J2665="","",LEFT('ATP Fills'!I2665,4))</f>
        <v/>
      </c>
      <c r="L2665" t="str">
        <f>IF(A2665="","",IF('ATP Fills'!G2665="LME",'ATP Fills'!I2665,""))</f>
        <v/>
      </c>
      <c r="M2665" t="str">
        <f t="shared" si="41"/>
        <v/>
      </c>
    </row>
    <row r="2666" spans="1:13">
      <c r="A2666" t="str">
        <f>IF('ATP Fills'!A2666="","",IF('ATP Fills'!Q2666="PHILLIPSG",'ATP Fills'!F2666,""))</f>
        <v/>
      </c>
      <c r="B2666" t="str">
        <f>IF(A2666="","",'ATP Fills'!L2666)</f>
        <v/>
      </c>
      <c r="C2666" t="str">
        <f>IF(A2666="","",'ATP Fills'!M2666)</f>
        <v/>
      </c>
      <c r="D2666" t="str">
        <f>IF(A2666="","",'ATP Fills'!B2666)</f>
        <v/>
      </c>
      <c r="E2666" s="3" t="str">
        <f>IF(A2666="","",IF(DATE(LEFT(D2666,4),MID(D2666,5,2),RIGHT(D2666,2))=Helper1!$P$1,Helper1!$P$1,""))</f>
        <v/>
      </c>
      <c r="F2666" s="3" t="str">
        <f>IF(A2666="","",'ATP Fills'!G2666)</f>
        <v/>
      </c>
      <c r="G2666" t="str">
        <f>IF(A2666="","",'ATP Fills'!H2666)</f>
        <v/>
      </c>
      <c r="H2666" t="str">
        <f>IF(A2666="","",VLOOKUP(G2666,表3_3[],2,0))</f>
        <v/>
      </c>
      <c r="I2666" t="str">
        <f>IF(A2666="","",VLOOKUP(G2666,表3_3[],3,0))</f>
        <v/>
      </c>
      <c r="J2666" t="str">
        <f>IF(A2666="","",IF('ATP Fills'!I2666="3M","",VLOOKUP(RIGHT('ATP Fills'!I2666,2),Helper1!$O$36:$P$48,2,0)))</f>
        <v/>
      </c>
      <c r="K2666" t="str">
        <f>IF(J2666="","",LEFT('ATP Fills'!I2666,4))</f>
        <v/>
      </c>
      <c r="L2666" t="str">
        <f>IF(A2666="","",IF('ATP Fills'!G2666="LME",'ATP Fills'!I2666,""))</f>
        <v/>
      </c>
      <c r="M2666" t="str">
        <f t="shared" si="41"/>
        <v/>
      </c>
    </row>
    <row r="2667" spans="1:13">
      <c r="A2667" t="str">
        <f>IF('ATP Fills'!A2667="","",IF('ATP Fills'!Q2667="PHILLIPSG",'ATP Fills'!F2667,""))</f>
        <v/>
      </c>
      <c r="B2667" t="str">
        <f>IF(A2667="","",'ATP Fills'!L2667)</f>
        <v/>
      </c>
      <c r="C2667" t="str">
        <f>IF(A2667="","",'ATP Fills'!M2667)</f>
        <v/>
      </c>
      <c r="D2667" t="str">
        <f>IF(A2667="","",'ATP Fills'!B2667)</f>
        <v/>
      </c>
      <c r="E2667" s="3" t="str">
        <f>IF(A2667="","",IF(DATE(LEFT(D2667,4),MID(D2667,5,2),RIGHT(D2667,2))=Helper1!$P$1,Helper1!$P$1,""))</f>
        <v/>
      </c>
      <c r="F2667" s="3" t="str">
        <f>IF(A2667="","",'ATP Fills'!G2667)</f>
        <v/>
      </c>
      <c r="G2667" t="str">
        <f>IF(A2667="","",'ATP Fills'!H2667)</f>
        <v/>
      </c>
      <c r="H2667" t="str">
        <f>IF(A2667="","",VLOOKUP(G2667,表3_3[],2,0))</f>
        <v/>
      </c>
      <c r="I2667" t="str">
        <f>IF(A2667="","",VLOOKUP(G2667,表3_3[],3,0))</f>
        <v/>
      </c>
      <c r="J2667" t="str">
        <f>IF(A2667="","",IF('ATP Fills'!I2667="3M","",VLOOKUP(RIGHT('ATP Fills'!I2667,2),Helper1!$O$36:$P$48,2,0)))</f>
        <v/>
      </c>
      <c r="K2667" t="str">
        <f>IF(J2667="","",LEFT('ATP Fills'!I2667,4))</f>
        <v/>
      </c>
      <c r="L2667" t="str">
        <f>IF(A2667="","",IF('ATP Fills'!G2667="LME",'ATP Fills'!I2667,""))</f>
        <v/>
      </c>
      <c r="M2667" t="str">
        <f t="shared" si="41"/>
        <v/>
      </c>
    </row>
    <row r="2668" spans="1:13">
      <c r="A2668" t="str">
        <f>IF('ATP Fills'!A2668="","",IF('ATP Fills'!Q2668="PHILLIPSG",'ATP Fills'!F2668,""))</f>
        <v/>
      </c>
      <c r="B2668" t="str">
        <f>IF(A2668="","",'ATP Fills'!L2668)</f>
        <v/>
      </c>
      <c r="C2668" t="str">
        <f>IF(A2668="","",'ATP Fills'!M2668)</f>
        <v/>
      </c>
      <c r="D2668" t="str">
        <f>IF(A2668="","",'ATP Fills'!B2668)</f>
        <v/>
      </c>
      <c r="E2668" s="3" t="str">
        <f>IF(A2668="","",IF(DATE(LEFT(D2668,4),MID(D2668,5,2),RIGHT(D2668,2))=Helper1!$P$1,Helper1!$P$1,""))</f>
        <v/>
      </c>
      <c r="F2668" s="3" t="str">
        <f>IF(A2668="","",'ATP Fills'!G2668)</f>
        <v/>
      </c>
      <c r="G2668" t="str">
        <f>IF(A2668="","",'ATP Fills'!H2668)</f>
        <v/>
      </c>
      <c r="H2668" t="str">
        <f>IF(A2668="","",VLOOKUP(G2668,表3_3[],2,0))</f>
        <v/>
      </c>
      <c r="I2668" t="str">
        <f>IF(A2668="","",VLOOKUP(G2668,表3_3[],3,0))</f>
        <v/>
      </c>
      <c r="J2668" t="str">
        <f>IF(A2668="","",IF('ATP Fills'!I2668="3M","",VLOOKUP(RIGHT('ATP Fills'!I2668,2),Helper1!$O$36:$P$48,2,0)))</f>
        <v/>
      </c>
      <c r="K2668" t="str">
        <f>IF(J2668="","",LEFT('ATP Fills'!I2668,4))</f>
        <v/>
      </c>
      <c r="L2668" t="str">
        <f>IF(A2668="","",IF('ATP Fills'!G2668="LME",'ATP Fills'!I2668,""))</f>
        <v/>
      </c>
      <c r="M2668" t="str">
        <f t="shared" si="41"/>
        <v/>
      </c>
    </row>
    <row r="2669" spans="1:13">
      <c r="A2669" t="str">
        <f>IF('ATP Fills'!A2669="","",IF('ATP Fills'!Q2669="PHILLIPSG",'ATP Fills'!F2669,""))</f>
        <v/>
      </c>
      <c r="B2669" t="str">
        <f>IF(A2669="","",'ATP Fills'!L2669)</f>
        <v/>
      </c>
      <c r="C2669" t="str">
        <f>IF(A2669="","",'ATP Fills'!M2669)</f>
        <v/>
      </c>
      <c r="D2669" t="str">
        <f>IF(A2669="","",'ATP Fills'!B2669)</f>
        <v/>
      </c>
      <c r="E2669" s="3" t="str">
        <f>IF(A2669="","",IF(DATE(LEFT(D2669,4),MID(D2669,5,2),RIGHT(D2669,2))=Helper1!$P$1,Helper1!$P$1,""))</f>
        <v/>
      </c>
      <c r="F2669" s="3" t="str">
        <f>IF(A2669="","",'ATP Fills'!G2669)</f>
        <v/>
      </c>
      <c r="G2669" t="str">
        <f>IF(A2669="","",'ATP Fills'!H2669)</f>
        <v/>
      </c>
      <c r="H2669" t="str">
        <f>IF(A2669="","",VLOOKUP(G2669,表3_3[],2,0))</f>
        <v/>
      </c>
      <c r="I2669" t="str">
        <f>IF(A2669="","",VLOOKUP(G2669,表3_3[],3,0))</f>
        <v/>
      </c>
      <c r="J2669" t="str">
        <f>IF(A2669="","",IF('ATP Fills'!I2669="3M","",VLOOKUP(RIGHT('ATP Fills'!I2669,2),Helper1!$O$36:$P$48,2,0)))</f>
        <v/>
      </c>
      <c r="K2669" t="str">
        <f>IF(J2669="","",LEFT('ATP Fills'!I2669,4))</f>
        <v/>
      </c>
      <c r="L2669" t="str">
        <f>IF(A2669="","",IF('ATP Fills'!G2669="LME",'ATP Fills'!I2669,""))</f>
        <v/>
      </c>
      <c r="M2669" t="str">
        <f t="shared" si="41"/>
        <v/>
      </c>
    </row>
    <row r="2670" spans="1:13">
      <c r="A2670" t="str">
        <f>IF('ATP Fills'!A2670="","",IF('ATP Fills'!Q2670="PHILLIPSG",'ATP Fills'!F2670,""))</f>
        <v/>
      </c>
      <c r="B2670" t="str">
        <f>IF(A2670="","",'ATP Fills'!L2670)</f>
        <v/>
      </c>
      <c r="C2670" t="str">
        <f>IF(A2670="","",'ATP Fills'!M2670)</f>
        <v/>
      </c>
      <c r="D2670" t="str">
        <f>IF(A2670="","",'ATP Fills'!B2670)</f>
        <v/>
      </c>
      <c r="E2670" s="3" t="str">
        <f>IF(A2670="","",IF(DATE(LEFT(D2670,4),MID(D2670,5,2),RIGHT(D2670,2))=Helper1!$P$1,Helper1!$P$1,""))</f>
        <v/>
      </c>
      <c r="F2670" s="3" t="str">
        <f>IF(A2670="","",'ATP Fills'!G2670)</f>
        <v/>
      </c>
      <c r="G2670" t="str">
        <f>IF(A2670="","",'ATP Fills'!H2670)</f>
        <v/>
      </c>
      <c r="H2670" t="str">
        <f>IF(A2670="","",VLOOKUP(G2670,表3_3[],2,0))</f>
        <v/>
      </c>
      <c r="I2670" t="str">
        <f>IF(A2670="","",VLOOKUP(G2670,表3_3[],3,0))</f>
        <v/>
      </c>
      <c r="J2670" t="str">
        <f>IF(A2670="","",IF('ATP Fills'!I2670="3M","",VLOOKUP(RIGHT('ATP Fills'!I2670,2),Helper1!$O$36:$P$48,2,0)))</f>
        <v/>
      </c>
      <c r="K2670" t="str">
        <f>IF(J2670="","",LEFT('ATP Fills'!I2670,4))</f>
        <v/>
      </c>
      <c r="L2670" t="str">
        <f>IF(A2670="","",IF('ATP Fills'!G2670="LME",'ATP Fills'!I2670,""))</f>
        <v/>
      </c>
      <c r="M2670" t="str">
        <f t="shared" si="41"/>
        <v/>
      </c>
    </row>
    <row r="2671" spans="1:13">
      <c r="A2671" t="str">
        <f>IF('ATP Fills'!A2671="","",IF('ATP Fills'!Q2671="PHILLIPSG",'ATP Fills'!F2671,""))</f>
        <v/>
      </c>
      <c r="B2671" t="str">
        <f>IF(A2671="","",'ATP Fills'!L2671)</f>
        <v/>
      </c>
      <c r="C2671" t="str">
        <f>IF(A2671="","",'ATP Fills'!M2671)</f>
        <v/>
      </c>
      <c r="D2671" t="str">
        <f>IF(A2671="","",'ATP Fills'!B2671)</f>
        <v/>
      </c>
      <c r="E2671" s="3" t="str">
        <f>IF(A2671="","",IF(DATE(LEFT(D2671,4),MID(D2671,5,2),RIGHT(D2671,2))=Helper1!$P$1,Helper1!$P$1,""))</f>
        <v/>
      </c>
      <c r="F2671" s="3" t="str">
        <f>IF(A2671="","",'ATP Fills'!G2671)</f>
        <v/>
      </c>
      <c r="G2671" t="str">
        <f>IF(A2671="","",'ATP Fills'!H2671)</f>
        <v/>
      </c>
      <c r="H2671" t="str">
        <f>IF(A2671="","",VLOOKUP(G2671,表3_3[],2,0))</f>
        <v/>
      </c>
      <c r="I2671" t="str">
        <f>IF(A2671="","",VLOOKUP(G2671,表3_3[],3,0))</f>
        <v/>
      </c>
      <c r="J2671" t="str">
        <f>IF(A2671="","",IF('ATP Fills'!I2671="3M","",VLOOKUP(RIGHT('ATP Fills'!I2671,2),Helper1!$O$36:$P$48,2,0)))</f>
        <v/>
      </c>
      <c r="K2671" t="str">
        <f>IF(J2671="","",LEFT('ATP Fills'!I2671,4))</f>
        <v/>
      </c>
      <c r="L2671" t="str">
        <f>IF(A2671="","",IF('ATP Fills'!G2671="LME",'ATP Fills'!I2671,""))</f>
        <v/>
      </c>
      <c r="M2671" t="str">
        <f t="shared" si="41"/>
        <v/>
      </c>
    </row>
    <row r="2672" spans="1:13">
      <c r="A2672" t="str">
        <f>IF('ATP Fills'!A2672="","",IF('ATP Fills'!Q2672="PHILLIPSG",'ATP Fills'!F2672,""))</f>
        <v/>
      </c>
      <c r="B2672" t="str">
        <f>IF(A2672="","",'ATP Fills'!L2672)</f>
        <v/>
      </c>
      <c r="C2672" t="str">
        <f>IF(A2672="","",'ATP Fills'!M2672)</f>
        <v/>
      </c>
      <c r="D2672" t="str">
        <f>IF(A2672="","",'ATP Fills'!B2672)</f>
        <v/>
      </c>
      <c r="E2672" s="3" t="str">
        <f>IF(A2672="","",IF(DATE(LEFT(D2672,4),MID(D2672,5,2),RIGHT(D2672,2))=Helper1!$P$1,Helper1!$P$1,""))</f>
        <v/>
      </c>
      <c r="F2672" s="3" t="str">
        <f>IF(A2672="","",'ATP Fills'!G2672)</f>
        <v/>
      </c>
      <c r="G2672" t="str">
        <f>IF(A2672="","",'ATP Fills'!H2672)</f>
        <v/>
      </c>
      <c r="H2672" t="str">
        <f>IF(A2672="","",VLOOKUP(G2672,表3_3[],2,0))</f>
        <v/>
      </c>
      <c r="I2672" t="str">
        <f>IF(A2672="","",VLOOKUP(G2672,表3_3[],3,0))</f>
        <v/>
      </c>
      <c r="J2672" t="str">
        <f>IF(A2672="","",IF('ATP Fills'!I2672="3M","",VLOOKUP(RIGHT('ATP Fills'!I2672,2),Helper1!$O$36:$P$48,2,0)))</f>
        <v/>
      </c>
      <c r="K2672" t="str">
        <f>IF(J2672="","",LEFT('ATP Fills'!I2672,4))</f>
        <v/>
      </c>
      <c r="L2672" t="str">
        <f>IF(A2672="","",IF('ATP Fills'!G2672="LME",'ATP Fills'!I2672,""))</f>
        <v/>
      </c>
      <c r="M2672" t="str">
        <f t="shared" si="41"/>
        <v/>
      </c>
    </row>
    <row r="2673" spans="1:13">
      <c r="A2673" t="str">
        <f>IF('ATP Fills'!A2673="","",IF('ATP Fills'!Q2673="PHILLIPSG",'ATP Fills'!F2673,""))</f>
        <v/>
      </c>
      <c r="B2673" t="str">
        <f>IF(A2673="","",'ATP Fills'!L2673)</f>
        <v/>
      </c>
      <c r="C2673" t="str">
        <f>IF(A2673="","",'ATP Fills'!M2673)</f>
        <v/>
      </c>
      <c r="D2673" t="str">
        <f>IF(A2673="","",'ATP Fills'!B2673)</f>
        <v/>
      </c>
      <c r="E2673" s="3" t="str">
        <f>IF(A2673="","",IF(DATE(LEFT(D2673,4),MID(D2673,5,2),RIGHT(D2673,2))=Helper1!$P$1,Helper1!$P$1,""))</f>
        <v/>
      </c>
      <c r="F2673" s="3" t="str">
        <f>IF(A2673="","",'ATP Fills'!G2673)</f>
        <v/>
      </c>
      <c r="G2673" t="str">
        <f>IF(A2673="","",'ATP Fills'!H2673)</f>
        <v/>
      </c>
      <c r="H2673" t="str">
        <f>IF(A2673="","",VLOOKUP(G2673,表3_3[],2,0))</f>
        <v/>
      </c>
      <c r="I2673" t="str">
        <f>IF(A2673="","",VLOOKUP(G2673,表3_3[],3,0))</f>
        <v/>
      </c>
      <c r="J2673" t="str">
        <f>IF(A2673="","",IF('ATP Fills'!I2673="3M","",VLOOKUP(RIGHT('ATP Fills'!I2673,2),Helper1!$O$36:$P$48,2,0)))</f>
        <v/>
      </c>
      <c r="K2673" t="str">
        <f>IF(J2673="","",LEFT('ATP Fills'!I2673,4))</f>
        <v/>
      </c>
      <c r="L2673" t="str">
        <f>IF(A2673="","",IF('ATP Fills'!G2673="LME",'ATP Fills'!I2673,""))</f>
        <v/>
      </c>
      <c r="M2673" t="str">
        <f t="shared" si="41"/>
        <v/>
      </c>
    </row>
    <row r="2674" spans="1:13">
      <c r="A2674" t="str">
        <f>IF('ATP Fills'!A2674="","",IF('ATP Fills'!Q2674="PHILLIPSG",'ATP Fills'!F2674,""))</f>
        <v/>
      </c>
      <c r="B2674" t="str">
        <f>IF(A2674="","",'ATP Fills'!L2674)</f>
        <v/>
      </c>
      <c r="C2674" t="str">
        <f>IF(A2674="","",'ATP Fills'!M2674)</f>
        <v/>
      </c>
      <c r="D2674" t="str">
        <f>IF(A2674="","",'ATP Fills'!B2674)</f>
        <v/>
      </c>
      <c r="E2674" s="3" t="str">
        <f>IF(A2674="","",IF(DATE(LEFT(D2674,4),MID(D2674,5,2),RIGHT(D2674,2))=Helper1!$P$1,Helper1!$P$1,""))</f>
        <v/>
      </c>
      <c r="F2674" s="3" t="str">
        <f>IF(A2674="","",'ATP Fills'!G2674)</f>
        <v/>
      </c>
      <c r="G2674" t="str">
        <f>IF(A2674="","",'ATP Fills'!H2674)</f>
        <v/>
      </c>
      <c r="H2674" t="str">
        <f>IF(A2674="","",VLOOKUP(G2674,表3_3[],2,0))</f>
        <v/>
      </c>
      <c r="I2674" t="str">
        <f>IF(A2674="","",VLOOKUP(G2674,表3_3[],3,0))</f>
        <v/>
      </c>
      <c r="J2674" t="str">
        <f>IF(A2674="","",IF('ATP Fills'!I2674="3M","",VLOOKUP(RIGHT('ATP Fills'!I2674,2),Helper1!$O$36:$P$48,2,0)))</f>
        <v/>
      </c>
      <c r="K2674" t="str">
        <f>IF(J2674="","",LEFT('ATP Fills'!I2674,4))</f>
        <v/>
      </c>
      <c r="L2674" t="str">
        <f>IF(A2674="","",IF('ATP Fills'!G2674="LME",'ATP Fills'!I2674,""))</f>
        <v/>
      </c>
      <c r="M2674" t="str">
        <f t="shared" si="41"/>
        <v/>
      </c>
    </row>
    <row r="2675" spans="1:13">
      <c r="A2675" t="str">
        <f>IF('ATP Fills'!A2675="","",IF('ATP Fills'!Q2675="PHILLIPSG",'ATP Fills'!F2675,""))</f>
        <v/>
      </c>
      <c r="B2675" t="str">
        <f>IF(A2675="","",'ATP Fills'!L2675)</f>
        <v/>
      </c>
      <c r="C2675" t="str">
        <f>IF(A2675="","",'ATP Fills'!M2675)</f>
        <v/>
      </c>
      <c r="D2675" t="str">
        <f>IF(A2675="","",'ATP Fills'!B2675)</f>
        <v/>
      </c>
      <c r="E2675" s="3" t="str">
        <f>IF(A2675="","",IF(DATE(LEFT(D2675,4),MID(D2675,5,2),RIGHT(D2675,2))=Helper1!$P$1,Helper1!$P$1,""))</f>
        <v/>
      </c>
      <c r="F2675" s="3" t="str">
        <f>IF(A2675="","",'ATP Fills'!G2675)</f>
        <v/>
      </c>
      <c r="G2675" t="str">
        <f>IF(A2675="","",'ATP Fills'!H2675)</f>
        <v/>
      </c>
      <c r="H2675" t="str">
        <f>IF(A2675="","",VLOOKUP(G2675,表3_3[],2,0))</f>
        <v/>
      </c>
      <c r="I2675" t="str">
        <f>IF(A2675="","",VLOOKUP(G2675,表3_3[],3,0))</f>
        <v/>
      </c>
      <c r="J2675" t="str">
        <f>IF(A2675="","",IF('ATP Fills'!I2675="3M","",VLOOKUP(RIGHT('ATP Fills'!I2675,2),Helper1!$O$36:$P$48,2,0)))</f>
        <v/>
      </c>
      <c r="K2675" t="str">
        <f>IF(J2675="","",LEFT('ATP Fills'!I2675,4))</f>
        <v/>
      </c>
      <c r="L2675" t="str">
        <f>IF(A2675="","",IF('ATP Fills'!G2675="LME",'ATP Fills'!I2675,""))</f>
        <v/>
      </c>
      <c r="M2675" t="str">
        <f t="shared" si="41"/>
        <v/>
      </c>
    </row>
    <row r="2676" spans="1:13">
      <c r="A2676" t="str">
        <f>IF('ATP Fills'!A2676="","",IF('ATP Fills'!Q2676="PHILLIPSG",'ATP Fills'!F2676,""))</f>
        <v/>
      </c>
      <c r="B2676" t="str">
        <f>IF(A2676="","",'ATP Fills'!L2676)</f>
        <v/>
      </c>
      <c r="C2676" t="str">
        <f>IF(A2676="","",'ATP Fills'!M2676)</f>
        <v/>
      </c>
      <c r="D2676" t="str">
        <f>IF(A2676="","",'ATP Fills'!B2676)</f>
        <v/>
      </c>
      <c r="E2676" s="3" t="str">
        <f>IF(A2676="","",IF(DATE(LEFT(D2676,4),MID(D2676,5,2),RIGHT(D2676,2))=Helper1!$P$1,Helper1!$P$1,""))</f>
        <v/>
      </c>
      <c r="F2676" s="3" t="str">
        <f>IF(A2676="","",'ATP Fills'!G2676)</f>
        <v/>
      </c>
      <c r="G2676" t="str">
        <f>IF(A2676="","",'ATP Fills'!H2676)</f>
        <v/>
      </c>
      <c r="H2676" t="str">
        <f>IF(A2676="","",VLOOKUP(G2676,表3_3[],2,0))</f>
        <v/>
      </c>
      <c r="I2676" t="str">
        <f>IF(A2676="","",VLOOKUP(G2676,表3_3[],3,0))</f>
        <v/>
      </c>
      <c r="J2676" t="str">
        <f>IF(A2676="","",IF('ATP Fills'!I2676="3M","",VLOOKUP(RIGHT('ATP Fills'!I2676,2),Helper1!$O$36:$P$48,2,0)))</f>
        <v/>
      </c>
      <c r="K2676" t="str">
        <f>IF(J2676="","",LEFT('ATP Fills'!I2676,4))</f>
        <v/>
      </c>
      <c r="L2676" t="str">
        <f>IF(A2676="","",IF('ATP Fills'!G2676="LME",'ATP Fills'!I2676,""))</f>
        <v/>
      </c>
      <c r="M2676" t="str">
        <f t="shared" si="41"/>
        <v/>
      </c>
    </row>
    <row r="2677" spans="1:13">
      <c r="A2677" t="str">
        <f>IF('ATP Fills'!A2677="","",IF('ATP Fills'!Q2677="PHILLIPSG",'ATP Fills'!F2677,""))</f>
        <v/>
      </c>
      <c r="B2677" t="str">
        <f>IF(A2677="","",'ATP Fills'!L2677)</f>
        <v/>
      </c>
      <c r="C2677" t="str">
        <f>IF(A2677="","",'ATP Fills'!M2677)</f>
        <v/>
      </c>
      <c r="D2677" t="str">
        <f>IF(A2677="","",'ATP Fills'!B2677)</f>
        <v/>
      </c>
      <c r="E2677" s="3" t="str">
        <f>IF(A2677="","",IF(DATE(LEFT(D2677,4),MID(D2677,5,2),RIGHT(D2677,2))=Helper1!$P$1,Helper1!$P$1,""))</f>
        <v/>
      </c>
      <c r="F2677" s="3" t="str">
        <f>IF(A2677="","",'ATP Fills'!G2677)</f>
        <v/>
      </c>
      <c r="G2677" t="str">
        <f>IF(A2677="","",'ATP Fills'!H2677)</f>
        <v/>
      </c>
      <c r="H2677" t="str">
        <f>IF(A2677="","",VLOOKUP(G2677,表3_3[],2,0))</f>
        <v/>
      </c>
      <c r="I2677" t="str">
        <f>IF(A2677="","",VLOOKUP(G2677,表3_3[],3,0))</f>
        <v/>
      </c>
      <c r="J2677" t="str">
        <f>IF(A2677="","",IF('ATP Fills'!I2677="3M","",VLOOKUP(RIGHT('ATP Fills'!I2677,2),Helper1!$O$36:$P$48,2,0)))</f>
        <v/>
      </c>
      <c r="K2677" t="str">
        <f>IF(J2677="","",LEFT('ATP Fills'!I2677,4))</f>
        <v/>
      </c>
      <c r="L2677" t="str">
        <f>IF(A2677="","",IF('ATP Fills'!G2677="LME",'ATP Fills'!I2677,""))</f>
        <v/>
      </c>
      <c r="M2677" t="str">
        <f t="shared" si="41"/>
        <v/>
      </c>
    </row>
    <row r="2678" spans="1:13">
      <c r="A2678" t="str">
        <f>IF('ATP Fills'!A2678="","",IF('ATP Fills'!Q2678="PHILLIPSG",'ATP Fills'!F2678,""))</f>
        <v/>
      </c>
      <c r="B2678" t="str">
        <f>IF(A2678="","",'ATP Fills'!L2678)</f>
        <v/>
      </c>
      <c r="C2678" t="str">
        <f>IF(A2678="","",'ATP Fills'!M2678)</f>
        <v/>
      </c>
      <c r="D2678" t="str">
        <f>IF(A2678="","",'ATP Fills'!B2678)</f>
        <v/>
      </c>
      <c r="E2678" s="3" t="str">
        <f>IF(A2678="","",IF(DATE(LEFT(D2678,4),MID(D2678,5,2),RIGHT(D2678,2))=Helper1!$P$1,Helper1!$P$1,""))</f>
        <v/>
      </c>
      <c r="F2678" s="3" t="str">
        <f>IF(A2678="","",'ATP Fills'!G2678)</f>
        <v/>
      </c>
      <c r="G2678" t="str">
        <f>IF(A2678="","",'ATP Fills'!H2678)</f>
        <v/>
      </c>
      <c r="H2678" t="str">
        <f>IF(A2678="","",VLOOKUP(G2678,表3_3[],2,0))</f>
        <v/>
      </c>
      <c r="I2678" t="str">
        <f>IF(A2678="","",VLOOKUP(G2678,表3_3[],3,0))</f>
        <v/>
      </c>
      <c r="J2678" t="str">
        <f>IF(A2678="","",IF('ATP Fills'!I2678="3M","",VLOOKUP(RIGHT('ATP Fills'!I2678,2),Helper1!$O$36:$P$48,2,0)))</f>
        <v/>
      </c>
      <c r="K2678" t="str">
        <f>IF(J2678="","",LEFT('ATP Fills'!I2678,4))</f>
        <v/>
      </c>
      <c r="L2678" t="str">
        <f>IF(A2678="","",IF('ATP Fills'!G2678="LME",'ATP Fills'!I2678,""))</f>
        <v/>
      </c>
      <c r="M2678" t="str">
        <f t="shared" si="41"/>
        <v/>
      </c>
    </row>
    <row r="2679" spans="1:13">
      <c r="A2679" t="str">
        <f>IF('ATP Fills'!A2679="","",IF('ATP Fills'!Q2679="PHILLIPSG",'ATP Fills'!F2679,""))</f>
        <v/>
      </c>
      <c r="B2679" t="str">
        <f>IF(A2679="","",'ATP Fills'!L2679)</f>
        <v/>
      </c>
      <c r="C2679" t="str">
        <f>IF(A2679="","",'ATP Fills'!M2679)</f>
        <v/>
      </c>
      <c r="D2679" t="str">
        <f>IF(A2679="","",'ATP Fills'!B2679)</f>
        <v/>
      </c>
      <c r="E2679" s="3" t="str">
        <f>IF(A2679="","",IF(DATE(LEFT(D2679,4),MID(D2679,5,2),RIGHT(D2679,2))=Helper1!$P$1,Helper1!$P$1,""))</f>
        <v/>
      </c>
      <c r="F2679" s="3" t="str">
        <f>IF(A2679="","",'ATP Fills'!G2679)</f>
        <v/>
      </c>
      <c r="G2679" t="str">
        <f>IF(A2679="","",'ATP Fills'!H2679)</f>
        <v/>
      </c>
      <c r="H2679" t="str">
        <f>IF(A2679="","",VLOOKUP(G2679,表3_3[],2,0))</f>
        <v/>
      </c>
      <c r="I2679" t="str">
        <f>IF(A2679="","",VLOOKUP(G2679,表3_3[],3,0))</f>
        <v/>
      </c>
      <c r="J2679" t="str">
        <f>IF(A2679="","",IF('ATP Fills'!I2679="3M","",VLOOKUP(RIGHT('ATP Fills'!I2679,2),Helper1!$O$36:$P$48,2,0)))</f>
        <v/>
      </c>
      <c r="K2679" t="str">
        <f>IF(J2679="","",LEFT('ATP Fills'!I2679,4))</f>
        <v/>
      </c>
      <c r="L2679" t="str">
        <f>IF(A2679="","",IF('ATP Fills'!G2679="LME",'ATP Fills'!I2679,""))</f>
        <v/>
      </c>
      <c r="M2679" t="str">
        <f t="shared" si="41"/>
        <v/>
      </c>
    </row>
    <row r="2680" spans="1:13">
      <c r="A2680" t="str">
        <f>IF('ATP Fills'!A2680="","",IF('ATP Fills'!Q2680="PHILLIPSG",'ATP Fills'!F2680,""))</f>
        <v/>
      </c>
      <c r="B2680" t="str">
        <f>IF(A2680="","",'ATP Fills'!L2680)</f>
        <v/>
      </c>
      <c r="C2680" t="str">
        <f>IF(A2680="","",'ATP Fills'!M2680)</f>
        <v/>
      </c>
      <c r="D2680" t="str">
        <f>IF(A2680="","",'ATP Fills'!B2680)</f>
        <v/>
      </c>
      <c r="E2680" s="3" t="str">
        <f>IF(A2680="","",IF(DATE(LEFT(D2680,4),MID(D2680,5,2),RIGHT(D2680,2))=Helper1!$P$1,Helper1!$P$1,""))</f>
        <v/>
      </c>
      <c r="F2680" s="3" t="str">
        <f>IF(A2680="","",'ATP Fills'!G2680)</f>
        <v/>
      </c>
      <c r="G2680" t="str">
        <f>IF(A2680="","",'ATP Fills'!H2680)</f>
        <v/>
      </c>
      <c r="H2680" t="str">
        <f>IF(A2680="","",VLOOKUP(G2680,表3_3[],2,0))</f>
        <v/>
      </c>
      <c r="I2680" t="str">
        <f>IF(A2680="","",VLOOKUP(G2680,表3_3[],3,0))</f>
        <v/>
      </c>
      <c r="J2680" t="str">
        <f>IF(A2680="","",IF('ATP Fills'!I2680="3M","",VLOOKUP(RIGHT('ATP Fills'!I2680,2),Helper1!$O$36:$P$48,2,0)))</f>
        <v/>
      </c>
      <c r="K2680" t="str">
        <f>IF(J2680="","",LEFT('ATP Fills'!I2680,4))</f>
        <v/>
      </c>
      <c r="L2680" t="str">
        <f>IF(A2680="","",IF('ATP Fills'!G2680="LME",'ATP Fills'!I2680,""))</f>
        <v/>
      </c>
      <c r="M2680" t="str">
        <f t="shared" si="41"/>
        <v/>
      </c>
    </row>
    <row r="2681" spans="1:13">
      <c r="A2681" t="str">
        <f>IF('ATP Fills'!A2681="","",IF('ATP Fills'!Q2681="PHILLIPSG",'ATP Fills'!F2681,""))</f>
        <v/>
      </c>
      <c r="B2681" t="str">
        <f>IF(A2681="","",'ATP Fills'!L2681)</f>
        <v/>
      </c>
      <c r="C2681" t="str">
        <f>IF(A2681="","",'ATP Fills'!M2681)</f>
        <v/>
      </c>
      <c r="D2681" t="str">
        <f>IF(A2681="","",'ATP Fills'!B2681)</f>
        <v/>
      </c>
      <c r="E2681" s="3" t="str">
        <f>IF(A2681="","",IF(DATE(LEFT(D2681,4),MID(D2681,5,2),RIGHT(D2681,2))=Helper1!$P$1,Helper1!$P$1,""))</f>
        <v/>
      </c>
      <c r="F2681" s="3" t="str">
        <f>IF(A2681="","",'ATP Fills'!G2681)</f>
        <v/>
      </c>
      <c r="G2681" t="str">
        <f>IF(A2681="","",'ATP Fills'!H2681)</f>
        <v/>
      </c>
      <c r="H2681" t="str">
        <f>IF(A2681="","",VLOOKUP(G2681,表3_3[],2,0))</f>
        <v/>
      </c>
      <c r="I2681" t="str">
        <f>IF(A2681="","",VLOOKUP(G2681,表3_3[],3,0))</f>
        <v/>
      </c>
      <c r="J2681" t="str">
        <f>IF(A2681="","",IF('ATP Fills'!I2681="3M","",VLOOKUP(RIGHT('ATP Fills'!I2681,2),Helper1!$O$36:$P$48,2,0)))</f>
        <v/>
      </c>
      <c r="K2681" t="str">
        <f>IF(J2681="","",LEFT('ATP Fills'!I2681,4))</f>
        <v/>
      </c>
      <c r="L2681" t="str">
        <f>IF(A2681="","",IF('ATP Fills'!G2681="LME",'ATP Fills'!I2681,""))</f>
        <v/>
      </c>
      <c r="M2681" t="str">
        <f t="shared" si="41"/>
        <v/>
      </c>
    </row>
    <row r="2682" spans="1:13">
      <c r="A2682" t="str">
        <f>IF('ATP Fills'!A2682="","",IF('ATP Fills'!Q2682="PHILLIPSG",'ATP Fills'!F2682,""))</f>
        <v/>
      </c>
      <c r="B2682" t="str">
        <f>IF(A2682="","",'ATP Fills'!L2682)</f>
        <v/>
      </c>
      <c r="C2682" t="str">
        <f>IF(A2682="","",'ATP Fills'!M2682)</f>
        <v/>
      </c>
      <c r="D2682" t="str">
        <f>IF(A2682="","",'ATP Fills'!B2682)</f>
        <v/>
      </c>
      <c r="E2682" s="3" t="str">
        <f>IF(A2682="","",IF(DATE(LEFT(D2682,4),MID(D2682,5,2),RIGHT(D2682,2))=Helper1!$P$1,Helper1!$P$1,""))</f>
        <v/>
      </c>
      <c r="F2682" s="3" t="str">
        <f>IF(A2682="","",'ATP Fills'!G2682)</f>
        <v/>
      </c>
      <c r="G2682" t="str">
        <f>IF(A2682="","",'ATP Fills'!H2682)</f>
        <v/>
      </c>
      <c r="H2682" t="str">
        <f>IF(A2682="","",VLOOKUP(G2682,表3_3[],2,0))</f>
        <v/>
      </c>
      <c r="I2682" t="str">
        <f>IF(A2682="","",VLOOKUP(G2682,表3_3[],3,0))</f>
        <v/>
      </c>
      <c r="J2682" t="str">
        <f>IF(A2682="","",IF('ATP Fills'!I2682="3M","",VLOOKUP(RIGHT('ATP Fills'!I2682,2),Helper1!$O$36:$P$48,2,0)))</f>
        <v/>
      </c>
      <c r="K2682" t="str">
        <f>IF(J2682="","",LEFT('ATP Fills'!I2682,4))</f>
        <v/>
      </c>
      <c r="L2682" t="str">
        <f>IF(A2682="","",IF('ATP Fills'!G2682="LME",'ATP Fills'!I2682,""))</f>
        <v/>
      </c>
      <c r="M2682" t="str">
        <f t="shared" si="41"/>
        <v/>
      </c>
    </row>
    <row r="2683" spans="1:13">
      <c r="A2683" t="str">
        <f>IF('ATP Fills'!A2683="","",IF('ATP Fills'!Q2683="PHILLIPSG",'ATP Fills'!F2683,""))</f>
        <v/>
      </c>
      <c r="B2683" t="str">
        <f>IF(A2683="","",'ATP Fills'!L2683)</f>
        <v/>
      </c>
      <c r="C2683" t="str">
        <f>IF(A2683="","",'ATP Fills'!M2683)</f>
        <v/>
      </c>
      <c r="D2683" t="str">
        <f>IF(A2683="","",'ATP Fills'!B2683)</f>
        <v/>
      </c>
      <c r="E2683" s="3" t="str">
        <f>IF(A2683="","",IF(DATE(LEFT(D2683,4),MID(D2683,5,2),RIGHT(D2683,2))=Helper1!$P$1,Helper1!$P$1,""))</f>
        <v/>
      </c>
      <c r="F2683" s="3" t="str">
        <f>IF(A2683="","",'ATP Fills'!G2683)</f>
        <v/>
      </c>
      <c r="G2683" t="str">
        <f>IF(A2683="","",'ATP Fills'!H2683)</f>
        <v/>
      </c>
      <c r="H2683" t="str">
        <f>IF(A2683="","",VLOOKUP(G2683,表3_3[],2,0))</f>
        <v/>
      </c>
      <c r="I2683" t="str">
        <f>IF(A2683="","",VLOOKUP(G2683,表3_3[],3,0))</f>
        <v/>
      </c>
      <c r="J2683" t="str">
        <f>IF(A2683="","",IF('ATP Fills'!I2683="3M","",VLOOKUP(RIGHT('ATP Fills'!I2683,2),Helper1!$O$36:$P$48,2,0)))</f>
        <v/>
      </c>
      <c r="K2683" t="str">
        <f>IF(J2683="","",LEFT('ATP Fills'!I2683,4))</f>
        <v/>
      </c>
      <c r="L2683" t="str">
        <f>IF(A2683="","",IF('ATP Fills'!G2683="LME",'ATP Fills'!I2683,""))</f>
        <v/>
      </c>
      <c r="M2683" t="str">
        <f t="shared" si="41"/>
        <v/>
      </c>
    </row>
    <row r="2684" spans="1:13">
      <c r="A2684" t="str">
        <f>IF('ATP Fills'!A2684="","",IF('ATP Fills'!Q2684="PHILLIPSG",'ATP Fills'!F2684,""))</f>
        <v/>
      </c>
      <c r="B2684" t="str">
        <f>IF(A2684="","",'ATP Fills'!L2684)</f>
        <v/>
      </c>
      <c r="C2684" t="str">
        <f>IF(A2684="","",'ATP Fills'!M2684)</f>
        <v/>
      </c>
      <c r="D2684" t="str">
        <f>IF(A2684="","",'ATP Fills'!B2684)</f>
        <v/>
      </c>
      <c r="E2684" s="3" t="str">
        <f>IF(A2684="","",IF(DATE(LEFT(D2684,4),MID(D2684,5,2),RIGHT(D2684,2))=Helper1!$P$1,Helper1!$P$1,""))</f>
        <v/>
      </c>
      <c r="F2684" s="3" t="str">
        <f>IF(A2684="","",'ATP Fills'!G2684)</f>
        <v/>
      </c>
      <c r="G2684" t="str">
        <f>IF(A2684="","",'ATP Fills'!H2684)</f>
        <v/>
      </c>
      <c r="H2684" t="str">
        <f>IF(A2684="","",VLOOKUP(G2684,表3_3[],2,0))</f>
        <v/>
      </c>
      <c r="I2684" t="str">
        <f>IF(A2684="","",VLOOKUP(G2684,表3_3[],3,0))</f>
        <v/>
      </c>
      <c r="J2684" t="str">
        <f>IF(A2684="","",IF('ATP Fills'!I2684="3M","",VLOOKUP(RIGHT('ATP Fills'!I2684,2),Helper1!$O$36:$P$48,2,0)))</f>
        <v/>
      </c>
      <c r="K2684" t="str">
        <f>IF(J2684="","",LEFT('ATP Fills'!I2684,4))</f>
        <v/>
      </c>
      <c r="L2684" t="str">
        <f>IF(A2684="","",IF('ATP Fills'!G2684="LME",'ATP Fills'!I2684,""))</f>
        <v/>
      </c>
      <c r="M2684" t="str">
        <f t="shared" si="41"/>
        <v/>
      </c>
    </row>
    <row r="2685" spans="1:13">
      <c r="A2685" t="str">
        <f>IF('ATP Fills'!A2685="","",IF('ATP Fills'!Q2685="PHILLIPSG",'ATP Fills'!F2685,""))</f>
        <v/>
      </c>
      <c r="B2685" t="str">
        <f>IF(A2685="","",'ATP Fills'!L2685)</f>
        <v/>
      </c>
      <c r="C2685" t="str">
        <f>IF(A2685="","",'ATP Fills'!M2685)</f>
        <v/>
      </c>
      <c r="D2685" t="str">
        <f>IF(A2685="","",'ATP Fills'!B2685)</f>
        <v/>
      </c>
      <c r="E2685" s="3" t="str">
        <f>IF(A2685="","",IF(DATE(LEFT(D2685,4),MID(D2685,5,2),RIGHT(D2685,2))=Helper1!$P$1,Helper1!$P$1,""))</f>
        <v/>
      </c>
      <c r="F2685" s="3" t="str">
        <f>IF(A2685="","",'ATP Fills'!G2685)</f>
        <v/>
      </c>
      <c r="G2685" t="str">
        <f>IF(A2685="","",'ATP Fills'!H2685)</f>
        <v/>
      </c>
      <c r="H2685" t="str">
        <f>IF(A2685="","",VLOOKUP(G2685,表3_3[],2,0))</f>
        <v/>
      </c>
      <c r="I2685" t="str">
        <f>IF(A2685="","",VLOOKUP(G2685,表3_3[],3,0))</f>
        <v/>
      </c>
      <c r="J2685" t="str">
        <f>IF(A2685="","",IF('ATP Fills'!I2685="3M","",VLOOKUP(RIGHT('ATP Fills'!I2685,2),Helper1!$O$36:$P$48,2,0)))</f>
        <v/>
      </c>
      <c r="K2685" t="str">
        <f>IF(J2685="","",LEFT('ATP Fills'!I2685,4))</f>
        <v/>
      </c>
      <c r="L2685" t="str">
        <f>IF(A2685="","",IF('ATP Fills'!G2685="LME",'ATP Fills'!I2685,""))</f>
        <v/>
      </c>
      <c r="M2685" t="str">
        <f t="shared" si="41"/>
        <v/>
      </c>
    </row>
    <row r="2686" spans="1:13">
      <c r="A2686" t="str">
        <f>IF('ATP Fills'!A2686="","",IF('ATP Fills'!Q2686="PHILLIPSG",'ATP Fills'!F2686,""))</f>
        <v/>
      </c>
      <c r="B2686" t="str">
        <f>IF(A2686="","",'ATP Fills'!L2686)</f>
        <v/>
      </c>
      <c r="C2686" t="str">
        <f>IF(A2686="","",'ATP Fills'!M2686)</f>
        <v/>
      </c>
      <c r="D2686" t="str">
        <f>IF(A2686="","",'ATP Fills'!B2686)</f>
        <v/>
      </c>
      <c r="E2686" s="3" t="str">
        <f>IF(A2686="","",IF(DATE(LEFT(D2686,4),MID(D2686,5,2),RIGHT(D2686,2))=Helper1!$P$1,Helper1!$P$1,""))</f>
        <v/>
      </c>
      <c r="F2686" s="3" t="str">
        <f>IF(A2686="","",'ATP Fills'!G2686)</f>
        <v/>
      </c>
      <c r="G2686" t="str">
        <f>IF(A2686="","",'ATP Fills'!H2686)</f>
        <v/>
      </c>
      <c r="H2686" t="str">
        <f>IF(A2686="","",VLOOKUP(G2686,表3_3[],2,0))</f>
        <v/>
      </c>
      <c r="I2686" t="str">
        <f>IF(A2686="","",VLOOKUP(G2686,表3_3[],3,0))</f>
        <v/>
      </c>
      <c r="J2686" t="str">
        <f>IF(A2686="","",IF('ATP Fills'!I2686="3M","",VLOOKUP(RIGHT('ATP Fills'!I2686,2),Helper1!$O$36:$P$48,2,0)))</f>
        <v/>
      </c>
      <c r="K2686" t="str">
        <f>IF(J2686="","",LEFT('ATP Fills'!I2686,4))</f>
        <v/>
      </c>
      <c r="L2686" t="str">
        <f>IF(A2686="","",IF('ATP Fills'!G2686="LME",'ATP Fills'!I2686,""))</f>
        <v/>
      </c>
      <c r="M2686" t="str">
        <f t="shared" si="41"/>
        <v/>
      </c>
    </row>
    <row r="2687" spans="1:13">
      <c r="A2687" t="str">
        <f>IF('ATP Fills'!A2687="","",IF('ATP Fills'!Q2687="PHILLIPSG",'ATP Fills'!F2687,""))</f>
        <v/>
      </c>
      <c r="B2687" t="str">
        <f>IF(A2687="","",'ATP Fills'!L2687)</f>
        <v/>
      </c>
      <c r="C2687" t="str">
        <f>IF(A2687="","",'ATP Fills'!M2687)</f>
        <v/>
      </c>
      <c r="D2687" t="str">
        <f>IF(A2687="","",'ATP Fills'!B2687)</f>
        <v/>
      </c>
      <c r="E2687" s="3" t="str">
        <f>IF(A2687="","",IF(DATE(LEFT(D2687,4),MID(D2687,5,2),RIGHT(D2687,2))=Helper1!$P$1,Helper1!$P$1,""))</f>
        <v/>
      </c>
      <c r="F2687" s="3" t="str">
        <f>IF(A2687="","",'ATP Fills'!G2687)</f>
        <v/>
      </c>
      <c r="G2687" t="str">
        <f>IF(A2687="","",'ATP Fills'!H2687)</f>
        <v/>
      </c>
      <c r="H2687" t="str">
        <f>IF(A2687="","",VLOOKUP(G2687,表3_3[],2,0))</f>
        <v/>
      </c>
      <c r="I2687" t="str">
        <f>IF(A2687="","",VLOOKUP(G2687,表3_3[],3,0))</f>
        <v/>
      </c>
      <c r="J2687" t="str">
        <f>IF(A2687="","",IF('ATP Fills'!I2687="3M","",VLOOKUP(RIGHT('ATP Fills'!I2687,2),Helper1!$O$36:$P$48,2,0)))</f>
        <v/>
      </c>
      <c r="K2687" t="str">
        <f>IF(J2687="","",LEFT('ATP Fills'!I2687,4))</f>
        <v/>
      </c>
      <c r="L2687" t="str">
        <f>IF(A2687="","",IF('ATP Fills'!G2687="LME",'ATP Fills'!I2687,""))</f>
        <v/>
      </c>
      <c r="M2687" t="str">
        <f t="shared" si="41"/>
        <v/>
      </c>
    </row>
    <row r="2688" spans="1:13">
      <c r="A2688" t="str">
        <f>IF('ATP Fills'!A2688="","",IF('ATP Fills'!Q2688="PHILLIPSG",'ATP Fills'!F2688,""))</f>
        <v/>
      </c>
      <c r="B2688" t="str">
        <f>IF(A2688="","",'ATP Fills'!L2688)</f>
        <v/>
      </c>
      <c r="C2688" t="str">
        <f>IF(A2688="","",'ATP Fills'!M2688)</f>
        <v/>
      </c>
      <c r="D2688" t="str">
        <f>IF(A2688="","",'ATP Fills'!B2688)</f>
        <v/>
      </c>
      <c r="E2688" s="3" t="str">
        <f>IF(A2688="","",IF(DATE(LEFT(D2688,4),MID(D2688,5,2),RIGHT(D2688,2))=Helper1!$P$1,Helper1!$P$1,""))</f>
        <v/>
      </c>
      <c r="F2688" s="3" t="str">
        <f>IF(A2688="","",'ATP Fills'!G2688)</f>
        <v/>
      </c>
      <c r="G2688" t="str">
        <f>IF(A2688="","",'ATP Fills'!H2688)</f>
        <v/>
      </c>
      <c r="H2688" t="str">
        <f>IF(A2688="","",VLOOKUP(G2688,表3_3[],2,0))</f>
        <v/>
      </c>
      <c r="I2688" t="str">
        <f>IF(A2688="","",VLOOKUP(G2688,表3_3[],3,0))</f>
        <v/>
      </c>
      <c r="J2688" t="str">
        <f>IF(A2688="","",IF('ATP Fills'!I2688="3M","",VLOOKUP(RIGHT('ATP Fills'!I2688,2),Helper1!$O$36:$P$48,2,0)))</f>
        <v/>
      </c>
      <c r="K2688" t="str">
        <f>IF(J2688="","",LEFT('ATP Fills'!I2688,4))</f>
        <v/>
      </c>
      <c r="L2688" t="str">
        <f>IF(A2688="","",IF('ATP Fills'!G2688="LME",'ATP Fills'!I2688,""))</f>
        <v/>
      </c>
      <c r="M2688" t="str">
        <f t="shared" si="41"/>
        <v/>
      </c>
    </row>
    <row r="2689" spans="1:13">
      <c r="A2689" t="str">
        <f>IF('ATP Fills'!A2689="","",IF('ATP Fills'!Q2689="PHILLIPSG",'ATP Fills'!F2689,""))</f>
        <v/>
      </c>
      <c r="B2689" t="str">
        <f>IF(A2689="","",'ATP Fills'!L2689)</f>
        <v/>
      </c>
      <c r="C2689" t="str">
        <f>IF(A2689="","",'ATP Fills'!M2689)</f>
        <v/>
      </c>
      <c r="D2689" t="str">
        <f>IF(A2689="","",'ATP Fills'!B2689)</f>
        <v/>
      </c>
      <c r="E2689" s="3" t="str">
        <f>IF(A2689="","",IF(DATE(LEFT(D2689,4),MID(D2689,5,2),RIGHT(D2689,2))=Helper1!$P$1,Helper1!$P$1,""))</f>
        <v/>
      </c>
      <c r="F2689" s="3" t="str">
        <f>IF(A2689="","",'ATP Fills'!G2689)</f>
        <v/>
      </c>
      <c r="G2689" t="str">
        <f>IF(A2689="","",'ATP Fills'!H2689)</f>
        <v/>
      </c>
      <c r="H2689" t="str">
        <f>IF(A2689="","",VLOOKUP(G2689,表3_3[],2,0))</f>
        <v/>
      </c>
      <c r="I2689" t="str">
        <f>IF(A2689="","",VLOOKUP(G2689,表3_3[],3,0))</f>
        <v/>
      </c>
      <c r="J2689" t="str">
        <f>IF(A2689="","",IF('ATP Fills'!I2689="3M","",VLOOKUP(RIGHT('ATP Fills'!I2689,2),Helper1!$O$36:$P$48,2,0)))</f>
        <v/>
      </c>
      <c r="K2689" t="str">
        <f>IF(J2689="","",LEFT('ATP Fills'!I2689,4))</f>
        <v/>
      </c>
      <c r="L2689" t="str">
        <f>IF(A2689="","",IF('ATP Fills'!G2689="LME",'ATP Fills'!I2689,""))</f>
        <v/>
      </c>
      <c r="M2689" t="str">
        <f t="shared" si="41"/>
        <v/>
      </c>
    </row>
    <row r="2690" spans="1:13">
      <c r="A2690" t="str">
        <f>IF('ATP Fills'!A2690="","",IF('ATP Fills'!Q2690="PHILLIPSG",'ATP Fills'!F2690,""))</f>
        <v/>
      </c>
      <c r="B2690" t="str">
        <f>IF(A2690="","",'ATP Fills'!L2690)</f>
        <v/>
      </c>
      <c r="C2690" t="str">
        <f>IF(A2690="","",'ATP Fills'!M2690)</f>
        <v/>
      </c>
      <c r="D2690" t="str">
        <f>IF(A2690="","",'ATP Fills'!B2690)</f>
        <v/>
      </c>
      <c r="E2690" s="3" t="str">
        <f>IF(A2690="","",IF(DATE(LEFT(D2690,4),MID(D2690,5,2),RIGHT(D2690,2))=Helper1!$P$1,Helper1!$P$1,""))</f>
        <v/>
      </c>
      <c r="F2690" s="3" t="str">
        <f>IF(A2690="","",'ATP Fills'!G2690)</f>
        <v/>
      </c>
      <c r="G2690" t="str">
        <f>IF(A2690="","",'ATP Fills'!H2690)</f>
        <v/>
      </c>
      <c r="H2690" t="str">
        <f>IF(A2690="","",VLOOKUP(G2690,表3_3[],2,0))</f>
        <v/>
      </c>
      <c r="I2690" t="str">
        <f>IF(A2690="","",VLOOKUP(G2690,表3_3[],3,0))</f>
        <v/>
      </c>
      <c r="J2690" t="str">
        <f>IF(A2690="","",IF('ATP Fills'!I2690="3M","",VLOOKUP(RIGHT('ATP Fills'!I2690,2),Helper1!$O$36:$P$48,2,0)))</f>
        <v/>
      </c>
      <c r="K2690" t="str">
        <f>IF(J2690="","",LEFT('ATP Fills'!I2690,4))</f>
        <v/>
      </c>
      <c r="L2690" t="str">
        <f>IF(A2690="","",IF('ATP Fills'!G2690="LME",'ATP Fills'!I2690,""))</f>
        <v/>
      </c>
      <c r="M2690" t="str">
        <f t="shared" si="41"/>
        <v/>
      </c>
    </row>
    <row r="2691" spans="1:13">
      <c r="A2691" t="str">
        <f>IF('ATP Fills'!A2691="","",IF('ATP Fills'!Q2691="PHILLIPSG",'ATP Fills'!F2691,""))</f>
        <v/>
      </c>
      <c r="B2691" t="str">
        <f>IF(A2691="","",'ATP Fills'!L2691)</f>
        <v/>
      </c>
      <c r="C2691" t="str">
        <f>IF(A2691="","",'ATP Fills'!M2691)</f>
        <v/>
      </c>
      <c r="D2691" t="str">
        <f>IF(A2691="","",'ATP Fills'!B2691)</f>
        <v/>
      </c>
      <c r="E2691" s="3" t="str">
        <f>IF(A2691="","",IF(DATE(LEFT(D2691,4),MID(D2691,5,2),RIGHT(D2691,2))=Helper1!$P$1,Helper1!$P$1,""))</f>
        <v/>
      </c>
      <c r="F2691" s="3" t="str">
        <f>IF(A2691="","",'ATP Fills'!G2691)</f>
        <v/>
      </c>
      <c r="G2691" t="str">
        <f>IF(A2691="","",'ATP Fills'!H2691)</f>
        <v/>
      </c>
      <c r="H2691" t="str">
        <f>IF(A2691="","",VLOOKUP(G2691,表3_3[],2,0))</f>
        <v/>
      </c>
      <c r="I2691" t="str">
        <f>IF(A2691="","",VLOOKUP(G2691,表3_3[],3,0))</f>
        <v/>
      </c>
      <c r="J2691" t="str">
        <f>IF(A2691="","",IF('ATP Fills'!I2691="3M","",VLOOKUP(RIGHT('ATP Fills'!I2691,2),Helper1!$O$36:$P$48,2,0)))</f>
        <v/>
      </c>
      <c r="K2691" t="str">
        <f>IF(J2691="","",LEFT('ATP Fills'!I2691,4))</f>
        <v/>
      </c>
      <c r="L2691" t="str">
        <f>IF(A2691="","",IF('ATP Fills'!G2691="LME",'ATP Fills'!I2691,""))</f>
        <v/>
      </c>
      <c r="M2691" t="str">
        <f t="shared" ref="M2691:M2754" si="42">IF(A2691="","",IF(F2691="LME",F2691&amp;"-"&amp;I2691&amp;"-"&amp;L2691,J2691&amp;"-"&amp;K2691&amp;"-"&amp;I2691))</f>
        <v/>
      </c>
    </row>
    <row r="2692" spans="1:13">
      <c r="A2692" t="str">
        <f>IF('ATP Fills'!A2692="","",IF('ATP Fills'!Q2692="PHILLIPSG",'ATP Fills'!F2692,""))</f>
        <v/>
      </c>
      <c r="B2692" t="str">
        <f>IF(A2692="","",'ATP Fills'!L2692)</f>
        <v/>
      </c>
      <c r="C2692" t="str">
        <f>IF(A2692="","",'ATP Fills'!M2692)</f>
        <v/>
      </c>
      <c r="D2692" t="str">
        <f>IF(A2692="","",'ATP Fills'!B2692)</f>
        <v/>
      </c>
      <c r="E2692" s="3" t="str">
        <f>IF(A2692="","",IF(DATE(LEFT(D2692,4),MID(D2692,5,2),RIGHT(D2692,2))=Helper1!$P$1,Helper1!$P$1,""))</f>
        <v/>
      </c>
      <c r="F2692" s="3" t="str">
        <f>IF(A2692="","",'ATP Fills'!G2692)</f>
        <v/>
      </c>
      <c r="G2692" t="str">
        <f>IF(A2692="","",'ATP Fills'!H2692)</f>
        <v/>
      </c>
      <c r="H2692" t="str">
        <f>IF(A2692="","",VLOOKUP(G2692,表3_3[],2,0))</f>
        <v/>
      </c>
      <c r="I2692" t="str">
        <f>IF(A2692="","",VLOOKUP(G2692,表3_3[],3,0))</f>
        <v/>
      </c>
      <c r="J2692" t="str">
        <f>IF(A2692="","",IF('ATP Fills'!I2692="3M","",VLOOKUP(RIGHT('ATP Fills'!I2692,2),Helper1!$O$36:$P$48,2,0)))</f>
        <v/>
      </c>
      <c r="K2692" t="str">
        <f>IF(J2692="","",LEFT('ATP Fills'!I2692,4))</f>
        <v/>
      </c>
      <c r="L2692" t="str">
        <f>IF(A2692="","",IF('ATP Fills'!G2692="LME",'ATP Fills'!I2692,""))</f>
        <v/>
      </c>
      <c r="M2692" t="str">
        <f t="shared" si="42"/>
        <v/>
      </c>
    </row>
    <row r="2693" spans="1:13">
      <c r="A2693" t="str">
        <f>IF('ATP Fills'!A2693="","",IF('ATP Fills'!Q2693="PHILLIPSG",'ATP Fills'!F2693,""))</f>
        <v/>
      </c>
      <c r="B2693" t="str">
        <f>IF(A2693="","",'ATP Fills'!L2693)</f>
        <v/>
      </c>
      <c r="C2693" t="str">
        <f>IF(A2693="","",'ATP Fills'!M2693)</f>
        <v/>
      </c>
      <c r="D2693" t="str">
        <f>IF(A2693="","",'ATP Fills'!B2693)</f>
        <v/>
      </c>
      <c r="E2693" s="3" t="str">
        <f>IF(A2693="","",IF(DATE(LEFT(D2693,4),MID(D2693,5,2),RIGHT(D2693,2))=Helper1!$P$1,Helper1!$P$1,""))</f>
        <v/>
      </c>
      <c r="F2693" s="3" t="str">
        <f>IF(A2693="","",'ATP Fills'!G2693)</f>
        <v/>
      </c>
      <c r="G2693" t="str">
        <f>IF(A2693="","",'ATP Fills'!H2693)</f>
        <v/>
      </c>
      <c r="H2693" t="str">
        <f>IF(A2693="","",VLOOKUP(G2693,表3_3[],2,0))</f>
        <v/>
      </c>
      <c r="I2693" t="str">
        <f>IF(A2693="","",VLOOKUP(G2693,表3_3[],3,0))</f>
        <v/>
      </c>
      <c r="J2693" t="str">
        <f>IF(A2693="","",IF('ATP Fills'!I2693="3M","",VLOOKUP(RIGHT('ATP Fills'!I2693,2),Helper1!$O$36:$P$48,2,0)))</f>
        <v/>
      </c>
      <c r="K2693" t="str">
        <f>IF(J2693="","",LEFT('ATP Fills'!I2693,4))</f>
        <v/>
      </c>
      <c r="L2693" t="str">
        <f>IF(A2693="","",IF('ATP Fills'!G2693="LME",'ATP Fills'!I2693,""))</f>
        <v/>
      </c>
      <c r="M2693" t="str">
        <f t="shared" si="42"/>
        <v/>
      </c>
    </row>
    <row r="2694" spans="1:13">
      <c r="A2694" t="str">
        <f>IF('ATP Fills'!A2694="","",IF('ATP Fills'!Q2694="PHILLIPSG",'ATP Fills'!F2694,""))</f>
        <v/>
      </c>
      <c r="B2694" t="str">
        <f>IF(A2694="","",'ATP Fills'!L2694)</f>
        <v/>
      </c>
      <c r="C2694" t="str">
        <f>IF(A2694="","",'ATP Fills'!M2694)</f>
        <v/>
      </c>
      <c r="D2694" t="str">
        <f>IF(A2694="","",'ATP Fills'!B2694)</f>
        <v/>
      </c>
      <c r="E2694" s="3" t="str">
        <f>IF(A2694="","",IF(DATE(LEFT(D2694,4),MID(D2694,5,2),RIGHT(D2694,2))=Helper1!$P$1,Helper1!$P$1,""))</f>
        <v/>
      </c>
      <c r="F2694" s="3" t="str">
        <f>IF(A2694="","",'ATP Fills'!G2694)</f>
        <v/>
      </c>
      <c r="G2694" t="str">
        <f>IF(A2694="","",'ATP Fills'!H2694)</f>
        <v/>
      </c>
      <c r="H2694" t="str">
        <f>IF(A2694="","",VLOOKUP(G2694,表3_3[],2,0))</f>
        <v/>
      </c>
      <c r="I2694" t="str">
        <f>IF(A2694="","",VLOOKUP(G2694,表3_3[],3,0))</f>
        <v/>
      </c>
      <c r="J2694" t="str">
        <f>IF(A2694="","",IF('ATP Fills'!I2694="3M","",VLOOKUP(RIGHT('ATP Fills'!I2694,2),Helper1!$O$36:$P$48,2,0)))</f>
        <v/>
      </c>
      <c r="K2694" t="str">
        <f>IF(J2694="","",LEFT('ATP Fills'!I2694,4))</f>
        <v/>
      </c>
      <c r="L2694" t="str">
        <f>IF(A2694="","",IF('ATP Fills'!G2694="LME",'ATP Fills'!I2694,""))</f>
        <v/>
      </c>
      <c r="M2694" t="str">
        <f t="shared" si="42"/>
        <v/>
      </c>
    </row>
    <row r="2695" spans="1:13">
      <c r="A2695" t="str">
        <f>IF('ATP Fills'!A2695="","",IF('ATP Fills'!Q2695="PHILLIPSG",'ATP Fills'!F2695,""))</f>
        <v/>
      </c>
      <c r="B2695" t="str">
        <f>IF(A2695="","",'ATP Fills'!L2695)</f>
        <v/>
      </c>
      <c r="C2695" t="str">
        <f>IF(A2695="","",'ATP Fills'!M2695)</f>
        <v/>
      </c>
      <c r="D2695" t="str">
        <f>IF(A2695="","",'ATP Fills'!B2695)</f>
        <v/>
      </c>
      <c r="E2695" s="3" t="str">
        <f>IF(A2695="","",IF(DATE(LEFT(D2695,4),MID(D2695,5,2),RIGHT(D2695,2))=Helper1!$P$1,Helper1!$P$1,""))</f>
        <v/>
      </c>
      <c r="F2695" s="3" t="str">
        <f>IF(A2695="","",'ATP Fills'!G2695)</f>
        <v/>
      </c>
      <c r="G2695" t="str">
        <f>IF(A2695="","",'ATP Fills'!H2695)</f>
        <v/>
      </c>
      <c r="H2695" t="str">
        <f>IF(A2695="","",VLOOKUP(G2695,表3_3[],2,0))</f>
        <v/>
      </c>
      <c r="I2695" t="str">
        <f>IF(A2695="","",VLOOKUP(G2695,表3_3[],3,0))</f>
        <v/>
      </c>
      <c r="J2695" t="str">
        <f>IF(A2695="","",IF('ATP Fills'!I2695="3M","",VLOOKUP(RIGHT('ATP Fills'!I2695,2),Helper1!$O$36:$P$48,2,0)))</f>
        <v/>
      </c>
      <c r="K2695" t="str">
        <f>IF(J2695="","",LEFT('ATP Fills'!I2695,4))</f>
        <v/>
      </c>
      <c r="L2695" t="str">
        <f>IF(A2695="","",IF('ATP Fills'!G2695="LME",'ATP Fills'!I2695,""))</f>
        <v/>
      </c>
      <c r="M2695" t="str">
        <f t="shared" si="42"/>
        <v/>
      </c>
    </row>
    <row r="2696" spans="1:13">
      <c r="A2696" t="str">
        <f>IF('ATP Fills'!A2696="","",IF('ATP Fills'!Q2696="PHILLIPSG",'ATP Fills'!F2696,""))</f>
        <v/>
      </c>
      <c r="B2696" t="str">
        <f>IF(A2696="","",'ATP Fills'!L2696)</f>
        <v/>
      </c>
      <c r="C2696" t="str">
        <f>IF(A2696="","",'ATP Fills'!M2696)</f>
        <v/>
      </c>
      <c r="D2696" t="str">
        <f>IF(A2696="","",'ATP Fills'!B2696)</f>
        <v/>
      </c>
      <c r="E2696" s="3" t="str">
        <f>IF(A2696="","",IF(DATE(LEFT(D2696,4),MID(D2696,5,2),RIGHT(D2696,2))=Helper1!$P$1,Helper1!$P$1,""))</f>
        <v/>
      </c>
      <c r="F2696" s="3" t="str">
        <f>IF(A2696="","",'ATP Fills'!G2696)</f>
        <v/>
      </c>
      <c r="G2696" t="str">
        <f>IF(A2696="","",'ATP Fills'!H2696)</f>
        <v/>
      </c>
      <c r="H2696" t="str">
        <f>IF(A2696="","",VLOOKUP(G2696,表3_3[],2,0))</f>
        <v/>
      </c>
      <c r="I2696" t="str">
        <f>IF(A2696="","",VLOOKUP(G2696,表3_3[],3,0))</f>
        <v/>
      </c>
      <c r="J2696" t="str">
        <f>IF(A2696="","",IF('ATP Fills'!I2696="3M","",VLOOKUP(RIGHT('ATP Fills'!I2696,2),Helper1!$O$36:$P$48,2,0)))</f>
        <v/>
      </c>
      <c r="K2696" t="str">
        <f>IF(J2696="","",LEFT('ATP Fills'!I2696,4))</f>
        <v/>
      </c>
      <c r="L2696" t="str">
        <f>IF(A2696="","",IF('ATP Fills'!G2696="LME",'ATP Fills'!I2696,""))</f>
        <v/>
      </c>
      <c r="M2696" t="str">
        <f t="shared" si="42"/>
        <v/>
      </c>
    </row>
    <row r="2697" spans="1:13">
      <c r="A2697" t="str">
        <f>IF('ATP Fills'!A2697="","",IF('ATP Fills'!Q2697="PHILLIPSG",'ATP Fills'!F2697,""))</f>
        <v/>
      </c>
      <c r="B2697" t="str">
        <f>IF(A2697="","",'ATP Fills'!L2697)</f>
        <v/>
      </c>
      <c r="C2697" t="str">
        <f>IF(A2697="","",'ATP Fills'!M2697)</f>
        <v/>
      </c>
      <c r="D2697" t="str">
        <f>IF(A2697="","",'ATP Fills'!B2697)</f>
        <v/>
      </c>
      <c r="E2697" s="3" t="str">
        <f>IF(A2697="","",IF(DATE(LEFT(D2697,4),MID(D2697,5,2),RIGHT(D2697,2))=Helper1!$P$1,Helper1!$P$1,""))</f>
        <v/>
      </c>
      <c r="F2697" s="3" t="str">
        <f>IF(A2697="","",'ATP Fills'!G2697)</f>
        <v/>
      </c>
      <c r="G2697" t="str">
        <f>IF(A2697="","",'ATP Fills'!H2697)</f>
        <v/>
      </c>
      <c r="H2697" t="str">
        <f>IF(A2697="","",VLOOKUP(G2697,表3_3[],2,0))</f>
        <v/>
      </c>
      <c r="I2697" t="str">
        <f>IF(A2697="","",VLOOKUP(G2697,表3_3[],3,0))</f>
        <v/>
      </c>
      <c r="J2697" t="str">
        <f>IF(A2697="","",IF('ATP Fills'!I2697="3M","",VLOOKUP(RIGHT('ATP Fills'!I2697,2),Helper1!$O$36:$P$48,2,0)))</f>
        <v/>
      </c>
      <c r="K2697" t="str">
        <f>IF(J2697="","",LEFT('ATP Fills'!I2697,4))</f>
        <v/>
      </c>
      <c r="L2697" t="str">
        <f>IF(A2697="","",IF('ATP Fills'!G2697="LME",'ATP Fills'!I2697,""))</f>
        <v/>
      </c>
      <c r="M2697" t="str">
        <f t="shared" si="42"/>
        <v/>
      </c>
    </row>
    <row r="2698" spans="1:13">
      <c r="A2698" t="str">
        <f>IF('ATP Fills'!A2698="","",IF('ATP Fills'!Q2698="PHILLIPSG",'ATP Fills'!F2698,""))</f>
        <v/>
      </c>
      <c r="B2698" t="str">
        <f>IF(A2698="","",'ATP Fills'!L2698)</f>
        <v/>
      </c>
      <c r="C2698" t="str">
        <f>IF(A2698="","",'ATP Fills'!M2698)</f>
        <v/>
      </c>
      <c r="D2698" t="str">
        <f>IF(A2698="","",'ATP Fills'!B2698)</f>
        <v/>
      </c>
      <c r="E2698" s="3" t="str">
        <f>IF(A2698="","",IF(DATE(LEFT(D2698,4),MID(D2698,5,2),RIGHT(D2698,2))=Helper1!$P$1,Helper1!$P$1,""))</f>
        <v/>
      </c>
      <c r="F2698" s="3" t="str">
        <f>IF(A2698="","",'ATP Fills'!G2698)</f>
        <v/>
      </c>
      <c r="G2698" t="str">
        <f>IF(A2698="","",'ATP Fills'!H2698)</f>
        <v/>
      </c>
      <c r="H2698" t="str">
        <f>IF(A2698="","",VLOOKUP(G2698,表3_3[],2,0))</f>
        <v/>
      </c>
      <c r="I2698" t="str">
        <f>IF(A2698="","",VLOOKUP(G2698,表3_3[],3,0))</f>
        <v/>
      </c>
      <c r="J2698" t="str">
        <f>IF(A2698="","",IF('ATP Fills'!I2698="3M","",VLOOKUP(RIGHT('ATP Fills'!I2698,2),Helper1!$O$36:$P$48,2,0)))</f>
        <v/>
      </c>
      <c r="K2698" t="str">
        <f>IF(J2698="","",LEFT('ATP Fills'!I2698,4))</f>
        <v/>
      </c>
      <c r="L2698" t="str">
        <f>IF(A2698="","",IF('ATP Fills'!G2698="LME",'ATP Fills'!I2698,""))</f>
        <v/>
      </c>
      <c r="M2698" t="str">
        <f t="shared" si="42"/>
        <v/>
      </c>
    </row>
    <row r="2699" spans="1:13">
      <c r="A2699" t="str">
        <f>IF('ATP Fills'!A2699="","",IF('ATP Fills'!Q2699="PHILLIPSG",'ATP Fills'!F2699,""))</f>
        <v/>
      </c>
      <c r="B2699" t="str">
        <f>IF(A2699="","",'ATP Fills'!L2699)</f>
        <v/>
      </c>
      <c r="C2699" t="str">
        <f>IF(A2699="","",'ATP Fills'!M2699)</f>
        <v/>
      </c>
      <c r="D2699" t="str">
        <f>IF(A2699="","",'ATP Fills'!B2699)</f>
        <v/>
      </c>
      <c r="E2699" s="3" t="str">
        <f>IF(A2699="","",IF(DATE(LEFT(D2699,4),MID(D2699,5,2),RIGHT(D2699,2))=Helper1!$P$1,Helper1!$P$1,""))</f>
        <v/>
      </c>
      <c r="F2699" s="3" t="str">
        <f>IF(A2699="","",'ATP Fills'!G2699)</f>
        <v/>
      </c>
      <c r="G2699" t="str">
        <f>IF(A2699="","",'ATP Fills'!H2699)</f>
        <v/>
      </c>
      <c r="H2699" t="str">
        <f>IF(A2699="","",VLOOKUP(G2699,表3_3[],2,0))</f>
        <v/>
      </c>
      <c r="I2699" t="str">
        <f>IF(A2699="","",VLOOKUP(G2699,表3_3[],3,0))</f>
        <v/>
      </c>
      <c r="J2699" t="str">
        <f>IF(A2699="","",IF('ATP Fills'!I2699="3M","",VLOOKUP(RIGHT('ATP Fills'!I2699,2),Helper1!$O$36:$P$48,2,0)))</f>
        <v/>
      </c>
      <c r="K2699" t="str">
        <f>IF(J2699="","",LEFT('ATP Fills'!I2699,4))</f>
        <v/>
      </c>
      <c r="L2699" t="str">
        <f>IF(A2699="","",IF('ATP Fills'!G2699="LME",'ATP Fills'!I2699,""))</f>
        <v/>
      </c>
      <c r="M2699" t="str">
        <f t="shared" si="42"/>
        <v/>
      </c>
    </row>
    <row r="2700" spans="1:13">
      <c r="A2700" t="str">
        <f>IF('ATP Fills'!A2700="","",IF('ATP Fills'!Q2700="PHILLIPSG",'ATP Fills'!F2700,""))</f>
        <v/>
      </c>
      <c r="B2700" t="str">
        <f>IF(A2700="","",'ATP Fills'!L2700)</f>
        <v/>
      </c>
      <c r="C2700" t="str">
        <f>IF(A2700="","",'ATP Fills'!M2700)</f>
        <v/>
      </c>
      <c r="D2700" t="str">
        <f>IF(A2700="","",'ATP Fills'!B2700)</f>
        <v/>
      </c>
      <c r="E2700" s="3" t="str">
        <f>IF(A2700="","",IF(DATE(LEFT(D2700,4),MID(D2700,5,2),RIGHT(D2700,2))=Helper1!$P$1,Helper1!$P$1,""))</f>
        <v/>
      </c>
      <c r="F2700" s="3" t="str">
        <f>IF(A2700="","",'ATP Fills'!G2700)</f>
        <v/>
      </c>
      <c r="G2700" t="str">
        <f>IF(A2700="","",'ATP Fills'!H2700)</f>
        <v/>
      </c>
      <c r="H2700" t="str">
        <f>IF(A2700="","",VLOOKUP(G2700,表3_3[],2,0))</f>
        <v/>
      </c>
      <c r="I2700" t="str">
        <f>IF(A2700="","",VLOOKUP(G2700,表3_3[],3,0))</f>
        <v/>
      </c>
      <c r="J2700" t="str">
        <f>IF(A2700="","",IF('ATP Fills'!I2700="3M","",VLOOKUP(RIGHT('ATP Fills'!I2700,2),Helper1!$O$36:$P$48,2,0)))</f>
        <v/>
      </c>
      <c r="K2700" t="str">
        <f>IF(J2700="","",LEFT('ATP Fills'!I2700,4))</f>
        <v/>
      </c>
      <c r="L2700" t="str">
        <f>IF(A2700="","",IF('ATP Fills'!G2700="LME",'ATP Fills'!I2700,""))</f>
        <v/>
      </c>
      <c r="M2700" t="str">
        <f t="shared" si="42"/>
        <v/>
      </c>
    </row>
    <row r="2701" spans="1:13">
      <c r="A2701" t="str">
        <f>IF('ATP Fills'!A2701="","",IF('ATP Fills'!Q2701="PHILLIPSG",'ATP Fills'!F2701,""))</f>
        <v/>
      </c>
      <c r="B2701" t="str">
        <f>IF(A2701="","",'ATP Fills'!L2701)</f>
        <v/>
      </c>
      <c r="C2701" t="str">
        <f>IF(A2701="","",'ATP Fills'!M2701)</f>
        <v/>
      </c>
      <c r="D2701" t="str">
        <f>IF(A2701="","",'ATP Fills'!B2701)</f>
        <v/>
      </c>
      <c r="E2701" s="3" t="str">
        <f>IF(A2701="","",IF(DATE(LEFT(D2701,4),MID(D2701,5,2),RIGHT(D2701,2))=Helper1!$P$1,Helper1!$P$1,""))</f>
        <v/>
      </c>
      <c r="F2701" s="3" t="str">
        <f>IF(A2701="","",'ATP Fills'!G2701)</f>
        <v/>
      </c>
      <c r="G2701" t="str">
        <f>IF(A2701="","",'ATP Fills'!H2701)</f>
        <v/>
      </c>
      <c r="H2701" t="str">
        <f>IF(A2701="","",VLOOKUP(G2701,表3_3[],2,0))</f>
        <v/>
      </c>
      <c r="I2701" t="str">
        <f>IF(A2701="","",VLOOKUP(G2701,表3_3[],3,0))</f>
        <v/>
      </c>
      <c r="J2701" t="str">
        <f>IF(A2701="","",IF('ATP Fills'!I2701="3M","",VLOOKUP(RIGHT('ATP Fills'!I2701,2),Helper1!$O$36:$P$48,2,0)))</f>
        <v/>
      </c>
      <c r="K2701" t="str">
        <f>IF(J2701="","",LEFT('ATP Fills'!I2701,4))</f>
        <v/>
      </c>
      <c r="L2701" t="str">
        <f>IF(A2701="","",IF('ATP Fills'!G2701="LME",'ATP Fills'!I2701,""))</f>
        <v/>
      </c>
      <c r="M2701" t="str">
        <f t="shared" si="42"/>
        <v/>
      </c>
    </row>
    <row r="2702" spans="1:13">
      <c r="A2702" t="str">
        <f>IF('ATP Fills'!A2702="","",IF('ATP Fills'!Q2702="PHILLIPSG",'ATP Fills'!F2702,""))</f>
        <v/>
      </c>
      <c r="B2702" t="str">
        <f>IF(A2702="","",'ATP Fills'!L2702)</f>
        <v/>
      </c>
      <c r="C2702" t="str">
        <f>IF(A2702="","",'ATP Fills'!M2702)</f>
        <v/>
      </c>
      <c r="D2702" t="str">
        <f>IF(A2702="","",'ATP Fills'!B2702)</f>
        <v/>
      </c>
      <c r="E2702" s="3" t="str">
        <f>IF(A2702="","",IF(DATE(LEFT(D2702,4),MID(D2702,5,2),RIGHT(D2702,2))=Helper1!$P$1,Helper1!$P$1,""))</f>
        <v/>
      </c>
      <c r="F2702" s="3" t="str">
        <f>IF(A2702="","",'ATP Fills'!G2702)</f>
        <v/>
      </c>
      <c r="G2702" t="str">
        <f>IF(A2702="","",'ATP Fills'!H2702)</f>
        <v/>
      </c>
      <c r="H2702" t="str">
        <f>IF(A2702="","",VLOOKUP(G2702,表3_3[],2,0))</f>
        <v/>
      </c>
      <c r="I2702" t="str">
        <f>IF(A2702="","",VLOOKUP(G2702,表3_3[],3,0))</f>
        <v/>
      </c>
      <c r="J2702" t="str">
        <f>IF(A2702="","",IF('ATP Fills'!I2702="3M","",VLOOKUP(RIGHT('ATP Fills'!I2702,2),Helper1!$O$36:$P$48,2,0)))</f>
        <v/>
      </c>
      <c r="K2702" t="str">
        <f>IF(J2702="","",LEFT('ATP Fills'!I2702,4))</f>
        <v/>
      </c>
      <c r="L2702" t="str">
        <f>IF(A2702="","",IF('ATP Fills'!G2702="LME",'ATP Fills'!I2702,""))</f>
        <v/>
      </c>
      <c r="M2702" t="str">
        <f t="shared" si="42"/>
        <v/>
      </c>
    </row>
    <row r="2703" spans="1:13">
      <c r="A2703" t="str">
        <f>IF('ATP Fills'!A2703="","",IF('ATP Fills'!Q2703="PHILLIPSG",'ATP Fills'!F2703,""))</f>
        <v/>
      </c>
      <c r="B2703" t="str">
        <f>IF(A2703="","",'ATP Fills'!L2703)</f>
        <v/>
      </c>
      <c r="C2703" t="str">
        <f>IF(A2703="","",'ATP Fills'!M2703)</f>
        <v/>
      </c>
      <c r="D2703" t="str">
        <f>IF(A2703="","",'ATP Fills'!B2703)</f>
        <v/>
      </c>
      <c r="E2703" s="3" t="str">
        <f>IF(A2703="","",IF(DATE(LEFT(D2703,4),MID(D2703,5,2),RIGHT(D2703,2))=Helper1!$P$1,Helper1!$P$1,""))</f>
        <v/>
      </c>
      <c r="F2703" s="3" t="str">
        <f>IF(A2703="","",'ATP Fills'!G2703)</f>
        <v/>
      </c>
      <c r="G2703" t="str">
        <f>IF(A2703="","",'ATP Fills'!H2703)</f>
        <v/>
      </c>
      <c r="H2703" t="str">
        <f>IF(A2703="","",VLOOKUP(G2703,表3_3[],2,0))</f>
        <v/>
      </c>
      <c r="I2703" t="str">
        <f>IF(A2703="","",VLOOKUP(G2703,表3_3[],3,0))</f>
        <v/>
      </c>
      <c r="J2703" t="str">
        <f>IF(A2703="","",IF('ATP Fills'!I2703="3M","",VLOOKUP(RIGHT('ATP Fills'!I2703,2),Helper1!$O$36:$P$48,2,0)))</f>
        <v/>
      </c>
      <c r="K2703" t="str">
        <f>IF(J2703="","",LEFT('ATP Fills'!I2703,4))</f>
        <v/>
      </c>
      <c r="L2703" t="str">
        <f>IF(A2703="","",IF('ATP Fills'!G2703="LME",'ATP Fills'!I2703,""))</f>
        <v/>
      </c>
      <c r="M2703" t="str">
        <f t="shared" si="42"/>
        <v/>
      </c>
    </row>
    <row r="2704" spans="1:13">
      <c r="A2704" t="str">
        <f>IF('ATP Fills'!A2704="","",IF('ATP Fills'!Q2704="PHILLIPSG",'ATP Fills'!F2704,""))</f>
        <v/>
      </c>
      <c r="B2704" t="str">
        <f>IF(A2704="","",'ATP Fills'!L2704)</f>
        <v/>
      </c>
      <c r="C2704" t="str">
        <f>IF(A2704="","",'ATP Fills'!M2704)</f>
        <v/>
      </c>
      <c r="D2704" t="str">
        <f>IF(A2704="","",'ATP Fills'!B2704)</f>
        <v/>
      </c>
      <c r="E2704" s="3" t="str">
        <f>IF(A2704="","",IF(DATE(LEFT(D2704,4),MID(D2704,5,2),RIGHT(D2704,2))=Helper1!$P$1,Helper1!$P$1,""))</f>
        <v/>
      </c>
      <c r="F2704" s="3" t="str">
        <f>IF(A2704="","",'ATP Fills'!G2704)</f>
        <v/>
      </c>
      <c r="G2704" t="str">
        <f>IF(A2704="","",'ATP Fills'!H2704)</f>
        <v/>
      </c>
      <c r="H2704" t="str">
        <f>IF(A2704="","",VLOOKUP(G2704,表3_3[],2,0))</f>
        <v/>
      </c>
      <c r="I2704" t="str">
        <f>IF(A2704="","",VLOOKUP(G2704,表3_3[],3,0))</f>
        <v/>
      </c>
      <c r="J2704" t="str">
        <f>IF(A2704="","",IF('ATP Fills'!I2704="3M","",VLOOKUP(RIGHT('ATP Fills'!I2704,2),Helper1!$O$36:$P$48,2,0)))</f>
        <v/>
      </c>
      <c r="K2704" t="str">
        <f>IF(J2704="","",LEFT('ATP Fills'!I2704,4))</f>
        <v/>
      </c>
      <c r="L2704" t="str">
        <f>IF(A2704="","",IF('ATP Fills'!G2704="LME",'ATP Fills'!I2704,""))</f>
        <v/>
      </c>
      <c r="M2704" t="str">
        <f t="shared" si="42"/>
        <v/>
      </c>
    </row>
    <row r="2705" spans="1:13">
      <c r="A2705" t="str">
        <f>IF('ATP Fills'!A2705="","",IF('ATP Fills'!Q2705="PHILLIPSG",'ATP Fills'!F2705,""))</f>
        <v/>
      </c>
      <c r="B2705" t="str">
        <f>IF(A2705="","",'ATP Fills'!L2705)</f>
        <v/>
      </c>
      <c r="C2705" t="str">
        <f>IF(A2705="","",'ATP Fills'!M2705)</f>
        <v/>
      </c>
      <c r="D2705" t="str">
        <f>IF(A2705="","",'ATP Fills'!B2705)</f>
        <v/>
      </c>
      <c r="E2705" s="3" t="str">
        <f>IF(A2705="","",IF(DATE(LEFT(D2705,4),MID(D2705,5,2),RIGHT(D2705,2))=Helper1!$P$1,Helper1!$P$1,""))</f>
        <v/>
      </c>
      <c r="F2705" s="3" t="str">
        <f>IF(A2705="","",'ATP Fills'!G2705)</f>
        <v/>
      </c>
      <c r="G2705" t="str">
        <f>IF(A2705="","",'ATP Fills'!H2705)</f>
        <v/>
      </c>
      <c r="H2705" t="str">
        <f>IF(A2705="","",VLOOKUP(G2705,表3_3[],2,0))</f>
        <v/>
      </c>
      <c r="I2705" t="str">
        <f>IF(A2705="","",VLOOKUP(G2705,表3_3[],3,0))</f>
        <v/>
      </c>
      <c r="J2705" t="str">
        <f>IF(A2705="","",IF('ATP Fills'!I2705="3M","",VLOOKUP(RIGHT('ATP Fills'!I2705,2),Helper1!$O$36:$P$48,2,0)))</f>
        <v/>
      </c>
      <c r="K2705" t="str">
        <f>IF(J2705="","",LEFT('ATP Fills'!I2705,4))</f>
        <v/>
      </c>
      <c r="L2705" t="str">
        <f>IF(A2705="","",IF('ATP Fills'!G2705="LME",'ATP Fills'!I2705,""))</f>
        <v/>
      </c>
      <c r="M2705" t="str">
        <f t="shared" si="42"/>
        <v/>
      </c>
    </row>
    <row r="2706" spans="1:13">
      <c r="A2706" t="str">
        <f>IF('ATP Fills'!A2706="","",IF('ATP Fills'!Q2706="PHILLIPSG",'ATP Fills'!F2706,""))</f>
        <v/>
      </c>
      <c r="B2706" t="str">
        <f>IF(A2706="","",'ATP Fills'!L2706)</f>
        <v/>
      </c>
      <c r="C2706" t="str">
        <f>IF(A2706="","",'ATP Fills'!M2706)</f>
        <v/>
      </c>
      <c r="D2706" t="str">
        <f>IF(A2706="","",'ATP Fills'!B2706)</f>
        <v/>
      </c>
      <c r="E2706" s="3" t="str">
        <f>IF(A2706="","",IF(DATE(LEFT(D2706,4),MID(D2706,5,2),RIGHT(D2706,2))=Helper1!$P$1,Helper1!$P$1,""))</f>
        <v/>
      </c>
      <c r="F2706" s="3" t="str">
        <f>IF(A2706="","",'ATP Fills'!G2706)</f>
        <v/>
      </c>
      <c r="G2706" t="str">
        <f>IF(A2706="","",'ATP Fills'!H2706)</f>
        <v/>
      </c>
      <c r="H2706" t="str">
        <f>IF(A2706="","",VLOOKUP(G2706,表3_3[],2,0))</f>
        <v/>
      </c>
      <c r="I2706" t="str">
        <f>IF(A2706="","",VLOOKUP(G2706,表3_3[],3,0))</f>
        <v/>
      </c>
      <c r="J2706" t="str">
        <f>IF(A2706="","",IF('ATP Fills'!I2706="3M","",VLOOKUP(RIGHT('ATP Fills'!I2706,2),Helper1!$O$36:$P$48,2,0)))</f>
        <v/>
      </c>
      <c r="K2706" t="str">
        <f>IF(J2706="","",LEFT('ATP Fills'!I2706,4))</f>
        <v/>
      </c>
      <c r="L2706" t="str">
        <f>IF(A2706="","",IF('ATP Fills'!G2706="LME",'ATP Fills'!I2706,""))</f>
        <v/>
      </c>
      <c r="M2706" t="str">
        <f t="shared" si="42"/>
        <v/>
      </c>
    </row>
    <row r="2707" spans="1:13">
      <c r="A2707" t="str">
        <f>IF('ATP Fills'!A2707="","",IF('ATP Fills'!Q2707="PHILLIPSG",'ATP Fills'!F2707,""))</f>
        <v/>
      </c>
      <c r="B2707" t="str">
        <f>IF(A2707="","",'ATP Fills'!L2707)</f>
        <v/>
      </c>
      <c r="C2707" t="str">
        <f>IF(A2707="","",'ATP Fills'!M2707)</f>
        <v/>
      </c>
      <c r="D2707" t="str">
        <f>IF(A2707="","",'ATP Fills'!B2707)</f>
        <v/>
      </c>
      <c r="E2707" s="3" t="str">
        <f>IF(A2707="","",IF(DATE(LEFT(D2707,4),MID(D2707,5,2),RIGHT(D2707,2))=Helper1!$P$1,Helper1!$P$1,""))</f>
        <v/>
      </c>
      <c r="F2707" s="3" t="str">
        <f>IF(A2707="","",'ATP Fills'!G2707)</f>
        <v/>
      </c>
      <c r="G2707" t="str">
        <f>IF(A2707="","",'ATP Fills'!H2707)</f>
        <v/>
      </c>
      <c r="H2707" t="str">
        <f>IF(A2707="","",VLOOKUP(G2707,表3_3[],2,0))</f>
        <v/>
      </c>
      <c r="I2707" t="str">
        <f>IF(A2707="","",VLOOKUP(G2707,表3_3[],3,0))</f>
        <v/>
      </c>
      <c r="J2707" t="str">
        <f>IF(A2707="","",IF('ATP Fills'!I2707="3M","",VLOOKUP(RIGHT('ATP Fills'!I2707,2),Helper1!$O$36:$P$48,2,0)))</f>
        <v/>
      </c>
      <c r="K2707" t="str">
        <f>IF(J2707="","",LEFT('ATP Fills'!I2707,4))</f>
        <v/>
      </c>
      <c r="L2707" t="str">
        <f>IF(A2707="","",IF('ATP Fills'!G2707="LME",'ATP Fills'!I2707,""))</f>
        <v/>
      </c>
      <c r="M2707" t="str">
        <f t="shared" si="42"/>
        <v/>
      </c>
    </row>
    <row r="2708" spans="1:13">
      <c r="A2708" t="str">
        <f>IF('ATP Fills'!A2708="","",IF('ATP Fills'!Q2708="PHILLIPSG",'ATP Fills'!F2708,""))</f>
        <v/>
      </c>
      <c r="B2708" t="str">
        <f>IF(A2708="","",'ATP Fills'!L2708)</f>
        <v/>
      </c>
      <c r="C2708" t="str">
        <f>IF(A2708="","",'ATP Fills'!M2708)</f>
        <v/>
      </c>
      <c r="D2708" t="str">
        <f>IF(A2708="","",'ATP Fills'!B2708)</f>
        <v/>
      </c>
      <c r="E2708" s="3" t="str">
        <f>IF(A2708="","",IF(DATE(LEFT(D2708,4),MID(D2708,5,2),RIGHT(D2708,2))=Helper1!$P$1,Helper1!$P$1,""))</f>
        <v/>
      </c>
      <c r="F2708" s="3" t="str">
        <f>IF(A2708="","",'ATP Fills'!G2708)</f>
        <v/>
      </c>
      <c r="G2708" t="str">
        <f>IF(A2708="","",'ATP Fills'!H2708)</f>
        <v/>
      </c>
      <c r="H2708" t="str">
        <f>IF(A2708="","",VLOOKUP(G2708,表3_3[],2,0))</f>
        <v/>
      </c>
      <c r="I2708" t="str">
        <f>IF(A2708="","",VLOOKUP(G2708,表3_3[],3,0))</f>
        <v/>
      </c>
      <c r="J2708" t="str">
        <f>IF(A2708="","",IF('ATP Fills'!I2708="3M","",VLOOKUP(RIGHT('ATP Fills'!I2708,2),Helper1!$O$36:$P$48,2,0)))</f>
        <v/>
      </c>
      <c r="K2708" t="str">
        <f>IF(J2708="","",LEFT('ATP Fills'!I2708,4))</f>
        <v/>
      </c>
      <c r="L2708" t="str">
        <f>IF(A2708="","",IF('ATP Fills'!G2708="LME",'ATP Fills'!I2708,""))</f>
        <v/>
      </c>
      <c r="M2708" t="str">
        <f t="shared" si="42"/>
        <v/>
      </c>
    </row>
    <row r="2709" spans="1:13">
      <c r="A2709" t="str">
        <f>IF('ATP Fills'!A2709="","",IF('ATP Fills'!Q2709="PHILLIPSG",'ATP Fills'!F2709,""))</f>
        <v/>
      </c>
      <c r="B2709" t="str">
        <f>IF(A2709="","",'ATP Fills'!L2709)</f>
        <v/>
      </c>
      <c r="C2709" t="str">
        <f>IF(A2709="","",'ATP Fills'!M2709)</f>
        <v/>
      </c>
      <c r="D2709" t="str">
        <f>IF(A2709="","",'ATP Fills'!B2709)</f>
        <v/>
      </c>
      <c r="E2709" s="3" t="str">
        <f>IF(A2709="","",IF(DATE(LEFT(D2709,4),MID(D2709,5,2),RIGHT(D2709,2))=Helper1!$P$1,Helper1!$P$1,""))</f>
        <v/>
      </c>
      <c r="F2709" s="3" t="str">
        <f>IF(A2709="","",'ATP Fills'!G2709)</f>
        <v/>
      </c>
      <c r="G2709" t="str">
        <f>IF(A2709="","",'ATP Fills'!H2709)</f>
        <v/>
      </c>
      <c r="H2709" t="str">
        <f>IF(A2709="","",VLOOKUP(G2709,表3_3[],2,0))</f>
        <v/>
      </c>
      <c r="I2709" t="str">
        <f>IF(A2709="","",VLOOKUP(G2709,表3_3[],3,0))</f>
        <v/>
      </c>
      <c r="J2709" t="str">
        <f>IF(A2709="","",IF('ATP Fills'!I2709="3M","",VLOOKUP(RIGHT('ATP Fills'!I2709,2),Helper1!$O$36:$P$48,2,0)))</f>
        <v/>
      </c>
      <c r="K2709" t="str">
        <f>IF(J2709="","",LEFT('ATP Fills'!I2709,4))</f>
        <v/>
      </c>
      <c r="L2709" t="str">
        <f>IF(A2709="","",IF('ATP Fills'!G2709="LME",'ATP Fills'!I2709,""))</f>
        <v/>
      </c>
      <c r="M2709" t="str">
        <f t="shared" si="42"/>
        <v/>
      </c>
    </row>
    <row r="2710" spans="1:13">
      <c r="A2710" t="str">
        <f>IF('ATP Fills'!A2710="","",IF('ATP Fills'!Q2710="PHILLIPSG",'ATP Fills'!F2710,""))</f>
        <v/>
      </c>
      <c r="B2710" t="str">
        <f>IF(A2710="","",'ATP Fills'!L2710)</f>
        <v/>
      </c>
      <c r="C2710" t="str">
        <f>IF(A2710="","",'ATP Fills'!M2710)</f>
        <v/>
      </c>
      <c r="D2710" t="str">
        <f>IF(A2710="","",'ATP Fills'!B2710)</f>
        <v/>
      </c>
      <c r="E2710" s="3" t="str">
        <f>IF(A2710="","",IF(DATE(LEFT(D2710,4),MID(D2710,5,2),RIGHT(D2710,2))=Helper1!$P$1,Helper1!$P$1,""))</f>
        <v/>
      </c>
      <c r="F2710" s="3" t="str">
        <f>IF(A2710="","",'ATP Fills'!G2710)</f>
        <v/>
      </c>
      <c r="G2710" t="str">
        <f>IF(A2710="","",'ATP Fills'!H2710)</f>
        <v/>
      </c>
      <c r="H2710" t="str">
        <f>IF(A2710="","",VLOOKUP(G2710,表3_3[],2,0))</f>
        <v/>
      </c>
      <c r="I2710" t="str">
        <f>IF(A2710="","",VLOOKUP(G2710,表3_3[],3,0))</f>
        <v/>
      </c>
      <c r="J2710" t="str">
        <f>IF(A2710="","",IF('ATP Fills'!I2710="3M","",VLOOKUP(RIGHT('ATP Fills'!I2710,2),Helper1!$O$36:$P$48,2,0)))</f>
        <v/>
      </c>
      <c r="K2710" t="str">
        <f>IF(J2710="","",LEFT('ATP Fills'!I2710,4))</f>
        <v/>
      </c>
      <c r="L2710" t="str">
        <f>IF(A2710="","",IF('ATP Fills'!G2710="LME",'ATP Fills'!I2710,""))</f>
        <v/>
      </c>
      <c r="M2710" t="str">
        <f t="shared" si="42"/>
        <v/>
      </c>
    </row>
    <row r="2711" spans="1:13">
      <c r="A2711" t="str">
        <f>IF('ATP Fills'!A2711="","",IF('ATP Fills'!Q2711="PHILLIPSG",'ATP Fills'!F2711,""))</f>
        <v/>
      </c>
      <c r="B2711" t="str">
        <f>IF(A2711="","",'ATP Fills'!L2711)</f>
        <v/>
      </c>
      <c r="C2711" t="str">
        <f>IF(A2711="","",'ATP Fills'!M2711)</f>
        <v/>
      </c>
      <c r="D2711" t="str">
        <f>IF(A2711="","",'ATP Fills'!B2711)</f>
        <v/>
      </c>
      <c r="E2711" s="3" t="str">
        <f>IF(A2711="","",IF(DATE(LEFT(D2711,4),MID(D2711,5,2),RIGHT(D2711,2))=Helper1!$P$1,Helper1!$P$1,""))</f>
        <v/>
      </c>
      <c r="F2711" s="3" t="str">
        <f>IF(A2711="","",'ATP Fills'!G2711)</f>
        <v/>
      </c>
      <c r="G2711" t="str">
        <f>IF(A2711="","",'ATP Fills'!H2711)</f>
        <v/>
      </c>
      <c r="H2711" t="str">
        <f>IF(A2711="","",VLOOKUP(G2711,表3_3[],2,0))</f>
        <v/>
      </c>
      <c r="I2711" t="str">
        <f>IF(A2711="","",VLOOKUP(G2711,表3_3[],3,0))</f>
        <v/>
      </c>
      <c r="J2711" t="str">
        <f>IF(A2711="","",IF('ATP Fills'!I2711="3M","",VLOOKUP(RIGHT('ATP Fills'!I2711,2),Helper1!$O$36:$P$48,2,0)))</f>
        <v/>
      </c>
      <c r="K2711" t="str">
        <f>IF(J2711="","",LEFT('ATP Fills'!I2711,4))</f>
        <v/>
      </c>
      <c r="L2711" t="str">
        <f>IF(A2711="","",IF('ATP Fills'!G2711="LME",'ATP Fills'!I2711,""))</f>
        <v/>
      </c>
      <c r="M2711" t="str">
        <f t="shared" si="42"/>
        <v/>
      </c>
    </row>
    <row r="2712" spans="1:13">
      <c r="A2712" t="str">
        <f>IF('ATP Fills'!A2712="","",IF('ATP Fills'!Q2712="PHILLIPSG",'ATP Fills'!F2712,""))</f>
        <v/>
      </c>
      <c r="B2712" t="str">
        <f>IF(A2712="","",'ATP Fills'!L2712)</f>
        <v/>
      </c>
      <c r="C2712" t="str">
        <f>IF(A2712="","",'ATP Fills'!M2712)</f>
        <v/>
      </c>
      <c r="D2712" t="str">
        <f>IF(A2712="","",'ATP Fills'!B2712)</f>
        <v/>
      </c>
      <c r="E2712" s="3" t="str">
        <f>IF(A2712="","",IF(DATE(LEFT(D2712,4),MID(D2712,5,2),RIGHT(D2712,2))=Helper1!$P$1,Helper1!$P$1,""))</f>
        <v/>
      </c>
      <c r="F2712" s="3" t="str">
        <f>IF(A2712="","",'ATP Fills'!G2712)</f>
        <v/>
      </c>
      <c r="G2712" t="str">
        <f>IF(A2712="","",'ATP Fills'!H2712)</f>
        <v/>
      </c>
      <c r="H2712" t="str">
        <f>IF(A2712="","",VLOOKUP(G2712,表3_3[],2,0))</f>
        <v/>
      </c>
      <c r="I2712" t="str">
        <f>IF(A2712="","",VLOOKUP(G2712,表3_3[],3,0))</f>
        <v/>
      </c>
      <c r="J2712" t="str">
        <f>IF(A2712="","",IF('ATP Fills'!I2712="3M","",VLOOKUP(RIGHT('ATP Fills'!I2712,2),Helper1!$O$36:$P$48,2,0)))</f>
        <v/>
      </c>
      <c r="K2712" t="str">
        <f>IF(J2712="","",LEFT('ATP Fills'!I2712,4))</f>
        <v/>
      </c>
      <c r="L2712" t="str">
        <f>IF(A2712="","",IF('ATP Fills'!G2712="LME",'ATP Fills'!I2712,""))</f>
        <v/>
      </c>
      <c r="M2712" t="str">
        <f t="shared" si="42"/>
        <v/>
      </c>
    </row>
    <row r="2713" spans="1:13">
      <c r="A2713" t="str">
        <f>IF('ATP Fills'!A2713="","",IF('ATP Fills'!Q2713="PHILLIPSG",'ATP Fills'!F2713,""))</f>
        <v/>
      </c>
      <c r="B2713" t="str">
        <f>IF(A2713="","",'ATP Fills'!L2713)</f>
        <v/>
      </c>
      <c r="C2713" t="str">
        <f>IF(A2713="","",'ATP Fills'!M2713)</f>
        <v/>
      </c>
      <c r="D2713" t="str">
        <f>IF(A2713="","",'ATP Fills'!B2713)</f>
        <v/>
      </c>
      <c r="E2713" s="3" t="str">
        <f>IF(A2713="","",IF(DATE(LEFT(D2713,4),MID(D2713,5,2),RIGHT(D2713,2))=Helper1!$P$1,Helper1!$P$1,""))</f>
        <v/>
      </c>
      <c r="F2713" s="3" t="str">
        <f>IF(A2713="","",'ATP Fills'!G2713)</f>
        <v/>
      </c>
      <c r="G2713" t="str">
        <f>IF(A2713="","",'ATP Fills'!H2713)</f>
        <v/>
      </c>
      <c r="H2713" t="str">
        <f>IF(A2713="","",VLOOKUP(G2713,表3_3[],2,0))</f>
        <v/>
      </c>
      <c r="I2713" t="str">
        <f>IF(A2713="","",VLOOKUP(G2713,表3_3[],3,0))</f>
        <v/>
      </c>
      <c r="J2713" t="str">
        <f>IF(A2713="","",IF('ATP Fills'!I2713="3M","",VLOOKUP(RIGHT('ATP Fills'!I2713,2),Helper1!$O$36:$P$48,2,0)))</f>
        <v/>
      </c>
      <c r="K2713" t="str">
        <f>IF(J2713="","",LEFT('ATP Fills'!I2713,4))</f>
        <v/>
      </c>
      <c r="L2713" t="str">
        <f>IF(A2713="","",IF('ATP Fills'!G2713="LME",'ATP Fills'!I2713,""))</f>
        <v/>
      </c>
      <c r="M2713" t="str">
        <f t="shared" si="42"/>
        <v/>
      </c>
    </row>
    <row r="2714" spans="1:13">
      <c r="A2714" t="str">
        <f>IF('ATP Fills'!A2714="","",IF('ATP Fills'!Q2714="PHILLIPSG",'ATP Fills'!F2714,""))</f>
        <v/>
      </c>
      <c r="B2714" t="str">
        <f>IF(A2714="","",'ATP Fills'!L2714)</f>
        <v/>
      </c>
      <c r="C2714" t="str">
        <f>IF(A2714="","",'ATP Fills'!M2714)</f>
        <v/>
      </c>
      <c r="D2714" t="str">
        <f>IF(A2714="","",'ATP Fills'!B2714)</f>
        <v/>
      </c>
      <c r="E2714" s="3" t="str">
        <f>IF(A2714="","",IF(DATE(LEFT(D2714,4),MID(D2714,5,2),RIGHT(D2714,2))=Helper1!$P$1,Helper1!$P$1,""))</f>
        <v/>
      </c>
      <c r="F2714" s="3" t="str">
        <f>IF(A2714="","",'ATP Fills'!G2714)</f>
        <v/>
      </c>
      <c r="G2714" t="str">
        <f>IF(A2714="","",'ATP Fills'!H2714)</f>
        <v/>
      </c>
      <c r="H2714" t="str">
        <f>IF(A2714="","",VLOOKUP(G2714,表3_3[],2,0))</f>
        <v/>
      </c>
      <c r="I2714" t="str">
        <f>IF(A2714="","",VLOOKUP(G2714,表3_3[],3,0))</f>
        <v/>
      </c>
      <c r="J2714" t="str">
        <f>IF(A2714="","",IF('ATP Fills'!I2714="3M","",VLOOKUP(RIGHT('ATP Fills'!I2714,2),Helper1!$O$36:$P$48,2,0)))</f>
        <v/>
      </c>
      <c r="K2714" t="str">
        <f>IF(J2714="","",LEFT('ATP Fills'!I2714,4))</f>
        <v/>
      </c>
      <c r="L2714" t="str">
        <f>IF(A2714="","",IF('ATP Fills'!G2714="LME",'ATP Fills'!I2714,""))</f>
        <v/>
      </c>
      <c r="M2714" t="str">
        <f t="shared" si="42"/>
        <v/>
      </c>
    </row>
    <row r="2715" spans="1:13">
      <c r="A2715" t="str">
        <f>IF('ATP Fills'!A2715="","",IF('ATP Fills'!Q2715="PHILLIPSG",'ATP Fills'!F2715,""))</f>
        <v/>
      </c>
      <c r="B2715" t="str">
        <f>IF(A2715="","",'ATP Fills'!L2715)</f>
        <v/>
      </c>
      <c r="C2715" t="str">
        <f>IF(A2715="","",'ATP Fills'!M2715)</f>
        <v/>
      </c>
      <c r="D2715" t="str">
        <f>IF(A2715="","",'ATP Fills'!B2715)</f>
        <v/>
      </c>
      <c r="E2715" s="3" t="str">
        <f>IF(A2715="","",IF(DATE(LEFT(D2715,4),MID(D2715,5,2),RIGHT(D2715,2))=Helper1!$P$1,Helper1!$P$1,""))</f>
        <v/>
      </c>
      <c r="F2715" s="3" t="str">
        <f>IF(A2715="","",'ATP Fills'!G2715)</f>
        <v/>
      </c>
      <c r="G2715" t="str">
        <f>IF(A2715="","",'ATP Fills'!H2715)</f>
        <v/>
      </c>
      <c r="H2715" t="str">
        <f>IF(A2715="","",VLOOKUP(G2715,表3_3[],2,0))</f>
        <v/>
      </c>
      <c r="I2715" t="str">
        <f>IF(A2715="","",VLOOKUP(G2715,表3_3[],3,0))</f>
        <v/>
      </c>
      <c r="J2715" t="str">
        <f>IF(A2715="","",IF('ATP Fills'!I2715="3M","",VLOOKUP(RIGHT('ATP Fills'!I2715,2),Helper1!$O$36:$P$48,2,0)))</f>
        <v/>
      </c>
      <c r="K2715" t="str">
        <f>IF(J2715="","",LEFT('ATP Fills'!I2715,4))</f>
        <v/>
      </c>
      <c r="L2715" t="str">
        <f>IF(A2715="","",IF('ATP Fills'!G2715="LME",'ATP Fills'!I2715,""))</f>
        <v/>
      </c>
      <c r="M2715" t="str">
        <f t="shared" si="42"/>
        <v/>
      </c>
    </row>
    <row r="2716" spans="1:13">
      <c r="A2716" t="str">
        <f>IF('ATP Fills'!A2716="","",IF('ATP Fills'!Q2716="PHILLIPSG",'ATP Fills'!F2716,""))</f>
        <v/>
      </c>
      <c r="B2716" t="str">
        <f>IF(A2716="","",'ATP Fills'!L2716)</f>
        <v/>
      </c>
      <c r="C2716" t="str">
        <f>IF(A2716="","",'ATP Fills'!M2716)</f>
        <v/>
      </c>
      <c r="D2716" t="str">
        <f>IF(A2716="","",'ATP Fills'!B2716)</f>
        <v/>
      </c>
      <c r="E2716" s="3" t="str">
        <f>IF(A2716="","",IF(DATE(LEFT(D2716,4),MID(D2716,5,2),RIGHT(D2716,2))=Helper1!$P$1,Helper1!$P$1,""))</f>
        <v/>
      </c>
      <c r="F2716" s="3" t="str">
        <f>IF(A2716="","",'ATP Fills'!G2716)</f>
        <v/>
      </c>
      <c r="G2716" t="str">
        <f>IF(A2716="","",'ATP Fills'!H2716)</f>
        <v/>
      </c>
      <c r="H2716" t="str">
        <f>IF(A2716="","",VLOOKUP(G2716,表3_3[],2,0))</f>
        <v/>
      </c>
      <c r="I2716" t="str">
        <f>IF(A2716="","",VLOOKUP(G2716,表3_3[],3,0))</f>
        <v/>
      </c>
      <c r="J2716" t="str">
        <f>IF(A2716="","",IF('ATP Fills'!I2716="3M","",VLOOKUP(RIGHT('ATP Fills'!I2716,2),Helper1!$O$36:$P$48,2,0)))</f>
        <v/>
      </c>
      <c r="K2716" t="str">
        <f>IF(J2716="","",LEFT('ATP Fills'!I2716,4))</f>
        <v/>
      </c>
      <c r="L2716" t="str">
        <f>IF(A2716="","",IF('ATP Fills'!G2716="LME",'ATP Fills'!I2716,""))</f>
        <v/>
      </c>
      <c r="M2716" t="str">
        <f t="shared" si="42"/>
        <v/>
      </c>
    </row>
    <row r="2717" spans="1:13">
      <c r="A2717" t="str">
        <f>IF('ATP Fills'!A2717="","",IF('ATP Fills'!Q2717="PHILLIPSG",'ATP Fills'!F2717,""))</f>
        <v/>
      </c>
      <c r="B2717" t="str">
        <f>IF(A2717="","",'ATP Fills'!L2717)</f>
        <v/>
      </c>
      <c r="C2717" t="str">
        <f>IF(A2717="","",'ATP Fills'!M2717)</f>
        <v/>
      </c>
      <c r="D2717" t="str">
        <f>IF(A2717="","",'ATP Fills'!B2717)</f>
        <v/>
      </c>
      <c r="E2717" s="3" t="str">
        <f>IF(A2717="","",IF(DATE(LEFT(D2717,4),MID(D2717,5,2),RIGHT(D2717,2))=Helper1!$P$1,Helper1!$P$1,""))</f>
        <v/>
      </c>
      <c r="F2717" s="3" t="str">
        <f>IF(A2717="","",'ATP Fills'!G2717)</f>
        <v/>
      </c>
      <c r="G2717" t="str">
        <f>IF(A2717="","",'ATP Fills'!H2717)</f>
        <v/>
      </c>
      <c r="H2717" t="str">
        <f>IF(A2717="","",VLOOKUP(G2717,表3_3[],2,0))</f>
        <v/>
      </c>
      <c r="I2717" t="str">
        <f>IF(A2717="","",VLOOKUP(G2717,表3_3[],3,0))</f>
        <v/>
      </c>
      <c r="J2717" t="str">
        <f>IF(A2717="","",IF('ATP Fills'!I2717="3M","",VLOOKUP(RIGHT('ATP Fills'!I2717,2),Helper1!$O$36:$P$48,2,0)))</f>
        <v/>
      </c>
      <c r="K2717" t="str">
        <f>IF(J2717="","",LEFT('ATP Fills'!I2717,4))</f>
        <v/>
      </c>
      <c r="L2717" t="str">
        <f>IF(A2717="","",IF('ATP Fills'!G2717="LME",'ATP Fills'!I2717,""))</f>
        <v/>
      </c>
      <c r="M2717" t="str">
        <f t="shared" si="42"/>
        <v/>
      </c>
    </row>
    <row r="2718" spans="1:13">
      <c r="A2718" t="str">
        <f>IF('ATP Fills'!A2718="","",IF('ATP Fills'!Q2718="PHILLIPSG",'ATP Fills'!F2718,""))</f>
        <v/>
      </c>
      <c r="B2718" t="str">
        <f>IF(A2718="","",'ATP Fills'!L2718)</f>
        <v/>
      </c>
      <c r="C2718" t="str">
        <f>IF(A2718="","",'ATP Fills'!M2718)</f>
        <v/>
      </c>
      <c r="D2718" t="str">
        <f>IF(A2718="","",'ATP Fills'!B2718)</f>
        <v/>
      </c>
      <c r="E2718" s="3" t="str">
        <f>IF(A2718="","",IF(DATE(LEFT(D2718,4),MID(D2718,5,2),RIGHT(D2718,2))=Helper1!$P$1,Helper1!$P$1,""))</f>
        <v/>
      </c>
      <c r="F2718" s="3" t="str">
        <f>IF(A2718="","",'ATP Fills'!G2718)</f>
        <v/>
      </c>
      <c r="G2718" t="str">
        <f>IF(A2718="","",'ATP Fills'!H2718)</f>
        <v/>
      </c>
      <c r="H2718" t="str">
        <f>IF(A2718="","",VLOOKUP(G2718,表3_3[],2,0))</f>
        <v/>
      </c>
      <c r="I2718" t="str">
        <f>IF(A2718="","",VLOOKUP(G2718,表3_3[],3,0))</f>
        <v/>
      </c>
      <c r="J2718" t="str">
        <f>IF(A2718="","",IF('ATP Fills'!I2718="3M","",VLOOKUP(RIGHT('ATP Fills'!I2718,2),Helper1!$O$36:$P$48,2,0)))</f>
        <v/>
      </c>
      <c r="K2718" t="str">
        <f>IF(J2718="","",LEFT('ATP Fills'!I2718,4))</f>
        <v/>
      </c>
      <c r="L2718" t="str">
        <f>IF(A2718="","",IF('ATP Fills'!G2718="LME",'ATP Fills'!I2718,""))</f>
        <v/>
      </c>
      <c r="M2718" t="str">
        <f t="shared" si="42"/>
        <v/>
      </c>
    </row>
    <row r="2719" spans="1:13">
      <c r="A2719" t="str">
        <f>IF('ATP Fills'!A2719="","",IF('ATP Fills'!Q2719="PHILLIPSG",'ATP Fills'!F2719,""))</f>
        <v/>
      </c>
      <c r="B2719" t="str">
        <f>IF(A2719="","",'ATP Fills'!L2719)</f>
        <v/>
      </c>
      <c r="C2719" t="str">
        <f>IF(A2719="","",'ATP Fills'!M2719)</f>
        <v/>
      </c>
      <c r="D2719" t="str">
        <f>IF(A2719="","",'ATP Fills'!B2719)</f>
        <v/>
      </c>
      <c r="E2719" s="3" t="str">
        <f>IF(A2719="","",IF(DATE(LEFT(D2719,4),MID(D2719,5,2),RIGHT(D2719,2))=Helper1!$P$1,Helper1!$P$1,""))</f>
        <v/>
      </c>
      <c r="F2719" s="3" t="str">
        <f>IF(A2719="","",'ATP Fills'!G2719)</f>
        <v/>
      </c>
      <c r="G2719" t="str">
        <f>IF(A2719="","",'ATP Fills'!H2719)</f>
        <v/>
      </c>
      <c r="H2719" t="str">
        <f>IF(A2719="","",VLOOKUP(G2719,表3_3[],2,0))</f>
        <v/>
      </c>
      <c r="I2719" t="str">
        <f>IF(A2719="","",VLOOKUP(G2719,表3_3[],3,0))</f>
        <v/>
      </c>
      <c r="J2719" t="str">
        <f>IF(A2719="","",IF('ATP Fills'!I2719="3M","",VLOOKUP(RIGHT('ATP Fills'!I2719,2),Helper1!$O$36:$P$48,2,0)))</f>
        <v/>
      </c>
      <c r="K2719" t="str">
        <f>IF(J2719="","",LEFT('ATP Fills'!I2719,4))</f>
        <v/>
      </c>
      <c r="L2719" t="str">
        <f>IF(A2719="","",IF('ATP Fills'!G2719="LME",'ATP Fills'!I2719,""))</f>
        <v/>
      </c>
      <c r="M2719" t="str">
        <f t="shared" si="42"/>
        <v/>
      </c>
    </row>
    <row r="2720" spans="1:13">
      <c r="A2720" t="str">
        <f>IF('ATP Fills'!A2720="","",IF('ATP Fills'!Q2720="PHILLIPSG",'ATP Fills'!F2720,""))</f>
        <v/>
      </c>
      <c r="B2720" t="str">
        <f>IF(A2720="","",'ATP Fills'!L2720)</f>
        <v/>
      </c>
      <c r="C2720" t="str">
        <f>IF(A2720="","",'ATP Fills'!M2720)</f>
        <v/>
      </c>
      <c r="D2720" t="str">
        <f>IF(A2720="","",'ATP Fills'!B2720)</f>
        <v/>
      </c>
      <c r="E2720" s="3" t="str">
        <f>IF(A2720="","",IF(DATE(LEFT(D2720,4),MID(D2720,5,2),RIGHT(D2720,2))=Helper1!$P$1,Helper1!$P$1,""))</f>
        <v/>
      </c>
      <c r="F2720" s="3" t="str">
        <f>IF(A2720="","",'ATP Fills'!G2720)</f>
        <v/>
      </c>
      <c r="G2720" t="str">
        <f>IF(A2720="","",'ATP Fills'!H2720)</f>
        <v/>
      </c>
      <c r="H2720" t="str">
        <f>IF(A2720="","",VLOOKUP(G2720,表3_3[],2,0))</f>
        <v/>
      </c>
      <c r="I2720" t="str">
        <f>IF(A2720="","",VLOOKUP(G2720,表3_3[],3,0))</f>
        <v/>
      </c>
      <c r="J2720" t="str">
        <f>IF(A2720="","",IF('ATP Fills'!I2720="3M","",VLOOKUP(RIGHT('ATP Fills'!I2720,2),Helper1!$O$36:$P$48,2,0)))</f>
        <v/>
      </c>
      <c r="K2720" t="str">
        <f>IF(J2720="","",LEFT('ATP Fills'!I2720,4))</f>
        <v/>
      </c>
      <c r="L2720" t="str">
        <f>IF(A2720="","",IF('ATP Fills'!G2720="LME",'ATP Fills'!I2720,""))</f>
        <v/>
      </c>
      <c r="M2720" t="str">
        <f t="shared" si="42"/>
        <v/>
      </c>
    </row>
    <row r="2721" spans="1:13">
      <c r="A2721" t="str">
        <f>IF('ATP Fills'!A2721="","",IF('ATP Fills'!Q2721="PHILLIPSG",'ATP Fills'!F2721,""))</f>
        <v/>
      </c>
      <c r="B2721" t="str">
        <f>IF(A2721="","",'ATP Fills'!L2721)</f>
        <v/>
      </c>
      <c r="C2721" t="str">
        <f>IF(A2721="","",'ATP Fills'!M2721)</f>
        <v/>
      </c>
      <c r="D2721" t="str">
        <f>IF(A2721="","",'ATP Fills'!B2721)</f>
        <v/>
      </c>
      <c r="E2721" s="3" t="str">
        <f>IF(A2721="","",IF(DATE(LEFT(D2721,4),MID(D2721,5,2),RIGHT(D2721,2))=Helper1!$P$1,Helper1!$P$1,""))</f>
        <v/>
      </c>
      <c r="F2721" s="3" t="str">
        <f>IF(A2721="","",'ATP Fills'!G2721)</f>
        <v/>
      </c>
      <c r="G2721" t="str">
        <f>IF(A2721="","",'ATP Fills'!H2721)</f>
        <v/>
      </c>
      <c r="H2721" t="str">
        <f>IF(A2721="","",VLOOKUP(G2721,表3_3[],2,0))</f>
        <v/>
      </c>
      <c r="I2721" t="str">
        <f>IF(A2721="","",VLOOKUP(G2721,表3_3[],3,0))</f>
        <v/>
      </c>
      <c r="J2721" t="str">
        <f>IF(A2721="","",IF('ATP Fills'!I2721="3M","",VLOOKUP(RIGHT('ATP Fills'!I2721,2),Helper1!$O$36:$P$48,2,0)))</f>
        <v/>
      </c>
      <c r="K2721" t="str">
        <f>IF(J2721="","",LEFT('ATP Fills'!I2721,4))</f>
        <v/>
      </c>
      <c r="L2721" t="str">
        <f>IF(A2721="","",IF('ATP Fills'!G2721="LME",'ATP Fills'!I2721,""))</f>
        <v/>
      </c>
      <c r="M2721" t="str">
        <f t="shared" si="42"/>
        <v/>
      </c>
    </row>
    <row r="2722" spans="1:13">
      <c r="A2722" t="str">
        <f>IF('ATP Fills'!A2722="","",IF('ATP Fills'!Q2722="PHILLIPSG",'ATP Fills'!F2722,""))</f>
        <v/>
      </c>
      <c r="B2722" t="str">
        <f>IF(A2722="","",'ATP Fills'!L2722)</f>
        <v/>
      </c>
      <c r="C2722" t="str">
        <f>IF(A2722="","",'ATP Fills'!M2722)</f>
        <v/>
      </c>
      <c r="D2722" t="str">
        <f>IF(A2722="","",'ATP Fills'!B2722)</f>
        <v/>
      </c>
      <c r="E2722" s="3" t="str">
        <f>IF(A2722="","",IF(DATE(LEFT(D2722,4),MID(D2722,5,2),RIGHT(D2722,2))=Helper1!$P$1,Helper1!$P$1,""))</f>
        <v/>
      </c>
      <c r="F2722" s="3" t="str">
        <f>IF(A2722="","",'ATP Fills'!G2722)</f>
        <v/>
      </c>
      <c r="G2722" t="str">
        <f>IF(A2722="","",'ATP Fills'!H2722)</f>
        <v/>
      </c>
      <c r="H2722" t="str">
        <f>IF(A2722="","",VLOOKUP(G2722,表3_3[],2,0))</f>
        <v/>
      </c>
      <c r="I2722" t="str">
        <f>IF(A2722="","",VLOOKUP(G2722,表3_3[],3,0))</f>
        <v/>
      </c>
      <c r="J2722" t="str">
        <f>IF(A2722="","",IF('ATP Fills'!I2722="3M","",VLOOKUP(RIGHT('ATP Fills'!I2722,2),Helper1!$O$36:$P$48,2,0)))</f>
        <v/>
      </c>
      <c r="K2722" t="str">
        <f>IF(J2722="","",LEFT('ATP Fills'!I2722,4))</f>
        <v/>
      </c>
      <c r="L2722" t="str">
        <f>IF(A2722="","",IF('ATP Fills'!G2722="LME",'ATP Fills'!I2722,""))</f>
        <v/>
      </c>
      <c r="M2722" t="str">
        <f t="shared" si="42"/>
        <v/>
      </c>
    </row>
    <row r="2723" spans="1:13">
      <c r="A2723" t="str">
        <f>IF('ATP Fills'!A2723="","",IF('ATP Fills'!Q2723="PHILLIPSG",'ATP Fills'!F2723,""))</f>
        <v/>
      </c>
      <c r="B2723" t="str">
        <f>IF(A2723="","",'ATP Fills'!L2723)</f>
        <v/>
      </c>
      <c r="C2723" t="str">
        <f>IF(A2723="","",'ATP Fills'!M2723)</f>
        <v/>
      </c>
      <c r="D2723" t="str">
        <f>IF(A2723="","",'ATP Fills'!B2723)</f>
        <v/>
      </c>
      <c r="E2723" s="3" t="str">
        <f>IF(A2723="","",IF(DATE(LEFT(D2723,4),MID(D2723,5,2),RIGHT(D2723,2))=Helper1!$P$1,Helper1!$P$1,""))</f>
        <v/>
      </c>
      <c r="F2723" s="3" t="str">
        <f>IF(A2723="","",'ATP Fills'!G2723)</f>
        <v/>
      </c>
      <c r="G2723" t="str">
        <f>IF(A2723="","",'ATP Fills'!H2723)</f>
        <v/>
      </c>
      <c r="H2723" t="str">
        <f>IF(A2723="","",VLOOKUP(G2723,表3_3[],2,0))</f>
        <v/>
      </c>
      <c r="I2723" t="str">
        <f>IF(A2723="","",VLOOKUP(G2723,表3_3[],3,0))</f>
        <v/>
      </c>
      <c r="J2723" t="str">
        <f>IF(A2723="","",IF('ATP Fills'!I2723="3M","",VLOOKUP(RIGHT('ATP Fills'!I2723,2),Helper1!$O$36:$P$48,2,0)))</f>
        <v/>
      </c>
      <c r="K2723" t="str">
        <f>IF(J2723="","",LEFT('ATP Fills'!I2723,4))</f>
        <v/>
      </c>
      <c r="L2723" t="str">
        <f>IF(A2723="","",IF('ATP Fills'!G2723="LME",'ATP Fills'!I2723,""))</f>
        <v/>
      </c>
      <c r="M2723" t="str">
        <f t="shared" si="42"/>
        <v/>
      </c>
    </row>
    <row r="2724" spans="1:13">
      <c r="A2724" t="str">
        <f>IF('ATP Fills'!A2724="","",IF('ATP Fills'!Q2724="PHILLIPSG",'ATP Fills'!F2724,""))</f>
        <v/>
      </c>
      <c r="B2724" t="str">
        <f>IF(A2724="","",'ATP Fills'!L2724)</f>
        <v/>
      </c>
      <c r="C2724" t="str">
        <f>IF(A2724="","",'ATP Fills'!M2724)</f>
        <v/>
      </c>
      <c r="D2724" t="str">
        <f>IF(A2724="","",'ATP Fills'!B2724)</f>
        <v/>
      </c>
      <c r="E2724" s="3" t="str">
        <f>IF(A2724="","",IF(DATE(LEFT(D2724,4),MID(D2724,5,2),RIGHT(D2724,2))=Helper1!$P$1,Helper1!$P$1,""))</f>
        <v/>
      </c>
      <c r="F2724" s="3" t="str">
        <f>IF(A2724="","",'ATP Fills'!G2724)</f>
        <v/>
      </c>
      <c r="G2724" t="str">
        <f>IF(A2724="","",'ATP Fills'!H2724)</f>
        <v/>
      </c>
      <c r="H2724" t="str">
        <f>IF(A2724="","",VLOOKUP(G2724,表3_3[],2,0))</f>
        <v/>
      </c>
      <c r="I2724" t="str">
        <f>IF(A2724="","",VLOOKUP(G2724,表3_3[],3,0))</f>
        <v/>
      </c>
      <c r="J2724" t="str">
        <f>IF(A2724="","",IF('ATP Fills'!I2724="3M","",VLOOKUP(RIGHT('ATP Fills'!I2724,2),Helper1!$O$36:$P$48,2,0)))</f>
        <v/>
      </c>
      <c r="K2724" t="str">
        <f>IF(J2724="","",LEFT('ATP Fills'!I2724,4))</f>
        <v/>
      </c>
      <c r="L2724" t="str">
        <f>IF(A2724="","",IF('ATP Fills'!G2724="LME",'ATP Fills'!I2724,""))</f>
        <v/>
      </c>
      <c r="M2724" t="str">
        <f t="shared" si="42"/>
        <v/>
      </c>
    </row>
    <row r="2725" spans="1:13">
      <c r="A2725" t="str">
        <f>IF('ATP Fills'!A2725="","",IF('ATP Fills'!Q2725="PHILLIPSG",'ATP Fills'!F2725,""))</f>
        <v/>
      </c>
      <c r="B2725" t="str">
        <f>IF(A2725="","",'ATP Fills'!L2725)</f>
        <v/>
      </c>
      <c r="C2725" t="str">
        <f>IF(A2725="","",'ATP Fills'!M2725)</f>
        <v/>
      </c>
      <c r="D2725" t="str">
        <f>IF(A2725="","",'ATP Fills'!B2725)</f>
        <v/>
      </c>
      <c r="E2725" s="3" t="str">
        <f>IF(A2725="","",IF(DATE(LEFT(D2725,4),MID(D2725,5,2),RIGHT(D2725,2))=Helper1!$P$1,Helper1!$P$1,""))</f>
        <v/>
      </c>
      <c r="F2725" s="3" t="str">
        <f>IF(A2725="","",'ATP Fills'!G2725)</f>
        <v/>
      </c>
      <c r="G2725" t="str">
        <f>IF(A2725="","",'ATP Fills'!H2725)</f>
        <v/>
      </c>
      <c r="H2725" t="str">
        <f>IF(A2725="","",VLOOKUP(G2725,表3_3[],2,0))</f>
        <v/>
      </c>
      <c r="I2725" t="str">
        <f>IF(A2725="","",VLOOKUP(G2725,表3_3[],3,0))</f>
        <v/>
      </c>
      <c r="J2725" t="str">
        <f>IF(A2725="","",IF('ATP Fills'!I2725="3M","",VLOOKUP(RIGHT('ATP Fills'!I2725,2),Helper1!$O$36:$P$48,2,0)))</f>
        <v/>
      </c>
      <c r="K2725" t="str">
        <f>IF(J2725="","",LEFT('ATP Fills'!I2725,4))</f>
        <v/>
      </c>
      <c r="L2725" t="str">
        <f>IF(A2725="","",IF('ATP Fills'!G2725="LME",'ATP Fills'!I2725,""))</f>
        <v/>
      </c>
      <c r="M2725" t="str">
        <f t="shared" si="42"/>
        <v/>
      </c>
    </row>
    <row r="2726" spans="1:13">
      <c r="A2726" t="str">
        <f>IF('ATP Fills'!A2726="","",IF('ATP Fills'!Q2726="PHILLIPSG",'ATP Fills'!F2726,""))</f>
        <v/>
      </c>
      <c r="B2726" t="str">
        <f>IF(A2726="","",'ATP Fills'!L2726)</f>
        <v/>
      </c>
      <c r="C2726" t="str">
        <f>IF(A2726="","",'ATP Fills'!M2726)</f>
        <v/>
      </c>
      <c r="D2726" t="str">
        <f>IF(A2726="","",'ATP Fills'!B2726)</f>
        <v/>
      </c>
      <c r="E2726" s="3" t="str">
        <f>IF(A2726="","",IF(DATE(LEFT(D2726,4),MID(D2726,5,2),RIGHT(D2726,2))=Helper1!$P$1,Helper1!$P$1,""))</f>
        <v/>
      </c>
      <c r="F2726" s="3" t="str">
        <f>IF(A2726="","",'ATP Fills'!G2726)</f>
        <v/>
      </c>
      <c r="G2726" t="str">
        <f>IF(A2726="","",'ATP Fills'!H2726)</f>
        <v/>
      </c>
      <c r="H2726" t="str">
        <f>IF(A2726="","",VLOOKUP(G2726,表3_3[],2,0))</f>
        <v/>
      </c>
      <c r="I2726" t="str">
        <f>IF(A2726="","",VLOOKUP(G2726,表3_3[],3,0))</f>
        <v/>
      </c>
      <c r="J2726" t="str">
        <f>IF(A2726="","",IF('ATP Fills'!I2726="3M","",VLOOKUP(RIGHT('ATP Fills'!I2726,2),Helper1!$O$36:$P$48,2,0)))</f>
        <v/>
      </c>
      <c r="K2726" t="str">
        <f>IF(J2726="","",LEFT('ATP Fills'!I2726,4))</f>
        <v/>
      </c>
      <c r="L2726" t="str">
        <f>IF(A2726="","",IF('ATP Fills'!G2726="LME",'ATP Fills'!I2726,""))</f>
        <v/>
      </c>
      <c r="M2726" t="str">
        <f t="shared" si="42"/>
        <v/>
      </c>
    </row>
    <row r="2727" spans="1:13">
      <c r="A2727" t="str">
        <f>IF('ATP Fills'!A2727="","",IF('ATP Fills'!Q2727="PHILLIPSG",'ATP Fills'!F2727,""))</f>
        <v/>
      </c>
      <c r="B2727" t="str">
        <f>IF(A2727="","",'ATP Fills'!L2727)</f>
        <v/>
      </c>
      <c r="C2727" t="str">
        <f>IF(A2727="","",'ATP Fills'!M2727)</f>
        <v/>
      </c>
      <c r="D2727" t="str">
        <f>IF(A2727="","",'ATP Fills'!B2727)</f>
        <v/>
      </c>
      <c r="E2727" s="3" t="str">
        <f>IF(A2727="","",IF(DATE(LEFT(D2727,4),MID(D2727,5,2),RIGHT(D2727,2))=Helper1!$P$1,Helper1!$P$1,""))</f>
        <v/>
      </c>
      <c r="F2727" s="3" t="str">
        <f>IF(A2727="","",'ATP Fills'!G2727)</f>
        <v/>
      </c>
      <c r="G2727" t="str">
        <f>IF(A2727="","",'ATP Fills'!H2727)</f>
        <v/>
      </c>
      <c r="H2727" t="str">
        <f>IF(A2727="","",VLOOKUP(G2727,表3_3[],2,0))</f>
        <v/>
      </c>
      <c r="I2727" t="str">
        <f>IF(A2727="","",VLOOKUP(G2727,表3_3[],3,0))</f>
        <v/>
      </c>
      <c r="J2727" t="str">
        <f>IF(A2727="","",IF('ATP Fills'!I2727="3M","",VLOOKUP(RIGHT('ATP Fills'!I2727,2),Helper1!$O$36:$P$48,2,0)))</f>
        <v/>
      </c>
      <c r="K2727" t="str">
        <f>IF(J2727="","",LEFT('ATP Fills'!I2727,4))</f>
        <v/>
      </c>
      <c r="L2727" t="str">
        <f>IF(A2727="","",IF('ATP Fills'!G2727="LME",'ATP Fills'!I2727,""))</f>
        <v/>
      </c>
      <c r="M2727" t="str">
        <f t="shared" si="42"/>
        <v/>
      </c>
    </row>
    <row r="2728" spans="1:13">
      <c r="A2728" t="str">
        <f>IF('ATP Fills'!A2728="","",IF('ATP Fills'!Q2728="PHILLIPSG",'ATP Fills'!F2728,""))</f>
        <v/>
      </c>
      <c r="B2728" t="str">
        <f>IF(A2728="","",'ATP Fills'!L2728)</f>
        <v/>
      </c>
      <c r="C2728" t="str">
        <f>IF(A2728="","",'ATP Fills'!M2728)</f>
        <v/>
      </c>
      <c r="D2728" t="str">
        <f>IF(A2728="","",'ATP Fills'!B2728)</f>
        <v/>
      </c>
      <c r="E2728" s="3" t="str">
        <f>IF(A2728="","",IF(DATE(LEFT(D2728,4),MID(D2728,5,2),RIGHT(D2728,2))=Helper1!$P$1,Helper1!$P$1,""))</f>
        <v/>
      </c>
      <c r="F2728" s="3" t="str">
        <f>IF(A2728="","",'ATP Fills'!G2728)</f>
        <v/>
      </c>
      <c r="G2728" t="str">
        <f>IF(A2728="","",'ATP Fills'!H2728)</f>
        <v/>
      </c>
      <c r="H2728" t="str">
        <f>IF(A2728="","",VLOOKUP(G2728,表3_3[],2,0))</f>
        <v/>
      </c>
      <c r="I2728" t="str">
        <f>IF(A2728="","",VLOOKUP(G2728,表3_3[],3,0))</f>
        <v/>
      </c>
      <c r="J2728" t="str">
        <f>IF(A2728="","",IF('ATP Fills'!I2728="3M","",VLOOKUP(RIGHT('ATP Fills'!I2728,2),Helper1!$O$36:$P$48,2,0)))</f>
        <v/>
      </c>
      <c r="K2728" t="str">
        <f>IF(J2728="","",LEFT('ATP Fills'!I2728,4))</f>
        <v/>
      </c>
      <c r="L2728" t="str">
        <f>IF(A2728="","",IF('ATP Fills'!G2728="LME",'ATP Fills'!I2728,""))</f>
        <v/>
      </c>
      <c r="M2728" t="str">
        <f t="shared" si="42"/>
        <v/>
      </c>
    </row>
    <row r="2729" spans="1:13">
      <c r="A2729" t="str">
        <f>IF('ATP Fills'!A2729="","",IF('ATP Fills'!Q2729="PHILLIPSG",'ATP Fills'!F2729,""))</f>
        <v/>
      </c>
      <c r="B2729" t="str">
        <f>IF(A2729="","",'ATP Fills'!L2729)</f>
        <v/>
      </c>
      <c r="C2729" t="str">
        <f>IF(A2729="","",'ATP Fills'!M2729)</f>
        <v/>
      </c>
      <c r="D2729" t="str">
        <f>IF(A2729="","",'ATP Fills'!B2729)</f>
        <v/>
      </c>
      <c r="E2729" s="3" t="str">
        <f>IF(A2729="","",IF(DATE(LEFT(D2729,4),MID(D2729,5,2),RIGHT(D2729,2))=Helper1!$P$1,Helper1!$P$1,""))</f>
        <v/>
      </c>
      <c r="F2729" s="3" t="str">
        <f>IF(A2729="","",'ATP Fills'!G2729)</f>
        <v/>
      </c>
      <c r="G2729" t="str">
        <f>IF(A2729="","",'ATP Fills'!H2729)</f>
        <v/>
      </c>
      <c r="H2729" t="str">
        <f>IF(A2729="","",VLOOKUP(G2729,表3_3[],2,0))</f>
        <v/>
      </c>
      <c r="I2729" t="str">
        <f>IF(A2729="","",VLOOKUP(G2729,表3_3[],3,0))</f>
        <v/>
      </c>
      <c r="J2729" t="str">
        <f>IF(A2729="","",IF('ATP Fills'!I2729="3M","",VLOOKUP(RIGHT('ATP Fills'!I2729,2),Helper1!$O$36:$P$48,2,0)))</f>
        <v/>
      </c>
      <c r="K2729" t="str">
        <f>IF(J2729="","",LEFT('ATP Fills'!I2729,4))</f>
        <v/>
      </c>
      <c r="L2729" t="str">
        <f>IF(A2729="","",IF('ATP Fills'!G2729="LME",'ATP Fills'!I2729,""))</f>
        <v/>
      </c>
      <c r="M2729" t="str">
        <f t="shared" si="42"/>
        <v/>
      </c>
    </row>
    <row r="2730" spans="1:13">
      <c r="A2730" t="str">
        <f>IF('ATP Fills'!A2730="","",IF('ATP Fills'!Q2730="PHILLIPSG",'ATP Fills'!F2730,""))</f>
        <v/>
      </c>
      <c r="B2730" t="str">
        <f>IF(A2730="","",'ATP Fills'!L2730)</f>
        <v/>
      </c>
      <c r="C2730" t="str">
        <f>IF(A2730="","",'ATP Fills'!M2730)</f>
        <v/>
      </c>
      <c r="D2730" t="str">
        <f>IF(A2730="","",'ATP Fills'!B2730)</f>
        <v/>
      </c>
      <c r="E2730" s="3" t="str">
        <f>IF(A2730="","",IF(DATE(LEFT(D2730,4),MID(D2730,5,2),RIGHT(D2730,2))=Helper1!$P$1,Helper1!$P$1,""))</f>
        <v/>
      </c>
      <c r="F2730" s="3" t="str">
        <f>IF(A2730="","",'ATP Fills'!G2730)</f>
        <v/>
      </c>
      <c r="G2730" t="str">
        <f>IF(A2730="","",'ATP Fills'!H2730)</f>
        <v/>
      </c>
      <c r="H2730" t="str">
        <f>IF(A2730="","",VLOOKUP(G2730,表3_3[],2,0))</f>
        <v/>
      </c>
      <c r="I2730" t="str">
        <f>IF(A2730="","",VLOOKUP(G2730,表3_3[],3,0))</f>
        <v/>
      </c>
      <c r="J2730" t="str">
        <f>IF(A2730="","",IF('ATP Fills'!I2730="3M","",VLOOKUP(RIGHT('ATP Fills'!I2730,2),Helper1!$O$36:$P$48,2,0)))</f>
        <v/>
      </c>
      <c r="K2730" t="str">
        <f>IF(J2730="","",LEFT('ATP Fills'!I2730,4))</f>
        <v/>
      </c>
      <c r="L2730" t="str">
        <f>IF(A2730="","",IF('ATP Fills'!G2730="LME",'ATP Fills'!I2730,""))</f>
        <v/>
      </c>
      <c r="M2730" t="str">
        <f t="shared" si="42"/>
        <v/>
      </c>
    </row>
    <row r="2731" spans="1:13">
      <c r="A2731" t="str">
        <f>IF('ATP Fills'!A2731="","",IF('ATP Fills'!Q2731="PHILLIPSG",'ATP Fills'!F2731,""))</f>
        <v/>
      </c>
      <c r="B2731" t="str">
        <f>IF(A2731="","",'ATP Fills'!L2731)</f>
        <v/>
      </c>
      <c r="C2731" t="str">
        <f>IF(A2731="","",'ATP Fills'!M2731)</f>
        <v/>
      </c>
      <c r="D2731" t="str">
        <f>IF(A2731="","",'ATP Fills'!B2731)</f>
        <v/>
      </c>
      <c r="E2731" s="3" t="str">
        <f>IF(A2731="","",IF(DATE(LEFT(D2731,4),MID(D2731,5,2),RIGHT(D2731,2))=Helper1!$P$1,Helper1!$P$1,""))</f>
        <v/>
      </c>
      <c r="F2731" s="3" t="str">
        <f>IF(A2731="","",'ATP Fills'!G2731)</f>
        <v/>
      </c>
      <c r="G2731" t="str">
        <f>IF(A2731="","",'ATP Fills'!H2731)</f>
        <v/>
      </c>
      <c r="H2731" t="str">
        <f>IF(A2731="","",VLOOKUP(G2731,表3_3[],2,0))</f>
        <v/>
      </c>
      <c r="I2731" t="str">
        <f>IF(A2731="","",VLOOKUP(G2731,表3_3[],3,0))</f>
        <v/>
      </c>
      <c r="J2731" t="str">
        <f>IF(A2731="","",IF('ATP Fills'!I2731="3M","",VLOOKUP(RIGHT('ATP Fills'!I2731,2),Helper1!$O$36:$P$48,2,0)))</f>
        <v/>
      </c>
      <c r="K2731" t="str">
        <f>IF(J2731="","",LEFT('ATP Fills'!I2731,4))</f>
        <v/>
      </c>
      <c r="L2731" t="str">
        <f>IF(A2731="","",IF('ATP Fills'!G2731="LME",'ATP Fills'!I2731,""))</f>
        <v/>
      </c>
      <c r="M2731" t="str">
        <f t="shared" si="42"/>
        <v/>
      </c>
    </row>
    <row r="2732" spans="1:13">
      <c r="A2732" t="str">
        <f>IF('ATP Fills'!A2732="","",IF('ATP Fills'!Q2732="PHILLIPSG",'ATP Fills'!F2732,""))</f>
        <v/>
      </c>
      <c r="B2732" t="str">
        <f>IF(A2732="","",'ATP Fills'!L2732)</f>
        <v/>
      </c>
      <c r="C2732" t="str">
        <f>IF(A2732="","",'ATP Fills'!M2732)</f>
        <v/>
      </c>
      <c r="D2732" t="str">
        <f>IF(A2732="","",'ATP Fills'!B2732)</f>
        <v/>
      </c>
      <c r="E2732" s="3" t="str">
        <f>IF(A2732="","",IF(DATE(LEFT(D2732,4),MID(D2732,5,2),RIGHT(D2732,2))=Helper1!$P$1,Helper1!$P$1,""))</f>
        <v/>
      </c>
      <c r="F2732" s="3" t="str">
        <f>IF(A2732="","",'ATP Fills'!G2732)</f>
        <v/>
      </c>
      <c r="G2732" t="str">
        <f>IF(A2732="","",'ATP Fills'!H2732)</f>
        <v/>
      </c>
      <c r="H2732" t="str">
        <f>IF(A2732="","",VLOOKUP(G2732,表3_3[],2,0))</f>
        <v/>
      </c>
      <c r="I2732" t="str">
        <f>IF(A2732="","",VLOOKUP(G2732,表3_3[],3,0))</f>
        <v/>
      </c>
      <c r="J2732" t="str">
        <f>IF(A2732="","",IF('ATP Fills'!I2732="3M","",VLOOKUP(RIGHT('ATP Fills'!I2732,2),Helper1!$O$36:$P$48,2,0)))</f>
        <v/>
      </c>
      <c r="K2732" t="str">
        <f>IF(J2732="","",LEFT('ATP Fills'!I2732,4))</f>
        <v/>
      </c>
      <c r="L2732" t="str">
        <f>IF(A2732="","",IF('ATP Fills'!G2732="LME",'ATP Fills'!I2732,""))</f>
        <v/>
      </c>
      <c r="M2732" t="str">
        <f t="shared" si="42"/>
        <v/>
      </c>
    </row>
    <row r="2733" spans="1:13">
      <c r="A2733" t="str">
        <f>IF('ATP Fills'!A2733="","",IF('ATP Fills'!Q2733="PHILLIPSG",'ATP Fills'!F2733,""))</f>
        <v/>
      </c>
      <c r="B2733" t="str">
        <f>IF(A2733="","",'ATP Fills'!L2733)</f>
        <v/>
      </c>
      <c r="C2733" t="str">
        <f>IF(A2733="","",'ATP Fills'!M2733)</f>
        <v/>
      </c>
      <c r="D2733" t="str">
        <f>IF(A2733="","",'ATP Fills'!B2733)</f>
        <v/>
      </c>
      <c r="E2733" s="3" t="str">
        <f>IF(A2733="","",IF(DATE(LEFT(D2733,4),MID(D2733,5,2),RIGHT(D2733,2))=Helper1!$P$1,Helper1!$P$1,""))</f>
        <v/>
      </c>
      <c r="F2733" s="3" t="str">
        <f>IF(A2733="","",'ATP Fills'!G2733)</f>
        <v/>
      </c>
      <c r="G2733" t="str">
        <f>IF(A2733="","",'ATP Fills'!H2733)</f>
        <v/>
      </c>
      <c r="H2733" t="str">
        <f>IF(A2733="","",VLOOKUP(G2733,表3_3[],2,0))</f>
        <v/>
      </c>
      <c r="I2733" t="str">
        <f>IF(A2733="","",VLOOKUP(G2733,表3_3[],3,0))</f>
        <v/>
      </c>
      <c r="J2733" t="str">
        <f>IF(A2733="","",IF('ATP Fills'!I2733="3M","",VLOOKUP(RIGHT('ATP Fills'!I2733,2),Helper1!$O$36:$P$48,2,0)))</f>
        <v/>
      </c>
      <c r="K2733" t="str">
        <f>IF(J2733="","",LEFT('ATP Fills'!I2733,4))</f>
        <v/>
      </c>
      <c r="L2733" t="str">
        <f>IF(A2733="","",IF('ATP Fills'!G2733="LME",'ATP Fills'!I2733,""))</f>
        <v/>
      </c>
      <c r="M2733" t="str">
        <f t="shared" si="42"/>
        <v/>
      </c>
    </row>
    <row r="2734" spans="1:13">
      <c r="A2734" t="str">
        <f>IF('ATP Fills'!A2734="","",IF('ATP Fills'!Q2734="PHILLIPSG",'ATP Fills'!F2734,""))</f>
        <v/>
      </c>
      <c r="B2734" t="str">
        <f>IF(A2734="","",'ATP Fills'!L2734)</f>
        <v/>
      </c>
      <c r="C2734" t="str">
        <f>IF(A2734="","",'ATP Fills'!M2734)</f>
        <v/>
      </c>
      <c r="D2734" t="str">
        <f>IF(A2734="","",'ATP Fills'!B2734)</f>
        <v/>
      </c>
      <c r="E2734" s="3" t="str">
        <f>IF(A2734="","",IF(DATE(LEFT(D2734,4),MID(D2734,5,2),RIGHT(D2734,2))=Helper1!$P$1,Helper1!$P$1,""))</f>
        <v/>
      </c>
      <c r="F2734" s="3" t="str">
        <f>IF(A2734="","",'ATP Fills'!G2734)</f>
        <v/>
      </c>
      <c r="G2734" t="str">
        <f>IF(A2734="","",'ATP Fills'!H2734)</f>
        <v/>
      </c>
      <c r="H2734" t="str">
        <f>IF(A2734="","",VLOOKUP(G2734,表3_3[],2,0))</f>
        <v/>
      </c>
      <c r="I2734" t="str">
        <f>IF(A2734="","",VLOOKUP(G2734,表3_3[],3,0))</f>
        <v/>
      </c>
      <c r="J2734" t="str">
        <f>IF(A2734="","",IF('ATP Fills'!I2734="3M","",VLOOKUP(RIGHT('ATP Fills'!I2734,2),Helper1!$O$36:$P$48,2,0)))</f>
        <v/>
      </c>
      <c r="K2734" t="str">
        <f>IF(J2734="","",LEFT('ATP Fills'!I2734,4))</f>
        <v/>
      </c>
      <c r="L2734" t="str">
        <f>IF(A2734="","",IF('ATP Fills'!G2734="LME",'ATP Fills'!I2734,""))</f>
        <v/>
      </c>
      <c r="M2734" t="str">
        <f t="shared" si="42"/>
        <v/>
      </c>
    </row>
    <row r="2735" spans="1:13">
      <c r="A2735" t="str">
        <f>IF('ATP Fills'!A2735="","",IF('ATP Fills'!Q2735="PHILLIPSG",'ATP Fills'!F2735,""))</f>
        <v/>
      </c>
      <c r="B2735" t="str">
        <f>IF(A2735="","",'ATP Fills'!L2735)</f>
        <v/>
      </c>
      <c r="C2735" t="str">
        <f>IF(A2735="","",'ATP Fills'!M2735)</f>
        <v/>
      </c>
      <c r="D2735" t="str">
        <f>IF(A2735="","",'ATP Fills'!B2735)</f>
        <v/>
      </c>
      <c r="E2735" s="3" t="str">
        <f>IF(A2735="","",IF(DATE(LEFT(D2735,4),MID(D2735,5,2),RIGHT(D2735,2))=Helper1!$P$1,Helper1!$P$1,""))</f>
        <v/>
      </c>
      <c r="F2735" s="3" t="str">
        <f>IF(A2735="","",'ATP Fills'!G2735)</f>
        <v/>
      </c>
      <c r="G2735" t="str">
        <f>IF(A2735="","",'ATP Fills'!H2735)</f>
        <v/>
      </c>
      <c r="H2735" t="str">
        <f>IF(A2735="","",VLOOKUP(G2735,表3_3[],2,0))</f>
        <v/>
      </c>
      <c r="I2735" t="str">
        <f>IF(A2735="","",VLOOKUP(G2735,表3_3[],3,0))</f>
        <v/>
      </c>
      <c r="J2735" t="str">
        <f>IF(A2735="","",IF('ATP Fills'!I2735="3M","",VLOOKUP(RIGHT('ATP Fills'!I2735,2),Helper1!$O$36:$P$48,2,0)))</f>
        <v/>
      </c>
      <c r="K2735" t="str">
        <f>IF(J2735="","",LEFT('ATP Fills'!I2735,4))</f>
        <v/>
      </c>
      <c r="L2735" t="str">
        <f>IF(A2735="","",IF('ATP Fills'!G2735="LME",'ATP Fills'!I2735,""))</f>
        <v/>
      </c>
      <c r="M2735" t="str">
        <f t="shared" si="42"/>
        <v/>
      </c>
    </row>
    <row r="2736" spans="1:13">
      <c r="A2736" t="str">
        <f>IF('ATP Fills'!A2736="","",IF('ATP Fills'!Q2736="PHILLIPSG",'ATP Fills'!F2736,""))</f>
        <v/>
      </c>
      <c r="B2736" t="str">
        <f>IF(A2736="","",'ATP Fills'!L2736)</f>
        <v/>
      </c>
      <c r="C2736" t="str">
        <f>IF(A2736="","",'ATP Fills'!M2736)</f>
        <v/>
      </c>
      <c r="D2736" t="str">
        <f>IF(A2736="","",'ATP Fills'!B2736)</f>
        <v/>
      </c>
      <c r="E2736" s="3" t="str">
        <f>IF(A2736="","",IF(DATE(LEFT(D2736,4),MID(D2736,5,2),RIGHT(D2736,2))=Helper1!$P$1,Helper1!$P$1,""))</f>
        <v/>
      </c>
      <c r="F2736" s="3" t="str">
        <f>IF(A2736="","",'ATP Fills'!G2736)</f>
        <v/>
      </c>
      <c r="G2736" t="str">
        <f>IF(A2736="","",'ATP Fills'!H2736)</f>
        <v/>
      </c>
      <c r="H2736" t="str">
        <f>IF(A2736="","",VLOOKUP(G2736,表3_3[],2,0))</f>
        <v/>
      </c>
      <c r="I2736" t="str">
        <f>IF(A2736="","",VLOOKUP(G2736,表3_3[],3,0))</f>
        <v/>
      </c>
      <c r="J2736" t="str">
        <f>IF(A2736="","",IF('ATP Fills'!I2736="3M","",VLOOKUP(RIGHT('ATP Fills'!I2736,2),Helper1!$O$36:$P$48,2,0)))</f>
        <v/>
      </c>
      <c r="K2736" t="str">
        <f>IF(J2736="","",LEFT('ATP Fills'!I2736,4))</f>
        <v/>
      </c>
      <c r="L2736" t="str">
        <f>IF(A2736="","",IF('ATP Fills'!G2736="LME",'ATP Fills'!I2736,""))</f>
        <v/>
      </c>
      <c r="M2736" t="str">
        <f t="shared" si="42"/>
        <v/>
      </c>
    </row>
    <row r="2737" spans="1:13">
      <c r="A2737" t="str">
        <f>IF('ATP Fills'!A2737="","",IF('ATP Fills'!Q2737="PHILLIPSG",'ATP Fills'!F2737,""))</f>
        <v/>
      </c>
      <c r="B2737" t="str">
        <f>IF(A2737="","",'ATP Fills'!L2737)</f>
        <v/>
      </c>
      <c r="C2737" t="str">
        <f>IF(A2737="","",'ATP Fills'!M2737)</f>
        <v/>
      </c>
      <c r="D2737" t="str">
        <f>IF(A2737="","",'ATP Fills'!B2737)</f>
        <v/>
      </c>
      <c r="E2737" s="3" t="str">
        <f>IF(A2737="","",IF(DATE(LEFT(D2737,4),MID(D2737,5,2),RIGHT(D2737,2))=Helper1!$P$1,Helper1!$P$1,""))</f>
        <v/>
      </c>
      <c r="F2737" s="3" t="str">
        <f>IF(A2737="","",'ATP Fills'!G2737)</f>
        <v/>
      </c>
      <c r="G2737" t="str">
        <f>IF(A2737="","",'ATP Fills'!H2737)</f>
        <v/>
      </c>
      <c r="H2737" t="str">
        <f>IF(A2737="","",VLOOKUP(G2737,表3_3[],2,0))</f>
        <v/>
      </c>
      <c r="I2737" t="str">
        <f>IF(A2737="","",VLOOKUP(G2737,表3_3[],3,0))</f>
        <v/>
      </c>
      <c r="J2737" t="str">
        <f>IF(A2737="","",IF('ATP Fills'!I2737="3M","",VLOOKUP(RIGHT('ATP Fills'!I2737,2),Helper1!$O$36:$P$48,2,0)))</f>
        <v/>
      </c>
      <c r="K2737" t="str">
        <f>IF(J2737="","",LEFT('ATP Fills'!I2737,4))</f>
        <v/>
      </c>
      <c r="L2737" t="str">
        <f>IF(A2737="","",IF('ATP Fills'!G2737="LME",'ATP Fills'!I2737,""))</f>
        <v/>
      </c>
      <c r="M2737" t="str">
        <f t="shared" si="42"/>
        <v/>
      </c>
    </row>
    <row r="2738" spans="1:13">
      <c r="A2738" t="str">
        <f>IF('ATP Fills'!A2738="","",IF('ATP Fills'!Q2738="PHILLIPSG",'ATP Fills'!F2738,""))</f>
        <v/>
      </c>
      <c r="B2738" t="str">
        <f>IF(A2738="","",'ATP Fills'!L2738)</f>
        <v/>
      </c>
      <c r="C2738" t="str">
        <f>IF(A2738="","",'ATP Fills'!M2738)</f>
        <v/>
      </c>
      <c r="D2738" t="str">
        <f>IF(A2738="","",'ATP Fills'!B2738)</f>
        <v/>
      </c>
      <c r="E2738" s="3" t="str">
        <f>IF(A2738="","",IF(DATE(LEFT(D2738,4),MID(D2738,5,2),RIGHT(D2738,2))=Helper1!$P$1,Helper1!$P$1,""))</f>
        <v/>
      </c>
      <c r="F2738" s="3" t="str">
        <f>IF(A2738="","",'ATP Fills'!G2738)</f>
        <v/>
      </c>
      <c r="G2738" t="str">
        <f>IF(A2738="","",'ATP Fills'!H2738)</f>
        <v/>
      </c>
      <c r="H2738" t="str">
        <f>IF(A2738="","",VLOOKUP(G2738,表3_3[],2,0))</f>
        <v/>
      </c>
      <c r="I2738" t="str">
        <f>IF(A2738="","",VLOOKUP(G2738,表3_3[],3,0))</f>
        <v/>
      </c>
      <c r="J2738" t="str">
        <f>IF(A2738="","",IF('ATP Fills'!I2738="3M","",VLOOKUP(RIGHT('ATP Fills'!I2738,2),Helper1!$O$36:$P$48,2,0)))</f>
        <v/>
      </c>
      <c r="K2738" t="str">
        <f>IF(J2738="","",LEFT('ATP Fills'!I2738,4))</f>
        <v/>
      </c>
      <c r="L2738" t="str">
        <f>IF(A2738="","",IF('ATP Fills'!G2738="LME",'ATP Fills'!I2738,""))</f>
        <v/>
      </c>
      <c r="M2738" t="str">
        <f t="shared" si="42"/>
        <v/>
      </c>
    </row>
    <row r="2739" spans="1:13">
      <c r="A2739" t="str">
        <f>IF('ATP Fills'!A2739="","",IF('ATP Fills'!Q2739="PHILLIPSG",'ATP Fills'!F2739,""))</f>
        <v/>
      </c>
      <c r="B2739" t="str">
        <f>IF(A2739="","",'ATP Fills'!L2739)</f>
        <v/>
      </c>
      <c r="C2739" t="str">
        <f>IF(A2739="","",'ATP Fills'!M2739)</f>
        <v/>
      </c>
      <c r="D2739" t="str">
        <f>IF(A2739="","",'ATP Fills'!B2739)</f>
        <v/>
      </c>
      <c r="E2739" s="3" t="str">
        <f>IF(A2739="","",IF(DATE(LEFT(D2739,4),MID(D2739,5,2),RIGHT(D2739,2))=Helper1!$P$1,Helper1!$P$1,""))</f>
        <v/>
      </c>
      <c r="F2739" s="3" t="str">
        <f>IF(A2739="","",'ATP Fills'!G2739)</f>
        <v/>
      </c>
      <c r="G2739" t="str">
        <f>IF(A2739="","",'ATP Fills'!H2739)</f>
        <v/>
      </c>
      <c r="H2739" t="str">
        <f>IF(A2739="","",VLOOKUP(G2739,表3_3[],2,0))</f>
        <v/>
      </c>
      <c r="I2739" t="str">
        <f>IF(A2739="","",VLOOKUP(G2739,表3_3[],3,0))</f>
        <v/>
      </c>
      <c r="J2739" t="str">
        <f>IF(A2739="","",IF('ATP Fills'!I2739="3M","",VLOOKUP(RIGHT('ATP Fills'!I2739,2),Helper1!$O$36:$P$48,2,0)))</f>
        <v/>
      </c>
      <c r="K2739" t="str">
        <f>IF(J2739="","",LEFT('ATP Fills'!I2739,4))</f>
        <v/>
      </c>
      <c r="L2739" t="str">
        <f>IF(A2739="","",IF('ATP Fills'!G2739="LME",'ATP Fills'!I2739,""))</f>
        <v/>
      </c>
      <c r="M2739" t="str">
        <f t="shared" si="42"/>
        <v/>
      </c>
    </row>
    <row r="2740" spans="1:13">
      <c r="A2740" t="str">
        <f>IF('ATP Fills'!A2740="","",IF('ATP Fills'!Q2740="PHILLIPSG",'ATP Fills'!F2740,""))</f>
        <v/>
      </c>
      <c r="B2740" t="str">
        <f>IF(A2740="","",'ATP Fills'!L2740)</f>
        <v/>
      </c>
      <c r="C2740" t="str">
        <f>IF(A2740="","",'ATP Fills'!M2740)</f>
        <v/>
      </c>
      <c r="D2740" t="str">
        <f>IF(A2740="","",'ATP Fills'!B2740)</f>
        <v/>
      </c>
      <c r="E2740" s="3" t="str">
        <f>IF(A2740="","",IF(DATE(LEFT(D2740,4),MID(D2740,5,2),RIGHT(D2740,2))=Helper1!$P$1,Helper1!$P$1,""))</f>
        <v/>
      </c>
      <c r="F2740" s="3" t="str">
        <f>IF(A2740="","",'ATP Fills'!G2740)</f>
        <v/>
      </c>
      <c r="G2740" t="str">
        <f>IF(A2740="","",'ATP Fills'!H2740)</f>
        <v/>
      </c>
      <c r="H2740" t="str">
        <f>IF(A2740="","",VLOOKUP(G2740,表3_3[],2,0))</f>
        <v/>
      </c>
      <c r="I2740" t="str">
        <f>IF(A2740="","",VLOOKUP(G2740,表3_3[],3,0))</f>
        <v/>
      </c>
      <c r="J2740" t="str">
        <f>IF(A2740="","",IF('ATP Fills'!I2740="3M","",VLOOKUP(RIGHT('ATP Fills'!I2740,2),Helper1!$O$36:$P$48,2,0)))</f>
        <v/>
      </c>
      <c r="K2740" t="str">
        <f>IF(J2740="","",LEFT('ATP Fills'!I2740,4))</f>
        <v/>
      </c>
      <c r="L2740" t="str">
        <f>IF(A2740="","",IF('ATP Fills'!G2740="LME",'ATP Fills'!I2740,""))</f>
        <v/>
      </c>
      <c r="M2740" t="str">
        <f t="shared" si="42"/>
        <v/>
      </c>
    </row>
    <row r="2741" spans="1:13">
      <c r="A2741" t="str">
        <f>IF('ATP Fills'!A2741="","",IF('ATP Fills'!Q2741="PHILLIPSG",'ATP Fills'!F2741,""))</f>
        <v/>
      </c>
      <c r="B2741" t="str">
        <f>IF(A2741="","",'ATP Fills'!L2741)</f>
        <v/>
      </c>
      <c r="C2741" t="str">
        <f>IF(A2741="","",'ATP Fills'!M2741)</f>
        <v/>
      </c>
      <c r="D2741" t="str">
        <f>IF(A2741="","",'ATP Fills'!B2741)</f>
        <v/>
      </c>
      <c r="E2741" s="3" t="str">
        <f>IF(A2741="","",IF(DATE(LEFT(D2741,4),MID(D2741,5,2),RIGHT(D2741,2))=Helper1!$P$1,Helper1!$P$1,""))</f>
        <v/>
      </c>
      <c r="F2741" s="3" t="str">
        <f>IF(A2741="","",'ATP Fills'!G2741)</f>
        <v/>
      </c>
      <c r="G2741" t="str">
        <f>IF(A2741="","",'ATP Fills'!H2741)</f>
        <v/>
      </c>
      <c r="H2741" t="str">
        <f>IF(A2741="","",VLOOKUP(G2741,表3_3[],2,0))</f>
        <v/>
      </c>
      <c r="I2741" t="str">
        <f>IF(A2741="","",VLOOKUP(G2741,表3_3[],3,0))</f>
        <v/>
      </c>
      <c r="J2741" t="str">
        <f>IF(A2741="","",IF('ATP Fills'!I2741="3M","",VLOOKUP(RIGHT('ATP Fills'!I2741,2),Helper1!$O$36:$P$48,2,0)))</f>
        <v/>
      </c>
      <c r="K2741" t="str">
        <f>IF(J2741="","",LEFT('ATP Fills'!I2741,4))</f>
        <v/>
      </c>
      <c r="L2741" t="str">
        <f>IF(A2741="","",IF('ATP Fills'!G2741="LME",'ATP Fills'!I2741,""))</f>
        <v/>
      </c>
      <c r="M2741" t="str">
        <f t="shared" si="42"/>
        <v/>
      </c>
    </row>
    <row r="2742" spans="1:13">
      <c r="A2742" t="str">
        <f>IF('ATP Fills'!A2742="","",IF('ATP Fills'!Q2742="PHILLIPSG",'ATP Fills'!F2742,""))</f>
        <v/>
      </c>
      <c r="B2742" t="str">
        <f>IF(A2742="","",'ATP Fills'!L2742)</f>
        <v/>
      </c>
      <c r="C2742" t="str">
        <f>IF(A2742="","",'ATP Fills'!M2742)</f>
        <v/>
      </c>
      <c r="D2742" t="str">
        <f>IF(A2742="","",'ATP Fills'!B2742)</f>
        <v/>
      </c>
      <c r="E2742" s="3" t="str">
        <f>IF(A2742="","",IF(DATE(LEFT(D2742,4),MID(D2742,5,2),RIGHT(D2742,2))=Helper1!$P$1,Helper1!$P$1,""))</f>
        <v/>
      </c>
      <c r="F2742" s="3" t="str">
        <f>IF(A2742="","",'ATP Fills'!G2742)</f>
        <v/>
      </c>
      <c r="G2742" t="str">
        <f>IF(A2742="","",'ATP Fills'!H2742)</f>
        <v/>
      </c>
      <c r="H2742" t="str">
        <f>IF(A2742="","",VLOOKUP(G2742,表3_3[],2,0))</f>
        <v/>
      </c>
      <c r="I2742" t="str">
        <f>IF(A2742="","",VLOOKUP(G2742,表3_3[],3,0))</f>
        <v/>
      </c>
      <c r="J2742" t="str">
        <f>IF(A2742="","",IF('ATP Fills'!I2742="3M","",VLOOKUP(RIGHT('ATP Fills'!I2742,2),Helper1!$O$36:$P$48,2,0)))</f>
        <v/>
      </c>
      <c r="K2742" t="str">
        <f>IF(J2742="","",LEFT('ATP Fills'!I2742,4))</f>
        <v/>
      </c>
      <c r="L2742" t="str">
        <f>IF(A2742="","",IF('ATP Fills'!G2742="LME",'ATP Fills'!I2742,""))</f>
        <v/>
      </c>
      <c r="M2742" t="str">
        <f t="shared" si="42"/>
        <v/>
      </c>
    </row>
    <row r="2743" spans="1:13">
      <c r="A2743" t="str">
        <f>IF('ATP Fills'!A2743="","",IF('ATP Fills'!Q2743="PHILLIPSG",'ATP Fills'!F2743,""))</f>
        <v/>
      </c>
      <c r="B2743" t="str">
        <f>IF(A2743="","",'ATP Fills'!L2743)</f>
        <v/>
      </c>
      <c r="C2743" t="str">
        <f>IF(A2743="","",'ATP Fills'!M2743)</f>
        <v/>
      </c>
      <c r="D2743" t="str">
        <f>IF(A2743="","",'ATP Fills'!B2743)</f>
        <v/>
      </c>
      <c r="E2743" s="3" t="str">
        <f>IF(A2743="","",IF(DATE(LEFT(D2743,4),MID(D2743,5,2),RIGHT(D2743,2))=Helper1!$P$1,Helper1!$P$1,""))</f>
        <v/>
      </c>
      <c r="F2743" s="3" t="str">
        <f>IF(A2743="","",'ATP Fills'!G2743)</f>
        <v/>
      </c>
      <c r="G2743" t="str">
        <f>IF(A2743="","",'ATP Fills'!H2743)</f>
        <v/>
      </c>
      <c r="H2743" t="str">
        <f>IF(A2743="","",VLOOKUP(G2743,表3_3[],2,0))</f>
        <v/>
      </c>
      <c r="I2743" t="str">
        <f>IF(A2743="","",VLOOKUP(G2743,表3_3[],3,0))</f>
        <v/>
      </c>
      <c r="J2743" t="str">
        <f>IF(A2743="","",IF('ATP Fills'!I2743="3M","",VLOOKUP(RIGHT('ATP Fills'!I2743,2),Helper1!$O$36:$P$48,2,0)))</f>
        <v/>
      </c>
      <c r="K2743" t="str">
        <f>IF(J2743="","",LEFT('ATP Fills'!I2743,4))</f>
        <v/>
      </c>
      <c r="L2743" t="str">
        <f>IF(A2743="","",IF('ATP Fills'!G2743="LME",'ATP Fills'!I2743,""))</f>
        <v/>
      </c>
      <c r="M2743" t="str">
        <f t="shared" si="42"/>
        <v/>
      </c>
    </row>
    <row r="2744" spans="1:13">
      <c r="A2744" t="str">
        <f>IF('ATP Fills'!A2744="","",IF('ATP Fills'!Q2744="PHILLIPSG",'ATP Fills'!F2744,""))</f>
        <v/>
      </c>
      <c r="B2744" t="str">
        <f>IF(A2744="","",'ATP Fills'!L2744)</f>
        <v/>
      </c>
      <c r="C2744" t="str">
        <f>IF(A2744="","",'ATP Fills'!M2744)</f>
        <v/>
      </c>
      <c r="D2744" t="str">
        <f>IF(A2744="","",'ATP Fills'!B2744)</f>
        <v/>
      </c>
      <c r="E2744" s="3" t="str">
        <f>IF(A2744="","",IF(DATE(LEFT(D2744,4),MID(D2744,5,2),RIGHT(D2744,2))=Helper1!$P$1,Helper1!$P$1,""))</f>
        <v/>
      </c>
      <c r="F2744" s="3" t="str">
        <f>IF(A2744="","",'ATP Fills'!G2744)</f>
        <v/>
      </c>
      <c r="G2744" t="str">
        <f>IF(A2744="","",'ATP Fills'!H2744)</f>
        <v/>
      </c>
      <c r="H2744" t="str">
        <f>IF(A2744="","",VLOOKUP(G2744,表3_3[],2,0))</f>
        <v/>
      </c>
      <c r="I2744" t="str">
        <f>IF(A2744="","",VLOOKUP(G2744,表3_3[],3,0))</f>
        <v/>
      </c>
      <c r="J2744" t="str">
        <f>IF(A2744="","",IF('ATP Fills'!I2744="3M","",VLOOKUP(RIGHT('ATP Fills'!I2744,2),Helper1!$O$36:$P$48,2,0)))</f>
        <v/>
      </c>
      <c r="K2744" t="str">
        <f>IF(J2744="","",LEFT('ATP Fills'!I2744,4))</f>
        <v/>
      </c>
      <c r="L2744" t="str">
        <f>IF(A2744="","",IF('ATP Fills'!G2744="LME",'ATP Fills'!I2744,""))</f>
        <v/>
      </c>
      <c r="M2744" t="str">
        <f t="shared" si="42"/>
        <v/>
      </c>
    </row>
    <row r="2745" spans="1:13">
      <c r="A2745" t="str">
        <f>IF('ATP Fills'!A2745="","",IF('ATP Fills'!Q2745="PHILLIPSG",'ATP Fills'!F2745,""))</f>
        <v/>
      </c>
      <c r="B2745" t="str">
        <f>IF(A2745="","",'ATP Fills'!L2745)</f>
        <v/>
      </c>
      <c r="C2745" t="str">
        <f>IF(A2745="","",'ATP Fills'!M2745)</f>
        <v/>
      </c>
      <c r="D2745" t="str">
        <f>IF(A2745="","",'ATP Fills'!B2745)</f>
        <v/>
      </c>
      <c r="E2745" s="3" t="str">
        <f>IF(A2745="","",IF(DATE(LEFT(D2745,4),MID(D2745,5,2),RIGHT(D2745,2))=Helper1!$P$1,Helper1!$P$1,""))</f>
        <v/>
      </c>
      <c r="F2745" s="3" t="str">
        <f>IF(A2745="","",'ATP Fills'!G2745)</f>
        <v/>
      </c>
      <c r="G2745" t="str">
        <f>IF(A2745="","",'ATP Fills'!H2745)</f>
        <v/>
      </c>
      <c r="H2745" t="str">
        <f>IF(A2745="","",VLOOKUP(G2745,表3_3[],2,0))</f>
        <v/>
      </c>
      <c r="I2745" t="str">
        <f>IF(A2745="","",VLOOKUP(G2745,表3_3[],3,0))</f>
        <v/>
      </c>
      <c r="J2745" t="str">
        <f>IF(A2745="","",IF('ATP Fills'!I2745="3M","",VLOOKUP(RIGHT('ATP Fills'!I2745,2),Helper1!$O$36:$P$48,2,0)))</f>
        <v/>
      </c>
      <c r="K2745" t="str">
        <f>IF(J2745="","",LEFT('ATP Fills'!I2745,4))</f>
        <v/>
      </c>
      <c r="L2745" t="str">
        <f>IF(A2745="","",IF('ATP Fills'!G2745="LME",'ATP Fills'!I2745,""))</f>
        <v/>
      </c>
      <c r="M2745" t="str">
        <f t="shared" si="42"/>
        <v/>
      </c>
    </row>
    <row r="2746" spans="1:13">
      <c r="A2746" t="str">
        <f>IF('ATP Fills'!A2746="","",IF('ATP Fills'!Q2746="PHILLIPSG",'ATP Fills'!F2746,""))</f>
        <v/>
      </c>
      <c r="B2746" t="str">
        <f>IF(A2746="","",'ATP Fills'!L2746)</f>
        <v/>
      </c>
      <c r="C2746" t="str">
        <f>IF(A2746="","",'ATP Fills'!M2746)</f>
        <v/>
      </c>
      <c r="D2746" t="str">
        <f>IF(A2746="","",'ATP Fills'!B2746)</f>
        <v/>
      </c>
      <c r="E2746" s="3" t="str">
        <f>IF(A2746="","",IF(DATE(LEFT(D2746,4),MID(D2746,5,2),RIGHT(D2746,2))=Helper1!$P$1,Helper1!$P$1,""))</f>
        <v/>
      </c>
      <c r="F2746" s="3" t="str">
        <f>IF(A2746="","",'ATP Fills'!G2746)</f>
        <v/>
      </c>
      <c r="G2746" t="str">
        <f>IF(A2746="","",'ATP Fills'!H2746)</f>
        <v/>
      </c>
      <c r="H2746" t="str">
        <f>IF(A2746="","",VLOOKUP(G2746,表3_3[],2,0))</f>
        <v/>
      </c>
      <c r="I2746" t="str">
        <f>IF(A2746="","",VLOOKUP(G2746,表3_3[],3,0))</f>
        <v/>
      </c>
      <c r="J2746" t="str">
        <f>IF(A2746="","",IF('ATP Fills'!I2746="3M","",VLOOKUP(RIGHT('ATP Fills'!I2746,2),Helper1!$O$36:$P$48,2,0)))</f>
        <v/>
      </c>
      <c r="K2746" t="str">
        <f>IF(J2746="","",LEFT('ATP Fills'!I2746,4))</f>
        <v/>
      </c>
      <c r="L2746" t="str">
        <f>IF(A2746="","",IF('ATP Fills'!G2746="LME",'ATP Fills'!I2746,""))</f>
        <v/>
      </c>
      <c r="M2746" t="str">
        <f t="shared" si="42"/>
        <v/>
      </c>
    </row>
    <row r="2747" spans="1:13">
      <c r="A2747" t="str">
        <f>IF('ATP Fills'!A2747="","",IF('ATP Fills'!Q2747="PHILLIPSG",'ATP Fills'!F2747,""))</f>
        <v/>
      </c>
      <c r="B2747" t="str">
        <f>IF(A2747="","",'ATP Fills'!L2747)</f>
        <v/>
      </c>
      <c r="C2747" t="str">
        <f>IF(A2747="","",'ATP Fills'!M2747)</f>
        <v/>
      </c>
      <c r="D2747" t="str">
        <f>IF(A2747="","",'ATP Fills'!B2747)</f>
        <v/>
      </c>
      <c r="E2747" s="3" t="str">
        <f>IF(A2747="","",IF(DATE(LEFT(D2747,4),MID(D2747,5,2),RIGHT(D2747,2))=Helper1!$P$1,Helper1!$P$1,""))</f>
        <v/>
      </c>
      <c r="F2747" s="3" t="str">
        <f>IF(A2747="","",'ATP Fills'!G2747)</f>
        <v/>
      </c>
      <c r="G2747" t="str">
        <f>IF(A2747="","",'ATP Fills'!H2747)</f>
        <v/>
      </c>
      <c r="H2747" t="str">
        <f>IF(A2747="","",VLOOKUP(G2747,表3_3[],2,0))</f>
        <v/>
      </c>
      <c r="I2747" t="str">
        <f>IF(A2747="","",VLOOKUP(G2747,表3_3[],3,0))</f>
        <v/>
      </c>
      <c r="J2747" t="str">
        <f>IF(A2747="","",IF('ATP Fills'!I2747="3M","",VLOOKUP(RIGHT('ATP Fills'!I2747,2),Helper1!$O$36:$P$48,2,0)))</f>
        <v/>
      </c>
      <c r="K2747" t="str">
        <f>IF(J2747="","",LEFT('ATP Fills'!I2747,4))</f>
        <v/>
      </c>
      <c r="L2747" t="str">
        <f>IF(A2747="","",IF('ATP Fills'!G2747="LME",'ATP Fills'!I2747,""))</f>
        <v/>
      </c>
      <c r="M2747" t="str">
        <f t="shared" si="42"/>
        <v/>
      </c>
    </row>
    <row r="2748" spans="1:13">
      <c r="A2748" t="str">
        <f>IF('ATP Fills'!A2748="","",IF('ATP Fills'!Q2748="PHILLIPSG",'ATP Fills'!F2748,""))</f>
        <v/>
      </c>
      <c r="B2748" t="str">
        <f>IF(A2748="","",'ATP Fills'!L2748)</f>
        <v/>
      </c>
      <c r="C2748" t="str">
        <f>IF(A2748="","",'ATP Fills'!M2748)</f>
        <v/>
      </c>
      <c r="D2748" t="str">
        <f>IF(A2748="","",'ATP Fills'!B2748)</f>
        <v/>
      </c>
      <c r="E2748" s="3" t="str">
        <f>IF(A2748="","",IF(DATE(LEFT(D2748,4),MID(D2748,5,2),RIGHT(D2748,2))=Helper1!$P$1,Helper1!$P$1,""))</f>
        <v/>
      </c>
      <c r="F2748" s="3" t="str">
        <f>IF(A2748="","",'ATP Fills'!G2748)</f>
        <v/>
      </c>
      <c r="G2748" t="str">
        <f>IF(A2748="","",'ATP Fills'!H2748)</f>
        <v/>
      </c>
      <c r="H2748" t="str">
        <f>IF(A2748="","",VLOOKUP(G2748,表3_3[],2,0))</f>
        <v/>
      </c>
      <c r="I2748" t="str">
        <f>IF(A2748="","",VLOOKUP(G2748,表3_3[],3,0))</f>
        <v/>
      </c>
      <c r="J2748" t="str">
        <f>IF(A2748="","",IF('ATP Fills'!I2748="3M","",VLOOKUP(RIGHT('ATP Fills'!I2748,2),Helper1!$O$36:$P$48,2,0)))</f>
        <v/>
      </c>
      <c r="K2748" t="str">
        <f>IF(J2748="","",LEFT('ATP Fills'!I2748,4))</f>
        <v/>
      </c>
      <c r="L2748" t="str">
        <f>IF(A2748="","",IF('ATP Fills'!G2748="LME",'ATP Fills'!I2748,""))</f>
        <v/>
      </c>
      <c r="M2748" t="str">
        <f t="shared" si="42"/>
        <v/>
      </c>
    </row>
    <row r="2749" spans="1:13">
      <c r="A2749" t="str">
        <f>IF('ATP Fills'!A2749="","",IF('ATP Fills'!Q2749="PHILLIPSG",'ATP Fills'!F2749,""))</f>
        <v/>
      </c>
      <c r="B2749" t="str">
        <f>IF(A2749="","",'ATP Fills'!L2749)</f>
        <v/>
      </c>
      <c r="C2749" t="str">
        <f>IF(A2749="","",'ATP Fills'!M2749)</f>
        <v/>
      </c>
      <c r="D2749" t="str">
        <f>IF(A2749="","",'ATP Fills'!B2749)</f>
        <v/>
      </c>
      <c r="E2749" s="3" t="str">
        <f>IF(A2749="","",IF(DATE(LEFT(D2749,4),MID(D2749,5,2),RIGHT(D2749,2))=Helper1!$P$1,Helper1!$P$1,""))</f>
        <v/>
      </c>
      <c r="F2749" s="3" t="str">
        <f>IF(A2749="","",'ATP Fills'!G2749)</f>
        <v/>
      </c>
      <c r="G2749" t="str">
        <f>IF(A2749="","",'ATP Fills'!H2749)</f>
        <v/>
      </c>
      <c r="H2749" t="str">
        <f>IF(A2749="","",VLOOKUP(G2749,表3_3[],2,0))</f>
        <v/>
      </c>
      <c r="I2749" t="str">
        <f>IF(A2749="","",VLOOKUP(G2749,表3_3[],3,0))</f>
        <v/>
      </c>
      <c r="J2749" t="str">
        <f>IF(A2749="","",IF('ATP Fills'!I2749="3M","",VLOOKUP(RIGHT('ATP Fills'!I2749,2),Helper1!$O$36:$P$48,2,0)))</f>
        <v/>
      </c>
      <c r="K2749" t="str">
        <f>IF(J2749="","",LEFT('ATP Fills'!I2749,4))</f>
        <v/>
      </c>
      <c r="L2749" t="str">
        <f>IF(A2749="","",IF('ATP Fills'!G2749="LME",'ATP Fills'!I2749,""))</f>
        <v/>
      </c>
      <c r="M2749" t="str">
        <f t="shared" si="42"/>
        <v/>
      </c>
    </row>
    <row r="2750" spans="1:13">
      <c r="A2750" t="str">
        <f>IF('ATP Fills'!A2750="","",IF('ATP Fills'!Q2750="PHILLIPSG",'ATP Fills'!F2750,""))</f>
        <v/>
      </c>
      <c r="B2750" t="str">
        <f>IF(A2750="","",'ATP Fills'!L2750)</f>
        <v/>
      </c>
      <c r="C2750" t="str">
        <f>IF(A2750="","",'ATP Fills'!M2750)</f>
        <v/>
      </c>
      <c r="D2750" t="str">
        <f>IF(A2750="","",'ATP Fills'!B2750)</f>
        <v/>
      </c>
      <c r="E2750" s="3" t="str">
        <f>IF(A2750="","",IF(DATE(LEFT(D2750,4),MID(D2750,5,2),RIGHT(D2750,2))=Helper1!$P$1,Helper1!$P$1,""))</f>
        <v/>
      </c>
      <c r="F2750" s="3" t="str">
        <f>IF(A2750="","",'ATP Fills'!G2750)</f>
        <v/>
      </c>
      <c r="G2750" t="str">
        <f>IF(A2750="","",'ATP Fills'!H2750)</f>
        <v/>
      </c>
      <c r="H2750" t="str">
        <f>IF(A2750="","",VLOOKUP(G2750,表3_3[],2,0))</f>
        <v/>
      </c>
      <c r="I2750" t="str">
        <f>IF(A2750="","",VLOOKUP(G2750,表3_3[],3,0))</f>
        <v/>
      </c>
      <c r="J2750" t="str">
        <f>IF(A2750="","",IF('ATP Fills'!I2750="3M","",VLOOKUP(RIGHT('ATP Fills'!I2750,2),Helper1!$O$36:$P$48,2,0)))</f>
        <v/>
      </c>
      <c r="K2750" t="str">
        <f>IF(J2750="","",LEFT('ATP Fills'!I2750,4))</f>
        <v/>
      </c>
      <c r="L2750" t="str">
        <f>IF(A2750="","",IF('ATP Fills'!G2750="LME",'ATP Fills'!I2750,""))</f>
        <v/>
      </c>
      <c r="M2750" t="str">
        <f t="shared" si="42"/>
        <v/>
      </c>
    </row>
    <row r="2751" spans="1:13">
      <c r="A2751" t="str">
        <f>IF('ATP Fills'!A2751="","",IF('ATP Fills'!Q2751="PHILLIPSG",'ATP Fills'!F2751,""))</f>
        <v/>
      </c>
      <c r="B2751" t="str">
        <f>IF(A2751="","",'ATP Fills'!L2751)</f>
        <v/>
      </c>
      <c r="C2751" t="str">
        <f>IF(A2751="","",'ATP Fills'!M2751)</f>
        <v/>
      </c>
      <c r="D2751" t="str">
        <f>IF(A2751="","",'ATP Fills'!B2751)</f>
        <v/>
      </c>
      <c r="E2751" s="3" t="str">
        <f>IF(A2751="","",IF(DATE(LEFT(D2751,4),MID(D2751,5,2),RIGHT(D2751,2))=Helper1!$P$1,Helper1!$P$1,""))</f>
        <v/>
      </c>
      <c r="F2751" s="3" t="str">
        <f>IF(A2751="","",'ATP Fills'!G2751)</f>
        <v/>
      </c>
      <c r="G2751" t="str">
        <f>IF(A2751="","",'ATP Fills'!H2751)</f>
        <v/>
      </c>
      <c r="H2751" t="str">
        <f>IF(A2751="","",VLOOKUP(G2751,表3_3[],2,0))</f>
        <v/>
      </c>
      <c r="I2751" t="str">
        <f>IF(A2751="","",VLOOKUP(G2751,表3_3[],3,0))</f>
        <v/>
      </c>
      <c r="J2751" t="str">
        <f>IF(A2751="","",IF('ATP Fills'!I2751="3M","",VLOOKUP(RIGHT('ATP Fills'!I2751,2),Helper1!$O$36:$P$48,2,0)))</f>
        <v/>
      </c>
      <c r="K2751" t="str">
        <f>IF(J2751="","",LEFT('ATP Fills'!I2751,4))</f>
        <v/>
      </c>
      <c r="L2751" t="str">
        <f>IF(A2751="","",IF('ATP Fills'!G2751="LME",'ATP Fills'!I2751,""))</f>
        <v/>
      </c>
      <c r="M2751" t="str">
        <f t="shared" si="42"/>
        <v/>
      </c>
    </row>
    <row r="2752" spans="1:13">
      <c r="A2752" t="str">
        <f>IF('ATP Fills'!A2752="","",IF('ATP Fills'!Q2752="PHILLIPSG",'ATP Fills'!F2752,""))</f>
        <v/>
      </c>
      <c r="B2752" t="str">
        <f>IF(A2752="","",'ATP Fills'!L2752)</f>
        <v/>
      </c>
      <c r="C2752" t="str">
        <f>IF(A2752="","",'ATP Fills'!M2752)</f>
        <v/>
      </c>
      <c r="D2752" t="str">
        <f>IF(A2752="","",'ATP Fills'!B2752)</f>
        <v/>
      </c>
      <c r="E2752" s="3" t="str">
        <f>IF(A2752="","",IF(DATE(LEFT(D2752,4),MID(D2752,5,2),RIGHT(D2752,2))=Helper1!$P$1,Helper1!$P$1,""))</f>
        <v/>
      </c>
      <c r="F2752" s="3" t="str">
        <f>IF(A2752="","",'ATP Fills'!G2752)</f>
        <v/>
      </c>
      <c r="G2752" t="str">
        <f>IF(A2752="","",'ATP Fills'!H2752)</f>
        <v/>
      </c>
      <c r="H2752" t="str">
        <f>IF(A2752="","",VLOOKUP(G2752,表3_3[],2,0))</f>
        <v/>
      </c>
      <c r="I2752" t="str">
        <f>IF(A2752="","",VLOOKUP(G2752,表3_3[],3,0))</f>
        <v/>
      </c>
      <c r="J2752" t="str">
        <f>IF(A2752="","",IF('ATP Fills'!I2752="3M","",VLOOKUP(RIGHT('ATP Fills'!I2752,2),Helper1!$O$36:$P$48,2,0)))</f>
        <v/>
      </c>
      <c r="K2752" t="str">
        <f>IF(J2752="","",LEFT('ATP Fills'!I2752,4))</f>
        <v/>
      </c>
      <c r="L2752" t="str">
        <f>IF(A2752="","",IF('ATP Fills'!G2752="LME",'ATP Fills'!I2752,""))</f>
        <v/>
      </c>
      <c r="M2752" t="str">
        <f t="shared" si="42"/>
        <v/>
      </c>
    </row>
    <row r="2753" spans="1:13">
      <c r="A2753" t="str">
        <f>IF('ATP Fills'!A2753="","",IF('ATP Fills'!Q2753="PHILLIPSG",'ATP Fills'!F2753,""))</f>
        <v/>
      </c>
      <c r="B2753" t="str">
        <f>IF(A2753="","",'ATP Fills'!L2753)</f>
        <v/>
      </c>
      <c r="C2753" t="str">
        <f>IF(A2753="","",'ATP Fills'!M2753)</f>
        <v/>
      </c>
      <c r="D2753" t="str">
        <f>IF(A2753="","",'ATP Fills'!B2753)</f>
        <v/>
      </c>
      <c r="E2753" s="3" t="str">
        <f>IF(A2753="","",IF(DATE(LEFT(D2753,4),MID(D2753,5,2),RIGHT(D2753,2))=Helper1!$P$1,Helper1!$P$1,""))</f>
        <v/>
      </c>
      <c r="F2753" s="3" t="str">
        <f>IF(A2753="","",'ATP Fills'!G2753)</f>
        <v/>
      </c>
      <c r="G2753" t="str">
        <f>IF(A2753="","",'ATP Fills'!H2753)</f>
        <v/>
      </c>
      <c r="H2753" t="str">
        <f>IF(A2753="","",VLOOKUP(G2753,表3_3[],2,0))</f>
        <v/>
      </c>
      <c r="I2753" t="str">
        <f>IF(A2753="","",VLOOKUP(G2753,表3_3[],3,0))</f>
        <v/>
      </c>
      <c r="J2753" t="str">
        <f>IF(A2753="","",IF('ATP Fills'!I2753="3M","",VLOOKUP(RIGHT('ATP Fills'!I2753,2),Helper1!$O$36:$P$48,2,0)))</f>
        <v/>
      </c>
      <c r="K2753" t="str">
        <f>IF(J2753="","",LEFT('ATP Fills'!I2753,4))</f>
        <v/>
      </c>
      <c r="L2753" t="str">
        <f>IF(A2753="","",IF('ATP Fills'!G2753="LME",'ATP Fills'!I2753,""))</f>
        <v/>
      </c>
      <c r="M2753" t="str">
        <f t="shared" si="42"/>
        <v/>
      </c>
    </row>
    <row r="2754" spans="1:13">
      <c r="A2754" t="str">
        <f>IF('ATP Fills'!A2754="","",IF('ATP Fills'!Q2754="PHILLIPSG",'ATP Fills'!F2754,""))</f>
        <v/>
      </c>
      <c r="B2754" t="str">
        <f>IF(A2754="","",'ATP Fills'!L2754)</f>
        <v/>
      </c>
      <c r="C2754" t="str">
        <f>IF(A2754="","",'ATP Fills'!M2754)</f>
        <v/>
      </c>
      <c r="D2754" t="str">
        <f>IF(A2754="","",'ATP Fills'!B2754)</f>
        <v/>
      </c>
      <c r="E2754" s="3" t="str">
        <f>IF(A2754="","",IF(DATE(LEFT(D2754,4),MID(D2754,5,2),RIGHT(D2754,2))=Helper1!$P$1,Helper1!$P$1,""))</f>
        <v/>
      </c>
      <c r="F2754" s="3" t="str">
        <f>IF(A2754="","",'ATP Fills'!G2754)</f>
        <v/>
      </c>
      <c r="G2754" t="str">
        <f>IF(A2754="","",'ATP Fills'!H2754)</f>
        <v/>
      </c>
      <c r="H2754" t="str">
        <f>IF(A2754="","",VLOOKUP(G2754,表3_3[],2,0))</f>
        <v/>
      </c>
      <c r="I2754" t="str">
        <f>IF(A2754="","",VLOOKUP(G2754,表3_3[],3,0))</f>
        <v/>
      </c>
      <c r="J2754" t="str">
        <f>IF(A2754="","",IF('ATP Fills'!I2754="3M","",VLOOKUP(RIGHT('ATP Fills'!I2754,2),Helper1!$O$36:$P$48,2,0)))</f>
        <v/>
      </c>
      <c r="K2754" t="str">
        <f>IF(J2754="","",LEFT('ATP Fills'!I2754,4))</f>
        <v/>
      </c>
      <c r="L2754" t="str">
        <f>IF(A2754="","",IF('ATP Fills'!G2754="LME",'ATP Fills'!I2754,""))</f>
        <v/>
      </c>
      <c r="M2754" t="str">
        <f t="shared" si="42"/>
        <v/>
      </c>
    </row>
    <row r="2755" spans="1:13">
      <c r="A2755" t="str">
        <f>IF('ATP Fills'!A2755="","",IF('ATP Fills'!Q2755="PHILLIPSG",'ATP Fills'!F2755,""))</f>
        <v/>
      </c>
      <c r="B2755" t="str">
        <f>IF(A2755="","",'ATP Fills'!L2755)</f>
        <v/>
      </c>
      <c r="C2755" t="str">
        <f>IF(A2755="","",'ATP Fills'!M2755)</f>
        <v/>
      </c>
      <c r="D2755" t="str">
        <f>IF(A2755="","",'ATP Fills'!B2755)</f>
        <v/>
      </c>
      <c r="E2755" s="3" t="str">
        <f>IF(A2755="","",IF(DATE(LEFT(D2755,4),MID(D2755,5,2),RIGHT(D2755,2))=Helper1!$P$1,Helper1!$P$1,""))</f>
        <v/>
      </c>
      <c r="F2755" s="3" t="str">
        <f>IF(A2755="","",'ATP Fills'!G2755)</f>
        <v/>
      </c>
      <c r="G2755" t="str">
        <f>IF(A2755="","",'ATP Fills'!H2755)</f>
        <v/>
      </c>
      <c r="H2755" t="str">
        <f>IF(A2755="","",VLOOKUP(G2755,表3_3[],2,0))</f>
        <v/>
      </c>
      <c r="I2755" t="str">
        <f>IF(A2755="","",VLOOKUP(G2755,表3_3[],3,0))</f>
        <v/>
      </c>
      <c r="J2755" t="str">
        <f>IF(A2755="","",IF('ATP Fills'!I2755="3M","",VLOOKUP(RIGHT('ATP Fills'!I2755,2),Helper1!$O$36:$P$48,2,0)))</f>
        <v/>
      </c>
      <c r="K2755" t="str">
        <f>IF(J2755="","",LEFT('ATP Fills'!I2755,4))</f>
        <v/>
      </c>
      <c r="L2755" t="str">
        <f>IF(A2755="","",IF('ATP Fills'!G2755="LME",'ATP Fills'!I2755,""))</f>
        <v/>
      </c>
      <c r="M2755" t="str">
        <f t="shared" ref="M2755:M2818" si="43">IF(A2755="","",IF(F2755="LME",F2755&amp;"-"&amp;I2755&amp;"-"&amp;L2755,J2755&amp;"-"&amp;K2755&amp;"-"&amp;I2755))</f>
        <v/>
      </c>
    </row>
    <row r="2756" spans="1:13">
      <c r="A2756" t="str">
        <f>IF('ATP Fills'!A2756="","",IF('ATP Fills'!Q2756="PHILLIPSG",'ATP Fills'!F2756,""))</f>
        <v/>
      </c>
      <c r="B2756" t="str">
        <f>IF(A2756="","",'ATP Fills'!L2756)</f>
        <v/>
      </c>
      <c r="C2756" t="str">
        <f>IF(A2756="","",'ATP Fills'!M2756)</f>
        <v/>
      </c>
      <c r="D2756" t="str">
        <f>IF(A2756="","",'ATP Fills'!B2756)</f>
        <v/>
      </c>
      <c r="E2756" s="3" t="str">
        <f>IF(A2756="","",IF(DATE(LEFT(D2756,4),MID(D2756,5,2),RIGHT(D2756,2))=Helper1!$P$1,Helper1!$P$1,""))</f>
        <v/>
      </c>
      <c r="F2756" s="3" t="str">
        <f>IF(A2756="","",'ATP Fills'!G2756)</f>
        <v/>
      </c>
      <c r="G2756" t="str">
        <f>IF(A2756="","",'ATP Fills'!H2756)</f>
        <v/>
      </c>
      <c r="H2756" t="str">
        <f>IF(A2756="","",VLOOKUP(G2756,表3_3[],2,0))</f>
        <v/>
      </c>
      <c r="I2756" t="str">
        <f>IF(A2756="","",VLOOKUP(G2756,表3_3[],3,0))</f>
        <v/>
      </c>
      <c r="J2756" t="str">
        <f>IF(A2756="","",IF('ATP Fills'!I2756="3M","",VLOOKUP(RIGHT('ATP Fills'!I2756,2),Helper1!$O$36:$P$48,2,0)))</f>
        <v/>
      </c>
      <c r="K2756" t="str">
        <f>IF(J2756="","",LEFT('ATP Fills'!I2756,4))</f>
        <v/>
      </c>
      <c r="L2756" t="str">
        <f>IF(A2756="","",IF('ATP Fills'!G2756="LME",'ATP Fills'!I2756,""))</f>
        <v/>
      </c>
      <c r="M2756" t="str">
        <f t="shared" si="43"/>
        <v/>
      </c>
    </row>
    <row r="2757" spans="1:13">
      <c r="A2757" t="str">
        <f>IF('ATP Fills'!A2757="","",IF('ATP Fills'!Q2757="PHILLIPSG",'ATP Fills'!F2757,""))</f>
        <v/>
      </c>
      <c r="B2757" t="str">
        <f>IF(A2757="","",'ATP Fills'!L2757)</f>
        <v/>
      </c>
      <c r="C2757" t="str">
        <f>IF(A2757="","",'ATP Fills'!M2757)</f>
        <v/>
      </c>
      <c r="D2757" t="str">
        <f>IF(A2757="","",'ATP Fills'!B2757)</f>
        <v/>
      </c>
      <c r="E2757" s="3" t="str">
        <f>IF(A2757="","",IF(DATE(LEFT(D2757,4),MID(D2757,5,2),RIGHT(D2757,2))=Helper1!$P$1,Helper1!$P$1,""))</f>
        <v/>
      </c>
      <c r="F2757" s="3" t="str">
        <f>IF(A2757="","",'ATP Fills'!G2757)</f>
        <v/>
      </c>
      <c r="G2757" t="str">
        <f>IF(A2757="","",'ATP Fills'!H2757)</f>
        <v/>
      </c>
      <c r="H2757" t="str">
        <f>IF(A2757="","",VLOOKUP(G2757,表3_3[],2,0))</f>
        <v/>
      </c>
      <c r="I2757" t="str">
        <f>IF(A2757="","",VLOOKUP(G2757,表3_3[],3,0))</f>
        <v/>
      </c>
      <c r="J2757" t="str">
        <f>IF(A2757="","",IF('ATP Fills'!I2757="3M","",VLOOKUP(RIGHT('ATP Fills'!I2757,2),Helper1!$O$36:$P$48,2,0)))</f>
        <v/>
      </c>
      <c r="K2757" t="str">
        <f>IF(J2757="","",LEFT('ATP Fills'!I2757,4))</f>
        <v/>
      </c>
      <c r="L2757" t="str">
        <f>IF(A2757="","",IF('ATP Fills'!G2757="LME",'ATP Fills'!I2757,""))</f>
        <v/>
      </c>
      <c r="M2757" t="str">
        <f t="shared" si="43"/>
        <v/>
      </c>
    </row>
    <row r="2758" spans="1:13">
      <c r="A2758" t="str">
        <f>IF('ATP Fills'!A2758="","",IF('ATP Fills'!Q2758="PHILLIPSG",'ATP Fills'!F2758,""))</f>
        <v/>
      </c>
      <c r="B2758" t="str">
        <f>IF(A2758="","",'ATP Fills'!L2758)</f>
        <v/>
      </c>
      <c r="C2758" t="str">
        <f>IF(A2758="","",'ATP Fills'!M2758)</f>
        <v/>
      </c>
      <c r="D2758" t="str">
        <f>IF(A2758="","",'ATP Fills'!B2758)</f>
        <v/>
      </c>
      <c r="E2758" s="3" t="str">
        <f>IF(A2758="","",IF(DATE(LEFT(D2758,4),MID(D2758,5,2),RIGHT(D2758,2))=Helper1!$P$1,Helper1!$P$1,""))</f>
        <v/>
      </c>
      <c r="F2758" s="3" t="str">
        <f>IF(A2758="","",'ATP Fills'!G2758)</f>
        <v/>
      </c>
      <c r="G2758" t="str">
        <f>IF(A2758="","",'ATP Fills'!H2758)</f>
        <v/>
      </c>
      <c r="H2758" t="str">
        <f>IF(A2758="","",VLOOKUP(G2758,表3_3[],2,0))</f>
        <v/>
      </c>
      <c r="I2758" t="str">
        <f>IF(A2758="","",VLOOKUP(G2758,表3_3[],3,0))</f>
        <v/>
      </c>
      <c r="J2758" t="str">
        <f>IF(A2758="","",IF('ATP Fills'!I2758="3M","",VLOOKUP(RIGHT('ATP Fills'!I2758,2),Helper1!$O$36:$P$48,2,0)))</f>
        <v/>
      </c>
      <c r="K2758" t="str">
        <f>IF(J2758="","",LEFT('ATP Fills'!I2758,4))</f>
        <v/>
      </c>
      <c r="L2758" t="str">
        <f>IF(A2758="","",IF('ATP Fills'!G2758="LME",'ATP Fills'!I2758,""))</f>
        <v/>
      </c>
      <c r="M2758" t="str">
        <f t="shared" si="43"/>
        <v/>
      </c>
    </row>
    <row r="2759" spans="1:13">
      <c r="A2759" t="str">
        <f>IF('ATP Fills'!A2759="","",IF('ATP Fills'!Q2759="PHILLIPSG",'ATP Fills'!F2759,""))</f>
        <v/>
      </c>
      <c r="B2759" t="str">
        <f>IF(A2759="","",'ATP Fills'!L2759)</f>
        <v/>
      </c>
      <c r="C2759" t="str">
        <f>IF(A2759="","",'ATP Fills'!M2759)</f>
        <v/>
      </c>
      <c r="D2759" t="str">
        <f>IF(A2759="","",'ATP Fills'!B2759)</f>
        <v/>
      </c>
      <c r="E2759" s="3" t="str">
        <f>IF(A2759="","",IF(DATE(LEFT(D2759,4),MID(D2759,5,2),RIGHT(D2759,2))=Helper1!$P$1,Helper1!$P$1,""))</f>
        <v/>
      </c>
      <c r="F2759" s="3" t="str">
        <f>IF(A2759="","",'ATP Fills'!G2759)</f>
        <v/>
      </c>
      <c r="G2759" t="str">
        <f>IF(A2759="","",'ATP Fills'!H2759)</f>
        <v/>
      </c>
      <c r="H2759" t="str">
        <f>IF(A2759="","",VLOOKUP(G2759,表3_3[],2,0))</f>
        <v/>
      </c>
      <c r="I2759" t="str">
        <f>IF(A2759="","",VLOOKUP(G2759,表3_3[],3,0))</f>
        <v/>
      </c>
      <c r="J2759" t="str">
        <f>IF(A2759="","",IF('ATP Fills'!I2759="3M","",VLOOKUP(RIGHT('ATP Fills'!I2759,2),Helper1!$O$36:$P$48,2,0)))</f>
        <v/>
      </c>
      <c r="K2759" t="str">
        <f>IF(J2759="","",LEFT('ATP Fills'!I2759,4))</f>
        <v/>
      </c>
      <c r="L2759" t="str">
        <f>IF(A2759="","",IF('ATP Fills'!G2759="LME",'ATP Fills'!I2759,""))</f>
        <v/>
      </c>
      <c r="M2759" t="str">
        <f t="shared" si="43"/>
        <v/>
      </c>
    </row>
    <row r="2760" spans="1:13">
      <c r="A2760" t="str">
        <f>IF('ATP Fills'!A2760="","",IF('ATP Fills'!Q2760="PHILLIPSG",'ATP Fills'!F2760,""))</f>
        <v/>
      </c>
      <c r="B2760" t="str">
        <f>IF(A2760="","",'ATP Fills'!L2760)</f>
        <v/>
      </c>
      <c r="C2760" t="str">
        <f>IF(A2760="","",'ATP Fills'!M2760)</f>
        <v/>
      </c>
      <c r="D2760" t="str">
        <f>IF(A2760="","",'ATP Fills'!B2760)</f>
        <v/>
      </c>
      <c r="E2760" s="3" t="str">
        <f>IF(A2760="","",IF(DATE(LEFT(D2760,4),MID(D2760,5,2),RIGHT(D2760,2))=Helper1!$P$1,Helper1!$P$1,""))</f>
        <v/>
      </c>
      <c r="F2760" s="3" t="str">
        <f>IF(A2760="","",'ATP Fills'!G2760)</f>
        <v/>
      </c>
      <c r="G2760" t="str">
        <f>IF(A2760="","",'ATP Fills'!H2760)</f>
        <v/>
      </c>
      <c r="H2760" t="str">
        <f>IF(A2760="","",VLOOKUP(G2760,表3_3[],2,0))</f>
        <v/>
      </c>
      <c r="I2760" t="str">
        <f>IF(A2760="","",VLOOKUP(G2760,表3_3[],3,0))</f>
        <v/>
      </c>
      <c r="J2760" t="str">
        <f>IF(A2760="","",IF('ATP Fills'!I2760="3M","",VLOOKUP(RIGHT('ATP Fills'!I2760,2),Helper1!$O$36:$P$48,2,0)))</f>
        <v/>
      </c>
      <c r="K2760" t="str">
        <f>IF(J2760="","",LEFT('ATP Fills'!I2760,4))</f>
        <v/>
      </c>
      <c r="L2760" t="str">
        <f>IF(A2760="","",IF('ATP Fills'!G2760="LME",'ATP Fills'!I2760,""))</f>
        <v/>
      </c>
      <c r="M2760" t="str">
        <f t="shared" si="43"/>
        <v/>
      </c>
    </row>
    <row r="2761" spans="1:13">
      <c r="A2761" t="str">
        <f>IF('ATP Fills'!A2761="","",IF('ATP Fills'!Q2761="PHILLIPSG",'ATP Fills'!F2761,""))</f>
        <v/>
      </c>
      <c r="B2761" t="str">
        <f>IF(A2761="","",'ATP Fills'!L2761)</f>
        <v/>
      </c>
      <c r="C2761" t="str">
        <f>IF(A2761="","",'ATP Fills'!M2761)</f>
        <v/>
      </c>
      <c r="D2761" t="str">
        <f>IF(A2761="","",'ATP Fills'!B2761)</f>
        <v/>
      </c>
      <c r="E2761" s="3" t="str">
        <f>IF(A2761="","",IF(DATE(LEFT(D2761,4),MID(D2761,5,2),RIGHT(D2761,2))=Helper1!$P$1,Helper1!$P$1,""))</f>
        <v/>
      </c>
      <c r="F2761" s="3" t="str">
        <f>IF(A2761="","",'ATP Fills'!G2761)</f>
        <v/>
      </c>
      <c r="G2761" t="str">
        <f>IF(A2761="","",'ATP Fills'!H2761)</f>
        <v/>
      </c>
      <c r="H2761" t="str">
        <f>IF(A2761="","",VLOOKUP(G2761,表3_3[],2,0))</f>
        <v/>
      </c>
      <c r="I2761" t="str">
        <f>IF(A2761="","",VLOOKUP(G2761,表3_3[],3,0))</f>
        <v/>
      </c>
      <c r="J2761" t="str">
        <f>IF(A2761="","",IF('ATP Fills'!I2761="3M","",VLOOKUP(RIGHT('ATP Fills'!I2761,2),Helper1!$O$36:$P$48,2,0)))</f>
        <v/>
      </c>
      <c r="K2761" t="str">
        <f>IF(J2761="","",LEFT('ATP Fills'!I2761,4))</f>
        <v/>
      </c>
      <c r="L2761" t="str">
        <f>IF(A2761="","",IF('ATP Fills'!G2761="LME",'ATP Fills'!I2761,""))</f>
        <v/>
      </c>
      <c r="M2761" t="str">
        <f t="shared" si="43"/>
        <v/>
      </c>
    </row>
    <row r="2762" spans="1:13">
      <c r="A2762" t="str">
        <f>IF('ATP Fills'!A2762="","",IF('ATP Fills'!Q2762="PHILLIPSG",'ATP Fills'!F2762,""))</f>
        <v/>
      </c>
      <c r="B2762" t="str">
        <f>IF(A2762="","",'ATP Fills'!L2762)</f>
        <v/>
      </c>
      <c r="C2762" t="str">
        <f>IF(A2762="","",'ATP Fills'!M2762)</f>
        <v/>
      </c>
      <c r="D2762" t="str">
        <f>IF(A2762="","",'ATP Fills'!B2762)</f>
        <v/>
      </c>
      <c r="E2762" s="3" t="str">
        <f>IF(A2762="","",IF(DATE(LEFT(D2762,4),MID(D2762,5,2),RIGHT(D2762,2))=Helper1!$P$1,Helper1!$P$1,""))</f>
        <v/>
      </c>
      <c r="F2762" s="3" t="str">
        <f>IF(A2762="","",'ATP Fills'!G2762)</f>
        <v/>
      </c>
      <c r="G2762" t="str">
        <f>IF(A2762="","",'ATP Fills'!H2762)</f>
        <v/>
      </c>
      <c r="H2762" t="str">
        <f>IF(A2762="","",VLOOKUP(G2762,表3_3[],2,0))</f>
        <v/>
      </c>
      <c r="I2762" t="str">
        <f>IF(A2762="","",VLOOKUP(G2762,表3_3[],3,0))</f>
        <v/>
      </c>
      <c r="J2762" t="str">
        <f>IF(A2762="","",IF('ATP Fills'!I2762="3M","",VLOOKUP(RIGHT('ATP Fills'!I2762,2),Helper1!$O$36:$P$48,2,0)))</f>
        <v/>
      </c>
      <c r="K2762" t="str">
        <f>IF(J2762="","",LEFT('ATP Fills'!I2762,4))</f>
        <v/>
      </c>
      <c r="L2762" t="str">
        <f>IF(A2762="","",IF('ATP Fills'!G2762="LME",'ATP Fills'!I2762,""))</f>
        <v/>
      </c>
      <c r="M2762" t="str">
        <f t="shared" si="43"/>
        <v/>
      </c>
    </row>
    <row r="2763" spans="1:13">
      <c r="A2763" t="str">
        <f>IF('ATP Fills'!A2763="","",IF('ATP Fills'!Q2763="PHILLIPSG",'ATP Fills'!F2763,""))</f>
        <v/>
      </c>
      <c r="B2763" t="str">
        <f>IF(A2763="","",'ATP Fills'!L2763)</f>
        <v/>
      </c>
      <c r="C2763" t="str">
        <f>IF(A2763="","",'ATP Fills'!M2763)</f>
        <v/>
      </c>
      <c r="D2763" t="str">
        <f>IF(A2763="","",'ATP Fills'!B2763)</f>
        <v/>
      </c>
      <c r="E2763" s="3" t="str">
        <f>IF(A2763="","",IF(DATE(LEFT(D2763,4),MID(D2763,5,2),RIGHT(D2763,2))=Helper1!$P$1,Helper1!$P$1,""))</f>
        <v/>
      </c>
      <c r="F2763" s="3" t="str">
        <f>IF(A2763="","",'ATP Fills'!G2763)</f>
        <v/>
      </c>
      <c r="G2763" t="str">
        <f>IF(A2763="","",'ATP Fills'!H2763)</f>
        <v/>
      </c>
      <c r="H2763" t="str">
        <f>IF(A2763="","",VLOOKUP(G2763,表3_3[],2,0))</f>
        <v/>
      </c>
      <c r="I2763" t="str">
        <f>IF(A2763="","",VLOOKUP(G2763,表3_3[],3,0))</f>
        <v/>
      </c>
      <c r="J2763" t="str">
        <f>IF(A2763="","",IF('ATP Fills'!I2763="3M","",VLOOKUP(RIGHT('ATP Fills'!I2763,2),Helper1!$O$36:$P$48,2,0)))</f>
        <v/>
      </c>
      <c r="K2763" t="str">
        <f>IF(J2763="","",LEFT('ATP Fills'!I2763,4))</f>
        <v/>
      </c>
      <c r="L2763" t="str">
        <f>IF(A2763="","",IF('ATP Fills'!G2763="LME",'ATP Fills'!I2763,""))</f>
        <v/>
      </c>
      <c r="M2763" t="str">
        <f t="shared" si="43"/>
        <v/>
      </c>
    </row>
    <row r="2764" spans="1:13">
      <c r="A2764" t="str">
        <f>IF('ATP Fills'!A2764="","",IF('ATP Fills'!Q2764="PHILLIPSG",'ATP Fills'!F2764,""))</f>
        <v/>
      </c>
      <c r="B2764" t="str">
        <f>IF(A2764="","",'ATP Fills'!L2764)</f>
        <v/>
      </c>
      <c r="C2764" t="str">
        <f>IF(A2764="","",'ATP Fills'!M2764)</f>
        <v/>
      </c>
      <c r="D2764" t="str">
        <f>IF(A2764="","",'ATP Fills'!B2764)</f>
        <v/>
      </c>
      <c r="E2764" s="3" t="str">
        <f>IF(A2764="","",IF(DATE(LEFT(D2764,4),MID(D2764,5,2),RIGHT(D2764,2))=Helper1!$P$1,Helper1!$P$1,""))</f>
        <v/>
      </c>
      <c r="F2764" s="3" t="str">
        <f>IF(A2764="","",'ATP Fills'!G2764)</f>
        <v/>
      </c>
      <c r="G2764" t="str">
        <f>IF(A2764="","",'ATP Fills'!H2764)</f>
        <v/>
      </c>
      <c r="H2764" t="str">
        <f>IF(A2764="","",VLOOKUP(G2764,表3_3[],2,0))</f>
        <v/>
      </c>
      <c r="I2764" t="str">
        <f>IF(A2764="","",VLOOKUP(G2764,表3_3[],3,0))</f>
        <v/>
      </c>
      <c r="J2764" t="str">
        <f>IF(A2764="","",IF('ATP Fills'!I2764="3M","",VLOOKUP(RIGHT('ATP Fills'!I2764,2),Helper1!$O$36:$P$48,2,0)))</f>
        <v/>
      </c>
      <c r="K2764" t="str">
        <f>IF(J2764="","",LEFT('ATP Fills'!I2764,4))</f>
        <v/>
      </c>
      <c r="L2764" t="str">
        <f>IF(A2764="","",IF('ATP Fills'!G2764="LME",'ATP Fills'!I2764,""))</f>
        <v/>
      </c>
      <c r="M2764" t="str">
        <f t="shared" si="43"/>
        <v/>
      </c>
    </row>
    <row r="2765" spans="1:13">
      <c r="A2765" t="str">
        <f>IF('ATP Fills'!A2765="","",IF('ATP Fills'!Q2765="PHILLIPSG",'ATP Fills'!F2765,""))</f>
        <v/>
      </c>
      <c r="B2765" t="str">
        <f>IF(A2765="","",'ATP Fills'!L2765)</f>
        <v/>
      </c>
      <c r="C2765" t="str">
        <f>IF(A2765="","",'ATP Fills'!M2765)</f>
        <v/>
      </c>
      <c r="D2765" t="str">
        <f>IF(A2765="","",'ATP Fills'!B2765)</f>
        <v/>
      </c>
      <c r="E2765" s="3" t="str">
        <f>IF(A2765="","",IF(DATE(LEFT(D2765,4),MID(D2765,5,2),RIGHT(D2765,2))=Helper1!$P$1,Helper1!$P$1,""))</f>
        <v/>
      </c>
      <c r="F2765" s="3" t="str">
        <f>IF(A2765="","",'ATP Fills'!G2765)</f>
        <v/>
      </c>
      <c r="G2765" t="str">
        <f>IF(A2765="","",'ATP Fills'!H2765)</f>
        <v/>
      </c>
      <c r="H2765" t="str">
        <f>IF(A2765="","",VLOOKUP(G2765,表3_3[],2,0))</f>
        <v/>
      </c>
      <c r="I2765" t="str">
        <f>IF(A2765="","",VLOOKUP(G2765,表3_3[],3,0))</f>
        <v/>
      </c>
      <c r="J2765" t="str">
        <f>IF(A2765="","",IF('ATP Fills'!I2765="3M","",VLOOKUP(RIGHT('ATP Fills'!I2765,2),Helper1!$O$36:$P$48,2,0)))</f>
        <v/>
      </c>
      <c r="K2765" t="str">
        <f>IF(J2765="","",LEFT('ATP Fills'!I2765,4))</f>
        <v/>
      </c>
      <c r="L2765" t="str">
        <f>IF(A2765="","",IF('ATP Fills'!G2765="LME",'ATP Fills'!I2765,""))</f>
        <v/>
      </c>
      <c r="M2765" t="str">
        <f t="shared" si="43"/>
        <v/>
      </c>
    </row>
    <row r="2766" spans="1:13">
      <c r="A2766" t="str">
        <f>IF('ATP Fills'!A2766="","",IF('ATP Fills'!Q2766="PHILLIPSG",'ATP Fills'!F2766,""))</f>
        <v/>
      </c>
      <c r="B2766" t="str">
        <f>IF(A2766="","",'ATP Fills'!L2766)</f>
        <v/>
      </c>
      <c r="C2766" t="str">
        <f>IF(A2766="","",'ATP Fills'!M2766)</f>
        <v/>
      </c>
      <c r="D2766" t="str">
        <f>IF(A2766="","",'ATP Fills'!B2766)</f>
        <v/>
      </c>
      <c r="E2766" s="3" t="str">
        <f>IF(A2766="","",IF(DATE(LEFT(D2766,4),MID(D2766,5,2),RIGHT(D2766,2))=Helper1!$P$1,Helper1!$P$1,""))</f>
        <v/>
      </c>
      <c r="F2766" s="3" t="str">
        <f>IF(A2766="","",'ATP Fills'!G2766)</f>
        <v/>
      </c>
      <c r="G2766" t="str">
        <f>IF(A2766="","",'ATP Fills'!H2766)</f>
        <v/>
      </c>
      <c r="H2766" t="str">
        <f>IF(A2766="","",VLOOKUP(G2766,表3_3[],2,0))</f>
        <v/>
      </c>
      <c r="I2766" t="str">
        <f>IF(A2766="","",VLOOKUP(G2766,表3_3[],3,0))</f>
        <v/>
      </c>
      <c r="J2766" t="str">
        <f>IF(A2766="","",IF('ATP Fills'!I2766="3M","",VLOOKUP(RIGHT('ATP Fills'!I2766,2),Helper1!$O$36:$P$48,2,0)))</f>
        <v/>
      </c>
      <c r="K2766" t="str">
        <f>IF(J2766="","",LEFT('ATP Fills'!I2766,4))</f>
        <v/>
      </c>
      <c r="L2766" t="str">
        <f>IF(A2766="","",IF('ATP Fills'!G2766="LME",'ATP Fills'!I2766,""))</f>
        <v/>
      </c>
      <c r="M2766" t="str">
        <f t="shared" si="43"/>
        <v/>
      </c>
    </row>
    <row r="2767" spans="1:13">
      <c r="A2767" t="str">
        <f>IF('ATP Fills'!A2767="","",IF('ATP Fills'!Q2767="PHILLIPSG",'ATP Fills'!F2767,""))</f>
        <v/>
      </c>
      <c r="B2767" t="str">
        <f>IF(A2767="","",'ATP Fills'!L2767)</f>
        <v/>
      </c>
      <c r="C2767" t="str">
        <f>IF(A2767="","",'ATP Fills'!M2767)</f>
        <v/>
      </c>
      <c r="D2767" t="str">
        <f>IF(A2767="","",'ATP Fills'!B2767)</f>
        <v/>
      </c>
      <c r="E2767" s="3" t="str">
        <f>IF(A2767="","",IF(DATE(LEFT(D2767,4),MID(D2767,5,2),RIGHT(D2767,2))=Helper1!$P$1,Helper1!$P$1,""))</f>
        <v/>
      </c>
      <c r="F2767" s="3" t="str">
        <f>IF(A2767="","",'ATP Fills'!G2767)</f>
        <v/>
      </c>
      <c r="G2767" t="str">
        <f>IF(A2767="","",'ATP Fills'!H2767)</f>
        <v/>
      </c>
      <c r="H2767" t="str">
        <f>IF(A2767="","",VLOOKUP(G2767,表3_3[],2,0))</f>
        <v/>
      </c>
      <c r="I2767" t="str">
        <f>IF(A2767="","",VLOOKUP(G2767,表3_3[],3,0))</f>
        <v/>
      </c>
      <c r="J2767" t="str">
        <f>IF(A2767="","",IF('ATP Fills'!I2767="3M","",VLOOKUP(RIGHT('ATP Fills'!I2767,2),Helper1!$O$36:$P$48,2,0)))</f>
        <v/>
      </c>
      <c r="K2767" t="str">
        <f>IF(J2767="","",LEFT('ATP Fills'!I2767,4))</f>
        <v/>
      </c>
      <c r="L2767" t="str">
        <f>IF(A2767="","",IF('ATP Fills'!G2767="LME",'ATP Fills'!I2767,""))</f>
        <v/>
      </c>
      <c r="M2767" t="str">
        <f t="shared" si="43"/>
        <v/>
      </c>
    </row>
    <row r="2768" spans="1:13">
      <c r="A2768" t="str">
        <f>IF('ATP Fills'!A2768="","",IF('ATP Fills'!Q2768="PHILLIPSG",'ATP Fills'!F2768,""))</f>
        <v/>
      </c>
      <c r="B2768" t="str">
        <f>IF(A2768="","",'ATP Fills'!L2768)</f>
        <v/>
      </c>
      <c r="C2768" t="str">
        <f>IF(A2768="","",'ATP Fills'!M2768)</f>
        <v/>
      </c>
      <c r="D2768" t="str">
        <f>IF(A2768="","",'ATP Fills'!B2768)</f>
        <v/>
      </c>
      <c r="E2768" s="3" t="str">
        <f>IF(A2768="","",IF(DATE(LEFT(D2768,4),MID(D2768,5,2),RIGHT(D2768,2))=Helper1!$P$1,Helper1!$P$1,""))</f>
        <v/>
      </c>
      <c r="F2768" s="3" t="str">
        <f>IF(A2768="","",'ATP Fills'!G2768)</f>
        <v/>
      </c>
      <c r="G2768" t="str">
        <f>IF(A2768="","",'ATP Fills'!H2768)</f>
        <v/>
      </c>
      <c r="H2768" t="str">
        <f>IF(A2768="","",VLOOKUP(G2768,表3_3[],2,0))</f>
        <v/>
      </c>
      <c r="I2768" t="str">
        <f>IF(A2768="","",VLOOKUP(G2768,表3_3[],3,0))</f>
        <v/>
      </c>
      <c r="J2768" t="str">
        <f>IF(A2768="","",IF('ATP Fills'!I2768="3M","",VLOOKUP(RIGHT('ATP Fills'!I2768,2),Helper1!$O$36:$P$48,2,0)))</f>
        <v/>
      </c>
      <c r="K2768" t="str">
        <f>IF(J2768="","",LEFT('ATP Fills'!I2768,4))</f>
        <v/>
      </c>
      <c r="L2768" t="str">
        <f>IF(A2768="","",IF('ATP Fills'!G2768="LME",'ATP Fills'!I2768,""))</f>
        <v/>
      </c>
      <c r="M2768" t="str">
        <f t="shared" si="43"/>
        <v/>
      </c>
    </row>
    <row r="2769" spans="1:13">
      <c r="A2769" t="str">
        <f>IF('ATP Fills'!A2769="","",IF('ATP Fills'!Q2769="PHILLIPSG",'ATP Fills'!F2769,""))</f>
        <v/>
      </c>
      <c r="B2769" t="str">
        <f>IF(A2769="","",'ATP Fills'!L2769)</f>
        <v/>
      </c>
      <c r="C2769" t="str">
        <f>IF(A2769="","",'ATP Fills'!M2769)</f>
        <v/>
      </c>
      <c r="D2769" t="str">
        <f>IF(A2769="","",'ATP Fills'!B2769)</f>
        <v/>
      </c>
      <c r="E2769" s="3" t="str">
        <f>IF(A2769="","",IF(DATE(LEFT(D2769,4),MID(D2769,5,2),RIGHT(D2769,2))=Helper1!$P$1,Helper1!$P$1,""))</f>
        <v/>
      </c>
      <c r="F2769" s="3" t="str">
        <f>IF(A2769="","",'ATP Fills'!G2769)</f>
        <v/>
      </c>
      <c r="G2769" t="str">
        <f>IF(A2769="","",'ATP Fills'!H2769)</f>
        <v/>
      </c>
      <c r="H2769" t="str">
        <f>IF(A2769="","",VLOOKUP(G2769,表3_3[],2,0))</f>
        <v/>
      </c>
      <c r="I2769" t="str">
        <f>IF(A2769="","",VLOOKUP(G2769,表3_3[],3,0))</f>
        <v/>
      </c>
      <c r="J2769" t="str">
        <f>IF(A2769="","",IF('ATP Fills'!I2769="3M","",VLOOKUP(RIGHT('ATP Fills'!I2769,2),Helper1!$O$36:$P$48,2,0)))</f>
        <v/>
      </c>
      <c r="K2769" t="str">
        <f>IF(J2769="","",LEFT('ATP Fills'!I2769,4))</f>
        <v/>
      </c>
      <c r="L2769" t="str">
        <f>IF(A2769="","",IF('ATP Fills'!G2769="LME",'ATP Fills'!I2769,""))</f>
        <v/>
      </c>
      <c r="M2769" t="str">
        <f t="shared" si="43"/>
        <v/>
      </c>
    </row>
    <row r="2770" spans="1:13">
      <c r="A2770" t="str">
        <f>IF('ATP Fills'!A2770="","",IF('ATP Fills'!Q2770="PHILLIPSG",'ATP Fills'!F2770,""))</f>
        <v/>
      </c>
      <c r="B2770" t="str">
        <f>IF(A2770="","",'ATP Fills'!L2770)</f>
        <v/>
      </c>
      <c r="C2770" t="str">
        <f>IF(A2770="","",'ATP Fills'!M2770)</f>
        <v/>
      </c>
      <c r="D2770" t="str">
        <f>IF(A2770="","",'ATP Fills'!B2770)</f>
        <v/>
      </c>
      <c r="E2770" s="3" t="str">
        <f>IF(A2770="","",IF(DATE(LEFT(D2770,4),MID(D2770,5,2),RIGHT(D2770,2))=Helper1!$P$1,Helper1!$P$1,""))</f>
        <v/>
      </c>
      <c r="F2770" s="3" t="str">
        <f>IF(A2770="","",'ATP Fills'!G2770)</f>
        <v/>
      </c>
      <c r="G2770" t="str">
        <f>IF(A2770="","",'ATP Fills'!H2770)</f>
        <v/>
      </c>
      <c r="H2770" t="str">
        <f>IF(A2770="","",VLOOKUP(G2770,表3_3[],2,0))</f>
        <v/>
      </c>
      <c r="I2770" t="str">
        <f>IF(A2770="","",VLOOKUP(G2770,表3_3[],3,0))</f>
        <v/>
      </c>
      <c r="J2770" t="str">
        <f>IF(A2770="","",IF('ATP Fills'!I2770="3M","",VLOOKUP(RIGHT('ATP Fills'!I2770,2),Helper1!$O$36:$P$48,2,0)))</f>
        <v/>
      </c>
      <c r="K2770" t="str">
        <f>IF(J2770="","",LEFT('ATP Fills'!I2770,4))</f>
        <v/>
      </c>
      <c r="L2770" t="str">
        <f>IF(A2770="","",IF('ATP Fills'!G2770="LME",'ATP Fills'!I2770,""))</f>
        <v/>
      </c>
      <c r="M2770" t="str">
        <f t="shared" si="43"/>
        <v/>
      </c>
    </row>
    <row r="2771" spans="1:13">
      <c r="A2771" t="str">
        <f>IF('ATP Fills'!A2771="","",IF('ATP Fills'!Q2771="PHILLIPSG",'ATP Fills'!F2771,""))</f>
        <v/>
      </c>
      <c r="B2771" t="str">
        <f>IF(A2771="","",'ATP Fills'!L2771)</f>
        <v/>
      </c>
      <c r="C2771" t="str">
        <f>IF(A2771="","",'ATP Fills'!M2771)</f>
        <v/>
      </c>
      <c r="D2771" t="str">
        <f>IF(A2771="","",'ATP Fills'!B2771)</f>
        <v/>
      </c>
      <c r="E2771" s="3" t="str">
        <f>IF(A2771="","",IF(DATE(LEFT(D2771,4),MID(D2771,5,2),RIGHT(D2771,2))=Helper1!$P$1,Helper1!$P$1,""))</f>
        <v/>
      </c>
      <c r="F2771" s="3" t="str">
        <f>IF(A2771="","",'ATP Fills'!G2771)</f>
        <v/>
      </c>
      <c r="G2771" t="str">
        <f>IF(A2771="","",'ATP Fills'!H2771)</f>
        <v/>
      </c>
      <c r="H2771" t="str">
        <f>IF(A2771="","",VLOOKUP(G2771,表3_3[],2,0))</f>
        <v/>
      </c>
      <c r="I2771" t="str">
        <f>IF(A2771="","",VLOOKUP(G2771,表3_3[],3,0))</f>
        <v/>
      </c>
      <c r="J2771" t="str">
        <f>IF(A2771="","",IF('ATP Fills'!I2771="3M","",VLOOKUP(RIGHT('ATP Fills'!I2771,2),Helper1!$O$36:$P$48,2,0)))</f>
        <v/>
      </c>
      <c r="K2771" t="str">
        <f>IF(J2771="","",LEFT('ATP Fills'!I2771,4))</f>
        <v/>
      </c>
      <c r="L2771" t="str">
        <f>IF(A2771="","",IF('ATP Fills'!G2771="LME",'ATP Fills'!I2771,""))</f>
        <v/>
      </c>
      <c r="M2771" t="str">
        <f t="shared" si="43"/>
        <v/>
      </c>
    </row>
    <row r="2772" spans="1:13">
      <c r="A2772" t="str">
        <f>IF('ATP Fills'!A2772="","",IF('ATP Fills'!Q2772="PHILLIPSG",'ATP Fills'!F2772,""))</f>
        <v/>
      </c>
      <c r="B2772" t="str">
        <f>IF(A2772="","",'ATP Fills'!L2772)</f>
        <v/>
      </c>
      <c r="C2772" t="str">
        <f>IF(A2772="","",'ATP Fills'!M2772)</f>
        <v/>
      </c>
      <c r="D2772" t="str">
        <f>IF(A2772="","",'ATP Fills'!B2772)</f>
        <v/>
      </c>
      <c r="E2772" s="3" t="str">
        <f>IF(A2772="","",IF(DATE(LEFT(D2772,4),MID(D2772,5,2),RIGHT(D2772,2))=Helper1!$P$1,Helper1!$P$1,""))</f>
        <v/>
      </c>
      <c r="F2772" s="3" t="str">
        <f>IF(A2772="","",'ATP Fills'!G2772)</f>
        <v/>
      </c>
      <c r="G2772" t="str">
        <f>IF(A2772="","",'ATP Fills'!H2772)</f>
        <v/>
      </c>
      <c r="H2772" t="str">
        <f>IF(A2772="","",VLOOKUP(G2772,表3_3[],2,0))</f>
        <v/>
      </c>
      <c r="I2772" t="str">
        <f>IF(A2772="","",VLOOKUP(G2772,表3_3[],3,0))</f>
        <v/>
      </c>
      <c r="J2772" t="str">
        <f>IF(A2772="","",IF('ATP Fills'!I2772="3M","",VLOOKUP(RIGHT('ATP Fills'!I2772,2),Helper1!$O$36:$P$48,2,0)))</f>
        <v/>
      </c>
      <c r="K2772" t="str">
        <f>IF(J2772="","",LEFT('ATP Fills'!I2772,4))</f>
        <v/>
      </c>
      <c r="L2772" t="str">
        <f>IF(A2772="","",IF('ATP Fills'!G2772="LME",'ATP Fills'!I2772,""))</f>
        <v/>
      </c>
      <c r="M2772" t="str">
        <f t="shared" si="43"/>
        <v/>
      </c>
    </row>
    <row r="2773" spans="1:13">
      <c r="A2773" t="str">
        <f>IF('ATP Fills'!A2773="","",IF('ATP Fills'!Q2773="PHILLIPSG",'ATP Fills'!F2773,""))</f>
        <v/>
      </c>
      <c r="B2773" t="str">
        <f>IF(A2773="","",'ATP Fills'!L2773)</f>
        <v/>
      </c>
      <c r="C2773" t="str">
        <f>IF(A2773="","",'ATP Fills'!M2773)</f>
        <v/>
      </c>
      <c r="D2773" t="str">
        <f>IF(A2773="","",'ATP Fills'!B2773)</f>
        <v/>
      </c>
      <c r="E2773" s="3" t="str">
        <f>IF(A2773="","",IF(DATE(LEFT(D2773,4),MID(D2773,5,2),RIGHT(D2773,2))=Helper1!$P$1,Helper1!$P$1,""))</f>
        <v/>
      </c>
      <c r="F2773" s="3" t="str">
        <f>IF(A2773="","",'ATP Fills'!G2773)</f>
        <v/>
      </c>
      <c r="G2773" t="str">
        <f>IF(A2773="","",'ATP Fills'!H2773)</f>
        <v/>
      </c>
      <c r="H2773" t="str">
        <f>IF(A2773="","",VLOOKUP(G2773,表3_3[],2,0))</f>
        <v/>
      </c>
      <c r="I2773" t="str">
        <f>IF(A2773="","",VLOOKUP(G2773,表3_3[],3,0))</f>
        <v/>
      </c>
      <c r="J2773" t="str">
        <f>IF(A2773="","",IF('ATP Fills'!I2773="3M","",VLOOKUP(RIGHT('ATP Fills'!I2773,2),Helper1!$O$36:$P$48,2,0)))</f>
        <v/>
      </c>
      <c r="K2773" t="str">
        <f>IF(J2773="","",LEFT('ATP Fills'!I2773,4))</f>
        <v/>
      </c>
      <c r="L2773" t="str">
        <f>IF(A2773="","",IF('ATP Fills'!G2773="LME",'ATP Fills'!I2773,""))</f>
        <v/>
      </c>
      <c r="M2773" t="str">
        <f t="shared" si="43"/>
        <v/>
      </c>
    </row>
    <row r="2774" spans="1:13">
      <c r="A2774" t="str">
        <f>IF('ATP Fills'!A2774="","",IF('ATP Fills'!Q2774="PHILLIPSG",'ATP Fills'!F2774,""))</f>
        <v/>
      </c>
      <c r="B2774" t="str">
        <f>IF(A2774="","",'ATP Fills'!L2774)</f>
        <v/>
      </c>
      <c r="C2774" t="str">
        <f>IF(A2774="","",'ATP Fills'!M2774)</f>
        <v/>
      </c>
      <c r="D2774" t="str">
        <f>IF(A2774="","",'ATP Fills'!B2774)</f>
        <v/>
      </c>
      <c r="E2774" s="3" t="str">
        <f>IF(A2774="","",IF(DATE(LEFT(D2774,4),MID(D2774,5,2),RIGHT(D2774,2))=Helper1!$P$1,Helper1!$P$1,""))</f>
        <v/>
      </c>
      <c r="F2774" s="3" t="str">
        <f>IF(A2774="","",'ATP Fills'!G2774)</f>
        <v/>
      </c>
      <c r="G2774" t="str">
        <f>IF(A2774="","",'ATP Fills'!H2774)</f>
        <v/>
      </c>
      <c r="H2774" t="str">
        <f>IF(A2774="","",VLOOKUP(G2774,表3_3[],2,0))</f>
        <v/>
      </c>
      <c r="I2774" t="str">
        <f>IF(A2774="","",VLOOKUP(G2774,表3_3[],3,0))</f>
        <v/>
      </c>
      <c r="J2774" t="str">
        <f>IF(A2774="","",IF('ATP Fills'!I2774="3M","",VLOOKUP(RIGHT('ATP Fills'!I2774,2),Helper1!$O$36:$P$48,2,0)))</f>
        <v/>
      </c>
      <c r="K2774" t="str">
        <f>IF(J2774="","",LEFT('ATP Fills'!I2774,4))</f>
        <v/>
      </c>
      <c r="L2774" t="str">
        <f>IF(A2774="","",IF('ATP Fills'!G2774="LME",'ATP Fills'!I2774,""))</f>
        <v/>
      </c>
      <c r="M2774" t="str">
        <f t="shared" si="43"/>
        <v/>
      </c>
    </row>
    <row r="2775" spans="1:13">
      <c r="A2775" t="str">
        <f>IF('ATP Fills'!A2775="","",IF('ATP Fills'!Q2775="PHILLIPSG",'ATP Fills'!F2775,""))</f>
        <v/>
      </c>
      <c r="B2775" t="str">
        <f>IF(A2775="","",'ATP Fills'!L2775)</f>
        <v/>
      </c>
      <c r="C2775" t="str">
        <f>IF(A2775="","",'ATP Fills'!M2775)</f>
        <v/>
      </c>
      <c r="D2775" t="str">
        <f>IF(A2775="","",'ATP Fills'!B2775)</f>
        <v/>
      </c>
      <c r="E2775" s="3" t="str">
        <f>IF(A2775="","",IF(DATE(LEFT(D2775,4),MID(D2775,5,2),RIGHT(D2775,2))=Helper1!$P$1,Helper1!$P$1,""))</f>
        <v/>
      </c>
      <c r="F2775" s="3" t="str">
        <f>IF(A2775="","",'ATP Fills'!G2775)</f>
        <v/>
      </c>
      <c r="G2775" t="str">
        <f>IF(A2775="","",'ATP Fills'!H2775)</f>
        <v/>
      </c>
      <c r="H2775" t="str">
        <f>IF(A2775="","",VLOOKUP(G2775,表3_3[],2,0))</f>
        <v/>
      </c>
      <c r="I2775" t="str">
        <f>IF(A2775="","",VLOOKUP(G2775,表3_3[],3,0))</f>
        <v/>
      </c>
      <c r="J2775" t="str">
        <f>IF(A2775="","",IF('ATP Fills'!I2775="3M","",VLOOKUP(RIGHT('ATP Fills'!I2775,2),Helper1!$O$36:$P$48,2,0)))</f>
        <v/>
      </c>
      <c r="K2775" t="str">
        <f>IF(J2775="","",LEFT('ATP Fills'!I2775,4))</f>
        <v/>
      </c>
      <c r="L2775" t="str">
        <f>IF(A2775="","",IF('ATP Fills'!G2775="LME",'ATP Fills'!I2775,""))</f>
        <v/>
      </c>
      <c r="M2775" t="str">
        <f t="shared" si="43"/>
        <v/>
      </c>
    </row>
    <row r="2776" spans="1:13">
      <c r="A2776" t="str">
        <f>IF('ATP Fills'!A2776="","",IF('ATP Fills'!Q2776="PHILLIPSG",'ATP Fills'!F2776,""))</f>
        <v/>
      </c>
      <c r="B2776" t="str">
        <f>IF(A2776="","",'ATP Fills'!L2776)</f>
        <v/>
      </c>
      <c r="C2776" t="str">
        <f>IF(A2776="","",'ATP Fills'!M2776)</f>
        <v/>
      </c>
      <c r="D2776" t="str">
        <f>IF(A2776="","",'ATP Fills'!B2776)</f>
        <v/>
      </c>
      <c r="E2776" s="3" t="str">
        <f>IF(A2776="","",IF(DATE(LEFT(D2776,4),MID(D2776,5,2),RIGHT(D2776,2))=Helper1!$P$1,Helper1!$P$1,""))</f>
        <v/>
      </c>
      <c r="F2776" s="3" t="str">
        <f>IF(A2776="","",'ATP Fills'!G2776)</f>
        <v/>
      </c>
      <c r="G2776" t="str">
        <f>IF(A2776="","",'ATP Fills'!H2776)</f>
        <v/>
      </c>
      <c r="H2776" t="str">
        <f>IF(A2776="","",VLOOKUP(G2776,表3_3[],2,0))</f>
        <v/>
      </c>
      <c r="I2776" t="str">
        <f>IF(A2776="","",VLOOKUP(G2776,表3_3[],3,0))</f>
        <v/>
      </c>
      <c r="J2776" t="str">
        <f>IF(A2776="","",IF('ATP Fills'!I2776="3M","",VLOOKUP(RIGHT('ATP Fills'!I2776,2),Helper1!$O$36:$P$48,2,0)))</f>
        <v/>
      </c>
      <c r="K2776" t="str">
        <f>IF(J2776="","",LEFT('ATP Fills'!I2776,4))</f>
        <v/>
      </c>
      <c r="L2776" t="str">
        <f>IF(A2776="","",IF('ATP Fills'!G2776="LME",'ATP Fills'!I2776,""))</f>
        <v/>
      </c>
      <c r="M2776" t="str">
        <f t="shared" si="43"/>
        <v/>
      </c>
    </row>
    <row r="2777" spans="1:13">
      <c r="A2777" t="str">
        <f>IF('ATP Fills'!A2777="","",IF('ATP Fills'!Q2777="PHILLIPSG",'ATP Fills'!F2777,""))</f>
        <v/>
      </c>
      <c r="B2777" t="str">
        <f>IF(A2777="","",'ATP Fills'!L2777)</f>
        <v/>
      </c>
      <c r="C2777" t="str">
        <f>IF(A2777="","",'ATP Fills'!M2777)</f>
        <v/>
      </c>
      <c r="D2777" t="str">
        <f>IF(A2777="","",'ATP Fills'!B2777)</f>
        <v/>
      </c>
      <c r="E2777" s="3" t="str">
        <f>IF(A2777="","",IF(DATE(LEFT(D2777,4),MID(D2777,5,2),RIGHT(D2777,2))=Helper1!$P$1,Helper1!$P$1,""))</f>
        <v/>
      </c>
      <c r="F2777" s="3" t="str">
        <f>IF(A2777="","",'ATP Fills'!G2777)</f>
        <v/>
      </c>
      <c r="G2777" t="str">
        <f>IF(A2777="","",'ATP Fills'!H2777)</f>
        <v/>
      </c>
      <c r="H2777" t="str">
        <f>IF(A2777="","",VLOOKUP(G2777,表3_3[],2,0))</f>
        <v/>
      </c>
      <c r="I2777" t="str">
        <f>IF(A2777="","",VLOOKUP(G2777,表3_3[],3,0))</f>
        <v/>
      </c>
      <c r="J2777" t="str">
        <f>IF(A2777="","",IF('ATP Fills'!I2777="3M","",VLOOKUP(RIGHT('ATP Fills'!I2777,2),Helper1!$O$36:$P$48,2,0)))</f>
        <v/>
      </c>
      <c r="K2777" t="str">
        <f>IF(J2777="","",LEFT('ATP Fills'!I2777,4))</f>
        <v/>
      </c>
      <c r="L2777" t="str">
        <f>IF(A2777="","",IF('ATP Fills'!G2777="LME",'ATP Fills'!I2777,""))</f>
        <v/>
      </c>
      <c r="M2777" t="str">
        <f t="shared" si="43"/>
        <v/>
      </c>
    </row>
    <row r="2778" spans="1:13">
      <c r="A2778" t="str">
        <f>IF('ATP Fills'!A2778="","",IF('ATP Fills'!Q2778="PHILLIPSG",'ATP Fills'!F2778,""))</f>
        <v/>
      </c>
      <c r="B2778" t="str">
        <f>IF(A2778="","",'ATP Fills'!L2778)</f>
        <v/>
      </c>
      <c r="C2778" t="str">
        <f>IF(A2778="","",'ATP Fills'!M2778)</f>
        <v/>
      </c>
      <c r="D2778" t="str">
        <f>IF(A2778="","",'ATP Fills'!B2778)</f>
        <v/>
      </c>
      <c r="E2778" s="3" t="str">
        <f>IF(A2778="","",IF(DATE(LEFT(D2778,4),MID(D2778,5,2),RIGHT(D2778,2))=Helper1!$P$1,Helper1!$P$1,""))</f>
        <v/>
      </c>
      <c r="F2778" s="3" t="str">
        <f>IF(A2778="","",'ATP Fills'!G2778)</f>
        <v/>
      </c>
      <c r="G2778" t="str">
        <f>IF(A2778="","",'ATP Fills'!H2778)</f>
        <v/>
      </c>
      <c r="H2778" t="str">
        <f>IF(A2778="","",VLOOKUP(G2778,表3_3[],2,0))</f>
        <v/>
      </c>
      <c r="I2778" t="str">
        <f>IF(A2778="","",VLOOKUP(G2778,表3_3[],3,0))</f>
        <v/>
      </c>
      <c r="J2778" t="str">
        <f>IF(A2778="","",IF('ATP Fills'!I2778="3M","",VLOOKUP(RIGHT('ATP Fills'!I2778,2),Helper1!$O$36:$P$48,2,0)))</f>
        <v/>
      </c>
      <c r="K2778" t="str">
        <f>IF(J2778="","",LEFT('ATP Fills'!I2778,4))</f>
        <v/>
      </c>
      <c r="L2778" t="str">
        <f>IF(A2778="","",IF('ATP Fills'!G2778="LME",'ATP Fills'!I2778,""))</f>
        <v/>
      </c>
      <c r="M2778" t="str">
        <f t="shared" si="43"/>
        <v/>
      </c>
    </row>
    <row r="2779" spans="1:13">
      <c r="A2779" t="str">
        <f>IF('ATP Fills'!A2779="","",IF('ATP Fills'!Q2779="PHILLIPSG",'ATP Fills'!F2779,""))</f>
        <v/>
      </c>
      <c r="B2779" t="str">
        <f>IF(A2779="","",'ATP Fills'!L2779)</f>
        <v/>
      </c>
      <c r="C2779" t="str">
        <f>IF(A2779="","",'ATP Fills'!M2779)</f>
        <v/>
      </c>
      <c r="D2779" t="str">
        <f>IF(A2779="","",'ATP Fills'!B2779)</f>
        <v/>
      </c>
      <c r="E2779" s="3" t="str">
        <f>IF(A2779="","",IF(DATE(LEFT(D2779,4),MID(D2779,5,2),RIGHT(D2779,2))=Helper1!$P$1,Helper1!$P$1,""))</f>
        <v/>
      </c>
      <c r="F2779" s="3" t="str">
        <f>IF(A2779="","",'ATP Fills'!G2779)</f>
        <v/>
      </c>
      <c r="G2779" t="str">
        <f>IF(A2779="","",'ATP Fills'!H2779)</f>
        <v/>
      </c>
      <c r="H2779" t="str">
        <f>IF(A2779="","",VLOOKUP(G2779,表3_3[],2,0))</f>
        <v/>
      </c>
      <c r="I2779" t="str">
        <f>IF(A2779="","",VLOOKUP(G2779,表3_3[],3,0))</f>
        <v/>
      </c>
      <c r="J2779" t="str">
        <f>IF(A2779="","",IF('ATP Fills'!I2779="3M","",VLOOKUP(RIGHT('ATP Fills'!I2779,2),Helper1!$O$36:$P$48,2,0)))</f>
        <v/>
      </c>
      <c r="K2779" t="str">
        <f>IF(J2779="","",LEFT('ATP Fills'!I2779,4))</f>
        <v/>
      </c>
      <c r="L2779" t="str">
        <f>IF(A2779="","",IF('ATP Fills'!G2779="LME",'ATP Fills'!I2779,""))</f>
        <v/>
      </c>
      <c r="M2779" t="str">
        <f t="shared" si="43"/>
        <v/>
      </c>
    </row>
    <row r="2780" spans="1:13">
      <c r="A2780" t="str">
        <f>IF('ATP Fills'!A2780="","",IF('ATP Fills'!Q2780="PHILLIPSG",'ATP Fills'!F2780,""))</f>
        <v/>
      </c>
      <c r="B2780" t="str">
        <f>IF(A2780="","",'ATP Fills'!L2780)</f>
        <v/>
      </c>
      <c r="C2780" t="str">
        <f>IF(A2780="","",'ATP Fills'!M2780)</f>
        <v/>
      </c>
      <c r="D2780" t="str">
        <f>IF(A2780="","",'ATP Fills'!B2780)</f>
        <v/>
      </c>
      <c r="E2780" s="3" t="str">
        <f>IF(A2780="","",IF(DATE(LEFT(D2780,4),MID(D2780,5,2),RIGHT(D2780,2))=Helper1!$P$1,Helper1!$P$1,""))</f>
        <v/>
      </c>
      <c r="F2780" s="3" t="str">
        <f>IF(A2780="","",'ATP Fills'!G2780)</f>
        <v/>
      </c>
      <c r="G2780" t="str">
        <f>IF(A2780="","",'ATP Fills'!H2780)</f>
        <v/>
      </c>
      <c r="H2780" t="str">
        <f>IF(A2780="","",VLOOKUP(G2780,表3_3[],2,0))</f>
        <v/>
      </c>
      <c r="I2780" t="str">
        <f>IF(A2780="","",VLOOKUP(G2780,表3_3[],3,0))</f>
        <v/>
      </c>
      <c r="J2780" t="str">
        <f>IF(A2780="","",IF('ATP Fills'!I2780="3M","",VLOOKUP(RIGHT('ATP Fills'!I2780,2),Helper1!$O$36:$P$48,2,0)))</f>
        <v/>
      </c>
      <c r="K2780" t="str">
        <f>IF(J2780="","",LEFT('ATP Fills'!I2780,4))</f>
        <v/>
      </c>
      <c r="L2780" t="str">
        <f>IF(A2780="","",IF('ATP Fills'!G2780="LME",'ATP Fills'!I2780,""))</f>
        <v/>
      </c>
      <c r="M2780" t="str">
        <f t="shared" si="43"/>
        <v/>
      </c>
    </row>
    <row r="2781" spans="1:13">
      <c r="A2781" t="str">
        <f>IF('ATP Fills'!A2781="","",IF('ATP Fills'!Q2781="PHILLIPSG",'ATP Fills'!F2781,""))</f>
        <v/>
      </c>
      <c r="B2781" t="str">
        <f>IF(A2781="","",'ATP Fills'!L2781)</f>
        <v/>
      </c>
      <c r="C2781" t="str">
        <f>IF(A2781="","",'ATP Fills'!M2781)</f>
        <v/>
      </c>
      <c r="D2781" t="str">
        <f>IF(A2781="","",'ATP Fills'!B2781)</f>
        <v/>
      </c>
      <c r="E2781" s="3" t="str">
        <f>IF(A2781="","",IF(DATE(LEFT(D2781,4),MID(D2781,5,2),RIGHT(D2781,2))=Helper1!$P$1,Helper1!$P$1,""))</f>
        <v/>
      </c>
      <c r="F2781" s="3" t="str">
        <f>IF(A2781="","",'ATP Fills'!G2781)</f>
        <v/>
      </c>
      <c r="G2781" t="str">
        <f>IF(A2781="","",'ATP Fills'!H2781)</f>
        <v/>
      </c>
      <c r="H2781" t="str">
        <f>IF(A2781="","",VLOOKUP(G2781,表3_3[],2,0))</f>
        <v/>
      </c>
      <c r="I2781" t="str">
        <f>IF(A2781="","",VLOOKUP(G2781,表3_3[],3,0))</f>
        <v/>
      </c>
      <c r="J2781" t="str">
        <f>IF(A2781="","",IF('ATP Fills'!I2781="3M","",VLOOKUP(RIGHT('ATP Fills'!I2781,2),Helper1!$O$36:$P$48,2,0)))</f>
        <v/>
      </c>
      <c r="K2781" t="str">
        <f>IF(J2781="","",LEFT('ATP Fills'!I2781,4))</f>
        <v/>
      </c>
      <c r="L2781" t="str">
        <f>IF(A2781="","",IF('ATP Fills'!G2781="LME",'ATP Fills'!I2781,""))</f>
        <v/>
      </c>
      <c r="M2781" t="str">
        <f t="shared" si="43"/>
        <v/>
      </c>
    </row>
    <row r="2782" spans="1:13">
      <c r="A2782" t="str">
        <f>IF('ATP Fills'!A2782="","",IF('ATP Fills'!Q2782="PHILLIPSG",'ATP Fills'!F2782,""))</f>
        <v/>
      </c>
      <c r="B2782" t="str">
        <f>IF(A2782="","",'ATP Fills'!L2782)</f>
        <v/>
      </c>
      <c r="C2782" t="str">
        <f>IF(A2782="","",'ATP Fills'!M2782)</f>
        <v/>
      </c>
      <c r="D2782" t="str">
        <f>IF(A2782="","",'ATP Fills'!B2782)</f>
        <v/>
      </c>
      <c r="E2782" s="3" t="str">
        <f>IF(A2782="","",IF(DATE(LEFT(D2782,4),MID(D2782,5,2),RIGHT(D2782,2))=Helper1!$P$1,Helper1!$P$1,""))</f>
        <v/>
      </c>
      <c r="F2782" s="3" t="str">
        <f>IF(A2782="","",'ATP Fills'!G2782)</f>
        <v/>
      </c>
      <c r="G2782" t="str">
        <f>IF(A2782="","",'ATP Fills'!H2782)</f>
        <v/>
      </c>
      <c r="H2782" t="str">
        <f>IF(A2782="","",VLOOKUP(G2782,表3_3[],2,0))</f>
        <v/>
      </c>
      <c r="I2782" t="str">
        <f>IF(A2782="","",VLOOKUP(G2782,表3_3[],3,0))</f>
        <v/>
      </c>
      <c r="J2782" t="str">
        <f>IF(A2782="","",IF('ATP Fills'!I2782="3M","",VLOOKUP(RIGHT('ATP Fills'!I2782,2),Helper1!$O$36:$P$48,2,0)))</f>
        <v/>
      </c>
      <c r="K2782" t="str">
        <f>IF(J2782="","",LEFT('ATP Fills'!I2782,4))</f>
        <v/>
      </c>
      <c r="L2782" t="str">
        <f>IF(A2782="","",IF('ATP Fills'!G2782="LME",'ATP Fills'!I2782,""))</f>
        <v/>
      </c>
      <c r="M2782" t="str">
        <f t="shared" si="43"/>
        <v/>
      </c>
    </row>
    <row r="2783" spans="1:13">
      <c r="A2783" t="str">
        <f>IF('ATP Fills'!A2783="","",IF('ATP Fills'!Q2783="PHILLIPSG",'ATP Fills'!F2783,""))</f>
        <v/>
      </c>
      <c r="B2783" t="str">
        <f>IF(A2783="","",'ATP Fills'!L2783)</f>
        <v/>
      </c>
      <c r="C2783" t="str">
        <f>IF(A2783="","",'ATP Fills'!M2783)</f>
        <v/>
      </c>
      <c r="D2783" t="str">
        <f>IF(A2783="","",'ATP Fills'!B2783)</f>
        <v/>
      </c>
      <c r="E2783" s="3" t="str">
        <f>IF(A2783="","",IF(DATE(LEFT(D2783,4),MID(D2783,5,2),RIGHT(D2783,2))=Helper1!$P$1,Helper1!$P$1,""))</f>
        <v/>
      </c>
      <c r="F2783" s="3" t="str">
        <f>IF(A2783="","",'ATP Fills'!G2783)</f>
        <v/>
      </c>
      <c r="G2783" t="str">
        <f>IF(A2783="","",'ATP Fills'!H2783)</f>
        <v/>
      </c>
      <c r="H2783" t="str">
        <f>IF(A2783="","",VLOOKUP(G2783,表3_3[],2,0))</f>
        <v/>
      </c>
      <c r="I2783" t="str">
        <f>IF(A2783="","",VLOOKUP(G2783,表3_3[],3,0))</f>
        <v/>
      </c>
      <c r="J2783" t="str">
        <f>IF(A2783="","",IF('ATP Fills'!I2783="3M","",VLOOKUP(RIGHT('ATP Fills'!I2783,2),Helper1!$O$36:$P$48,2,0)))</f>
        <v/>
      </c>
      <c r="K2783" t="str">
        <f>IF(J2783="","",LEFT('ATP Fills'!I2783,4))</f>
        <v/>
      </c>
      <c r="L2783" t="str">
        <f>IF(A2783="","",IF('ATP Fills'!G2783="LME",'ATP Fills'!I2783,""))</f>
        <v/>
      </c>
      <c r="M2783" t="str">
        <f t="shared" si="43"/>
        <v/>
      </c>
    </row>
    <row r="2784" spans="1:13">
      <c r="A2784" t="str">
        <f>IF('ATP Fills'!A2784="","",IF('ATP Fills'!Q2784="PHILLIPSG",'ATP Fills'!F2784,""))</f>
        <v/>
      </c>
      <c r="B2784" t="str">
        <f>IF(A2784="","",'ATP Fills'!L2784)</f>
        <v/>
      </c>
      <c r="C2784" t="str">
        <f>IF(A2784="","",'ATP Fills'!M2784)</f>
        <v/>
      </c>
      <c r="D2784" t="str">
        <f>IF(A2784="","",'ATP Fills'!B2784)</f>
        <v/>
      </c>
      <c r="E2784" s="3" t="str">
        <f>IF(A2784="","",IF(DATE(LEFT(D2784,4),MID(D2784,5,2),RIGHT(D2784,2))=Helper1!$P$1,Helper1!$P$1,""))</f>
        <v/>
      </c>
      <c r="F2784" s="3" t="str">
        <f>IF(A2784="","",'ATP Fills'!G2784)</f>
        <v/>
      </c>
      <c r="G2784" t="str">
        <f>IF(A2784="","",'ATP Fills'!H2784)</f>
        <v/>
      </c>
      <c r="H2784" t="str">
        <f>IF(A2784="","",VLOOKUP(G2784,表3_3[],2,0))</f>
        <v/>
      </c>
      <c r="I2784" t="str">
        <f>IF(A2784="","",VLOOKUP(G2784,表3_3[],3,0))</f>
        <v/>
      </c>
      <c r="J2784" t="str">
        <f>IF(A2784="","",IF('ATP Fills'!I2784="3M","",VLOOKUP(RIGHT('ATP Fills'!I2784,2),Helper1!$O$36:$P$48,2,0)))</f>
        <v/>
      </c>
      <c r="K2784" t="str">
        <f>IF(J2784="","",LEFT('ATP Fills'!I2784,4))</f>
        <v/>
      </c>
      <c r="L2784" t="str">
        <f>IF(A2784="","",IF('ATP Fills'!G2784="LME",'ATP Fills'!I2784,""))</f>
        <v/>
      </c>
      <c r="M2784" t="str">
        <f t="shared" si="43"/>
        <v/>
      </c>
    </row>
    <row r="2785" spans="1:13">
      <c r="A2785" t="str">
        <f>IF('ATP Fills'!A2785="","",IF('ATP Fills'!Q2785="PHILLIPSG",'ATP Fills'!F2785,""))</f>
        <v/>
      </c>
      <c r="B2785" t="str">
        <f>IF(A2785="","",'ATP Fills'!L2785)</f>
        <v/>
      </c>
      <c r="C2785" t="str">
        <f>IF(A2785="","",'ATP Fills'!M2785)</f>
        <v/>
      </c>
      <c r="D2785" t="str">
        <f>IF(A2785="","",'ATP Fills'!B2785)</f>
        <v/>
      </c>
      <c r="E2785" s="3" t="str">
        <f>IF(A2785="","",IF(DATE(LEFT(D2785,4),MID(D2785,5,2),RIGHT(D2785,2))=Helper1!$P$1,Helper1!$P$1,""))</f>
        <v/>
      </c>
      <c r="F2785" s="3" t="str">
        <f>IF(A2785="","",'ATP Fills'!G2785)</f>
        <v/>
      </c>
      <c r="G2785" t="str">
        <f>IF(A2785="","",'ATP Fills'!H2785)</f>
        <v/>
      </c>
      <c r="H2785" t="str">
        <f>IF(A2785="","",VLOOKUP(G2785,表3_3[],2,0))</f>
        <v/>
      </c>
      <c r="I2785" t="str">
        <f>IF(A2785="","",VLOOKUP(G2785,表3_3[],3,0))</f>
        <v/>
      </c>
      <c r="J2785" t="str">
        <f>IF(A2785="","",IF('ATP Fills'!I2785="3M","",VLOOKUP(RIGHT('ATP Fills'!I2785,2),Helper1!$O$36:$P$48,2,0)))</f>
        <v/>
      </c>
      <c r="K2785" t="str">
        <f>IF(J2785="","",LEFT('ATP Fills'!I2785,4))</f>
        <v/>
      </c>
      <c r="L2785" t="str">
        <f>IF(A2785="","",IF('ATP Fills'!G2785="LME",'ATP Fills'!I2785,""))</f>
        <v/>
      </c>
      <c r="M2785" t="str">
        <f t="shared" si="43"/>
        <v/>
      </c>
    </row>
    <row r="2786" spans="1:13">
      <c r="A2786" t="str">
        <f>IF('ATP Fills'!A2786="","",IF('ATP Fills'!Q2786="PHILLIPSG",'ATP Fills'!F2786,""))</f>
        <v/>
      </c>
      <c r="B2786" t="str">
        <f>IF(A2786="","",'ATP Fills'!L2786)</f>
        <v/>
      </c>
      <c r="C2786" t="str">
        <f>IF(A2786="","",'ATP Fills'!M2786)</f>
        <v/>
      </c>
      <c r="D2786" t="str">
        <f>IF(A2786="","",'ATP Fills'!B2786)</f>
        <v/>
      </c>
      <c r="E2786" s="3" t="str">
        <f>IF(A2786="","",IF(DATE(LEFT(D2786,4),MID(D2786,5,2),RIGHT(D2786,2))=Helper1!$P$1,Helper1!$P$1,""))</f>
        <v/>
      </c>
      <c r="F2786" s="3" t="str">
        <f>IF(A2786="","",'ATP Fills'!G2786)</f>
        <v/>
      </c>
      <c r="G2786" t="str">
        <f>IF(A2786="","",'ATP Fills'!H2786)</f>
        <v/>
      </c>
      <c r="H2786" t="str">
        <f>IF(A2786="","",VLOOKUP(G2786,表3_3[],2,0))</f>
        <v/>
      </c>
      <c r="I2786" t="str">
        <f>IF(A2786="","",VLOOKUP(G2786,表3_3[],3,0))</f>
        <v/>
      </c>
      <c r="J2786" t="str">
        <f>IF(A2786="","",IF('ATP Fills'!I2786="3M","",VLOOKUP(RIGHT('ATP Fills'!I2786,2),Helper1!$O$36:$P$48,2,0)))</f>
        <v/>
      </c>
      <c r="K2786" t="str">
        <f>IF(J2786="","",LEFT('ATP Fills'!I2786,4))</f>
        <v/>
      </c>
      <c r="L2786" t="str">
        <f>IF(A2786="","",IF('ATP Fills'!G2786="LME",'ATP Fills'!I2786,""))</f>
        <v/>
      </c>
      <c r="M2786" t="str">
        <f t="shared" si="43"/>
        <v/>
      </c>
    </row>
    <row r="2787" spans="1:13">
      <c r="A2787" t="str">
        <f>IF('ATP Fills'!A2787="","",IF('ATP Fills'!Q2787="PHILLIPSG",'ATP Fills'!F2787,""))</f>
        <v/>
      </c>
      <c r="B2787" t="str">
        <f>IF(A2787="","",'ATP Fills'!L2787)</f>
        <v/>
      </c>
      <c r="C2787" t="str">
        <f>IF(A2787="","",'ATP Fills'!M2787)</f>
        <v/>
      </c>
      <c r="D2787" t="str">
        <f>IF(A2787="","",'ATP Fills'!B2787)</f>
        <v/>
      </c>
      <c r="E2787" s="3" t="str">
        <f>IF(A2787="","",IF(DATE(LEFT(D2787,4),MID(D2787,5,2),RIGHT(D2787,2))=Helper1!$P$1,Helper1!$P$1,""))</f>
        <v/>
      </c>
      <c r="F2787" s="3" t="str">
        <f>IF(A2787="","",'ATP Fills'!G2787)</f>
        <v/>
      </c>
      <c r="G2787" t="str">
        <f>IF(A2787="","",'ATP Fills'!H2787)</f>
        <v/>
      </c>
      <c r="H2787" t="str">
        <f>IF(A2787="","",VLOOKUP(G2787,表3_3[],2,0))</f>
        <v/>
      </c>
      <c r="I2787" t="str">
        <f>IF(A2787="","",VLOOKUP(G2787,表3_3[],3,0))</f>
        <v/>
      </c>
      <c r="J2787" t="str">
        <f>IF(A2787="","",IF('ATP Fills'!I2787="3M","",VLOOKUP(RIGHT('ATP Fills'!I2787,2),Helper1!$O$36:$P$48,2,0)))</f>
        <v/>
      </c>
      <c r="K2787" t="str">
        <f>IF(J2787="","",LEFT('ATP Fills'!I2787,4))</f>
        <v/>
      </c>
      <c r="L2787" t="str">
        <f>IF(A2787="","",IF('ATP Fills'!G2787="LME",'ATP Fills'!I2787,""))</f>
        <v/>
      </c>
      <c r="M2787" t="str">
        <f t="shared" si="43"/>
        <v/>
      </c>
    </row>
    <row r="2788" spans="1:13">
      <c r="A2788" t="str">
        <f>IF('ATP Fills'!A2788="","",IF('ATP Fills'!Q2788="PHILLIPSG",'ATP Fills'!F2788,""))</f>
        <v/>
      </c>
      <c r="B2788" t="str">
        <f>IF(A2788="","",'ATP Fills'!L2788)</f>
        <v/>
      </c>
      <c r="C2788" t="str">
        <f>IF(A2788="","",'ATP Fills'!M2788)</f>
        <v/>
      </c>
      <c r="D2788" t="str">
        <f>IF(A2788="","",'ATP Fills'!B2788)</f>
        <v/>
      </c>
      <c r="E2788" s="3" t="str">
        <f>IF(A2788="","",IF(DATE(LEFT(D2788,4),MID(D2788,5,2),RIGHT(D2788,2))=Helper1!$P$1,Helper1!$P$1,""))</f>
        <v/>
      </c>
      <c r="F2788" s="3" t="str">
        <f>IF(A2788="","",'ATP Fills'!G2788)</f>
        <v/>
      </c>
      <c r="G2788" t="str">
        <f>IF(A2788="","",'ATP Fills'!H2788)</f>
        <v/>
      </c>
      <c r="H2788" t="str">
        <f>IF(A2788="","",VLOOKUP(G2788,表3_3[],2,0))</f>
        <v/>
      </c>
      <c r="I2788" t="str">
        <f>IF(A2788="","",VLOOKUP(G2788,表3_3[],3,0))</f>
        <v/>
      </c>
      <c r="J2788" t="str">
        <f>IF(A2788="","",IF('ATP Fills'!I2788="3M","",VLOOKUP(RIGHT('ATP Fills'!I2788,2),Helper1!$O$36:$P$48,2,0)))</f>
        <v/>
      </c>
      <c r="K2788" t="str">
        <f>IF(J2788="","",LEFT('ATP Fills'!I2788,4))</f>
        <v/>
      </c>
      <c r="L2788" t="str">
        <f>IF(A2788="","",IF('ATP Fills'!G2788="LME",'ATP Fills'!I2788,""))</f>
        <v/>
      </c>
      <c r="M2788" t="str">
        <f t="shared" si="43"/>
        <v/>
      </c>
    </row>
    <row r="2789" spans="1:13">
      <c r="A2789" t="str">
        <f>IF('ATP Fills'!A2789="","",IF('ATP Fills'!Q2789="PHILLIPSG",'ATP Fills'!F2789,""))</f>
        <v/>
      </c>
      <c r="B2789" t="str">
        <f>IF(A2789="","",'ATP Fills'!L2789)</f>
        <v/>
      </c>
      <c r="C2789" t="str">
        <f>IF(A2789="","",'ATP Fills'!M2789)</f>
        <v/>
      </c>
      <c r="D2789" t="str">
        <f>IF(A2789="","",'ATP Fills'!B2789)</f>
        <v/>
      </c>
      <c r="E2789" s="3" t="str">
        <f>IF(A2789="","",IF(DATE(LEFT(D2789,4),MID(D2789,5,2),RIGHT(D2789,2))=Helper1!$P$1,Helper1!$P$1,""))</f>
        <v/>
      </c>
      <c r="F2789" s="3" t="str">
        <f>IF(A2789="","",'ATP Fills'!G2789)</f>
        <v/>
      </c>
      <c r="G2789" t="str">
        <f>IF(A2789="","",'ATP Fills'!H2789)</f>
        <v/>
      </c>
      <c r="H2789" t="str">
        <f>IF(A2789="","",VLOOKUP(G2789,表3_3[],2,0))</f>
        <v/>
      </c>
      <c r="I2789" t="str">
        <f>IF(A2789="","",VLOOKUP(G2789,表3_3[],3,0))</f>
        <v/>
      </c>
      <c r="J2789" t="str">
        <f>IF(A2789="","",IF('ATP Fills'!I2789="3M","",VLOOKUP(RIGHT('ATP Fills'!I2789,2),Helper1!$O$36:$P$48,2,0)))</f>
        <v/>
      </c>
      <c r="K2789" t="str">
        <f>IF(J2789="","",LEFT('ATP Fills'!I2789,4))</f>
        <v/>
      </c>
      <c r="L2789" t="str">
        <f>IF(A2789="","",IF('ATP Fills'!G2789="LME",'ATP Fills'!I2789,""))</f>
        <v/>
      </c>
      <c r="M2789" t="str">
        <f t="shared" si="43"/>
        <v/>
      </c>
    </row>
    <row r="2790" spans="1:13">
      <c r="A2790" t="str">
        <f>IF('ATP Fills'!A2790="","",IF('ATP Fills'!Q2790="PHILLIPSG",'ATP Fills'!F2790,""))</f>
        <v/>
      </c>
      <c r="B2790" t="str">
        <f>IF(A2790="","",'ATP Fills'!L2790)</f>
        <v/>
      </c>
      <c r="C2790" t="str">
        <f>IF(A2790="","",'ATP Fills'!M2790)</f>
        <v/>
      </c>
      <c r="D2790" t="str">
        <f>IF(A2790="","",'ATP Fills'!B2790)</f>
        <v/>
      </c>
      <c r="E2790" s="3" t="str">
        <f>IF(A2790="","",IF(DATE(LEFT(D2790,4),MID(D2790,5,2),RIGHT(D2790,2))=Helper1!$P$1,Helper1!$P$1,""))</f>
        <v/>
      </c>
      <c r="F2790" s="3" t="str">
        <f>IF(A2790="","",'ATP Fills'!G2790)</f>
        <v/>
      </c>
      <c r="G2790" t="str">
        <f>IF(A2790="","",'ATP Fills'!H2790)</f>
        <v/>
      </c>
      <c r="H2790" t="str">
        <f>IF(A2790="","",VLOOKUP(G2790,表3_3[],2,0))</f>
        <v/>
      </c>
      <c r="I2790" t="str">
        <f>IF(A2790="","",VLOOKUP(G2790,表3_3[],3,0))</f>
        <v/>
      </c>
      <c r="J2790" t="str">
        <f>IF(A2790="","",IF('ATP Fills'!I2790="3M","",VLOOKUP(RIGHT('ATP Fills'!I2790,2),Helper1!$O$36:$P$48,2,0)))</f>
        <v/>
      </c>
      <c r="K2790" t="str">
        <f>IF(J2790="","",LEFT('ATP Fills'!I2790,4))</f>
        <v/>
      </c>
      <c r="L2790" t="str">
        <f>IF(A2790="","",IF('ATP Fills'!G2790="LME",'ATP Fills'!I2790,""))</f>
        <v/>
      </c>
      <c r="M2790" t="str">
        <f t="shared" si="43"/>
        <v/>
      </c>
    </row>
    <row r="2791" spans="1:13">
      <c r="A2791" t="str">
        <f>IF('ATP Fills'!A2791="","",IF('ATP Fills'!Q2791="PHILLIPSG",'ATP Fills'!F2791,""))</f>
        <v/>
      </c>
      <c r="B2791" t="str">
        <f>IF(A2791="","",'ATP Fills'!L2791)</f>
        <v/>
      </c>
      <c r="C2791" t="str">
        <f>IF(A2791="","",'ATP Fills'!M2791)</f>
        <v/>
      </c>
      <c r="D2791" t="str">
        <f>IF(A2791="","",'ATP Fills'!B2791)</f>
        <v/>
      </c>
      <c r="E2791" s="3" t="str">
        <f>IF(A2791="","",IF(DATE(LEFT(D2791,4),MID(D2791,5,2),RIGHT(D2791,2))=Helper1!$P$1,Helper1!$P$1,""))</f>
        <v/>
      </c>
      <c r="F2791" s="3" t="str">
        <f>IF(A2791="","",'ATP Fills'!G2791)</f>
        <v/>
      </c>
      <c r="G2791" t="str">
        <f>IF(A2791="","",'ATP Fills'!H2791)</f>
        <v/>
      </c>
      <c r="H2791" t="str">
        <f>IF(A2791="","",VLOOKUP(G2791,表3_3[],2,0))</f>
        <v/>
      </c>
      <c r="I2791" t="str">
        <f>IF(A2791="","",VLOOKUP(G2791,表3_3[],3,0))</f>
        <v/>
      </c>
      <c r="J2791" t="str">
        <f>IF(A2791="","",IF('ATP Fills'!I2791="3M","",VLOOKUP(RIGHT('ATP Fills'!I2791,2),Helper1!$O$36:$P$48,2,0)))</f>
        <v/>
      </c>
      <c r="K2791" t="str">
        <f>IF(J2791="","",LEFT('ATP Fills'!I2791,4))</f>
        <v/>
      </c>
      <c r="L2791" t="str">
        <f>IF(A2791="","",IF('ATP Fills'!G2791="LME",'ATP Fills'!I2791,""))</f>
        <v/>
      </c>
      <c r="M2791" t="str">
        <f t="shared" si="43"/>
        <v/>
      </c>
    </row>
    <row r="2792" spans="1:13">
      <c r="A2792" t="str">
        <f>IF('ATP Fills'!A2792="","",IF('ATP Fills'!Q2792="PHILLIPSG",'ATP Fills'!F2792,""))</f>
        <v/>
      </c>
      <c r="B2792" t="str">
        <f>IF(A2792="","",'ATP Fills'!L2792)</f>
        <v/>
      </c>
      <c r="C2792" t="str">
        <f>IF(A2792="","",'ATP Fills'!M2792)</f>
        <v/>
      </c>
      <c r="D2792" t="str">
        <f>IF(A2792="","",'ATP Fills'!B2792)</f>
        <v/>
      </c>
      <c r="E2792" s="3" t="str">
        <f>IF(A2792="","",IF(DATE(LEFT(D2792,4),MID(D2792,5,2),RIGHT(D2792,2))=Helper1!$P$1,Helper1!$P$1,""))</f>
        <v/>
      </c>
      <c r="F2792" s="3" t="str">
        <f>IF(A2792="","",'ATP Fills'!G2792)</f>
        <v/>
      </c>
      <c r="G2792" t="str">
        <f>IF(A2792="","",'ATP Fills'!H2792)</f>
        <v/>
      </c>
      <c r="H2792" t="str">
        <f>IF(A2792="","",VLOOKUP(G2792,表3_3[],2,0))</f>
        <v/>
      </c>
      <c r="I2792" t="str">
        <f>IF(A2792="","",VLOOKUP(G2792,表3_3[],3,0))</f>
        <v/>
      </c>
      <c r="J2792" t="str">
        <f>IF(A2792="","",IF('ATP Fills'!I2792="3M","",VLOOKUP(RIGHT('ATP Fills'!I2792,2),Helper1!$O$36:$P$48,2,0)))</f>
        <v/>
      </c>
      <c r="K2792" t="str">
        <f>IF(J2792="","",LEFT('ATP Fills'!I2792,4))</f>
        <v/>
      </c>
      <c r="L2792" t="str">
        <f>IF(A2792="","",IF('ATP Fills'!G2792="LME",'ATP Fills'!I2792,""))</f>
        <v/>
      </c>
      <c r="M2792" t="str">
        <f t="shared" si="43"/>
        <v/>
      </c>
    </row>
    <row r="2793" spans="1:13">
      <c r="A2793" t="str">
        <f>IF('ATP Fills'!A2793="","",IF('ATP Fills'!Q2793="PHILLIPSG",'ATP Fills'!F2793,""))</f>
        <v/>
      </c>
      <c r="B2793" t="str">
        <f>IF(A2793="","",'ATP Fills'!L2793)</f>
        <v/>
      </c>
      <c r="C2793" t="str">
        <f>IF(A2793="","",'ATP Fills'!M2793)</f>
        <v/>
      </c>
      <c r="D2793" t="str">
        <f>IF(A2793="","",'ATP Fills'!B2793)</f>
        <v/>
      </c>
      <c r="E2793" s="3" t="str">
        <f>IF(A2793="","",IF(DATE(LEFT(D2793,4),MID(D2793,5,2),RIGHT(D2793,2))=Helper1!$P$1,Helper1!$P$1,""))</f>
        <v/>
      </c>
      <c r="F2793" s="3" t="str">
        <f>IF(A2793="","",'ATP Fills'!G2793)</f>
        <v/>
      </c>
      <c r="G2793" t="str">
        <f>IF(A2793="","",'ATP Fills'!H2793)</f>
        <v/>
      </c>
      <c r="H2793" t="str">
        <f>IF(A2793="","",VLOOKUP(G2793,表3_3[],2,0))</f>
        <v/>
      </c>
      <c r="I2793" t="str">
        <f>IF(A2793="","",VLOOKUP(G2793,表3_3[],3,0))</f>
        <v/>
      </c>
      <c r="J2793" t="str">
        <f>IF(A2793="","",IF('ATP Fills'!I2793="3M","",VLOOKUP(RIGHT('ATP Fills'!I2793,2),Helper1!$O$36:$P$48,2,0)))</f>
        <v/>
      </c>
      <c r="K2793" t="str">
        <f>IF(J2793="","",LEFT('ATP Fills'!I2793,4))</f>
        <v/>
      </c>
      <c r="L2793" t="str">
        <f>IF(A2793="","",IF('ATP Fills'!G2793="LME",'ATP Fills'!I2793,""))</f>
        <v/>
      </c>
      <c r="M2793" t="str">
        <f t="shared" si="43"/>
        <v/>
      </c>
    </row>
    <row r="2794" spans="1:13">
      <c r="A2794" t="str">
        <f>IF('ATP Fills'!A2794="","",IF('ATP Fills'!Q2794="PHILLIPSG",'ATP Fills'!F2794,""))</f>
        <v/>
      </c>
      <c r="B2794" t="str">
        <f>IF(A2794="","",'ATP Fills'!L2794)</f>
        <v/>
      </c>
      <c r="C2794" t="str">
        <f>IF(A2794="","",'ATP Fills'!M2794)</f>
        <v/>
      </c>
      <c r="D2794" t="str">
        <f>IF(A2794="","",'ATP Fills'!B2794)</f>
        <v/>
      </c>
      <c r="E2794" s="3" t="str">
        <f>IF(A2794="","",IF(DATE(LEFT(D2794,4),MID(D2794,5,2),RIGHT(D2794,2))=Helper1!$P$1,Helper1!$P$1,""))</f>
        <v/>
      </c>
      <c r="F2794" s="3" t="str">
        <f>IF(A2794="","",'ATP Fills'!G2794)</f>
        <v/>
      </c>
      <c r="G2794" t="str">
        <f>IF(A2794="","",'ATP Fills'!H2794)</f>
        <v/>
      </c>
      <c r="H2794" t="str">
        <f>IF(A2794="","",VLOOKUP(G2794,表3_3[],2,0))</f>
        <v/>
      </c>
      <c r="I2794" t="str">
        <f>IF(A2794="","",VLOOKUP(G2794,表3_3[],3,0))</f>
        <v/>
      </c>
      <c r="J2794" t="str">
        <f>IF(A2794="","",IF('ATP Fills'!I2794="3M","",VLOOKUP(RIGHT('ATP Fills'!I2794,2),Helper1!$O$36:$P$48,2,0)))</f>
        <v/>
      </c>
      <c r="K2794" t="str">
        <f>IF(J2794="","",LEFT('ATP Fills'!I2794,4))</f>
        <v/>
      </c>
      <c r="L2794" t="str">
        <f>IF(A2794="","",IF('ATP Fills'!G2794="LME",'ATP Fills'!I2794,""))</f>
        <v/>
      </c>
      <c r="M2794" t="str">
        <f t="shared" si="43"/>
        <v/>
      </c>
    </row>
    <row r="2795" spans="1:13">
      <c r="A2795" t="str">
        <f>IF('ATP Fills'!A2795="","",IF('ATP Fills'!Q2795="PHILLIPSG",'ATP Fills'!F2795,""))</f>
        <v/>
      </c>
      <c r="B2795" t="str">
        <f>IF(A2795="","",'ATP Fills'!L2795)</f>
        <v/>
      </c>
      <c r="C2795" t="str">
        <f>IF(A2795="","",'ATP Fills'!M2795)</f>
        <v/>
      </c>
      <c r="D2795" t="str">
        <f>IF(A2795="","",'ATP Fills'!B2795)</f>
        <v/>
      </c>
      <c r="E2795" s="3" t="str">
        <f>IF(A2795="","",IF(DATE(LEFT(D2795,4),MID(D2795,5,2),RIGHT(D2795,2))=Helper1!$P$1,Helper1!$P$1,""))</f>
        <v/>
      </c>
      <c r="F2795" s="3" t="str">
        <f>IF(A2795="","",'ATP Fills'!G2795)</f>
        <v/>
      </c>
      <c r="G2795" t="str">
        <f>IF(A2795="","",'ATP Fills'!H2795)</f>
        <v/>
      </c>
      <c r="H2795" t="str">
        <f>IF(A2795="","",VLOOKUP(G2795,表3_3[],2,0))</f>
        <v/>
      </c>
      <c r="I2795" t="str">
        <f>IF(A2795="","",VLOOKUP(G2795,表3_3[],3,0))</f>
        <v/>
      </c>
      <c r="J2795" t="str">
        <f>IF(A2795="","",IF('ATP Fills'!I2795="3M","",VLOOKUP(RIGHT('ATP Fills'!I2795,2),Helper1!$O$36:$P$48,2,0)))</f>
        <v/>
      </c>
      <c r="K2795" t="str">
        <f>IF(J2795="","",LEFT('ATP Fills'!I2795,4))</f>
        <v/>
      </c>
      <c r="L2795" t="str">
        <f>IF(A2795="","",IF('ATP Fills'!G2795="LME",'ATP Fills'!I2795,""))</f>
        <v/>
      </c>
      <c r="M2795" t="str">
        <f t="shared" si="43"/>
        <v/>
      </c>
    </row>
    <row r="2796" spans="1:13">
      <c r="A2796" t="str">
        <f>IF('ATP Fills'!A2796="","",IF('ATP Fills'!Q2796="PHILLIPSG",'ATP Fills'!F2796,""))</f>
        <v/>
      </c>
      <c r="B2796" t="str">
        <f>IF(A2796="","",'ATP Fills'!L2796)</f>
        <v/>
      </c>
      <c r="C2796" t="str">
        <f>IF(A2796="","",'ATP Fills'!M2796)</f>
        <v/>
      </c>
      <c r="D2796" t="str">
        <f>IF(A2796="","",'ATP Fills'!B2796)</f>
        <v/>
      </c>
      <c r="E2796" s="3" t="str">
        <f>IF(A2796="","",IF(DATE(LEFT(D2796,4),MID(D2796,5,2),RIGHT(D2796,2))=Helper1!$P$1,Helper1!$P$1,""))</f>
        <v/>
      </c>
      <c r="F2796" s="3" t="str">
        <f>IF(A2796="","",'ATP Fills'!G2796)</f>
        <v/>
      </c>
      <c r="G2796" t="str">
        <f>IF(A2796="","",'ATP Fills'!H2796)</f>
        <v/>
      </c>
      <c r="H2796" t="str">
        <f>IF(A2796="","",VLOOKUP(G2796,表3_3[],2,0))</f>
        <v/>
      </c>
      <c r="I2796" t="str">
        <f>IF(A2796="","",VLOOKUP(G2796,表3_3[],3,0))</f>
        <v/>
      </c>
      <c r="J2796" t="str">
        <f>IF(A2796="","",IF('ATP Fills'!I2796="3M","",VLOOKUP(RIGHT('ATP Fills'!I2796,2),Helper1!$O$36:$P$48,2,0)))</f>
        <v/>
      </c>
      <c r="K2796" t="str">
        <f>IF(J2796="","",LEFT('ATP Fills'!I2796,4))</f>
        <v/>
      </c>
      <c r="L2796" t="str">
        <f>IF(A2796="","",IF('ATP Fills'!G2796="LME",'ATP Fills'!I2796,""))</f>
        <v/>
      </c>
      <c r="M2796" t="str">
        <f t="shared" si="43"/>
        <v/>
      </c>
    </row>
    <row r="2797" spans="1:13">
      <c r="A2797" t="str">
        <f>IF('ATP Fills'!A2797="","",IF('ATP Fills'!Q2797="PHILLIPSG",'ATP Fills'!F2797,""))</f>
        <v/>
      </c>
      <c r="B2797" t="str">
        <f>IF(A2797="","",'ATP Fills'!L2797)</f>
        <v/>
      </c>
      <c r="C2797" t="str">
        <f>IF(A2797="","",'ATP Fills'!M2797)</f>
        <v/>
      </c>
      <c r="D2797" t="str">
        <f>IF(A2797="","",'ATP Fills'!B2797)</f>
        <v/>
      </c>
      <c r="E2797" s="3" t="str">
        <f>IF(A2797="","",IF(DATE(LEFT(D2797,4),MID(D2797,5,2),RIGHT(D2797,2))=Helper1!$P$1,Helper1!$P$1,""))</f>
        <v/>
      </c>
      <c r="F2797" s="3" t="str">
        <f>IF(A2797="","",'ATP Fills'!G2797)</f>
        <v/>
      </c>
      <c r="G2797" t="str">
        <f>IF(A2797="","",'ATP Fills'!H2797)</f>
        <v/>
      </c>
      <c r="H2797" t="str">
        <f>IF(A2797="","",VLOOKUP(G2797,表3_3[],2,0))</f>
        <v/>
      </c>
      <c r="I2797" t="str">
        <f>IF(A2797="","",VLOOKUP(G2797,表3_3[],3,0))</f>
        <v/>
      </c>
      <c r="J2797" t="str">
        <f>IF(A2797="","",IF('ATP Fills'!I2797="3M","",VLOOKUP(RIGHT('ATP Fills'!I2797,2),Helper1!$O$36:$P$48,2,0)))</f>
        <v/>
      </c>
      <c r="K2797" t="str">
        <f>IF(J2797="","",LEFT('ATP Fills'!I2797,4))</f>
        <v/>
      </c>
      <c r="L2797" t="str">
        <f>IF(A2797="","",IF('ATP Fills'!G2797="LME",'ATP Fills'!I2797,""))</f>
        <v/>
      </c>
      <c r="M2797" t="str">
        <f t="shared" si="43"/>
        <v/>
      </c>
    </row>
    <row r="2798" spans="1:13">
      <c r="A2798" t="str">
        <f>IF('ATP Fills'!A2798="","",IF('ATP Fills'!Q2798="PHILLIPSG",'ATP Fills'!F2798,""))</f>
        <v/>
      </c>
      <c r="B2798" t="str">
        <f>IF(A2798="","",'ATP Fills'!L2798)</f>
        <v/>
      </c>
      <c r="C2798" t="str">
        <f>IF(A2798="","",'ATP Fills'!M2798)</f>
        <v/>
      </c>
      <c r="D2798" t="str">
        <f>IF(A2798="","",'ATP Fills'!B2798)</f>
        <v/>
      </c>
      <c r="E2798" s="3" t="str">
        <f>IF(A2798="","",IF(DATE(LEFT(D2798,4),MID(D2798,5,2),RIGHT(D2798,2))=Helper1!$P$1,Helper1!$P$1,""))</f>
        <v/>
      </c>
      <c r="F2798" s="3" t="str">
        <f>IF(A2798="","",'ATP Fills'!G2798)</f>
        <v/>
      </c>
      <c r="G2798" t="str">
        <f>IF(A2798="","",'ATP Fills'!H2798)</f>
        <v/>
      </c>
      <c r="H2798" t="str">
        <f>IF(A2798="","",VLOOKUP(G2798,表3_3[],2,0))</f>
        <v/>
      </c>
      <c r="I2798" t="str">
        <f>IF(A2798="","",VLOOKUP(G2798,表3_3[],3,0))</f>
        <v/>
      </c>
      <c r="J2798" t="str">
        <f>IF(A2798="","",IF('ATP Fills'!I2798="3M","",VLOOKUP(RIGHT('ATP Fills'!I2798,2),Helper1!$O$36:$P$48,2,0)))</f>
        <v/>
      </c>
      <c r="K2798" t="str">
        <f>IF(J2798="","",LEFT('ATP Fills'!I2798,4))</f>
        <v/>
      </c>
      <c r="L2798" t="str">
        <f>IF(A2798="","",IF('ATP Fills'!G2798="LME",'ATP Fills'!I2798,""))</f>
        <v/>
      </c>
      <c r="M2798" t="str">
        <f t="shared" si="43"/>
        <v/>
      </c>
    </row>
    <row r="2799" spans="1:13">
      <c r="A2799" t="str">
        <f>IF('ATP Fills'!A2799="","",IF('ATP Fills'!Q2799="PHILLIPSG",'ATP Fills'!F2799,""))</f>
        <v/>
      </c>
      <c r="B2799" t="str">
        <f>IF(A2799="","",'ATP Fills'!L2799)</f>
        <v/>
      </c>
      <c r="C2799" t="str">
        <f>IF(A2799="","",'ATP Fills'!M2799)</f>
        <v/>
      </c>
      <c r="D2799" t="str">
        <f>IF(A2799="","",'ATP Fills'!B2799)</f>
        <v/>
      </c>
      <c r="E2799" s="3" t="str">
        <f>IF(A2799="","",IF(DATE(LEFT(D2799,4),MID(D2799,5,2),RIGHT(D2799,2))=Helper1!$P$1,Helper1!$P$1,""))</f>
        <v/>
      </c>
      <c r="F2799" s="3" t="str">
        <f>IF(A2799="","",'ATP Fills'!G2799)</f>
        <v/>
      </c>
      <c r="G2799" t="str">
        <f>IF(A2799="","",'ATP Fills'!H2799)</f>
        <v/>
      </c>
      <c r="H2799" t="str">
        <f>IF(A2799="","",VLOOKUP(G2799,表3_3[],2,0))</f>
        <v/>
      </c>
      <c r="I2799" t="str">
        <f>IF(A2799="","",VLOOKUP(G2799,表3_3[],3,0))</f>
        <v/>
      </c>
      <c r="J2799" t="str">
        <f>IF(A2799="","",IF('ATP Fills'!I2799="3M","",VLOOKUP(RIGHT('ATP Fills'!I2799,2),Helper1!$O$36:$P$48,2,0)))</f>
        <v/>
      </c>
      <c r="K2799" t="str">
        <f>IF(J2799="","",LEFT('ATP Fills'!I2799,4))</f>
        <v/>
      </c>
      <c r="L2799" t="str">
        <f>IF(A2799="","",IF('ATP Fills'!G2799="LME",'ATP Fills'!I2799,""))</f>
        <v/>
      </c>
      <c r="M2799" t="str">
        <f t="shared" si="43"/>
        <v/>
      </c>
    </row>
    <row r="2800" spans="1:13">
      <c r="A2800" t="str">
        <f>IF('ATP Fills'!A2800="","",IF('ATP Fills'!Q2800="PHILLIPSG",'ATP Fills'!F2800,""))</f>
        <v/>
      </c>
      <c r="B2800" t="str">
        <f>IF(A2800="","",'ATP Fills'!L2800)</f>
        <v/>
      </c>
      <c r="C2800" t="str">
        <f>IF(A2800="","",'ATP Fills'!M2800)</f>
        <v/>
      </c>
      <c r="D2800" t="str">
        <f>IF(A2800="","",'ATP Fills'!B2800)</f>
        <v/>
      </c>
      <c r="E2800" s="3" t="str">
        <f>IF(A2800="","",IF(DATE(LEFT(D2800,4),MID(D2800,5,2),RIGHT(D2800,2))=Helper1!$P$1,Helper1!$P$1,""))</f>
        <v/>
      </c>
      <c r="F2800" s="3" t="str">
        <f>IF(A2800="","",'ATP Fills'!G2800)</f>
        <v/>
      </c>
      <c r="G2800" t="str">
        <f>IF(A2800="","",'ATP Fills'!H2800)</f>
        <v/>
      </c>
      <c r="H2800" t="str">
        <f>IF(A2800="","",VLOOKUP(G2800,表3_3[],2,0))</f>
        <v/>
      </c>
      <c r="I2800" t="str">
        <f>IF(A2800="","",VLOOKUP(G2800,表3_3[],3,0))</f>
        <v/>
      </c>
      <c r="J2800" t="str">
        <f>IF(A2800="","",IF('ATP Fills'!I2800="3M","",VLOOKUP(RIGHT('ATP Fills'!I2800,2),Helper1!$O$36:$P$48,2,0)))</f>
        <v/>
      </c>
      <c r="K2800" t="str">
        <f>IF(J2800="","",LEFT('ATP Fills'!I2800,4))</f>
        <v/>
      </c>
      <c r="L2800" t="str">
        <f>IF(A2800="","",IF('ATP Fills'!G2800="LME",'ATP Fills'!I2800,""))</f>
        <v/>
      </c>
      <c r="M2800" t="str">
        <f t="shared" si="43"/>
        <v/>
      </c>
    </row>
    <row r="2801" spans="1:13">
      <c r="A2801" t="str">
        <f>IF('ATP Fills'!A2801="","",IF('ATP Fills'!Q2801="PHILLIPSG",'ATP Fills'!F2801,""))</f>
        <v/>
      </c>
      <c r="B2801" t="str">
        <f>IF(A2801="","",'ATP Fills'!L2801)</f>
        <v/>
      </c>
      <c r="C2801" t="str">
        <f>IF(A2801="","",'ATP Fills'!M2801)</f>
        <v/>
      </c>
      <c r="D2801" t="str">
        <f>IF(A2801="","",'ATP Fills'!B2801)</f>
        <v/>
      </c>
      <c r="E2801" s="3" t="str">
        <f>IF(A2801="","",IF(DATE(LEFT(D2801,4),MID(D2801,5,2),RIGHT(D2801,2))=Helper1!$P$1,Helper1!$P$1,""))</f>
        <v/>
      </c>
      <c r="F2801" s="3" t="str">
        <f>IF(A2801="","",'ATP Fills'!G2801)</f>
        <v/>
      </c>
      <c r="G2801" t="str">
        <f>IF(A2801="","",'ATP Fills'!H2801)</f>
        <v/>
      </c>
      <c r="H2801" t="str">
        <f>IF(A2801="","",VLOOKUP(G2801,表3_3[],2,0))</f>
        <v/>
      </c>
      <c r="I2801" t="str">
        <f>IF(A2801="","",VLOOKUP(G2801,表3_3[],3,0))</f>
        <v/>
      </c>
      <c r="J2801" t="str">
        <f>IF(A2801="","",IF('ATP Fills'!I2801="3M","",VLOOKUP(RIGHT('ATP Fills'!I2801,2),Helper1!$O$36:$P$48,2,0)))</f>
        <v/>
      </c>
      <c r="K2801" t="str">
        <f>IF(J2801="","",LEFT('ATP Fills'!I2801,4))</f>
        <v/>
      </c>
      <c r="L2801" t="str">
        <f>IF(A2801="","",IF('ATP Fills'!G2801="LME",'ATP Fills'!I2801,""))</f>
        <v/>
      </c>
      <c r="M2801" t="str">
        <f t="shared" si="43"/>
        <v/>
      </c>
    </row>
    <row r="2802" spans="1:13">
      <c r="A2802" t="str">
        <f>IF('ATP Fills'!A2802="","",IF('ATP Fills'!Q2802="PHILLIPSG",'ATP Fills'!F2802,""))</f>
        <v/>
      </c>
      <c r="B2802" t="str">
        <f>IF(A2802="","",'ATP Fills'!L2802)</f>
        <v/>
      </c>
      <c r="C2802" t="str">
        <f>IF(A2802="","",'ATP Fills'!M2802)</f>
        <v/>
      </c>
      <c r="D2802" t="str">
        <f>IF(A2802="","",'ATP Fills'!B2802)</f>
        <v/>
      </c>
      <c r="E2802" s="3" t="str">
        <f>IF(A2802="","",IF(DATE(LEFT(D2802,4),MID(D2802,5,2),RIGHT(D2802,2))=Helper1!$P$1,Helper1!$P$1,""))</f>
        <v/>
      </c>
      <c r="F2802" s="3" t="str">
        <f>IF(A2802="","",'ATP Fills'!G2802)</f>
        <v/>
      </c>
      <c r="G2802" t="str">
        <f>IF(A2802="","",'ATP Fills'!H2802)</f>
        <v/>
      </c>
      <c r="H2802" t="str">
        <f>IF(A2802="","",VLOOKUP(G2802,表3_3[],2,0))</f>
        <v/>
      </c>
      <c r="I2802" t="str">
        <f>IF(A2802="","",VLOOKUP(G2802,表3_3[],3,0))</f>
        <v/>
      </c>
      <c r="J2802" t="str">
        <f>IF(A2802="","",IF('ATP Fills'!I2802="3M","",VLOOKUP(RIGHT('ATP Fills'!I2802,2),Helper1!$O$36:$P$48,2,0)))</f>
        <v/>
      </c>
      <c r="K2802" t="str">
        <f>IF(J2802="","",LEFT('ATP Fills'!I2802,4))</f>
        <v/>
      </c>
      <c r="L2802" t="str">
        <f>IF(A2802="","",IF('ATP Fills'!G2802="LME",'ATP Fills'!I2802,""))</f>
        <v/>
      </c>
      <c r="M2802" t="str">
        <f t="shared" si="43"/>
        <v/>
      </c>
    </row>
    <row r="2803" spans="1:13">
      <c r="A2803" t="str">
        <f>IF('ATP Fills'!A2803="","",IF('ATP Fills'!Q2803="PHILLIPSG",'ATP Fills'!F2803,""))</f>
        <v/>
      </c>
      <c r="B2803" t="str">
        <f>IF(A2803="","",'ATP Fills'!L2803)</f>
        <v/>
      </c>
      <c r="C2803" t="str">
        <f>IF(A2803="","",'ATP Fills'!M2803)</f>
        <v/>
      </c>
      <c r="D2803" t="str">
        <f>IF(A2803="","",'ATP Fills'!B2803)</f>
        <v/>
      </c>
      <c r="E2803" s="3" t="str">
        <f>IF(A2803="","",IF(DATE(LEFT(D2803,4),MID(D2803,5,2),RIGHT(D2803,2))=Helper1!$P$1,Helper1!$P$1,""))</f>
        <v/>
      </c>
      <c r="F2803" s="3" t="str">
        <f>IF(A2803="","",'ATP Fills'!G2803)</f>
        <v/>
      </c>
      <c r="G2803" t="str">
        <f>IF(A2803="","",'ATP Fills'!H2803)</f>
        <v/>
      </c>
      <c r="H2803" t="str">
        <f>IF(A2803="","",VLOOKUP(G2803,表3_3[],2,0))</f>
        <v/>
      </c>
      <c r="I2803" t="str">
        <f>IF(A2803="","",VLOOKUP(G2803,表3_3[],3,0))</f>
        <v/>
      </c>
      <c r="J2803" t="str">
        <f>IF(A2803="","",IF('ATP Fills'!I2803="3M","",VLOOKUP(RIGHT('ATP Fills'!I2803,2),Helper1!$O$36:$P$48,2,0)))</f>
        <v/>
      </c>
      <c r="K2803" t="str">
        <f>IF(J2803="","",LEFT('ATP Fills'!I2803,4))</f>
        <v/>
      </c>
      <c r="L2803" t="str">
        <f>IF(A2803="","",IF('ATP Fills'!G2803="LME",'ATP Fills'!I2803,""))</f>
        <v/>
      </c>
      <c r="M2803" t="str">
        <f t="shared" si="43"/>
        <v/>
      </c>
    </row>
    <row r="2804" spans="1:13">
      <c r="A2804" t="str">
        <f>IF('ATP Fills'!A2804="","",IF('ATP Fills'!Q2804="PHILLIPSG",'ATP Fills'!F2804,""))</f>
        <v/>
      </c>
      <c r="B2804" t="str">
        <f>IF(A2804="","",'ATP Fills'!L2804)</f>
        <v/>
      </c>
      <c r="C2804" t="str">
        <f>IF(A2804="","",'ATP Fills'!M2804)</f>
        <v/>
      </c>
      <c r="D2804" t="str">
        <f>IF(A2804="","",'ATP Fills'!B2804)</f>
        <v/>
      </c>
      <c r="E2804" s="3" t="str">
        <f>IF(A2804="","",IF(DATE(LEFT(D2804,4),MID(D2804,5,2),RIGHT(D2804,2))=Helper1!$P$1,Helper1!$P$1,""))</f>
        <v/>
      </c>
      <c r="F2804" s="3" t="str">
        <f>IF(A2804="","",'ATP Fills'!G2804)</f>
        <v/>
      </c>
      <c r="G2804" t="str">
        <f>IF(A2804="","",'ATP Fills'!H2804)</f>
        <v/>
      </c>
      <c r="H2804" t="str">
        <f>IF(A2804="","",VLOOKUP(G2804,表3_3[],2,0))</f>
        <v/>
      </c>
      <c r="I2804" t="str">
        <f>IF(A2804="","",VLOOKUP(G2804,表3_3[],3,0))</f>
        <v/>
      </c>
      <c r="J2804" t="str">
        <f>IF(A2804="","",IF('ATP Fills'!I2804="3M","",VLOOKUP(RIGHT('ATP Fills'!I2804,2),Helper1!$O$36:$P$48,2,0)))</f>
        <v/>
      </c>
      <c r="K2804" t="str">
        <f>IF(J2804="","",LEFT('ATP Fills'!I2804,4))</f>
        <v/>
      </c>
      <c r="L2804" t="str">
        <f>IF(A2804="","",IF('ATP Fills'!G2804="LME",'ATP Fills'!I2804,""))</f>
        <v/>
      </c>
      <c r="M2804" t="str">
        <f t="shared" si="43"/>
        <v/>
      </c>
    </row>
    <row r="2805" spans="1:13">
      <c r="A2805" t="str">
        <f>IF('ATP Fills'!A2805="","",IF('ATP Fills'!Q2805="PHILLIPSG",'ATP Fills'!F2805,""))</f>
        <v/>
      </c>
      <c r="B2805" t="str">
        <f>IF(A2805="","",'ATP Fills'!L2805)</f>
        <v/>
      </c>
      <c r="C2805" t="str">
        <f>IF(A2805="","",'ATP Fills'!M2805)</f>
        <v/>
      </c>
      <c r="D2805" t="str">
        <f>IF(A2805="","",'ATP Fills'!B2805)</f>
        <v/>
      </c>
      <c r="E2805" s="3" t="str">
        <f>IF(A2805="","",IF(DATE(LEFT(D2805,4),MID(D2805,5,2),RIGHT(D2805,2))=Helper1!$P$1,Helper1!$P$1,""))</f>
        <v/>
      </c>
      <c r="F2805" s="3" t="str">
        <f>IF(A2805="","",'ATP Fills'!G2805)</f>
        <v/>
      </c>
      <c r="G2805" t="str">
        <f>IF(A2805="","",'ATP Fills'!H2805)</f>
        <v/>
      </c>
      <c r="H2805" t="str">
        <f>IF(A2805="","",VLOOKUP(G2805,表3_3[],2,0))</f>
        <v/>
      </c>
      <c r="I2805" t="str">
        <f>IF(A2805="","",VLOOKUP(G2805,表3_3[],3,0))</f>
        <v/>
      </c>
      <c r="J2805" t="str">
        <f>IF(A2805="","",IF('ATP Fills'!I2805="3M","",VLOOKUP(RIGHT('ATP Fills'!I2805,2),Helper1!$O$36:$P$48,2,0)))</f>
        <v/>
      </c>
      <c r="K2805" t="str">
        <f>IF(J2805="","",LEFT('ATP Fills'!I2805,4))</f>
        <v/>
      </c>
      <c r="L2805" t="str">
        <f>IF(A2805="","",IF('ATP Fills'!G2805="LME",'ATP Fills'!I2805,""))</f>
        <v/>
      </c>
      <c r="M2805" t="str">
        <f t="shared" si="43"/>
        <v/>
      </c>
    </row>
    <row r="2806" spans="1:13">
      <c r="A2806" t="str">
        <f>IF('ATP Fills'!A2806="","",IF('ATP Fills'!Q2806="PHILLIPSG",'ATP Fills'!F2806,""))</f>
        <v/>
      </c>
      <c r="B2806" t="str">
        <f>IF(A2806="","",'ATP Fills'!L2806)</f>
        <v/>
      </c>
      <c r="C2806" t="str">
        <f>IF(A2806="","",'ATP Fills'!M2806)</f>
        <v/>
      </c>
      <c r="D2806" t="str">
        <f>IF(A2806="","",'ATP Fills'!B2806)</f>
        <v/>
      </c>
      <c r="E2806" s="3" t="str">
        <f>IF(A2806="","",IF(DATE(LEFT(D2806,4),MID(D2806,5,2),RIGHT(D2806,2))=Helper1!$P$1,Helper1!$P$1,""))</f>
        <v/>
      </c>
      <c r="F2806" s="3" t="str">
        <f>IF(A2806="","",'ATP Fills'!G2806)</f>
        <v/>
      </c>
      <c r="G2806" t="str">
        <f>IF(A2806="","",'ATP Fills'!H2806)</f>
        <v/>
      </c>
      <c r="H2806" t="str">
        <f>IF(A2806="","",VLOOKUP(G2806,表3_3[],2,0))</f>
        <v/>
      </c>
      <c r="I2806" t="str">
        <f>IF(A2806="","",VLOOKUP(G2806,表3_3[],3,0))</f>
        <v/>
      </c>
      <c r="J2806" t="str">
        <f>IF(A2806="","",IF('ATP Fills'!I2806="3M","",VLOOKUP(RIGHT('ATP Fills'!I2806,2),Helper1!$O$36:$P$48,2,0)))</f>
        <v/>
      </c>
      <c r="K2806" t="str">
        <f>IF(J2806="","",LEFT('ATP Fills'!I2806,4))</f>
        <v/>
      </c>
      <c r="L2806" t="str">
        <f>IF(A2806="","",IF('ATP Fills'!G2806="LME",'ATP Fills'!I2806,""))</f>
        <v/>
      </c>
      <c r="M2806" t="str">
        <f t="shared" si="43"/>
        <v/>
      </c>
    </row>
    <row r="2807" spans="1:13">
      <c r="A2807" t="str">
        <f>IF('ATP Fills'!A2807="","",IF('ATP Fills'!Q2807="PHILLIPSG",'ATP Fills'!F2807,""))</f>
        <v/>
      </c>
      <c r="B2807" t="str">
        <f>IF(A2807="","",'ATP Fills'!L2807)</f>
        <v/>
      </c>
      <c r="C2807" t="str">
        <f>IF(A2807="","",'ATP Fills'!M2807)</f>
        <v/>
      </c>
      <c r="D2807" t="str">
        <f>IF(A2807="","",'ATP Fills'!B2807)</f>
        <v/>
      </c>
      <c r="E2807" s="3" t="str">
        <f>IF(A2807="","",IF(DATE(LEFT(D2807,4),MID(D2807,5,2),RIGHT(D2807,2))=Helper1!$P$1,Helper1!$P$1,""))</f>
        <v/>
      </c>
      <c r="F2807" s="3" t="str">
        <f>IF(A2807="","",'ATP Fills'!G2807)</f>
        <v/>
      </c>
      <c r="G2807" t="str">
        <f>IF(A2807="","",'ATP Fills'!H2807)</f>
        <v/>
      </c>
      <c r="H2807" t="str">
        <f>IF(A2807="","",VLOOKUP(G2807,表3_3[],2,0))</f>
        <v/>
      </c>
      <c r="I2807" t="str">
        <f>IF(A2807="","",VLOOKUP(G2807,表3_3[],3,0))</f>
        <v/>
      </c>
      <c r="J2807" t="str">
        <f>IF(A2807="","",IF('ATP Fills'!I2807="3M","",VLOOKUP(RIGHT('ATP Fills'!I2807,2),Helper1!$O$36:$P$48,2,0)))</f>
        <v/>
      </c>
      <c r="K2807" t="str">
        <f>IF(J2807="","",LEFT('ATP Fills'!I2807,4))</f>
        <v/>
      </c>
      <c r="L2807" t="str">
        <f>IF(A2807="","",IF('ATP Fills'!G2807="LME",'ATP Fills'!I2807,""))</f>
        <v/>
      </c>
      <c r="M2807" t="str">
        <f t="shared" si="43"/>
        <v/>
      </c>
    </row>
    <row r="2808" spans="1:13">
      <c r="A2808" t="str">
        <f>IF('ATP Fills'!A2808="","",IF('ATP Fills'!Q2808="PHILLIPSG",'ATP Fills'!F2808,""))</f>
        <v/>
      </c>
      <c r="B2808" t="str">
        <f>IF(A2808="","",'ATP Fills'!L2808)</f>
        <v/>
      </c>
      <c r="C2808" t="str">
        <f>IF(A2808="","",'ATP Fills'!M2808)</f>
        <v/>
      </c>
      <c r="D2808" t="str">
        <f>IF(A2808="","",'ATP Fills'!B2808)</f>
        <v/>
      </c>
      <c r="E2808" s="3" t="str">
        <f>IF(A2808="","",IF(DATE(LEFT(D2808,4),MID(D2808,5,2),RIGHT(D2808,2))=Helper1!$P$1,Helper1!$P$1,""))</f>
        <v/>
      </c>
      <c r="F2808" s="3" t="str">
        <f>IF(A2808="","",'ATP Fills'!G2808)</f>
        <v/>
      </c>
      <c r="G2808" t="str">
        <f>IF(A2808="","",'ATP Fills'!H2808)</f>
        <v/>
      </c>
      <c r="H2808" t="str">
        <f>IF(A2808="","",VLOOKUP(G2808,表3_3[],2,0))</f>
        <v/>
      </c>
      <c r="I2808" t="str">
        <f>IF(A2808="","",VLOOKUP(G2808,表3_3[],3,0))</f>
        <v/>
      </c>
      <c r="J2808" t="str">
        <f>IF(A2808="","",IF('ATP Fills'!I2808="3M","",VLOOKUP(RIGHT('ATP Fills'!I2808,2),Helper1!$O$36:$P$48,2,0)))</f>
        <v/>
      </c>
      <c r="K2808" t="str">
        <f>IF(J2808="","",LEFT('ATP Fills'!I2808,4))</f>
        <v/>
      </c>
      <c r="L2808" t="str">
        <f>IF(A2808="","",IF('ATP Fills'!G2808="LME",'ATP Fills'!I2808,""))</f>
        <v/>
      </c>
      <c r="M2808" t="str">
        <f t="shared" si="43"/>
        <v/>
      </c>
    </row>
    <row r="2809" spans="1:13">
      <c r="A2809" t="str">
        <f>IF('ATP Fills'!A2809="","",IF('ATP Fills'!Q2809="PHILLIPSG",'ATP Fills'!F2809,""))</f>
        <v/>
      </c>
      <c r="B2809" t="str">
        <f>IF(A2809="","",'ATP Fills'!L2809)</f>
        <v/>
      </c>
      <c r="C2809" t="str">
        <f>IF(A2809="","",'ATP Fills'!M2809)</f>
        <v/>
      </c>
      <c r="D2809" t="str">
        <f>IF(A2809="","",'ATP Fills'!B2809)</f>
        <v/>
      </c>
      <c r="E2809" s="3" t="str">
        <f>IF(A2809="","",IF(DATE(LEFT(D2809,4),MID(D2809,5,2),RIGHT(D2809,2))=Helper1!$P$1,Helper1!$P$1,""))</f>
        <v/>
      </c>
      <c r="F2809" s="3" t="str">
        <f>IF(A2809="","",'ATP Fills'!G2809)</f>
        <v/>
      </c>
      <c r="G2809" t="str">
        <f>IF(A2809="","",'ATP Fills'!H2809)</f>
        <v/>
      </c>
      <c r="H2809" t="str">
        <f>IF(A2809="","",VLOOKUP(G2809,表3_3[],2,0))</f>
        <v/>
      </c>
      <c r="I2809" t="str">
        <f>IF(A2809="","",VLOOKUP(G2809,表3_3[],3,0))</f>
        <v/>
      </c>
      <c r="J2809" t="str">
        <f>IF(A2809="","",IF('ATP Fills'!I2809="3M","",VLOOKUP(RIGHT('ATP Fills'!I2809,2),Helper1!$O$36:$P$48,2,0)))</f>
        <v/>
      </c>
      <c r="K2809" t="str">
        <f>IF(J2809="","",LEFT('ATP Fills'!I2809,4))</f>
        <v/>
      </c>
      <c r="L2809" t="str">
        <f>IF(A2809="","",IF('ATP Fills'!G2809="LME",'ATP Fills'!I2809,""))</f>
        <v/>
      </c>
      <c r="M2809" t="str">
        <f t="shared" si="43"/>
        <v/>
      </c>
    </row>
    <row r="2810" spans="1:13">
      <c r="A2810" t="str">
        <f>IF('ATP Fills'!A2810="","",IF('ATP Fills'!Q2810="PHILLIPSG",'ATP Fills'!F2810,""))</f>
        <v/>
      </c>
      <c r="B2810" t="str">
        <f>IF(A2810="","",'ATP Fills'!L2810)</f>
        <v/>
      </c>
      <c r="C2810" t="str">
        <f>IF(A2810="","",'ATP Fills'!M2810)</f>
        <v/>
      </c>
      <c r="D2810" t="str">
        <f>IF(A2810="","",'ATP Fills'!B2810)</f>
        <v/>
      </c>
      <c r="E2810" s="3" t="str">
        <f>IF(A2810="","",IF(DATE(LEFT(D2810,4),MID(D2810,5,2),RIGHT(D2810,2))=Helper1!$P$1,Helper1!$P$1,""))</f>
        <v/>
      </c>
      <c r="F2810" s="3" t="str">
        <f>IF(A2810="","",'ATP Fills'!G2810)</f>
        <v/>
      </c>
      <c r="G2810" t="str">
        <f>IF(A2810="","",'ATP Fills'!H2810)</f>
        <v/>
      </c>
      <c r="H2810" t="str">
        <f>IF(A2810="","",VLOOKUP(G2810,表3_3[],2,0))</f>
        <v/>
      </c>
      <c r="I2810" t="str">
        <f>IF(A2810="","",VLOOKUP(G2810,表3_3[],3,0))</f>
        <v/>
      </c>
      <c r="J2810" t="str">
        <f>IF(A2810="","",IF('ATP Fills'!I2810="3M","",VLOOKUP(RIGHT('ATP Fills'!I2810,2),Helper1!$O$36:$P$48,2,0)))</f>
        <v/>
      </c>
      <c r="K2810" t="str">
        <f>IF(J2810="","",LEFT('ATP Fills'!I2810,4))</f>
        <v/>
      </c>
      <c r="L2810" t="str">
        <f>IF(A2810="","",IF('ATP Fills'!G2810="LME",'ATP Fills'!I2810,""))</f>
        <v/>
      </c>
      <c r="M2810" t="str">
        <f t="shared" si="43"/>
        <v/>
      </c>
    </row>
    <row r="2811" spans="1:13">
      <c r="A2811" t="str">
        <f>IF('ATP Fills'!A2811="","",IF('ATP Fills'!Q2811="PHILLIPSG",'ATP Fills'!F2811,""))</f>
        <v/>
      </c>
      <c r="B2811" t="str">
        <f>IF(A2811="","",'ATP Fills'!L2811)</f>
        <v/>
      </c>
      <c r="C2811" t="str">
        <f>IF(A2811="","",'ATP Fills'!M2811)</f>
        <v/>
      </c>
      <c r="D2811" t="str">
        <f>IF(A2811="","",'ATP Fills'!B2811)</f>
        <v/>
      </c>
      <c r="E2811" s="3" t="str">
        <f>IF(A2811="","",IF(DATE(LEFT(D2811,4),MID(D2811,5,2),RIGHT(D2811,2))=Helper1!$P$1,Helper1!$P$1,""))</f>
        <v/>
      </c>
      <c r="F2811" s="3" t="str">
        <f>IF(A2811="","",'ATP Fills'!G2811)</f>
        <v/>
      </c>
      <c r="G2811" t="str">
        <f>IF(A2811="","",'ATP Fills'!H2811)</f>
        <v/>
      </c>
      <c r="H2811" t="str">
        <f>IF(A2811="","",VLOOKUP(G2811,表3_3[],2,0))</f>
        <v/>
      </c>
      <c r="I2811" t="str">
        <f>IF(A2811="","",VLOOKUP(G2811,表3_3[],3,0))</f>
        <v/>
      </c>
      <c r="J2811" t="str">
        <f>IF(A2811="","",IF('ATP Fills'!I2811="3M","",VLOOKUP(RIGHT('ATP Fills'!I2811,2),Helper1!$O$36:$P$48,2,0)))</f>
        <v/>
      </c>
      <c r="K2811" t="str">
        <f>IF(J2811="","",LEFT('ATP Fills'!I2811,4))</f>
        <v/>
      </c>
      <c r="L2811" t="str">
        <f>IF(A2811="","",IF('ATP Fills'!G2811="LME",'ATP Fills'!I2811,""))</f>
        <v/>
      </c>
      <c r="M2811" t="str">
        <f t="shared" si="43"/>
        <v/>
      </c>
    </row>
    <row r="2812" spans="1:13">
      <c r="A2812" t="str">
        <f>IF('ATP Fills'!A2812="","",IF('ATP Fills'!Q2812="PHILLIPSG",'ATP Fills'!F2812,""))</f>
        <v/>
      </c>
      <c r="B2812" t="str">
        <f>IF(A2812="","",'ATP Fills'!L2812)</f>
        <v/>
      </c>
      <c r="C2812" t="str">
        <f>IF(A2812="","",'ATP Fills'!M2812)</f>
        <v/>
      </c>
      <c r="D2812" t="str">
        <f>IF(A2812="","",'ATP Fills'!B2812)</f>
        <v/>
      </c>
      <c r="E2812" s="3" t="str">
        <f>IF(A2812="","",IF(DATE(LEFT(D2812,4),MID(D2812,5,2),RIGHT(D2812,2))=Helper1!$P$1,Helper1!$P$1,""))</f>
        <v/>
      </c>
      <c r="F2812" s="3" t="str">
        <f>IF(A2812="","",'ATP Fills'!G2812)</f>
        <v/>
      </c>
      <c r="G2812" t="str">
        <f>IF(A2812="","",'ATP Fills'!H2812)</f>
        <v/>
      </c>
      <c r="H2812" t="str">
        <f>IF(A2812="","",VLOOKUP(G2812,表3_3[],2,0))</f>
        <v/>
      </c>
      <c r="I2812" t="str">
        <f>IF(A2812="","",VLOOKUP(G2812,表3_3[],3,0))</f>
        <v/>
      </c>
      <c r="J2812" t="str">
        <f>IF(A2812="","",IF('ATP Fills'!I2812="3M","",VLOOKUP(RIGHT('ATP Fills'!I2812,2),Helper1!$O$36:$P$48,2,0)))</f>
        <v/>
      </c>
      <c r="K2812" t="str">
        <f>IF(J2812="","",LEFT('ATP Fills'!I2812,4))</f>
        <v/>
      </c>
      <c r="L2812" t="str">
        <f>IF(A2812="","",IF('ATP Fills'!G2812="LME",'ATP Fills'!I2812,""))</f>
        <v/>
      </c>
      <c r="M2812" t="str">
        <f t="shared" si="43"/>
        <v/>
      </c>
    </row>
    <row r="2813" spans="1:13">
      <c r="A2813" t="str">
        <f>IF('ATP Fills'!A2813="","",IF('ATP Fills'!Q2813="PHILLIPSG",'ATP Fills'!F2813,""))</f>
        <v/>
      </c>
      <c r="B2813" t="str">
        <f>IF(A2813="","",'ATP Fills'!L2813)</f>
        <v/>
      </c>
      <c r="C2813" t="str">
        <f>IF(A2813="","",'ATP Fills'!M2813)</f>
        <v/>
      </c>
      <c r="D2813" t="str">
        <f>IF(A2813="","",'ATP Fills'!B2813)</f>
        <v/>
      </c>
      <c r="E2813" s="3" t="str">
        <f>IF(A2813="","",IF(DATE(LEFT(D2813,4),MID(D2813,5,2),RIGHT(D2813,2))=Helper1!$P$1,Helper1!$P$1,""))</f>
        <v/>
      </c>
      <c r="F2813" s="3" t="str">
        <f>IF(A2813="","",'ATP Fills'!G2813)</f>
        <v/>
      </c>
      <c r="G2813" t="str">
        <f>IF(A2813="","",'ATP Fills'!H2813)</f>
        <v/>
      </c>
      <c r="H2813" t="str">
        <f>IF(A2813="","",VLOOKUP(G2813,表3_3[],2,0))</f>
        <v/>
      </c>
      <c r="I2813" t="str">
        <f>IF(A2813="","",VLOOKUP(G2813,表3_3[],3,0))</f>
        <v/>
      </c>
      <c r="J2813" t="str">
        <f>IF(A2813="","",IF('ATP Fills'!I2813="3M","",VLOOKUP(RIGHT('ATP Fills'!I2813,2),Helper1!$O$36:$P$48,2,0)))</f>
        <v/>
      </c>
      <c r="K2813" t="str">
        <f>IF(J2813="","",LEFT('ATP Fills'!I2813,4))</f>
        <v/>
      </c>
      <c r="L2813" t="str">
        <f>IF(A2813="","",IF('ATP Fills'!G2813="LME",'ATP Fills'!I2813,""))</f>
        <v/>
      </c>
      <c r="M2813" t="str">
        <f t="shared" si="43"/>
        <v/>
      </c>
    </row>
    <row r="2814" spans="1:13">
      <c r="A2814" t="str">
        <f>IF('ATP Fills'!A2814="","",IF('ATP Fills'!Q2814="PHILLIPSG",'ATP Fills'!F2814,""))</f>
        <v/>
      </c>
      <c r="B2814" t="str">
        <f>IF(A2814="","",'ATP Fills'!L2814)</f>
        <v/>
      </c>
      <c r="C2814" t="str">
        <f>IF(A2814="","",'ATP Fills'!M2814)</f>
        <v/>
      </c>
      <c r="D2814" t="str">
        <f>IF(A2814="","",'ATP Fills'!B2814)</f>
        <v/>
      </c>
      <c r="E2814" s="3" t="str">
        <f>IF(A2814="","",IF(DATE(LEFT(D2814,4),MID(D2814,5,2),RIGHT(D2814,2))=Helper1!$P$1,Helper1!$P$1,""))</f>
        <v/>
      </c>
      <c r="F2814" s="3" t="str">
        <f>IF(A2814="","",'ATP Fills'!G2814)</f>
        <v/>
      </c>
      <c r="G2814" t="str">
        <f>IF(A2814="","",'ATP Fills'!H2814)</f>
        <v/>
      </c>
      <c r="H2814" t="str">
        <f>IF(A2814="","",VLOOKUP(G2814,表3_3[],2,0))</f>
        <v/>
      </c>
      <c r="I2814" t="str">
        <f>IF(A2814="","",VLOOKUP(G2814,表3_3[],3,0))</f>
        <v/>
      </c>
      <c r="J2814" t="str">
        <f>IF(A2814="","",IF('ATP Fills'!I2814="3M","",VLOOKUP(RIGHT('ATP Fills'!I2814,2),Helper1!$O$36:$P$48,2,0)))</f>
        <v/>
      </c>
      <c r="K2814" t="str">
        <f>IF(J2814="","",LEFT('ATP Fills'!I2814,4))</f>
        <v/>
      </c>
      <c r="L2814" t="str">
        <f>IF(A2814="","",IF('ATP Fills'!G2814="LME",'ATP Fills'!I2814,""))</f>
        <v/>
      </c>
      <c r="M2814" t="str">
        <f t="shared" si="43"/>
        <v/>
      </c>
    </row>
    <row r="2815" spans="1:13">
      <c r="A2815" t="str">
        <f>IF('ATP Fills'!A2815="","",IF('ATP Fills'!Q2815="PHILLIPSG",'ATP Fills'!F2815,""))</f>
        <v/>
      </c>
      <c r="B2815" t="str">
        <f>IF(A2815="","",'ATP Fills'!L2815)</f>
        <v/>
      </c>
      <c r="C2815" t="str">
        <f>IF(A2815="","",'ATP Fills'!M2815)</f>
        <v/>
      </c>
      <c r="D2815" t="str">
        <f>IF(A2815="","",'ATP Fills'!B2815)</f>
        <v/>
      </c>
      <c r="E2815" s="3" t="str">
        <f>IF(A2815="","",IF(DATE(LEFT(D2815,4),MID(D2815,5,2),RIGHT(D2815,2))=Helper1!$P$1,Helper1!$P$1,""))</f>
        <v/>
      </c>
      <c r="F2815" s="3" t="str">
        <f>IF(A2815="","",'ATP Fills'!G2815)</f>
        <v/>
      </c>
      <c r="G2815" t="str">
        <f>IF(A2815="","",'ATP Fills'!H2815)</f>
        <v/>
      </c>
      <c r="H2815" t="str">
        <f>IF(A2815="","",VLOOKUP(G2815,表3_3[],2,0))</f>
        <v/>
      </c>
      <c r="I2815" t="str">
        <f>IF(A2815="","",VLOOKUP(G2815,表3_3[],3,0))</f>
        <v/>
      </c>
      <c r="J2815" t="str">
        <f>IF(A2815="","",IF('ATP Fills'!I2815="3M","",VLOOKUP(RIGHT('ATP Fills'!I2815,2),Helper1!$O$36:$P$48,2,0)))</f>
        <v/>
      </c>
      <c r="K2815" t="str">
        <f>IF(J2815="","",LEFT('ATP Fills'!I2815,4))</f>
        <v/>
      </c>
      <c r="L2815" t="str">
        <f>IF(A2815="","",IF('ATP Fills'!G2815="LME",'ATP Fills'!I2815,""))</f>
        <v/>
      </c>
      <c r="M2815" t="str">
        <f t="shared" si="43"/>
        <v/>
      </c>
    </row>
    <row r="2816" spans="1:13">
      <c r="A2816" t="str">
        <f>IF('ATP Fills'!A2816="","",IF('ATP Fills'!Q2816="PHILLIPSG",'ATP Fills'!F2816,""))</f>
        <v/>
      </c>
      <c r="B2816" t="str">
        <f>IF(A2816="","",'ATP Fills'!L2816)</f>
        <v/>
      </c>
      <c r="C2816" t="str">
        <f>IF(A2816="","",'ATP Fills'!M2816)</f>
        <v/>
      </c>
      <c r="D2816" t="str">
        <f>IF(A2816="","",'ATP Fills'!B2816)</f>
        <v/>
      </c>
      <c r="E2816" s="3" t="str">
        <f>IF(A2816="","",IF(DATE(LEFT(D2816,4),MID(D2816,5,2),RIGHT(D2816,2))=Helper1!$P$1,Helper1!$P$1,""))</f>
        <v/>
      </c>
      <c r="F2816" s="3" t="str">
        <f>IF(A2816="","",'ATP Fills'!G2816)</f>
        <v/>
      </c>
      <c r="G2816" t="str">
        <f>IF(A2816="","",'ATP Fills'!H2816)</f>
        <v/>
      </c>
      <c r="H2816" t="str">
        <f>IF(A2816="","",VLOOKUP(G2816,表3_3[],2,0))</f>
        <v/>
      </c>
      <c r="I2816" t="str">
        <f>IF(A2816="","",VLOOKUP(G2816,表3_3[],3,0))</f>
        <v/>
      </c>
      <c r="J2816" t="str">
        <f>IF(A2816="","",IF('ATP Fills'!I2816="3M","",VLOOKUP(RIGHT('ATP Fills'!I2816,2),Helper1!$O$36:$P$48,2,0)))</f>
        <v/>
      </c>
      <c r="K2816" t="str">
        <f>IF(J2816="","",LEFT('ATP Fills'!I2816,4))</f>
        <v/>
      </c>
      <c r="L2816" t="str">
        <f>IF(A2816="","",IF('ATP Fills'!G2816="LME",'ATP Fills'!I2816,""))</f>
        <v/>
      </c>
      <c r="M2816" t="str">
        <f t="shared" si="43"/>
        <v/>
      </c>
    </row>
    <row r="2817" spans="1:13">
      <c r="A2817" t="str">
        <f>IF('ATP Fills'!A2817="","",IF('ATP Fills'!Q2817="PHILLIPSG",'ATP Fills'!F2817,""))</f>
        <v/>
      </c>
      <c r="B2817" t="str">
        <f>IF(A2817="","",'ATP Fills'!L2817)</f>
        <v/>
      </c>
      <c r="C2817" t="str">
        <f>IF(A2817="","",'ATP Fills'!M2817)</f>
        <v/>
      </c>
      <c r="D2817" t="str">
        <f>IF(A2817="","",'ATP Fills'!B2817)</f>
        <v/>
      </c>
      <c r="E2817" s="3" t="str">
        <f>IF(A2817="","",IF(DATE(LEFT(D2817,4),MID(D2817,5,2),RIGHT(D2817,2))=Helper1!$P$1,Helper1!$P$1,""))</f>
        <v/>
      </c>
      <c r="F2817" s="3" t="str">
        <f>IF(A2817="","",'ATP Fills'!G2817)</f>
        <v/>
      </c>
      <c r="G2817" t="str">
        <f>IF(A2817="","",'ATP Fills'!H2817)</f>
        <v/>
      </c>
      <c r="H2817" t="str">
        <f>IF(A2817="","",VLOOKUP(G2817,表3_3[],2,0))</f>
        <v/>
      </c>
      <c r="I2817" t="str">
        <f>IF(A2817="","",VLOOKUP(G2817,表3_3[],3,0))</f>
        <v/>
      </c>
      <c r="J2817" t="str">
        <f>IF(A2817="","",IF('ATP Fills'!I2817="3M","",VLOOKUP(RIGHT('ATP Fills'!I2817,2),Helper1!$O$36:$P$48,2,0)))</f>
        <v/>
      </c>
      <c r="K2817" t="str">
        <f>IF(J2817="","",LEFT('ATP Fills'!I2817,4))</f>
        <v/>
      </c>
      <c r="L2817" t="str">
        <f>IF(A2817="","",IF('ATP Fills'!G2817="LME",'ATP Fills'!I2817,""))</f>
        <v/>
      </c>
      <c r="M2817" t="str">
        <f t="shared" si="43"/>
        <v/>
      </c>
    </row>
    <row r="2818" spans="1:13">
      <c r="A2818" t="str">
        <f>IF('ATP Fills'!A2818="","",IF('ATP Fills'!Q2818="PHILLIPSG",'ATP Fills'!F2818,""))</f>
        <v/>
      </c>
      <c r="B2818" t="str">
        <f>IF(A2818="","",'ATP Fills'!L2818)</f>
        <v/>
      </c>
      <c r="C2818" t="str">
        <f>IF(A2818="","",'ATP Fills'!M2818)</f>
        <v/>
      </c>
      <c r="D2818" t="str">
        <f>IF(A2818="","",'ATP Fills'!B2818)</f>
        <v/>
      </c>
      <c r="E2818" s="3" t="str">
        <f>IF(A2818="","",IF(DATE(LEFT(D2818,4),MID(D2818,5,2),RIGHT(D2818,2))=Helper1!$P$1,Helper1!$P$1,""))</f>
        <v/>
      </c>
      <c r="F2818" s="3" t="str">
        <f>IF(A2818="","",'ATP Fills'!G2818)</f>
        <v/>
      </c>
      <c r="G2818" t="str">
        <f>IF(A2818="","",'ATP Fills'!H2818)</f>
        <v/>
      </c>
      <c r="H2818" t="str">
        <f>IF(A2818="","",VLOOKUP(G2818,表3_3[],2,0))</f>
        <v/>
      </c>
      <c r="I2818" t="str">
        <f>IF(A2818="","",VLOOKUP(G2818,表3_3[],3,0))</f>
        <v/>
      </c>
      <c r="J2818" t="str">
        <f>IF(A2818="","",IF('ATP Fills'!I2818="3M","",VLOOKUP(RIGHT('ATP Fills'!I2818,2),Helper1!$O$36:$P$48,2,0)))</f>
        <v/>
      </c>
      <c r="K2818" t="str">
        <f>IF(J2818="","",LEFT('ATP Fills'!I2818,4))</f>
        <v/>
      </c>
      <c r="L2818" t="str">
        <f>IF(A2818="","",IF('ATP Fills'!G2818="LME",'ATP Fills'!I2818,""))</f>
        <v/>
      </c>
      <c r="M2818" t="str">
        <f t="shared" si="43"/>
        <v/>
      </c>
    </row>
    <row r="2819" spans="1:13">
      <c r="A2819" t="str">
        <f>IF('ATP Fills'!A2819="","",IF('ATP Fills'!Q2819="PHILLIPSG",'ATP Fills'!F2819,""))</f>
        <v/>
      </c>
      <c r="B2819" t="str">
        <f>IF(A2819="","",'ATP Fills'!L2819)</f>
        <v/>
      </c>
      <c r="C2819" t="str">
        <f>IF(A2819="","",'ATP Fills'!M2819)</f>
        <v/>
      </c>
      <c r="D2819" t="str">
        <f>IF(A2819="","",'ATP Fills'!B2819)</f>
        <v/>
      </c>
      <c r="E2819" s="3" t="str">
        <f>IF(A2819="","",IF(DATE(LEFT(D2819,4),MID(D2819,5,2),RIGHT(D2819,2))=Helper1!$P$1,Helper1!$P$1,""))</f>
        <v/>
      </c>
      <c r="F2819" s="3" t="str">
        <f>IF(A2819="","",'ATP Fills'!G2819)</f>
        <v/>
      </c>
      <c r="G2819" t="str">
        <f>IF(A2819="","",'ATP Fills'!H2819)</f>
        <v/>
      </c>
      <c r="H2819" t="str">
        <f>IF(A2819="","",VLOOKUP(G2819,表3_3[],2,0))</f>
        <v/>
      </c>
      <c r="I2819" t="str">
        <f>IF(A2819="","",VLOOKUP(G2819,表3_3[],3,0))</f>
        <v/>
      </c>
      <c r="J2819" t="str">
        <f>IF(A2819="","",IF('ATP Fills'!I2819="3M","",VLOOKUP(RIGHT('ATP Fills'!I2819,2),Helper1!$O$36:$P$48,2,0)))</f>
        <v/>
      </c>
      <c r="K2819" t="str">
        <f>IF(J2819="","",LEFT('ATP Fills'!I2819,4))</f>
        <v/>
      </c>
      <c r="L2819" t="str">
        <f>IF(A2819="","",IF('ATP Fills'!G2819="LME",'ATP Fills'!I2819,""))</f>
        <v/>
      </c>
      <c r="M2819" t="str">
        <f t="shared" ref="M2819:M2882" si="44">IF(A2819="","",IF(F2819="LME",F2819&amp;"-"&amp;I2819&amp;"-"&amp;L2819,J2819&amp;"-"&amp;K2819&amp;"-"&amp;I2819))</f>
        <v/>
      </c>
    </row>
    <row r="2820" spans="1:13">
      <c r="A2820" t="str">
        <f>IF('ATP Fills'!A2820="","",IF('ATP Fills'!Q2820="PHILLIPSG",'ATP Fills'!F2820,""))</f>
        <v/>
      </c>
      <c r="B2820" t="str">
        <f>IF(A2820="","",'ATP Fills'!L2820)</f>
        <v/>
      </c>
      <c r="C2820" t="str">
        <f>IF(A2820="","",'ATP Fills'!M2820)</f>
        <v/>
      </c>
      <c r="D2820" t="str">
        <f>IF(A2820="","",'ATP Fills'!B2820)</f>
        <v/>
      </c>
      <c r="E2820" s="3" t="str">
        <f>IF(A2820="","",IF(DATE(LEFT(D2820,4),MID(D2820,5,2),RIGHT(D2820,2))=Helper1!$P$1,Helper1!$P$1,""))</f>
        <v/>
      </c>
      <c r="F2820" s="3" t="str">
        <f>IF(A2820="","",'ATP Fills'!G2820)</f>
        <v/>
      </c>
      <c r="G2820" t="str">
        <f>IF(A2820="","",'ATP Fills'!H2820)</f>
        <v/>
      </c>
      <c r="H2820" t="str">
        <f>IF(A2820="","",VLOOKUP(G2820,表3_3[],2,0))</f>
        <v/>
      </c>
      <c r="I2820" t="str">
        <f>IF(A2820="","",VLOOKUP(G2820,表3_3[],3,0))</f>
        <v/>
      </c>
      <c r="J2820" t="str">
        <f>IF(A2820="","",IF('ATP Fills'!I2820="3M","",VLOOKUP(RIGHT('ATP Fills'!I2820,2),Helper1!$O$36:$P$48,2,0)))</f>
        <v/>
      </c>
      <c r="K2820" t="str">
        <f>IF(J2820="","",LEFT('ATP Fills'!I2820,4))</f>
        <v/>
      </c>
      <c r="L2820" t="str">
        <f>IF(A2820="","",IF('ATP Fills'!G2820="LME",'ATP Fills'!I2820,""))</f>
        <v/>
      </c>
      <c r="M2820" t="str">
        <f t="shared" si="44"/>
        <v/>
      </c>
    </row>
    <row r="2821" spans="1:13">
      <c r="A2821" t="str">
        <f>IF('ATP Fills'!A2821="","",IF('ATP Fills'!Q2821="PHILLIPSG",'ATP Fills'!F2821,""))</f>
        <v/>
      </c>
      <c r="B2821" t="str">
        <f>IF(A2821="","",'ATP Fills'!L2821)</f>
        <v/>
      </c>
      <c r="C2821" t="str">
        <f>IF(A2821="","",'ATP Fills'!M2821)</f>
        <v/>
      </c>
      <c r="D2821" t="str">
        <f>IF(A2821="","",'ATP Fills'!B2821)</f>
        <v/>
      </c>
      <c r="E2821" s="3" t="str">
        <f>IF(A2821="","",IF(DATE(LEFT(D2821,4),MID(D2821,5,2),RIGHT(D2821,2))=Helper1!$P$1,Helper1!$P$1,""))</f>
        <v/>
      </c>
      <c r="F2821" s="3" t="str">
        <f>IF(A2821="","",'ATP Fills'!G2821)</f>
        <v/>
      </c>
      <c r="G2821" t="str">
        <f>IF(A2821="","",'ATP Fills'!H2821)</f>
        <v/>
      </c>
      <c r="H2821" t="str">
        <f>IF(A2821="","",VLOOKUP(G2821,表3_3[],2,0))</f>
        <v/>
      </c>
      <c r="I2821" t="str">
        <f>IF(A2821="","",VLOOKUP(G2821,表3_3[],3,0))</f>
        <v/>
      </c>
      <c r="J2821" t="str">
        <f>IF(A2821="","",IF('ATP Fills'!I2821="3M","",VLOOKUP(RIGHT('ATP Fills'!I2821,2),Helper1!$O$36:$P$48,2,0)))</f>
        <v/>
      </c>
      <c r="K2821" t="str">
        <f>IF(J2821="","",LEFT('ATP Fills'!I2821,4))</f>
        <v/>
      </c>
      <c r="L2821" t="str">
        <f>IF(A2821="","",IF('ATP Fills'!G2821="LME",'ATP Fills'!I2821,""))</f>
        <v/>
      </c>
      <c r="M2821" t="str">
        <f t="shared" si="44"/>
        <v/>
      </c>
    </row>
    <row r="2822" spans="1:13">
      <c r="A2822" t="str">
        <f>IF('ATP Fills'!A2822="","",IF('ATP Fills'!Q2822="PHILLIPSG",'ATP Fills'!F2822,""))</f>
        <v/>
      </c>
      <c r="B2822" t="str">
        <f>IF(A2822="","",'ATP Fills'!L2822)</f>
        <v/>
      </c>
      <c r="C2822" t="str">
        <f>IF(A2822="","",'ATP Fills'!M2822)</f>
        <v/>
      </c>
      <c r="D2822" t="str">
        <f>IF(A2822="","",'ATP Fills'!B2822)</f>
        <v/>
      </c>
      <c r="E2822" s="3" t="str">
        <f>IF(A2822="","",IF(DATE(LEFT(D2822,4),MID(D2822,5,2),RIGHT(D2822,2))=Helper1!$P$1,Helper1!$P$1,""))</f>
        <v/>
      </c>
      <c r="F2822" s="3" t="str">
        <f>IF(A2822="","",'ATP Fills'!G2822)</f>
        <v/>
      </c>
      <c r="G2822" t="str">
        <f>IF(A2822="","",'ATP Fills'!H2822)</f>
        <v/>
      </c>
      <c r="H2822" t="str">
        <f>IF(A2822="","",VLOOKUP(G2822,表3_3[],2,0))</f>
        <v/>
      </c>
      <c r="I2822" t="str">
        <f>IF(A2822="","",VLOOKUP(G2822,表3_3[],3,0))</f>
        <v/>
      </c>
      <c r="J2822" t="str">
        <f>IF(A2822="","",IF('ATP Fills'!I2822="3M","",VLOOKUP(RIGHT('ATP Fills'!I2822,2),Helper1!$O$36:$P$48,2,0)))</f>
        <v/>
      </c>
      <c r="K2822" t="str">
        <f>IF(J2822="","",LEFT('ATP Fills'!I2822,4))</f>
        <v/>
      </c>
      <c r="L2822" t="str">
        <f>IF(A2822="","",IF('ATP Fills'!G2822="LME",'ATP Fills'!I2822,""))</f>
        <v/>
      </c>
      <c r="M2822" t="str">
        <f t="shared" si="44"/>
        <v/>
      </c>
    </row>
    <row r="2823" spans="1:13">
      <c r="A2823" t="str">
        <f>IF('ATP Fills'!A2823="","",IF('ATP Fills'!Q2823="PHILLIPSG",'ATP Fills'!F2823,""))</f>
        <v/>
      </c>
      <c r="B2823" t="str">
        <f>IF(A2823="","",'ATP Fills'!L2823)</f>
        <v/>
      </c>
      <c r="C2823" t="str">
        <f>IF(A2823="","",'ATP Fills'!M2823)</f>
        <v/>
      </c>
      <c r="D2823" t="str">
        <f>IF(A2823="","",'ATP Fills'!B2823)</f>
        <v/>
      </c>
      <c r="E2823" s="3" t="str">
        <f>IF(A2823="","",IF(DATE(LEFT(D2823,4),MID(D2823,5,2),RIGHT(D2823,2))=Helper1!$P$1,Helper1!$P$1,""))</f>
        <v/>
      </c>
      <c r="F2823" s="3" t="str">
        <f>IF(A2823="","",'ATP Fills'!G2823)</f>
        <v/>
      </c>
      <c r="G2823" t="str">
        <f>IF(A2823="","",'ATP Fills'!H2823)</f>
        <v/>
      </c>
      <c r="H2823" t="str">
        <f>IF(A2823="","",VLOOKUP(G2823,表3_3[],2,0))</f>
        <v/>
      </c>
      <c r="I2823" t="str">
        <f>IF(A2823="","",VLOOKUP(G2823,表3_3[],3,0))</f>
        <v/>
      </c>
      <c r="J2823" t="str">
        <f>IF(A2823="","",IF('ATP Fills'!I2823="3M","",VLOOKUP(RIGHT('ATP Fills'!I2823,2),Helper1!$O$36:$P$48,2,0)))</f>
        <v/>
      </c>
      <c r="K2823" t="str">
        <f>IF(J2823="","",LEFT('ATP Fills'!I2823,4))</f>
        <v/>
      </c>
      <c r="L2823" t="str">
        <f>IF(A2823="","",IF('ATP Fills'!G2823="LME",'ATP Fills'!I2823,""))</f>
        <v/>
      </c>
      <c r="M2823" t="str">
        <f t="shared" si="44"/>
        <v/>
      </c>
    </row>
    <row r="2824" spans="1:13">
      <c r="A2824" t="str">
        <f>IF('ATP Fills'!A2824="","",IF('ATP Fills'!Q2824="PHILLIPSG",'ATP Fills'!F2824,""))</f>
        <v/>
      </c>
      <c r="B2824" t="str">
        <f>IF(A2824="","",'ATP Fills'!L2824)</f>
        <v/>
      </c>
      <c r="C2824" t="str">
        <f>IF(A2824="","",'ATP Fills'!M2824)</f>
        <v/>
      </c>
      <c r="D2824" t="str">
        <f>IF(A2824="","",'ATP Fills'!B2824)</f>
        <v/>
      </c>
      <c r="E2824" s="3" t="str">
        <f>IF(A2824="","",IF(DATE(LEFT(D2824,4),MID(D2824,5,2),RIGHT(D2824,2))=Helper1!$P$1,Helper1!$P$1,""))</f>
        <v/>
      </c>
      <c r="F2824" s="3" t="str">
        <f>IF(A2824="","",'ATP Fills'!G2824)</f>
        <v/>
      </c>
      <c r="G2824" t="str">
        <f>IF(A2824="","",'ATP Fills'!H2824)</f>
        <v/>
      </c>
      <c r="H2824" t="str">
        <f>IF(A2824="","",VLOOKUP(G2824,表3_3[],2,0))</f>
        <v/>
      </c>
      <c r="I2824" t="str">
        <f>IF(A2824="","",VLOOKUP(G2824,表3_3[],3,0))</f>
        <v/>
      </c>
      <c r="J2824" t="str">
        <f>IF(A2824="","",IF('ATP Fills'!I2824="3M","",VLOOKUP(RIGHT('ATP Fills'!I2824,2),Helper1!$O$36:$P$48,2,0)))</f>
        <v/>
      </c>
      <c r="K2824" t="str">
        <f>IF(J2824="","",LEFT('ATP Fills'!I2824,4))</f>
        <v/>
      </c>
      <c r="L2824" t="str">
        <f>IF(A2824="","",IF('ATP Fills'!G2824="LME",'ATP Fills'!I2824,""))</f>
        <v/>
      </c>
      <c r="M2824" t="str">
        <f t="shared" si="44"/>
        <v/>
      </c>
    </row>
    <row r="2825" spans="1:13">
      <c r="A2825" t="str">
        <f>IF('ATP Fills'!A2825="","",IF('ATP Fills'!Q2825="PHILLIPSG",'ATP Fills'!F2825,""))</f>
        <v/>
      </c>
      <c r="B2825" t="str">
        <f>IF(A2825="","",'ATP Fills'!L2825)</f>
        <v/>
      </c>
      <c r="C2825" t="str">
        <f>IF(A2825="","",'ATP Fills'!M2825)</f>
        <v/>
      </c>
      <c r="D2825" t="str">
        <f>IF(A2825="","",'ATP Fills'!B2825)</f>
        <v/>
      </c>
      <c r="E2825" s="3" t="str">
        <f>IF(A2825="","",IF(DATE(LEFT(D2825,4),MID(D2825,5,2),RIGHT(D2825,2))=Helper1!$P$1,Helper1!$P$1,""))</f>
        <v/>
      </c>
      <c r="F2825" s="3" t="str">
        <f>IF(A2825="","",'ATP Fills'!G2825)</f>
        <v/>
      </c>
      <c r="G2825" t="str">
        <f>IF(A2825="","",'ATP Fills'!H2825)</f>
        <v/>
      </c>
      <c r="H2825" t="str">
        <f>IF(A2825="","",VLOOKUP(G2825,表3_3[],2,0))</f>
        <v/>
      </c>
      <c r="I2825" t="str">
        <f>IF(A2825="","",VLOOKUP(G2825,表3_3[],3,0))</f>
        <v/>
      </c>
      <c r="J2825" t="str">
        <f>IF(A2825="","",IF('ATP Fills'!I2825="3M","",VLOOKUP(RIGHT('ATP Fills'!I2825,2),Helper1!$O$36:$P$48,2,0)))</f>
        <v/>
      </c>
      <c r="K2825" t="str">
        <f>IF(J2825="","",LEFT('ATP Fills'!I2825,4))</f>
        <v/>
      </c>
      <c r="L2825" t="str">
        <f>IF(A2825="","",IF('ATP Fills'!G2825="LME",'ATP Fills'!I2825,""))</f>
        <v/>
      </c>
      <c r="M2825" t="str">
        <f t="shared" si="44"/>
        <v/>
      </c>
    </row>
    <row r="2826" spans="1:13">
      <c r="A2826" t="str">
        <f>IF('ATP Fills'!A2826="","",IF('ATP Fills'!Q2826="PHILLIPSG",'ATP Fills'!F2826,""))</f>
        <v/>
      </c>
      <c r="B2826" t="str">
        <f>IF(A2826="","",'ATP Fills'!L2826)</f>
        <v/>
      </c>
      <c r="C2826" t="str">
        <f>IF(A2826="","",'ATP Fills'!M2826)</f>
        <v/>
      </c>
      <c r="D2826" t="str">
        <f>IF(A2826="","",'ATP Fills'!B2826)</f>
        <v/>
      </c>
      <c r="E2826" s="3" t="str">
        <f>IF(A2826="","",IF(DATE(LEFT(D2826,4),MID(D2826,5,2),RIGHT(D2826,2))=Helper1!$P$1,Helper1!$P$1,""))</f>
        <v/>
      </c>
      <c r="F2826" s="3" t="str">
        <f>IF(A2826="","",'ATP Fills'!G2826)</f>
        <v/>
      </c>
      <c r="G2826" t="str">
        <f>IF(A2826="","",'ATP Fills'!H2826)</f>
        <v/>
      </c>
      <c r="H2826" t="str">
        <f>IF(A2826="","",VLOOKUP(G2826,表3_3[],2,0))</f>
        <v/>
      </c>
      <c r="I2826" t="str">
        <f>IF(A2826="","",VLOOKUP(G2826,表3_3[],3,0))</f>
        <v/>
      </c>
      <c r="J2826" t="str">
        <f>IF(A2826="","",IF('ATP Fills'!I2826="3M","",VLOOKUP(RIGHT('ATP Fills'!I2826,2),Helper1!$O$36:$P$48,2,0)))</f>
        <v/>
      </c>
      <c r="K2826" t="str">
        <f>IF(J2826="","",LEFT('ATP Fills'!I2826,4))</f>
        <v/>
      </c>
      <c r="L2826" t="str">
        <f>IF(A2826="","",IF('ATP Fills'!G2826="LME",'ATP Fills'!I2826,""))</f>
        <v/>
      </c>
      <c r="M2826" t="str">
        <f t="shared" si="44"/>
        <v/>
      </c>
    </row>
    <row r="2827" spans="1:13">
      <c r="A2827" t="str">
        <f>IF('ATP Fills'!A2827="","",IF('ATP Fills'!Q2827="PHILLIPSG",'ATP Fills'!F2827,""))</f>
        <v/>
      </c>
      <c r="B2827" t="str">
        <f>IF(A2827="","",'ATP Fills'!L2827)</f>
        <v/>
      </c>
      <c r="C2827" t="str">
        <f>IF(A2827="","",'ATP Fills'!M2827)</f>
        <v/>
      </c>
      <c r="D2827" t="str">
        <f>IF(A2827="","",'ATP Fills'!B2827)</f>
        <v/>
      </c>
      <c r="E2827" s="3" t="str">
        <f>IF(A2827="","",IF(DATE(LEFT(D2827,4),MID(D2827,5,2),RIGHT(D2827,2))=Helper1!$P$1,Helper1!$P$1,""))</f>
        <v/>
      </c>
      <c r="F2827" s="3" t="str">
        <f>IF(A2827="","",'ATP Fills'!G2827)</f>
        <v/>
      </c>
      <c r="G2827" t="str">
        <f>IF(A2827="","",'ATP Fills'!H2827)</f>
        <v/>
      </c>
      <c r="H2827" t="str">
        <f>IF(A2827="","",VLOOKUP(G2827,表3_3[],2,0))</f>
        <v/>
      </c>
      <c r="I2827" t="str">
        <f>IF(A2827="","",VLOOKUP(G2827,表3_3[],3,0))</f>
        <v/>
      </c>
      <c r="J2827" t="str">
        <f>IF(A2827="","",IF('ATP Fills'!I2827="3M","",VLOOKUP(RIGHT('ATP Fills'!I2827,2),Helper1!$O$36:$P$48,2,0)))</f>
        <v/>
      </c>
      <c r="K2827" t="str">
        <f>IF(J2827="","",LEFT('ATP Fills'!I2827,4))</f>
        <v/>
      </c>
      <c r="L2827" t="str">
        <f>IF(A2827="","",IF('ATP Fills'!G2827="LME",'ATP Fills'!I2827,""))</f>
        <v/>
      </c>
      <c r="M2827" t="str">
        <f t="shared" si="44"/>
        <v/>
      </c>
    </row>
    <row r="2828" spans="1:13">
      <c r="A2828" t="str">
        <f>IF('ATP Fills'!A2828="","",IF('ATP Fills'!Q2828="PHILLIPSG",'ATP Fills'!F2828,""))</f>
        <v/>
      </c>
      <c r="B2828" t="str">
        <f>IF(A2828="","",'ATP Fills'!L2828)</f>
        <v/>
      </c>
      <c r="C2828" t="str">
        <f>IF(A2828="","",'ATP Fills'!M2828)</f>
        <v/>
      </c>
      <c r="D2828" t="str">
        <f>IF(A2828="","",'ATP Fills'!B2828)</f>
        <v/>
      </c>
      <c r="E2828" s="3" t="str">
        <f>IF(A2828="","",IF(DATE(LEFT(D2828,4),MID(D2828,5,2),RIGHT(D2828,2))=Helper1!$P$1,Helper1!$P$1,""))</f>
        <v/>
      </c>
      <c r="F2828" s="3" t="str">
        <f>IF(A2828="","",'ATP Fills'!G2828)</f>
        <v/>
      </c>
      <c r="G2828" t="str">
        <f>IF(A2828="","",'ATP Fills'!H2828)</f>
        <v/>
      </c>
      <c r="H2828" t="str">
        <f>IF(A2828="","",VLOOKUP(G2828,表3_3[],2,0))</f>
        <v/>
      </c>
      <c r="I2828" t="str">
        <f>IF(A2828="","",VLOOKUP(G2828,表3_3[],3,0))</f>
        <v/>
      </c>
      <c r="J2828" t="str">
        <f>IF(A2828="","",IF('ATP Fills'!I2828="3M","",VLOOKUP(RIGHT('ATP Fills'!I2828,2),Helper1!$O$36:$P$48,2,0)))</f>
        <v/>
      </c>
      <c r="K2828" t="str">
        <f>IF(J2828="","",LEFT('ATP Fills'!I2828,4))</f>
        <v/>
      </c>
      <c r="L2828" t="str">
        <f>IF(A2828="","",IF('ATP Fills'!G2828="LME",'ATP Fills'!I2828,""))</f>
        <v/>
      </c>
      <c r="M2828" t="str">
        <f t="shared" si="44"/>
        <v/>
      </c>
    </row>
    <row r="2829" spans="1:13">
      <c r="A2829" t="str">
        <f>IF('ATP Fills'!A2829="","",IF('ATP Fills'!Q2829="PHILLIPSG",'ATP Fills'!F2829,""))</f>
        <v/>
      </c>
      <c r="B2829" t="str">
        <f>IF(A2829="","",'ATP Fills'!L2829)</f>
        <v/>
      </c>
      <c r="C2829" t="str">
        <f>IF(A2829="","",'ATP Fills'!M2829)</f>
        <v/>
      </c>
      <c r="D2829" t="str">
        <f>IF(A2829="","",'ATP Fills'!B2829)</f>
        <v/>
      </c>
      <c r="E2829" s="3" t="str">
        <f>IF(A2829="","",IF(DATE(LEFT(D2829,4),MID(D2829,5,2),RIGHT(D2829,2))=Helper1!$P$1,Helper1!$P$1,""))</f>
        <v/>
      </c>
      <c r="F2829" s="3" t="str">
        <f>IF(A2829="","",'ATP Fills'!G2829)</f>
        <v/>
      </c>
      <c r="G2829" t="str">
        <f>IF(A2829="","",'ATP Fills'!H2829)</f>
        <v/>
      </c>
      <c r="H2829" t="str">
        <f>IF(A2829="","",VLOOKUP(G2829,表3_3[],2,0))</f>
        <v/>
      </c>
      <c r="I2829" t="str">
        <f>IF(A2829="","",VLOOKUP(G2829,表3_3[],3,0))</f>
        <v/>
      </c>
      <c r="J2829" t="str">
        <f>IF(A2829="","",IF('ATP Fills'!I2829="3M","",VLOOKUP(RIGHT('ATP Fills'!I2829,2),Helper1!$O$36:$P$48,2,0)))</f>
        <v/>
      </c>
      <c r="K2829" t="str">
        <f>IF(J2829="","",LEFT('ATP Fills'!I2829,4))</f>
        <v/>
      </c>
      <c r="L2829" t="str">
        <f>IF(A2829="","",IF('ATP Fills'!G2829="LME",'ATP Fills'!I2829,""))</f>
        <v/>
      </c>
      <c r="M2829" t="str">
        <f t="shared" si="44"/>
        <v/>
      </c>
    </row>
    <row r="2830" spans="1:13">
      <c r="A2830" t="str">
        <f>IF('ATP Fills'!A2830="","",IF('ATP Fills'!Q2830="PHILLIPSG",'ATP Fills'!F2830,""))</f>
        <v/>
      </c>
      <c r="B2830" t="str">
        <f>IF(A2830="","",'ATP Fills'!L2830)</f>
        <v/>
      </c>
      <c r="C2830" t="str">
        <f>IF(A2830="","",'ATP Fills'!M2830)</f>
        <v/>
      </c>
      <c r="D2830" t="str">
        <f>IF(A2830="","",'ATP Fills'!B2830)</f>
        <v/>
      </c>
      <c r="E2830" s="3" t="str">
        <f>IF(A2830="","",IF(DATE(LEFT(D2830,4),MID(D2830,5,2),RIGHT(D2830,2))=Helper1!$P$1,Helper1!$P$1,""))</f>
        <v/>
      </c>
      <c r="F2830" s="3" t="str">
        <f>IF(A2830="","",'ATP Fills'!G2830)</f>
        <v/>
      </c>
      <c r="G2830" t="str">
        <f>IF(A2830="","",'ATP Fills'!H2830)</f>
        <v/>
      </c>
      <c r="H2830" t="str">
        <f>IF(A2830="","",VLOOKUP(G2830,表3_3[],2,0))</f>
        <v/>
      </c>
      <c r="I2830" t="str">
        <f>IF(A2830="","",VLOOKUP(G2830,表3_3[],3,0))</f>
        <v/>
      </c>
      <c r="J2830" t="str">
        <f>IF(A2830="","",IF('ATP Fills'!I2830="3M","",VLOOKUP(RIGHT('ATP Fills'!I2830,2),Helper1!$O$36:$P$48,2,0)))</f>
        <v/>
      </c>
      <c r="K2830" t="str">
        <f>IF(J2830="","",LEFT('ATP Fills'!I2830,4))</f>
        <v/>
      </c>
      <c r="L2830" t="str">
        <f>IF(A2830="","",IF('ATP Fills'!G2830="LME",'ATP Fills'!I2830,""))</f>
        <v/>
      </c>
      <c r="M2830" t="str">
        <f t="shared" si="44"/>
        <v/>
      </c>
    </row>
    <row r="2831" spans="1:13">
      <c r="A2831" t="str">
        <f>IF('ATP Fills'!A2831="","",IF('ATP Fills'!Q2831="PHILLIPSG",'ATP Fills'!F2831,""))</f>
        <v/>
      </c>
      <c r="B2831" t="str">
        <f>IF(A2831="","",'ATP Fills'!L2831)</f>
        <v/>
      </c>
      <c r="C2831" t="str">
        <f>IF(A2831="","",'ATP Fills'!M2831)</f>
        <v/>
      </c>
      <c r="D2831" t="str">
        <f>IF(A2831="","",'ATP Fills'!B2831)</f>
        <v/>
      </c>
      <c r="E2831" s="3" t="str">
        <f>IF(A2831="","",IF(DATE(LEFT(D2831,4),MID(D2831,5,2),RIGHT(D2831,2))=Helper1!$P$1,Helper1!$P$1,""))</f>
        <v/>
      </c>
      <c r="F2831" s="3" t="str">
        <f>IF(A2831="","",'ATP Fills'!G2831)</f>
        <v/>
      </c>
      <c r="G2831" t="str">
        <f>IF(A2831="","",'ATP Fills'!H2831)</f>
        <v/>
      </c>
      <c r="H2831" t="str">
        <f>IF(A2831="","",VLOOKUP(G2831,表3_3[],2,0))</f>
        <v/>
      </c>
      <c r="I2831" t="str">
        <f>IF(A2831="","",VLOOKUP(G2831,表3_3[],3,0))</f>
        <v/>
      </c>
      <c r="J2831" t="str">
        <f>IF(A2831="","",IF('ATP Fills'!I2831="3M","",VLOOKUP(RIGHT('ATP Fills'!I2831,2),Helper1!$O$36:$P$48,2,0)))</f>
        <v/>
      </c>
      <c r="K2831" t="str">
        <f>IF(J2831="","",LEFT('ATP Fills'!I2831,4))</f>
        <v/>
      </c>
      <c r="L2831" t="str">
        <f>IF(A2831="","",IF('ATP Fills'!G2831="LME",'ATP Fills'!I2831,""))</f>
        <v/>
      </c>
      <c r="M2831" t="str">
        <f t="shared" si="44"/>
        <v/>
      </c>
    </row>
    <row r="2832" spans="1:13">
      <c r="A2832" t="str">
        <f>IF('ATP Fills'!A2832="","",IF('ATP Fills'!Q2832="PHILLIPSG",'ATP Fills'!F2832,""))</f>
        <v/>
      </c>
      <c r="B2832" t="str">
        <f>IF(A2832="","",'ATP Fills'!L2832)</f>
        <v/>
      </c>
      <c r="C2832" t="str">
        <f>IF(A2832="","",'ATP Fills'!M2832)</f>
        <v/>
      </c>
      <c r="D2832" t="str">
        <f>IF(A2832="","",'ATP Fills'!B2832)</f>
        <v/>
      </c>
      <c r="E2832" s="3" t="str">
        <f>IF(A2832="","",IF(DATE(LEFT(D2832,4),MID(D2832,5,2),RIGHT(D2832,2))=Helper1!$P$1,Helper1!$P$1,""))</f>
        <v/>
      </c>
      <c r="F2832" s="3" t="str">
        <f>IF(A2832="","",'ATP Fills'!G2832)</f>
        <v/>
      </c>
      <c r="G2832" t="str">
        <f>IF(A2832="","",'ATP Fills'!H2832)</f>
        <v/>
      </c>
      <c r="H2832" t="str">
        <f>IF(A2832="","",VLOOKUP(G2832,表3_3[],2,0))</f>
        <v/>
      </c>
      <c r="I2832" t="str">
        <f>IF(A2832="","",VLOOKUP(G2832,表3_3[],3,0))</f>
        <v/>
      </c>
      <c r="J2832" t="str">
        <f>IF(A2832="","",IF('ATP Fills'!I2832="3M","",VLOOKUP(RIGHT('ATP Fills'!I2832,2),Helper1!$O$36:$P$48,2,0)))</f>
        <v/>
      </c>
      <c r="K2832" t="str">
        <f>IF(J2832="","",LEFT('ATP Fills'!I2832,4))</f>
        <v/>
      </c>
      <c r="L2832" t="str">
        <f>IF(A2832="","",IF('ATP Fills'!G2832="LME",'ATP Fills'!I2832,""))</f>
        <v/>
      </c>
      <c r="M2832" t="str">
        <f t="shared" si="44"/>
        <v/>
      </c>
    </row>
    <row r="2833" spans="1:13">
      <c r="A2833" t="str">
        <f>IF('ATP Fills'!A2833="","",IF('ATP Fills'!Q2833="PHILLIPSG",'ATP Fills'!F2833,""))</f>
        <v/>
      </c>
      <c r="B2833" t="str">
        <f>IF(A2833="","",'ATP Fills'!L2833)</f>
        <v/>
      </c>
      <c r="C2833" t="str">
        <f>IF(A2833="","",'ATP Fills'!M2833)</f>
        <v/>
      </c>
      <c r="D2833" t="str">
        <f>IF(A2833="","",'ATP Fills'!B2833)</f>
        <v/>
      </c>
      <c r="E2833" s="3" t="str">
        <f>IF(A2833="","",IF(DATE(LEFT(D2833,4),MID(D2833,5,2),RIGHT(D2833,2))=Helper1!$P$1,Helper1!$P$1,""))</f>
        <v/>
      </c>
      <c r="F2833" s="3" t="str">
        <f>IF(A2833="","",'ATP Fills'!G2833)</f>
        <v/>
      </c>
      <c r="G2833" t="str">
        <f>IF(A2833="","",'ATP Fills'!H2833)</f>
        <v/>
      </c>
      <c r="H2833" t="str">
        <f>IF(A2833="","",VLOOKUP(G2833,表3_3[],2,0))</f>
        <v/>
      </c>
      <c r="I2833" t="str">
        <f>IF(A2833="","",VLOOKUP(G2833,表3_3[],3,0))</f>
        <v/>
      </c>
      <c r="J2833" t="str">
        <f>IF(A2833="","",IF('ATP Fills'!I2833="3M","",VLOOKUP(RIGHT('ATP Fills'!I2833,2),Helper1!$O$36:$P$48,2,0)))</f>
        <v/>
      </c>
      <c r="K2833" t="str">
        <f>IF(J2833="","",LEFT('ATP Fills'!I2833,4))</f>
        <v/>
      </c>
      <c r="L2833" t="str">
        <f>IF(A2833="","",IF('ATP Fills'!G2833="LME",'ATP Fills'!I2833,""))</f>
        <v/>
      </c>
      <c r="M2833" t="str">
        <f t="shared" si="44"/>
        <v/>
      </c>
    </row>
    <row r="2834" spans="1:13">
      <c r="A2834" t="str">
        <f>IF('ATP Fills'!A2834="","",IF('ATP Fills'!Q2834="PHILLIPSG",'ATP Fills'!F2834,""))</f>
        <v/>
      </c>
      <c r="B2834" t="str">
        <f>IF(A2834="","",'ATP Fills'!L2834)</f>
        <v/>
      </c>
      <c r="C2834" t="str">
        <f>IF(A2834="","",'ATP Fills'!M2834)</f>
        <v/>
      </c>
      <c r="D2834" t="str">
        <f>IF(A2834="","",'ATP Fills'!B2834)</f>
        <v/>
      </c>
      <c r="E2834" s="3" t="str">
        <f>IF(A2834="","",IF(DATE(LEFT(D2834,4),MID(D2834,5,2),RIGHT(D2834,2))=Helper1!$P$1,Helper1!$P$1,""))</f>
        <v/>
      </c>
      <c r="F2834" s="3" t="str">
        <f>IF(A2834="","",'ATP Fills'!G2834)</f>
        <v/>
      </c>
      <c r="G2834" t="str">
        <f>IF(A2834="","",'ATP Fills'!H2834)</f>
        <v/>
      </c>
      <c r="H2834" t="str">
        <f>IF(A2834="","",VLOOKUP(G2834,表3_3[],2,0))</f>
        <v/>
      </c>
      <c r="I2834" t="str">
        <f>IF(A2834="","",VLOOKUP(G2834,表3_3[],3,0))</f>
        <v/>
      </c>
      <c r="J2834" t="str">
        <f>IF(A2834="","",IF('ATP Fills'!I2834="3M","",VLOOKUP(RIGHT('ATP Fills'!I2834,2),Helper1!$O$36:$P$48,2,0)))</f>
        <v/>
      </c>
      <c r="K2834" t="str">
        <f>IF(J2834="","",LEFT('ATP Fills'!I2834,4))</f>
        <v/>
      </c>
      <c r="L2834" t="str">
        <f>IF(A2834="","",IF('ATP Fills'!G2834="LME",'ATP Fills'!I2834,""))</f>
        <v/>
      </c>
      <c r="M2834" t="str">
        <f t="shared" si="44"/>
        <v/>
      </c>
    </row>
    <row r="2835" spans="1:13">
      <c r="A2835" t="str">
        <f>IF('ATP Fills'!A2835="","",IF('ATP Fills'!Q2835="PHILLIPSG",'ATP Fills'!F2835,""))</f>
        <v/>
      </c>
      <c r="B2835" t="str">
        <f>IF(A2835="","",'ATP Fills'!L2835)</f>
        <v/>
      </c>
      <c r="C2835" t="str">
        <f>IF(A2835="","",'ATP Fills'!M2835)</f>
        <v/>
      </c>
      <c r="D2835" t="str">
        <f>IF(A2835="","",'ATP Fills'!B2835)</f>
        <v/>
      </c>
      <c r="E2835" s="3" t="str">
        <f>IF(A2835="","",IF(DATE(LEFT(D2835,4),MID(D2835,5,2),RIGHT(D2835,2))=Helper1!$P$1,Helper1!$P$1,""))</f>
        <v/>
      </c>
      <c r="F2835" s="3" t="str">
        <f>IF(A2835="","",'ATP Fills'!G2835)</f>
        <v/>
      </c>
      <c r="G2835" t="str">
        <f>IF(A2835="","",'ATP Fills'!H2835)</f>
        <v/>
      </c>
      <c r="H2835" t="str">
        <f>IF(A2835="","",VLOOKUP(G2835,表3_3[],2,0))</f>
        <v/>
      </c>
      <c r="I2835" t="str">
        <f>IF(A2835="","",VLOOKUP(G2835,表3_3[],3,0))</f>
        <v/>
      </c>
      <c r="J2835" t="str">
        <f>IF(A2835="","",IF('ATP Fills'!I2835="3M","",VLOOKUP(RIGHT('ATP Fills'!I2835,2),Helper1!$O$36:$P$48,2,0)))</f>
        <v/>
      </c>
      <c r="K2835" t="str">
        <f>IF(J2835="","",LEFT('ATP Fills'!I2835,4))</f>
        <v/>
      </c>
      <c r="L2835" t="str">
        <f>IF(A2835="","",IF('ATP Fills'!G2835="LME",'ATP Fills'!I2835,""))</f>
        <v/>
      </c>
      <c r="M2835" t="str">
        <f t="shared" si="44"/>
        <v/>
      </c>
    </row>
    <row r="2836" spans="1:13">
      <c r="A2836" t="str">
        <f>IF('ATP Fills'!A2836="","",IF('ATP Fills'!Q2836="PHILLIPSG",'ATP Fills'!F2836,""))</f>
        <v/>
      </c>
      <c r="B2836" t="str">
        <f>IF(A2836="","",'ATP Fills'!L2836)</f>
        <v/>
      </c>
      <c r="C2836" t="str">
        <f>IF(A2836="","",'ATP Fills'!M2836)</f>
        <v/>
      </c>
      <c r="D2836" t="str">
        <f>IF(A2836="","",'ATP Fills'!B2836)</f>
        <v/>
      </c>
      <c r="E2836" s="3" t="str">
        <f>IF(A2836="","",IF(DATE(LEFT(D2836,4),MID(D2836,5,2),RIGHT(D2836,2))=Helper1!$P$1,Helper1!$P$1,""))</f>
        <v/>
      </c>
      <c r="F2836" s="3" t="str">
        <f>IF(A2836="","",'ATP Fills'!G2836)</f>
        <v/>
      </c>
      <c r="G2836" t="str">
        <f>IF(A2836="","",'ATP Fills'!H2836)</f>
        <v/>
      </c>
      <c r="H2836" t="str">
        <f>IF(A2836="","",VLOOKUP(G2836,表3_3[],2,0))</f>
        <v/>
      </c>
      <c r="I2836" t="str">
        <f>IF(A2836="","",VLOOKUP(G2836,表3_3[],3,0))</f>
        <v/>
      </c>
      <c r="J2836" t="str">
        <f>IF(A2836="","",IF('ATP Fills'!I2836="3M","",VLOOKUP(RIGHT('ATP Fills'!I2836,2),Helper1!$O$36:$P$48,2,0)))</f>
        <v/>
      </c>
      <c r="K2836" t="str">
        <f>IF(J2836="","",LEFT('ATP Fills'!I2836,4))</f>
        <v/>
      </c>
      <c r="L2836" t="str">
        <f>IF(A2836="","",IF('ATP Fills'!G2836="LME",'ATP Fills'!I2836,""))</f>
        <v/>
      </c>
      <c r="M2836" t="str">
        <f t="shared" si="44"/>
        <v/>
      </c>
    </row>
    <row r="2837" spans="1:13">
      <c r="A2837" t="str">
        <f>IF('ATP Fills'!A2837="","",IF('ATP Fills'!Q2837="PHILLIPSG",'ATP Fills'!F2837,""))</f>
        <v/>
      </c>
      <c r="B2837" t="str">
        <f>IF(A2837="","",'ATP Fills'!L2837)</f>
        <v/>
      </c>
      <c r="C2837" t="str">
        <f>IF(A2837="","",'ATP Fills'!M2837)</f>
        <v/>
      </c>
      <c r="D2837" t="str">
        <f>IF(A2837="","",'ATP Fills'!B2837)</f>
        <v/>
      </c>
      <c r="E2837" s="3" t="str">
        <f>IF(A2837="","",IF(DATE(LEFT(D2837,4),MID(D2837,5,2),RIGHT(D2837,2))=Helper1!$P$1,Helper1!$P$1,""))</f>
        <v/>
      </c>
      <c r="F2837" s="3" t="str">
        <f>IF(A2837="","",'ATP Fills'!G2837)</f>
        <v/>
      </c>
      <c r="G2837" t="str">
        <f>IF(A2837="","",'ATP Fills'!H2837)</f>
        <v/>
      </c>
      <c r="H2837" t="str">
        <f>IF(A2837="","",VLOOKUP(G2837,表3_3[],2,0))</f>
        <v/>
      </c>
      <c r="I2837" t="str">
        <f>IF(A2837="","",VLOOKUP(G2837,表3_3[],3,0))</f>
        <v/>
      </c>
      <c r="J2837" t="str">
        <f>IF(A2837="","",IF('ATP Fills'!I2837="3M","",VLOOKUP(RIGHT('ATP Fills'!I2837,2),Helper1!$O$36:$P$48,2,0)))</f>
        <v/>
      </c>
      <c r="K2837" t="str">
        <f>IF(J2837="","",LEFT('ATP Fills'!I2837,4))</f>
        <v/>
      </c>
      <c r="L2837" t="str">
        <f>IF(A2837="","",IF('ATP Fills'!G2837="LME",'ATP Fills'!I2837,""))</f>
        <v/>
      </c>
      <c r="M2837" t="str">
        <f t="shared" si="44"/>
        <v/>
      </c>
    </row>
    <row r="2838" spans="1:13">
      <c r="A2838" t="str">
        <f>IF('ATP Fills'!A2838="","",IF('ATP Fills'!Q2838="PHILLIPSG",'ATP Fills'!F2838,""))</f>
        <v/>
      </c>
      <c r="B2838" t="str">
        <f>IF(A2838="","",'ATP Fills'!L2838)</f>
        <v/>
      </c>
      <c r="C2838" t="str">
        <f>IF(A2838="","",'ATP Fills'!M2838)</f>
        <v/>
      </c>
      <c r="D2838" t="str">
        <f>IF(A2838="","",'ATP Fills'!B2838)</f>
        <v/>
      </c>
      <c r="E2838" s="3" t="str">
        <f>IF(A2838="","",IF(DATE(LEFT(D2838,4),MID(D2838,5,2),RIGHT(D2838,2))=Helper1!$P$1,Helper1!$P$1,""))</f>
        <v/>
      </c>
      <c r="F2838" s="3" t="str">
        <f>IF(A2838="","",'ATP Fills'!G2838)</f>
        <v/>
      </c>
      <c r="G2838" t="str">
        <f>IF(A2838="","",'ATP Fills'!H2838)</f>
        <v/>
      </c>
      <c r="H2838" t="str">
        <f>IF(A2838="","",VLOOKUP(G2838,表3_3[],2,0))</f>
        <v/>
      </c>
      <c r="I2838" t="str">
        <f>IF(A2838="","",VLOOKUP(G2838,表3_3[],3,0))</f>
        <v/>
      </c>
      <c r="J2838" t="str">
        <f>IF(A2838="","",IF('ATP Fills'!I2838="3M","",VLOOKUP(RIGHT('ATP Fills'!I2838,2),Helper1!$O$36:$P$48,2,0)))</f>
        <v/>
      </c>
      <c r="K2838" t="str">
        <f>IF(J2838="","",LEFT('ATP Fills'!I2838,4))</f>
        <v/>
      </c>
      <c r="L2838" t="str">
        <f>IF(A2838="","",IF('ATP Fills'!G2838="LME",'ATP Fills'!I2838,""))</f>
        <v/>
      </c>
      <c r="M2838" t="str">
        <f t="shared" si="44"/>
        <v/>
      </c>
    </row>
    <row r="2839" spans="1:13">
      <c r="A2839" t="str">
        <f>IF('ATP Fills'!A2839="","",IF('ATP Fills'!Q2839="PHILLIPSG",'ATP Fills'!F2839,""))</f>
        <v/>
      </c>
      <c r="B2839" t="str">
        <f>IF(A2839="","",'ATP Fills'!L2839)</f>
        <v/>
      </c>
      <c r="C2839" t="str">
        <f>IF(A2839="","",'ATP Fills'!M2839)</f>
        <v/>
      </c>
      <c r="D2839" t="str">
        <f>IF(A2839="","",'ATP Fills'!B2839)</f>
        <v/>
      </c>
      <c r="E2839" s="3" t="str">
        <f>IF(A2839="","",IF(DATE(LEFT(D2839,4),MID(D2839,5,2),RIGHT(D2839,2))=Helper1!$P$1,Helper1!$P$1,""))</f>
        <v/>
      </c>
      <c r="F2839" s="3" t="str">
        <f>IF(A2839="","",'ATP Fills'!G2839)</f>
        <v/>
      </c>
      <c r="G2839" t="str">
        <f>IF(A2839="","",'ATP Fills'!H2839)</f>
        <v/>
      </c>
      <c r="H2839" t="str">
        <f>IF(A2839="","",VLOOKUP(G2839,表3_3[],2,0))</f>
        <v/>
      </c>
      <c r="I2839" t="str">
        <f>IF(A2839="","",VLOOKUP(G2839,表3_3[],3,0))</f>
        <v/>
      </c>
      <c r="J2839" t="str">
        <f>IF(A2839="","",IF('ATP Fills'!I2839="3M","",VLOOKUP(RIGHT('ATP Fills'!I2839,2),Helper1!$O$36:$P$48,2,0)))</f>
        <v/>
      </c>
      <c r="K2839" t="str">
        <f>IF(J2839="","",LEFT('ATP Fills'!I2839,4))</f>
        <v/>
      </c>
      <c r="L2839" t="str">
        <f>IF(A2839="","",IF('ATP Fills'!G2839="LME",'ATP Fills'!I2839,""))</f>
        <v/>
      </c>
      <c r="M2839" t="str">
        <f t="shared" si="44"/>
        <v/>
      </c>
    </row>
    <row r="2840" spans="1:13">
      <c r="A2840" t="str">
        <f>IF('ATP Fills'!A2840="","",IF('ATP Fills'!Q2840="PHILLIPSG",'ATP Fills'!F2840,""))</f>
        <v/>
      </c>
      <c r="B2840" t="str">
        <f>IF(A2840="","",'ATP Fills'!L2840)</f>
        <v/>
      </c>
      <c r="C2840" t="str">
        <f>IF(A2840="","",'ATP Fills'!M2840)</f>
        <v/>
      </c>
      <c r="D2840" t="str">
        <f>IF(A2840="","",'ATP Fills'!B2840)</f>
        <v/>
      </c>
      <c r="E2840" s="3" t="str">
        <f>IF(A2840="","",IF(DATE(LEFT(D2840,4),MID(D2840,5,2),RIGHT(D2840,2))=Helper1!$P$1,Helper1!$P$1,""))</f>
        <v/>
      </c>
      <c r="F2840" s="3" t="str">
        <f>IF(A2840="","",'ATP Fills'!G2840)</f>
        <v/>
      </c>
      <c r="G2840" t="str">
        <f>IF(A2840="","",'ATP Fills'!H2840)</f>
        <v/>
      </c>
      <c r="H2840" t="str">
        <f>IF(A2840="","",VLOOKUP(G2840,表3_3[],2,0))</f>
        <v/>
      </c>
      <c r="I2840" t="str">
        <f>IF(A2840="","",VLOOKUP(G2840,表3_3[],3,0))</f>
        <v/>
      </c>
      <c r="J2840" t="str">
        <f>IF(A2840="","",IF('ATP Fills'!I2840="3M","",VLOOKUP(RIGHT('ATP Fills'!I2840,2),Helper1!$O$36:$P$48,2,0)))</f>
        <v/>
      </c>
      <c r="K2840" t="str">
        <f>IF(J2840="","",LEFT('ATP Fills'!I2840,4))</f>
        <v/>
      </c>
      <c r="L2840" t="str">
        <f>IF(A2840="","",IF('ATP Fills'!G2840="LME",'ATP Fills'!I2840,""))</f>
        <v/>
      </c>
      <c r="M2840" t="str">
        <f t="shared" si="44"/>
        <v/>
      </c>
    </row>
    <row r="2841" spans="1:13">
      <c r="A2841" t="str">
        <f>IF('ATP Fills'!A2841="","",IF('ATP Fills'!Q2841="PHILLIPSG",'ATP Fills'!F2841,""))</f>
        <v/>
      </c>
      <c r="B2841" t="str">
        <f>IF(A2841="","",'ATP Fills'!L2841)</f>
        <v/>
      </c>
      <c r="C2841" t="str">
        <f>IF(A2841="","",'ATP Fills'!M2841)</f>
        <v/>
      </c>
      <c r="D2841" t="str">
        <f>IF(A2841="","",'ATP Fills'!B2841)</f>
        <v/>
      </c>
      <c r="E2841" s="3" t="str">
        <f>IF(A2841="","",IF(DATE(LEFT(D2841,4),MID(D2841,5,2),RIGHT(D2841,2))=Helper1!$P$1,Helper1!$P$1,""))</f>
        <v/>
      </c>
      <c r="F2841" s="3" t="str">
        <f>IF(A2841="","",'ATP Fills'!G2841)</f>
        <v/>
      </c>
      <c r="G2841" t="str">
        <f>IF(A2841="","",'ATP Fills'!H2841)</f>
        <v/>
      </c>
      <c r="H2841" t="str">
        <f>IF(A2841="","",VLOOKUP(G2841,表3_3[],2,0))</f>
        <v/>
      </c>
      <c r="I2841" t="str">
        <f>IF(A2841="","",VLOOKUP(G2841,表3_3[],3,0))</f>
        <v/>
      </c>
      <c r="J2841" t="str">
        <f>IF(A2841="","",IF('ATP Fills'!I2841="3M","",VLOOKUP(RIGHT('ATP Fills'!I2841,2),Helper1!$O$36:$P$48,2,0)))</f>
        <v/>
      </c>
      <c r="K2841" t="str">
        <f>IF(J2841="","",LEFT('ATP Fills'!I2841,4))</f>
        <v/>
      </c>
      <c r="L2841" t="str">
        <f>IF(A2841="","",IF('ATP Fills'!G2841="LME",'ATP Fills'!I2841,""))</f>
        <v/>
      </c>
      <c r="M2841" t="str">
        <f t="shared" si="44"/>
        <v/>
      </c>
    </row>
    <row r="2842" spans="1:13">
      <c r="A2842" t="str">
        <f>IF('ATP Fills'!A2842="","",IF('ATP Fills'!Q2842="PHILLIPSG",'ATP Fills'!F2842,""))</f>
        <v/>
      </c>
      <c r="B2842" t="str">
        <f>IF(A2842="","",'ATP Fills'!L2842)</f>
        <v/>
      </c>
      <c r="C2842" t="str">
        <f>IF(A2842="","",'ATP Fills'!M2842)</f>
        <v/>
      </c>
      <c r="D2842" t="str">
        <f>IF(A2842="","",'ATP Fills'!B2842)</f>
        <v/>
      </c>
      <c r="E2842" s="3" t="str">
        <f>IF(A2842="","",IF(DATE(LEFT(D2842,4),MID(D2842,5,2),RIGHT(D2842,2))=Helper1!$P$1,Helper1!$P$1,""))</f>
        <v/>
      </c>
      <c r="F2842" s="3" t="str">
        <f>IF(A2842="","",'ATP Fills'!G2842)</f>
        <v/>
      </c>
      <c r="G2842" t="str">
        <f>IF(A2842="","",'ATP Fills'!H2842)</f>
        <v/>
      </c>
      <c r="H2842" t="str">
        <f>IF(A2842="","",VLOOKUP(G2842,表3_3[],2,0))</f>
        <v/>
      </c>
      <c r="I2842" t="str">
        <f>IF(A2842="","",VLOOKUP(G2842,表3_3[],3,0))</f>
        <v/>
      </c>
      <c r="J2842" t="str">
        <f>IF(A2842="","",IF('ATP Fills'!I2842="3M","",VLOOKUP(RIGHT('ATP Fills'!I2842,2),Helper1!$O$36:$P$48,2,0)))</f>
        <v/>
      </c>
      <c r="K2842" t="str">
        <f>IF(J2842="","",LEFT('ATP Fills'!I2842,4))</f>
        <v/>
      </c>
      <c r="L2842" t="str">
        <f>IF(A2842="","",IF('ATP Fills'!G2842="LME",'ATP Fills'!I2842,""))</f>
        <v/>
      </c>
      <c r="M2842" t="str">
        <f t="shared" si="44"/>
        <v/>
      </c>
    </row>
    <row r="2843" spans="1:13">
      <c r="A2843" t="str">
        <f>IF('ATP Fills'!A2843="","",IF('ATP Fills'!Q2843="PHILLIPSG",'ATP Fills'!F2843,""))</f>
        <v/>
      </c>
      <c r="B2843" t="str">
        <f>IF(A2843="","",'ATP Fills'!L2843)</f>
        <v/>
      </c>
      <c r="C2843" t="str">
        <f>IF(A2843="","",'ATP Fills'!M2843)</f>
        <v/>
      </c>
      <c r="D2843" t="str">
        <f>IF(A2843="","",'ATP Fills'!B2843)</f>
        <v/>
      </c>
      <c r="E2843" s="3" t="str">
        <f>IF(A2843="","",IF(DATE(LEFT(D2843,4),MID(D2843,5,2),RIGHT(D2843,2))=Helper1!$P$1,Helper1!$P$1,""))</f>
        <v/>
      </c>
      <c r="F2843" s="3" t="str">
        <f>IF(A2843="","",'ATP Fills'!G2843)</f>
        <v/>
      </c>
      <c r="G2843" t="str">
        <f>IF(A2843="","",'ATP Fills'!H2843)</f>
        <v/>
      </c>
      <c r="H2843" t="str">
        <f>IF(A2843="","",VLOOKUP(G2843,表3_3[],2,0))</f>
        <v/>
      </c>
      <c r="I2843" t="str">
        <f>IF(A2843="","",VLOOKUP(G2843,表3_3[],3,0))</f>
        <v/>
      </c>
      <c r="J2843" t="str">
        <f>IF(A2843="","",IF('ATP Fills'!I2843="3M","",VLOOKUP(RIGHT('ATP Fills'!I2843,2),Helper1!$O$36:$P$48,2,0)))</f>
        <v/>
      </c>
      <c r="K2843" t="str">
        <f>IF(J2843="","",LEFT('ATP Fills'!I2843,4))</f>
        <v/>
      </c>
      <c r="L2843" t="str">
        <f>IF(A2843="","",IF('ATP Fills'!G2843="LME",'ATP Fills'!I2843,""))</f>
        <v/>
      </c>
      <c r="M2843" t="str">
        <f t="shared" si="44"/>
        <v/>
      </c>
    </row>
    <row r="2844" spans="1:13">
      <c r="A2844" t="str">
        <f>IF('ATP Fills'!A2844="","",IF('ATP Fills'!Q2844="PHILLIPSG",'ATP Fills'!F2844,""))</f>
        <v/>
      </c>
      <c r="B2844" t="str">
        <f>IF(A2844="","",'ATP Fills'!L2844)</f>
        <v/>
      </c>
      <c r="C2844" t="str">
        <f>IF(A2844="","",'ATP Fills'!M2844)</f>
        <v/>
      </c>
      <c r="D2844" t="str">
        <f>IF(A2844="","",'ATP Fills'!B2844)</f>
        <v/>
      </c>
      <c r="E2844" s="3" t="str">
        <f>IF(A2844="","",IF(DATE(LEFT(D2844,4),MID(D2844,5,2),RIGHT(D2844,2))=Helper1!$P$1,Helper1!$P$1,""))</f>
        <v/>
      </c>
      <c r="F2844" s="3" t="str">
        <f>IF(A2844="","",'ATP Fills'!G2844)</f>
        <v/>
      </c>
      <c r="G2844" t="str">
        <f>IF(A2844="","",'ATP Fills'!H2844)</f>
        <v/>
      </c>
      <c r="H2844" t="str">
        <f>IF(A2844="","",VLOOKUP(G2844,表3_3[],2,0))</f>
        <v/>
      </c>
      <c r="I2844" t="str">
        <f>IF(A2844="","",VLOOKUP(G2844,表3_3[],3,0))</f>
        <v/>
      </c>
      <c r="J2844" t="str">
        <f>IF(A2844="","",IF('ATP Fills'!I2844="3M","",VLOOKUP(RIGHT('ATP Fills'!I2844,2),Helper1!$O$36:$P$48,2,0)))</f>
        <v/>
      </c>
      <c r="K2844" t="str">
        <f>IF(J2844="","",LEFT('ATP Fills'!I2844,4))</f>
        <v/>
      </c>
      <c r="L2844" t="str">
        <f>IF(A2844="","",IF('ATP Fills'!G2844="LME",'ATP Fills'!I2844,""))</f>
        <v/>
      </c>
      <c r="M2844" t="str">
        <f t="shared" si="44"/>
        <v/>
      </c>
    </row>
    <row r="2845" spans="1:13">
      <c r="A2845" t="str">
        <f>IF('ATP Fills'!A2845="","",IF('ATP Fills'!Q2845="PHILLIPSG",'ATP Fills'!F2845,""))</f>
        <v/>
      </c>
      <c r="B2845" t="str">
        <f>IF(A2845="","",'ATP Fills'!L2845)</f>
        <v/>
      </c>
      <c r="C2845" t="str">
        <f>IF(A2845="","",'ATP Fills'!M2845)</f>
        <v/>
      </c>
      <c r="D2845" t="str">
        <f>IF(A2845="","",'ATP Fills'!B2845)</f>
        <v/>
      </c>
      <c r="E2845" s="3" t="str">
        <f>IF(A2845="","",IF(DATE(LEFT(D2845,4),MID(D2845,5,2),RIGHT(D2845,2))=Helper1!$P$1,Helper1!$P$1,""))</f>
        <v/>
      </c>
      <c r="F2845" s="3" t="str">
        <f>IF(A2845="","",'ATP Fills'!G2845)</f>
        <v/>
      </c>
      <c r="G2845" t="str">
        <f>IF(A2845="","",'ATP Fills'!H2845)</f>
        <v/>
      </c>
      <c r="H2845" t="str">
        <f>IF(A2845="","",VLOOKUP(G2845,表3_3[],2,0))</f>
        <v/>
      </c>
      <c r="I2845" t="str">
        <f>IF(A2845="","",VLOOKUP(G2845,表3_3[],3,0))</f>
        <v/>
      </c>
      <c r="J2845" t="str">
        <f>IF(A2845="","",IF('ATP Fills'!I2845="3M","",VLOOKUP(RIGHT('ATP Fills'!I2845,2),Helper1!$O$36:$P$48,2,0)))</f>
        <v/>
      </c>
      <c r="K2845" t="str">
        <f>IF(J2845="","",LEFT('ATP Fills'!I2845,4))</f>
        <v/>
      </c>
      <c r="L2845" t="str">
        <f>IF(A2845="","",IF('ATP Fills'!G2845="LME",'ATP Fills'!I2845,""))</f>
        <v/>
      </c>
      <c r="M2845" t="str">
        <f t="shared" si="44"/>
        <v/>
      </c>
    </row>
    <row r="2846" spans="1:13">
      <c r="A2846" t="str">
        <f>IF('ATP Fills'!A2846="","",IF('ATP Fills'!Q2846="PHILLIPSG",'ATP Fills'!F2846,""))</f>
        <v/>
      </c>
      <c r="B2846" t="str">
        <f>IF(A2846="","",'ATP Fills'!L2846)</f>
        <v/>
      </c>
      <c r="C2846" t="str">
        <f>IF(A2846="","",'ATP Fills'!M2846)</f>
        <v/>
      </c>
      <c r="D2846" t="str">
        <f>IF(A2846="","",'ATP Fills'!B2846)</f>
        <v/>
      </c>
      <c r="E2846" s="3" t="str">
        <f>IF(A2846="","",IF(DATE(LEFT(D2846,4),MID(D2846,5,2),RIGHT(D2846,2))=Helper1!$P$1,Helper1!$P$1,""))</f>
        <v/>
      </c>
      <c r="F2846" s="3" t="str">
        <f>IF(A2846="","",'ATP Fills'!G2846)</f>
        <v/>
      </c>
      <c r="G2846" t="str">
        <f>IF(A2846="","",'ATP Fills'!H2846)</f>
        <v/>
      </c>
      <c r="H2846" t="str">
        <f>IF(A2846="","",VLOOKUP(G2846,表3_3[],2,0))</f>
        <v/>
      </c>
      <c r="I2846" t="str">
        <f>IF(A2846="","",VLOOKUP(G2846,表3_3[],3,0))</f>
        <v/>
      </c>
      <c r="J2846" t="str">
        <f>IF(A2846="","",IF('ATP Fills'!I2846="3M","",VLOOKUP(RIGHT('ATP Fills'!I2846,2),Helper1!$O$36:$P$48,2,0)))</f>
        <v/>
      </c>
      <c r="K2846" t="str">
        <f>IF(J2846="","",LEFT('ATP Fills'!I2846,4))</f>
        <v/>
      </c>
      <c r="L2846" t="str">
        <f>IF(A2846="","",IF('ATP Fills'!G2846="LME",'ATP Fills'!I2846,""))</f>
        <v/>
      </c>
      <c r="M2846" t="str">
        <f t="shared" si="44"/>
        <v/>
      </c>
    </row>
    <row r="2847" spans="1:13">
      <c r="A2847" t="str">
        <f>IF('ATP Fills'!A2847="","",IF('ATP Fills'!Q2847="PHILLIPSG",'ATP Fills'!F2847,""))</f>
        <v/>
      </c>
      <c r="B2847" t="str">
        <f>IF(A2847="","",'ATP Fills'!L2847)</f>
        <v/>
      </c>
      <c r="C2847" t="str">
        <f>IF(A2847="","",'ATP Fills'!M2847)</f>
        <v/>
      </c>
      <c r="D2847" t="str">
        <f>IF(A2847="","",'ATP Fills'!B2847)</f>
        <v/>
      </c>
      <c r="E2847" s="3" t="str">
        <f>IF(A2847="","",IF(DATE(LEFT(D2847,4),MID(D2847,5,2),RIGHT(D2847,2))=Helper1!$P$1,Helper1!$P$1,""))</f>
        <v/>
      </c>
      <c r="F2847" s="3" t="str">
        <f>IF(A2847="","",'ATP Fills'!G2847)</f>
        <v/>
      </c>
      <c r="G2847" t="str">
        <f>IF(A2847="","",'ATP Fills'!H2847)</f>
        <v/>
      </c>
      <c r="H2847" t="str">
        <f>IF(A2847="","",VLOOKUP(G2847,表3_3[],2,0))</f>
        <v/>
      </c>
      <c r="I2847" t="str">
        <f>IF(A2847="","",VLOOKUP(G2847,表3_3[],3,0))</f>
        <v/>
      </c>
      <c r="J2847" t="str">
        <f>IF(A2847="","",IF('ATP Fills'!I2847="3M","",VLOOKUP(RIGHT('ATP Fills'!I2847,2),Helper1!$O$36:$P$48,2,0)))</f>
        <v/>
      </c>
      <c r="K2847" t="str">
        <f>IF(J2847="","",LEFT('ATP Fills'!I2847,4))</f>
        <v/>
      </c>
      <c r="L2847" t="str">
        <f>IF(A2847="","",IF('ATP Fills'!G2847="LME",'ATP Fills'!I2847,""))</f>
        <v/>
      </c>
      <c r="M2847" t="str">
        <f t="shared" si="44"/>
        <v/>
      </c>
    </row>
    <row r="2848" spans="1:13">
      <c r="A2848" t="str">
        <f>IF('ATP Fills'!A2848="","",IF('ATP Fills'!Q2848="PHILLIPSG",'ATP Fills'!F2848,""))</f>
        <v/>
      </c>
      <c r="B2848" t="str">
        <f>IF(A2848="","",'ATP Fills'!L2848)</f>
        <v/>
      </c>
      <c r="C2848" t="str">
        <f>IF(A2848="","",'ATP Fills'!M2848)</f>
        <v/>
      </c>
      <c r="D2848" t="str">
        <f>IF(A2848="","",'ATP Fills'!B2848)</f>
        <v/>
      </c>
      <c r="E2848" s="3" t="str">
        <f>IF(A2848="","",IF(DATE(LEFT(D2848,4),MID(D2848,5,2),RIGHT(D2848,2))=Helper1!$P$1,Helper1!$P$1,""))</f>
        <v/>
      </c>
      <c r="F2848" s="3" t="str">
        <f>IF(A2848="","",'ATP Fills'!G2848)</f>
        <v/>
      </c>
      <c r="G2848" t="str">
        <f>IF(A2848="","",'ATP Fills'!H2848)</f>
        <v/>
      </c>
      <c r="H2848" t="str">
        <f>IF(A2848="","",VLOOKUP(G2848,表3_3[],2,0))</f>
        <v/>
      </c>
      <c r="I2848" t="str">
        <f>IF(A2848="","",VLOOKUP(G2848,表3_3[],3,0))</f>
        <v/>
      </c>
      <c r="J2848" t="str">
        <f>IF(A2848="","",IF('ATP Fills'!I2848="3M","",VLOOKUP(RIGHT('ATP Fills'!I2848,2),Helper1!$O$36:$P$48,2,0)))</f>
        <v/>
      </c>
      <c r="K2848" t="str">
        <f>IF(J2848="","",LEFT('ATP Fills'!I2848,4))</f>
        <v/>
      </c>
      <c r="L2848" t="str">
        <f>IF(A2848="","",IF('ATP Fills'!G2848="LME",'ATP Fills'!I2848,""))</f>
        <v/>
      </c>
      <c r="M2848" t="str">
        <f t="shared" si="44"/>
        <v/>
      </c>
    </row>
    <row r="2849" spans="1:13">
      <c r="A2849" t="str">
        <f>IF('ATP Fills'!A2849="","",IF('ATP Fills'!Q2849="PHILLIPSG",'ATP Fills'!F2849,""))</f>
        <v/>
      </c>
      <c r="B2849" t="str">
        <f>IF(A2849="","",'ATP Fills'!L2849)</f>
        <v/>
      </c>
      <c r="C2849" t="str">
        <f>IF(A2849="","",'ATP Fills'!M2849)</f>
        <v/>
      </c>
      <c r="D2849" t="str">
        <f>IF(A2849="","",'ATP Fills'!B2849)</f>
        <v/>
      </c>
      <c r="E2849" s="3" t="str">
        <f>IF(A2849="","",IF(DATE(LEFT(D2849,4),MID(D2849,5,2),RIGHT(D2849,2))=Helper1!$P$1,Helper1!$P$1,""))</f>
        <v/>
      </c>
      <c r="F2849" s="3" t="str">
        <f>IF(A2849="","",'ATP Fills'!G2849)</f>
        <v/>
      </c>
      <c r="G2849" t="str">
        <f>IF(A2849="","",'ATP Fills'!H2849)</f>
        <v/>
      </c>
      <c r="H2849" t="str">
        <f>IF(A2849="","",VLOOKUP(G2849,表3_3[],2,0))</f>
        <v/>
      </c>
      <c r="I2849" t="str">
        <f>IF(A2849="","",VLOOKUP(G2849,表3_3[],3,0))</f>
        <v/>
      </c>
      <c r="J2849" t="str">
        <f>IF(A2849="","",IF('ATP Fills'!I2849="3M","",VLOOKUP(RIGHT('ATP Fills'!I2849,2),Helper1!$O$36:$P$48,2,0)))</f>
        <v/>
      </c>
      <c r="K2849" t="str">
        <f>IF(J2849="","",LEFT('ATP Fills'!I2849,4))</f>
        <v/>
      </c>
      <c r="L2849" t="str">
        <f>IF(A2849="","",IF('ATP Fills'!G2849="LME",'ATP Fills'!I2849,""))</f>
        <v/>
      </c>
      <c r="M2849" t="str">
        <f t="shared" si="44"/>
        <v/>
      </c>
    </row>
    <row r="2850" spans="1:13">
      <c r="A2850" t="str">
        <f>IF('ATP Fills'!A2850="","",IF('ATP Fills'!Q2850="PHILLIPSG",'ATP Fills'!F2850,""))</f>
        <v/>
      </c>
      <c r="B2850" t="str">
        <f>IF(A2850="","",'ATP Fills'!L2850)</f>
        <v/>
      </c>
      <c r="C2850" t="str">
        <f>IF(A2850="","",'ATP Fills'!M2850)</f>
        <v/>
      </c>
      <c r="D2850" t="str">
        <f>IF(A2850="","",'ATP Fills'!B2850)</f>
        <v/>
      </c>
      <c r="E2850" s="3" t="str">
        <f>IF(A2850="","",IF(DATE(LEFT(D2850,4),MID(D2850,5,2),RIGHT(D2850,2))=Helper1!$P$1,Helper1!$P$1,""))</f>
        <v/>
      </c>
      <c r="F2850" s="3" t="str">
        <f>IF(A2850="","",'ATP Fills'!G2850)</f>
        <v/>
      </c>
      <c r="G2850" t="str">
        <f>IF(A2850="","",'ATP Fills'!H2850)</f>
        <v/>
      </c>
      <c r="H2850" t="str">
        <f>IF(A2850="","",VLOOKUP(G2850,表3_3[],2,0))</f>
        <v/>
      </c>
      <c r="I2850" t="str">
        <f>IF(A2850="","",VLOOKUP(G2850,表3_3[],3,0))</f>
        <v/>
      </c>
      <c r="J2850" t="str">
        <f>IF(A2850="","",IF('ATP Fills'!I2850="3M","",VLOOKUP(RIGHT('ATP Fills'!I2850,2),Helper1!$O$36:$P$48,2,0)))</f>
        <v/>
      </c>
      <c r="K2850" t="str">
        <f>IF(J2850="","",LEFT('ATP Fills'!I2850,4))</f>
        <v/>
      </c>
      <c r="L2850" t="str">
        <f>IF(A2850="","",IF('ATP Fills'!G2850="LME",'ATP Fills'!I2850,""))</f>
        <v/>
      </c>
      <c r="M2850" t="str">
        <f t="shared" si="44"/>
        <v/>
      </c>
    </row>
    <row r="2851" spans="1:13">
      <c r="A2851" t="str">
        <f>IF('ATP Fills'!A2851="","",IF('ATP Fills'!Q2851="PHILLIPSG",'ATP Fills'!F2851,""))</f>
        <v/>
      </c>
      <c r="B2851" t="str">
        <f>IF(A2851="","",'ATP Fills'!L2851)</f>
        <v/>
      </c>
      <c r="C2851" t="str">
        <f>IF(A2851="","",'ATP Fills'!M2851)</f>
        <v/>
      </c>
      <c r="D2851" t="str">
        <f>IF(A2851="","",'ATP Fills'!B2851)</f>
        <v/>
      </c>
      <c r="E2851" s="3" t="str">
        <f>IF(A2851="","",IF(DATE(LEFT(D2851,4),MID(D2851,5,2),RIGHT(D2851,2))=Helper1!$P$1,Helper1!$P$1,""))</f>
        <v/>
      </c>
      <c r="F2851" s="3" t="str">
        <f>IF(A2851="","",'ATP Fills'!G2851)</f>
        <v/>
      </c>
      <c r="G2851" t="str">
        <f>IF(A2851="","",'ATP Fills'!H2851)</f>
        <v/>
      </c>
      <c r="H2851" t="str">
        <f>IF(A2851="","",VLOOKUP(G2851,表3_3[],2,0))</f>
        <v/>
      </c>
      <c r="I2851" t="str">
        <f>IF(A2851="","",VLOOKUP(G2851,表3_3[],3,0))</f>
        <v/>
      </c>
      <c r="J2851" t="str">
        <f>IF(A2851="","",IF('ATP Fills'!I2851="3M","",VLOOKUP(RIGHT('ATP Fills'!I2851,2),Helper1!$O$36:$P$48,2,0)))</f>
        <v/>
      </c>
      <c r="K2851" t="str">
        <f>IF(J2851="","",LEFT('ATP Fills'!I2851,4))</f>
        <v/>
      </c>
      <c r="L2851" t="str">
        <f>IF(A2851="","",IF('ATP Fills'!G2851="LME",'ATP Fills'!I2851,""))</f>
        <v/>
      </c>
      <c r="M2851" t="str">
        <f t="shared" si="44"/>
        <v/>
      </c>
    </row>
    <row r="2852" spans="1:13">
      <c r="A2852" t="str">
        <f>IF('ATP Fills'!A2852="","",IF('ATP Fills'!Q2852="PHILLIPSG",'ATP Fills'!F2852,""))</f>
        <v/>
      </c>
      <c r="B2852" t="str">
        <f>IF(A2852="","",'ATP Fills'!L2852)</f>
        <v/>
      </c>
      <c r="C2852" t="str">
        <f>IF(A2852="","",'ATP Fills'!M2852)</f>
        <v/>
      </c>
      <c r="D2852" t="str">
        <f>IF(A2852="","",'ATP Fills'!B2852)</f>
        <v/>
      </c>
      <c r="E2852" s="3" t="str">
        <f>IF(A2852="","",IF(DATE(LEFT(D2852,4),MID(D2852,5,2),RIGHT(D2852,2))=Helper1!$P$1,Helper1!$P$1,""))</f>
        <v/>
      </c>
      <c r="F2852" s="3" t="str">
        <f>IF(A2852="","",'ATP Fills'!G2852)</f>
        <v/>
      </c>
      <c r="G2852" t="str">
        <f>IF(A2852="","",'ATP Fills'!H2852)</f>
        <v/>
      </c>
      <c r="H2852" t="str">
        <f>IF(A2852="","",VLOOKUP(G2852,表3_3[],2,0))</f>
        <v/>
      </c>
      <c r="I2852" t="str">
        <f>IF(A2852="","",VLOOKUP(G2852,表3_3[],3,0))</f>
        <v/>
      </c>
      <c r="J2852" t="str">
        <f>IF(A2852="","",IF('ATP Fills'!I2852="3M","",VLOOKUP(RIGHT('ATP Fills'!I2852,2),Helper1!$O$36:$P$48,2,0)))</f>
        <v/>
      </c>
      <c r="K2852" t="str">
        <f>IF(J2852="","",LEFT('ATP Fills'!I2852,4))</f>
        <v/>
      </c>
      <c r="L2852" t="str">
        <f>IF(A2852="","",IF('ATP Fills'!G2852="LME",'ATP Fills'!I2852,""))</f>
        <v/>
      </c>
      <c r="M2852" t="str">
        <f t="shared" si="44"/>
        <v/>
      </c>
    </row>
    <row r="2853" spans="1:13">
      <c r="A2853" t="str">
        <f>IF('ATP Fills'!A2853="","",IF('ATP Fills'!Q2853="PHILLIPSG",'ATP Fills'!F2853,""))</f>
        <v/>
      </c>
      <c r="B2853" t="str">
        <f>IF(A2853="","",'ATP Fills'!L2853)</f>
        <v/>
      </c>
      <c r="C2853" t="str">
        <f>IF(A2853="","",'ATP Fills'!M2853)</f>
        <v/>
      </c>
      <c r="D2853" t="str">
        <f>IF(A2853="","",'ATP Fills'!B2853)</f>
        <v/>
      </c>
      <c r="E2853" s="3" t="str">
        <f>IF(A2853="","",IF(DATE(LEFT(D2853,4),MID(D2853,5,2),RIGHT(D2853,2))=Helper1!$P$1,Helper1!$P$1,""))</f>
        <v/>
      </c>
      <c r="F2853" s="3" t="str">
        <f>IF(A2853="","",'ATP Fills'!G2853)</f>
        <v/>
      </c>
      <c r="G2853" t="str">
        <f>IF(A2853="","",'ATP Fills'!H2853)</f>
        <v/>
      </c>
      <c r="H2853" t="str">
        <f>IF(A2853="","",VLOOKUP(G2853,表3_3[],2,0))</f>
        <v/>
      </c>
      <c r="I2853" t="str">
        <f>IF(A2853="","",VLOOKUP(G2853,表3_3[],3,0))</f>
        <v/>
      </c>
      <c r="J2853" t="str">
        <f>IF(A2853="","",IF('ATP Fills'!I2853="3M","",VLOOKUP(RIGHT('ATP Fills'!I2853,2),Helper1!$O$36:$P$48,2,0)))</f>
        <v/>
      </c>
      <c r="K2853" t="str">
        <f>IF(J2853="","",LEFT('ATP Fills'!I2853,4))</f>
        <v/>
      </c>
      <c r="L2853" t="str">
        <f>IF(A2853="","",IF('ATP Fills'!G2853="LME",'ATP Fills'!I2853,""))</f>
        <v/>
      </c>
      <c r="M2853" t="str">
        <f t="shared" si="44"/>
        <v/>
      </c>
    </row>
    <row r="2854" spans="1:13">
      <c r="A2854" t="str">
        <f>IF('ATP Fills'!A2854="","",IF('ATP Fills'!Q2854="PHILLIPSG",'ATP Fills'!F2854,""))</f>
        <v/>
      </c>
      <c r="B2854" t="str">
        <f>IF(A2854="","",'ATP Fills'!L2854)</f>
        <v/>
      </c>
      <c r="C2854" t="str">
        <f>IF(A2854="","",'ATP Fills'!M2854)</f>
        <v/>
      </c>
      <c r="D2854" t="str">
        <f>IF(A2854="","",'ATP Fills'!B2854)</f>
        <v/>
      </c>
      <c r="E2854" s="3" t="str">
        <f>IF(A2854="","",IF(DATE(LEFT(D2854,4),MID(D2854,5,2),RIGHT(D2854,2))=Helper1!$P$1,Helper1!$P$1,""))</f>
        <v/>
      </c>
      <c r="F2854" s="3" t="str">
        <f>IF(A2854="","",'ATP Fills'!G2854)</f>
        <v/>
      </c>
      <c r="G2854" t="str">
        <f>IF(A2854="","",'ATP Fills'!H2854)</f>
        <v/>
      </c>
      <c r="H2854" t="str">
        <f>IF(A2854="","",VLOOKUP(G2854,表3_3[],2,0))</f>
        <v/>
      </c>
      <c r="I2854" t="str">
        <f>IF(A2854="","",VLOOKUP(G2854,表3_3[],3,0))</f>
        <v/>
      </c>
      <c r="J2854" t="str">
        <f>IF(A2854="","",IF('ATP Fills'!I2854="3M","",VLOOKUP(RIGHT('ATP Fills'!I2854,2),Helper1!$O$36:$P$48,2,0)))</f>
        <v/>
      </c>
      <c r="K2854" t="str">
        <f>IF(J2854="","",LEFT('ATP Fills'!I2854,4))</f>
        <v/>
      </c>
      <c r="L2854" t="str">
        <f>IF(A2854="","",IF('ATP Fills'!G2854="LME",'ATP Fills'!I2854,""))</f>
        <v/>
      </c>
      <c r="M2854" t="str">
        <f t="shared" si="44"/>
        <v/>
      </c>
    </row>
    <row r="2855" spans="1:13">
      <c r="A2855" t="str">
        <f>IF('ATP Fills'!A2855="","",IF('ATP Fills'!Q2855="PHILLIPSG",'ATP Fills'!F2855,""))</f>
        <v/>
      </c>
      <c r="B2855" t="str">
        <f>IF(A2855="","",'ATP Fills'!L2855)</f>
        <v/>
      </c>
      <c r="C2855" t="str">
        <f>IF(A2855="","",'ATP Fills'!M2855)</f>
        <v/>
      </c>
      <c r="D2855" t="str">
        <f>IF(A2855="","",'ATP Fills'!B2855)</f>
        <v/>
      </c>
      <c r="E2855" s="3" t="str">
        <f>IF(A2855="","",IF(DATE(LEFT(D2855,4),MID(D2855,5,2),RIGHT(D2855,2))=Helper1!$P$1,Helper1!$P$1,""))</f>
        <v/>
      </c>
      <c r="F2855" s="3" t="str">
        <f>IF(A2855="","",'ATP Fills'!G2855)</f>
        <v/>
      </c>
      <c r="G2855" t="str">
        <f>IF(A2855="","",'ATP Fills'!H2855)</f>
        <v/>
      </c>
      <c r="H2855" t="str">
        <f>IF(A2855="","",VLOOKUP(G2855,表3_3[],2,0))</f>
        <v/>
      </c>
      <c r="I2855" t="str">
        <f>IF(A2855="","",VLOOKUP(G2855,表3_3[],3,0))</f>
        <v/>
      </c>
      <c r="J2855" t="str">
        <f>IF(A2855="","",IF('ATP Fills'!I2855="3M","",VLOOKUP(RIGHT('ATP Fills'!I2855,2),Helper1!$O$36:$P$48,2,0)))</f>
        <v/>
      </c>
      <c r="K2855" t="str">
        <f>IF(J2855="","",LEFT('ATP Fills'!I2855,4))</f>
        <v/>
      </c>
      <c r="L2855" t="str">
        <f>IF(A2855="","",IF('ATP Fills'!G2855="LME",'ATP Fills'!I2855,""))</f>
        <v/>
      </c>
      <c r="M2855" t="str">
        <f t="shared" si="44"/>
        <v/>
      </c>
    </row>
    <row r="2856" spans="1:13">
      <c r="A2856" t="str">
        <f>IF('ATP Fills'!A2856="","",IF('ATP Fills'!Q2856="PHILLIPSG",'ATP Fills'!F2856,""))</f>
        <v/>
      </c>
      <c r="B2856" t="str">
        <f>IF(A2856="","",'ATP Fills'!L2856)</f>
        <v/>
      </c>
      <c r="C2856" t="str">
        <f>IF(A2856="","",'ATP Fills'!M2856)</f>
        <v/>
      </c>
      <c r="D2856" t="str">
        <f>IF(A2856="","",'ATP Fills'!B2856)</f>
        <v/>
      </c>
      <c r="E2856" s="3" t="str">
        <f>IF(A2856="","",IF(DATE(LEFT(D2856,4),MID(D2856,5,2),RIGHT(D2856,2))=Helper1!$P$1,Helper1!$P$1,""))</f>
        <v/>
      </c>
      <c r="F2856" s="3" t="str">
        <f>IF(A2856="","",'ATP Fills'!G2856)</f>
        <v/>
      </c>
      <c r="G2856" t="str">
        <f>IF(A2856="","",'ATP Fills'!H2856)</f>
        <v/>
      </c>
      <c r="H2856" t="str">
        <f>IF(A2856="","",VLOOKUP(G2856,表3_3[],2,0))</f>
        <v/>
      </c>
      <c r="I2856" t="str">
        <f>IF(A2856="","",VLOOKUP(G2856,表3_3[],3,0))</f>
        <v/>
      </c>
      <c r="J2856" t="str">
        <f>IF(A2856="","",IF('ATP Fills'!I2856="3M","",VLOOKUP(RIGHT('ATP Fills'!I2856,2),Helper1!$O$36:$P$48,2,0)))</f>
        <v/>
      </c>
      <c r="K2856" t="str">
        <f>IF(J2856="","",LEFT('ATP Fills'!I2856,4))</f>
        <v/>
      </c>
      <c r="L2856" t="str">
        <f>IF(A2856="","",IF('ATP Fills'!G2856="LME",'ATP Fills'!I2856,""))</f>
        <v/>
      </c>
      <c r="M2856" t="str">
        <f t="shared" si="44"/>
        <v/>
      </c>
    </row>
    <row r="2857" spans="1:13">
      <c r="A2857" t="str">
        <f>IF('ATP Fills'!A2857="","",IF('ATP Fills'!Q2857="PHILLIPSG",'ATP Fills'!F2857,""))</f>
        <v/>
      </c>
      <c r="B2857" t="str">
        <f>IF(A2857="","",'ATP Fills'!L2857)</f>
        <v/>
      </c>
      <c r="C2857" t="str">
        <f>IF(A2857="","",'ATP Fills'!M2857)</f>
        <v/>
      </c>
      <c r="D2857" t="str">
        <f>IF(A2857="","",'ATP Fills'!B2857)</f>
        <v/>
      </c>
      <c r="E2857" s="3" t="str">
        <f>IF(A2857="","",IF(DATE(LEFT(D2857,4),MID(D2857,5,2),RIGHT(D2857,2))=Helper1!$P$1,Helper1!$P$1,""))</f>
        <v/>
      </c>
      <c r="F2857" s="3" t="str">
        <f>IF(A2857="","",'ATP Fills'!G2857)</f>
        <v/>
      </c>
      <c r="G2857" t="str">
        <f>IF(A2857="","",'ATP Fills'!H2857)</f>
        <v/>
      </c>
      <c r="H2857" t="str">
        <f>IF(A2857="","",VLOOKUP(G2857,表3_3[],2,0))</f>
        <v/>
      </c>
      <c r="I2857" t="str">
        <f>IF(A2857="","",VLOOKUP(G2857,表3_3[],3,0))</f>
        <v/>
      </c>
      <c r="J2857" t="str">
        <f>IF(A2857="","",IF('ATP Fills'!I2857="3M","",VLOOKUP(RIGHT('ATP Fills'!I2857,2),Helper1!$O$36:$P$48,2,0)))</f>
        <v/>
      </c>
      <c r="K2857" t="str">
        <f>IF(J2857="","",LEFT('ATP Fills'!I2857,4))</f>
        <v/>
      </c>
      <c r="L2857" t="str">
        <f>IF(A2857="","",IF('ATP Fills'!G2857="LME",'ATP Fills'!I2857,""))</f>
        <v/>
      </c>
      <c r="M2857" t="str">
        <f t="shared" si="44"/>
        <v/>
      </c>
    </row>
    <row r="2858" spans="1:13">
      <c r="A2858" t="str">
        <f>IF('ATP Fills'!A2858="","",IF('ATP Fills'!Q2858="PHILLIPSG",'ATP Fills'!F2858,""))</f>
        <v/>
      </c>
      <c r="B2858" t="str">
        <f>IF(A2858="","",'ATP Fills'!L2858)</f>
        <v/>
      </c>
      <c r="C2858" t="str">
        <f>IF(A2858="","",'ATP Fills'!M2858)</f>
        <v/>
      </c>
      <c r="D2858" t="str">
        <f>IF(A2858="","",'ATP Fills'!B2858)</f>
        <v/>
      </c>
      <c r="E2858" s="3" t="str">
        <f>IF(A2858="","",IF(DATE(LEFT(D2858,4),MID(D2858,5,2),RIGHT(D2858,2))=Helper1!$P$1,Helper1!$P$1,""))</f>
        <v/>
      </c>
      <c r="F2858" s="3" t="str">
        <f>IF(A2858="","",'ATP Fills'!G2858)</f>
        <v/>
      </c>
      <c r="G2858" t="str">
        <f>IF(A2858="","",'ATP Fills'!H2858)</f>
        <v/>
      </c>
      <c r="H2858" t="str">
        <f>IF(A2858="","",VLOOKUP(G2858,表3_3[],2,0))</f>
        <v/>
      </c>
      <c r="I2858" t="str">
        <f>IF(A2858="","",VLOOKUP(G2858,表3_3[],3,0))</f>
        <v/>
      </c>
      <c r="J2858" t="str">
        <f>IF(A2858="","",IF('ATP Fills'!I2858="3M","",VLOOKUP(RIGHT('ATP Fills'!I2858,2),Helper1!$O$36:$P$48,2,0)))</f>
        <v/>
      </c>
      <c r="K2858" t="str">
        <f>IF(J2858="","",LEFT('ATP Fills'!I2858,4))</f>
        <v/>
      </c>
      <c r="L2858" t="str">
        <f>IF(A2858="","",IF('ATP Fills'!G2858="LME",'ATP Fills'!I2858,""))</f>
        <v/>
      </c>
      <c r="M2858" t="str">
        <f t="shared" si="44"/>
        <v/>
      </c>
    </row>
    <row r="2859" spans="1:13">
      <c r="A2859" t="str">
        <f>IF('ATP Fills'!A2859="","",IF('ATP Fills'!Q2859="PHILLIPSG",'ATP Fills'!F2859,""))</f>
        <v/>
      </c>
      <c r="B2859" t="str">
        <f>IF(A2859="","",'ATP Fills'!L2859)</f>
        <v/>
      </c>
      <c r="C2859" t="str">
        <f>IF(A2859="","",'ATP Fills'!M2859)</f>
        <v/>
      </c>
      <c r="D2859" t="str">
        <f>IF(A2859="","",'ATP Fills'!B2859)</f>
        <v/>
      </c>
      <c r="E2859" s="3" t="str">
        <f>IF(A2859="","",IF(DATE(LEFT(D2859,4),MID(D2859,5,2),RIGHT(D2859,2))=Helper1!$P$1,Helper1!$P$1,""))</f>
        <v/>
      </c>
      <c r="F2859" s="3" t="str">
        <f>IF(A2859="","",'ATP Fills'!G2859)</f>
        <v/>
      </c>
      <c r="G2859" t="str">
        <f>IF(A2859="","",'ATP Fills'!H2859)</f>
        <v/>
      </c>
      <c r="H2859" t="str">
        <f>IF(A2859="","",VLOOKUP(G2859,表3_3[],2,0))</f>
        <v/>
      </c>
      <c r="I2859" t="str">
        <f>IF(A2859="","",VLOOKUP(G2859,表3_3[],3,0))</f>
        <v/>
      </c>
      <c r="J2859" t="str">
        <f>IF(A2859="","",IF('ATP Fills'!I2859="3M","",VLOOKUP(RIGHT('ATP Fills'!I2859,2),Helper1!$O$36:$P$48,2,0)))</f>
        <v/>
      </c>
      <c r="K2859" t="str">
        <f>IF(J2859="","",LEFT('ATP Fills'!I2859,4))</f>
        <v/>
      </c>
      <c r="L2859" t="str">
        <f>IF(A2859="","",IF('ATP Fills'!G2859="LME",'ATP Fills'!I2859,""))</f>
        <v/>
      </c>
      <c r="M2859" t="str">
        <f t="shared" si="44"/>
        <v/>
      </c>
    </row>
    <row r="2860" spans="1:13">
      <c r="A2860" t="str">
        <f>IF('ATP Fills'!A2860="","",IF('ATP Fills'!Q2860="PHILLIPSG",'ATP Fills'!F2860,""))</f>
        <v/>
      </c>
      <c r="B2860" t="str">
        <f>IF(A2860="","",'ATP Fills'!L2860)</f>
        <v/>
      </c>
      <c r="C2860" t="str">
        <f>IF(A2860="","",'ATP Fills'!M2860)</f>
        <v/>
      </c>
      <c r="D2860" t="str">
        <f>IF(A2860="","",'ATP Fills'!B2860)</f>
        <v/>
      </c>
      <c r="E2860" s="3" t="str">
        <f>IF(A2860="","",IF(DATE(LEFT(D2860,4),MID(D2860,5,2),RIGHT(D2860,2))=Helper1!$P$1,Helper1!$P$1,""))</f>
        <v/>
      </c>
      <c r="F2860" s="3" t="str">
        <f>IF(A2860="","",'ATP Fills'!G2860)</f>
        <v/>
      </c>
      <c r="G2860" t="str">
        <f>IF(A2860="","",'ATP Fills'!H2860)</f>
        <v/>
      </c>
      <c r="H2860" t="str">
        <f>IF(A2860="","",VLOOKUP(G2860,表3_3[],2,0))</f>
        <v/>
      </c>
      <c r="I2860" t="str">
        <f>IF(A2860="","",VLOOKUP(G2860,表3_3[],3,0))</f>
        <v/>
      </c>
      <c r="J2860" t="str">
        <f>IF(A2860="","",IF('ATP Fills'!I2860="3M","",VLOOKUP(RIGHT('ATP Fills'!I2860,2),Helper1!$O$36:$P$48,2,0)))</f>
        <v/>
      </c>
      <c r="K2860" t="str">
        <f>IF(J2860="","",LEFT('ATP Fills'!I2860,4))</f>
        <v/>
      </c>
      <c r="L2860" t="str">
        <f>IF(A2860="","",IF('ATP Fills'!G2860="LME",'ATP Fills'!I2860,""))</f>
        <v/>
      </c>
      <c r="M2860" t="str">
        <f t="shared" si="44"/>
        <v/>
      </c>
    </row>
    <row r="2861" spans="1:13">
      <c r="A2861" t="str">
        <f>IF('ATP Fills'!A2861="","",IF('ATP Fills'!Q2861="PHILLIPSG",'ATP Fills'!F2861,""))</f>
        <v/>
      </c>
      <c r="B2861" t="str">
        <f>IF(A2861="","",'ATP Fills'!L2861)</f>
        <v/>
      </c>
      <c r="C2861" t="str">
        <f>IF(A2861="","",'ATP Fills'!M2861)</f>
        <v/>
      </c>
      <c r="D2861" t="str">
        <f>IF(A2861="","",'ATP Fills'!B2861)</f>
        <v/>
      </c>
      <c r="E2861" s="3" t="str">
        <f>IF(A2861="","",IF(DATE(LEFT(D2861,4),MID(D2861,5,2),RIGHT(D2861,2))=Helper1!$P$1,Helper1!$P$1,""))</f>
        <v/>
      </c>
      <c r="F2861" s="3" t="str">
        <f>IF(A2861="","",'ATP Fills'!G2861)</f>
        <v/>
      </c>
      <c r="G2861" t="str">
        <f>IF(A2861="","",'ATP Fills'!H2861)</f>
        <v/>
      </c>
      <c r="H2861" t="str">
        <f>IF(A2861="","",VLOOKUP(G2861,表3_3[],2,0))</f>
        <v/>
      </c>
      <c r="I2861" t="str">
        <f>IF(A2861="","",VLOOKUP(G2861,表3_3[],3,0))</f>
        <v/>
      </c>
      <c r="J2861" t="str">
        <f>IF(A2861="","",IF('ATP Fills'!I2861="3M","",VLOOKUP(RIGHT('ATP Fills'!I2861,2),Helper1!$O$36:$P$48,2,0)))</f>
        <v/>
      </c>
      <c r="K2861" t="str">
        <f>IF(J2861="","",LEFT('ATP Fills'!I2861,4))</f>
        <v/>
      </c>
      <c r="L2861" t="str">
        <f>IF(A2861="","",IF('ATP Fills'!G2861="LME",'ATP Fills'!I2861,""))</f>
        <v/>
      </c>
      <c r="M2861" t="str">
        <f t="shared" si="44"/>
        <v/>
      </c>
    </row>
    <row r="2862" spans="1:13">
      <c r="A2862" t="str">
        <f>IF('ATP Fills'!A2862="","",IF('ATP Fills'!Q2862="PHILLIPSG",'ATP Fills'!F2862,""))</f>
        <v/>
      </c>
      <c r="B2862" t="str">
        <f>IF(A2862="","",'ATP Fills'!L2862)</f>
        <v/>
      </c>
      <c r="C2862" t="str">
        <f>IF(A2862="","",'ATP Fills'!M2862)</f>
        <v/>
      </c>
      <c r="D2862" t="str">
        <f>IF(A2862="","",'ATP Fills'!B2862)</f>
        <v/>
      </c>
      <c r="E2862" s="3" t="str">
        <f>IF(A2862="","",IF(DATE(LEFT(D2862,4),MID(D2862,5,2),RIGHT(D2862,2))=Helper1!$P$1,Helper1!$P$1,""))</f>
        <v/>
      </c>
      <c r="F2862" s="3" t="str">
        <f>IF(A2862="","",'ATP Fills'!G2862)</f>
        <v/>
      </c>
      <c r="G2862" t="str">
        <f>IF(A2862="","",'ATP Fills'!H2862)</f>
        <v/>
      </c>
      <c r="H2862" t="str">
        <f>IF(A2862="","",VLOOKUP(G2862,表3_3[],2,0))</f>
        <v/>
      </c>
      <c r="I2862" t="str">
        <f>IF(A2862="","",VLOOKUP(G2862,表3_3[],3,0))</f>
        <v/>
      </c>
      <c r="J2862" t="str">
        <f>IF(A2862="","",IF('ATP Fills'!I2862="3M","",VLOOKUP(RIGHT('ATP Fills'!I2862,2),Helper1!$O$36:$P$48,2,0)))</f>
        <v/>
      </c>
      <c r="K2862" t="str">
        <f>IF(J2862="","",LEFT('ATP Fills'!I2862,4))</f>
        <v/>
      </c>
      <c r="L2862" t="str">
        <f>IF(A2862="","",IF('ATP Fills'!G2862="LME",'ATP Fills'!I2862,""))</f>
        <v/>
      </c>
      <c r="M2862" t="str">
        <f t="shared" si="44"/>
        <v/>
      </c>
    </row>
    <row r="2863" spans="1:13">
      <c r="A2863" t="str">
        <f>IF('ATP Fills'!A2863="","",IF('ATP Fills'!Q2863="PHILLIPSG",'ATP Fills'!F2863,""))</f>
        <v/>
      </c>
      <c r="B2863" t="str">
        <f>IF(A2863="","",'ATP Fills'!L2863)</f>
        <v/>
      </c>
      <c r="C2863" t="str">
        <f>IF(A2863="","",'ATP Fills'!M2863)</f>
        <v/>
      </c>
      <c r="D2863" t="str">
        <f>IF(A2863="","",'ATP Fills'!B2863)</f>
        <v/>
      </c>
      <c r="E2863" s="3" t="str">
        <f>IF(A2863="","",IF(DATE(LEFT(D2863,4),MID(D2863,5,2),RIGHT(D2863,2))=Helper1!$P$1,Helper1!$P$1,""))</f>
        <v/>
      </c>
      <c r="F2863" s="3" t="str">
        <f>IF(A2863="","",'ATP Fills'!G2863)</f>
        <v/>
      </c>
      <c r="G2863" t="str">
        <f>IF(A2863="","",'ATP Fills'!H2863)</f>
        <v/>
      </c>
      <c r="H2863" t="str">
        <f>IF(A2863="","",VLOOKUP(G2863,表3_3[],2,0))</f>
        <v/>
      </c>
      <c r="I2863" t="str">
        <f>IF(A2863="","",VLOOKUP(G2863,表3_3[],3,0))</f>
        <v/>
      </c>
      <c r="J2863" t="str">
        <f>IF(A2863="","",IF('ATP Fills'!I2863="3M","",VLOOKUP(RIGHT('ATP Fills'!I2863,2),Helper1!$O$36:$P$48,2,0)))</f>
        <v/>
      </c>
      <c r="K2863" t="str">
        <f>IF(J2863="","",LEFT('ATP Fills'!I2863,4))</f>
        <v/>
      </c>
      <c r="L2863" t="str">
        <f>IF(A2863="","",IF('ATP Fills'!G2863="LME",'ATP Fills'!I2863,""))</f>
        <v/>
      </c>
      <c r="M2863" t="str">
        <f t="shared" si="44"/>
        <v/>
      </c>
    </row>
    <row r="2864" spans="1:13">
      <c r="A2864" t="str">
        <f>IF('ATP Fills'!A2864="","",IF('ATP Fills'!Q2864="PHILLIPSG",'ATP Fills'!F2864,""))</f>
        <v/>
      </c>
      <c r="B2864" t="str">
        <f>IF(A2864="","",'ATP Fills'!L2864)</f>
        <v/>
      </c>
      <c r="C2864" t="str">
        <f>IF(A2864="","",'ATP Fills'!M2864)</f>
        <v/>
      </c>
      <c r="D2864" t="str">
        <f>IF(A2864="","",'ATP Fills'!B2864)</f>
        <v/>
      </c>
      <c r="E2864" s="3" t="str">
        <f>IF(A2864="","",IF(DATE(LEFT(D2864,4),MID(D2864,5,2),RIGHT(D2864,2))=Helper1!$P$1,Helper1!$P$1,""))</f>
        <v/>
      </c>
      <c r="F2864" s="3" t="str">
        <f>IF(A2864="","",'ATP Fills'!G2864)</f>
        <v/>
      </c>
      <c r="G2864" t="str">
        <f>IF(A2864="","",'ATP Fills'!H2864)</f>
        <v/>
      </c>
      <c r="H2864" t="str">
        <f>IF(A2864="","",VLOOKUP(G2864,表3_3[],2,0))</f>
        <v/>
      </c>
      <c r="I2864" t="str">
        <f>IF(A2864="","",VLOOKUP(G2864,表3_3[],3,0))</f>
        <v/>
      </c>
      <c r="J2864" t="str">
        <f>IF(A2864="","",IF('ATP Fills'!I2864="3M","",VLOOKUP(RIGHT('ATP Fills'!I2864,2),Helper1!$O$36:$P$48,2,0)))</f>
        <v/>
      </c>
      <c r="K2864" t="str">
        <f>IF(J2864="","",LEFT('ATP Fills'!I2864,4))</f>
        <v/>
      </c>
      <c r="L2864" t="str">
        <f>IF(A2864="","",IF('ATP Fills'!G2864="LME",'ATP Fills'!I2864,""))</f>
        <v/>
      </c>
      <c r="M2864" t="str">
        <f t="shared" si="44"/>
        <v/>
      </c>
    </row>
    <row r="2865" spans="1:13">
      <c r="A2865" t="str">
        <f>IF('ATP Fills'!A2865="","",IF('ATP Fills'!Q2865="PHILLIPSG",'ATP Fills'!F2865,""))</f>
        <v/>
      </c>
      <c r="B2865" t="str">
        <f>IF(A2865="","",'ATP Fills'!L2865)</f>
        <v/>
      </c>
      <c r="C2865" t="str">
        <f>IF(A2865="","",'ATP Fills'!M2865)</f>
        <v/>
      </c>
      <c r="D2865" t="str">
        <f>IF(A2865="","",'ATP Fills'!B2865)</f>
        <v/>
      </c>
      <c r="E2865" s="3" t="str">
        <f>IF(A2865="","",IF(DATE(LEFT(D2865,4),MID(D2865,5,2),RIGHT(D2865,2))=Helper1!$P$1,Helper1!$P$1,""))</f>
        <v/>
      </c>
      <c r="F2865" s="3" t="str">
        <f>IF(A2865="","",'ATP Fills'!G2865)</f>
        <v/>
      </c>
      <c r="G2865" t="str">
        <f>IF(A2865="","",'ATP Fills'!H2865)</f>
        <v/>
      </c>
      <c r="H2865" t="str">
        <f>IF(A2865="","",VLOOKUP(G2865,表3_3[],2,0))</f>
        <v/>
      </c>
      <c r="I2865" t="str">
        <f>IF(A2865="","",VLOOKUP(G2865,表3_3[],3,0))</f>
        <v/>
      </c>
      <c r="J2865" t="str">
        <f>IF(A2865="","",IF('ATP Fills'!I2865="3M","",VLOOKUP(RIGHT('ATP Fills'!I2865,2),Helper1!$O$36:$P$48,2,0)))</f>
        <v/>
      </c>
      <c r="K2865" t="str">
        <f>IF(J2865="","",LEFT('ATP Fills'!I2865,4))</f>
        <v/>
      </c>
      <c r="L2865" t="str">
        <f>IF(A2865="","",IF('ATP Fills'!G2865="LME",'ATP Fills'!I2865,""))</f>
        <v/>
      </c>
      <c r="M2865" t="str">
        <f t="shared" si="44"/>
        <v/>
      </c>
    </row>
    <row r="2866" spans="1:13">
      <c r="A2866" t="str">
        <f>IF('ATP Fills'!A2866="","",IF('ATP Fills'!Q2866="PHILLIPSG",'ATP Fills'!F2866,""))</f>
        <v/>
      </c>
      <c r="B2866" t="str">
        <f>IF(A2866="","",'ATP Fills'!L2866)</f>
        <v/>
      </c>
      <c r="C2866" t="str">
        <f>IF(A2866="","",'ATP Fills'!M2866)</f>
        <v/>
      </c>
      <c r="D2866" t="str">
        <f>IF(A2866="","",'ATP Fills'!B2866)</f>
        <v/>
      </c>
      <c r="E2866" s="3" t="str">
        <f>IF(A2866="","",IF(DATE(LEFT(D2866,4),MID(D2866,5,2),RIGHT(D2866,2))=Helper1!$P$1,Helper1!$P$1,""))</f>
        <v/>
      </c>
      <c r="F2866" s="3" t="str">
        <f>IF(A2866="","",'ATP Fills'!G2866)</f>
        <v/>
      </c>
      <c r="G2866" t="str">
        <f>IF(A2866="","",'ATP Fills'!H2866)</f>
        <v/>
      </c>
      <c r="H2866" t="str">
        <f>IF(A2866="","",VLOOKUP(G2866,表3_3[],2,0))</f>
        <v/>
      </c>
      <c r="I2866" t="str">
        <f>IF(A2866="","",VLOOKUP(G2866,表3_3[],3,0))</f>
        <v/>
      </c>
      <c r="J2866" t="str">
        <f>IF(A2866="","",IF('ATP Fills'!I2866="3M","",VLOOKUP(RIGHT('ATP Fills'!I2866,2),Helper1!$O$36:$P$48,2,0)))</f>
        <v/>
      </c>
      <c r="K2866" t="str">
        <f>IF(J2866="","",LEFT('ATP Fills'!I2866,4))</f>
        <v/>
      </c>
      <c r="L2866" t="str">
        <f>IF(A2866="","",IF('ATP Fills'!G2866="LME",'ATP Fills'!I2866,""))</f>
        <v/>
      </c>
      <c r="M2866" t="str">
        <f t="shared" si="44"/>
        <v/>
      </c>
    </row>
    <row r="2867" spans="1:13">
      <c r="A2867" t="str">
        <f>IF('ATP Fills'!A2867="","",IF('ATP Fills'!Q2867="PHILLIPSG",'ATP Fills'!F2867,""))</f>
        <v/>
      </c>
      <c r="B2867" t="str">
        <f>IF(A2867="","",'ATP Fills'!L2867)</f>
        <v/>
      </c>
      <c r="C2867" t="str">
        <f>IF(A2867="","",'ATP Fills'!M2867)</f>
        <v/>
      </c>
      <c r="D2867" t="str">
        <f>IF(A2867="","",'ATP Fills'!B2867)</f>
        <v/>
      </c>
      <c r="E2867" s="3" t="str">
        <f>IF(A2867="","",IF(DATE(LEFT(D2867,4),MID(D2867,5,2),RIGHT(D2867,2))=Helper1!$P$1,Helper1!$P$1,""))</f>
        <v/>
      </c>
      <c r="F2867" s="3" t="str">
        <f>IF(A2867="","",'ATP Fills'!G2867)</f>
        <v/>
      </c>
      <c r="G2867" t="str">
        <f>IF(A2867="","",'ATP Fills'!H2867)</f>
        <v/>
      </c>
      <c r="H2867" t="str">
        <f>IF(A2867="","",VLOOKUP(G2867,表3_3[],2,0))</f>
        <v/>
      </c>
      <c r="I2867" t="str">
        <f>IF(A2867="","",VLOOKUP(G2867,表3_3[],3,0))</f>
        <v/>
      </c>
      <c r="J2867" t="str">
        <f>IF(A2867="","",IF('ATP Fills'!I2867="3M","",VLOOKUP(RIGHT('ATP Fills'!I2867,2),Helper1!$O$36:$P$48,2,0)))</f>
        <v/>
      </c>
      <c r="K2867" t="str">
        <f>IF(J2867="","",LEFT('ATP Fills'!I2867,4))</f>
        <v/>
      </c>
      <c r="L2867" t="str">
        <f>IF(A2867="","",IF('ATP Fills'!G2867="LME",'ATP Fills'!I2867,""))</f>
        <v/>
      </c>
      <c r="M2867" t="str">
        <f t="shared" si="44"/>
        <v/>
      </c>
    </row>
    <row r="2868" spans="1:13">
      <c r="A2868" t="str">
        <f>IF('ATP Fills'!A2868="","",IF('ATP Fills'!Q2868="PHILLIPSG",'ATP Fills'!F2868,""))</f>
        <v/>
      </c>
      <c r="B2868" t="str">
        <f>IF(A2868="","",'ATP Fills'!L2868)</f>
        <v/>
      </c>
      <c r="C2868" t="str">
        <f>IF(A2868="","",'ATP Fills'!M2868)</f>
        <v/>
      </c>
      <c r="D2868" t="str">
        <f>IF(A2868="","",'ATP Fills'!B2868)</f>
        <v/>
      </c>
      <c r="E2868" s="3" t="str">
        <f>IF(A2868="","",IF(DATE(LEFT(D2868,4),MID(D2868,5,2),RIGHT(D2868,2))=Helper1!$P$1,Helper1!$P$1,""))</f>
        <v/>
      </c>
      <c r="F2868" s="3" t="str">
        <f>IF(A2868="","",'ATP Fills'!G2868)</f>
        <v/>
      </c>
      <c r="G2868" t="str">
        <f>IF(A2868="","",'ATP Fills'!H2868)</f>
        <v/>
      </c>
      <c r="H2868" t="str">
        <f>IF(A2868="","",VLOOKUP(G2868,表3_3[],2,0))</f>
        <v/>
      </c>
      <c r="I2868" t="str">
        <f>IF(A2868="","",VLOOKUP(G2868,表3_3[],3,0))</f>
        <v/>
      </c>
      <c r="J2868" t="str">
        <f>IF(A2868="","",IF('ATP Fills'!I2868="3M","",VLOOKUP(RIGHT('ATP Fills'!I2868,2),Helper1!$O$36:$P$48,2,0)))</f>
        <v/>
      </c>
      <c r="K2868" t="str">
        <f>IF(J2868="","",LEFT('ATP Fills'!I2868,4))</f>
        <v/>
      </c>
      <c r="L2868" t="str">
        <f>IF(A2868="","",IF('ATP Fills'!G2868="LME",'ATP Fills'!I2868,""))</f>
        <v/>
      </c>
      <c r="M2868" t="str">
        <f t="shared" si="44"/>
        <v/>
      </c>
    </row>
    <row r="2869" spans="1:13">
      <c r="A2869" t="str">
        <f>IF('ATP Fills'!A2869="","",IF('ATP Fills'!Q2869="PHILLIPSG",'ATP Fills'!F2869,""))</f>
        <v/>
      </c>
      <c r="B2869" t="str">
        <f>IF(A2869="","",'ATP Fills'!L2869)</f>
        <v/>
      </c>
      <c r="C2869" t="str">
        <f>IF(A2869="","",'ATP Fills'!M2869)</f>
        <v/>
      </c>
      <c r="D2869" t="str">
        <f>IF(A2869="","",'ATP Fills'!B2869)</f>
        <v/>
      </c>
      <c r="E2869" s="3" t="str">
        <f>IF(A2869="","",IF(DATE(LEFT(D2869,4),MID(D2869,5,2),RIGHT(D2869,2))=Helper1!$P$1,Helper1!$P$1,""))</f>
        <v/>
      </c>
      <c r="F2869" s="3" t="str">
        <f>IF(A2869="","",'ATP Fills'!G2869)</f>
        <v/>
      </c>
      <c r="G2869" t="str">
        <f>IF(A2869="","",'ATP Fills'!H2869)</f>
        <v/>
      </c>
      <c r="H2869" t="str">
        <f>IF(A2869="","",VLOOKUP(G2869,表3_3[],2,0))</f>
        <v/>
      </c>
      <c r="I2869" t="str">
        <f>IF(A2869="","",VLOOKUP(G2869,表3_3[],3,0))</f>
        <v/>
      </c>
      <c r="J2869" t="str">
        <f>IF(A2869="","",IF('ATP Fills'!I2869="3M","",VLOOKUP(RIGHT('ATP Fills'!I2869,2),Helper1!$O$36:$P$48,2,0)))</f>
        <v/>
      </c>
      <c r="K2869" t="str">
        <f>IF(J2869="","",LEFT('ATP Fills'!I2869,4))</f>
        <v/>
      </c>
      <c r="L2869" t="str">
        <f>IF(A2869="","",IF('ATP Fills'!G2869="LME",'ATP Fills'!I2869,""))</f>
        <v/>
      </c>
      <c r="M2869" t="str">
        <f t="shared" si="44"/>
        <v/>
      </c>
    </row>
    <row r="2870" spans="1:13">
      <c r="A2870" t="str">
        <f>IF('ATP Fills'!A2870="","",IF('ATP Fills'!Q2870="PHILLIPSG",'ATP Fills'!F2870,""))</f>
        <v/>
      </c>
      <c r="B2870" t="str">
        <f>IF(A2870="","",'ATP Fills'!L2870)</f>
        <v/>
      </c>
      <c r="C2870" t="str">
        <f>IF(A2870="","",'ATP Fills'!M2870)</f>
        <v/>
      </c>
      <c r="D2870" t="str">
        <f>IF(A2870="","",'ATP Fills'!B2870)</f>
        <v/>
      </c>
      <c r="E2870" s="3" t="str">
        <f>IF(A2870="","",IF(DATE(LEFT(D2870,4),MID(D2870,5,2),RIGHT(D2870,2))=Helper1!$P$1,Helper1!$P$1,""))</f>
        <v/>
      </c>
      <c r="F2870" s="3" t="str">
        <f>IF(A2870="","",'ATP Fills'!G2870)</f>
        <v/>
      </c>
      <c r="G2870" t="str">
        <f>IF(A2870="","",'ATP Fills'!H2870)</f>
        <v/>
      </c>
      <c r="H2870" t="str">
        <f>IF(A2870="","",VLOOKUP(G2870,表3_3[],2,0))</f>
        <v/>
      </c>
      <c r="I2870" t="str">
        <f>IF(A2870="","",VLOOKUP(G2870,表3_3[],3,0))</f>
        <v/>
      </c>
      <c r="J2870" t="str">
        <f>IF(A2870="","",IF('ATP Fills'!I2870="3M","",VLOOKUP(RIGHT('ATP Fills'!I2870,2),Helper1!$O$36:$P$48,2,0)))</f>
        <v/>
      </c>
      <c r="K2870" t="str">
        <f>IF(J2870="","",LEFT('ATP Fills'!I2870,4))</f>
        <v/>
      </c>
      <c r="L2870" t="str">
        <f>IF(A2870="","",IF('ATP Fills'!G2870="LME",'ATP Fills'!I2870,""))</f>
        <v/>
      </c>
      <c r="M2870" t="str">
        <f t="shared" si="44"/>
        <v/>
      </c>
    </row>
    <row r="2871" spans="1:13">
      <c r="A2871" t="str">
        <f>IF('ATP Fills'!A2871="","",IF('ATP Fills'!Q2871="PHILLIPSG",'ATP Fills'!F2871,""))</f>
        <v/>
      </c>
      <c r="B2871" t="str">
        <f>IF(A2871="","",'ATP Fills'!L2871)</f>
        <v/>
      </c>
      <c r="C2871" t="str">
        <f>IF(A2871="","",'ATP Fills'!M2871)</f>
        <v/>
      </c>
      <c r="D2871" t="str">
        <f>IF(A2871="","",'ATP Fills'!B2871)</f>
        <v/>
      </c>
      <c r="E2871" s="3" t="str">
        <f>IF(A2871="","",IF(DATE(LEFT(D2871,4),MID(D2871,5,2),RIGHT(D2871,2))=Helper1!$P$1,Helper1!$P$1,""))</f>
        <v/>
      </c>
      <c r="F2871" s="3" t="str">
        <f>IF(A2871="","",'ATP Fills'!G2871)</f>
        <v/>
      </c>
      <c r="G2871" t="str">
        <f>IF(A2871="","",'ATP Fills'!H2871)</f>
        <v/>
      </c>
      <c r="H2871" t="str">
        <f>IF(A2871="","",VLOOKUP(G2871,表3_3[],2,0))</f>
        <v/>
      </c>
      <c r="I2871" t="str">
        <f>IF(A2871="","",VLOOKUP(G2871,表3_3[],3,0))</f>
        <v/>
      </c>
      <c r="J2871" t="str">
        <f>IF(A2871="","",IF('ATP Fills'!I2871="3M","",VLOOKUP(RIGHT('ATP Fills'!I2871,2),Helper1!$O$36:$P$48,2,0)))</f>
        <v/>
      </c>
      <c r="K2871" t="str">
        <f>IF(J2871="","",LEFT('ATP Fills'!I2871,4))</f>
        <v/>
      </c>
      <c r="L2871" t="str">
        <f>IF(A2871="","",IF('ATP Fills'!G2871="LME",'ATP Fills'!I2871,""))</f>
        <v/>
      </c>
      <c r="M2871" t="str">
        <f t="shared" si="44"/>
        <v/>
      </c>
    </row>
    <row r="2872" spans="1:13">
      <c r="A2872" t="str">
        <f>IF('ATP Fills'!A2872="","",IF('ATP Fills'!Q2872="PHILLIPSG",'ATP Fills'!F2872,""))</f>
        <v/>
      </c>
      <c r="B2872" t="str">
        <f>IF(A2872="","",'ATP Fills'!L2872)</f>
        <v/>
      </c>
      <c r="C2872" t="str">
        <f>IF(A2872="","",'ATP Fills'!M2872)</f>
        <v/>
      </c>
      <c r="D2872" t="str">
        <f>IF(A2872="","",'ATP Fills'!B2872)</f>
        <v/>
      </c>
      <c r="E2872" s="3" t="str">
        <f>IF(A2872="","",IF(DATE(LEFT(D2872,4),MID(D2872,5,2),RIGHT(D2872,2))=Helper1!$P$1,Helper1!$P$1,""))</f>
        <v/>
      </c>
      <c r="F2872" s="3" t="str">
        <f>IF(A2872="","",'ATP Fills'!G2872)</f>
        <v/>
      </c>
      <c r="G2872" t="str">
        <f>IF(A2872="","",'ATP Fills'!H2872)</f>
        <v/>
      </c>
      <c r="H2872" t="str">
        <f>IF(A2872="","",VLOOKUP(G2872,表3_3[],2,0))</f>
        <v/>
      </c>
      <c r="I2872" t="str">
        <f>IF(A2872="","",VLOOKUP(G2872,表3_3[],3,0))</f>
        <v/>
      </c>
      <c r="J2872" t="str">
        <f>IF(A2872="","",IF('ATP Fills'!I2872="3M","",VLOOKUP(RIGHT('ATP Fills'!I2872,2),Helper1!$O$36:$P$48,2,0)))</f>
        <v/>
      </c>
      <c r="K2872" t="str">
        <f>IF(J2872="","",LEFT('ATP Fills'!I2872,4))</f>
        <v/>
      </c>
      <c r="L2872" t="str">
        <f>IF(A2872="","",IF('ATP Fills'!G2872="LME",'ATP Fills'!I2872,""))</f>
        <v/>
      </c>
      <c r="M2872" t="str">
        <f t="shared" si="44"/>
        <v/>
      </c>
    </row>
    <row r="2873" spans="1:13">
      <c r="A2873" t="str">
        <f>IF('ATP Fills'!A2873="","",IF('ATP Fills'!Q2873="PHILLIPSG",'ATP Fills'!F2873,""))</f>
        <v/>
      </c>
      <c r="B2873" t="str">
        <f>IF(A2873="","",'ATP Fills'!L2873)</f>
        <v/>
      </c>
      <c r="C2873" t="str">
        <f>IF(A2873="","",'ATP Fills'!M2873)</f>
        <v/>
      </c>
      <c r="D2873" t="str">
        <f>IF(A2873="","",'ATP Fills'!B2873)</f>
        <v/>
      </c>
      <c r="E2873" s="3" t="str">
        <f>IF(A2873="","",IF(DATE(LEFT(D2873,4),MID(D2873,5,2),RIGHT(D2873,2))=Helper1!$P$1,Helper1!$P$1,""))</f>
        <v/>
      </c>
      <c r="F2873" s="3" t="str">
        <f>IF(A2873="","",'ATP Fills'!G2873)</f>
        <v/>
      </c>
      <c r="G2873" t="str">
        <f>IF(A2873="","",'ATP Fills'!H2873)</f>
        <v/>
      </c>
      <c r="H2873" t="str">
        <f>IF(A2873="","",VLOOKUP(G2873,表3_3[],2,0))</f>
        <v/>
      </c>
      <c r="I2873" t="str">
        <f>IF(A2873="","",VLOOKUP(G2873,表3_3[],3,0))</f>
        <v/>
      </c>
      <c r="J2873" t="str">
        <f>IF(A2873="","",IF('ATP Fills'!I2873="3M","",VLOOKUP(RIGHT('ATP Fills'!I2873,2),Helper1!$O$36:$P$48,2,0)))</f>
        <v/>
      </c>
      <c r="K2873" t="str">
        <f>IF(J2873="","",LEFT('ATP Fills'!I2873,4))</f>
        <v/>
      </c>
      <c r="L2873" t="str">
        <f>IF(A2873="","",IF('ATP Fills'!G2873="LME",'ATP Fills'!I2873,""))</f>
        <v/>
      </c>
      <c r="M2873" t="str">
        <f t="shared" si="44"/>
        <v/>
      </c>
    </row>
    <row r="2874" spans="1:13">
      <c r="A2874" t="str">
        <f>IF('ATP Fills'!A2874="","",IF('ATP Fills'!Q2874="PHILLIPSG",'ATP Fills'!F2874,""))</f>
        <v/>
      </c>
      <c r="B2874" t="str">
        <f>IF(A2874="","",'ATP Fills'!L2874)</f>
        <v/>
      </c>
      <c r="C2874" t="str">
        <f>IF(A2874="","",'ATP Fills'!M2874)</f>
        <v/>
      </c>
      <c r="D2874" t="str">
        <f>IF(A2874="","",'ATP Fills'!B2874)</f>
        <v/>
      </c>
      <c r="E2874" s="3" t="str">
        <f>IF(A2874="","",IF(DATE(LEFT(D2874,4),MID(D2874,5,2),RIGHT(D2874,2))=Helper1!$P$1,Helper1!$P$1,""))</f>
        <v/>
      </c>
      <c r="F2874" s="3" t="str">
        <f>IF(A2874="","",'ATP Fills'!G2874)</f>
        <v/>
      </c>
      <c r="G2874" t="str">
        <f>IF(A2874="","",'ATP Fills'!H2874)</f>
        <v/>
      </c>
      <c r="H2874" t="str">
        <f>IF(A2874="","",VLOOKUP(G2874,表3_3[],2,0))</f>
        <v/>
      </c>
      <c r="I2874" t="str">
        <f>IF(A2874="","",VLOOKUP(G2874,表3_3[],3,0))</f>
        <v/>
      </c>
      <c r="J2874" t="str">
        <f>IF(A2874="","",IF('ATP Fills'!I2874="3M","",VLOOKUP(RIGHT('ATP Fills'!I2874,2),Helper1!$O$36:$P$48,2,0)))</f>
        <v/>
      </c>
      <c r="K2874" t="str">
        <f>IF(J2874="","",LEFT('ATP Fills'!I2874,4))</f>
        <v/>
      </c>
      <c r="L2874" t="str">
        <f>IF(A2874="","",IF('ATP Fills'!G2874="LME",'ATP Fills'!I2874,""))</f>
        <v/>
      </c>
      <c r="M2874" t="str">
        <f t="shared" si="44"/>
        <v/>
      </c>
    </row>
    <row r="2875" spans="1:13">
      <c r="A2875" t="str">
        <f>IF('ATP Fills'!A2875="","",IF('ATP Fills'!Q2875="PHILLIPSG",'ATP Fills'!F2875,""))</f>
        <v/>
      </c>
      <c r="B2875" t="str">
        <f>IF(A2875="","",'ATP Fills'!L2875)</f>
        <v/>
      </c>
      <c r="C2875" t="str">
        <f>IF(A2875="","",'ATP Fills'!M2875)</f>
        <v/>
      </c>
      <c r="D2875" t="str">
        <f>IF(A2875="","",'ATP Fills'!B2875)</f>
        <v/>
      </c>
      <c r="E2875" s="3" t="str">
        <f>IF(A2875="","",IF(DATE(LEFT(D2875,4),MID(D2875,5,2),RIGHT(D2875,2))=Helper1!$P$1,Helper1!$P$1,""))</f>
        <v/>
      </c>
      <c r="F2875" s="3" t="str">
        <f>IF(A2875="","",'ATP Fills'!G2875)</f>
        <v/>
      </c>
      <c r="G2875" t="str">
        <f>IF(A2875="","",'ATP Fills'!H2875)</f>
        <v/>
      </c>
      <c r="H2875" t="str">
        <f>IF(A2875="","",VLOOKUP(G2875,表3_3[],2,0))</f>
        <v/>
      </c>
      <c r="I2875" t="str">
        <f>IF(A2875="","",VLOOKUP(G2875,表3_3[],3,0))</f>
        <v/>
      </c>
      <c r="J2875" t="str">
        <f>IF(A2875="","",IF('ATP Fills'!I2875="3M","",VLOOKUP(RIGHT('ATP Fills'!I2875,2),Helper1!$O$36:$P$48,2,0)))</f>
        <v/>
      </c>
      <c r="K2875" t="str">
        <f>IF(J2875="","",LEFT('ATP Fills'!I2875,4))</f>
        <v/>
      </c>
      <c r="L2875" t="str">
        <f>IF(A2875="","",IF('ATP Fills'!G2875="LME",'ATP Fills'!I2875,""))</f>
        <v/>
      </c>
      <c r="M2875" t="str">
        <f t="shared" si="44"/>
        <v/>
      </c>
    </row>
    <row r="2876" spans="1:13">
      <c r="A2876" t="str">
        <f>IF('ATP Fills'!A2876="","",IF('ATP Fills'!Q2876="PHILLIPSG",'ATP Fills'!F2876,""))</f>
        <v/>
      </c>
      <c r="B2876" t="str">
        <f>IF(A2876="","",'ATP Fills'!L2876)</f>
        <v/>
      </c>
      <c r="C2876" t="str">
        <f>IF(A2876="","",'ATP Fills'!M2876)</f>
        <v/>
      </c>
      <c r="D2876" t="str">
        <f>IF(A2876="","",'ATP Fills'!B2876)</f>
        <v/>
      </c>
      <c r="E2876" s="3" t="str">
        <f>IF(A2876="","",IF(DATE(LEFT(D2876,4),MID(D2876,5,2),RIGHT(D2876,2))=Helper1!$P$1,Helper1!$P$1,""))</f>
        <v/>
      </c>
      <c r="F2876" s="3" t="str">
        <f>IF(A2876="","",'ATP Fills'!G2876)</f>
        <v/>
      </c>
      <c r="G2876" t="str">
        <f>IF(A2876="","",'ATP Fills'!H2876)</f>
        <v/>
      </c>
      <c r="H2876" t="str">
        <f>IF(A2876="","",VLOOKUP(G2876,表3_3[],2,0))</f>
        <v/>
      </c>
      <c r="I2876" t="str">
        <f>IF(A2876="","",VLOOKUP(G2876,表3_3[],3,0))</f>
        <v/>
      </c>
      <c r="J2876" t="str">
        <f>IF(A2876="","",IF('ATP Fills'!I2876="3M","",VLOOKUP(RIGHT('ATP Fills'!I2876,2),Helper1!$O$36:$P$48,2,0)))</f>
        <v/>
      </c>
      <c r="K2876" t="str">
        <f>IF(J2876="","",LEFT('ATP Fills'!I2876,4))</f>
        <v/>
      </c>
      <c r="L2876" t="str">
        <f>IF(A2876="","",IF('ATP Fills'!G2876="LME",'ATP Fills'!I2876,""))</f>
        <v/>
      </c>
      <c r="M2876" t="str">
        <f t="shared" si="44"/>
        <v/>
      </c>
    </row>
    <row r="2877" spans="1:13">
      <c r="A2877" t="str">
        <f>IF('ATP Fills'!A2877="","",IF('ATP Fills'!Q2877="PHILLIPSG",'ATP Fills'!F2877,""))</f>
        <v/>
      </c>
      <c r="B2877" t="str">
        <f>IF(A2877="","",'ATP Fills'!L2877)</f>
        <v/>
      </c>
      <c r="C2877" t="str">
        <f>IF(A2877="","",'ATP Fills'!M2877)</f>
        <v/>
      </c>
      <c r="D2877" t="str">
        <f>IF(A2877="","",'ATP Fills'!B2877)</f>
        <v/>
      </c>
      <c r="E2877" s="3" t="str">
        <f>IF(A2877="","",IF(DATE(LEFT(D2877,4),MID(D2877,5,2),RIGHT(D2877,2))=Helper1!$P$1,Helper1!$P$1,""))</f>
        <v/>
      </c>
      <c r="F2877" s="3" t="str">
        <f>IF(A2877="","",'ATP Fills'!G2877)</f>
        <v/>
      </c>
      <c r="G2877" t="str">
        <f>IF(A2877="","",'ATP Fills'!H2877)</f>
        <v/>
      </c>
      <c r="H2877" t="str">
        <f>IF(A2877="","",VLOOKUP(G2877,表3_3[],2,0))</f>
        <v/>
      </c>
      <c r="I2877" t="str">
        <f>IF(A2877="","",VLOOKUP(G2877,表3_3[],3,0))</f>
        <v/>
      </c>
      <c r="J2877" t="str">
        <f>IF(A2877="","",IF('ATP Fills'!I2877="3M","",VLOOKUP(RIGHT('ATP Fills'!I2877,2),Helper1!$O$36:$P$48,2,0)))</f>
        <v/>
      </c>
      <c r="K2877" t="str">
        <f>IF(J2877="","",LEFT('ATP Fills'!I2877,4))</f>
        <v/>
      </c>
      <c r="L2877" t="str">
        <f>IF(A2877="","",IF('ATP Fills'!G2877="LME",'ATP Fills'!I2877,""))</f>
        <v/>
      </c>
      <c r="M2877" t="str">
        <f t="shared" si="44"/>
        <v/>
      </c>
    </row>
    <row r="2878" spans="1:13">
      <c r="A2878" t="str">
        <f>IF('ATP Fills'!A2878="","",IF('ATP Fills'!Q2878="PHILLIPSG",'ATP Fills'!F2878,""))</f>
        <v/>
      </c>
      <c r="B2878" t="str">
        <f>IF(A2878="","",'ATP Fills'!L2878)</f>
        <v/>
      </c>
      <c r="C2878" t="str">
        <f>IF(A2878="","",'ATP Fills'!M2878)</f>
        <v/>
      </c>
      <c r="D2878" t="str">
        <f>IF(A2878="","",'ATP Fills'!B2878)</f>
        <v/>
      </c>
      <c r="E2878" s="3" t="str">
        <f>IF(A2878="","",IF(DATE(LEFT(D2878,4),MID(D2878,5,2),RIGHT(D2878,2))=Helper1!$P$1,Helper1!$P$1,""))</f>
        <v/>
      </c>
      <c r="F2878" s="3" t="str">
        <f>IF(A2878="","",'ATP Fills'!G2878)</f>
        <v/>
      </c>
      <c r="G2878" t="str">
        <f>IF(A2878="","",'ATP Fills'!H2878)</f>
        <v/>
      </c>
      <c r="H2878" t="str">
        <f>IF(A2878="","",VLOOKUP(G2878,表3_3[],2,0))</f>
        <v/>
      </c>
      <c r="I2878" t="str">
        <f>IF(A2878="","",VLOOKUP(G2878,表3_3[],3,0))</f>
        <v/>
      </c>
      <c r="J2878" t="str">
        <f>IF(A2878="","",IF('ATP Fills'!I2878="3M","",VLOOKUP(RIGHT('ATP Fills'!I2878,2),Helper1!$O$36:$P$48,2,0)))</f>
        <v/>
      </c>
      <c r="K2878" t="str">
        <f>IF(J2878="","",LEFT('ATP Fills'!I2878,4))</f>
        <v/>
      </c>
      <c r="L2878" t="str">
        <f>IF(A2878="","",IF('ATP Fills'!G2878="LME",'ATP Fills'!I2878,""))</f>
        <v/>
      </c>
      <c r="M2878" t="str">
        <f t="shared" si="44"/>
        <v/>
      </c>
    </row>
    <row r="2879" spans="1:13">
      <c r="A2879" t="str">
        <f>IF('ATP Fills'!A2879="","",IF('ATP Fills'!Q2879="PHILLIPSG",'ATP Fills'!F2879,""))</f>
        <v/>
      </c>
      <c r="B2879" t="str">
        <f>IF(A2879="","",'ATP Fills'!L2879)</f>
        <v/>
      </c>
      <c r="C2879" t="str">
        <f>IF(A2879="","",'ATP Fills'!M2879)</f>
        <v/>
      </c>
      <c r="D2879" t="str">
        <f>IF(A2879="","",'ATP Fills'!B2879)</f>
        <v/>
      </c>
      <c r="E2879" s="3" t="str">
        <f>IF(A2879="","",IF(DATE(LEFT(D2879,4),MID(D2879,5,2),RIGHT(D2879,2))=Helper1!$P$1,Helper1!$P$1,""))</f>
        <v/>
      </c>
      <c r="F2879" s="3" t="str">
        <f>IF(A2879="","",'ATP Fills'!G2879)</f>
        <v/>
      </c>
      <c r="G2879" t="str">
        <f>IF(A2879="","",'ATP Fills'!H2879)</f>
        <v/>
      </c>
      <c r="H2879" t="str">
        <f>IF(A2879="","",VLOOKUP(G2879,表3_3[],2,0))</f>
        <v/>
      </c>
      <c r="I2879" t="str">
        <f>IF(A2879="","",VLOOKUP(G2879,表3_3[],3,0))</f>
        <v/>
      </c>
      <c r="J2879" t="str">
        <f>IF(A2879="","",IF('ATP Fills'!I2879="3M","",VLOOKUP(RIGHT('ATP Fills'!I2879,2),Helper1!$O$36:$P$48,2,0)))</f>
        <v/>
      </c>
      <c r="K2879" t="str">
        <f>IF(J2879="","",LEFT('ATP Fills'!I2879,4))</f>
        <v/>
      </c>
      <c r="L2879" t="str">
        <f>IF(A2879="","",IF('ATP Fills'!G2879="LME",'ATP Fills'!I2879,""))</f>
        <v/>
      </c>
      <c r="M2879" t="str">
        <f t="shared" si="44"/>
        <v/>
      </c>
    </row>
    <row r="2880" spans="1:13">
      <c r="A2880" t="str">
        <f>IF('ATP Fills'!A2880="","",IF('ATP Fills'!Q2880="PHILLIPSG",'ATP Fills'!F2880,""))</f>
        <v/>
      </c>
      <c r="B2880" t="str">
        <f>IF(A2880="","",'ATP Fills'!L2880)</f>
        <v/>
      </c>
      <c r="C2880" t="str">
        <f>IF(A2880="","",'ATP Fills'!M2880)</f>
        <v/>
      </c>
      <c r="D2880" t="str">
        <f>IF(A2880="","",'ATP Fills'!B2880)</f>
        <v/>
      </c>
      <c r="E2880" s="3" t="str">
        <f>IF(A2880="","",IF(DATE(LEFT(D2880,4),MID(D2880,5,2),RIGHT(D2880,2))=Helper1!$P$1,Helper1!$P$1,""))</f>
        <v/>
      </c>
      <c r="F2880" s="3" t="str">
        <f>IF(A2880="","",'ATP Fills'!G2880)</f>
        <v/>
      </c>
      <c r="G2880" t="str">
        <f>IF(A2880="","",'ATP Fills'!H2880)</f>
        <v/>
      </c>
      <c r="H2880" t="str">
        <f>IF(A2880="","",VLOOKUP(G2880,表3_3[],2,0))</f>
        <v/>
      </c>
      <c r="I2880" t="str">
        <f>IF(A2880="","",VLOOKUP(G2880,表3_3[],3,0))</f>
        <v/>
      </c>
      <c r="J2880" t="str">
        <f>IF(A2880="","",IF('ATP Fills'!I2880="3M","",VLOOKUP(RIGHT('ATP Fills'!I2880,2),Helper1!$O$36:$P$48,2,0)))</f>
        <v/>
      </c>
      <c r="K2880" t="str">
        <f>IF(J2880="","",LEFT('ATP Fills'!I2880,4))</f>
        <v/>
      </c>
      <c r="L2880" t="str">
        <f>IF(A2880="","",IF('ATP Fills'!G2880="LME",'ATP Fills'!I2880,""))</f>
        <v/>
      </c>
      <c r="M2880" t="str">
        <f t="shared" si="44"/>
        <v/>
      </c>
    </row>
    <row r="2881" spans="1:13">
      <c r="A2881" t="str">
        <f>IF('ATP Fills'!A2881="","",IF('ATP Fills'!Q2881="PHILLIPSG",'ATP Fills'!F2881,""))</f>
        <v/>
      </c>
      <c r="B2881" t="str">
        <f>IF(A2881="","",'ATP Fills'!L2881)</f>
        <v/>
      </c>
      <c r="C2881" t="str">
        <f>IF(A2881="","",'ATP Fills'!M2881)</f>
        <v/>
      </c>
      <c r="D2881" t="str">
        <f>IF(A2881="","",'ATP Fills'!B2881)</f>
        <v/>
      </c>
      <c r="E2881" s="3" t="str">
        <f>IF(A2881="","",IF(DATE(LEFT(D2881,4),MID(D2881,5,2),RIGHT(D2881,2))=Helper1!$P$1,Helper1!$P$1,""))</f>
        <v/>
      </c>
      <c r="F2881" s="3" t="str">
        <f>IF(A2881="","",'ATP Fills'!G2881)</f>
        <v/>
      </c>
      <c r="G2881" t="str">
        <f>IF(A2881="","",'ATP Fills'!H2881)</f>
        <v/>
      </c>
      <c r="H2881" t="str">
        <f>IF(A2881="","",VLOOKUP(G2881,表3_3[],2,0))</f>
        <v/>
      </c>
      <c r="I2881" t="str">
        <f>IF(A2881="","",VLOOKUP(G2881,表3_3[],3,0))</f>
        <v/>
      </c>
      <c r="J2881" t="str">
        <f>IF(A2881="","",IF('ATP Fills'!I2881="3M","",VLOOKUP(RIGHT('ATP Fills'!I2881,2),Helper1!$O$36:$P$48,2,0)))</f>
        <v/>
      </c>
      <c r="K2881" t="str">
        <f>IF(J2881="","",LEFT('ATP Fills'!I2881,4))</f>
        <v/>
      </c>
      <c r="L2881" t="str">
        <f>IF(A2881="","",IF('ATP Fills'!G2881="LME",'ATP Fills'!I2881,""))</f>
        <v/>
      </c>
      <c r="M2881" t="str">
        <f t="shared" si="44"/>
        <v/>
      </c>
    </row>
    <row r="2882" spans="1:13">
      <c r="A2882" t="str">
        <f>IF('ATP Fills'!A2882="","",IF('ATP Fills'!Q2882="PHILLIPSG",'ATP Fills'!F2882,""))</f>
        <v/>
      </c>
      <c r="B2882" t="str">
        <f>IF(A2882="","",'ATP Fills'!L2882)</f>
        <v/>
      </c>
      <c r="C2882" t="str">
        <f>IF(A2882="","",'ATP Fills'!M2882)</f>
        <v/>
      </c>
      <c r="D2882" t="str">
        <f>IF(A2882="","",'ATP Fills'!B2882)</f>
        <v/>
      </c>
      <c r="E2882" s="3" t="str">
        <f>IF(A2882="","",IF(DATE(LEFT(D2882,4),MID(D2882,5,2),RIGHT(D2882,2))=Helper1!$P$1,Helper1!$P$1,""))</f>
        <v/>
      </c>
      <c r="F2882" s="3" t="str">
        <f>IF(A2882="","",'ATP Fills'!G2882)</f>
        <v/>
      </c>
      <c r="G2882" t="str">
        <f>IF(A2882="","",'ATP Fills'!H2882)</f>
        <v/>
      </c>
      <c r="H2882" t="str">
        <f>IF(A2882="","",VLOOKUP(G2882,表3_3[],2,0))</f>
        <v/>
      </c>
      <c r="I2882" t="str">
        <f>IF(A2882="","",VLOOKUP(G2882,表3_3[],3,0))</f>
        <v/>
      </c>
      <c r="J2882" t="str">
        <f>IF(A2882="","",IF('ATP Fills'!I2882="3M","",VLOOKUP(RIGHT('ATP Fills'!I2882,2),Helper1!$O$36:$P$48,2,0)))</f>
        <v/>
      </c>
      <c r="K2882" t="str">
        <f>IF(J2882="","",LEFT('ATP Fills'!I2882,4))</f>
        <v/>
      </c>
      <c r="L2882" t="str">
        <f>IF(A2882="","",IF('ATP Fills'!G2882="LME",'ATP Fills'!I2882,""))</f>
        <v/>
      </c>
      <c r="M2882" t="str">
        <f t="shared" si="44"/>
        <v/>
      </c>
    </row>
    <row r="2883" spans="1:13">
      <c r="A2883" t="str">
        <f>IF('ATP Fills'!A2883="","",IF('ATP Fills'!Q2883="PHILLIPSG",'ATP Fills'!F2883,""))</f>
        <v/>
      </c>
      <c r="B2883" t="str">
        <f>IF(A2883="","",'ATP Fills'!L2883)</f>
        <v/>
      </c>
      <c r="C2883" t="str">
        <f>IF(A2883="","",'ATP Fills'!M2883)</f>
        <v/>
      </c>
      <c r="D2883" t="str">
        <f>IF(A2883="","",'ATP Fills'!B2883)</f>
        <v/>
      </c>
      <c r="E2883" s="3" t="str">
        <f>IF(A2883="","",IF(DATE(LEFT(D2883,4),MID(D2883,5,2),RIGHT(D2883,2))=Helper1!$P$1,Helper1!$P$1,""))</f>
        <v/>
      </c>
      <c r="F2883" s="3" t="str">
        <f>IF(A2883="","",'ATP Fills'!G2883)</f>
        <v/>
      </c>
      <c r="G2883" t="str">
        <f>IF(A2883="","",'ATP Fills'!H2883)</f>
        <v/>
      </c>
      <c r="H2883" t="str">
        <f>IF(A2883="","",VLOOKUP(G2883,表3_3[],2,0))</f>
        <v/>
      </c>
      <c r="I2883" t="str">
        <f>IF(A2883="","",VLOOKUP(G2883,表3_3[],3,0))</f>
        <v/>
      </c>
      <c r="J2883" t="str">
        <f>IF(A2883="","",IF('ATP Fills'!I2883="3M","",VLOOKUP(RIGHT('ATP Fills'!I2883,2),Helper1!$O$36:$P$48,2,0)))</f>
        <v/>
      </c>
      <c r="K2883" t="str">
        <f>IF(J2883="","",LEFT('ATP Fills'!I2883,4))</f>
        <v/>
      </c>
      <c r="L2883" t="str">
        <f>IF(A2883="","",IF('ATP Fills'!G2883="LME",'ATP Fills'!I2883,""))</f>
        <v/>
      </c>
      <c r="M2883" t="str">
        <f t="shared" ref="M2883:M2946" si="45">IF(A2883="","",IF(F2883="LME",F2883&amp;"-"&amp;I2883&amp;"-"&amp;L2883,J2883&amp;"-"&amp;K2883&amp;"-"&amp;I2883))</f>
        <v/>
      </c>
    </row>
    <row r="2884" spans="1:13">
      <c r="A2884" t="str">
        <f>IF('ATP Fills'!A2884="","",IF('ATP Fills'!Q2884="PHILLIPSG",'ATP Fills'!F2884,""))</f>
        <v/>
      </c>
      <c r="B2884" t="str">
        <f>IF(A2884="","",'ATP Fills'!L2884)</f>
        <v/>
      </c>
      <c r="C2884" t="str">
        <f>IF(A2884="","",'ATP Fills'!M2884)</f>
        <v/>
      </c>
      <c r="D2884" t="str">
        <f>IF(A2884="","",'ATP Fills'!B2884)</f>
        <v/>
      </c>
      <c r="E2884" s="3" t="str">
        <f>IF(A2884="","",IF(DATE(LEFT(D2884,4),MID(D2884,5,2),RIGHT(D2884,2))=Helper1!$P$1,Helper1!$P$1,""))</f>
        <v/>
      </c>
      <c r="F2884" s="3" t="str">
        <f>IF(A2884="","",'ATP Fills'!G2884)</f>
        <v/>
      </c>
      <c r="G2884" t="str">
        <f>IF(A2884="","",'ATP Fills'!H2884)</f>
        <v/>
      </c>
      <c r="H2884" t="str">
        <f>IF(A2884="","",VLOOKUP(G2884,表3_3[],2,0))</f>
        <v/>
      </c>
      <c r="I2884" t="str">
        <f>IF(A2884="","",VLOOKUP(G2884,表3_3[],3,0))</f>
        <v/>
      </c>
      <c r="J2884" t="str">
        <f>IF(A2884="","",IF('ATP Fills'!I2884="3M","",VLOOKUP(RIGHT('ATP Fills'!I2884,2),Helper1!$O$36:$P$48,2,0)))</f>
        <v/>
      </c>
      <c r="K2884" t="str">
        <f>IF(J2884="","",LEFT('ATP Fills'!I2884,4))</f>
        <v/>
      </c>
      <c r="L2884" t="str">
        <f>IF(A2884="","",IF('ATP Fills'!G2884="LME",'ATP Fills'!I2884,""))</f>
        <v/>
      </c>
      <c r="M2884" t="str">
        <f t="shared" si="45"/>
        <v/>
      </c>
    </row>
    <row r="2885" spans="1:13">
      <c r="A2885" t="str">
        <f>IF('ATP Fills'!A2885="","",IF('ATP Fills'!Q2885="PHILLIPSG",'ATP Fills'!F2885,""))</f>
        <v/>
      </c>
      <c r="B2885" t="str">
        <f>IF(A2885="","",'ATP Fills'!L2885)</f>
        <v/>
      </c>
      <c r="C2885" t="str">
        <f>IF(A2885="","",'ATP Fills'!M2885)</f>
        <v/>
      </c>
      <c r="D2885" t="str">
        <f>IF(A2885="","",'ATP Fills'!B2885)</f>
        <v/>
      </c>
      <c r="E2885" s="3" t="str">
        <f>IF(A2885="","",IF(DATE(LEFT(D2885,4),MID(D2885,5,2),RIGHT(D2885,2))=Helper1!$P$1,Helper1!$P$1,""))</f>
        <v/>
      </c>
      <c r="F2885" s="3" t="str">
        <f>IF(A2885="","",'ATP Fills'!G2885)</f>
        <v/>
      </c>
      <c r="G2885" t="str">
        <f>IF(A2885="","",'ATP Fills'!H2885)</f>
        <v/>
      </c>
      <c r="H2885" t="str">
        <f>IF(A2885="","",VLOOKUP(G2885,表3_3[],2,0))</f>
        <v/>
      </c>
      <c r="I2885" t="str">
        <f>IF(A2885="","",VLOOKUP(G2885,表3_3[],3,0))</f>
        <v/>
      </c>
      <c r="J2885" t="str">
        <f>IF(A2885="","",IF('ATP Fills'!I2885="3M","",VLOOKUP(RIGHT('ATP Fills'!I2885,2),Helper1!$O$36:$P$48,2,0)))</f>
        <v/>
      </c>
      <c r="K2885" t="str">
        <f>IF(J2885="","",LEFT('ATP Fills'!I2885,4))</f>
        <v/>
      </c>
      <c r="L2885" t="str">
        <f>IF(A2885="","",IF('ATP Fills'!G2885="LME",'ATP Fills'!I2885,""))</f>
        <v/>
      </c>
      <c r="M2885" t="str">
        <f t="shared" si="45"/>
        <v/>
      </c>
    </row>
    <row r="2886" spans="1:13">
      <c r="A2886" t="str">
        <f>IF('ATP Fills'!A2886="","",IF('ATP Fills'!Q2886="PHILLIPSG",'ATP Fills'!F2886,""))</f>
        <v/>
      </c>
      <c r="B2886" t="str">
        <f>IF(A2886="","",'ATP Fills'!L2886)</f>
        <v/>
      </c>
      <c r="C2886" t="str">
        <f>IF(A2886="","",'ATP Fills'!M2886)</f>
        <v/>
      </c>
      <c r="D2886" t="str">
        <f>IF(A2886="","",'ATP Fills'!B2886)</f>
        <v/>
      </c>
      <c r="E2886" s="3" t="str">
        <f>IF(A2886="","",IF(DATE(LEFT(D2886,4),MID(D2886,5,2),RIGHT(D2886,2))=Helper1!$P$1,Helper1!$P$1,""))</f>
        <v/>
      </c>
      <c r="F2886" s="3" t="str">
        <f>IF(A2886="","",'ATP Fills'!G2886)</f>
        <v/>
      </c>
      <c r="G2886" t="str">
        <f>IF(A2886="","",'ATP Fills'!H2886)</f>
        <v/>
      </c>
      <c r="H2886" t="str">
        <f>IF(A2886="","",VLOOKUP(G2886,表3_3[],2,0))</f>
        <v/>
      </c>
      <c r="I2886" t="str">
        <f>IF(A2886="","",VLOOKUP(G2886,表3_3[],3,0))</f>
        <v/>
      </c>
      <c r="J2886" t="str">
        <f>IF(A2886="","",IF('ATP Fills'!I2886="3M","",VLOOKUP(RIGHT('ATP Fills'!I2886,2),Helper1!$O$36:$P$48,2,0)))</f>
        <v/>
      </c>
      <c r="K2886" t="str">
        <f>IF(J2886="","",LEFT('ATP Fills'!I2886,4))</f>
        <v/>
      </c>
      <c r="L2886" t="str">
        <f>IF(A2886="","",IF('ATP Fills'!G2886="LME",'ATP Fills'!I2886,""))</f>
        <v/>
      </c>
      <c r="M2886" t="str">
        <f t="shared" si="45"/>
        <v/>
      </c>
    </row>
    <row r="2887" spans="1:13">
      <c r="A2887" t="str">
        <f>IF('ATP Fills'!A2887="","",IF('ATP Fills'!Q2887="PHILLIPSG",'ATP Fills'!F2887,""))</f>
        <v/>
      </c>
      <c r="B2887" t="str">
        <f>IF(A2887="","",'ATP Fills'!L2887)</f>
        <v/>
      </c>
      <c r="C2887" t="str">
        <f>IF(A2887="","",'ATP Fills'!M2887)</f>
        <v/>
      </c>
      <c r="D2887" t="str">
        <f>IF(A2887="","",'ATP Fills'!B2887)</f>
        <v/>
      </c>
      <c r="E2887" s="3" t="str">
        <f>IF(A2887="","",IF(DATE(LEFT(D2887,4),MID(D2887,5,2),RIGHT(D2887,2))=Helper1!$P$1,Helper1!$P$1,""))</f>
        <v/>
      </c>
      <c r="F2887" s="3" t="str">
        <f>IF(A2887="","",'ATP Fills'!G2887)</f>
        <v/>
      </c>
      <c r="G2887" t="str">
        <f>IF(A2887="","",'ATP Fills'!H2887)</f>
        <v/>
      </c>
      <c r="H2887" t="str">
        <f>IF(A2887="","",VLOOKUP(G2887,表3_3[],2,0))</f>
        <v/>
      </c>
      <c r="I2887" t="str">
        <f>IF(A2887="","",VLOOKUP(G2887,表3_3[],3,0))</f>
        <v/>
      </c>
      <c r="J2887" t="str">
        <f>IF(A2887="","",IF('ATP Fills'!I2887="3M","",VLOOKUP(RIGHT('ATP Fills'!I2887,2),Helper1!$O$36:$P$48,2,0)))</f>
        <v/>
      </c>
      <c r="K2887" t="str">
        <f>IF(J2887="","",LEFT('ATP Fills'!I2887,4))</f>
        <v/>
      </c>
      <c r="L2887" t="str">
        <f>IF(A2887="","",IF('ATP Fills'!G2887="LME",'ATP Fills'!I2887,""))</f>
        <v/>
      </c>
      <c r="M2887" t="str">
        <f t="shared" si="45"/>
        <v/>
      </c>
    </row>
    <row r="2888" spans="1:13">
      <c r="A2888" t="str">
        <f>IF('ATP Fills'!A2888="","",IF('ATP Fills'!Q2888="PHILLIPSG",'ATP Fills'!F2888,""))</f>
        <v/>
      </c>
      <c r="B2888" t="str">
        <f>IF(A2888="","",'ATP Fills'!L2888)</f>
        <v/>
      </c>
      <c r="C2888" t="str">
        <f>IF(A2888="","",'ATP Fills'!M2888)</f>
        <v/>
      </c>
      <c r="D2888" t="str">
        <f>IF(A2888="","",'ATP Fills'!B2888)</f>
        <v/>
      </c>
      <c r="E2888" s="3" t="str">
        <f>IF(A2888="","",IF(DATE(LEFT(D2888,4),MID(D2888,5,2),RIGHT(D2888,2))=Helper1!$P$1,Helper1!$P$1,""))</f>
        <v/>
      </c>
      <c r="F2888" s="3" t="str">
        <f>IF(A2888="","",'ATP Fills'!G2888)</f>
        <v/>
      </c>
      <c r="G2888" t="str">
        <f>IF(A2888="","",'ATP Fills'!H2888)</f>
        <v/>
      </c>
      <c r="H2888" t="str">
        <f>IF(A2888="","",VLOOKUP(G2888,表3_3[],2,0))</f>
        <v/>
      </c>
      <c r="I2888" t="str">
        <f>IF(A2888="","",VLOOKUP(G2888,表3_3[],3,0))</f>
        <v/>
      </c>
      <c r="J2888" t="str">
        <f>IF(A2888="","",IF('ATP Fills'!I2888="3M","",VLOOKUP(RIGHT('ATP Fills'!I2888,2),Helper1!$O$36:$P$48,2,0)))</f>
        <v/>
      </c>
      <c r="K2888" t="str">
        <f>IF(J2888="","",LEFT('ATP Fills'!I2888,4))</f>
        <v/>
      </c>
      <c r="L2888" t="str">
        <f>IF(A2888="","",IF('ATP Fills'!G2888="LME",'ATP Fills'!I2888,""))</f>
        <v/>
      </c>
      <c r="M2888" t="str">
        <f t="shared" si="45"/>
        <v/>
      </c>
    </row>
    <row r="2889" spans="1:13">
      <c r="A2889" t="str">
        <f>IF('ATP Fills'!A2889="","",IF('ATP Fills'!Q2889="PHILLIPSG",'ATP Fills'!F2889,""))</f>
        <v/>
      </c>
      <c r="B2889" t="str">
        <f>IF(A2889="","",'ATP Fills'!L2889)</f>
        <v/>
      </c>
      <c r="C2889" t="str">
        <f>IF(A2889="","",'ATP Fills'!M2889)</f>
        <v/>
      </c>
      <c r="D2889" t="str">
        <f>IF(A2889="","",'ATP Fills'!B2889)</f>
        <v/>
      </c>
      <c r="E2889" s="3" t="str">
        <f>IF(A2889="","",IF(DATE(LEFT(D2889,4),MID(D2889,5,2),RIGHT(D2889,2))=Helper1!$P$1,Helper1!$P$1,""))</f>
        <v/>
      </c>
      <c r="F2889" s="3" t="str">
        <f>IF(A2889="","",'ATP Fills'!G2889)</f>
        <v/>
      </c>
      <c r="G2889" t="str">
        <f>IF(A2889="","",'ATP Fills'!H2889)</f>
        <v/>
      </c>
      <c r="H2889" t="str">
        <f>IF(A2889="","",VLOOKUP(G2889,表3_3[],2,0))</f>
        <v/>
      </c>
      <c r="I2889" t="str">
        <f>IF(A2889="","",VLOOKUP(G2889,表3_3[],3,0))</f>
        <v/>
      </c>
      <c r="J2889" t="str">
        <f>IF(A2889="","",IF('ATP Fills'!I2889="3M","",VLOOKUP(RIGHT('ATP Fills'!I2889,2),Helper1!$O$36:$P$48,2,0)))</f>
        <v/>
      </c>
      <c r="K2889" t="str">
        <f>IF(J2889="","",LEFT('ATP Fills'!I2889,4))</f>
        <v/>
      </c>
      <c r="L2889" t="str">
        <f>IF(A2889="","",IF('ATP Fills'!G2889="LME",'ATP Fills'!I2889,""))</f>
        <v/>
      </c>
      <c r="M2889" t="str">
        <f t="shared" si="45"/>
        <v/>
      </c>
    </row>
    <row r="2890" spans="1:13">
      <c r="A2890" t="str">
        <f>IF('ATP Fills'!A2890="","",IF('ATP Fills'!Q2890="PHILLIPSG",'ATP Fills'!F2890,""))</f>
        <v/>
      </c>
      <c r="B2890" t="str">
        <f>IF(A2890="","",'ATP Fills'!L2890)</f>
        <v/>
      </c>
      <c r="C2890" t="str">
        <f>IF(A2890="","",'ATP Fills'!M2890)</f>
        <v/>
      </c>
      <c r="D2890" t="str">
        <f>IF(A2890="","",'ATP Fills'!B2890)</f>
        <v/>
      </c>
      <c r="E2890" s="3" t="str">
        <f>IF(A2890="","",IF(DATE(LEFT(D2890,4),MID(D2890,5,2),RIGHT(D2890,2))=Helper1!$P$1,Helper1!$P$1,""))</f>
        <v/>
      </c>
      <c r="F2890" s="3" t="str">
        <f>IF(A2890="","",'ATP Fills'!G2890)</f>
        <v/>
      </c>
      <c r="G2890" t="str">
        <f>IF(A2890="","",'ATP Fills'!H2890)</f>
        <v/>
      </c>
      <c r="H2890" t="str">
        <f>IF(A2890="","",VLOOKUP(G2890,表3_3[],2,0))</f>
        <v/>
      </c>
      <c r="I2890" t="str">
        <f>IF(A2890="","",VLOOKUP(G2890,表3_3[],3,0))</f>
        <v/>
      </c>
      <c r="J2890" t="str">
        <f>IF(A2890="","",IF('ATP Fills'!I2890="3M","",VLOOKUP(RIGHT('ATP Fills'!I2890,2),Helper1!$O$36:$P$48,2,0)))</f>
        <v/>
      </c>
      <c r="K2890" t="str">
        <f>IF(J2890="","",LEFT('ATP Fills'!I2890,4))</f>
        <v/>
      </c>
      <c r="L2890" t="str">
        <f>IF(A2890="","",IF('ATP Fills'!G2890="LME",'ATP Fills'!I2890,""))</f>
        <v/>
      </c>
      <c r="M2890" t="str">
        <f t="shared" si="45"/>
        <v/>
      </c>
    </row>
    <row r="2891" spans="1:13">
      <c r="A2891" t="str">
        <f>IF('ATP Fills'!A2891="","",IF('ATP Fills'!Q2891="PHILLIPSG",'ATP Fills'!F2891,""))</f>
        <v/>
      </c>
      <c r="B2891" t="str">
        <f>IF(A2891="","",'ATP Fills'!L2891)</f>
        <v/>
      </c>
      <c r="C2891" t="str">
        <f>IF(A2891="","",'ATP Fills'!M2891)</f>
        <v/>
      </c>
      <c r="D2891" t="str">
        <f>IF(A2891="","",'ATP Fills'!B2891)</f>
        <v/>
      </c>
      <c r="E2891" s="3" t="str">
        <f>IF(A2891="","",IF(DATE(LEFT(D2891,4),MID(D2891,5,2),RIGHT(D2891,2))=Helper1!$P$1,Helper1!$P$1,""))</f>
        <v/>
      </c>
      <c r="F2891" s="3" t="str">
        <f>IF(A2891="","",'ATP Fills'!G2891)</f>
        <v/>
      </c>
      <c r="G2891" t="str">
        <f>IF(A2891="","",'ATP Fills'!H2891)</f>
        <v/>
      </c>
      <c r="H2891" t="str">
        <f>IF(A2891="","",VLOOKUP(G2891,表3_3[],2,0))</f>
        <v/>
      </c>
      <c r="I2891" t="str">
        <f>IF(A2891="","",VLOOKUP(G2891,表3_3[],3,0))</f>
        <v/>
      </c>
      <c r="J2891" t="str">
        <f>IF(A2891="","",IF('ATP Fills'!I2891="3M","",VLOOKUP(RIGHT('ATP Fills'!I2891,2),Helper1!$O$36:$P$48,2,0)))</f>
        <v/>
      </c>
      <c r="K2891" t="str">
        <f>IF(J2891="","",LEFT('ATP Fills'!I2891,4))</f>
        <v/>
      </c>
      <c r="L2891" t="str">
        <f>IF(A2891="","",IF('ATP Fills'!G2891="LME",'ATP Fills'!I2891,""))</f>
        <v/>
      </c>
      <c r="M2891" t="str">
        <f t="shared" si="45"/>
        <v/>
      </c>
    </row>
    <row r="2892" spans="1:13">
      <c r="A2892" t="str">
        <f>IF('ATP Fills'!A2892="","",IF('ATP Fills'!Q2892="PHILLIPSG",'ATP Fills'!F2892,""))</f>
        <v/>
      </c>
      <c r="B2892" t="str">
        <f>IF(A2892="","",'ATP Fills'!L2892)</f>
        <v/>
      </c>
      <c r="C2892" t="str">
        <f>IF(A2892="","",'ATP Fills'!M2892)</f>
        <v/>
      </c>
      <c r="D2892" t="str">
        <f>IF(A2892="","",'ATP Fills'!B2892)</f>
        <v/>
      </c>
      <c r="E2892" s="3" t="str">
        <f>IF(A2892="","",IF(DATE(LEFT(D2892,4),MID(D2892,5,2),RIGHT(D2892,2))=Helper1!$P$1,Helper1!$P$1,""))</f>
        <v/>
      </c>
      <c r="F2892" s="3" t="str">
        <f>IF(A2892="","",'ATP Fills'!G2892)</f>
        <v/>
      </c>
      <c r="G2892" t="str">
        <f>IF(A2892="","",'ATP Fills'!H2892)</f>
        <v/>
      </c>
      <c r="H2892" t="str">
        <f>IF(A2892="","",VLOOKUP(G2892,表3_3[],2,0))</f>
        <v/>
      </c>
      <c r="I2892" t="str">
        <f>IF(A2892="","",VLOOKUP(G2892,表3_3[],3,0))</f>
        <v/>
      </c>
      <c r="J2892" t="str">
        <f>IF(A2892="","",IF('ATP Fills'!I2892="3M","",VLOOKUP(RIGHT('ATP Fills'!I2892,2),Helper1!$O$36:$P$48,2,0)))</f>
        <v/>
      </c>
      <c r="K2892" t="str">
        <f>IF(J2892="","",LEFT('ATP Fills'!I2892,4))</f>
        <v/>
      </c>
      <c r="L2892" t="str">
        <f>IF(A2892="","",IF('ATP Fills'!G2892="LME",'ATP Fills'!I2892,""))</f>
        <v/>
      </c>
      <c r="M2892" t="str">
        <f t="shared" si="45"/>
        <v/>
      </c>
    </row>
    <row r="2893" spans="1:13">
      <c r="A2893" t="str">
        <f>IF('ATP Fills'!A2893="","",IF('ATP Fills'!Q2893="PHILLIPSG",'ATP Fills'!F2893,""))</f>
        <v/>
      </c>
      <c r="B2893" t="str">
        <f>IF(A2893="","",'ATP Fills'!L2893)</f>
        <v/>
      </c>
      <c r="C2893" t="str">
        <f>IF(A2893="","",'ATP Fills'!M2893)</f>
        <v/>
      </c>
      <c r="D2893" t="str">
        <f>IF(A2893="","",'ATP Fills'!B2893)</f>
        <v/>
      </c>
      <c r="E2893" s="3" t="str">
        <f>IF(A2893="","",IF(DATE(LEFT(D2893,4),MID(D2893,5,2),RIGHT(D2893,2))=Helper1!$P$1,Helper1!$P$1,""))</f>
        <v/>
      </c>
      <c r="F2893" s="3" t="str">
        <f>IF(A2893="","",'ATP Fills'!G2893)</f>
        <v/>
      </c>
      <c r="G2893" t="str">
        <f>IF(A2893="","",'ATP Fills'!H2893)</f>
        <v/>
      </c>
      <c r="H2893" t="str">
        <f>IF(A2893="","",VLOOKUP(G2893,表3_3[],2,0))</f>
        <v/>
      </c>
      <c r="I2893" t="str">
        <f>IF(A2893="","",VLOOKUP(G2893,表3_3[],3,0))</f>
        <v/>
      </c>
      <c r="J2893" t="str">
        <f>IF(A2893="","",IF('ATP Fills'!I2893="3M","",VLOOKUP(RIGHT('ATP Fills'!I2893,2),Helper1!$O$36:$P$48,2,0)))</f>
        <v/>
      </c>
      <c r="K2893" t="str">
        <f>IF(J2893="","",LEFT('ATP Fills'!I2893,4))</f>
        <v/>
      </c>
      <c r="L2893" t="str">
        <f>IF(A2893="","",IF('ATP Fills'!G2893="LME",'ATP Fills'!I2893,""))</f>
        <v/>
      </c>
      <c r="M2893" t="str">
        <f t="shared" si="45"/>
        <v/>
      </c>
    </row>
    <row r="2894" spans="1:13">
      <c r="A2894" t="str">
        <f>IF('ATP Fills'!A2894="","",IF('ATP Fills'!Q2894="PHILLIPSG",'ATP Fills'!F2894,""))</f>
        <v/>
      </c>
      <c r="B2894" t="str">
        <f>IF(A2894="","",'ATP Fills'!L2894)</f>
        <v/>
      </c>
      <c r="C2894" t="str">
        <f>IF(A2894="","",'ATP Fills'!M2894)</f>
        <v/>
      </c>
      <c r="D2894" t="str">
        <f>IF(A2894="","",'ATP Fills'!B2894)</f>
        <v/>
      </c>
      <c r="E2894" s="3" t="str">
        <f>IF(A2894="","",IF(DATE(LEFT(D2894,4),MID(D2894,5,2),RIGHT(D2894,2))=Helper1!$P$1,Helper1!$P$1,""))</f>
        <v/>
      </c>
      <c r="F2894" s="3" t="str">
        <f>IF(A2894="","",'ATP Fills'!G2894)</f>
        <v/>
      </c>
      <c r="G2894" t="str">
        <f>IF(A2894="","",'ATP Fills'!H2894)</f>
        <v/>
      </c>
      <c r="H2894" t="str">
        <f>IF(A2894="","",VLOOKUP(G2894,表3_3[],2,0))</f>
        <v/>
      </c>
      <c r="I2894" t="str">
        <f>IF(A2894="","",VLOOKUP(G2894,表3_3[],3,0))</f>
        <v/>
      </c>
      <c r="J2894" t="str">
        <f>IF(A2894="","",IF('ATP Fills'!I2894="3M","",VLOOKUP(RIGHT('ATP Fills'!I2894,2),Helper1!$O$36:$P$48,2,0)))</f>
        <v/>
      </c>
      <c r="K2894" t="str">
        <f>IF(J2894="","",LEFT('ATP Fills'!I2894,4))</f>
        <v/>
      </c>
      <c r="L2894" t="str">
        <f>IF(A2894="","",IF('ATP Fills'!G2894="LME",'ATP Fills'!I2894,""))</f>
        <v/>
      </c>
      <c r="M2894" t="str">
        <f t="shared" si="45"/>
        <v/>
      </c>
    </row>
    <row r="2895" spans="1:13">
      <c r="A2895" t="str">
        <f>IF('ATP Fills'!A2895="","",IF('ATP Fills'!Q2895="PHILLIPSG",'ATP Fills'!F2895,""))</f>
        <v/>
      </c>
      <c r="B2895" t="str">
        <f>IF(A2895="","",'ATP Fills'!L2895)</f>
        <v/>
      </c>
      <c r="C2895" t="str">
        <f>IF(A2895="","",'ATP Fills'!M2895)</f>
        <v/>
      </c>
      <c r="D2895" t="str">
        <f>IF(A2895="","",'ATP Fills'!B2895)</f>
        <v/>
      </c>
      <c r="E2895" s="3" t="str">
        <f>IF(A2895="","",IF(DATE(LEFT(D2895,4),MID(D2895,5,2),RIGHT(D2895,2))=Helper1!$P$1,Helper1!$P$1,""))</f>
        <v/>
      </c>
      <c r="F2895" s="3" t="str">
        <f>IF(A2895="","",'ATP Fills'!G2895)</f>
        <v/>
      </c>
      <c r="G2895" t="str">
        <f>IF(A2895="","",'ATP Fills'!H2895)</f>
        <v/>
      </c>
      <c r="H2895" t="str">
        <f>IF(A2895="","",VLOOKUP(G2895,表3_3[],2,0))</f>
        <v/>
      </c>
      <c r="I2895" t="str">
        <f>IF(A2895="","",VLOOKUP(G2895,表3_3[],3,0))</f>
        <v/>
      </c>
      <c r="J2895" t="str">
        <f>IF(A2895="","",IF('ATP Fills'!I2895="3M","",VLOOKUP(RIGHT('ATP Fills'!I2895,2),Helper1!$O$36:$P$48,2,0)))</f>
        <v/>
      </c>
      <c r="K2895" t="str">
        <f>IF(J2895="","",LEFT('ATP Fills'!I2895,4))</f>
        <v/>
      </c>
      <c r="L2895" t="str">
        <f>IF(A2895="","",IF('ATP Fills'!G2895="LME",'ATP Fills'!I2895,""))</f>
        <v/>
      </c>
      <c r="M2895" t="str">
        <f t="shared" si="45"/>
        <v/>
      </c>
    </row>
    <row r="2896" spans="1:13">
      <c r="A2896" t="str">
        <f>IF('ATP Fills'!A2896="","",IF('ATP Fills'!Q2896="PHILLIPSG",'ATP Fills'!F2896,""))</f>
        <v/>
      </c>
      <c r="B2896" t="str">
        <f>IF(A2896="","",'ATP Fills'!L2896)</f>
        <v/>
      </c>
      <c r="C2896" t="str">
        <f>IF(A2896="","",'ATP Fills'!M2896)</f>
        <v/>
      </c>
      <c r="D2896" t="str">
        <f>IF(A2896="","",'ATP Fills'!B2896)</f>
        <v/>
      </c>
      <c r="E2896" s="3" t="str">
        <f>IF(A2896="","",IF(DATE(LEFT(D2896,4),MID(D2896,5,2),RIGHT(D2896,2))=Helper1!$P$1,Helper1!$P$1,""))</f>
        <v/>
      </c>
      <c r="F2896" s="3" t="str">
        <f>IF(A2896="","",'ATP Fills'!G2896)</f>
        <v/>
      </c>
      <c r="G2896" t="str">
        <f>IF(A2896="","",'ATP Fills'!H2896)</f>
        <v/>
      </c>
      <c r="H2896" t="str">
        <f>IF(A2896="","",VLOOKUP(G2896,表3_3[],2,0))</f>
        <v/>
      </c>
      <c r="I2896" t="str">
        <f>IF(A2896="","",VLOOKUP(G2896,表3_3[],3,0))</f>
        <v/>
      </c>
      <c r="J2896" t="str">
        <f>IF(A2896="","",IF('ATP Fills'!I2896="3M","",VLOOKUP(RIGHT('ATP Fills'!I2896,2),Helper1!$O$36:$P$48,2,0)))</f>
        <v/>
      </c>
      <c r="K2896" t="str">
        <f>IF(J2896="","",LEFT('ATP Fills'!I2896,4))</f>
        <v/>
      </c>
      <c r="L2896" t="str">
        <f>IF(A2896="","",IF('ATP Fills'!G2896="LME",'ATP Fills'!I2896,""))</f>
        <v/>
      </c>
      <c r="M2896" t="str">
        <f t="shared" si="45"/>
        <v/>
      </c>
    </row>
    <row r="2897" spans="1:13">
      <c r="A2897" t="str">
        <f>IF('ATP Fills'!A2897="","",IF('ATP Fills'!Q2897="PHILLIPSG",'ATP Fills'!F2897,""))</f>
        <v/>
      </c>
      <c r="B2897" t="str">
        <f>IF(A2897="","",'ATP Fills'!L2897)</f>
        <v/>
      </c>
      <c r="C2897" t="str">
        <f>IF(A2897="","",'ATP Fills'!M2897)</f>
        <v/>
      </c>
      <c r="D2897" t="str">
        <f>IF(A2897="","",'ATP Fills'!B2897)</f>
        <v/>
      </c>
      <c r="E2897" s="3" t="str">
        <f>IF(A2897="","",IF(DATE(LEFT(D2897,4),MID(D2897,5,2),RIGHT(D2897,2))=Helper1!$P$1,Helper1!$P$1,""))</f>
        <v/>
      </c>
      <c r="F2897" s="3" t="str">
        <f>IF(A2897="","",'ATP Fills'!G2897)</f>
        <v/>
      </c>
      <c r="G2897" t="str">
        <f>IF(A2897="","",'ATP Fills'!H2897)</f>
        <v/>
      </c>
      <c r="H2897" t="str">
        <f>IF(A2897="","",VLOOKUP(G2897,表3_3[],2,0))</f>
        <v/>
      </c>
      <c r="I2897" t="str">
        <f>IF(A2897="","",VLOOKUP(G2897,表3_3[],3,0))</f>
        <v/>
      </c>
      <c r="J2897" t="str">
        <f>IF(A2897="","",IF('ATP Fills'!I2897="3M","",VLOOKUP(RIGHT('ATP Fills'!I2897,2),Helper1!$O$36:$P$48,2,0)))</f>
        <v/>
      </c>
      <c r="K2897" t="str">
        <f>IF(J2897="","",LEFT('ATP Fills'!I2897,4))</f>
        <v/>
      </c>
      <c r="L2897" t="str">
        <f>IF(A2897="","",IF('ATP Fills'!G2897="LME",'ATP Fills'!I2897,""))</f>
        <v/>
      </c>
      <c r="M2897" t="str">
        <f t="shared" si="45"/>
        <v/>
      </c>
    </row>
    <row r="2898" spans="1:13">
      <c r="A2898" t="str">
        <f>IF('ATP Fills'!A2898="","",IF('ATP Fills'!Q2898="PHILLIPSG",'ATP Fills'!F2898,""))</f>
        <v/>
      </c>
      <c r="B2898" t="str">
        <f>IF(A2898="","",'ATP Fills'!L2898)</f>
        <v/>
      </c>
      <c r="C2898" t="str">
        <f>IF(A2898="","",'ATP Fills'!M2898)</f>
        <v/>
      </c>
      <c r="D2898" t="str">
        <f>IF(A2898="","",'ATP Fills'!B2898)</f>
        <v/>
      </c>
      <c r="E2898" s="3" t="str">
        <f>IF(A2898="","",IF(DATE(LEFT(D2898,4),MID(D2898,5,2),RIGHT(D2898,2))=Helper1!$P$1,Helper1!$P$1,""))</f>
        <v/>
      </c>
      <c r="F2898" s="3" t="str">
        <f>IF(A2898="","",'ATP Fills'!G2898)</f>
        <v/>
      </c>
      <c r="G2898" t="str">
        <f>IF(A2898="","",'ATP Fills'!H2898)</f>
        <v/>
      </c>
      <c r="H2898" t="str">
        <f>IF(A2898="","",VLOOKUP(G2898,表3_3[],2,0))</f>
        <v/>
      </c>
      <c r="I2898" t="str">
        <f>IF(A2898="","",VLOOKUP(G2898,表3_3[],3,0))</f>
        <v/>
      </c>
      <c r="J2898" t="str">
        <f>IF(A2898="","",IF('ATP Fills'!I2898="3M","",VLOOKUP(RIGHT('ATP Fills'!I2898,2),Helper1!$O$36:$P$48,2,0)))</f>
        <v/>
      </c>
      <c r="K2898" t="str">
        <f>IF(J2898="","",LEFT('ATP Fills'!I2898,4))</f>
        <v/>
      </c>
      <c r="L2898" t="str">
        <f>IF(A2898="","",IF('ATP Fills'!G2898="LME",'ATP Fills'!I2898,""))</f>
        <v/>
      </c>
      <c r="M2898" t="str">
        <f t="shared" si="45"/>
        <v/>
      </c>
    </row>
    <row r="2899" spans="1:13">
      <c r="A2899" t="str">
        <f>IF('ATP Fills'!A2899="","",IF('ATP Fills'!Q2899="PHILLIPSG",'ATP Fills'!F2899,""))</f>
        <v/>
      </c>
      <c r="B2899" t="str">
        <f>IF(A2899="","",'ATP Fills'!L2899)</f>
        <v/>
      </c>
      <c r="C2899" t="str">
        <f>IF(A2899="","",'ATP Fills'!M2899)</f>
        <v/>
      </c>
      <c r="D2899" t="str">
        <f>IF(A2899="","",'ATP Fills'!B2899)</f>
        <v/>
      </c>
      <c r="E2899" s="3" t="str">
        <f>IF(A2899="","",IF(DATE(LEFT(D2899,4),MID(D2899,5,2),RIGHT(D2899,2))=Helper1!$P$1,Helper1!$P$1,""))</f>
        <v/>
      </c>
      <c r="F2899" s="3" t="str">
        <f>IF(A2899="","",'ATP Fills'!G2899)</f>
        <v/>
      </c>
      <c r="G2899" t="str">
        <f>IF(A2899="","",'ATP Fills'!H2899)</f>
        <v/>
      </c>
      <c r="H2899" t="str">
        <f>IF(A2899="","",VLOOKUP(G2899,表3_3[],2,0))</f>
        <v/>
      </c>
      <c r="I2899" t="str">
        <f>IF(A2899="","",VLOOKUP(G2899,表3_3[],3,0))</f>
        <v/>
      </c>
      <c r="J2899" t="str">
        <f>IF(A2899="","",IF('ATP Fills'!I2899="3M","",VLOOKUP(RIGHT('ATP Fills'!I2899,2),Helper1!$O$36:$P$48,2,0)))</f>
        <v/>
      </c>
      <c r="K2899" t="str">
        <f>IF(J2899="","",LEFT('ATP Fills'!I2899,4))</f>
        <v/>
      </c>
      <c r="L2899" t="str">
        <f>IF(A2899="","",IF('ATP Fills'!G2899="LME",'ATP Fills'!I2899,""))</f>
        <v/>
      </c>
      <c r="M2899" t="str">
        <f t="shared" si="45"/>
        <v/>
      </c>
    </row>
    <row r="2900" spans="1:13">
      <c r="A2900" t="str">
        <f>IF('ATP Fills'!A2900="","",IF('ATP Fills'!Q2900="PHILLIPSG",'ATP Fills'!F2900,""))</f>
        <v/>
      </c>
      <c r="B2900" t="str">
        <f>IF(A2900="","",'ATP Fills'!L2900)</f>
        <v/>
      </c>
      <c r="C2900" t="str">
        <f>IF(A2900="","",'ATP Fills'!M2900)</f>
        <v/>
      </c>
      <c r="D2900" t="str">
        <f>IF(A2900="","",'ATP Fills'!B2900)</f>
        <v/>
      </c>
      <c r="E2900" s="3" t="str">
        <f>IF(A2900="","",IF(DATE(LEFT(D2900,4),MID(D2900,5,2),RIGHT(D2900,2))=Helper1!$P$1,Helper1!$P$1,""))</f>
        <v/>
      </c>
      <c r="F2900" s="3" t="str">
        <f>IF(A2900="","",'ATP Fills'!G2900)</f>
        <v/>
      </c>
      <c r="G2900" t="str">
        <f>IF(A2900="","",'ATP Fills'!H2900)</f>
        <v/>
      </c>
      <c r="H2900" t="str">
        <f>IF(A2900="","",VLOOKUP(G2900,表3_3[],2,0))</f>
        <v/>
      </c>
      <c r="I2900" t="str">
        <f>IF(A2900="","",VLOOKUP(G2900,表3_3[],3,0))</f>
        <v/>
      </c>
      <c r="J2900" t="str">
        <f>IF(A2900="","",IF('ATP Fills'!I2900="3M","",VLOOKUP(RIGHT('ATP Fills'!I2900,2),Helper1!$O$36:$P$48,2,0)))</f>
        <v/>
      </c>
      <c r="K2900" t="str">
        <f>IF(J2900="","",LEFT('ATP Fills'!I2900,4))</f>
        <v/>
      </c>
      <c r="L2900" t="str">
        <f>IF(A2900="","",IF('ATP Fills'!G2900="LME",'ATP Fills'!I2900,""))</f>
        <v/>
      </c>
      <c r="M2900" t="str">
        <f t="shared" si="45"/>
        <v/>
      </c>
    </row>
    <row r="2901" spans="1:13">
      <c r="A2901" t="str">
        <f>IF('ATP Fills'!A2901="","",IF('ATP Fills'!Q2901="PHILLIPSG",'ATP Fills'!F2901,""))</f>
        <v/>
      </c>
      <c r="B2901" t="str">
        <f>IF(A2901="","",'ATP Fills'!L2901)</f>
        <v/>
      </c>
      <c r="C2901" t="str">
        <f>IF(A2901="","",'ATP Fills'!M2901)</f>
        <v/>
      </c>
      <c r="D2901" t="str">
        <f>IF(A2901="","",'ATP Fills'!B2901)</f>
        <v/>
      </c>
      <c r="E2901" s="3" t="str">
        <f>IF(A2901="","",IF(DATE(LEFT(D2901,4),MID(D2901,5,2),RIGHT(D2901,2))=Helper1!$P$1,Helper1!$P$1,""))</f>
        <v/>
      </c>
      <c r="F2901" s="3" t="str">
        <f>IF(A2901="","",'ATP Fills'!G2901)</f>
        <v/>
      </c>
      <c r="G2901" t="str">
        <f>IF(A2901="","",'ATP Fills'!H2901)</f>
        <v/>
      </c>
      <c r="H2901" t="str">
        <f>IF(A2901="","",VLOOKUP(G2901,表3_3[],2,0))</f>
        <v/>
      </c>
      <c r="I2901" t="str">
        <f>IF(A2901="","",VLOOKUP(G2901,表3_3[],3,0))</f>
        <v/>
      </c>
      <c r="J2901" t="str">
        <f>IF(A2901="","",IF('ATP Fills'!I2901="3M","",VLOOKUP(RIGHT('ATP Fills'!I2901,2),Helper1!$O$36:$P$48,2,0)))</f>
        <v/>
      </c>
      <c r="K2901" t="str">
        <f>IF(J2901="","",LEFT('ATP Fills'!I2901,4))</f>
        <v/>
      </c>
      <c r="L2901" t="str">
        <f>IF(A2901="","",IF('ATP Fills'!G2901="LME",'ATP Fills'!I2901,""))</f>
        <v/>
      </c>
      <c r="M2901" t="str">
        <f t="shared" si="45"/>
        <v/>
      </c>
    </row>
    <row r="2902" spans="1:13">
      <c r="A2902" t="str">
        <f>IF('ATP Fills'!A2902="","",IF('ATP Fills'!Q2902="PHILLIPSG",'ATP Fills'!F2902,""))</f>
        <v/>
      </c>
      <c r="B2902" t="str">
        <f>IF(A2902="","",'ATP Fills'!L2902)</f>
        <v/>
      </c>
      <c r="C2902" t="str">
        <f>IF(A2902="","",'ATP Fills'!M2902)</f>
        <v/>
      </c>
      <c r="D2902" t="str">
        <f>IF(A2902="","",'ATP Fills'!B2902)</f>
        <v/>
      </c>
      <c r="E2902" s="3" t="str">
        <f>IF(A2902="","",IF(DATE(LEFT(D2902,4),MID(D2902,5,2),RIGHT(D2902,2))=Helper1!$P$1,Helper1!$P$1,""))</f>
        <v/>
      </c>
      <c r="F2902" s="3" t="str">
        <f>IF(A2902="","",'ATP Fills'!G2902)</f>
        <v/>
      </c>
      <c r="G2902" t="str">
        <f>IF(A2902="","",'ATP Fills'!H2902)</f>
        <v/>
      </c>
      <c r="H2902" t="str">
        <f>IF(A2902="","",VLOOKUP(G2902,表3_3[],2,0))</f>
        <v/>
      </c>
      <c r="I2902" t="str">
        <f>IF(A2902="","",VLOOKUP(G2902,表3_3[],3,0))</f>
        <v/>
      </c>
      <c r="J2902" t="str">
        <f>IF(A2902="","",IF('ATP Fills'!I2902="3M","",VLOOKUP(RIGHT('ATP Fills'!I2902,2),Helper1!$O$36:$P$48,2,0)))</f>
        <v/>
      </c>
      <c r="K2902" t="str">
        <f>IF(J2902="","",LEFT('ATP Fills'!I2902,4))</f>
        <v/>
      </c>
      <c r="L2902" t="str">
        <f>IF(A2902="","",IF('ATP Fills'!G2902="LME",'ATP Fills'!I2902,""))</f>
        <v/>
      </c>
      <c r="M2902" t="str">
        <f t="shared" si="45"/>
        <v/>
      </c>
    </row>
    <row r="2903" spans="1:13">
      <c r="A2903" t="str">
        <f>IF('ATP Fills'!A2903="","",IF('ATP Fills'!Q2903="PHILLIPSG",'ATP Fills'!F2903,""))</f>
        <v/>
      </c>
      <c r="B2903" t="str">
        <f>IF(A2903="","",'ATP Fills'!L2903)</f>
        <v/>
      </c>
      <c r="C2903" t="str">
        <f>IF(A2903="","",'ATP Fills'!M2903)</f>
        <v/>
      </c>
      <c r="D2903" t="str">
        <f>IF(A2903="","",'ATP Fills'!B2903)</f>
        <v/>
      </c>
      <c r="E2903" s="3" t="str">
        <f>IF(A2903="","",IF(DATE(LEFT(D2903,4),MID(D2903,5,2),RIGHT(D2903,2))=Helper1!$P$1,Helper1!$P$1,""))</f>
        <v/>
      </c>
      <c r="F2903" s="3" t="str">
        <f>IF(A2903="","",'ATP Fills'!G2903)</f>
        <v/>
      </c>
      <c r="G2903" t="str">
        <f>IF(A2903="","",'ATP Fills'!H2903)</f>
        <v/>
      </c>
      <c r="H2903" t="str">
        <f>IF(A2903="","",VLOOKUP(G2903,表3_3[],2,0))</f>
        <v/>
      </c>
      <c r="I2903" t="str">
        <f>IF(A2903="","",VLOOKUP(G2903,表3_3[],3,0))</f>
        <v/>
      </c>
      <c r="J2903" t="str">
        <f>IF(A2903="","",IF('ATP Fills'!I2903="3M","",VLOOKUP(RIGHT('ATP Fills'!I2903,2),Helper1!$O$36:$P$48,2,0)))</f>
        <v/>
      </c>
      <c r="K2903" t="str">
        <f>IF(J2903="","",LEFT('ATP Fills'!I2903,4))</f>
        <v/>
      </c>
      <c r="L2903" t="str">
        <f>IF(A2903="","",IF('ATP Fills'!G2903="LME",'ATP Fills'!I2903,""))</f>
        <v/>
      </c>
      <c r="M2903" t="str">
        <f t="shared" si="45"/>
        <v/>
      </c>
    </row>
    <row r="2904" spans="1:13">
      <c r="A2904" t="str">
        <f>IF('ATP Fills'!A2904="","",IF('ATP Fills'!Q2904="PHILLIPSG",'ATP Fills'!F2904,""))</f>
        <v/>
      </c>
      <c r="B2904" t="str">
        <f>IF(A2904="","",'ATP Fills'!L2904)</f>
        <v/>
      </c>
      <c r="C2904" t="str">
        <f>IF(A2904="","",'ATP Fills'!M2904)</f>
        <v/>
      </c>
      <c r="D2904" t="str">
        <f>IF(A2904="","",'ATP Fills'!B2904)</f>
        <v/>
      </c>
      <c r="E2904" s="3" t="str">
        <f>IF(A2904="","",IF(DATE(LEFT(D2904,4),MID(D2904,5,2),RIGHT(D2904,2))=Helper1!$P$1,Helper1!$P$1,""))</f>
        <v/>
      </c>
      <c r="F2904" s="3" t="str">
        <f>IF(A2904="","",'ATP Fills'!G2904)</f>
        <v/>
      </c>
      <c r="G2904" t="str">
        <f>IF(A2904="","",'ATP Fills'!H2904)</f>
        <v/>
      </c>
      <c r="H2904" t="str">
        <f>IF(A2904="","",VLOOKUP(G2904,表3_3[],2,0))</f>
        <v/>
      </c>
      <c r="I2904" t="str">
        <f>IF(A2904="","",VLOOKUP(G2904,表3_3[],3,0))</f>
        <v/>
      </c>
      <c r="J2904" t="str">
        <f>IF(A2904="","",IF('ATP Fills'!I2904="3M","",VLOOKUP(RIGHT('ATP Fills'!I2904,2),Helper1!$O$36:$P$48,2,0)))</f>
        <v/>
      </c>
      <c r="K2904" t="str">
        <f>IF(J2904="","",LEFT('ATP Fills'!I2904,4))</f>
        <v/>
      </c>
      <c r="L2904" t="str">
        <f>IF(A2904="","",IF('ATP Fills'!G2904="LME",'ATP Fills'!I2904,""))</f>
        <v/>
      </c>
      <c r="M2904" t="str">
        <f t="shared" si="45"/>
        <v/>
      </c>
    </row>
    <row r="2905" spans="1:13">
      <c r="A2905" t="str">
        <f>IF('ATP Fills'!A2905="","",IF('ATP Fills'!Q2905="PHILLIPSG",'ATP Fills'!F2905,""))</f>
        <v/>
      </c>
      <c r="B2905" t="str">
        <f>IF(A2905="","",'ATP Fills'!L2905)</f>
        <v/>
      </c>
      <c r="C2905" t="str">
        <f>IF(A2905="","",'ATP Fills'!M2905)</f>
        <v/>
      </c>
      <c r="D2905" t="str">
        <f>IF(A2905="","",'ATP Fills'!B2905)</f>
        <v/>
      </c>
      <c r="E2905" s="3" t="str">
        <f>IF(A2905="","",IF(DATE(LEFT(D2905,4),MID(D2905,5,2),RIGHT(D2905,2))=Helper1!$P$1,Helper1!$P$1,""))</f>
        <v/>
      </c>
      <c r="F2905" s="3" t="str">
        <f>IF(A2905="","",'ATP Fills'!G2905)</f>
        <v/>
      </c>
      <c r="G2905" t="str">
        <f>IF(A2905="","",'ATP Fills'!H2905)</f>
        <v/>
      </c>
      <c r="H2905" t="str">
        <f>IF(A2905="","",VLOOKUP(G2905,表3_3[],2,0))</f>
        <v/>
      </c>
      <c r="I2905" t="str">
        <f>IF(A2905="","",VLOOKUP(G2905,表3_3[],3,0))</f>
        <v/>
      </c>
      <c r="J2905" t="str">
        <f>IF(A2905="","",IF('ATP Fills'!I2905="3M","",VLOOKUP(RIGHT('ATP Fills'!I2905,2),Helper1!$O$36:$P$48,2,0)))</f>
        <v/>
      </c>
      <c r="K2905" t="str">
        <f>IF(J2905="","",LEFT('ATP Fills'!I2905,4))</f>
        <v/>
      </c>
      <c r="L2905" t="str">
        <f>IF(A2905="","",IF('ATP Fills'!G2905="LME",'ATP Fills'!I2905,""))</f>
        <v/>
      </c>
      <c r="M2905" t="str">
        <f t="shared" si="45"/>
        <v/>
      </c>
    </row>
    <row r="2906" spans="1:13">
      <c r="A2906" t="str">
        <f>IF('ATP Fills'!A2906="","",IF('ATP Fills'!Q2906="PHILLIPSG",'ATP Fills'!F2906,""))</f>
        <v/>
      </c>
      <c r="B2906" t="str">
        <f>IF(A2906="","",'ATP Fills'!L2906)</f>
        <v/>
      </c>
      <c r="C2906" t="str">
        <f>IF(A2906="","",'ATP Fills'!M2906)</f>
        <v/>
      </c>
      <c r="D2906" t="str">
        <f>IF(A2906="","",'ATP Fills'!B2906)</f>
        <v/>
      </c>
      <c r="E2906" s="3" t="str">
        <f>IF(A2906="","",IF(DATE(LEFT(D2906,4),MID(D2906,5,2),RIGHT(D2906,2))=Helper1!$P$1,Helper1!$P$1,""))</f>
        <v/>
      </c>
      <c r="F2906" s="3" t="str">
        <f>IF(A2906="","",'ATP Fills'!G2906)</f>
        <v/>
      </c>
      <c r="G2906" t="str">
        <f>IF(A2906="","",'ATP Fills'!H2906)</f>
        <v/>
      </c>
      <c r="H2906" t="str">
        <f>IF(A2906="","",VLOOKUP(G2906,表3_3[],2,0))</f>
        <v/>
      </c>
      <c r="I2906" t="str">
        <f>IF(A2906="","",VLOOKUP(G2906,表3_3[],3,0))</f>
        <v/>
      </c>
      <c r="J2906" t="str">
        <f>IF(A2906="","",IF('ATP Fills'!I2906="3M","",VLOOKUP(RIGHT('ATP Fills'!I2906,2),Helper1!$O$36:$P$48,2,0)))</f>
        <v/>
      </c>
      <c r="K2906" t="str">
        <f>IF(J2906="","",LEFT('ATP Fills'!I2906,4))</f>
        <v/>
      </c>
      <c r="L2906" t="str">
        <f>IF(A2906="","",IF('ATP Fills'!G2906="LME",'ATP Fills'!I2906,""))</f>
        <v/>
      </c>
      <c r="M2906" t="str">
        <f t="shared" si="45"/>
        <v/>
      </c>
    </row>
    <row r="2907" spans="1:13">
      <c r="A2907" t="str">
        <f>IF('ATP Fills'!A2907="","",IF('ATP Fills'!Q2907="PHILLIPSG",'ATP Fills'!F2907,""))</f>
        <v/>
      </c>
      <c r="B2907" t="str">
        <f>IF(A2907="","",'ATP Fills'!L2907)</f>
        <v/>
      </c>
      <c r="C2907" t="str">
        <f>IF(A2907="","",'ATP Fills'!M2907)</f>
        <v/>
      </c>
      <c r="D2907" t="str">
        <f>IF(A2907="","",'ATP Fills'!B2907)</f>
        <v/>
      </c>
      <c r="E2907" s="3" t="str">
        <f>IF(A2907="","",IF(DATE(LEFT(D2907,4),MID(D2907,5,2),RIGHT(D2907,2))=Helper1!$P$1,Helper1!$P$1,""))</f>
        <v/>
      </c>
      <c r="F2907" s="3" t="str">
        <f>IF(A2907="","",'ATP Fills'!G2907)</f>
        <v/>
      </c>
      <c r="G2907" t="str">
        <f>IF(A2907="","",'ATP Fills'!H2907)</f>
        <v/>
      </c>
      <c r="H2907" t="str">
        <f>IF(A2907="","",VLOOKUP(G2907,表3_3[],2,0))</f>
        <v/>
      </c>
      <c r="I2907" t="str">
        <f>IF(A2907="","",VLOOKUP(G2907,表3_3[],3,0))</f>
        <v/>
      </c>
      <c r="J2907" t="str">
        <f>IF(A2907="","",IF('ATP Fills'!I2907="3M","",VLOOKUP(RIGHT('ATP Fills'!I2907,2),Helper1!$O$36:$P$48,2,0)))</f>
        <v/>
      </c>
      <c r="K2907" t="str">
        <f>IF(J2907="","",LEFT('ATP Fills'!I2907,4))</f>
        <v/>
      </c>
      <c r="L2907" t="str">
        <f>IF(A2907="","",IF('ATP Fills'!G2907="LME",'ATP Fills'!I2907,""))</f>
        <v/>
      </c>
      <c r="M2907" t="str">
        <f t="shared" si="45"/>
        <v/>
      </c>
    </row>
    <row r="2908" spans="1:13">
      <c r="A2908" t="str">
        <f>IF('ATP Fills'!A2908="","",IF('ATP Fills'!Q2908="PHILLIPSG",'ATP Fills'!F2908,""))</f>
        <v/>
      </c>
      <c r="B2908" t="str">
        <f>IF(A2908="","",'ATP Fills'!L2908)</f>
        <v/>
      </c>
      <c r="C2908" t="str">
        <f>IF(A2908="","",'ATP Fills'!M2908)</f>
        <v/>
      </c>
      <c r="D2908" t="str">
        <f>IF(A2908="","",'ATP Fills'!B2908)</f>
        <v/>
      </c>
      <c r="E2908" s="3" t="str">
        <f>IF(A2908="","",IF(DATE(LEFT(D2908,4),MID(D2908,5,2),RIGHT(D2908,2))=Helper1!$P$1,Helper1!$P$1,""))</f>
        <v/>
      </c>
      <c r="F2908" s="3" t="str">
        <f>IF(A2908="","",'ATP Fills'!G2908)</f>
        <v/>
      </c>
      <c r="G2908" t="str">
        <f>IF(A2908="","",'ATP Fills'!H2908)</f>
        <v/>
      </c>
      <c r="H2908" t="str">
        <f>IF(A2908="","",VLOOKUP(G2908,表3_3[],2,0))</f>
        <v/>
      </c>
      <c r="I2908" t="str">
        <f>IF(A2908="","",VLOOKUP(G2908,表3_3[],3,0))</f>
        <v/>
      </c>
      <c r="J2908" t="str">
        <f>IF(A2908="","",IF('ATP Fills'!I2908="3M","",VLOOKUP(RIGHT('ATP Fills'!I2908,2),Helper1!$O$36:$P$48,2,0)))</f>
        <v/>
      </c>
      <c r="K2908" t="str">
        <f>IF(J2908="","",LEFT('ATP Fills'!I2908,4))</f>
        <v/>
      </c>
      <c r="L2908" t="str">
        <f>IF(A2908="","",IF('ATP Fills'!G2908="LME",'ATP Fills'!I2908,""))</f>
        <v/>
      </c>
      <c r="M2908" t="str">
        <f t="shared" si="45"/>
        <v/>
      </c>
    </row>
    <row r="2909" spans="1:13">
      <c r="A2909" t="str">
        <f>IF('ATP Fills'!A2909="","",IF('ATP Fills'!Q2909="PHILLIPSG",'ATP Fills'!F2909,""))</f>
        <v/>
      </c>
      <c r="B2909" t="str">
        <f>IF(A2909="","",'ATP Fills'!L2909)</f>
        <v/>
      </c>
      <c r="C2909" t="str">
        <f>IF(A2909="","",'ATP Fills'!M2909)</f>
        <v/>
      </c>
      <c r="D2909" t="str">
        <f>IF(A2909="","",'ATP Fills'!B2909)</f>
        <v/>
      </c>
      <c r="E2909" s="3" t="str">
        <f>IF(A2909="","",IF(DATE(LEFT(D2909,4),MID(D2909,5,2),RIGHT(D2909,2))=Helper1!$P$1,Helper1!$P$1,""))</f>
        <v/>
      </c>
      <c r="F2909" s="3" t="str">
        <f>IF(A2909="","",'ATP Fills'!G2909)</f>
        <v/>
      </c>
      <c r="G2909" t="str">
        <f>IF(A2909="","",'ATP Fills'!H2909)</f>
        <v/>
      </c>
      <c r="H2909" t="str">
        <f>IF(A2909="","",VLOOKUP(G2909,表3_3[],2,0))</f>
        <v/>
      </c>
      <c r="I2909" t="str">
        <f>IF(A2909="","",VLOOKUP(G2909,表3_3[],3,0))</f>
        <v/>
      </c>
      <c r="J2909" t="str">
        <f>IF(A2909="","",IF('ATP Fills'!I2909="3M","",VLOOKUP(RIGHT('ATP Fills'!I2909,2),Helper1!$O$36:$P$48,2,0)))</f>
        <v/>
      </c>
      <c r="K2909" t="str">
        <f>IF(J2909="","",LEFT('ATP Fills'!I2909,4))</f>
        <v/>
      </c>
      <c r="L2909" t="str">
        <f>IF(A2909="","",IF('ATP Fills'!G2909="LME",'ATP Fills'!I2909,""))</f>
        <v/>
      </c>
      <c r="M2909" t="str">
        <f t="shared" si="45"/>
        <v/>
      </c>
    </row>
    <row r="2910" spans="1:13">
      <c r="A2910" t="str">
        <f>IF('ATP Fills'!A2910="","",IF('ATP Fills'!Q2910="PHILLIPSG",'ATP Fills'!F2910,""))</f>
        <v/>
      </c>
      <c r="B2910" t="str">
        <f>IF(A2910="","",'ATP Fills'!L2910)</f>
        <v/>
      </c>
      <c r="C2910" t="str">
        <f>IF(A2910="","",'ATP Fills'!M2910)</f>
        <v/>
      </c>
      <c r="D2910" t="str">
        <f>IF(A2910="","",'ATP Fills'!B2910)</f>
        <v/>
      </c>
      <c r="E2910" s="3" t="str">
        <f>IF(A2910="","",IF(DATE(LEFT(D2910,4),MID(D2910,5,2),RIGHT(D2910,2))=Helper1!$P$1,Helper1!$P$1,""))</f>
        <v/>
      </c>
      <c r="F2910" s="3" t="str">
        <f>IF(A2910="","",'ATP Fills'!G2910)</f>
        <v/>
      </c>
      <c r="G2910" t="str">
        <f>IF(A2910="","",'ATP Fills'!H2910)</f>
        <v/>
      </c>
      <c r="H2910" t="str">
        <f>IF(A2910="","",VLOOKUP(G2910,表3_3[],2,0))</f>
        <v/>
      </c>
      <c r="I2910" t="str">
        <f>IF(A2910="","",VLOOKUP(G2910,表3_3[],3,0))</f>
        <v/>
      </c>
      <c r="J2910" t="str">
        <f>IF(A2910="","",IF('ATP Fills'!I2910="3M","",VLOOKUP(RIGHT('ATP Fills'!I2910,2),Helper1!$O$36:$P$48,2,0)))</f>
        <v/>
      </c>
      <c r="K2910" t="str">
        <f>IF(J2910="","",LEFT('ATP Fills'!I2910,4))</f>
        <v/>
      </c>
      <c r="L2910" t="str">
        <f>IF(A2910="","",IF('ATP Fills'!G2910="LME",'ATP Fills'!I2910,""))</f>
        <v/>
      </c>
      <c r="M2910" t="str">
        <f t="shared" si="45"/>
        <v/>
      </c>
    </row>
    <row r="2911" spans="1:13">
      <c r="A2911" t="str">
        <f>IF('ATP Fills'!A2911="","",IF('ATP Fills'!Q2911="PHILLIPSG",'ATP Fills'!F2911,""))</f>
        <v/>
      </c>
      <c r="B2911" t="str">
        <f>IF(A2911="","",'ATP Fills'!L2911)</f>
        <v/>
      </c>
      <c r="C2911" t="str">
        <f>IF(A2911="","",'ATP Fills'!M2911)</f>
        <v/>
      </c>
      <c r="D2911" t="str">
        <f>IF(A2911="","",'ATP Fills'!B2911)</f>
        <v/>
      </c>
      <c r="E2911" s="3" t="str">
        <f>IF(A2911="","",IF(DATE(LEFT(D2911,4),MID(D2911,5,2),RIGHT(D2911,2))=Helper1!$P$1,Helper1!$P$1,""))</f>
        <v/>
      </c>
      <c r="F2911" s="3" t="str">
        <f>IF(A2911="","",'ATP Fills'!G2911)</f>
        <v/>
      </c>
      <c r="G2911" t="str">
        <f>IF(A2911="","",'ATP Fills'!H2911)</f>
        <v/>
      </c>
      <c r="H2911" t="str">
        <f>IF(A2911="","",VLOOKUP(G2911,表3_3[],2,0))</f>
        <v/>
      </c>
      <c r="I2911" t="str">
        <f>IF(A2911="","",VLOOKUP(G2911,表3_3[],3,0))</f>
        <v/>
      </c>
      <c r="J2911" t="str">
        <f>IF(A2911="","",IF('ATP Fills'!I2911="3M","",VLOOKUP(RIGHT('ATP Fills'!I2911,2),Helper1!$O$36:$P$48,2,0)))</f>
        <v/>
      </c>
      <c r="K2911" t="str">
        <f>IF(J2911="","",LEFT('ATP Fills'!I2911,4))</f>
        <v/>
      </c>
      <c r="L2911" t="str">
        <f>IF(A2911="","",IF('ATP Fills'!G2911="LME",'ATP Fills'!I2911,""))</f>
        <v/>
      </c>
      <c r="M2911" t="str">
        <f t="shared" si="45"/>
        <v/>
      </c>
    </row>
    <row r="2912" spans="1:13">
      <c r="A2912" t="str">
        <f>IF('ATP Fills'!A2912="","",IF('ATP Fills'!Q2912="PHILLIPSG",'ATP Fills'!F2912,""))</f>
        <v/>
      </c>
      <c r="B2912" t="str">
        <f>IF(A2912="","",'ATP Fills'!L2912)</f>
        <v/>
      </c>
      <c r="C2912" t="str">
        <f>IF(A2912="","",'ATP Fills'!M2912)</f>
        <v/>
      </c>
      <c r="D2912" t="str">
        <f>IF(A2912="","",'ATP Fills'!B2912)</f>
        <v/>
      </c>
      <c r="E2912" s="3" t="str">
        <f>IF(A2912="","",IF(DATE(LEFT(D2912,4),MID(D2912,5,2),RIGHT(D2912,2))=Helper1!$P$1,Helper1!$P$1,""))</f>
        <v/>
      </c>
      <c r="F2912" s="3" t="str">
        <f>IF(A2912="","",'ATP Fills'!G2912)</f>
        <v/>
      </c>
      <c r="G2912" t="str">
        <f>IF(A2912="","",'ATP Fills'!H2912)</f>
        <v/>
      </c>
      <c r="H2912" t="str">
        <f>IF(A2912="","",VLOOKUP(G2912,表3_3[],2,0))</f>
        <v/>
      </c>
      <c r="I2912" t="str">
        <f>IF(A2912="","",VLOOKUP(G2912,表3_3[],3,0))</f>
        <v/>
      </c>
      <c r="J2912" t="str">
        <f>IF(A2912="","",IF('ATP Fills'!I2912="3M","",VLOOKUP(RIGHT('ATP Fills'!I2912,2),Helper1!$O$36:$P$48,2,0)))</f>
        <v/>
      </c>
      <c r="K2912" t="str">
        <f>IF(J2912="","",LEFT('ATP Fills'!I2912,4))</f>
        <v/>
      </c>
      <c r="L2912" t="str">
        <f>IF(A2912="","",IF('ATP Fills'!G2912="LME",'ATP Fills'!I2912,""))</f>
        <v/>
      </c>
      <c r="M2912" t="str">
        <f t="shared" si="45"/>
        <v/>
      </c>
    </row>
    <row r="2913" spans="1:13">
      <c r="A2913" t="str">
        <f>IF('ATP Fills'!A2913="","",IF('ATP Fills'!Q2913="PHILLIPSG",'ATP Fills'!F2913,""))</f>
        <v/>
      </c>
      <c r="B2913" t="str">
        <f>IF(A2913="","",'ATP Fills'!L2913)</f>
        <v/>
      </c>
      <c r="C2913" t="str">
        <f>IF(A2913="","",'ATP Fills'!M2913)</f>
        <v/>
      </c>
      <c r="D2913" t="str">
        <f>IF(A2913="","",'ATP Fills'!B2913)</f>
        <v/>
      </c>
      <c r="E2913" s="3" t="str">
        <f>IF(A2913="","",IF(DATE(LEFT(D2913,4),MID(D2913,5,2),RIGHT(D2913,2))=Helper1!$P$1,Helper1!$P$1,""))</f>
        <v/>
      </c>
      <c r="F2913" s="3" t="str">
        <f>IF(A2913="","",'ATP Fills'!G2913)</f>
        <v/>
      </c>
      <c r="G2913" t="str">
        <f>IF(A2913="","",'ATP Fills'!H2913)</f>
        <v/>
      </c>
      <c r="H2913" t="str">
        <f>IF(A2913="","",VLOOKUP(G2913,表3_3[],2,0))</f>
        <v/>
      </c>
      <c r="I2913" t="str">
        <f>IF(A2913="","",VLOOKUP(G2913,表3_3[],3,0))</f>
        <v/>
      </c>
      <c r="J2913" t="str">
        <f>IF(A2913="","",IF('ATP Fills'!I2913="3M","",VLOOKUP(RIGHT('ATP Fills'!I2913,2),Helper1!$O$36:$P$48,2,0)))</f>
        <v/>
      </c>
      <c r="K2913" t="str">
        <f>IF(J2913="","",LEFT('ATP Fills'!I2913,4))</f>
        <v/>
      </c>
      <c r="L2913" t="str">
        <f>IF(A2913="","",IF('ATP Fills'!G2913="LME",'ATP Fills'!I2913,""))</f>
        <v/>
      </c>
      <c r="M2913" t="str">
        <f t="shared" si="45"/>
        <v/>
      </c>
    </row>
    <row r="2914" spans="1:13">
      <c r="A2914" t="str">
        <f>IF('ATP Fills'!A2914="","",IF('ATP Fills'!Q2914="PHILLIPSG",'ATP Fills'!F2914,""))</f>
        <v/>
      </c>
      <c r="B2914" t="str">
        <f>IF(A2914="","",'ATP Fills'!L2914)</f>
        <v/>
      </c>
      <c r="C2914" t="str">
        <f>IF(A2914="","",'ATP Fills'!M2914)</f>
        <v/>
      </c>
      <c r="D2914" t="str">
        <f>IF(A2914="","",'ATP Fills'!B2914)</f>
        <v/>
      </c>
      <c r="E2914" s="3" t="str">
        <f>IF(A2914="","",IF(DATE(LEFT(D2914,4),MID(D2914,5,2),RIGHT(D2914,2))=Helper1!$P$1,Helper1!$P$1,""))</f>
        <v/>
      </c>
      <c r="F2914" s="3" t="str">
        <f>IF(A2914="","",'ATP Fills'!G2914)</f>
        <v/>
      </c>
      <c r="G2914" t="str">
        <f>IF(A2914="","",'ATP Fills'!H2914)</f>
        <v/>
      </c>
      <c r="H2914" t="str">
        <f>IF(A2914="","",VLOOKUP(G2914,表3_3[],2,0))</f>
        <v/>
      </c>
      <c r="I2914" t="str">
        <f>IF(A2914="","",VLOOKUP(G2914,表3_3[],3,0))</f>
        <v/>
      </c>
      <c r="J2914" t="str">
        <f>IF(A2914="","",IF('ATP Fills'!I2914="3M","",VLOOKUP(RIGHT('ATP Fills'!I2914,2),Helper1!$O$36:$P$48,2,0)))</f>
        <v/>
      </c>
      <c r="K2914" t="str">
        <f>IF(J2914="","",LEFT('ATP Fills'!I2914,4))</f>
        <v/>
      </c>
      <c r="L2914" t="str">
        <f>IF(A2914="","",IF('ATP Fills'!G2914="LME",'ATP Fills'!I2914,""))</f>
        <v/>
      </c>
      <c r="M2914" t="str">
        <f t="shared" si="45"/>
        <v/>
      </c>
    </row>
    <row r="2915" spans="1:13">
      <c r="A2915" t="str">
        <f>IF('ATP Fills'!A2915="","",IF('ATP Fills'!Q2915="PHILLIPSG",'ATP Fills'!F2915,""))</f>
        <v/>
      </c>
      <c r="B2915" t="str">
        <f>IF(A2915="","",'ATP Fills'!L2915)</f>
        <v/>
      </c>
      <c r="C2915" t="str">
        <f>IF(A2915="","",'ATP Fills'!M2915)</f>
        <v/>
      </c>
      <c r="D2915" t="str">
        <f>IF(A2915="","",'ATP Fills'!B2915)</f>
        <v/>
      </c>
      <c r="E2915" s="3" t="str">
        <f>IF(A2915="","",IF(DATE(LEFT(D2915,4),MID(D2915,5,2),RIGHT(D2915,2))=Helper1!$P$1,Helper1!$P$1,""))</f>
        <v/>
      </c>
      <c r="F2915" s="3" t="str">
        <f>IF(A2915="","",'ATP Fills'!G2915)</f>
        <v/>
      </c>
      <c r="G2915" t="str">
        <f>IF(A2915="","",'ATP Fills'!H2915)</f>
        <v/>
      </c>
      <c r="H2915" t="str">
        <f>IF(A2915="","",VLOOKUP(G2915,表3_3[],2,0))</f>
        <v/>
      </c>
      <c r="I2915" t="str">
        <f>IF(A2915="","",VLOOKUP(G2915,表3_3[],3,0))</f>
        <v/>
      </c>
      <c r="J2915" t="str">
        <f>IF(A2915="","",IF('ATP Fills'!I2915="3M","",VLOOKUP(RIGHT('ATP Fills'!I2915,2),Helper1!$O$36:$P$48,2,0)))</f>
        <v/>
      </c>
      <c r="K2915" t="str">
        <f>IF(J2915="","",LEFT('ATP Fills'!I2915,4))</f>
        <v/>
      </c>
      <c r="L2915" t="str">
        <f>IF(A2915="","",IF('ATP Fills'!G2915="LME",'ATP Fills'!I2915,""))</f>
        <v/>
      </c>
      <c r="M2915" t="str">
        <f t="shared" si="45"/>
        <v/>
      </c>
    </row>
    <row r="2916" spans="1:13">
      <c r="A2916" t="str">
        <f>IF('ATP Fills'!A2916="","",IF('ATP Fills'!Q2916="PHILLIPSG",'ATP Fills'!F2916,""))</f>
        <v/>
      </c>
      <c r="B2916" t="str">
        <f>IF(A2916="","",'ATP Fills'!L2916)</f>
        <v/>
      </c>
      <c r="C2916" t="str">
        <f>IF(A2916="","",'ATP Fills'!M2916)</f>
        <v/>
      </c>
      <c r="D2916" t="str">
        <f>IF(A2916="","",'ATP Fills'!B2916)</f>
        <v/>
      </c>
      <c r="E2916" s="3" t="str">
        <f>IF(A2916="","",IF(DATE(LEFT(D2916,4),MID(D2916,5,2),RIGHT(D2916,2))=Helper1!$P$1,Helper1!$P$1,""))</f>
        <v/>
      </c>
      <c r="F2916" s="3" t="str">
        <f>IF(A2916="","",'ATP Fills'!G2916)</f>
        <v/>
      </c>
      <c r="G2916" t="str">
        <f>IF(A2916="","",'ATP Fills'!H2916)</f>
        <v/>
      </c>
      <c r="H2916" t="str">
        <f>IF(A2916="","",VLOOKUP(G2916,表3_3[],2,0))</f>
        <v/>
      </c>
      <c r="I2916" t="str">
        <f>IF(A2916="","",VLOOKUP(G2916,表3_3[],3,0))</f>
        <v/>
      </c>
      <c r="J2916" t="str">
        <f>IF(A2916="","",IF('ATP Fills'!I2916="3M","",VLOOKUP(RIGHT('ATP Fills'!I2916,2),Helper1!$O$36:$P$48,2,0)))</f>
        <v/>
      </c>
      <c r="K2916" t="str">
        <f>IF(J2916="","",LEFT('ATP Fills'!I2916,4))</f>
        <v/>
      </c>
      <c r="L2916" t="str">
        <f>IF(A2916="","",IF('ATP Fills'!G2916="LME",'ATP Fills'!I2916,""))</f>
        <v/>
      </c>
      <c r="M2916" t="str">
        <f t="shared" si="45"/>
        <v/>
      </c>
    </row>
    <row r="2917" spans="1:13">
      <c r="A2917" t="str">
        <f>IF('ATP Fills'!A2917="","",IF('ATP Fills'!Q2917="PHILLIPSG",'ATP Fills'!F2917,""))</f>
        <v/>
      </c>
      <c r="B2917" t="str">
        <f>IF(A2917="","",'ATP Fills'!L2917)</f>
        <v/>
      </c>
      <c r="C2917" t="str">
        <f>IF(A2917="","",'ATP Fills'!M2917)</f>
        <v/>
      </c>
      <c r="D2917" t="str">
        <f>IF(A2917="","",'ATP Fills'!B2917)</f>
        <v/>
      </c>
      <c r="E2917" s="3" t="str">
        <f>IF(A2917="","",IF(DATE(LEFT(D2917,4),MID(D2917,5,2),RIGHT(D2917,2))=Helper1!$P$1,Helper1!$P$1,""))</f>
        <v/>
      </c>
      <c r="F2917" s="3" t="str">
        <f>IF(A2917="","",'ATP Fills'!G2917)</f>
        <v/>
      </c>
      <c r="G2917" t="str">
        <f>IF(A2917="","",'ATP Fills'!H2917)</f>
        <v/>
      </c>
      <c r="H2917" t="str">
        <f>IF(A2917="","",VLOOKUP(G2917,表3_3[],2,0))</f>
        <v/>
      </c>
      <c r="I2917" t="str">
        <f>IF(A2917="","",VLOOKUP(G2917,表3_3[],3,0))</f>
        <v/>
      </c>
      <c r="J2917" t="str">
        <f>IF(A2917="","",IF('ATP Fills'!I2917="3M","",VLOOKUP(RIGHT('ATP Fills'!I2917,2),Helper1!$O$36:$P$48,2,0)))</f>
        <v/>
      </c>
      <c r="K2917" t="str">
        <f>IF(J2917="","",LEFT('ATP Fills'!I2917,4))</f>
        <v/>
      </c>
      <c r="L2917" t="str">
        <f>IF(A2917="","",IF('ATP Fills'!G2917="LME",'ATP Fills'!I2917,""))</f>
        <v/>
      </c>
      <c r="M2917" t="str">
        <f t="shared" si="45"/>
        <v/>
      </c>
    </row>
    <row r="2918" spans="1:13">
      <c r="A2918" t="str">
        <f>IF('ATP Fills'!A2918="","",IF('ATP Fills'!Q2918="PHILLIPSG",'ATP Fills'!F2918,""))</f>
        <v/>
      </c>
      <c r="B2918" t="str">
        <f>IF(A2918="","",'ATP Fills'!L2918)</f>
        <v/>
      </c>
      <c r="C2918" t="str">
        <f>IF(A2918="","",'ATP Fills'!M2918)</f>
        <v/>
      </c>
      <c r="D2918" t="str">
        <f>IF(A2918="","",'ATP Fills'!B2918)</f>
        <v/>
      </c>
      <c r="E2918" s="3" t="str">
        <f>IF(A2918="","",IF(DATE(LEFT(D2918,4),MID(D2918,5,2),RIGHT(D2918,2))=Helper1!$P$1,Helper1!$P$1,""))</f>
        <v/>
      </c>
      <c r="F2918" s="3" t="str">
        <f>IF(A2918="","",'ATP Fills'!G2918)</f>
        <v/>
      </c>
      <c r="G2918" t="str">
        <f>IF(A2918="","",'ATP Fills'!H2918)</f>
        <v/>
      </c>
      <c r="H2918" t="str">
        <f>IF(A2918="","",VLOOKUP(G2918,表3_3[],2,0))</f>
        <v/>
      </c>
      <c r="I2918" t="str">
        <f>IF(A2918="","",VLOOKUP(G2918,表3_3[],3,0))</f>
        <v/>
      </c>
      <c r="J2918" t="str">
        <f>IF(A2918="","",IF('ATP Fills'!I2918="3M","",VLOOKUP(RIGHT('ATP Fills'!I2918,2),Helper1!$O$36:$P$48,2,0)))</f>
        <v/>
      </c>
      <c r="K2918" t="str">
        <f>IF(J2918="","",LEFT('ATP Fills'!I2918,4))</f>
        <v/>
      </c>
      <c r="L2918" t="str">
        <f>IF(A2918="","",IF('ATP Fills'!G2918="LME",'ATP Fills'!I2918,""))</f>
        <v/>
      </c>
      <c r="M2918" t="str">
        <f t="shared" si="45"/>
        <v/>
      </c>
    </row>
    <row r="2919" spans="1:13">
      <c r="A2919" t="str">
        <f>IF('ATP Fills'!A2919="","",IF('ATP Fills'!Q2919="PHILLIPSG",'ATP Fills'!F2919,""))</f>
        <v/>
      </c>
      <c r="B2919" t="str">
        <f>IF(A2919="","",'ATP Fills'!L2919)</f>
        <v/>
      </c>
      <c r="C2919" t="str">
        <f>IF(A2919="","",'ATP Fills'!M2919)</f>
        <v/>
      </c>
      <c r="D2919" t="str">
        <f>IF(A2919="","",'ATP Fills'!B2919)</f>
        <v/>
      </c>
      <c r="E2919" s="3" t="str">
        <f>IF(A2919="","",IF(DATE(LEFT(D2919,4),MID(D2919,5,2),RIGHT(D2919,2))=Helper1!$P$1,Helper1!$P$1,""))</f>
        <v/>
      </c>
      <c r="F2919" s="3" t="str">
        <f>IF(A2919="","",'ATP Fills'!G2919)</f>
        <v/>
      </c>
      <c r="G2919" t="str">
        <f>IF(A2919="","",'ATP Fills'!H2919)</f>
        <v/>
      </c>
      <c r="H2919" t="str">
        <f>IF(A2919="","",VLOOKUP(G2919,表3_3[],2,0))</f>
        <v/>
      </c>
      <c r="I2919" t="str">
        <f>IF(A2919="","",VLOOKUP(G2919,表3_3[],3,0))</f>
        <v/>
      </c>
      <c r="J2919" t="str">
        <f>IF(A2919="","",IF('ATP Fills'!I2919="3M","",VLOOKUP(RIGHT('ATP Fills'!I2919,2),Helper1!$O$36:$P$48,2,0)))</f>
        <v/>
      </c>
      <c r="K2919" t="str">
        <f>IF(J2919="","",LEFT('ATP Fills'!I2919,4))</f>
        <v/>
      </c>
      <c r="L2919" t="str">
        <f>IF(A2919="","",IF('ATP Fills'!G2919="LME",'ATP Fills'!I2919,""))</f>
        <v/>
      </c>
      <c r="M2919" t="str">
        <f t="shared" si="45"/>
        <v/>
      </c>
    </row>
    <row r="2920" spans="1:13">
      <c r="A2920" t="str">
        <f>IF('ATP Fills'!A2920="","",IF('ATP Fills'!Q2920="PHILLIPSG",'ATP Fills'!F2920,""))</f>
        <v/>
      </c>
      <c r="B2920" t="str">
        <f>IF(A2920="","",'ATP Fills'!L2920)</f>
        <v/>
      </c>
      <c r="C2920" t="str">
        <f>IF(A2920="","",'ATP Fills'!M2920)</f>
        <v/>
      </c>
      <c r="D2920" t="str">
        <f>IF(A2920="","",'ATP Fills'!B2920)</f>
        <v/>
      </c>
      <c r="E2920" s="3" t="str">
        <f>IF(A2920="","",IF(DATE(LEFT(D2920,4),MID(D2920,5,2),RIGHT(D2920,2))=Helper1!$P$1,Helper1!$P$1,""))</f>
        <v/>
      </c>
      <c r="F2920" s="3" t="str">
        <f>IF(A2920="","",'ATP Fills'!G2920)</f>
        <v/>
      </c>
      <c r="G2920" t="str">
        <f>IF(A2920="","",'ATP Fills'!H2920)</f>
        <v/>
      </c>
      <c r="H2920" t="str">
        <f>IF(A2920="","",VLOOKUP(G2920,表3_3[],2,0))</f>
        <v/>
      </c>
      <c r="I2920" t="str">
        <f>IF(A2920="","",VLOOKUP(G2920,表3_3[],3,0))</f>
        <v/>
      </c>
      <c r="J2920" t="str">
        <f>IF(A2920="","",IF('ATP Fills'!I2920="3M","",VLOOKUP(RIGHT('ATP Fills'!I2920,2),Helper1!$O$36:$P$48,2,0)))</f>
        <v/>
      </c>
      <c r="K2920" t="str">
        <f>IF(J2920="","",LEFT('ATP Fills'!I2920,4))</f>
        <v/>
      </c>
      <c r="L2920" t="str">
        <f>IF(A2920="","",IF('ATP Fills'!G2920="LME",'ATP Fills'!I2920,""))</f>
        <v/>
      </c>
      <c r="M2920" t="str">
        <f t="shared" si="45"/>
        <v/>
      </c>
    </row>
    <row r="2921" spans="1:13">
      <c r="A2921" t="str">
        <f>IF('ATP Fills'!A2921="","",IF('ATP Fills'!Q2921="PHILLIPSG",'ATP Fills'!F2921,""))</f>
        <v/>
      </c>
      <c r="B2921" t="str">
        <f>IF(A2921="","",'ATP Fills'!L2921)</f>
        <v/>
      </c>
      <c r="C2921" t="str">
        <f>IF(A2921="","",'ATP Fills'!M2921)</f>
        <v/>
      </c>
      <c r="D2921" t="str">
        <f>IF(A2921="","",'ATP Fills'!B2921)</f>
        <v/>
      </c>
      <c r="E2921" s="3" t="str">
        <f>IF(A2921="","",IF(DATE(LEFT(D2921,4),MID(D2921,5,2),RIGHT(D2921,2))=Helper1!$P$1,Helper1!$P$1,""))</f>
        <v/>
      </c>
      <c r="F2921" s="3" t="str">
        <f>IF(A2921="","",'ATP Fills'!G2921)</f>
        <v/>
      </c>
      <c r="G2921" t="str">
        <f>IF(A2921="","",'ATP Fills'!H2921)</f>
        <v/>
      </c>
      <c r="H2921" t="str">
        <f>IF(A2921="","",VLOOKUP(G2921,表3_3[],2,0))</f>
        <v/>
      </c>
      <c r="I2921" t="str">
        <f>IF(A2921="","",VLOOKUP(G2921,表3_3[],3,0))</f>
        <v/>
      </c>
      <c r="J2921" t="str">
        <f>IF(A2921="","",IF('ATP Fills'!I2921="3M","",VLOOKUP(RIGHT('ATP Fills'!I2921,2),Helper1!$O$36:$P$48,2,0)))</f>
        <v/>
      </c>
      <c r="K2921" t="str">
        <f>IF(J2921="","",LEFT('ATP Fills'!I2921,4))</f>
        <v/>
      </c>
      <c r="L2921" t="str">
        <f>IF(A2921="","",IF('ATP Fills'!G2921="LME",'ATP Fills'!I2921,""))</f>
        <v/>
      </c>
      <c r="M2921" t="str">
        <f t="shared" si="45"/>
        <v/>
      </c>
    </row>
    <row r="2922" spans="1:13">
      <c r="A2922" t="str">
        <f>IF('ATP Fills'!A2922="","",IF('ATP Fills'!Q2922="PHILLIPSG",'ATP Fills'!F2922,""))</f>
        <v/>
      </c>
      <c r="B2922" t="str">
        <f>IF(A2922="","",'ATP Fills'!L2922)</f>
        <v/>
      </c>
      <c r="C2922" t="str">
        <f>IF(A2922="","",'ATP Fills'!M2922)</f>
        <v/>
      </c>
      <c r="D2922" t="str">
        <f>IF(A2922="","",'ATP Fills'!B2922)</f>
        <v/>
      </c>
      <c r="E2922" s="3" t="str">
        <f>IF(A2922="","",IF(DATE(LEFT(D2922,4),MID(D2922,5,2),RIGHT(D2922,2))=Helper1!$P$1,Helper1!$P$1,""))</f>
        <v/>
      </c>
      <c r="F2922" s="3" t="str">
        <f>IF(A2922="","",'ATP Fills'!G2922)</f>
        <v/>
      </c>
      <c r="G2922" t="str">
        <f>IF(A2922="","",'ATP Fills'!H2922)</f>
        <v/>
      </c>
      <c r="H2922" t="str">
        <f>IF(A2922="","",VLOOKUP(G2922,表3_3[],2,0))</f>
        <v/>
      </c>
      <c r="I2922" t="str">
        <f>IF(A2922="","",VLOOKUP(G2922,表3_3[],3,0))</f>
        <v/>
      </c>
      <c r="J2922" t="str">
        <f>IF(A2922="","",IF('ATP Fills'!I2922="3M","",VLOOKUP(RIGHT('ATP Fills'!I2922,2),Helper1!$O$36:$P$48,2,0)))</f>
        <v/>
      </c>
      <c r="K2922" t="str">
        <f>IF(J2922="","",LEFT('ATP Fills'!I2922,4))</f>
        <v/>
      </c>
      <c r="L2922" t="str">
        <f>IF(A2922="","",IF('ATP Fills'!G2922="LME",'ATP Fills'!I2922,""))</f>
        <v/>
      </c>
      <c r="M2922" t="str">
        <f t="shared" si="45"/>
        <v/>
      </c>
    </row>
    <row r="2923" spans="1:13">
      <c r="A2923" t="str">
        <f>IF('ATP Fills'!A2923="","",IF('ATP Fills'!Q2923="PHILLIPSG",'ATP Fills'!F2923,""))</f>
        <v/>
      </c>
      <c r="B2923" t="str">
        <f>IF(A2923="","",'ATP Fills'!L2923)</f>
        <v/>
      </c>
      <c r="C2923" t="str">
        <f>IF(A2923="","",'ATP Fills'!M2923)</f>
        <v/>
      </c>
      <c r="D2923" t="str">
        <f>IF(A2923="","",'ATP Fills'!B2923)</f>
        <v/>
      </c>
      <c r="E2923" s="3" t="str">
        <f>IF(A2923="","",IF(DATE(LEFT(D2923,4),MID(D2923,5,2),RIGHT(D2923,2))=Helper1!$P$1,Helper1!$P$1,""))</f>
        <v/>
      </c>
      <c r="F2923" s="3" t="str">
        <f>IF(A2923="","",'ATP Fills'!G2923)</f>
        <v/>
      </c>
      <c r="G2923" t="str">
        <f>IF(A2923="","",'ATP Fills'!H2923)</f>
        <v/>
      </c>
      <c r="H2923" t="str">
        <f>IF(A2923="","",VLOOKUP(G2923,表3_3[],2,0))</f>
        <v/>
      </c>
      <c r="I2923" t="str">
        <f>IF(A2923="","",VLOOKUP(G2923,表3_3[],3,0))</f>
        <v/>
      </c>
      <c r="J2923" t="str">
        <f>IF(A2923="","",IF('ATP Fills'!I2923="3M","",VLOOKUP(RIGHT('ATP Fills'!I2923,2),Helper1!$O$36:$P$48,2,0)))</f>
        <v/>
      </c>
      <c r="K2923" t="str">
        <f>IF(J2923="","",LEFT('ATP Fills'!I2923,4))</f>
        <v/>
      </c>
      <c r="L2923" t="str">
        <f>IF(A2923="","",IF('ATP Fills'!G2923="LME",'ATP Fills'!I2923,""))</f>
        <v/>
      </c>
      <c r="M2923" t="str">
        <f t="shared" si="45"/>
        <v/>
      </c>
    </row>
    <row r="2924" spans="1:13">
      <c r="A2924" t="str">
        <f>IF('ATP Fills'!A2924="","",IF('ATP Fills'!Q2924="PHILLIPSG",'ATP Fills'!F2924,""))</f>
        <v/>
      </c>
      <c r="B2924" t="str">
        <f>IF(A2924="","",'ATP Fills'!L2924)</f>
        <v/>
      </c>
      <c r="C2924" t="str">
        <f>IF(A2924="","",'ATP Fills'!M2924)</f>
        <v/>
      </c>
      <c r="D2924" t="str">
        <f>IF(A2924="","",'ATP Fills'!B2924)</f>
        <v/>
      </c>
      <c r="E2924" s="3" t="str">
        <f>IF(A2924="","",IF(DATE(LEFT(D2924,4),MID(D2924,5,2),RIGHT(D2924,2))=Helper1!$P$1,Helper1!$P$1,""))</f>
        <v/>
      </c>
      <c r="F2924" s="3" t="str">
        <f>IF(A2924="","",'ATP Fills'!G2924)</f>
        <v/>
      </c>
      <c r="G2924" t="str">
        <f>IF(A2924="","",'ATP Fills'!H2924)</f>
        <v/>
      </c>
      <c r="H2924" t="str">
        <f>IF(A2924="","",VLOOKUP(G2924,表3_3[],2,0))</f>
        <v/>
      </c>
      <c r="I2924" t="str">
        <f>IF(A2924="","",VLOOKUP(G2924,表3_3[],3,0))</f>
        <v/>
      </c>
      <c r="J2924" t="str">
        <f>IF(A2924="","",IF('ATP Fills'!I2924="3M","",VLOOKUP(RIGHT('ATP Fills'!I2924,2),Helper1!$O$36:$P$48,2,0)))</f>
        <v/>
      </c>
      <c r="K2924" t="str">
        <f>IF(J2924="","",LEFT('ATP Fills'!I2924,4))</f>
        <v/>
      </c>
      <c r="L2924" t="str">
        <f>IF(A2924="","",IF('ATP Fills'!G2924="LME",'ATP Fills'!I2924,""))</f>
        <v/>
      </c>
      <c r="M2924" t="str">
        <f t="shared" si="45"/>
        <v/>
      </c>
    </row>
    <row r="2925" spans="1:13">
      <c r="A2925" t="str">
        <f>IF('ATP Fills'!A2925="","",IF('ATP Fills'!Q2925="PHILLIPSG",'ATP Fills'!F2925,""))</f>
        <v/>
      </c>
      <c r="B2925" t="str">
        <f>IF(A2925="","",'ATP Fills'!L2925)</f>
        <v/>
      </c>
      <c r="C2925" t="str">
        <f>IF(A2925="","",'ATP Fills'!M2925)</f>
        <v/>
      </c>
      <c r="D2925" t="str">
        <f>IF(A2925="","",'ATP Fills'!B2925)</f>
        <v/>
      </c>
      <c r="E2925" s="3" t="str">
        <f>IF(A2925="","",IF(DATE(LEFT(D2925,4),MID(D2925,5,2),RIGHT(D2925,2))=Helper1!$P$1,Helper1!$P$1,""))</f>
        <v/>
      </c>
      <c r="F2925" s="3" t="str">
        <f>IF(A2925="","",'ATP Fills'!G2925)</f>
        <v/>
      </c>
      <c r="G2925" t="str">
        <f>IF(A2925="","",'ATP Fills'!H2925)</f>
        <v/>
      </c>
      <c r="H2925" t="str">
        <f>IF(A2925="","",VLOOKUP(G2925,表3_3[],2,0))</f>
        <v/>
      </c>
      <c r="I2925" t="str">
        <f>IF(A2925="","",VLOOKUP(G2925,表3_3[],3,0))</f>
        <v/>
      </c>
      <c r="J2925" t="str">
        <f>IF(A2925="","",IF('ATP Fills'!I2925="3M","",VLOOKUP(RIGHT('ATP Fills'!I2925,2),Helper1!$O$36:$P$48,2,0)))</f>
        <v/>
      </c>
      <c r="K2925" t="str">
        <f>IF(J2925="","",LEFT('ATP Fills'!I2925,4))</f>
        <v/>
      </c>
      <c r="L2925" t="str">
        <f>IF(A2925="","",IF('ATP Fills'!G2925="LME",'ATP Fills'!I2925,""))</f>
        <v/>
      </c>
      <c r="M2925" t="str">
        <f t="shared" si="45"/>
        <v/>
      </c>
    </row>
    <row r="2926" spans="1:13">
      <c r="A2926" t="str">
        <f>IF('ATP Fills'!A2926="","",IF('ATP Fills'!Q2926="PHILLIPSG",'ATP Fills'!F2926,""))</f>
        <v/>
      </c>
      <c r="B2926" t="str">
        <f>IF(A2926="","",'ATP Fills'!L2926)</f>
        <v/>
      </c>
      <c r="C2926" t="str">
        <f>IF(A2926="","",'ATP Fills'!M2926)</f>
        <v/>
      </c>
      <c r="D2926" t="str">
        <f>IF(A2926="","",'ATP Fills'!B2926)</f>
        <v/>
      </c>
      <c r="E2926" s="3" t="str">
        <f>IF(A2926="","",IF(DATE(LEFT(D2926,4),MID(D2926,5,2),RIGHT(D2926,2))=Helper1!$P$1,Helper1!$P$1,""))</f>
        <v/>
      </c>
      <c r="F2926" s="3" t="str">
        <f>IF(A2926="","",'ATP Fills'!G2926)</f>
        <v/>
      </c>
      <c r="G2926" t="str">
        <f>IF(A2926="","",'ATP Fills'!H2926)</f>
        <v/>
      </c>
      <c r="H2926" t="str">
        <f>IF(A2926="","",VLOOKUP(G2926,表3_3[],2,0))</f>
        <v/>
      </c>
      <c r="I2926" t="str">
        <f>IF(A2926="","",VLOOKUP(G2926,表3_3[],3,0))</f>
        <v/>
      </c>
      <c r="J2926" t="str">
        <f>IF(A2926="","",IF('ATP Fills'!I2926="3M","",VLOOKUP(RIGHT('ATP Fills'!I2926,2),Helper1!$O$36:$P$48,2,0)))</f>
        <v/>
      </c>
      <c r="K2926" t="str">
        <f>IF(J2926="","",LEFT('ATP Fills'!I2926,4))</f>
        <v/>
      </c>
      <c r="L2926" t="str">
        <f>IF(A2926="","",IF('ATP Fills'!G2926="LME",'ATP Fills'!I2926,""))</f>
        <v/>
      </c>
      <c r="M2926" t="str">
        <f t="shared" si="45"/>
        <v/>
      </c>
    </row>
    <row r="2927" spans="1:13">
      <c r="A2927" t="str">
        <f>IF('ATP Fills'!A2927="","",IF('ATP Fills'!Q2927="PHILLIPSG",'ATP Fills'!F2927,""))</f>
        <v/>
      </c>
      <c r="B2927" t="str">
        <f>IF(A2927="","",'ATP Fills'!L2927)</f>
        <v/>
      </c>
      <c r="C2927" t="str">
        <f>IF(A2927="","",'ATP Fills'!M2927)</f>
        <v/>
      </c>
      <c r="D2927" t="str">
        <f>IF(A2927="","",'ATP Fills'!B2927)</f>
        <v/>
      </c>
      <c r="E2927" s="3" t="str">
        <f>IF(A2927="","",IF(DATE(LEFT(D2927,4),MID(D2927,5,2),RIGHT(D2927,2))=Helper1!$P$1,Helper1!$P$1,""))</f>
        <v/>
      </c>
      <c r="F2927" s="3" t="str">
        <f>IF(A2927="","",'ATP Fills'!G2927)</f>
        <v/>
      </c>
      <c r="G2927" t="str">
        <f>IF(A2927="","",'ATP Fills'!H2927)</f>
        <v/>
      </c>
      <c r="H2927" t="str">
        <f>IF(A2927="","",VLOOKUP(G2927,表3_3[],2,0))</f>
        <v/>
      </c>
      <c r="I2927" t="str">
        <f>IF(A2927="","",VLOOKUP(G2927,表3_3[],3,0))</f>
        <v/>
      </c>
      <c r="J2927" t="str">
        <f>IF(A2927="","",IF('ATP Fills'!I2927="3M","",VLOOKUP(RIGHT('ATP Fills'!I2927,2),Helper1!$O$36:$P$48,2,0)))</f>
        <v/>
      </c>
      <c r="K2927" t="str">
        <f>IF(J2927="","",LEFT('ATP Fills'!I2927,4))</f>
        <v/>
      </c>
      <c r="L2927" t="str">
        <f>IF(A2927="","",IF('ATP Fills'!G2927="LME",'ATP Fills'!I2927,""))</f>
        <v/>
      </c>
      <c r="M2927" t="str">
        <f t="shared" si="45"/>
        <v/>
      </c>
    </row>
    <row r="2928" spans="1:13">
      <c r="A2928" t="str">
        <f>IF('ATP Fills'!A2928="","",IF('ATP Fills'!Q2928="PHILLIPSG",'ATP Fills'!F2928,""))</f>
        <v/>
      </c>
      <c r="B2928" t="str">
        <f>IF(A2928="","",'ATP Fills'!L2928)</f>
        <v/>
      </c>
      <c r="C2928" t="str">
        <f>IF(A2928="","",'ATP Fills'!M2928)</f>
        <v/>
      </c>
      <c r="D2928" t="str">
        <f>IF(A2928="","",'ATP Fills'!B2928)</f>
        <v/>
      </c>
      <c r="E2928" s="3" t="str">
        <f>IF(A2928="","",IF(DATE(LEFT(D2928,4),MID(D2928,5,2),RIGHT(D2928,2))=Helper1!$P$1,Helper1!$P$1,""))</f>
        <v/>
      </c>
      <c r="F2928" s="3" t="str">
        <f>IF(A2928="","",'ATP Fills'!G2928)</f>
        <v/>
      </c>
      <c r="G2928" t="str">
        <f>IF(A2928="","",'ATP Fills'!H2928)</f>
        <v/>
      </c>
      <c r="H2928" t="str">
        <f>IF(A2928="","",VLOOKUP(G2928,表3_3[],2,0))</f>
        <v/>
      </c>
      <c r="I2928" t="str">
        <f>IF(A2928="","",VLOOKUP(G2928,表3_3[],3,0))</f>
        <v/>
      </c>
      <c r="J2928" t="str">
        <f>IF(A2928="","",IF('ATP Fills'!I2928="3M","",VLOOKUP(RIGHT('ATP Fills'!I2928,2),Helper1!$O$36:$P$48,2,0)))</f>
        <v/>
      </c>
      <c r="K2928" t="str">
        <f>IF(J2928="","",LEFT('ATP Fills'!I2928,4))</f>
        <v/>
      </c>
      <c r="L2928" t="str">
        <f>IF(A2928="","",IF('ATP Fills'!G2928="LME",'ATP Fills'!I2928,""))</f>
        <v/>
      </c>
      <c r="M2928" t="str">
        <f t="shared" si="45"/>
        <v/>
      </c>
    </row>
    <row r="2929" spans="1:13">
      <c r="A2929" t="str">
        <f>IF('ATP Fills'!A2929="","",IF('ATP Fills'!Q2929="PHILLIPSG",'ATP Fills'!F2929,""))</f>
        <v/>
      </c>
      <c r="B2929" t="str">
        <f>IF(A2929="","",'ATP Fills'!L2929)</f>
        <v/>
      </c>
      <c r="C2929" t="str">
        <f>IF(A2929="","",'ATP Fills'!M2929)</f>
        <v/>
      </c>
      <c r="D2929" t="str">
        <f>IF(A2929="","",'ATP Fills'!B2929)</f>
        <v/>
      </c>
      <c r="E2929" s="3" t="str">
        <f>IF(A2929="","",IF(DATE(LEFT(D2929,4),MID(D2929,5,2),RIGHT(D2929,2))=Helper1!$P$1,Helper1!$P$1,""))</f>
        <v/>
      </c>
      <c r="F2929" s="3" t="str">
        <f>IF(A2929="","",'ATP Fills'!G2929)</f>
        <v/>
      </c>
      <c r="G2929" t="str">
        <f>IF(A2929="","",'ATP Fills'!H2929)</f>
        <v/>
      </c>
      <c r="H2929" t="str">
        <f>IF(A2929="","",VLOOKUP(G2929,表3_3[],2,0))</f>
        <v/>
      </c>
      <c r="I2929" t="str">
        <f>IF(A2929="","",VLOOKUP(G2929,表3_3[],3,0))</f>
        <v/>
      </c>
      <c r="J2929" t="str">
        <f>IF(A2929="","",IF('ATP Fills'!I2929="3M","",VLOOKUP(RIGHT('ATP Fills'!I2929,2),Helper1!$O$36:$P$48,2,0)))</f>
        <v/>
      </c>
      <c r="K2929" t="str">
        <f>IF(J2929="","",LEFT('ATP Fills'!I2929,4))</f>
        <v/>
      </c>
      <c r="L2929" t="str">
        <f>IF(A2929="","",IF('ATP Fills'!G2929="LME",'ATP Fills'!I2929,""))</f>
        <v/>
      </c>
      <c r="M2929" t="str">
        <f t="shared" si="45"/>
        <v/>
      </c>
    </row>
    <row r="2930" spans="1:13">
      <c r="A2930" t="str">
        <f>IF('ATP Fills'!A2930="","",IF('ATP Fills'!Q2930="PHILLIPSG",'ATP Fills'!F2930,""))</f>
        <v/>
      </c>
      <c r="B2930" t="str">
        <f>IF(A2930="","",'ATP Fills'!L2930)</f>
        <v/>
      </c>
      <c r="C2930" t="str">
        <f>IF(A2930="","",'ATP Fills'!M2930)</f>
        <v/>
      </c>
      <c r="D2930" t="str">
        <f>IF(A2930="","",'ATP Fills'!B2930)</f>
        <v/>
      </c>
      <c r="E2930" s="3" t="str">
        <f>IF(A2930="","",IF(DATE(LEFT(D2930,4),MID(D2930,5,2),RIGHT(D2930,2))=Helper1!$P$1,Helper1!$P$1,""))</f>
        <v/>
      </c>
      <c r="F2930" s="3" t="str">
        <f>IF(A2930="","",'ATP Fills'!G2930)</f>
        <v/>
      </c>
      <c r="G2930" t="str">
        <f>IF(A2930="","",'ATP Fills'!H2930)</f>
        <v/>
      </c>
      <c r="H2930" t="str">
        <f>IF(A2930="","",VLOOKUP(G2930,表3_3[],2,0))</f>
        <v/>
      </c>
      <c r="I2930" t="str">
        <f>IF(A2930="","",VLOOKUP(G2930,表3_3[],3,0))</f>
        <v/>
      </c>
      <c r="J2930" t="str">
        <f>IF(A2930="","",IF('ATP Fills'!I2930="3M","",VLOOKUP(RIGHT('ATP Fills'!I2930,2),Helper1!$O$36:$P$48,2,0)))</f>
        <v/>
      </c>
      <c r="K2930" t="str">
        <f>IF(J2930="","",LEFT('ATP Fills'!I2930,4))</f>
        <v/>
      </c>
      <c r="L2930" t="str">
        <f>IF(A2930="","",IF('ATP Fills'!G2930="LME",'ATP Fills'!I2930,""))</f>
        <v/>
      </c>
      <c r="M2930" t="str">
        <f t="shared" si="45"/>
        <v/>
      </c>
    </row>
    <row r="2931" spans="1:13">
      <c r="A2931" t="str">
        <f>IF('ATP Fills'!A2931="","",IF('ATP Fills'!Q2931="PHILLIPSG",'ATP Fills'!F2931,""))</f>
        <v/>
      </c>
      <c r="B2931" t="str">
        <f>IF(A2931="","",'ATP Fills'!L2931)</f>
        <v/>
      </c>
      <c r="C2931" t="str">
        <f>IF(A2931="","",'ATP Fills'!M2931)</f>
        <v/>
      </c>
      <c r="D2931" t="str">
        <f>IF(A2931="","",'ATP Fills'!B2931)</f>
        <v/>
      </c>
      <c r="E2931" s="3" t="str">
        <f>IF(A2931="","",IF(DATE(LEFT(D2931,4),MID(D2931,5,2),RIGHT(D2931,2))=Helper1!$P$1,Helper1!$P$1,""))</f>
        <v/>
      </c>
      <c r="F2931" s="3" t="str">
        <f>IF(A2931="","",'ATP Fills'!G2931)</f>
        <v/>
      </c>
      <c r="G2931" t="str">
        <f>IF(A2931="","",'ATP Fills'!H2931)</f>
        <v/>
      </c>
      <c r="H2931" t="str">
        <f>IF(A2931="","",VLOOKUP(G2931,表3_3[],2,0))</f>
        <v/>
      </c>
      <c r="I2931" t="str">
        <f>IF(A2931="","",VLOOKUP(G2931,表3_3[],3,0))</f>
        <v/>
      </c>
      <c r="J2931" t="str">
        <f>IF(A2931="","",IF('ATP Fills'!I2931="3M","",VLOOKUP(RIGHT('ATP Fills'!I2931,2),Helper1!$O$36:$P$48,2,0)))</f>
        <v/>
      </c>
      <c r="K2931" t="str">
        <f>IF(J2931="","",LEFT('ATP Fills'!I2931,4))</f>
        <v/>
      </c>
      <c r="L2931" t="str">
        <f>IF(A2931="","",IF('ATP Fills'!G2931="LME",'ATP Fills'!I2931,""))</f>
        <v/>
      </c>
      <c r="M2931" t="str">
        <f t="shared" si="45"/>
        <v/>
      </c>
    </row>
    <row r="2932" spans="1:13">
      <c r="A2932" t="str">
        <f>IF('ATP Fills'!A2932="","",IF('ATP Fills'!Q2932="PHILLIPSG",'ATP Fills'!F2932,""))</f>
        <v/>
      </c>
      <c r="B2932" t="str">
        <f>IF(A2932="","",'ATP Fills'!L2932)</f>
        <v/>
      </c>
      <c r="C2932" t="str">
        <f>IF(A2932="","",'ATP Fills'!M2932)</f>
        <v/>
      </c>
      <c r="D2932" t="str">
        <f>IF(A2932="","",'ATP Fills'!B2932)</f>
        <v/>
      </c>
      <c r="E2932" s="3" t="str">
        <f>IF(A2932="","",IF(DATE(LEFT(D2932,4),MID(D2932,5,2),RIGHT(D2932,2))=Helper1!$P$1,Helper1!$P$1,""))</f>
        <v/>
      </c>
      <c r="F2932" s="3" t="str">
        <f>IF(A2932="","",'ATP Fills'!G2932)</f>
        <v/>
      </c>
      <c r="G2932" t="str">
        <f>IF(A2932="","",'ATP Fills'!H2932)</f>
        <v/>
      </c>
      <c r="H2932" t="str">
        <f>IF(A2932="","",VLOOKUP(G2932,表3_3[],2,0))</f>
        <v/>
      </c>
      <c r="I2932" t="str">
        <f>IF(A2932="","",VLOOKUP(G2932,表3_3[],3,0))</f>
        <v/>
      </c>
      <c r="J2932" t="str">
        <f>IF(A2932="","",IF('ATP Fills'!I2932="3M","",VLOOKUP(RIGHT('ATP Fills'!I2932,2),Helper1!$O$36:$P$48,2,0)))</f>
        <v/>
      </c>
      <c r="K2932" t="str">
        <f>IF(J2932="","",LEFT('ATP Fills'!I2932,4))</f>
        <v/>
      </c>
      <c r="L2932" t="str">
        <f>IF(A2932="","",IF('ATP Fills'!G2932="LME",'ATP Fills'!I2932,""))</f>
        <v/>
      </c>
      <c r="M2932" t="str">
        <f t="shared" si="45"/>
        <v/>
      </c>
    </row>
    <row r="2933" spans="1:13">
      <c r="A2933" t="str">
        <f>IF('ATP Fills'!A2933="","",IF('ATP Fills'!Q2933="PHILLIPSG",'ATP Fills'!F2933,""))</f>
        <v/>
      </c>
      <c r="B2933" t="str">
        <f>IF(A2933="","",'ATP Fills'!L2933)</f>
        <v/>
      </c>
      <c r="C2933" t="str">
        <f>IF(A2933="","",'ATP Fills'!M2933)</f>
        <v/>
      </c>
      <c r="D2933" t="str">
        <f>IF(A2933="","",'ATP Fills'!B2933)</f>
        <v/>
      </c>
      <c r="E2933" s="3" t="str">
        <f>IF(A2933="","",IF(DATE(LEFT(D2933,4),MID(D2933,5,2),RIGHT(D2933,2))=Helper1!$P$1,Helper1!$P$1,""))</f>
        <v/>
      </c>
      <c r="F2933" s="3" t="str">
        <f>IF(A2933="","",'ATP Fills'!G2933)</f>
        <v/>
      </c>
      <c r="G2933" t="str">
        <f>IF(A2933="","",'ATP Fills'!H2933)</f>
        <v/>
      </c>
      <c r="H2933" t="str">
        <f>IF(A2933="","",VLOOKUP(G2933,表3_3[],2,0))</f>
        <v/>
      </c>
      <c r="I2933" t="str">
        <f>IF(A2933="","",VLOOKUP(G2933,表3_3[],3,0))</f>
        <v/>
      </c>
      <c r="J2933" t="str">
        <f>IF(A2933="","",IF('ATP Fills'!I2933="3M","",VLOOKUP(RIGHT('ATP Fills'!I2933,2),Helper1!$O$36:$P$48,2,0)))</f>
        <v/>
      </c>
      <c r="K2933" t="str">
        <f>IF(J2933="","",LEFT('ATP Fills'!I2933,4))</f>
        <v/>
      </c>
      <c r="L2933" t="str">
        <f>IF(A2933="","",IF('ATP Fills'!G2933="LME",'ATP Fills'!I2933,""))</f>
        <v/>
      </c>
      <c r="M2933" t="str">
        <f t="shared" si="45"/>
        <v/>
      </c>
    </row>
    <row r="2934" spans="1:13">
      <c r="A2934" t="str">
        <f>IF('ATP Fills'!A2934="","",IF('ATP Fills'!Q2934="PHILLIPSG",'ATP Fills'!F2934,""))</f>
        <v/>
      </c>
      <c r="B2934" t="str">
        <f>IF(A2934="","",'ATP Fills'!L2934)</f>
        <v/>
      </c>
      <c r="C2934" t="str">
        <f>IF(A2934="","",'ATP Fills'!M2934)</f>
        <v/>
      </c>
      <c r="D2934" t="str">
        <f>IF(A2934="","",'ATP Fills'!B2934)</f>
        <v/>
      </c>
      <c r="E2934" s="3" t="str">
        <f>IF(A2934="","",IF(DATE(LEFT(D2934,4),MID(D2934,5,2),RIGHT(D2934,2))=Helper1!$P$1,Helper1!$P$1,""))</f>
        <v/>
      </c>
      <c r="F2934" s="3" t="str">
        <f>IF(A2934="","",'ATP Fills'!G2934)</f>
        <v/>
      </c>
      <c r="G2934" t="str">
        <f>IF(A2934="","",'ATP Fills'!H2934)</f>
        <v/>
      </c>
      <c r="H2934" t="str">
        <f>IF(A2934="","",VLOOKUP(G2934,表3_3[],2,0))</f>
        <v/>
      </c>
      <c r="I2934" t="str">
        <f>IF(A2934="","",VLOOKUP(G2934,表3_3[],3,0))</f>
        <v/>
      </c>
      <c r="J2934" t="str">
        <f>IF(A2934="","",IF('ATP Fills'!I2934="3M","",VLOOKUP(RIGHT('ATP Fills'!I2934,2),Helper1!$O$36:$P$48,2,0)))</f>
        <v/>
      </c>
      <c r="K2934" t="str">
        <f>IF(J2934="","",LEFT('ATP Fills'!I2934,4))</f>
        <v/>
      </c>
      <c r="L2934" t="str">
        <f>IF(A2934="","",IF('ATP Fills'!G2934="LME",'ATP Fills'!I2934,""))</f>
        <v/>
      </c>
      <c r="M2934" t="str">
        <f t="shared" si="45"/>
        <v/>
      </c>
    </row>
    <row r="2935" spans="1:13">
      <c r="A2935" t="str">
        <f>IF('ATP Fills'!A2935="","",IF('ATP Fills'!Q2935="PHILLIPSG",'ATP Fills'!F2935,""))</f>
        <v/>
      </c>
      <c r="B2935" t="str">
        <f>IF(A2935="","",'ATP Fills'!L2935)</f>
        <v/>
      </c>
      <c r="C2935" t="str">
        <f>IF(A2935="","",'ATP Fills'!M2935)</f>
        <v/>
      </c>
      <c r="D2935" t="str">
        <f>IF(A2935="","",'ATP Fills'!B2935)</f>
        <v/>
      </c>
      <c r="E2935" s="3" t="str">
        <f>IF(A2935="","",IF(DATE(LEFT(D2935,4),MID(D2935,5,2),RIGHT(D2935,2))=Helper1!$P$1,Helper1!$P$1,""))</f>
        <v/>
      </c>
      <c r="F2935" s="3" t="str">
        <f>IF(A2935="","",'ATP Fills'!G2935)</f>
        <v/>
      </c>
      <c r="G2935" t="str">
        <f>IF(A2935="","",'ATP Fills'!H2935)</f>
        <v/>
      </c>
      <c r="H2935" t="str">
        <f>IF(A2935="","",VLOOKUP(G2935,表3_3[],2,0))</f>
        <v/>
      </c>
      <c r="I2935" t="str">
        <f>IF(A2935="","",VLOOKUP(G2935,表3_3[],3,0))</f>
        <v/>
      </c>
      <c r="J2935" t="str">
        <f>IF(A2935="","",IF('ATP Fills'!I2935="3M","",VLOOKUP(RIGHT('ATP Fills'!I2935,2),Helper1!$O$36:$P$48,2,0)))</f>
        <v/>
      </c>
      <c r="K2935" t="str">
        <f>IF(J2935="","",LEFT('ATP Fills'!I2935,4))</f>
        <v/>
      </c>
      <c r="L2935" t="str">
        <f>IF(A2935="","",IF('ATP Fills'!G2935="LME",'ATP Fills'!I2935,""))</f>
        <v/>
      </c>
      <c r="M2935" t="str">
        <f t="shared" si="45"/>
        <v/>
      </c>
    </row>
    <row r="2936" spans="1:13">
      <c r="A2936" t="str">
        <f>IF('ATP Fills'!A2936="","",IF('ATP Fills'!Q2936="PHILLIPSG",'ATP Fills'!F2936,""))</f>
        <v/>
      </c>
      <c r="B2936" t="str">
        <f>IF(A2936="","",'ATP Fills'!L2936)</f>
        <v/>
      </c>
      <c r="C2936" t="str">
        <f>IF(A2936="","",'ATP Fills'!M2936)</f>
        <v/>
      </c>
      <c r="D2936" t="str">
        <f>IF(A2936="","",'ATP Fills'!B2936)</f>
        <v/>
      </c>
      <c r="E2936" s="3" t="str">
        <f>IF(A2936="","",IF(DATE(LEFT(D2936,4),MID(D2936,5,2),RIGHT(D2936,2))=Helper1!$P$1,Helper1!$P$1,""))</f>
        <v/>
      </c>
      <c r="F2936" s="3" t="str">
        <f>IF(A2936="","",'ATP Fills'!G2936)</f>
        <v/>
      </c>
      <c r="G2936" t="str">
        <f>IF(A2936="","",'ATP Fills'!H2936)</f>
        <v/>
      </c>
      <c r="H2936" t="str">
        <f>IF(A2936="","",VLOOKUP(G2936,表3_3[],2,0))</f>
        <v/>
      </c>
      <c r="I2936" t="str">
        <f>IF(A2936="","",VLOOKUP(G2936,表3_3[],3,0))</f>
        <v/>
      </c>
      <c r="J2936" t="str">
        <f>IF(A2936="","",IF('ATP Fills'!I2936="3M","",VLOOKUP(RIGHT('ATP Fills'!I2936,2),Helper1!$O$36:$P$48,2,0)))</f>
        <v/>
      </c>
      <c r="K2936" t="str">
        <f>IF(J2936="","",LEFT('ATP Fills'!I2936,4))</f>
        <v/>
      </c>
      <c r="L2936" t="str">
        <f>IF(A2936="","",IF('ATP Fills'!G2936="LME",'ATP Fills'!I2936,""))</f>
        <v/>
      </c>
      <c r="M2936" t="str">
        <f t="shared" si="45"/>
        <v/>
      </c>
    </row>
    <row r="2937" spans="1:13">
      <c r="A2937" t="str">
        <f>IF('ATP Fills'!A2937="","",IF('ATP Fills'!Q2937="PHILLIPSG",'ATP Fills'!F2937,""))</f>
        <v/>
      </c>
      <c r="B2937" t="str">
        <f>IF(A2937="","",'ATP Fills'!L2937)</f>
        <v/>
      </c>
      <c r="C2937" t="str">
        <f>IF(A2937="","",'ATP Fills'!M2937)</f>
        <v/>
      </c>
      <c r="D2937" t="str">
        <f>IF(A2937="","",'ATP Fills'!B2937)</f>
        <v/>
      </c>
      <c r="E2937" s="3" t="str">
        <f>IF(A2937="","",IF(DATE(LEFT(D2937,4),MID(D2937,5,2),RIGHT(D2937,2))=Helper1!$P$1,Helper1!$P$1,""))</f>
        <v/>
      </c>
      <c r="F2937" s="3" t="str">
        <f>IF(A2937="","",'ATP Fills'!G2937)</f>
        <v/>
      </c>
      <c r="G2937" t="str">
        <f>IF(A2937="","",'ATP Fills'!H2937)</f>
        <v/>
      </c>
      <c r="H2937" t="str">
        <f>IF(A2937="","",VLOOKUP(G2937,表3_3[],2,0))</f>
        <v/>
      </c>
      <c r="I2937" t="str">
        <f>IF(A2937="","",VLOOKUP(G2937,表3_3[],3,0))</f>
        <v/>
      </c>
      <c r="J2937" t="str">
        <f>IF(A2937="","",IF('ATP Fills'!I2937="3M","",VLOOKUP(RIGHT('ATP Fills'!I2937,2),Helper1!$O$36:$P$48,2,0)))</f>
        <v/>
      </c>
      <c r="K2937" t="str">
        <f>IF(J2937="","",LEFT('ATP Fills'!I2937,4))</f>
        <v/>
      </c>
      <c r="L2937" t="str">
        <f>IF(A2937="","",IF('ATP Fills'!G2937="LME",'ATP Fills'!I2937,""))</f>
        <v/>
      </c>
      <c r="M2937" t="str">
        <f t="shared" si="45"/>
        <v/>
      </c>
    </row>
    <row r="2938" spans="1:13">
      <c r="A2938" t="str">
        <f>IF('ATP Fills'!A2938="","",IF('ATP Fills'!Q2938="PHILLIPSG",'ATP Fills'!F2938,""))</f>
        <v/>
      </c>
      <c r="B2938" t="str">
        <f>IF(A2938="","",'ATP Fills'!L2938)</f>
        <v/>
      </c>
      <c r="C2938" t="str">
        <f>IF(A2938="","",'ATP Fills'!M2938)</f>
        <v/>
      </c>
      <c r="D2938" t="str">
        <f>IF(A2938="","",'ATP Fills'!B2938)</f>
        <v/>
      </c>
      <c r="E2938" s="3" t="str">
        <f>IF(A2938="","",IF(DATE(LEFT(D2938,4),MID(D2938,5,2),RIGHT(D2938,2))=Helper1!$P$1,Helper1!$P$1,""))</f>
        <v/>
      </c>
      <c r="F2938" s="3" t="str">
        <f>IF(A2938="","",'ATP Fills'!G2938)</f>
        <v/>
      </c>
      <c r="G2938" t="str">
        <f>IF(A2938="","",'ATP Fills'!H2938)</f>
        <v/>
      </c>
      <c r="H2938" t="str">
        <f>IF(A2938="","",VLOOKUP(G2938,表3_3[],2,0))</f>
        <v/>
      </c>
      <c r="I2938" t="str">
        <f>IF(A2938="","",VLOOKUP(G2938,表3_3[],3,0))</f>
        <v/>
      </c>
      <c r="J2938" t="str">
        <f>IF(A2938="","",IF('ATP Fills'!I2938="3M","",VLOOKUP(RIGHT('ATP Fills'!I2938,2),Helper1!$O$36:$P$48,2,0)))</f>
        <v/>
      </c>
      <c r="K2938" t="str">
        <f>IF(J2938="","",LEFT('ATP Fills'!I2938,4))</f>
        <v/>
      </c>
      <c r="L2938" t="str">
        <f>IF(A2938="","",IF('ATP Fills'!G2938="LME",'ATP Fills'!I2938,""))</f>
        <v/>
      </c>
      <c r="M2938" t="str">
        <f t="shared" si="45"/>
        <v/>
      </c>
    </row>
    <row r="2939" spans="1:13">
      <c r="A2939" t="str">
        <f>IF('ATP Fills'!A2939="","",IF('ATP Fills'!Q2939="PHILLIPSG",'ATP Fills'!F2939,""))</f>
        <v/>
      </c>
      <c r="B2939" t="str">
        <f>IF(A2939="","",'ATP Fills'!L2939)</f>
        <v/>
      </c>
      <c r="C2939" t="str">
        <f>IF(A2939="","",'ATP Fills'!M2939)</f>
        <v/>
      </c>
      <c r="D2939" t="str">
        <f>IF(A2939="","",'ATP Fills'!B2939)</f>
        <v/>
      </c>
      <c r="E2939" s="3" t="str">
        <f>IF(A2939="","",IF(DATE(LEFT(D2939,4),MID(D2939,5,2),RIGHT(D2939,2))=Helper1!$P$1,Helper1!$P$1,""))</f>
        <v/>
      </c>
      <c r="F2939" s="3" t="str">
        <f>IF(A2939="","",'ATP Fills'!G2939)</f>
        <v/>
      </c>
      <c r="G2939" t="str">
        <f>IF(A2939="","",'ATP Fills'!H2939)</f>
        <v/>
      </c>
      <c r="H2939" t="str">
        <f>IF(A2939="","",VLOOKUP(G2939,表3_3[],2,0))</f>
        <v/>
      </c>
      <c r="I2939" t="str">
        <f>IF(A2939="","",VLOOKUP(G2939,表3_3[],3,0))</f>
        <v/>
      </c>
      <c r="J2939" t="str">
        <f>IF(A2939="","",IF('ATP Fills'!I2939="3M","",VLOOKUP(RIGHT('ATP Fills'!I2939,2),Helper1!$O$36:$P$48,2,0)))</f>
        <v/>
      </c>
      <c r="K2939" t="str">
        <f>IF(J2939="","",LEFT('ATP Fills'!I2939,4))</f>
        <v/>
      </c>
      <c r="L2939" t="str">
        <f>IF(A2939="","",IF('ATP Fills'!G2939="LME",'ATP Fills'!I2939,""))</f>
        <v/>
      </c>
      <c r="M2939" t="str">
        <f t="shared" si="45"/>
        <v/>
      </c>
    </row>
    <row r="2940" spans="1:13">
      <c r="A2940" t="str">
        <f>IF('ATP Fills'!A2940="","",IF('ATP Fills'!Q2940="PHILLIPSG",'ATP Fills'!F2940,""))</f>
        <v/>
      </c>
      <c r="B2940" t="str">
        <f>IF(A2940="","",'ATP Fills'!L2940)</f>
        <v/>
      </c>
      <c r="C2940" t="str">
        <f>IF(A2940="","",'ATP Fills'!M2940)</f>
        <v/>
      </c>
      <c r="D2940" t="str">
        <f>IF(A2940="","",'ATP Fills'!B2940)</f>
        <v/>
      </c>
      <c r="E2940" s="3" t="str">
        <f>IF(A2940="","",IF(DATE(LEFT(D2940,4),MID(D2940,5,2),RIGHT(D2940,2))=Helper1!$P$1,Helper1!$P$1,""))</f>
        <v/>
      </c>
      <c r="F2940" s="3" t="str">
        <f>IF(A2940="","",'ATP Fills'!G2940)</f>
        <v/>
      </c>
      <c r="G2940" t="str">
        <f>IF(A2940="","",'ATP Fills'!H2940)</f>
        <v/>
      </c>
      <c r="H2940" t="str">
        <f>IF(A2940="","",VLOOKUP(G2940,表3_3[],2,0))</f>
        <v/>
      </c>
      <c r="I2940" t="str">
        <f>IF(A2940="","",VLOOKUP(G2940,表3_3[],3,0))</f>
        <v/>
      </c>
      <c r="J2940" t="str">
        <f>IF(A2940="","",IF('ATP Fills'!I2940="3M","",VLOOKUP(RIGHT('ATP Fills'!I2940,2),Helper1!$O$36:$P$48,2,0)))</f>
        <v/>
      </c>
      <c r="K2940" t="str">
        <f>IF(J2940="","",LEFT('ATP Fills'!I2940,4))</f>
        <v/>
      </c>
      <c r="L2940" t="str">
        <f>IF(A2940="","",IF('ATP Fills'!G2940="LME",'ATP Fills'!I2940,""))</f>
        <v/>
      </c>
      <c r="M2940" t="str">
        <f t="shared" si="45"/>
        <v/>
      </c>
    </row>
    <row r="2941" spans="1:13">
      <c r="A2941" t="str">
        <f>IF('ATP Fills'!A2941="","",IF('ATP Fills'!Q2941="PHILLIPSG",'ATP Fills'!F2941,""))</f>
        <v/>
      </c>
      <c r="B2941" t="str">
        <f>IF(A2941="","",'ATP Fills'!L2941)</f>
        <v/>
      </c>
      <c r="C2941" t="str">
        <f>IF(A2941="","",'ATP Fills'!M2941)</f>
        <v/>
      </c>
      <c r="D2941" t="str">
        <f>IF(A2941="","",'ATP Fills'!B2941)</f>
        <v/>
      </c>
      <c r="E2941" s="3" t="str">
        <f>IF(A2941="","",IF(DATE(LEFT(D2941,4),MID(D2941,5,2),RIGHT(D2941,2))=Helper1!$P$1,Helper1!$P$1,""))</f>
        <v/>
      </c>
      <c r="F2941" s="3" t="str">
        <f>IF(A2941="","",'ATP Fills'!G2941)</f>
        <v/>
      </c>
      <c r="G2941" t="str">
        <f>IF(A2941="","",'ATP Fills'!H2941)</f>
        <v/>
      </c>
      <c r="H2941" t="str">
        <f>IF(A2941="","",VLOOKUP(G2941,表3_3[],2,0))</f>
        <v/>
      </c>
      <c r="I2941" t="str">
        <f>IF(A2941="","",VLOOKUP(G2941,表3_3[],3,0))</f>
        <v/>
      </c>
      <c r="J2941" t="str">
        <f>IF(A2941="","",IF('ATP Fills'!I2941="3M","",VLOOKUP(RIGHT('ATP Fills'!I2941,2),Helper1!$O$36:$P$48,2,0)))</f>
        <v/>
      </c>
      <c r="K2941" t="str">
        <f>IF(J2941="","",LEFT('ATP Fills'!I2941,4))</f>
        <v/>
      </c>
      <c r="L2941" t="str">
        <f>IF(A2941="","",IF('ATP Fills'!G2941="LME",'ATP Fills'!I2941,""))</f>
        <v/>
      </c>
      <c r="M2941" t="str">
        <f t="shared" si="45"/>
        <v/>
      </c>
    </row>
    <row r="2942" spans="1:13">
      <c r="A2942" t="str">
        <f>IF('ATP Fills'!A2942="","",IF('ATP Fills'!Q2942="PHILLIPSG",'ATP Fills'!F2942,""))</f>
        <v/>
      </c>
      <c r="B2942" t="str">
        <f>IF(A2942="","",'ATP Fills'!L2942)</f>
        <v/>
      </c>
      <c r="C2942" t="str">
        <f>IF(A2942="","",'ATP Fills'!M2942)</f>
        <v/>
      </c>
      <c r="D2942" t="str">
        <f>IF(A2942="","",'ATP Fills'!B2942)</f>
        <v/>
      </c>
      <c r="E2942" s="3" t="str">
        <f>IF(A2942="","",IF(DATE(LEFT(D2942,4),MID(D2942,5,2),RIGHT(D2942,2))=Helper1!$P$1,Helper1!$P$1,""))</f>
        <v/>
      </c>
      <c r="F2942" s="3" t="str">
        <f>IF(A2942="","",'ATP Fills'!G2942)</f>
        <v/>
      </c>
      <c r="G2942" t="str">
        <f>IF(A2942="","",'ATP Fills'!H2942)</f>
        <v/>
      </c>
      <c r="H2942" t="str">
        <f>IF(A2942="","",VLOOKUP(G2942,表3_3[],2,0))</f>
        <v/>
      </c>
      <c r="I2942" t="str">
        <f>IF(A2942="","",VLOOKUP(G2942,表3_3[],3,0))</f>
        <v/>
      </c>
      <c r="J2942" t="str">
        <f>IF(A2942="","",IF('ATP Fills'!I2942="3M","",VLOOKUP(RIGHT('ATP Fills'!I2942,2),Helper1!$O$36:$P$48,2,0)))</f>
        <v/>
      </c>
      <c r="K2942" t="str">
        <f>IF(J2942="","",LEFT('ATP Fills'!I2942,4))</f>
        <v/>
      </c>
      <c r="L2942" t="str">
        <f>IF(A2942="","",IF('ATP Fills'!G2942="LME",'ATP Fills'!I2942,""))</f>
        <v/>
      </c>
      <c r="M2942" t="str">
        <f t="shared" si="45"/>
        <v/>
      </c>
    </row>
    <row r="2943" spans="1:13">
      <c r="A2943" t="str">
        <f>IF('ATP Fills'!A2943="","",IF('ATP Fills'!Q2943="PHILLIPSG",'ATP Fills'!F2943,""))</f>
        <v/>
      </c>
      <c r="B2943" t="str">
        <f>IF(A2943="","",'ATP Fills'!L2943)</f>
        <v/>
      </c>
      <c r="C2943" t="str">
        <f>IF(A2943="","",'ATP Fills'!M2943)</f>
        <v/>
      </c>
      <c r="D2943" t="str">
        <f>IF(A2943="","",'ATP Fills'!B2943)</f>
        <v/>
      </c>
      <c r="E2943" s="3" t="str">
        <f>IF(A2943="","",IF(DATE(LEFT(D2943,4),MID(D2943,5,2),RIGHT(D2943,2))=Helper1!$P$1,Helper1!$P$1,""))</f>
        <v/>
      </c>
      <c r="F2943" s="3" t="str">
        <f>IF(A2943="","",'ATP Fills'!G2943)</f>
        <v/>
      </c>
      <c r="G2943" t="str">
        <f>IF(A2943="","",'ATP Fills'!H2943)</f>
        <v/>
      </c>
      <c r="H2943" t="str">
        <f>IF(A2943="","",VLOOKUP(G2943,表3_3[],2,0))</f>
        <v/>
      </c>
      <c r="I2943" t="str">
        <f>IF(A2943="","",VLOOKUP(G2943,表3_3[],3,0))</f>
        <v/>
      </c>
      <c r="J2943" t="str">
        <f>IF(A2943="","",IF('ATP Fills'!I2943="3M","",VLOOKUP(RIGHT('ATP Fills'!I2943,2),Helper1!$O$36:$P$48,2,0)))</f>
        <v/>
      </c>
      <c r="K2943" t="str">
        <f>IF(J2943="","",LEFT('ATP Fills'!I2943,4))</f>
        <v/>
      </c>
      <c r="L2943" t="str">
        <f>IF(A2943="","",IF('ATP Fills'!G2943="LME",'ATP Fills'!I2943,""))</f>
        <v/>
      </c>
      <c r="M2943" t="str">
        <f t="shared" si="45"/>
        <v/>
      </c>
    </row>
    <row r="2944" spans="1:13">
      <c r="A2944" t="str">
        <f>IF('ATP Fills'!A2944="","",IF('ATP Fills'!Q2944="PHILLIPSG",'ATP Fills'!F2944,""))</f>
        <v/>
      </c>
      <c r="B2944" t="str">
        <f>IF(A2944="","",'ATP Fills'!L2944)</f>
        <v/>
      </c>
      <c r="C2944" t="str">
        <f>IF(A2944="","",'ATP Fills'!M2944)</f>
        <v/>
      </c>
      <c r="D2944" t="str">
        <f>IF(A2944="","",'ATP Fills'!B2944)</f>
        <v/>
      </c>
      <c r="E2944" s="3" t="str">
        <f>IF(A2944="","",IF(DATE(LEFT(D2944,4),MID(D2944,5,2),RIGHT(D2944,2))=Helper1!$P$1,Helper1!$P$1,""))</f>
        <v/>
      </c>
      <c r="F2944" s="3" t="str">
        <f>IF(A2944="","",'ATP Fills'!G2944)</f>
        <v/>
      </c>
      <c r="G2944" t="str">
        <f>IF(A2944="","",'ATP Fills'!H2944)</f>
        <v/>
      </c>
      <c r="H2944" t="str">
        <f>IF(A2944="","",VLOOKUP(G2944,表3_3[],2,0))</f>
        <v/>
      </c>
      <c r="I2944" t="str">
        <f>IF(A2944="","",VLOOKUP(G2944,表3_3[],3,0))</f>
        <v/>
      </c>
      <c r="J2944" t="str">
        <f>IF(A2944="","",IF('ATP Fills'!I2944="3M","",VLOOKUP(RIGHT('ATP Fills'!I2944,2),Helper1!$O$36:$P$48,2,0)))</f>
        <v/>
      </c>
      <c r="K2944" t="str">
        <f>IF(J2944="","",LEFT('ATP Fills'!I2944,4))</f>
        <v/>
      </c>
      <c r="L2944" t="str">
        <f>IF(A2944="","",IF('ATP Fills'!G2944="LME",'ATP Fills'!I2944,""))</f>
        <v/>
      </c>
      <c r="M2944" t="str">
        <f t="shared" si="45"/>
        <v/>
      </c>
    </row>
    <row r="2945" spans="1:13">
      <c r="A2945" t="str">
        <f>IF('ATP Fills'!A2945="","",IF('ATP Fills'!Q2945="PHILLIPSG",'ATP Fills'!F2945,""))</f>
        <v/>
      </c>
      <c r="B2945" t="str">
        <f>IF(A2945="","",'ATP Fills'!L2945)</f>
        <v/>
      </c>
      <c r="C2945" t="str">
        <f>IF(A2945="","",'ATP Fills'!M2945)</f>
        <v/>
      </c>
      <c r="D2945" t="str">
        <f>IF(A2945="","",'ATP Fills'!B2945)</f>
        <v/>
      </c>
      <c r="E2945" s="3" t="str">
        <f>IF(A2945="","",IF(DATE(LEFT(D2945,4),MID(D2945,5,2),RIGHT(D2945,2))=Helper1!$P$1,Helper1!$P$1,""))</f>
        <v/>
      </c>
      <c r="F2945" s="3" t="str">
        <f>IF(A2945="","",'ATP Fills'!G2945)</f>
        <v/>
      </c>
      <c r="G2945" t="str">
        <f>IF(A2945="","",'ATP Fills'!H2945)</f>
        <v/>
      </c>
      <c r="H2945" t="str">
        <f>IF(A2945="","",VLOOKUP(G2945,表3_3[],2,0))</f>
        <v/>
      </c>
      <c r="I2945" t="str">
        <f>IF(A2945="","",VLOOKUP(G2945,表3_3[],3,0))</f>
        <v/>
      </c>
      <c r="J2945" t="str">
        <f>IF(A2945="","",IF('ATP Fills'!I2945="3M","",VLOOKUP(RIGHT('ATP Fills'!I2945,2),Helper1!$O$36:$P$48,2,0)))</f>
        <v/>
      </c>
      <c r="K2945" t="str">
        <f>IF(J2945="","",LEFT('ATP Fills'!I2945,4))</f>
        <v/>
      </c>
      <c r="L2945" t="str">
        <f>IF(A2945="","",IF('ATP Fills'!G2945="LME",'ATP Fills'!I2945,""))</f>
        <v/>
      </c>
      <c r="M2945" t="str">
        <f t="shared" si="45"/>
        <v/>
      </c>
    </row>
    <row r="2946" spans="1:13">
      <c r="A2946" t="str">
        <f>IF('ATP Fills'!A2946="","",IF('ATP Fills'!Q2946="PHILLIPSG",'ATP Fills'!F2946,""))</f>
        <v/>
      </c>
      <c r="B2946" t="str">
        <f>IF(A2946="","",'ATP Fills'!L2946)</f>
        <v/>
      </c>
      <c r="C2946" t="str">
        <f>IF(A2946="","",'ATP Fills'!M2946)</f>
        <v/>
      </c>
      <c r="D2946" t="str">
        <f>IF(A2946="","",'ATP Fills'!B2946)</f>
        <v/>
      </c>
      <c r="E2946" s="3" t="str">
        <f>IF(A2946="","",IF(DATE(LEFT(D2946,4),MID(D2946,5,2),RIGHT(D2946,2))=Helper1!$P$1,Helper1!$P$1,""))</f>
        <v/>
      </c>
      <c r="F2946" s="3" t="str">
        <f>IF(A2946="","",'ATP Fills'!G2946)</f>
        <v/>
      </c>
      <c r="G2946" t="str">
        <f>IF(A2946="","",'ATP Fills'!H2946)</f>
        <v/>
      </c>
      <c r="H2946" t="str">
        <f>IF(A2946="","",VLOOKUP(G2946,表3_3[],2,0))</f>
        <v/>
      </c>
      <c r="I2946" t="str">
        <f>IF(A2946="","",VLOOKUP(G2946,表3_3[],3,0))</f>
        <v/>
      </c>
      <c r="J2946" t="str">
        <f>IF(A2946="","",IF('ATP Fills'!I2946="3M","",VLOOKUP(RIGHT('ATP Fills'!I2946,2),Helper1!$O$36:$P$48,2,0)))</f>
        <v/>
      </c>
      <c r="K2946" t="str">
        <f>IF(J2946="","",LEFT('ATP Fills'!I2946,4))</f>
        <v/>
      </c>
      <c r="L2946" t="str">
        <f>IF(A2946="","",IF('ATP Fills'!G2946="LME",'ATP Fills'!I2946,""))</f>
        <v/>
      </c>
      <c r="M2946" t="str">
        <f t="shared" si="45"/>
        <v/>
      </c>
    </row>
    <row r="2947" spans="1:13">
      <c r="A2947" t="str">
        <f>IF('ATP Fills'!A2947="","",IF('ATP Fills'!Q2947="PHILLIPSG",'ATP Fills'!F2947,""))</f>
        <v/>
      </c>
      <c r="B2947" t="str">
        <f>IF(A2947="","",'ATP Fills'!L2947)</f>
        <v/>
      </c>
      <c r="C2947" t="str">
        <f>IF(A2947="","",'ATP Fills'!M2947)</f>
        <v/>
      </c>
      <c r="D2947" t="str">
        <f>IF(A2947="","",'ATP Fills'!B2947)</f>
        <v/>
      </c>
      <c r="E2947" s="3" t="str">
        <f>IF(A2947="","",IF(DATE(LEFT(D2947,4),MID(D2947,5,2),RIGHT(D2947,2))=Helper1!$P$1,Helper1!$P$1,""))</f>
        <v/>
      </c>
      <c r="F2947" s="3" t="str">
        <f>IF(A2947="","",'ATP Fills'!G2947)</f>
        <v/>
      </c>
      <c r="G2947" t="str">
        <f>IF(A2947="","",'ATP Fills'!H2947)</f>
        <v/>
      </c>
      <c r="H2947" t="str">
        <f>IF(A2947="","",VLOOKUP(G2947,表3_3[],2,0))</f>
        <v/>
      </c>
      <c r="I2947" t="str">
        <f>IF(A2947="","",VLOOKUP(G2947,表3_3[],3,0))</f>
        <v/>
      </c>
      <c r="J2947" t="str">
        <f>IF(A2947="","",IF('ATP Fills'!I2947="3M","",VLOOKUP(RIGHT('ATP Fills'!I2947,2),Helper1!$O$36:$P$48,2,0)))</f>
        <v/>
      </c>
      <c r="K2947" t="str">
        <f>IF(J2947="","",LEFT('ATP Fills'!I2947,4))</f>
        <v/>
      </c>
      <c r="L2947" t="str">
        <f>IF(A2947="","",IF('ATP Fills'!G2947="LME",'ATP Fills'!I2947,""))</f>
        <v/>
      </c>
      <c r="M2947" t="str">
        <f t="shared" ref="M2947:M3000" si="46">IF(A2947="","",IF(F2947="LME",F2947&amp;"-"&amp;I2947&amp;"-"&amp;L2947,J2947&amp;"-"&amp;K2947&amp;"-"&amp;I2947))</f>
        <v/>
      </c>
    </row>
    <row r="2948" spans="1:13">
      <c r="A2948" t="str">
        <f>IF('ATP Fills'!A2948="","",IF('ATP Fills'!Q2948="PHILLIPSG",'ATP Fills'!F2948,""))</f>
        <v/>
      </c>
      <c r="B2948" t="str">
        <f>IF(A2948="","",'ATP Fills'!L2948)</f>
        <v/>
      </c>
      <c r="C2948" t="str">
        <f>IF(A2948="","",'ATP Fills'!M2948)</f>
        <v/>
      </c>
      <c r="D2948" t="str">
        <f>IF(A2948="","",'ATP Fills'!B2948)</f>
        <v/>
      </c>
      <c r="E2948" s="3" t="str">
        <f>IF(A2948="","",IF(DATE(LEFT(D2948,4),MID(D2948,5,2),RIGHT(D2948,2))=Helper1!$P$1,Helper1!$P$1,""))</f>
        <v/>
      </c>
      <c r="F2948" s="3" t="str">
        <f>IF(A2948="","",'ATP Fills'!G2948)</f>
        <v/>
      </c>
      <c r="G2948" t="str">
        <f>IF(A2948="","",'ATP Fills'!H2948)</f>
        <v/>
      </c>
      <c r="H2948" t="str">
        <f>IF(A2948="","",VLOOKUP(G2948,表3_3[],2,0))</f>
        <v/>
      </c>
      <c r="I2948" t="str">
        <f>IF(A2948="","",VLOOKUP(G2948,表3_3[],3,0))</f>
        <v/>
      </c>
      <c r="J2948" t="str">
        <f>IF(A2948="","",IF('ATP Fills'!I2948="3M","",VLOOKUP(RIGHT('ATP Fills'!I2948,2),Helper1!$O$36:$P$48,2,0)))</f>
        <v/>
      </c>
      <c r="K2948" t="str">
        <f>IF(J2948="","",LEFT('ATP Fills'!I2948,4))</f>
        <v/>
      </c>
      <c r="L2948" t="str">
        <f>IF(A2948="","",IF('ATP Fills'!G2948="LME",'ATP Fills'!I2948,""))</f>
        <v/>
      </c>
      <c r="M2948" t="str">
        <f t="shared" si="46"/>
        <v/>
      </c>
    </row>
    <row r="2949" spans="1:13">
      <c r="A2949" t="str">
        <f>IF('ATP Fills'!A2949="","",IF('ATP Fills'!Q2949="PHILLIPSG",'ATP Fills'!F2949,""))</f>
        <v/>
      </c>
      <c r="B2949" t="str">
        <f>IF(A2949="","",'ATP Fills'!L2949)</f>
        <v/>
      </c>
      <c r="C2949" t="str">
        <f>IF(A2949="","",'ATP Fills'!M2949)</f>
        <v/>
      </c>
      <c r="D2949" t="str">
        <f>IF(A2949="","",'ATP Fills'!B2949)</f>
        <v/>
      </c>
      <c r="E2949" s="3" t="str">
        <f>IF(A2949="","",IF(DATE(LEFT(D2949,4),MID(D2949,5,2),RIGHT(D2949,2))=Helper1!$P$1,Helper1!$P$1,""))</f>
        <v/>
      </c>
      <c r="F2949" s="3" t="str">
        <f>IF(A2949="","",'ATP Fills'!G2949)</f>
        <v/>
      </c>
      <c r="G2949" t="str">
        <f>IF(A2949="","",'ATP Fills'!H2949)</f>
        <v/>
      </c>
      <c r="H2949" t="str">
        <f>IF(A2949="","",VLOOKUP(G2949,表3_3[],2,0))</f>
        <v/>
      </c>
      <c r="I2949" t="str">
        <f>IF(A2949="","",VLOOKUP(G2949,表3_3[],3,0))</f>
        <v/>
      </c>
      <c r="J2949" t="str">
        <f>IF(A2949="","",IF('ATP Fills'!I2949="3M","",VLOOKUP(RIGHT('ATP Fills'!I2949,2),Helper1!$O$36:$P$48,2,0)))</f>
        <v/>
      </c>
      <c r="K2949" t="str">
        <f>IF(J2949="","",LEFT('ATP Fills'!I2949,4))</f>
        <v/>
      </c>
      <c r="L2949" t="str">
        <f>IF(A2949="","",IF('ATP Fills'!G2949="LME",'ATP Fills'!I2949,""))</f>
        <v/>
      </c>
      <c r="M2949" t="str">
        <f t="shared" si="46"/>
        <v/>
      </c>
    </row>
    <row r="2950" spans="1:13">
      <c r="A2950" t="str">
        <f>IF('ATP Fills'!A2950="","",IF('ATP Fills'!Q2950="PHILLIPSG",'ATP Fills'!F2950,""))</f>
        <v/>
      </c>
      <c r="B2950" t="str">
        <f>IF(A2950="","",'ATP Fills'!L2950)</f>
        <v/>
      </c>
      <c r="C2950" t="str">
        <f>IF(A2950="","",'ATP Fills'!M2950)</f>
        <v/>
      </c>
      <c r="D2950" t="str">
        <f>IF(A2950="","",'ATP Fills'!B2950)</f>
        <v/>
      </c>
      <c r="E2950" s="3" t="str">
        <f>IF(A2950="","",IF(DATE(LEFT(D2950,4),MID(D2950,5,2),RIGHT(D2950,2))=Helper1!$P$1,Helper1!$P$1,""))</f>
        <v/>
      </c>
      <c r="F2950" s="3" t="str">
        <f>IF(A2950="","",'ATP Fills'!G2950)</f>
        <v/>
      </c>
      <c r="G2950" t="str">
        <f>IF(A2950="","",'ATP Fills'!H2950)</f>
        <v/>
      </c>
      <c r="H2950" t="str">
        <f>IF(A2950="","",VLOOKUP(G2950,表3_3[],2,0))</f>
        <v/>
      </c>
      <c r="I2950" t="str">
        <f>IF(A2950="","",VLOOKUP(G2950,表3_3[],3,0))</f>
        <v/>
      </c>
      <c r="J2950" t="str">
        <f>IF(A2950="","",IF('ATP Fills'!I2950="3M","",VLOOKUP(RIGHT('ATP Fills'!I2950,2),Helper1!$O$36:$P$48,2,0)))</f>
        <v/>
      </c>
      <c r="K2950" t="str">
        <f>IF(J2950="","",LEFT('ATP Fills'!I2950,4))</f>
        <v/>
      </c>
      <c r="L2950" t="str">
        <f>IF(A2950="","",IF('ATP Fills'!G2950="LME",'ATP Fills'!I2950,""))</f>
        <v/>
      </c>
      <c r="M2950" t="str">
        <f t="shared" si="46"/>
        <v/>
      </c>
    </row>
    <row r="2951" spans="1:13">
      <c r="A2951" t="str">
        <f>IF('ATP Fills'!A2951="","",IF('ATP Fills'!Q2951="PHILLIPSG",'ATP Fills'!F2951,""))</f>
        <v/>
      </c>
      <c r="B2951" t="str">
        <f>IF(A2951="","",'ATP Fills'!L2951)</f>
        <v/>
      </c>
      <c r="C2951" t="str">
        <f>IF(A2951="","",'ATP Fills'!M2951)</f>
        <v/>
      </c>
      <c r="D2951" t="str">
        <f>IF(A2951="","",'ATP Fills'!B2951)</f>
        <v/>
      </c>
      <c r="E2951" s="3" t="str">
        <f>IF(A2951="","",IF(DATE(LEFT(D2951,4),MID(D2951,5,2),RIGHT(D2951,2))=Helper1!$P$1,Helper1!$P$1,""))</f>
        <v/>
      </c>
      <c r="F2951" s="3" t="str">
        <f>IF(A2951="","",'ATP Fills'!G2951)</f>
        <v/>
      </c>
      <c r="G2951" t="str">
        <f>IF(A2951="","",'ATP Fills'!H2951)</f>
        <v/>
      </c>
      <c r="H2951" t="str">
        <f>IF(A2951="","",VLOOKUP(G2951,表3_3[],2,0))</f>
        <v/>
      </c>
      <c r="I2951" t="str">
        <f>IF(A2951="","",VLOOKUP(G2951,表3_3[],3,0))</f>
        <v/>
      </c>
      <c r="J2951" t="str">
        <f>IF(A2951="","",IF('ATP Fills'!I2951="3M","",VLOOKUP(RIGHT('ATP Fills'!I2951,2),Helper1!$O$36:$P$48,2,0)))</f>
        <v/>
      </c>
      <c r="K2951" t="str">
        <f>IF(J2951="","",LEFT('ATP Fills'!I2951,4))</f>
        <v/>
      </c>
      <c r="L2951" t="str">
        <f>IF(A2951="","",IF('ATP Fills'!G2951="LME",'ATP Fills'!I2951,""))</f>
        <v/>
      </c>
      <c r="M2951" t="str">
        <f t="shared" si="46"/>
        <v/>
      </c>
    </row>
    <row r="2952" spans="1:13">
      <c r="A2952" t="str">
        <f>IF('ATP Fills'!A2952="","",IF('ATP Fills'!Q2952="PHILLIPSG",'ATP Fills'!F2952,""))</f>
        <v/>
      </c>
      <c r="B2952" t="str">
        <f>IF(A2952="","",'ATP Fills'!L2952)</f>
        <v/>
      </c>
      <c r="C2952" t="str">
        <f>IF(A2952="","",'ATP Fills'!M2952)</f>
        <v/>
      </c>
      <c r="D2952" t="str">
        <f>IF(A2952="","",'ATP Fills'!B2952)</f>
        <v/>
      </c>
      <c r="E2952" s="3" t="str">
        <f>IF(A2952="","",IF(DATE(LEFT(D2952,4),MID(D2952,5,2),RIGHT(D2952,2))=Helper1!$P$1,Helper1!$P$1,""))</f>
        <v/>
      </c>
      <c r="F2952" s="3" t="str">
        <f>IF(A2952="","",'ATP Fills'!G2952)</f>
        <v/>
      </c>
      <c r="G2952" t="str">
        <f>IF(A2952="","",'ATP Fills'!H2952)</f>
        <v/>
      </c>
      <c r="H2952" t="str">
        <f>IF(A2952="","",VLOOKUP(G2952,表3_3[],2,0))</f>
        <v/>
      </c>
      <c r="I2952" t="str">
        <f>IF(A2952="","",VLOOKUP(G2952,表3_3[],3,0))</f>
        <v/>
      </c>
      <c r="J2952" t="str">
        <f>IF(A2952="","",IF('ATP Fills'!I2952="3M","",VLOOKUP(RIGHT('ATP Fills'!I2952,2),Helper1!$O$36:$P$48,2,0)))</f>
        <v/>
      </c>
      <c r="K2952" t="str">
        <f>IF(J2952="","",LEFT('ATP Fills'!I2952,4))</f>
        <v/>
      </c>
      <c r="L2952" t="str">
        <f>IF(A2952="","",IF('ATP Fills'!G2952="LME",'ATP Fills'!I2952,""))</f>
        <v/>
      </c>
      <c r="M2952" t="str">
        <f t="shared" si="46"/>
        <v/>
      </c>
    </row>
    <row r="2953" spans="1:13">
      <c r="A2953" t="str">
        <f>IF('ATP Fills'!A2953="","",IF('ATP Fills'!Q2953="PHILLIPSG",'ATP Fills'!F2953,""))</f>
        <v/>
      </c>
      <c r="B2953" t="str">
        <f>IF(A2953="","",'ATP Fills'!L2953)</f>
        <v/>
      </c>
      <c r="C2953" t="str">
        <f>IF(A2953="","",'ATP Fills'!M2953)</f>
        <v/>
      </c>
      <c r="D2953" t="str">
        <f>IF(A2953="","",'ATP Fills'!B2953)</f>
        <v/>
      </c>
      <c r="E2953" s="3" t="str">
        <f>IF(A2953="","",IF(DATE(LEFT(D2953,4),MID(D2953,5,2),RIGHT(D2953,2))=Helper1!$P$1,Helper1!$P$1,""))</f>
        <v/>
      </c>
      <c r="F2953" s="3" t="str">
        <f>IF(A2953="","",'ATP Fills'!G2953)</f>
        <v/>
      </c>
      <c r="G2953" t="str">
        <f>IF(A2953="","",'ATP Fills'!H2953)</f>
        <v/>
      </c>
      <c r="H2953" t="str">
        <f>IF(A2953="","",VLOOKUP(G2953,表3_3[],2,0))</f>
        <v/>
      </c>
      <c r="I2953" t="str">
        <f>IF(A2953="","",VLOOKUP(G2953,表3_3[],3,0))</f>
        <v/>
      </c>
      <c r="J2953" t="str">
        <f>IF(A2953="","",IF('ATP Fills'!I2953="3M","",VLOOKUP(RIGHT('ATP Fills'!I2953,2),Helper1!$O$36:$P$48,2,0)))</f>
        <v/>
      </c>
      <c r="K2953" t="str">
        <f>IF(J2953="","",LEFT('ATP Fills'!I2953,4))</f>
        <v/>
      </c>
      <c r="L2953" t="str">
        <f>IF(A2953="","",IF('ATP Fills'!G2953="LME",'ATP Fills'!I2953,""))</f>
        <v/>
      </c>
      <c r="M2953" t="str">
        <f t="shared" si="46"/>
        <v/>
      </c>
    </row>
    <row r="2954" spans="1:13">
      <c r="A2954" t="str">
        <f>IF('ATP Fills'!A2954="","",IF('ATP Fills'!Q2954="PHILLIPSG",'ATP Fills'!F2954,""))</f>
        <v/>
      </c>
      <c r="B2954" t="str">
        <f>IF(A2954="","",'ATP Fills'!L2954)</f>
        <v/>
      </c>
      <c r="C2954" t="str">
        <f>IF(A2954="","",'ATP Fills'!M2954)</f>
        <v/>
      </c>
      <c r="D2954" t="str">
        <f>IF(A2954="","",'ATP Fills'!B2954)</f>
        <v/>
      </c>
      <c r="E2954" s="3" t="str">
        <f>IF(A2954="","",IF(DATE(LEFT(D2954,4),MID(D2954,5,2),RIGHT(D2954,2))=Helper1!$P$1,Helper1!$P$1,""))</f>
        <v/>
      </c>
      <c r="F2954" s="3" t="str">
        <f>IF(A2954="","",'ATP Fills'!G2954)</f>
        <v/>
      </c>
      <c r="G2954" t="str">
        <f>IF(A2954="","",'ATP Fills'!H2954)</f>
        <v/>
      </c>
      <c r="H2954" t="str">
        <f>IF(A2954="","",VLOOKUP(G2954,表3_3[],2,0))</f>
        <v/>
      </c>
      <c r="I2954" t="str">
        <f>IF(A2954="","",VLOOKUP(G2954,表3_3[],3,0))</f>
        <v/>
      </c>
      <c r="J2954" t="str">
        <f>IF(A2954="","",IF('ATP Fills'!I2954="3M","",VLOOKUP(RIGHT('ATP Fills'!I2954,2),Helper1!$O$36:$P$48,2,0)))</f>
        <v/>
      </c>
      <c r="K2954" t="str">
        <f>IF(J2954="","",LEFT('ATP Fills'!I2954,4))</f>
        <v/>
      </c>
      <c r="L2954" t="str">
        <f>IF(A2954="","",IF('ATP Fills'!G2954="LME",'ATP Fills'!I2954,""))</f>
        <v/>
      </c>
      <c r="M2954" t="str">
        <f t="shared" si="46"/>
        <v/>
      </c>
    </row>
    <row r="2955" spans="1:13">
      <c r="A2955" t="str">
        <f>IF('ATP Fills'!A2955="","",IF('ATP Fills'!Q2955="PHILLIPSG",'ATP Fills'!F2955,""))</f>
        <v/>
      </c>
      <c r="B2955" t="str">
        <f>IF(A2955="","",'ATP Fills'!L2955)</f>
        <v/>
      </c>
      <c r="C2955" t="str">
        <f>IF(A2955="","",'ATP Fills'!M2955)</f>
        <v/>
      </c>
      <c r="D2955" t="str">
        <f>IF(A2955="","",'ATP Fills'!B2955)</f>
        <v/>
      </c>
      <c r="E2955" s="3" t="str">
        <f>IF(A2955="","",IF(DATE(LEFT(D2955,4),MID(D2955,5,2),RIGHT(D2955,2))=Helper1!$P$1,Helper1!$P$1,""))</f>
        <v/>
      </c>
      <c r="F2955" s="3" t="str">
        <f>IF(A2955="","",'ATP Fills'!G2955)</f>
        <v/>
      </c>
      <c r="G2955" t="str">
        <f>IF(A2955="","",'ATP Fills'!H2955)</f>
        <v/>
      </c>
      <c r="H2955" t="str">
        <f>IF(A2955="","",VLOOKUP(G2955,表3_3[],2,0))</f>
        <v/>
      </c>
      <c r="I2955" t="str">
        <f>IF(A2955="","",VLOOKUP(G2955,表3_3[],3,0))</f>
        <v/>
      </c>
      <c r="J2955" t="str">
        <f>IF(A2955="","",IF('ATP Fills'!I2955="3M","",VLOOKUP(RIGHT('ATP Fills'!I2955,2),Helper1!$O$36:$P$48,2,0)))</f>
        <v/>
      </c>
      <c r="K2955" t="str">
        <f>IF(J2955="","",LEFT('ATP Fills'!I2955,4))</f>
        <v/>
      </c>
      <c r="L2955" t="str">
        <f>IF(A2955="","",IF('ATP Fills'!G2955="LME",'ATP Fills'!I2955,""))</f>
        <v/>
      </c>
      <c r="M2955" t="str">
        <f t="shared" si="46"/>
        <v/>
      </c>
    </row>
    <row r="2956" spans="1:13">
      <c r="A2956" t="str">
        <f>IF('ATP Fills'!A2956="","",IF('ATP Fills'!Q2956="PHILLIPSG",'ATP Fills'!F2956,""))</f>
        <v/>
      </c>
      <c r="B2956" t="str">
        <f>IF(A2956="","",'ATP Fills'!L2956)</f>
        <v/>
      </c>
      <c r="C2956" t="str">
        <f>IF(A2956="","",'ATP Fills'!M2956)</f>
        <v/>
      </c>
      <c r="D2956" t="str">
        <f>IF(A2956="","",'ATP Fills'!B2956)</f>
        <v/>
      </c>
      <c r="E2956" s="3" t="str">
        <f>IF(A2956="","",IF(DATE(LEFT(D2956,4),MID(D2956,5,2),RIGHT(D2956,2))=Helper1!$P$1,Helper1!$P$1,""))</f>
        <v/>
      </c>
      <c r="F2956" s="3" t="str">
        <f>IF(A2956="","",'ATP Fills'!G2956)</f>
        <v/>
      </c>
      <c r="G2956" t="str">
        <f>IF(A2956="","",'ATP Fills'!H2956)</f>
        <v/>
      </c>
      <c r="H2956" t="str">
        <f>IF(A2956="","",VLOOKUP(G2956,表3_3[],2,0))</f>
        <v/>
      </c>
      <c r="I2956" t="str">
        <f>IF(A2956="","",VLOOKUP(G2956,表3_3[],3,0))</f>
        <v/>
      </c>
      <c r="J2956" t="str">
        <f>IF(A2956="","",IF('ATP Fills'!I2956="3M","",VLOOKUP(RIGHT('ATP Fills'!I2956,2),Helper1!$O$36:$P$48,2,0)))</f>
        <v/>
      </c>
      <c r="K2956" t="str">
        <f>IF(J2956="","",LEFT('ATP Fills'!I2956,4))</f>
        <v/>
      </c>
      <c r="L2956" t="str">
        <f>IF(A2956="","",IF('ATP Fills'!G2956="LME",'ATP Fills'!I2956,""))</f>
        <v/>
      </c>
      <c r="M2956" t="str">
        <f t="shared" si="46"/>
        <v/>
      </c>
    </row>
    <row r="2957" spans="1:13">
      <c r="A2957" t="str">
        <f>IF('ATP Fills'!A2957="","",IF('ATP Fills'!Q2957="PHILLIPSG",'ATP Fills'!F2957,""))</f>
        <v/>
      </c>
      <c r="B2957" t="str">
        <f>IF(A2957="","",'ATP Fills'!L2957)</f>
        <v/>
      </c>
      <c r="C2957" t="str">
        <f>IF(A2957="","",'ATP Fills'!M2957)</f>
        <v/>
      </c>
      <c r="D2957" t="str">
        <f>IF(A2957="","",'ATP Fills'!B2957)</f>
        <v/>
      </c>
      <c r="E2957" s="3" t="str">
        <f>IF(A2957="","",IF(DATE(LEFT(D2957,4),MID(D2957,5,2),RIGHT(D2957,2))=Helper1!$P$1,Helper1!$P$1,""))</f>
        <v/>
      </c>
      <c r="F2957" s="3" t="str">
        <f>IF(A2957="","",'ATP Fills'!G2957)</f>
        <v/>
      </c>
      <c r="G2957" t="str">
        <f>IF(A2957="","",'ATP Fills'!H2957)</f>
        <v/>
      </c>
      <c r="H2957" t="str">
        <f>IF(A2957="","",VLOOKUP(G2957,表3_3[],2,0))</f>
        <v/>
      </c>
      <c r="I2957" t="str">
        <f>IF(A2957="","",VLOOKUP(G2957,表3_3[],3,0))</f>
        <v/>
      </c>
      <c r="J2957" t="str">
        <f>IF(A2957="","",IF('ATP Fills'!I2957="3M","",VLOOKUP(RIGHT('ATP Fills'!I2957,2),Helper1!$O$36:$P$48,2,0)))</f>
        <v/>
      </c>
      <c r="K2957" t="str">
        <f>IF(J2957="","",LEFT('ATP Fills'!I2957,4))</f>
        <v/>
      </c>
      <c r="L2957" t="str">
        <f>IF(A2957="","",IF('ATP Fills'!G2957="LME",'ATP Fills'!I2957,""))</f>
        <v/>
      </c>
      <c r="M2957" t="str">
        <f t="shared" si="46"/>
        <v/>
      </c>
    </row>
    <row r="2958" spans="1:13">
      <c r="A2958" t="str">
        <f>IF('ATP Fills'!A2958="","",IF('ATP Fills'!Q2958="PHILLIPSG",'ATP Fills'!F2958,""))</f>
        <v/>
      </c>
      <c r="B2958" t="str">
        <f>IF(A2958="","",'ATP Fills'!L2958)</f>
        <v/>
      </c>
      <c r="C2958" t="str">
        <f>IF(A2958="","",'ATP Fills'!M2958)</f>
        <v/>
      </c>
      <c r="D2958" t="str">
        <f>IF(A2958="","",'ATP Fills'!B2958)</f>
        <v/>
      </c>
      <c r="E2958" s="3" t="str">
        <f>IF(A2958="","",IF(DATE(LEFT(D2958,4),MID(D2958,5,2),RIGHT(D2958,2))=Helper1!$P$1,Helper1!$P$1,""))</f>
        <v/>
      </c>
      <c r="F2958" s="3" t="str">
        <f>IF(A2958="","",'ATP Fills'!G2958)</f>
        <v/>
      </c>
      <c r="G2958" t="str">
        <f>IF(A2958="","",'ATP Fills'!H2958)</f>
        <v/>
      </c>
      <c r="H2958" t="str">
        <f>IF(A2958="","",VLOOKUP(G2958,表3_3[],2,0))</f>
        <v/>
      </c>
      <c r="I2958" t="str">
        <f>IF(A2958="","",VLOOKUP(G2958,表3_3[],3,0))</f>
        <v/>
      </c>
      <c r="J2958" t="str">
        <f>IF(A2958="","",IF('ATP Fills'!I2958="3M","",VLOOKUP(RIGHT('ATP Fills'!I2958,2),Helper1!$O$36:$P$48,2,0)))</f>
        <v/>
      </c>
      <c r="K2958" t="str">
        <f>IF(J2958="","",LEFT('ATP Fills'!I2958,4))</f>
        <v/>
      </c>
      <c r="L2958" t="str">
        <f>IF(A2958="","",IF('ATP Fills'!G2958="LME",'ATP Fills'!I2958,""))</f>
        <v/>
      </c>
      <c r="M2958" t="str">
        <f t="shared" si="46"/>
        <v/>
      </c>
    </row>
    <row r="2959" spans="1:13">
      <c r="A2959" t="str">
        <f>IF('ATP Fills'!A2959="","",IF('ATP Fills'!Q2959="PHILLIPSG",'ATP Fills'!F2959,""))</f>
        <v/>
      </c>
      <c r="B2959" t="str">
        <f>IF(A2959="","",'ATP Fills'!L2959)</f>
        <v/>
      </c>
      <c r="C2959" t="str">
        <f>IF(A2959="","",'ATP Fills'!M2959)</f>
        <v/>
      </c>
      <c r="D2959" t="str">
        <f>IF(A2959="","",'ATP Fills'!B2959)</f>
        <v/>
      </c>
      <c r="E2959" s="3" t="str">
        <f>IF(A2959="","",IF(DATE(LEFT(D2959,4),MID(D2959,5,2),RIGHT(D2959,2))=Helper1!$P$1,Helper1!$P$1,""))</f>
        <v/>
      </c>
      <c r="F2959" s="3" t="str">
        <f>IF(A2959="","",'ATP Fills'!G2959)</f>
        <v/>
      </c>
      <c r="G2959" t="str">
        <f>IF(A2959="","",'ATP Fills'!H2959)</f>
        <v/>
      </c>
      <c r="H2959" t="str">
        <f>IF(A2959="","",VLOOKUP(G2959,表3_3[],2,0))</f>
        <v/>
      </c>
      <c r="I2959" t="str">
        <f>IF(A2959="","",VLOOKUP(G2959,表3_3[],3,0))</f>
        <v/>
      </c>
      <c r="J2959" t="str">
        <f>IF(A2959="","",IF('ATP Fills'!I2959="3M","",VLOOKUP(RIGHT('ATP Fills'!I2959,2),Helper1!$O$36:$P$48,2,0)))</f>
        <v/>
      </c>
      <c r="K2959" t="str">
        <f>IF(J2959="","",LEFT('ATP Fills'!I2959,4))</f>
        <v/>
      </c>
      <c r="L2959" t="str">
        <f>IF(A2959="","",IF('ATP Fills'!G2959="LME",'ATP Fills'!I2959,""))</f>
        <v/>
      </c>
      <c r="M2959" t="str">
        <f t="shared" si="46"/>
        <v/>
      </c>
    </row>
    <row r="2960" spans="1:13">
      <c r="A2960" t="str">
        <f>IF('ATP Fills'!A2960="","",IF('ATP Fills'!Q2960="PHILLIPSG",'ATP Fills'!F2960,""))</f>
        <v/>
      </c>
      <c r="B2960" t="str">
        <f>IF(A2960="","",'ATP Fills'!L2960)</f>
        <v/>
      </c>
      <c r="C2960" t="str">
        <f>IF(A2960="","",'ATP Fills'!M2960)</f>
        <v/>
      </c>
      <c r="D2960" t="str">
        <f>IF(A2960="","",'ATP Fills'!B2960)</f>
        <v/>
      </c>
      <c r="E2960" s="3" t="str">
        <f>IF(A2960="","",IF(DATE(LEFT(D2960,4),MID(D2960,5,2),RIGHT(D2960,2))=Helper1!$P$1,Helper1!$P$1,""))</f>
        <v/>
      </c>
      <c r="F2960" s="3" t="str">
        <f>IF(A2960="","",'ATP Fills'!G2960)</f>
        <v/>
      </c>
      <c r="G2960" t="str">
        <f>IF(A2960="","",'ATP Fills'!H2960)</f>
        <v/>
      </c>
      <c r="H2960" t="str">
        <f>IF(A2960="","",VLOOKUP(G2960,表3_3[],2,0))</f>
        <v/>
      </c>
      <c r="I2960" t="str">
        <f>IF(A2960="","",VLOOKUP(G2960,表3_3[],3,0))</f>
        <v/>
      </c>
      <c r="J2960" t="str">
        <f>IF(A2960="","",IF('ATP Fills'!I2960="3M","",VLOOKUP(RIGHT('ATP Fills'!I2960,2),Helper1!$O$36:$P$48,2,0)))</f>
        <v/>
      </c>
      <c r="K2960" t="str">
        <f>IF(J2960="","",LEFT('ATP Fills'!I2960,4))</f>
        <v/>
      </c>
      <c r="L2960" t="str">
        <f>IF(A2960="","",IF('ATP Fills'!G2960="LME",'ATP Fills'!I2960,""))</f>
        <v/>
      </c>
      <c r="M2960" t="str">
        <f t="shared" si="46"/>
        <v/>
      </c>
    </row>
    <row r="2961" spans="1:13">
      <c r="A2961" t="str">
        <f>IF('ATP Fills'!A2961="","",IF('ATP Fills'!Q2961="PHILLIPSG",'ATP Fills'!F2961,""))</f>
        <v/>
      </c>
      <c r="B2961" t="str">
        <f>IF(A2961="","",'ATP Fills'!L2961)</f>
        <v/>
      </c>
      <c r="C2961" t="str">
        <f>IF(A2961="","",'ATP Fills'!M2961)</f>
        <v/>
      </c>
      <c r="D2961" t="str">
        <f>IF(A2961="","",'ATP Fills'!B2961)</f>
        <v/>
      </c>
      <c r="E2961" s="3" t="str">
        <f>IF(A2961="","",IF(DATE(LEFT(D2961,4),MID(D2961,5,2),RIGHT(D2961,2))=Helper1!$P$1,Helper1!$P$1,""))</f>
        <v/>
      </c>
      <c r="F2961" s="3" t="str">
        <f>IF(A2961="","",'ATP Fills'!G2961)</f>
        <v/>
      </c>
      <c r="G2961" t="str">
        <f>IF(A2961="","",'ATP Fills'!H2961)</f>
        <v/>
      </c>
      <c r="H2961" t="str">
        <f>IF(A2961="","",VLOOKUP(G2961,表3_3[],2,0))</f>
        <v/>
      </c>
      <c r="I2961" t="str">
        <f>IF(A2961="","",VLOOKUP(G2961,表3_3[],3,0))</f>
        <v/>
      </c>
      <c r="J2961" t="str">
        <f>IF(A2961="","",IF('ATP Fills'!I2961="3M","",VLOOKUP(RIGHT('ATP Fills'!I2961,2),Helper1!$O$36:$P$48,2,0)))</f>
        <v/>
      </c>
      <c r="K2961" t="str">
        <f>IF(J2961="","",LEFT('ATP Fills'!I2961,4))</f>
        <v/>
      </c>
      <c r="L2961" t="str">
        <f>IF(A2961="","",IF('ATP Fills'!G2961="LME",'ATP Fills'!I2961,""))</f>
        <v/>
      </c>
      <c r="M2961" t="str">
        <f t="shared" si="46"/>
        <v/>
      </c>
    </row>
    <row r="2962" spans="1:13">
      <c r="A2962" t="str">
        <f>IF('ATP Fills'!A2962="","",IF('ATP Fills'!Q2962="PHILLIPSG",'ATP Fills'!F2962,""))</f>
        <v/>
      </c>
      <c r="B2962" t="str">
        <f>IF(A2962="","",'ATP Fills'!L2962)</f>
        <v/>
      </c>
      <c r="C2962" t="str">
        <f>IF(A2962="","",'ATP Fills'!M2962)</f>
        <v/>
      </c>
      <c r="D2962" t="str">
        <f>IF(A2962="","",'ATP Fills'!B2962)</f>
        <v/>
      </c>
      <c r="E2962" s="3" t="str">
        <f>IF(A2962="","",IF(DATE(LEFT(D2962,4),MID(D2962,5,2),RIGHT(D2962,2))=Helper1!$P$1,Helper1!$P$1,""))</f>
        <v/>
      </c>
      <c r="F2962" s="3" t="str">
        <f>IF(A2962="","",'ATP Fills'!G2962)</f>
        <v/>
      </c>
      <c r="G2962" t="str">
        <f>IF(A2962="","",'ATP Fills'!H2962)</f>
        <v/>
      </c>
      <c r="H2962" t="str">
        <f>IF(A2962="","",VLOOKUP(G2962,表3_3[],2,0))</f>
        <v/>
      </c>
      <c r="I2962" t="str">
        <f>IF(A2962="","",VLOOKUP(G2962,表3_3[],3,0))</f>
        <v/>
      </c>
      <c r="J2962" t="str">
        <f>IF(A2962="","",IF('ATP Fills'!I2962="3M","",VLOOKUP(RIGHT('ATP Fills'!I2962,2),Helper1!$O$36:$P$48,2,0)))</f>
        <v/>
      </c>
      <c r="K2962" t="str">
        <f>IF(J2962="","",LEFT('ATP Fills'!I2962,4))</f>
        <v/>
      </c>
      <c r="L2962" t="str">
        <f>IF(A2962="","",IF('ATP Fills'!G2962="LME",'ATP Fills'!I2962,""))</f>
        <v/>
      </c>
      <c r="M2962" t="str">
        <f t="shared" si="46"/>
        <v/>
      </c>
    </row>
    <row r="2963" spans="1:13">
      <c r="A2963" t="str">
        <f>IF('ATP Fills'!A2963="","",IF('ATP Fills'!Q2963="PHILLIPSG",'ATP Fills'!F2963,""))</f>
        <v/>
      </c>
      <c r="B2963" t="str">
        <f>IF(A2963="","",'ATP Fills'!L2963)</f>
        <v/>
      </c>
      <c r="C2963" t="str">
        <f>IF(A2963="","",'ATP Fills'!M2963)</f>
        <v/>
      </c>
      <c r="D2963" t="str">
        <f>IF(A2963="","",'ATP Fills'!B2963)</f>
        <v/>
      </c>
      <c r="E2963" s="3" t="str">
        <f>IF(A2963="","",IF(DATE(LEFT(D2963,4),MID(D2963,5,2),RIGHT(D2963,2))=Helper1!$P$1,Helper1!$P$1,""))</f>
        <v/>
      </c>
      <c r="F2963" s="3" t="str">
        <f>IF(A2963="","",'ATP Fills'!G2963)</f>
        <v/>
      </c>
      <c r="G2963" t="str">
        <f>IF(A2963="","",'ATP Fills'!H2963)</f>
        <v/>
      </c>
      <c r="H2963" t="str">
        <f>IF(A2963="","",VLOOKUP(G2963,表3_3[],2,0))</f>
        <v/>
      </c>
      <c r="I2963" t="str">
        <f>IF(A2963="","",VLOOKUP(G2963,表3_3[],3,0))</f>
        <v/>
      </c>
      <c r="J2963" t="str">
        <f>IF(A2963="","",IF('ATP Fills'!I2963="3M","",VLOOKUP(RIGHT('ATP Fills'!I2963,2),Helper1!$O$36:$P$48,2,0)))</f>
        <v/>
      </c>
      <c r="K2963" t="str">
        <f>IF(J2963="","",LEFT('ATP Fills'!I2963,4))</f>
        <v/>
      </c>
      <c r="L2963" t="str">
        <f>IF(A2963="","",IF('ATP Fills'!G2963="LME",'ATP Fills'!I2963,""))</f>
        <v/>
      </c>
      <c r="M2963" t="str">
        <f t="shared" si="46"/>
        <v/>
      </c>
    </row>
    <row r="2964" spans="1:13">
      <c r="A2964" t="str">
        <f>IF('ATP Fills'!A2964="","",IF('ATP Fills'!Q2964="PHILLIPSG",'ATP Fills'!F2964,""))</f>
        <v/>
      </c>
      <c r="B2964" t="str">
        <f>IF(A2964="","",'ATP Fills'!L2964)</f>
        <v/>
      </c>
      <c r="C2964" t="str">
        <f>IF(A2964="","",'ATP Fills'!M2964)</f>
        <v/>
      </c>
      <c r="D2964" t="str">
        <f>IF(A2964="","",'ATP Fills'!B2964)</f>
        <v/>
      </c>
      <c r="E2964" s="3" t="str">
        <f>IF(A2964="","",IF(DATE(LEFT(D2964,4),MID(D2964,5,2),RIGHT(D2964,2))=Helper1!$P$1,Helper1!$P$1,""))</f>
        <v/>
      </c>
      <c r="F2964" s="3" t="str">
        <f>IF(A2964="","",'ATP Fills'!G2964)</f>
        <v/>
      </c>
      <c r="G2964" t="str">
        <f>IF(A2964="","",'ATP Fills'!H2964)</f>
        <v/>
      </c>
      <c r="H2964" t="str">
        <f>IF(A2964="","",VLOOKUP(G2964,表3_3[],2,0))</f>
        <v/>
      </c>
      <c r="I2964" t="str">
        <f>IF(A2964="","",VLOOKUP(G2964,表3_3[],3,0))</f>
        <v/>
      </c>
      <c r="J2964" t="str">
        <f>IF(A2964="","",IF('ATP Fills'!I2964="3M","",VLOOKUP(RIGHT('ATP Fills'!I2964,2),Helper1!$O$36:$P$48,2,0)))</f>
        <v/>
      </c>
      <c r="K2964" t="str">
        <f>IF(J2964="","",LEFT('ATP Fills'!I2964,4))</f>
        <v/>
      </c>
      <c r="L2964" t="str">
        <f>IF(A2964="","",IF('ATP Fills'!G2964="LME",'ATP Fills'!I2964,""))</f>
        <v/>
      </c>
      <c r="M2964" t="str">
        <f t="shared" si="46"/>
        <v/>
      </c>
    </row>
    <row r="2965" spans="1:13">
      <c r="A2965" t="str">
        <f>IF('ATP Fills'!A2965="","",IF('ATP Fills'!Q2965="PHILLIPSG",'ATP Fills'!F2965,""))</f>
        <v/>
      </c>
      <c r="B2965" t="str">
        <f>IF(A2965="","",'ATP Fills'!L2965)</f>
        <v/>
      </c>
      <c r="C2965" t="str">
        <f>IF(A2965="","",'ATP Fills'!M2965)</f>
        <v/>
      </c>
      <c r="D2965" t="str">
        <f>IF(A2965="","",'ATP Fills'!B2965)</f>
        <v/>
      </c>
      <c r="E2965" s="3" t="str">
        <f>IF(A2965="","",IF(DATE(LEFT(D2965,4),MID(D2965,5,2),RIGHT(D2965,2))=Helper1!$P$1,Helper1!$P$1,""))</f>
        <v/>
      </c>
      <c r="F2965" s="3" t="str">
        <f>IF(A2965="","",'ATP Fills'!G2965)</f>
        <v/>
      </c>
      <c r="G2965" t="str">
        <f>IF(A2965="","",'ATP Fills'!H2965)</f>
        <v/>
      </c>
      <c r="H2965" t="str">
        <f>IF(A2965="","",VLOOKUP(G2965,表3_3[],2,0))</f>
        <v/>
      </c>
      <c r="I2965" t="str">
        <f>IF(A2965="","",VLOOKUP(G2965,表3_3[],3,0))</f>
        <v/>
      </c>
      <c r="J2965" t="str">
        <f>IF(A2965="","",IF('ATP Fills'!I2965="3M","",VLOOKUP(RIGHT('ATP Fills'!I2965,2),Helper1!$O$36:$P$48,2,0)))</f>
        <v/>
      </c>
      <c r="K2965" t="str">
        <f>IF(J2965="","",LEFT('ATP Fills'!I2965,4))</f>
        <v/>
      </c>
      <c r="L2965" t="str">
        <f>IF(A2965="","",IF('ATP Fills'!G2965="LME",'ATP Fills'!I2965,""))</f>
        <v/>
      </c>
      <c r="M2965" t="str">
        <f t="shared" si="46"/>
        <v/>
      </c>
    </row>
    <row r="2966" spans="1:13">
      <c r="A2966" t="str">
        <f>IF('ATP Fills'!A2966="","",IF('ATP Fills'!Q2966="PHILLIPSG",'ATP Fills'!F2966,""))</f>
        <v/>
      </c>
      <c r="B2966" t="str">
        <f>IF(A2966="","",'ATP Fills'!L2966)</f>
        <v/>
      </c>
      <c r="C2966" t="str">
        <f>IF(A2966="","",'ATP Fills'!M2966)</f>
        <v/>
      </c>
      <c r="D2966" t="str">
        <f>IF(A2966="","",'ATP Fills'!B2966)</f>
        <v/>
      </c>
      <c r="E2966" s="3" t="str">
        <f>IF(A2966="","",IF(DATE(LEFT(D2966,4),MID(D2966,5,2),RIGHT(D2966,2))=Helper1!$P$1,Helper1!$P$1,""))</f>
        <v/>
      </c>
      <c r="F2966" s="3" t="str">
        <f>IF(A2966="","",'ATP Fills'!G2966)</f>
        <v/>
      </c>
      <c r="G2966" t="str">
        <f>IF(A2966="","",'ATP Fills'!H2966)</f>
        <v/>
      </c>
      <c r="H2966" t="str">
        <f>IF(A2966="","",VLOOKUP(G2966,表3_3[],2,0))</f>
        <v/>
      </c>
      <c r="I2966" t="str">
        <f>IF(A2966="","",VLOOKUP(G2966,表3_3[],3,0))</f>
        <v/>
      </c>
      <c r="J2966" t="str">
        <f>IF(A2966="","",IF('ATP Fills'!I2966="3M","",VLOOKUP(RIGHT('ATP Fills'!I2966,2),Helper1!$O$36:$P$48,2,0)))</f>
        <v/>
      </c>
      <c r="K2966" t="str">
        <f>IF(J2966="","",LEFT('ATP Fills'!I2966,4))</f>
        <v/>
      </c>
      <c r="L2966" t="str">
        <f>IF(A2966="","",IF('ATP Fills'!G2966="LME",'ATP Fills'!I2966,""))</f>
        <v/>
      </c>
      <c r="M2966" t="str">
        <f t="shared" si="46"/>
        <v/>
      </c>
    </row>
    <row r="2967" spans="1:13">
      <c r="A2967" t="str">
        <f>IF('ATP Fills'!A2967="","",IF('ATP Fills'!Q2967="PHILLIPSG",'ATP Fills'!F2967,""))</f>
        <v/>
      </c>
      <c r="B2967" t="str">
        <f>IF(A2967="","",'ATP Fills'!L2967)</f>
        <v/>
      </c>
      <c r="C2967" t="str">
        <f>IF(A2967="","",'ATP Fills'!M2967)</f>
        <v/>
      </c>
      <c r="D2967" t="str">
        <f>IF(A2967="","",'ATP Fills'!B2967)</f>
        <v/>
      </c>
      <c r="E2967" s="3" t="str">
        <f>IF(A2967="","",IF(DATE(LEFT(D2967,4),MID(D2967,5,2),RIGHT(D2967,2))=Helper1!$P$1,Helper1!$P$1,""))</f>
        <v/>
      </c>
      <c r="F2967" s="3" t="str">
        <f>IF(A2967="","",'ATP Fills'!G2967)</f>
        <v/>
      </c>
      <c r="G2967" t="str">
        <f>IF(A2967="","",'ATP Fills'!H2967)</f>
        <v/>
      </c>
      <c r="H2967" t="str">
        <f>IF(A2967="","",VLOOKUP(G2967,表3_3[],2,0))</f>
        <v/>
      </c>
      <c r="I2967" t="str">
        <f>IF(A2967="","",VLOOKUP(G2967,表3_3[],3,0))</f>
        <v/>
      </c>
      <c r="J2967" t="str">
        <f>IF(A2967="","",IF('ATP Fills'!I2967="3M","",VLOOKUP(RIGHT('ATP Fills'!I2967,2),Helper1!$O$36:$P$48,2,0)))</f>
        <v/>
      </c>
      <c r="K2967" t="str">
        <f>IF(J2967="","",LEFT('ATP Fills'!I2967,4))</f>
        <v/>
      </c>
      <c r="L2967" t="str">
        <f>IF(A2967="","",IF('ATP Fills'!G2967="LME",'ATP Fills'!I2967,""))</f>
        <v/>
      </c>
      <c r="M2967" t="str">
        <f t="shared" si="46"/>
        <v/>
      </c>
    </row>
    <row r="2968" spans="1:13">
      <c r="A2968" t="str">
        <f>IF('ATP Fills'!A2968="","",IF('ATP Fills'!Q2968="PHILLIPSG",'ATP Fills'!F2968,""))</f>
        <v/>
      </c>
      <c r="B2968" t="str">
        <f>IF(A2968="","",'ATP Fills'!L2968)</f>
        <v/>
      </c>
      <c r="C2968" t="str">
        <f>IF(A2968="","",'ATP Fills'!M2968)</f>
        <v/>
      </c>
      <c r="D2968" t="str">
        <f>IF(A2968="","",'ATP Fills'!B2968)</f>
        <v/>
      </c>
      <c r="E2968" s="3" t="str">
        <f>IF(A2968="","",IF(DATE(LEFT(D2968,4),MID(D2968,5,2),RIGHT(D2968,2))=Helper1!$P$1,Helper1!$P$1,""))</f>
        <v/>
      </c>
      <c r="F2968" s="3" t="str">
        <f>IF(A2968="","",'ATP Fills'!G2968)</f>
        <v/>
      </c>
      <c r="G2968" t="str">
        <f>IF(A2968="","",'ATP Fills'!H2968)</f>
        <v/>
      </c>
      <c r="H2968" t="str">
        <f>IF(A2968="","",VLOOKUP(G2968,表3_3[],2,0))</f>
        <v/>
      </c>
      <c r="I2968" t="str">
        <f>IF(A2968="","",VLOOKUP(G2968,表3_3[],3,0))</f>
        <v/>
      </c>
      <c r="J2968" t="str">
        <f>IF(A2968="","",IF('ATP Fills'!I2968="3M","",VLOOKUP(RIGHT('ATP Fills'!I2968,2),Helper1!$O$36:$P$48,2,0)))</f>
        <v/>
      </c>
      <c r="K2968" t="str">
        <f>IF(J2968="","",LEFT('ATP Fills'!I2968,4))</f>
        <v/>
      </c>
      <c r="L2968" t="str">
        <f>IF(A2968="","",IF('ATP Fills'!G2968="LME",'ATP Fills'!I2968,""))</f>
        <v/>
      </c>
      <c r="M2968" t="str">
        <f t="shared" si="46"/>
        <v/>
      </c>
    </row>
    <row r="2969" spans="1:13">
      <c r="A2969" t="str">
        <f>IF('ATP Fills'!A2969="","",IF('ATP Fills'!Q2969="PHILLIPSG",'ATP Fills'!F2969,""))</f>
        <v/>
      </c>
      <c r="B2969" t="str">
        <f>IF(A2969="","",'ATP Fills'!L2969)</f>
        <v/>
      </c>
      <c r="C2969" t="str">
        <f>IF(A2969="","",'ATP Fills'!M2969)</f>
        <v/>
      </c>
      <c r="D2969" t="str">
        <f>IF(A2969="","",'ATP Fills'!B2969)</f>
        <v/>
      </c>
      <c r="E2969" s="3" t="str">
        <f>IF(A2969="","",IF(DATE(LEFT(D2969,4),MID(D2969,5,2),RIGHT(D2969,2))=Helper1!$P$1,Helper1!$P$1,""))</f>
        <v/>
      </c>
      <c r="F2969" s="3" t="str">
        <f>IF(A2969="","",'ATP Fills'!G2969)</f>
        <v/>
      </c>
      <c r="G2969" t="str">
        <f>IF(A2969="","",'ATP Fills'!H2969)</f>
        <v/>
      </c>
      <c r="H2969" t="str">
        <f>IF(A2969="","",VLOOKUP(G2969,表3_3[],2,0))</f>
        <v/>
      </c>
      <c r="I2969" t="str">
        <f>IF(A2969="","",VLOOKUP(G2969,表3_3[],3,0))</f>
        <v/>
      </c>
      <c r="J2969" t="str">
        <f>IF(A2969="","",IF('ATP Fills'!I2969="3M","",VLOOKUP(RIGHT('ATP Fills'!I2969,2),Helper1!$O$36:$P$48,2,0)))</f>
        <v/>
      </c>
      <c r="K2969" t="str">
        <f>IF(J2969="","",LEFT('ATP Fills'!I2969,4))</f>
        <v/>
      </c>
      <c r="L2969" t="str">
        <f>IF(A2969="","",IF('ATP Fills'!G2969="LME",'ATP Fills'!I2969,""))</f>
        <v/>
      </c>
      <c r="M2969" t="str">
        <f t="shared" si="46"/>
        <v/>
      </c>
    </row>
    <row r="2970" spans="1:13">
      <c r="A2970" t="str">
        <f>IF('ATP Fills'!A2970="","",IF('ATP Fills'!Q2970="PHILLIPSG",'ATP Fills'!F2970,""))</f>
        <v/>
      </c>
      <c r="B2970" t="str">
        <f>IF(A2970="","",'ATP Fills'!L2970)</f>
        <v/>
      </c>
      <c r="C2970" t="str">
        <f>IF(A2970="","",'ATP Fills'!M2970)</f>
        <v/>
      </c>
      <c r="D2970" t="str">
        <f>IF(A2970="","",'ATP Fills'!B2970)</f>
        <v/>
      </c>
      <c r="E2970" s="3" t="str">
        <f>IF(A2970="","",IF(DATE(LEFT(D2970,4),MID(D2970,5,2),RIGHT(D2970,2))=Helper1!$P$1,Helper1!$P$1,""))</f>
        <v/>
      </c>
      <c r="F2970" s="3" t="str">
        <f>IF(A2970="","",'ATP Fills'!G2970)</f>
        <v/>
      </c>
      <c r="G2970" t="str">
        <f>IF(A2970="","",'ATP Fills'!H2970)</f>
        <v/>
      </c>
      <c r="H2970" t="str">
        <f>IF(A2970="","",VLOOKUP(G2970,表3_3[],2,0))</f>
        <v/>
      </c>
      <c r="I2970" t="str">
        <f>IF(A2970="","",VLOOKUP(G2970,表3_3[],3,0))</f>
        <v/>
      </c>
      <c r="J2970" t="str">
        <f>IF(A2970="","",IF('ATP Fills'!I2970="3M","",VLOOKUP(RIGHT('ATP Fills'!I2970,2),Helper1!$O$36:$P$48,2,0)))</f>
        <v/>
      </c>
      <c r="K2970" t="str">
        <f>IF(J2970="","",LEFT('ATP Fills'!I2970,4))</f>
        <v/>
      </c>
      <c r="L2970" t="str">
        <f>IF(A2970="","",IF('ATP Fills'!G2970="LME",'ATP Fills'!I2970,""))</f>
        <v/>
      </c>
      <c r="M2970" t="str">
        <f t="shared" si="46"/>
        <v/>
      </c>
    </row>
    <row r="2971" spans="1:13">
      <c r="A2971" t="str">
        <f>IF('ATP Fills'!A2971="","",IF('ATP Fills'!Q2971="PHILLIPSG",'ATP Fills'!F2971,""))</f>
        <v/>
      </c>
      <c r="B2971" t="str">
        <f>IF(A2971="","",'ATP Fills'!L2971)</f>
        <v/>
      </c>
      <c r="C2971" t="str">
        <f>IF(A2971="","",'ATP Fills'!M2971)</f>
        <v/>
      </c>
      <c r="D2971" t="str">
        <f>IF(A2971="","",'ATP Fills'!B2971)</f>
        <v/>
      </c>
      <c r="E2971" s="3" t="str">
        <f>IF(A2971="","",IF(DATE(LEFT(D2971,4),MID(D2971,5,2),RIGHT(D2971,2))=Helper1!$P$1,Helper1!$P$1,""))</f>
        <v/>
      </c>
      <c r="F2971" s="3" t="str">
        <f>IF(A2971="","",'ATP Fills'!G2971)</f>
        <v/>
      </c>
      <c r="G2971" t="str">
        <f>IF(A2971="","",'ATP Fills'!H2971)</f>
        <v/>
      </c>
      <c r="H2971" t="str">
        <f>IF(A2971="","",VLOOKUP(G2971,表3_3[],2,0))</f>
        <v/>
      </c>
      <c r="I2971" t="str">
        <f>IF(A2971="","",VLOOKUP(G2971,表3_3[],3,0))</f>
        <v/>
      </c>
      <c r="J2971" t="str">
        <f>IF(A2971="","",IF('ATP Fills'!I2971="3M","",VLOOKUP(RIGHT('ATP Fills'!I2971,2),Helper1!$O$36:$P$48,2,0)))</f>
        <v/>
      </c>
      <c r="K2971" t="str">
        <f>IF(J2971="","",LEFT('ATP Fills'!I2971,4))</f>
        <v/>
      </c>
      <c r="L2971" t="str">
        <f>IF(A2971="","",IF('ATP Fills'!G2971="LME",'ATP Fills'!I2971,""))</f>
        <v/>
      </c>
      <c r="M2971" t="str">
        <f t="shared" si="46"/>
        <v/>
      </c>
    </row>
    <row r="2972" spans="1:13">
      <c r="A2972" t="str">
        <f>IF('ATP Fills'!A2972="","",IF('ATP Fills'!Q2972="PHILLIPSG",'ATP Fills'!F2972,""))</f>
        <v/>
      </c>
      <c r="B2972" t="str">
        <f>IF(A2972="","",'ATP Fills'!L2972)</f>
        <v/>
      </c>
      <c r="C2972" t="str">
        <f>IF(A2972="","",'ATP Fills'!M2972)</f>
        <v/>
      </c>
      <c r="D2972" t="str">
        <f>IF(A2972="","",'ATP Fills'!B2972)</f>
        <v/>
      </c>
      <c r="E2972" s="3" t="str">
        <f>IF(A2972="","",IF(DATE(LEFT(D2972,4),MID(D2972,5,2),RIGHT(D2972,2))=Helper1!$P$1,Helper1!$P$1,""))</f>
        <v/>
      </c>
      <c r="F2972" s="3" t="str">
        <f>IF(A2972="","",'ATP Fills'!G2972)</f>
        <v/>
      </c>
      <c r="G2972" t="str">
        <f>IF(A2972="","",'ATP Fills'!H2972)</f>
        <v/>
      </c>
      <c r="H2972" t="str">
        <f>IF(A2972="","",VLOOKUP(G2972,表3_3[],2,0))</f>
        <v/>
      </c>
      <c r="I2972" t="str">
        <f>IF(A2972="","",VLOOKUP(G2972,表3_3[],3,0))</f>
        <v/>
      </c>
      <c r="J2972" t="str">
        <f>IF(A2972="","",IF('ATP Fills'!I2972="3M","",VLOOKUP(RIGHT('ATP Fills'!I2972,2),Helper1!$O$36:$P$48,2,0)))</f>
        <v/>
      </c>
      <c r="K2972" t="str">
        <f>IF(J2972="","",LEFT('ATP Fills'!I2972,4))</f>
        <v/>
      </c>
      <c r="L2972" t="str">
        <f>IF(A2972="","",IF('ATP Fills'!G2972="LME",'ATP Fills'!I2972,""))</f>
        <v/>
      </c>
      <c r="M2972" t="str">
        <f t="shared" si="46"/>
        <v/>
      </c>
    </row>
    <row r="2973" spans="1:13">
      <c r="A2973" t="str">
        <f>IF('ATP Fills'!A2973="","",IF('ATP Fills'!Q2973="PHILLIPSG",'ATP Fills'!F2973,""))</f>
        <v/>
      </c>
      <c r="B2973" t="str">
        <f>IF(A2973="","",'ATP Fills'!L2973)</f>
        <v/>
      </c>
      <c r="C2973" t="str">
        <f>IF(A2973="","",'ATP Fills'!M2973)</f>
        <v/>
      </c>
      <c r="D2973" t="str">
        <f>IF(A2973="","",'ATP Fills'!B2973)</f>
        <v/>
      </c>
      <c r="E2973" s="3" t="str">
        <f>IF(A2973="","",IF(DATE(LEFT(D2973,4),MID(D2973,5,2),RIGHT(D2973,2))=Helper1!$P$1,Helper1!$P$1,""))</f>
        <v/>
      </c>
      <c r="F2973" s="3" t="str">
        <f>IF(A2973="","",'ATP Fills'!G2973)</f>
        <v/>
      </c>
      <c r="G2973" t="str">
        <f>IF(A2973="","",'ATP Fills'!H2973)</f>
        <v/>
      </c>
      <c r="H2973" t="str">
        <f>IF(A2973="","",VLOOKUP(G2973,表3_3[],2,0))</f>
        <v/>
      </c>
      <c r="I2973" t="str">
        <f>IF(A2973="","",VLOOKUP(G2973,表3_3[],3,0))</f>
        <v/>
      </c>
      <c r="J2973" t="str">
        <f>IF(A2973="","",IF('ATP Fills'!I2973="3M","",VLOOKUP(RIGHT('ATP Fills'!I2973,2),Helper1!$O$36:$P$48,2,0)))</f>
        <v/>
      </c>
      <c r="K2973" t="str">
        <f>IF(J2973="","",LEFT('ATP Fills'!I2973,4))</f>
        <v/>
      </c>
      <c r="L2973" t="str">
        <f>IF(A2973="","",IF('ATP Fills'!G2973="LME",'ATP Fills'!I2973,""))</f>
        <v/>
      </c>
      <c r="M2973" t="str">
        <f t="shared" si="46"/>
        <v/>
      </c>
    </row>
    <row r="2974" spans="1:13">
      <c r="A2974" t="str">
        <f>IF('ATP Fills'!A2974="","",IF('ATP Fills'!Q2974="PHILLIPSG",'ATP Fills'!F2974,""))</f>
        <v/>
      </c>
      <c r="B2974" t="str">
        <f>IF(A2974="","",'ATP Fills'!L2974)</f>
        <v/>
      </c>
      <c r="C2974" t="str">
        <f>IF(A2974="","",'ATP Fills'!M2974)</f>
        <v/>
      </c>
      <c r="D2974" t="str">
        <f>IF(A2974="","",'ATP Fills'!B2974)</f>
        <v/>
      </c>
      <c r="E2974" s="3" t="str">
        <f>IF(A2974="","",IF(DATE(LEFT(D2974,4),MID(D2974,5,2),RIGHT(D2974,2))=Helper1!$P$1,Helper1!$P$1,""))</f>
        <v/>
      </c>
      <c r="F2974" s="3" t="str">
        <f>IF(A2974="","",'ATP Fills'!G2974)</f>
        <v/>
      </c>
      <c r="G2974" t="str">
        <f>IF(A2974="","",'ATP Fills'!H2974)</f>
        <v/>
      </c>
      <c r="H2974" t="str">
        <f>IF(A2974="","",VLOOKUP(G2974,表3_3[],2,0))</f>
        <v/>
      </c>
      <c r="I2974" t="str">
        <f>IF(A2974="","",VLOOKUP(G2974,表3_3[],3,0))</f>
        <v/>
      </c>
      <c r="J2974" t="str">
        <f>IF(A2974="","",IF('ATP Fills'!I2974="3M","",VLOOKUP(RIGHT('ATP Fills'!I2974,2),Helper1!$O$36:$P$48,2,0)))</f>
        <v/>
      </c>
      <c r="K2974" t="str">
        <f>IF(J2974="","",LEFT('ATP Fills'!I2974,4))</f>
        <v/>
      </c>
      <c r="L2974" t="str">
        <f>IF(A2974="","",IF('ATP Fills'!G2974="LME",'ATP Fills'!I2974,""))</f>
        <v/>
      </c>
      <c r="M2974" t="str">
        <f t="shared" si="46"/>
        <v/>
      </c>
    </row>
    <row r="2975" spans="1:13">
      <c r="A2975" t="str">
        <f>IF('ATP Fills'!A2975="","",IF('ATP Fills'!Q2975="PHILLIPSG",'ATP Fills'!F2975,""))</f>
        <v/>
      </c>
      <c r="B2975" t="str">
        <f>IF(A2975="","",'ATP Fills'!L2975)</f>
        <v/>
      </c>
      <c r="C2975" t="str">
        <f>IF(A2975="","",'ATP Fills'!M2975)</f>
        <v/>
      </c>
      <c r="D2975" t="str">
        <f>IF(A2975="","",'ATP Fills'!B2975)</f>
        <v/>
      </c>
      <c r="E2975" s="3" t="str">
        <f>IF(A2975="","",IF(DATE(LEFT(D2975,4),MID(D2975,5,2),RIGHT(D2975,2))=Helper1!$P$1,Helper1!$P$1,""))</f>
        <v/>
      </c>
      <c r="F2975" s="3" t="str">
        <f>IF(A2975="","",'ATP Fills'!G2975)</f>
        <v/>
      </c>
      <c r="G2975" t="str">
        <f>IF(A2975="","",'ATP Fills'!H2975)</f>
        <v/>
      </c>
      <c r="H2975" t="str">
        <f>IF(A2975="","",VLOOKUP(G2975,表3_3[],2,0))</f>
        <v/>
      </c>
      <c r="I2975" t="str">
        <f>IF(A2975="","",VLOOKUP(G2975,表3_3[],3,0))</f>
        <v/>
      </c>
      <c r="J2975" t="str">
        <f>IF(A2975="","",IF('ATP Fills'!I2975="3M","",VLOOKUP(RIGHT('ATP Fills'!I2975,2),Helper1!$O$36:$P$48,2,0)))</f>
        <v/>
      </c>
      <c r="K2975" t="str">
        <f>IF(J2975="","",LEFT('ATP Fills'!I2975,4))</f>
        <v/>
      </c>
      <c r="L2975" t="str">
        <f>IF(A2975="","",IF('ATP Fills'!G2975="LME",'ATP Fills'!I2975,""))</f>
        <v/>
      </c>
      <c r="M2975" t="str">
        <f t="shared" si="46"/>
        <v/>
      </c>
    </row>
    <row r="2976" spans="1:13">
      <c r="A2976" t="str">
        <f>IF('ATP Fills'!A2976="","",IF('ATP Fills'!Q2976="PHILLIPSG",'ATP Fills'!F2976,""))</f>
        <v/>
      </c>
      <c r="B2976" t="str">
        <f>IF(A2976="","",'ATP Fills'!L2976)</f>
        <v/>
      </c>
      <c r="C2976" t="str">
        <f>IF(A2976="","",'ATP Fills'!M2976)</f>
        <v/>
      </c>
      <c r="D2976" t="str">
        <f>IF(A2976="","",'ATP Fills'!B2976)</f>
        <v/>
      </c>
      <c r="E2976" s="3" t="str">
        <f>IF(A2976="","",IF(DATE(LEFT(D2976,4),MID(D2976,5,2),RIGHT(D2976,2))=Helper1!$P$1,Helper1!$P$1,""))</f>
        <v/>
      </c>
      <c r="F2976" s="3" t="str">
        <f>IF(A2976="","",'ATP Fills'!G2976)</f>
        <v/>
      </c>
      <c r="G2976" t="str">
        <f>IF(A2976="","",'ATP Fills'!H2976)</f>
        <v/>
      </c>
      <c r="H2976" t="str">
        <f>IF(A2976="","",VLOOKUP(G2976,表3_3[],2,0))</f>
        <v/>
      </c>
      <c r="I2976" t="str">
        <f>IF(A2976="","",VLOOKUP(G2976,表3_3[],3,0))</f>
        <v/>
      </c>
      <c r="J2976" t="str">
        <f>IF(A2976="","",IF('ATP Fills'!I2976="3M","",VLOOKUP(RIGHT('ATP Fills'!I2976,2),Helper1!$O$36:$P$48,2,0)))</f>
        <v/>
      </c>
      <c r="K2976" t="str">
        <f>IF(J2976="","",LEFT('ATP Fills'!I2976,4))</f>
        <v/>
      </c>
      <c r="L2976" t="str">
        <f>IF(A2976="","",IF('ATP Fills'!G2976="LME",'ATP Fills'!I2976,""))</f>
        <v/>
      </c>
      <c r="M2976" t="str">
        <f t="shared" si="46"/>
        <v/>
      </c>
    </row>
    <row r="2977" spans="1:13">
      <c r="A2977" t="str">
        <f>IF('ATP Fills'!A2977="","",IF('ATP Fills'!Q2977="PHILLIPSG",'ATP Fills'!F2977,""))</f>
        <v/>
      </c>
      <c r="B2977" t="str">
        <f>IF(A2977="","",'ATP Fills'!L2977)</f>
        <v/>
      </c>
      <c r="C2977" t="str">
        <f>IF(A2977="","",'ATP Fills'!M2977)</f>
        <v/>
      </c>
      <c r="D2977" t="str">
        <f>IF(A2977="","",'ATP Fills'!B2977)</f>
        <v/>
      </c>
      <c r="E2977" s="3" t="str">
        <f>IF(A2977="","",IF(DATE(LEFT(D2977,4),MID(D2977,5,2),RIGHT(D2977,2))=Helper1!$P$1,Helper1!$P$1,""))</f>
        <v/>
      </c>
      <c r="F2977" s="3" t="str">
        <f>IF(A2977="","",'ATP Fills'!G2977)</f>
        <v/>
      </c>
      <c r="G2977" t="str">
        <f>IF(A2977="","",'ATP Fills'!H2977)</f>
        <v/>
      </c>
      <c r="H2977" t="str">
        <f>IF(A2977="","",VLOOKUP(G2977,表3_3[],2,0))</f>
        <v/>
      </c>
      <c r="I2977" t="str">
        <f>IF(A2977="","",VLOOKUP(G2977,表3_3[],3,0))</f>
        <v/>
      </c>
      <c r="J2977" t="str">
        <f>IF(A2977="","",IF('ATP Fills'!I2977="3M","",VLOOKUP(RIGHT('ATP Fills'!I2977,2),Helper1!$O$36:$P$48,2,0)))</f>
        <v/>
      </c>
      <c r="K2977" t="str">
        <f>IF(J2977="","",LEFT('ATP Fills'!I2977,4))</f>
        <v/>
      </c>
      <c r="L2977" t="str">
        <f>IF(A2977="","",IF('ATP Fills'!G2977="LME",'ATP Fills'!I2977,""))</f>
        <v/>
      </c>
      <c r="M2977" t="str">
        <f t="shared" si="46"/>
        <v/>
      </c>
    </row>
    <row r="2978" spans="1:13">
      <c r="A2978" t="str">
        <f>IF('ATP Fills'!A2978="","",IF('ATP Fills'!Q2978="PHILLIPSG",'ATP Fills'!F2978,""))</f>
        <v/>
      </c>
      <c r="B2978" t="str">
        <f>IF(A2978="","",'ATP Fills'!L2978)</f>
        <v/>
      </c>
      <c r="C2978" t="str">
        <f>IF(A2978="","",'ATP Fills'!M2978)</f>
        <v/>
      </c>
      <c r="D2978" t="str">
        <f>IF(A2978="","",'ATP Fills'!B2978)</f>
        <v/>
      </c>
      <c r="E2978" s="3" t="str">
        <f>IF(A2978="","",IF(DATE(LEFT(D2978,4),MID(D2978,5,2),RIGHT(D2978,2))=Helper1!$P$1,Helper1!$P$1,""))</f>
        <v/>
      </c>
      <c r="F2978" s="3" t="str">
        <f>IF(A2978="","",'ATP Fills'!G2978)</f>
        <v/>
      </c>
      <c r="G2978" t="str">
        <f>IF(A2978="","",'ATP Fills'!H2978)</f>
        <v/>
      </c>
      <c r="H2978" t="str">
        <f>IF(A2978="","",VLOOKUP(G2978,表3_3[],2,0))</f>
        <v/>
      </c>
      <c r="I2978" t="str">
        <f>IF(A2978="","",VLOOKUP(G2978,表3_3[],3,0))</f>
        <v/>
      </c>
      <c r="J2978" t="str">
        <f>IF(A2978="","",IF('ATP Fills'!I2978="3M","",VLOOKUP(RIGHT('ATP Fills'!I2978,2),Helper1!$O$36:$P$48,2,0)))</f>
        <v/>
      </c>
      <c r="K2978" t="str">
        <f>IF(J2978="","",LEFT('ATP Fills'!I2978,4))</f>
        <v/>
      </c>
      <c r="L2978" t="str">
        <f>IF(A2978="","",IF('ATP Fills'!G2978="LME",'ATP Fills'!I2978,""))</f>
        <v/>
      </c>
      <c r="M2978" t="str">
        <f t="shared" si="46"/>
        <v/>
      </c>
    </row>
    <row r="2979" spans="1:13">
      <c r="A2979" t="str">
        <f>IF('ATP Fills'!A2979="","",IF('ATP Fills'!Q2979="PHILLIPSG",'ATP Fills'!F2979,""))</f>
        <v/>
      </c>
      <c r="B2979" t="str">
        <f>IF(A2979="","",'ATP Fills'!L2979)</f>
        <v/>
      </c>
      <c r="C2979" t="str">
        <f>IF(A2979="","",'ATP Fills'!M2979)</f>
        <v/>
      </c>
      <c r="D2979" t="str">
        <f>IF(A2979="","",'ATP Fills'!B2979)</f>
        <v/>
      </c>
      <c r="E2979" s="3" t="str">
        <f>IF(A2979="","",IF(DATE(LEFT(D2979,4),MID(D2979,5,2),RIGHT(D2979,2))=Helper1!$P$1,Helper1!$P$1,""))</f>
        <v/>
      </c>
      <c r="F2979" s="3" t="str">
        <f>IF(A2979="","",'ATP Fills'!G2979)</f>
        <v/>
      </c>
      <c r="G2979" t="str">
        <f>IF(A2979="","",'ATP Fills'!H2979)</f>
        <v/>
      </c>
      <c r="H2979" t="str">
        <f>IF(A2979="","",VLOOKUP(G2979,表3_3[],2,0))</f>
        <v/>
      </c>
      <c r="I2979" t="str">
        <f>IF(A2979="","",VLOOKUP(G2979,表3_3[],3,0))</f>
        <v/>
      </c>
      <c r="J2979" t="str">
        <f>IF(A2979="","",IF('ATP Fills'!I2979="3M","",VLOOKUP(RIGHT('ATP Fills'!I2979,2),Helper1!$O$36:$P$48,2,0)))</f>
        <v/>
      </c>
      <c r="K2979" t="str">
        <f>IF(J2979="","",LEFT('ATP Fills'!I2979,4))</f>
        <v/>
      </c>
      <c r="L2979" t="str">
        <f>IF(A2979="","",IF('ATP Fills'!G2979="LME",'ATP Fills'!I2979,""))</f>
        <v/>
      </c>
      <c r="M2979" t="str">
        <f t="shared" si="46"/>
        <v/>
      </c>
    </row>
    <row r="2980" spans="1:13">
      <c r="A2980" t="str">
        <f>IF('ATP Fills'!A2980="","",IF('ATP Fills'!Q2980="PHILLIPSG",'ATP Fills'!F2980,""))</f>
        <v/>
      </c>
      <c r="B2980" t="str">
        <f>IF(A2980="","",'ATP Fills'!L2980)</f>
        <v/>
      </c>
      <c r="C2980" t="str">
        <f>IF(A2980="","",'ATP Fills'!M2980)</f>
        <v/>
      </c>
      <c r="D2980" t="str">
        <f>IF(A2980="","",'ATP Fills'!B2980)</f>
        <v/>
      </c>
      <c r="E2980" s="3" t="str">
        <f>IF(A2980="","",IF(DATE(LEFT(D2980,4),MID(D2980,5,2),RIGHT(D2980,2))=Helper1!$P$1,Helper1!$P$1,""))</f>
        <v/>
      </c>
      <c r="F2980" s="3" t="str">
        <f>IF(A2980="","",'ATP Fills'!G2980)</f>
        <v/>
      </c>
      <c r="G2980" t="str">
        <f>IF(A2980="","",'ATP Fills'!H2980)</f>
        <v/>
      </c>
      <c r="H2980" t="str">
        <f>IF(A2980="","",VLOOKUP(G2980,表3_3[],2,0))</f>
        <v/>
      </c>
      <c r="I2980" t="str">
        <f>IF(A2980="","",VLOOKUP(G2980,表3_3[],3,0))</f>
        <v/>
      </c>
      <c r="J2980" t="str">
        <f>IF(A2980="","",IF('ATP Fills'!I2980="3M","",VLOOKUP(RIGHT('ATP Fills'!I2980,2),Helper1!$O$36:$P$48,2,0)))</f>
        <v/>
      </c>
      <c r="K2980" t="str">
        <f>IF(J2980="","",LEFT('ATP Fills'!I2980,4))</f>
        <v/>
      </c>
      <c r="L2980" t="str">
        <f>IF(A2980="","",IF('ATP Fills'!G2980="LME",'ATP Fills'!I2980,""))</f>
        <v/>
      </c>
      <c r="M2980" t="str">
        <f t="shared" si="46"/>
        <v/>
      </c>
    </row>
    <row r="2981" spans="1:13">
      <c r="A2981" t="str">
        <f>IF('ATP Fills'!A2981="","",IF('ATP Fills'!Q2981="PHILLIPSG",'ATP Fills'!F2981,""))</f>
        <v/>
      </c>
      <c r="B2981" t="str">
        <f>IF(A2981="","",'ATP Fills'!L2981)</f>
        <v/>
      </c>
      <c r="C2981" t="str">
        <f>IF(A2981="","",'ATP Fills'!M2981)</f>
        <v/>
      </c>
      <c r="D2981" t="str">
        <f>IF(A2981="","",'ATP Fills'!B2981)</f>
        <v/>
      </c>
      <c r="E2981" s="3" t="str">
        <f>IF(A2981="","",IF(DATE(LEFT(D2981,4),MID(D2981,5,2),RIGHT(D2981,2))=Helper1!$P$1,Helper1!$P$1,""))</f>
        <v/>
      </c>
      <c r="F2981" s="3" t="str">
        <f>IF(A2981="","",'ATP Fills'!G2981)</f>
        <v/>
      </c>
      <c r="G2981" t="str">
        <f>IF(A2981="","",'ATP Fills'!H2981)</f>
        <v/>
      </c>
      <c r="H2981" t="str">
        <f>IF(A2981="","",VLOOKUP(G2981,表3_3[],2,0))</f>
        <v/>
      </c>
      <c r="I2981" t="str">
        <f>IF(A2981="","",VLOOKUP(G2981,表3_3[],3,0))</f>
        <v/>
      </c>
      <c r="J2981" t="str">
        <f>IF(A2981="","",IF('ATP Fills'!I2981="3M","",VLOOKUP(RIGHT('ATP Fills'!I2981,2),Helper1!$O$36:$P$48,2,0)))</f>
        <v/>
      </c>
      <c r="K2981" t="str">
        <f>IF(J2981="","",LEFT('ATP Fills'!I2981,4))</f>
        <v/>
      </c>
      <c r="L2981" t="str">
        <f>IF(A2981="","",IF('ATP Fills'!G2981="LME",'ATP Fills'!I2981,""))</f>
        <v/>
      </c>
      <c r="M2981" t="str">
        <f t="shared" si="46"/>
        <v/>
      </c>
    </row>
    <row r="2982" spans="1:13">
      <c r="A2982" t="str">
        <f>IF('ATP Fills'!A2982="","",IF('ATP Fills'!Q2982="PHILLIPSG",'ATP Fills'!F2982,""))</f>
        <v/>
      </c>
      <c r="B2982" t="str">
        <f>IF(A2982="","",'ATP Fills'!L2982)</f>
        <v/>
      </c>
      <c r="C2982" t="str">
        <f>IF(A2982="","",'ATP Fills'!M2982)</f>
        <v/>
      </c>
      <c r="D2982" t="str">
        <f>IF(A2982="","",'ATP Fills'!B2982)</f>
        <v/>
      </c>
      <c r="E2982" s="3" t="str">
        <f>IF(A2982="","",IF(DATE(LEFT(D2982,4),MID(D2982,5,2),RIGHT(D2982,2))=Helper1!$P$1,Helper1!$P$1,""))</f>
        <v/>
      </c>
      <c r="F2982" s="3" t="str">
        <f>IF(A2982="","",'ATP Fills'!G2982)</f>
        <v/>
      </c>
      <c r="G2982" t="str">
        <f>IF(A2982="","",'ATP Fills'!H2982)</f>
        <v/>
      </c>
      <c r="H2982" t="str">
        <f>IF(A2982="","",VLOOKUP(G2982,表3_3[],2,0))</f>
        <v/>
      </c>
      <c r="I2982" t="str">
        <f>IF(A2982="","",VLOOKUP(G2982,表3_3[],3,0))</f>
        <v/>
      </c>
      <c r="J2982" t="str">
        <f>IF(A2982="","",IF('ATP Fills'!I2982="3M","",VLOOKUP(RIGHT('ATP Fills'!I2982,2),Helper1!$O$36:$P$48,2,0)))</f>
        <v/>
      </c>
      <c r="K2982" t="str">
        <f>IF(J2982="","",LEFT('ATP Fills'!I2982,4))</f>
        <v/>
      </c>
      <c r="L2982" t="str">
        <f>IF(A2982="","",IF('ATP Fills'!G2982="LME",'ATP Fills'!I2982,""))</f>
        <v/>
      </c>
      <c r="M2982" t="str">
        <f t="shared" si="46"/>
        <v/>
      </c>
    </row>
    <row r="2983" spans="1:13">
      <c r="A2983" t="str">
        <f>IF('ATP Fills'!A2983="","",IF('ATP Fills'!Q2983="PHILLIPSG",'ATP Fills'!F2983,""))</f>
        <v/>
      </c>
      <c r="B2983" t="str">
        <f>IF(A2983="","",'ATP Fills'!L2983)</f>
        <v/>
      </c>
      <c r="C2983" t="str">
        <f>IF(A2983="","",'ATP Fills'!M2983)</f>
        <v/>
      </c>
      <c r="D2983" t="str">
        <f>IF(A2983="","",'ATP Fills'!B2983)</f>
        <v/>
      </c>
      <c r="E2983" s="3" t="str">
        <f>IF(A2983="","",IF(DATE(LEFT(D2983,4),MID(D2983,5,2),RIGHT(D2983,2))=Helper1!$P$1,Helper1!$P$1,""))</f>
        <v/>
      </c>
      <c r="F2983" s="3" t="str">
        <f>IF(A2983="","",'ATP Fills'!G2983)</f>
        <v/>
      </c>
      <c r="G2983" t="str">
        <f>IF(A2983="","",'ATP Fills'!H2983)</f>
        <v/>
      </c>
      <c r="H2983" t="str">
        <f>IF(A2983="","",VLOOKUP(G2983,表3_3[],2,0))</f>
        <v/>
      </c>
      <c r="I2983" t="str">
        <f>IF(A2983="","",VLOOKUP(G2983,表3_3[],3,0))</f>
        <v/>
      </c>
      <c r="J2983" t="str">
        <f>IF(A2983="","",IF('ATP Fills'!I2983="3M","",VLOOKUP(RIGHT('ATP Fills'!I2983,2),Helper1!$O$36:$P$48,2,0)))</f>
        <v/>
      </c>
      <c r="K2983" t="str">
        <f>IF(J2983="","",LEFT('ATP Fills'!I2983,4))</f>
        <v/>
      </c>
      <c r="L2983" t="str">
        <f>IF(A2983="","",IF('ATP Fills'!G2983="LME",'ATP Fills'!I2983,""))</f>
        <v/>
      </c>
      <c r="M2983" t="str">
        <f t="shared" si="46"/>
        <v/>
      </c>
    </row>
    <row r="2984" spans="1:13">
      <c r="A2984" t="str">
        <f>IF('ATP Fills'!A2984="","",IF('ATP Fills'!Q2984="PHILLIPSG",'ATP Fills'!F2984,""))</f>
        <v/>
      </c>
      <c r="B2984" t="str">
        <f>IF(A2984="","",'ATP Fills'!L2984)</f>
        <v/>
      </c>
      <c r="C2984" t="str">
        <f>IF(A2984="","",'ATP Fills'!M2984)</f>
        <v/>
      </c>
      <c r="D2984" t="str">
        <f>IF(A2984="","",'ATP Fills'!B2984)</f>
        <v/>
      </c>
      <c r="E2984" s="3" t="str">
        <f>IF(A2984="","",IF(DATE(LEFT(D2984,4),MID(D2984,5,2),RIGHT(D2984,2))=Helper1!$P$1,Helper1!$P$1,""))</f>
        <v/>
      </c>
      <c r="F2984" s="3" t="str">
        <f>IF(A2984="","",'ATP Fills'!G2984)</f>
        <v/>
      </c>
      <c r="G2984" t="str">
        <f>IF(A2984="","",'ATP Fills'!H2984)</f>
        <v/>
      </c>
      <c r="H2984" t="str">
        <f>IF(A2984="","",VLOOKUP(G2984,表3_3[],2,0))</f>
        <v/>
      </c>
      <c r="I2984" t="str">
        <f>IF(A2984="","",VLOOKUP(G2984,表3_3[],3,0))</f>
        <v/>
      </c>
      <c r="J2984" t="str">
        <f>IF(A2984="","",IF('ATP Fills'!I2984="3M","",VLOOKUP(RIGHT('ATP Fills'!I2984,2),Helper1!$O$36:$P$48,2,0)))</f>
        <v/>
      </c>
      <c r="K2984" t="str">
        <f>IF(J2984="","",LEFT('ATP Fills'!I2984,4))</f>
        <v/>
      </c>
      <c r="L2984" t="str">
        <f>IF(A2984="","",IF('ATP Fills'!G2984="LME",'ATP Fills'!I2984,""))</f>
        <v/>
      </c>
      <c r="M2984" t="str">
        <f t="shared" si="46"/>
        <v/>
      </c>
    </row>
    <row r="2985" spans="1:13">
      <c r="A2985" t="str">
        <f>IF('ATP Fills'!A2985="","",IF('ATP Fills'!Q2985="PHILLIPSG",'ATP Fills'!F2985,""))</f>
        <v/>
      </c>
      <c r="B2985" t="str">
        <f>IF(A2985="","",'ATP Fills'!L2985)</f>
        <v/>
      </c>
      <c r="C2985" t="str">
        <f>IF(A2985="","",'ATP Fills'!M2985)</f>
        <v/>
      </c>
      <c r="D2985" t="str">
        <f>IF(A2985="","",'ATP Fills'!B2985)</f>
        <v/>
      </c>
      <c r="E2985" s="3" t="str">
        <f>IF(A2985="","",IF(DATE(LEFT(D2985,4),MID(D2985,5,2),RIGHT(D2985,2))=Helper1!$P$1,Helper1!$P$1,""))</f>
        <v/>
      </c>
      <c r="F2985" s="3" t="str">
        <f>IF(A2985="","",'ATP Fills'!G2985)</f>
        <v/>
      </c>
      <c r="G2985" t="str">
        <f>IF(A2985="","",'ATP Fills'!H2985)</f>
        <v/>
      </c>
      <c r="H2985" t="str">
        <f>IF(A2985="","",VLOOKUP(G2985,表3_3[],2,0))</f>
        <v/>
      </c>
      <c r="I2985" t="str">
        <f>IF(A2985="","",VLOOKUP(G2985,表3_3[],3,0))</f>
        <v/>
      </c>
      <c r="J2985" t="str">
        <f>IF(A2985="","",IF('ATP Fills'!I2985="3M","",VLOOKUP(RIGHT('ATP Fills'!I2985,2),Helper1!$O$36:$P$48,2,0)))</f>
        <v/>
      </c>
      <c r="K2985" t="str">
        <f>IF(J2985="","",LEFT('ATP Fills'!I2985,4))</f>
        <v/>
      </c>
      <c r="L2985" t="str">
        <f>IF(A2985="","",IF('ATP Fills'!G2985="LME",'ATP Fills'!I2985,""))</f>
        <v/>
      </c>
      <c r="M2985" t="str">
        <f t="shared" si="46"/>
        <v/>
      </c>
    </row>
    <row r="2986" spans="1:13">
      <c r="A2986" t="str">
        <f>IF('ATP Fills'!A2986="","",IF('ATP Fills'!Q2986="PHILLIPSG",'ATP Fills'!F2986,""))</f>
        <v/>
      </c>
      <c r="B2986" t="str">
        <f>IF(A2986="","",'ATP Fills'!L2986)</f>
        <v/>
      </c>
      <c r="C2986" t="str">
        <f>IF(A2986="","",'ATP Fills'!M2986)</f>
        <v/>
      </c>
      <c r="D2986" t="str">
        <f>IF(A2986="","",'ATP Fills'!B2986)</f>
        <v/>
      </c>
      <c r="E2986" s="3" t="str">
        <f>IF(A2986="","",IF(DATE(LEFT(D2986,4),MID(D2986,5,2),RIGHT(D2986,2))=Helper1!$P$1,Helper1!$P$1,""))</f>
        <v/>
      </c>
      <c r="F2986" s="3" t="str">
        <f>IF(A2986="","",'ATP Fills'!G2986)</f>
        <v/>
      </c>
      <c r="G2986" t="str">
        <f>IF(A2986="","",'ATP Fills'!H2986)</f>
        <v/>
      </c>
      <c r="H2986" t="str">
        <f>IF(A2986="","",VLOOKUP(G2986,表3_3[],2,0))</f>
        <v/>
      </c>
      <c r="I2986" t="str">
        <f>IF(A2986="","",VLOOKUP(G2986,表3_3[],3,0))</f>
        <v/>
      </c>
      <c r="J2986" t="str">
        <f>IF(A2986="","",IF('ATP Fills'!I2986="3M","",VLOOKUP(RIGHT('ATP Fills'!I2986,2),Helper1!$O$36:$P$48,2,0)))</f>
        <v/>
      </c>
      <c r="K2986" t="str">
        <f>IF(J2986="","",LEFT('ATP Fills'!I2986,4))</f>
        <v/>
      </c>
      <c r="L2986" t="str">
        <f>IF(A2986="","",IF('ATP Fills'!G2986="LME",'ATP Fills'!I2986,""))</f>
        <v/>
      </c>
      <c r="M2986" t="str">
        <f t="shared" si="46"/>
        <v/>
      </c>
    </row>
    <row r="2987" spans="1:13">
      <c r="A2987" t="str">
        <f>IF('ATP Fills'!A2987="","",IF('ATP Fills'!Q2987="PHILLIPSG",'ATP Fills'!F2987,""))</f>
        <v/>
      </c>
      <c r="B2987" t="str">
        <f>IF(A2987="","",'ATP Fills'!L2987)</f>
        <v/>
      </c>
      <c r="C2987" t="str">
        <f>IF(A2987="","",'ATP Fills'!M2987)</f>
        <v/>
      </c>
      <c r="D2987" t="str">
        <f>IF(A2987="","",'ATP Fills'!B2987)</f>
        <v/>
      </c>
      <c r="E2987" s="3" t="str">
        <f>IF(A2987="","",IF(DATE(LEFT(D2987,4),MID(D2987,5,2),RIGHT(D2987,2))=Helper1!$P$1,Helper1!$P$1,""))</f>
        <v/>
      </c>
      <c r="F2987" s="3" t="str">
        <f>IF(A2987="","",'ATP Fills'!G2987)</f>
        <v/>
      </c>
      <c r="G2987" t="str">
        <f>IF(A2987="","",'ATP Fills'!H2987)</f>
        <v/>
      </c>
      <c r="H2987" t="str">
        <f>IF(A2987="","",VLOOKUP(G2987,表3_3[],2,0))</f>
        <v/>
      </c>
      <c r="I2987" t="str">
        <f>IF(A2987="","",VLOOKUP(G2987,表3_3[],3,0))</f>
        <v/>
      </c>
      <c r="J2987" t="str">
        <f>IF(A2987="","",IF('ATP Fills'!I2987="3M","",VLOOKUP(RIGHT('ATP Fills'!I2987,2),Helper1!$O$36:$P$48,2,0)))</f>
        <v/>
      </c>
      <c r="K2987" t="str">
        <f>IF(J2987="","",LEFT('ATP Fills'!I2987,4))</f>
        <v/>
      </c>
      <c r="L2987" t="str">
        <f>IF(A2987="","",IF('ATP Fills'!G2987="LME",'ATP Fills'!I2987,""))</f>
        <v/>
      </c>
      <c r="M2987" t="str">
        <f t="shared" si="46"/>
        <v/>
      </c>
    </row>
    <row r="2988" spans="1:13">
      <c r="A2988" t="str">
        <f>IF('ATP Fills'!A2988="","",IF('ATP Fills'!Q2988="PHILLIPSG",'ATP Fills'!F2988,""))</f>
        <v/>
      </c>
      <c r="B2988" t="str">
        <f>IF(A2988="","",'ATP Fills'!L2988)</f>
        <v/>
      </c>
      <c r="C2988" t="str">
        <f>IF(A2988="","",'ATP Fills'!M2988)</f>
        <v/>
      </c>
      <c r="D2988" t="str">
        <f>IF(A2988="","",'ATP Fills'!B2988)</f>
        <v/>
      </c>
      <c r="E2988" s="3" t="str">
        <f>IF(A2988="","",IF(DATE(LEFT(D2988,4),MID(D2988,5,2),RIGHT(D2988,2))=Helper1!$P$1,Helper1!$P$1,""))</f>
        <v/>
      </c>
      <c r="F2988" s="3" t="str">
        <f>IF(A2988="","",'ATP Fills'!G2988)</f>
        <v/>
      </c>
      <c r="G2988" t="str">
        <f>IF(A2988="","",'ATP Fills'!H2988)</f>
        <v/>
      </c>
      <c r="H2988" t="str">
        <f>IF(A2988="","",VLOOKUP(G2988,表3_3[],2,0))</f>
        <v/>
      </c>
      <c r="I2988" t="str">
        <f>IF(A2988="","",VLOOKUP(G2988,表3_3[],3,0))</f>
        <v/>
      </c>
      <c r="J2988" t="str">
        <f>IF(A2988="","",IF('ATP Fills'!I2988="3M","",VLOOKUP(RIGHT('ATP Fills'!I2988,2),Helper1!$O$36:$P$48,2,0)))</f>
        <v/>
      </c>
      <c r="K2988" t="str">
        <f>IF(J2988="","",LEFT('ATP Fills'!I2988,4))</f>
        <v/>
      </c>
      <c r="L2988" t="str">
        <f>IF(A2988="","",IF('ATP Fills'!G2988="LME",'ATP Fills'!I2988,""))</f>
        <v/>
      </c>
      <c r="M2988" t="str">
        <f t="shared" si="46"/>
        <v/>
      </c>
    </row>
    <row r="2989" spans="1:13">
      <c r="A2989" t="str">
        <f>IF('ATP Fills'!A2989="","",IF('ATP Fills'!Q2989="PHILLIPSG",'ATP Fills'!F2989,""))</f>
        <v/>
      </c>
      <c r="B2989" t="str">
        <f>IF(A2989="","",'ATP Fills'!L2989)</f>
        <v/>
      </c>
      <c r="C2989" t="str">
        <f>IF(A2989="","",'ATP Fills'!M2989)</f>
        <v/>
      </c>
      <c r="D2989" t="str">
        <f>IF(A2989="","",'ATP Fills'!B2989)</f>
        <v/>
      </c>
      <c r="E2989" s="3" t="str">
        <f>IF(A2989="","",IF(DATE(LEFT(D2989,4),MID(D2989,5,2),RIGHT(D2989,2))=Helper1!$P$1,Helper1!$P$1,""))</f>
        <v/>
      </c>
      <c r="F2989" s="3" t="str">
        <f>IF(A2989="","",'ATP Fills'!G2989)</f>
        <v/>
      </c>
      <c r="G2989" t="str">
        <f>IF(A2989="","",'ATP Fills'!H2989)</f>
        <v/>
      </c>
      <c r="H2989" t="str">
        <f>IF(A2989="","",VLOOKUP(G2989,表3_3[],2,0))</f>
        <v/>
      </c>
      <c r="I2989" t="str">
        <f>IF(A2989="","",VLOOKUP(G2989,表3_3[],3,0))</f>
        <v/>
      </c>
      <c r="J2989" t="str">
        <f>IF(A2989="","",IF('ATP Fills'!I2989="3M","",VLOOKUP(RIGHT('ATP Fills'!I2989,2),Helper1!$O$36:$P$48,2,0)))</f>
        <v/>
      </c>
      <c r="K2989" t="str">
        <f>IF(J2989="","",LEFT('ATP Fills'!I2989,4))</f>
        <v/>
      </c>
      <c r="L2989" t="str">
        <f>IF(A2989="","",IF('ATP Fills'!G2989="LME",'ATP Fills'!I2989,""))</f>
        <v/>
      </c>
      <c r="M2989" t="str">
        <f t="shared" si="46"/>
        <v/>
      </c>
    </row>
    <row r="2990" spans="1:13">
      <c r="A2990" t="str">
        <f>IF('ATP Fills'!A2990="","",IF('ATP Fills'!Q2990="PHILLIPSG",'ATP Fills'!F2990,""))</f>
        <v/>
      </c>
      <c r="B2990" t="str">
        <f>IF(A2990="","",'ATP Fills'!L2990)</f>
        <v/>
      </c>
      <c r="C2990" t="str">
        <f>IF(A2990="","",'ATP Fills'!M2990)</f>
        <v/>
      </c>
      <c r="D2990" t="str">
        <f>IF(A2990="","",'ATP Fills'!B2990)</f>
        <v/>
      </c>
      <c r="E2990" s="3" t="str">
        <f>IF(A2990="","",IF(DATE(LEFT(D2990,4),MID(D2990,5,2),RIGHT(D2990,2))=Helper1!$P$1,Helper1!$P$1,""))</f>
        <v/>
      </c>
      <c r="F2990" s="3" t="str">
        <f>IF(A2990="","",'ATP Fills'!G2990)</f>
        <v/>
      </c>
      <c r="G2990" t="str">
        <f>IF(A2990="","",'ATP Fills'!H2990)</f>
        <v/>
      </c>
      <c r="H2990" t="str">
        <f>IF(A2990="","",VLOOKUP(G2990,表3_3[],2,0))</f>
        <v/>
      </c>
      <c r="I2990" t="str">
        <f>IF(A2990="","",VLOOKUP(G2990,表3_3[],3,0))</f>
        <v/>
      </c>
      <c r="J2990" t="str">
        <f>IF(A2990="","",IF('ATP Fills'!I2990="3M","",VLOOKUP(RIGHT('ATP Fills'!I2990,2),Helper1!$O$36:$P$48,2,0)))</f>
        <v/>
      </c>
      <c r="K2990" t="str">
        <f>IF(J2990="","",LEFT('ATP Fills'!I2990,4))</f>
        <v/>
      </c>
      <c r="L2990" t="str">
        <f>IF(A2990="","",IF('ATP Fills'!G2990="LME",'ATP Fills'!I2990,""))</f>
        <v/>
      </c>
      <c r="M2990" t="str">
        <f t="shared" si="46"/>
        <v/>
      </c>
    </row>
    <row r="2991" spans="1:13">
      <c r="A2991" t="str">
        <f>IF('ATP Fills'!A2991="","",IF('ATP Fills'!Q2991="PHILLIPSG",'ATP Fills'!F2991,""))</f>
        <v/>
      </c>
      <c r="B2991" t="str">
        <f>IF(A2991="","",'ATP Fills'!L2991)</f>
        <v/>
      </c>
      <c r="C2991" t="str">
        <f>IF(A2991="","",'ATP Fills'!M2991)</f>
        <v/>
      </c>
      <c r="D2991" t="str">
        <f>IF(A2991="","",'ATP Fills'!B2991)</f>
        <v/>
      </c>
      <c r="E2991" s="3" t="str">
        <f>IF(A2991="","",IF(DATE(LEFT(D2991,4),MID(D2991,5,2),RIGHT(D2991,2))=Helper1!$P$1,Helper1!$P$1,""))</f>
        <v/>
      </c>
      <c r="F2991" s="3" t="str">
        <f>IF(A2991="","",'ATP Fills'!G2991)</f>
        <v/>
      </c>
      <c r="G2991" t="str">
        <f>IF(A2991="","",'ATP Fills'!H2991)</f>
        <v/>
      </c>
      <c r="H2991" t="str">
        <f>IF(A2991="","",VLOOKUP(G2991,表3_3[],2,0))</f>
        <v/>
      </c>
      <c r="I2991" t="str">
        <f>IF(A2991="","",VLOOKUP(G2991,表3_3[],3,0))</f>
        <v/>
      </c>
      <c r="J2991" t="str">
        <f>IF(A2991="","",IF('ATP Fills'!I2991="3M","",VLOOKUP(RIGHT('ATP Fills'!I2991,2),Helper1!$O$36:$P$48,2,0)))</f>
        <v/>
      </c>
      <c r="K2991" t="str">
        <f>IF(J2991="","",LEFT('ATP Fills'!I2991,4))</f>
        <v/>
      </c>
      <c r="L2991" t="str">
        <f>IF(A2991="","",IF('ATP Fills'!G2991="LME",'ATP Fills'!I2991,""))</f>
        <v/>
      </c>
      <c r="M2991" t="str">
        <f t="shared" si="46"/>
        <v/>
      </c>
    </row>
    <row r="2992" spans="1:13">
      <c r="A2992" t="str">
        <f>IF('ATP Fills'!A2992="","",IF('ATP Fills'!Q2992="PHILLIPSG",'ATP Fills'!F2992,""))</f>
        <v/>
      </c>
      <c r="B2992" t="str">
        <f>IF(A2992="","",'ATP Fills'!L2992)</f>
        <v/>
      </c>
      <c r="C2992" t="str">
        <f>IF(A2992="","",'ATP Fills'!M2992)</f>
        <v/>
      </c>
      <c r="D2992" t="str">
        <f>IF(A2992="","",'ATP Fills'!B2992)</f>
        <v/>
      </c>
      <c r="E2992" s="3" t="str">
        <f>IF(A2992="","",IF(DATE(LEFT(D2992,4),MID(D2992,5,2),RIGHT(D2992,2))=Helper1!$P$1,Helper1!$P$1,""))</f>
        <v/>
      </c>
      <c r="F2992" s="3" t="str">
        <f>IF(A2992="","",'ATP Fills'!G2992)</f>
        <v/>
      </c>
      <c r="G2992" t="str">
        <f>IF(A2992="","",'ATP Fills'!H2992)</f>
        <v/>
      </c>
      <c r="H2992" t="str">
        <f>IF(A2992="","",VLOOKUP(G2992,表3_3[],2,0))</f>
        <v/>
      </c>
      <c r="I2992" t="str">
        <f>IF(A2992="","",VLOOKUP(G2992,表3_3[],3,0))</f>
        <v/>
      </c>
      <c r="J2992" t="str">
        <f>IF(A2992="","",IF('ATP Fills'!I2992="3M","",VLOOKUP(RIGHT('ATP Fills'!I2992,2),Helper1!$O$36:$P$48,2,0)))</f>
        <v/>
      </c>
      <c r="K2992" t="str">
        <f>IF(J2992="","",LEFT('ATP Fills'!I2992,4))</f>
        <v/>
      </c>
      <c r="L2992" t="str">
        <f>IF(A2992="","",IF('ATP Fills'!G2992="LME",'ATP Fills'!I2992,""))</f>
        <v/>
      </c>
      <c r="M2992" t="str">
        <f t="shared" si="46"/>
        <v/>
      </c>
    </row>
    <row r="2993" spans="1:13">
      <c r="A2993" t="str">
        <f>IF('ATP Fills'!A2993="","",IF('ATP Fills'!Q2993="PHILLIPSG",'ATP Fills'!F2993,""))</f>
        <v/>
      </c>
      <c r="B2993" t="str">
        <f>IF(A2993="","",'ATP Fills'!L2993)</f>
        <v/>
      </c>
      <c r="C2993" t="str">
        <f>IF(A2993="","",'ATP Fills'!M2993)</f>
        <v/>
      </c>
      <c r="D2993" t="str">
        <f>IF(A2993="","",'ATP Fills'!B2993)</f>
        <v/>
      </c>
      <c r="E2993" s="3" t="str">
        <f>IF(A2993="","",IF(DATE(LEFT(D2993,4),MID(D2993,5,2),RIGHT(D2993,2))=Helper1!$P$1,Helper1!$P$1,""))</f>
        <v/>
      </c>
      <c r="F2993" s="3" t="str">
        <f>IF(A2993="","",'ATP Fills'!G2993)</f>
        <v/>
      </c>
      <c r="G2993" t="str">
        <f>IF(A2993="","",'ATP Fills'!H2993)</f>
        <v/>
      </c>
      <c r="H2993" t="str">
        <f>IF(A2993="","",VLOOKUP(G2993,表3_3[],2,0))</f>
        <v/>
      </c>
      <c r="I2993" t="str">
        <f>IF(A2993="","",VLOOKUP(G2993,表3_3[],3,0))</f>
        <v/>
      </c>
      <c r="J2993" t="str">
        <f>IF(A2993="","",IF('ATP Fills'!I2993="3M","",VLOOKUP(RIGHT('ATP Fills'!I2993,2),Helper1!$O$36:$P$48,2,0)))</f>
        <v/>
      </c>
      <c r="K2993" t="str">
        <f>IF(J2993="","",LEFT('ATP Fills'!I2993,4))</f>
        <v/>
      </c>
      <c r="L2993" t="str">
        <f>IF(A2993="","",IF('ATP Fills'!G2993="LME",'ATP Fills'!I2993,""))</f>
        <v/>
      </c>
      <c r="M2993" t="str">
        <f t="shared" si="46"/>
        <v/>
      </c>
    </row>
    <row r="2994" spans="1:13">
      <c r="A2994" t="str">
        <f>IF('ATP Fills'!A2994="","",IF('ATP Fills'!Q2994="PHILLIPSG",'ATP Fills'!F2994,""))</f>
        <v/>
      </c>
      <c r="B2994" t="str">
        <f>IF(A2994="","",'ATP Fills'!L2994)</f>
        <v/>
      </c>
      <c r="C2994" t="str">
        <f>IF(A2994="","",'ATP Fills'!M2994)</f>
        <v/>
      </c>
      <c r="D2994" t="str">
        <f>IF(A2994="","",'ATP Fills'!B2994)</f>
        <v/>
      </c>
      <c r="E2994" s="3" t="str">
        <f>IF(A2994="","",IF(DATE(LEFT(D2994,4),MID(D2994,5,2),RIGHT(D2994,2))=Helper1!$P$1,Helper1!$P$1,""))</f>
        <v/>
      </c>
      <c r="F2994" s="3" t="str">
        <f>IF(A2994="","",'ATP Fills'!G2994)</f>
        <v/>
      </c>
      <c r="G2994" t="str">
        <f>IF(A2994="","",'ATP Fills'!H2994)</f>
        <v/>
      </c>
      <c r="H2994" t="str">
        <f>IF(A2994="","",VLOOKUP(G2994,表3_3[],2,0))</f>
        <v/>
      </c>
      <c r="I2994" t="str">
        <f>IF(A2994="","",VLOOKUP(G2994,表3_3[],3,0))</f>
        <v/>
      </c>
      <c r="J2994" t="str">
        <f>IF(A2994="","",IF('ATP Fills'!I2994="3M","",VLOOKUP(RIGHT('ATP Fills'!I2994,2),Helper1!$O$36:$P$48,2,0)))</f>
        <v/>
      </c>
      <c r="K2994" t="str">
        <f>IF(J2994="","",LEFT('ATP Fills'!I2994,4))</f>
        <v/>
      </c>
      <c r="L2994" t="str">
        <f>IF(A2994="","",IF('ATP Fills'!G2994="LME",'ATP Fills'!I2994,""))</f>
        <v/>
      </c>
      <c r="M2994" t="str">
        <f t="shared" si="46"/>
        <v/>
      </c>
    </row>
    <row r="2995" spans="1:13">
      <c r="A2995" t="str">
        <f>IF('ATP Fills'!A2995="","",IF('ATP Fills'!Q2995="PHILLIPSG",'ATP Fills'!F2995,""))</f>
        <v/>
      </c>
      <c r="B2995" t="str">
        <f>IF(A2995="","",'ATP Fills'!L2995)</f>
        <v/>
      </c>
      <c r="C2995" t="str">
        <f>IF(A2995="","",'ATP Fills'!M2995)</f>
        <v/>
      </c>
      <c r="D2995" t="str">
        <f>IF(A2995="","",'ATP Fills'!B2995)</f>
        <v/>
      </c>
      <c r="E2995" s="3" t="str">
        <f>IF(A2995="","",IF(DATE(LEFT(D2995,4),MID(D2995,5,2),RIGHT(D2995,2))=Helper1!$P$1,Helper1!$P$1,""))</f>
        <v/>
      </c>
      <c r="F2995" s="3" t="str">
        <f>IF(A2995="","",'ATP Fills'!G2995)</f>
        <v/>
      </c>
      <c r="G2995" t="str">
        <f>IF(A2995="","",'ATP Fills'!H2995)</f>
        <v/>
      </c>
      <c r="H2995" t="str">
        <f>IF(A2995="","",VLOOKUP(G2995,表3_3[],2,0))</f>
        <v/>
      </c>
      <c r="I2995" t="str">
        <f>IF(A2995="","",VLOOKUP(G2995,表3_3[],3,0))</f>
        <v/>
      </c>
      <c r="J2995" t="str">
        <f>IF(A2995="","",IF('ATP Fills'!I2995="3M","",VLOOKUP(RIGHT('ATP Fills'!I2995,2),Helper1!$O$36:$P$48,2,0)))</f>
        <v/>
      </c>
      <c r="K2995" t="str">
        <f>IF(J2995="","",LEFT('ATP Fills'!I2995,4))</f>
        <v/>
      </c>
      <c r="L2995" t="str">
        <f>IF(A2995="","",IF('ATP Fills'!G2995="LME",'ATP Fills'!I2995,""))</f>
        <v/>
      </c>
      <c r="M2995" t="str">
        <f t="shared" si="46"/>
        <v/>
      </c>
    </row>
    <row r="2996" spans="1:13">
      <c r="A2996" t="str">
        <f>IF('ATP Fills'!A2996="","",IF('ATP Fills'!Q2996="PHILLIPSG",'ATP Fills'!F2996,""))</f>
        <v/>
      </c>
      <c r="B2996" t="str">
        <f>IF(A2996="","",'ATP Fills'!L2996)</f>
        <v/>
      </c>
      <c r="C2996" t="str">
        <f>IF(A2996="","",'ATP Fills'!M2996)</f>
        <v/>
      </c>
      <c r="D2996" t="str">
        <f>IF(A2996="","",'ATP Fills'!B2996)</f>
        <v/>
      </c>
      <c r="E2996" s="3" t="str">
        <f>IF(A2996="","",IF(DATE(LEFT(D2996,4),MID(D2996,5,2),RIGHT(D2996,2))=Helper1!$P$1,Helper1!$P$1,""))</f>
        <v/>
      </c>
      <c r="F2996" s="3" t="str">
        <f>IF(A2996="","",'ATP Fills'!G2996)</f>
        <v/>
      </c>
      <c r="G2996" t="str">
        <f>IF(A2996="","",'ATP Fills'!H2996)</f>
        <v/>
      </c>
      <c r="H2996" t="str">
        <f>IF(A2996="","",VLOOKUP(G2996,表3_3[],2,0))</f>
        <v/>
      </c>
      <c r="I2996" t="str">
        <f>IF(A2996="","",VLOOKUP(G2996,表3_3[],3,0))</f>
        <v/>
      </c>
      <c r="J2996" t="str">
        <f>IF(A2996="","",IF('ATP Fills'!I2996="3M","",VLOOKUP(RIGHT('ATP Fills'!I2996,2),Helper1!$O$36:$P$48,2,0)))</f>
        <v/>
      </c>
      <c r="K2996" t="str">
        <f>IF(J2996="","",LEFT('ATP Fills'!I2996,4))</f>
        <v/>
      </c>
      <c r="L2996" t="str">
        <f>IF(A2996="","",IF('ATP Fills'!G2996="LME",'ATP Fills'!I2996,""))</f>
        <v/>
      </c>
      <c r="M2996" t="str">
        <f t="shared" si="46"/>
        <v/>
      </c>
    </row>
    <row r="2997" spans="1:13">
      <c r="A2997" t="str">
        <f>IF('ATP Fills'!A2997="","",IF('ATP Fills'!Q2997="PHILLIPSG",'ATP Fills'!F2997,""))</f>
        <v/>
      </c>
      <c r="B2997" t="str">
        <f>IF(A2997="","",'ATP Fills'!L2997)</f>
        <v/>
      </c>
      <c r="C2997" t="str">
        <f>IF(A2997="","",'ATP Fills'!M2997)</f>
        <v/>
      </c>
      <c r="D2997" t="str">
        <f>IF(A2997="","",'ATP Fills'!B2997)</f>
        <v/>
      </c>
      <c r="E2997" s="3" t="str">
        <f>IF(A2997="","",IF(DATE(LEFT(D2997,4),MID(D2997,5,2),RIGHT(D2997,2))=Helper1!$P$1,Helper1!$P$1,""))</f>
        <v/>
      </c>
      <c r="F2997" s="3" t="str">
        <f>IF(A2997="","",'ATP Fills'!G2997)</f>
        <v/>
      </c>
      <c r="G2997" t="str">
        <f>IF(A2997="","",'ATP Fills'!H2997)</f>
        <v/>
      </c>
      <c r="H2997" t="str">
        <f>IF(A2997="","",VLOOKUP(G2997,表3_3[],2,0))</f>
        <v/>
      </c>
      <c r="I2997" t="str">
        <f>IF(A2997="","",VLOOKUP(G2997,表3_3[],3,0))</f>
        <v/>
      </c>
      <c r="J2997" t="str">
        <f>IF(A2997="","",IF('ATP Fills'!I2997="3M","",VLOOKUP(RIGHT('ATP Fills'!I2997,2),Helper1!$O$36:$P$48,2,0)))</f>
        <v/>
      </c>
      <c r="K2997" t="str">
        <f>IF(J2997="","",LEFT('ATP Fills'!I2997,4))</f>
        <v/>
      </c>
      <c r="L2997" t="str">
        <f>IF(A2997="","",IF('ATP Fills'!G2997="LME",'ATP Fills'!I2997,""))</f>
        <v/>
      </c>
      <c r="M2997" t="str">
        <f t="shared" si="46"/>
        <v/>
      </c>
    </row>
    <row r="2998" spans="1:13">
      <c r="A2998" t="str">
        <f>IF('ATP Fills'!A2998="","",IF('ATP Fills'!Q2998="PHILLIPSG",'ATP Fills'!F2998,""))</f>
        <v/>
      </c>
      <c r="B2998" t="str">
        <f>IF(A2998="","",'ATP Fills'!L2998)</f>
        <v/>
      </c>
      <c r="C2998" t="str">
        <f>IF(A2998="","",'ATP Fills'!M2998)</f>
        <v/>
      </c>
      <c r="D2998" t="str">
        <f>IF(A2998="","",'ATP Fills'!B2998)</f>
        <v/>
      </c>
      <c r="E2998" s="3" t="str">
        <f>IF(A2998="","",IF(DATE(LEFT(D2998,4),MID(D2998,5,2),RIGHT(D2998,2))=Helper1!$P$1,Helper1!$P$1,""))</f>
        <v/>
      </c>
      <c r="F2998" s="3" t="str">
        <f>IF(A2998="","",'ATP Fills'!G2998)</f>
        <v/>
      </c>
      <c r="G2998" t="str">
        <f>IF(A2998="","",'ATP Fills'!H2998)</f>
        <v/>
      </c>
      <c r="H2998" t="str">
        <f>IF(A2998="","",VLOOKUP(G2998,表3_3[],2,0))</f>
        <v/>
      </c>
      <c r="I2998" t="str">
        <f>IF(A2998="","",VLOOKUP(G2998,表3_3[],3,0))</f>
        <v/>
      </c>
      <c r="J2998" t="str">
        <f>IF(A2998="","",IF('ATP Fills'!I2998="3M","",VLOOKUP(RIGHT('ATP Fills'!I2998,2),Helper1!$O$36:$P$48,2,0)))</f>
        <v/>
      </c>
      <c r="K2998" t="str">
        <f>IF(J2998="","",LEFT('ATP Fills'!I2998,4))</f>
        <v/>
      </c>
      <c r="L2998" t="str">
        <f>IF(A2998="","",IF('ATP Fills'!G2998="LME",'ATP Fills'!I2998,""))</f>
        <v/>
      </c>
      <c r="M2998" t="str">
        <f t="shared" si="46"/>
        <v/>
      </c>
    </row>
    <row r="2999" spans="1:13">
      <c r="A2999" t="str">
        <f>IF('ATP Fills'!A2999="","",IF('ATP Fills'!Q2999="PHILLIPSG",'ATP Fills'!F2999,""))</f>
        <v/>
      </c>
      <c r="B2999" t="str">
        <f>IF(A2999="","",'ATP Fills'!L2999)</f>
        <v/>
      </c>
      <c r="C2999" t="str">
        <f>IF(A2999="","",'ATP Fills'!M2999)</f>
        <v/>
      </c>
      <c r="D2999" t="str">
        <f>IF(A2999="","",'ATP Fills'!B2999)</f>
        <v/>
      </c>
      <c r="E2999" s="3" t="str">
        <f>IF(A2999="","",IF(DATE(LEFT(D2999,4),MID(D2999,5,2),RIGHT(D2999,2))=Helper1!$P$1,Helper1!$P$1,""))</f>
        <v/>
      </c>
      <c r="F2999" s="3" t="str">
        <f>IF(A2999="","",'ATP Fills'!G2999)</f>
        <v/>
      </c>
      <c r="G2999" t="str">
        <f>IF(A2999="","",'ATP Fills'!H2999)</f>
        <v/>
      </c>
      <c r="H2999" t="str">
        <f>IF(A2999="","",VLOOKUP(G2999,表3_3[],2,0))</f>
        <v/>
      </c>
      <c r="I2999" t="str">
        <f>IF(A2999="","",VLOOKUP(G2999,表3_3[],3,0))</f>
        <v/>
      </c>
      <c r="J2999" t="str">
        <f>IF(A2999="","",IF('ATP Fills'!I2999="3M","",VLOOKUP(RIGHT('ATP Fills'!I2999,2),Helper1!$O$36:$P$48,2,0)))</f>
        <v/>
      </c>
      <c r="K2999" t="str">
        <f>IF(J2999="","",LEFT('ATP Fills'!I2999,4))</f>
        <v/>
      </c>
      <c r="L2999" t="str">
        <f>IF(A2999="","",IF('ATP Fills'!G2999="LME",'ATP Fills'!I2999,""))</f>
        <v/>
      </c>
      <c r="M2999" t="str">
        <f t="shared" si="46"/>
        <v/>
      </c>
    </row>
    <row r="3000" spans="1:13">
      <c r="A3000" t="str">
        <f>IF('ATP Fills'!A3000="","",IF('ATP Fills'!Q3000="PHILLIPSG",'ATP Fills'!F3000,""))</f>
        <v/>
      </c>
      <c r="B3000" t="str">
        <f>IF(A3000="","",'ATP Fills'!L3000)</f>
        <v/>
      </c>
      <c r="C3000" t="str">
        <f>IF(A3000="","",'ATP Fills'!M3000)</f>
        <v/>
      </c>
      <c r="D3000" t="str">
        <f>IF(A3000="","",'ATP Fills'!B3000)</f>
        <v/>
      </c>
      <c r="E3000" s="3" t="str">
        <f>IF(A3000="","",IF(DATE(LEFT(D3000,4),MID(D3000,5,2),RIGHT(D3000,2))=Helper1!$P$1,Helper1!$P$1,""))</f>
        <v/>
      </c>
      <c r="F3000" s="3" t="str">
        <f>IF(A3000="","",'ATP Fills'!G3000)</f>
        <v/>
      </c>
      <c r="G3000" t="str">
        <f>IF(A3000="","",'ATP Fills'!H3000)</f>
        <v/>
      </c>
      <c r="H3000" t="str">
        <f>IF(A3000="","",VLOOKUP(G3000,表3_3[],2,0))</f>
        <v/>
      </c>
      <c r="I3000" t="str">
        <f>IF(A3000="","",VLOOKUP(G3000,表3_3[],3,0))</f>
        <v/>
      </c>
      <c r="J3000" t="str">
        <f>IF(A3000="","",IF('ATP Fills'!I3000="3M","",VLOOKUP(RIGHT('ATP Fills'!I3000,2),Helper1!$O$36:$P$48,2,0)))</f>
        <v/>
      </c>
      <c r="K3000" t="str">
        <f>IF(J3000="","",LEFT('ATP Fills'!I3000,4))</f>
        <v/>
      </c>
      <c r="L3000" t="str">
        <f>IF(A3000="","",IF('ATP Fills'!G3000="LME",'ATP Fills'!I3000,""))</f>
        <v/>
      </c>
      <c r="M3000" t="str">
        <f t="shared" si="46"/>
        <v/>
      </c>
    </row>
  </sheetData>
  <phoneticPr fontId="7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CBDD0-971B-4236-84A9-4984CD8B71D0}">
  <sheetPr codeName="Sheet10"/>
  <dimension ref="A1:Q201"/>
  <sheetViews>
    <sheetView workbookViewId="0">
      <selection activeCell="R25" sqref="R25"/>
    </sheetView>
  </sheetViews>
  <sheetFormatPr defaultRowHeight="15.75"/>
  <cols>
    <col min="1" max="1" width="9.7109375" bestFit="1" customWidth="1"/>
    <col min="2" max="2" width="4.42578125" bestFit="1" customWidth="1"/>
    <col min="3" max="3" width="4.85546875" bestFit="1" customWidth="1"/>
    <col min="4" max="4" width="17.85546875" bestFit="1" customWidth="1"/>
    <col min="8" max="8" width="17" bestFit="1" customWidth="1"/>
    <col min="9" max="9" width="13.42578125" bestFit="1" customWidth="1"/>
    <col min="10" max="10" width="8" bestFit="1" customWidth="1"/>
    <col min="11" max="11" width="13.85546875" bestFit="1" customWidth="1"/>
    <col min="13" max="13" width="25.140625" bestFit="1" customWidth="1"/>
    <col min="14" max="14" width="9.7109375" bestFit="1" customWidth="1"/>
    <col min="16" max="16" width="9" hidden="1" customWidth="1"/>
  </cols>
  <sheetData>
    <row r="1" spans="1:17">
      <c r="A1" t="s">
        <v>1491</v>
      </c>
      <c r="B1" t="s">
        <v>1492</v>
      </c>
      <c r="C1" t="s">
        <v>1493</v>
      </c>
      <c r="D1" t="s">
        <v>1494</v>
      </c>
    </row>
    <row r="2" spans="1:17">
      <c r="A2" t="s">
        <v>1587</v>
      </c>
      <c r="B2" t="b">
        <v>0</v>
      </c>
      <c r="C2" t="b">
        <v>0</v>
      </c>
      <c r="D2" t="e">
        <v>#VALUE!</v>
      </c>
    </row>
    <row r="3" spans="1:17">
      <c r="A3" t="s">
        <v>1587</v>
      </c>
      <c r="B3" t="b">
        <v>0</v>
      </c>
      <c r="C3" t="b">
        <v>0</v>
      </c>
      <c r="D3" t="e">
        <v>#N/A</v>
      </c>
      <c r="H3" s="12" t="s">
        <v>1585</v>
      </c>
      <c r="I3" s="12" t="s">
        <v>1491</v>
      </c>
      <c r="J3" s="12" t="s">
        <v>1492</v>
      </c>
      <c r="K3" t="s">
        <v>1496</v>
      </c>
      <c r="Q3" t="s">
        <v>1501</v>
      </c>
    </row>
    <row r="4" spans="1:17">
      <c r="A4" t="s">
        <v>1588</v>
      </c>
      <c r="B4" t="b">
        <v>0</v>
      </c>
      <c r="C4" t="b">
        <v>0</v>
      </c>
      <c r="D4" t="e">
        <v>#VALUE!</v>
      </c>
      <c r="H4" t="s">
        <v>1494</v>
      </c>
      <c r="I4" t="s">
        <v>1491</v>
      </c>
      <c r="J4" t="s">
        <v>1492</v>
      </c>
      <c r="K4" s="13">
        <v>0</v>
      </c>
      <c r="M4" t="str">
        <f>IF(H4="","",H4)</f>
        <v>Contract2</v>
      </c>
      <c r="N4" t="str">
        <f>IF(I4="","",I4)</f>
        <v>Account</v>
      </c>
      <c r="O4" t="str">
        <f>IF(AND(J4="Buy",J5="Sell",I4=I5),MIN(K4,K5),"")</f>
        <v/>
      </c>
      <c r="P4">
        <f>IF(M4="","",SUMIF(M:M,M4,O:O))</f>
        <v>0</v>
      </c>
      <c r="Q4" t="str">
        <f t="shared" ref="Q4" si="0">IF(P3=P4,"",P4)</f>
        <v/>
      </c>
    </row>
    <row r="5" spans="1:17">
      <c r="A5" t="s">
        <v>1450</v>
      </c>
      <c r="B5" t="b">
        <v>0</v>
      </c>
      <c r="C5" t="b">
        <v>0</v>
      </c>
      <c r="D5" t="s">
        <v>1589</v>
      </c>
      <c r="K5" s="13"/>
      <c r="M5" t="str">
        <f t="shared" ref="M5:M68" si="1">IF(H5="","",H5)</f>
        <v/>
      </c>
      <c r="N5" t="str">
        <f t="shared" ref="N5:N68" si="2">IF(I5="","",I5)</f>
        <v/>
      </c>
      <c r="O5" t="str">
        <f t="shared" ref="O5:O68" si="3">IF(AND(J5="Buy",J6="Sell",I5=I6),MIN(K5,K6),"")</f>
        <v/>
      </c>
      <c r="P5" t="str">
        <f t="shared" ref="P5:P68" si="4">IF(M5="","",SUMIF(M:M,M5,O:O))</f>
        <v/>
      </c>
      <c r="Q5" t="str">
        <f t="shared" ref="Q5:Q68" si="5">IF(P4=P5,"",P5)</f>
        <v/>
      </c>
    </row>
    <row r="6" spans="1:17">
      <c r="A6" t="s">
        <v>1450</v>
      </c>
      <c r="B6" t="b">
        <v>0</v>
      </c>
      <c r="C6" t="b">
        <v>0</v>
      </c>
      <c r="D6" t="e">
        <v>#VALUE!</v>
      </c>
      <c r="H6" t="s">
        <v>1495</v>
      </c>
      <c r="I6" t="s">
        <v>1495</v>
      </c>
      <c r="J6" t="s">
        <v>1495</v>
      </c>
      <c r="K6" s="13"/>
      <c r="M6" t="str">
        <f t="shared" si="1"/>
        <v>(空白)</v>
      </c>
      <c r="N6" t="str">
        <f t="shared" si="2"/>
        <v>(空白)</v>
      </c>
      <c r="O6" t="str">
        <f t="shared" si="3"/>
        <v/>
      </c>
      <c r="P6">
        <f t="shared" si="4"/>
        <v>0</v>
      </c>
      <c r="Q6">
        <f t="shared" si="5"/>
        <v>0</v>
      </c>
    </row>
    <row r="7" spans="1:17">
      <c r="K7" s="13"/>
      <c r="M7" t="str">
        <f t="shared" si="1"/>
        <v/>
      </c>
      <c r="N7" t="str">
        <f t="shared" si="2"/>
        <v/>
      </c>
      <c r="O7" t="str">
        <f t="shared" si="3"/>
        <v/>
      </c>
      <c r="P7" t="str">
        <f t="shared" si="4"/>
        <v/>
      </c>
      <c r="Q7" t="str">
        <f t="shared" si="5"/>
        <v/>
      </c>
    </row>
    <row r="8" spans="1:17">
      <c r="H8" t="s">
        <v>1590</v>
      </c>
      <c r="I8" t="s">
        <v>1450</v>
      </c>
      <c r="J8" t="s">
        <v>1591</v>
      </c>
      <c r="K8" s="13">
        <v>0</v>
      </c>
      <c r="M8" t="str">
        <f t="shared" si="1"/>
        <v>#VALUE!</v>
      </c>
      <c r="N8" t="str">
        <f t="shared" si="2"/>
        <v>H0000592</v>
      </c>
      <c r="O8" t="str">
        <f t="shared" si="3"/>
        <v/>
      </c>
      <c r="P8">
        <f t="shared" si="4"/>
        <v>0</v>
      </c>
      <c r="Q8">
        <f t="shared" si="5"/>
        <v>0</v>
      </c>
    </row>
    <row r="9" spans="1:17">
      <c r="H9" t="s">
        <v>1590</v>
      </c>
      <c r="I9" t="s">
        <v>1587</v>
      </c>
      <c r="J9" t="s">
        <v>1591</v>
      </c>
      <c r="K9" s="13">
        <v>0</v>
      </c>
      <c r="M9" t="str">
        <f t="shared" si="1"/>
        <v>#VALUE!</v>
      </c>
      <c r="N9" t="str">
        <f t="shared" si="2"/>
        <v>A0000255</v>
      </c>
      <c r="O9" t="str">
        <f t="shared" si="3"/>
        <v/>
      </c>
      <c r="P9">
        <f t="shared" si="4"/>
        <v>0</v>
      </c>
      <c r="Q9" t="str">
        <f t="shared" si="5"/>
        <v/>
      </c>
    </row>
    <row r="10" spans="1:17">
      <c r="H10" t="s">
        <v>1590</v>
      </c>
      <c r="I10" t="s">
        <v>1588</v>
      </c>
      <c r="J10" t="s">
        <v>1591</v>
      </c>
      <c r="K10" s="13">
        <v>0</v>
      </c>
      <c r="M10" t="str">
        <f t="shared" si="1"/>
        <v>#VALUE!</v>
      </c>
      <c r="N10" t="str">
        <f t="shared" si="2"/>
        <v>A0000487</v>
      </c>
      <c r="O10" t="str">
        <f t="shared" si="3"/>
        <v/>
      </c>
      <c r="P10">
        <f t="shared" si="4"/>
        <v>0</v>
      </c>
      <c r="Q10" t="str">
        <f t="shared" si="5"/>
        <v/>
      </c>
    </row>
    <row r="11" spans="1:17">
      <c r="K11" s="13"/>
      <c r="M11" t="str">
        <f t="shared" si="1"/>
        <v/>
      </c>
      <c r="N11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5"/>
        <v/>
      </c>
    </row>
    <row r="12" spans="1:17">
      <c r="H12" t="s">
        <v>1592</v>
      </c>
      <c r="I12" t="s">
        <v>1587</v>
      </c>
      <c r="J12" t="s">
        <v>1591</v>
      </c>
      <c r="K12" s="13">
        <v>0</v>
      </c>
      <c r="M12" t="str">
        <f t="shared" si="1"/>
        <v>#N/A</v>
      </c>
      <c r="N12" t="str">
        <f t="shared" si="2"/>
        <v>A0000255</v>
      </c>
      <c r="O12" t="str">
        <f t="shared" si="3"/>
        <v/>
      </c>
      <c r="P12">
        <f t="shared" si="4"/>
        <v>0</v>
      </c>
      <c r="Q12">
        <f t="shared" si="5"/>
        <v>0</v>
      </c>
    </row>
    <row r="13" spans="1:17">
      <c r="K13" s="13"/>
      <c r="M13" t="str">
        <f t="shared" si="1"/>
        <v/>
      </c>
      <c r="N13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5"/>
        <v/>
      </c>
    </row>
    <row r="14" spans="1:17">
      <c r="H14" t="s">
        <v>1589</v>
      </c>
      <c r="I14" t="s">
        <v>1450</v>
      </c>
      <c r="J14" t="s">
        <v>1591</v>
      </c>
      <c r="K14" s="13">
        <v>0</v>
      </c>
      <c r="M14" t="str">
        <f t="shared" si="1"/>
        <v>J-2022-FGBS</v>
      </c>
      <c r="N14" t="str">
        <f t="shared" si="2"/>
        <v>H0000592</v>
      </c>
      <c r="O14" t="str">
        <f t="shared" si="3"/>
        <v/>
      </c>
      <c r="P14">
        <f t="shared" si="4"/>
        <v>0</v>
      </c>
      <c r="Q14">
        <f t="shared" si="5"/>
        <v>0</v>
      </c>
    </row>
    <row r="15" spans="1:17">
      <c r="K15" s="13"/>
      <c r="M15" t="str">
        <f t="shared" si="1"/>
        <v/>
      </c>
      <c r="N15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5"/>
        <v/>
      </c>
    </row>
    <row r="16" spans="1:17">
      <c r="H16" t="s">
        <v>1586</v>
      </c>
      <c r="K16" s="13">
        <v>0</v>
      </c>
      <c r="M16" t="str">
        <f t="shared" si="1"/>
        <v>總計</v>
      </c>
      <c r="N16" t="str">
        <f t="shared" si="2"/>
        <v/>
      </c>
      <c r="O16" t="str">
        <f t="shared" si="3"/>
        <v/>
      </c>
      <c r="P16">
        <f t="shared" si="4"/>
        <v>0</v>
      </c>
      <c r="Q16">
        <f t="shared" si="5"/>
        <v>0</v>
      </c>
    </row>
    <row r="17" spans="13:17">
      <c r="M17" t="str">
        <f t="shared" si="1"/>
        <v/>
      </c>
      <c r="N1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5"/>
        <v/>
      </c>
    </row>
    <row r="18" spans="13:17">
      <c r="M18" t="str">
        <f t="shared" si="1"/>
        <v/>
      </c>
      <c r="N18" t="str">
        <f t="shared" si="2"/>
        <v/>
      </c>
      <c r="O18" t="str">
        <f t="shared" si="3"/>
        <v/>
      </c>
      <c r="P18" t="str">
        <f t="shared" si="4"/>
        <v/>
      </c>
      <c r="Q18" t="str">
        <f t="shared" si="5"/>
        <v/>
      </c>
    </row>
    <row r="19" spans="13:17">
      <c r="M19" t="str">
        <f t="shared" si="1"/>
        <v/>
      </c>
      <c r="N19" t="str">
        <f t="shared" si="2"/>
        <v/>
      </c>
      <c r="O19" t="str">
        <f t="shared" si="3"/>
        <v/>
      </c>
      <c r="P19" t="str">
        <f t="shared" si="4"/>
        <v/>
      </c>
      <c r="Q19" t="str">
        <f t="shared" si="5"/>
        <v/>
      </c>
    </row>
    <row r="20" spans="13:17">
      <c r="M20" t="str">
        <f t="shared" si="1"/>
        <v/>
      </c>
      <c r="N20" t="str">
        <f t="shared" si="2"/>
        <v/>
      </c>
      <c r="O20" t="str">
        <f t="shared" si="3"/>
        <v/>
      </c>
      <c r="P20" t="str">
        <f t="shared" si="4"/>
        <v/>
      </c>
      <c r="Q20" t="str">
        <f t="shared" si="5"/>
        <v/>
      </c>
    </row>
    <row r="21" spans="13:17">
      <c r="M21" t="str">
        <f t="shared" si="1"/>
        <v/>
      </c>
      <c r="N21" t="str">
        <f t="shared" si="2"/>
        <v/>
      </c>
      <c r="O21" t="str">
        <f t="shared" si="3"/>
        <v/>
      </c>
      <c r="P21" t="str">
        <f t="shared" si="4"/>
        <v/>
      </c>
      <c r="Q21" t="str">
        <f t="shared" si="5"/>
        <v/>
      </c>
    </row>
    <row r="22" spans="13:17">
      <c r="M22" t="str">
        <f t="shared" si="1"/>
        <v/>
      </c>
      <c r="N22" t="str">
        <f t="shared" si="2"/>
        <v/>
      </c>
      <c r="O22" t="str">
        <f t="shared" si="3"/>
        <v/>
      </c>
      <c r="P22" t="str">
        <f t="shared" si="4"/>
        <v/>
      </c>
      <c r="Q22" t="str">
        <f t="shared" si="5"/>
        <v/>
      </c>
    </row>
    <row r="23" spans="13:17">
      <c r="M23" t="str">
        <f t="shared" si="1"/>
        <v/>
      </c>
      <c r="N23" t="str">
        <f t="shared" si="2"/>
        <v/>
      </c>
      <c r="O23" t="str">
        <f t="shared" si="3"/>
        <v/>
      </c>
      <c r="P23" t="str">
        <f t="shared" si="4"/>
        <v/>
      </c>
      <c r="Q23" t="str">
        <f t="shared" si="5"/>
        <v/>
      </c>
    </row>
    <row r="24" spans="13:17">
      <c r="M24" t="str">
        <f t="shared" si="1"/>
        <v/>
      </c>
      <c r="N24" t="str">
        <f t="shared" si="2"/>
        <v/>
      </c>
      <c r="O24" t="str">
        <f t="shared" si="3"/>
        <v/>
      </c>
      <c r="P24" t="str">
        <f t="shared" si="4"/>
        <v/>
      </c>
      <c r="Q24" t="str">
        <f t="shared" si="5"/>
        <v/>
      </c>
    </row>
    <row r="25" spans="13:17">
      <c r="M25" t="str">
        <f t="shared" si="1"/>
        <v/>
      </c>
      <c r="N25" t="str">
        <f t="shared" si="2"/>
        <v/>
      </c>
      <c r="O25" t="str">
        <f t="shared" si="3"/>
        <v/>
      </c>
      <c r="P25" t="str">
        <f t="shared" si="4"/>
        <v/>
      </c>
      <c r="Q25" t="str">
        <f t="shared" si="5"/>
        <v/>
      </c>
    </row>
    <row r="26" spans="13:17">
      <c r="M26" t="str">
        <f t="shared" si="1"/>
        <v/>
      </c>
      <c r="N26" t="str">
        <f t="shared" si="2"/>
        <v/>
      </c>
      <c r="O26" t="str">
        <f t="shared" si="3"/>
        <v/>
      </c>
      <c r="P26" t="str">
        <f t="shared" si="4"/>
        <v/>
      </c>
      <c r="Q26" t="str">
        <f t="shared" si="5"/>
        <v/>
      </c>
    </row>
    <row r="27" spans="13:17">
      <c r="M27" t="str">
        <f t="shared" si="1"/>
        <v/>
      </c>
      <c r="N27" t="str">
        <f t="shared" si="2"/>
        <v/>
      </c>
      <c r="O27" t="str">
        <f t="shared" si="3"/>
        <v/>
      </c>
      <c r="P27" t="str">
        <f t="shared" si="4"/>
        <v/>
      </c>
      <c r="Q27" t="str">
        <f t="shared" si="5"/>
        <v/>
      </c>
    </row>
    <row r="28" spans="13:17">
      <c r="M28" t="str">
        <f t="shared" si="1"/>
        <v/>
      </c>
      <c r="N28" t="str">
        <f t="shared" si="2"/>
        <v/>
      </c>
      <c r="O28" t="str">
        <f t="shared" si="3"/>
        <v/>
      </c>
      <c r="P28" t="str">
        <f t="shared" si="4"/>
        <v/>
      </c>
      <c r="Q28" t="str">
        <f t="shared" si="5"/>
        <v/>
      </c>
    </row>
    <row r="29" spans="13:17">
      <c r="M29" t="str">
        <f t="shared" si="1"/>
        <v/>
      </c>
      <c r="N29" t="str">
        <f t="shared" si="2"/>
        <v/>
      </c>
      <c r="O29" t="str">
        <f t="shared" si="3"/>
        <v/>
      </c>
      <c r="P29" t="str">
        <f t="shared" si="4"/>
        <v/>
      </c>
      <c r="Q29" t="str">
        <f t="shared" si="5"/>
        <v/>
      </c>
    </row>
    <row r="30" spans="13:17">
      <c r="M30" t="str">
        <f t="shared" si="1"/>
        <v/>
      </c>
      <c r="N30" t="str">
        <f t="shared" si="2"/>
        <v/>
      </c>
      <c r="O30" t="str">
        <f t="shared" si="3"/>
        <v/>
      </c>
      <c r="P30" t="str">
        <f t="shared" si="4"/>
        <v/>
      </c>
      <c r="Q30" t="str">
        <f t="shared" si="5"/>
        <v/>
      </c>
    </row>
    <row r="31" spans="13:17">
      <c r="M31" t="str">
        <f t="shared" si="1"/>
        <v/>
      </c>
      <c r="N31" t="str">
        <f t="shared" si="2"/>
        <v/>
      </c>
      <c r="O31" t="str">
        <f t="shared" si="3"/>
        <v/>
      </c>
      <c r="P31" t="str">
        <f t="shared" si="4"/>
        <v/>
      </c>
      <c r="Q31" t="str">
        <f t="shared" si="5"/>
        <v/>
      </c>
    </row>
    <row r="32" spans="13:17">
      <c r="M32" t="str">
        <f t="shared" si="1"/>
        <v/>
      </c>
      <c r="N32" t="str">
        <f t="shared" si="2"/>
        <v/>
      </c>
      <c r="O32" t="str">
        <f t="shared" si="3"/>
        <v/>
      </c>
      <c r="P32" t="str">
        <f t="shared" si="4"/>
        <v/>
      </c>
      <c r="Q32" t="str">
        <f t="shared" si="5"/>
        <v/>
      </c>
    </row>
    <row r="33" spans="13:17">
      <c r="M33" t="str">
        <f t="shared" si="1"/>
        <v/>
      </c>
      <c r="N33" t="str">
        <f t="shared" si="2"/>
        <v/>
      </c>
      <c r="O33" t="str">
        <f t="shared" si="3"/>
        <v/>
      </c>
      <c r="P33" t="str">
        <f t="shared" si="4"/>
        <v/>
      </c>
      <c r="Q33" t="str">
        <f t="shared" si="5"/>
        <v/>
      </c>
    </row>
    <row r="34" spans="13:17">
      <c r="M34" t="str">
        <f t="shared" si="1"/>
        <v/>
      </c>
      <c r="N34" t="str">
        <f t="shared" si="2"/>
        <v/>
      </c>
      <c r="O34" t="str">
        <f t="shared" si="3"/>
        <v/>
      </c>
      <c r="P34" t="str">
        <f t="shared" si="4"/>
        <v/>
      </c>
      <c r="Q34" t="str">
        <f t="shared" si="5"/>
        <v/>
      </c>
    </row>
    <row r="35" spans="13:17">
      <c r="M35" t="str">
        <f t="shared" si="1"/>
        <v/>
      </c>
      <c r="N35" t="str">
        <f t="shared" si="2"/>
        <v/>
      </c>
      <c r="O35" t="str">
        <f t="shared" si="3"/>
        <v/>
      </c>
      <c r="P35" t="str">
        <f t="shared" si="4"/>
        <v/>
      </c>
      <c r="Q35" t="str">
        <f t="shared" si="5"/>
        <v/>
      </c>
    </row>
    <row r="36" spans="13:17">
      <c r="M36" t="str">
        <f t="shared" si="1"/>
        <v/>
      </c>
      <c r="N36" t="str">
        <f t="shared" si="2"/>
        <v/>
      </c>
      <c r="O36" t="str">
        <f t="shared" si="3"/>
        <v/>
      </c>
      <c r="P36" t="str">
        <f t="shared" si="4"/>
        <v/>
      </c>
      <c r="Q36" t="str">
        <f t="shared" si="5"/>
        <v/>
      </c>
    </row>
    <row r="37" spans="13:17">
      <c r="M37" t="str">
        <f t="shared" si="1"/>
        <v/>
      </c>
      <c r="N37" t="str">
        <f t="shared" si="2"/>
        <v/>
      </c>
      <c r="O37" t="str">
        <f t="shared" si="3"/>
        <v/>
      </c>
      <c r="P37" t="str">
        <f t="shared" si="4"/>
        <v/>
      </c>
      <c r="Q37" t="str">
        <f t="shared" si="5"/>
        <v/>
      </c>
    </row>
    <row r="38" spans="13:17">
      <c r="M38" t="str">
        <f t="shared" si="1"/>
        <v/>
      </c>
      <c r="N38" t="str">
        <f t="shared" si="2"/>
        <v/>
      </c>
      <c r="O38" t="str">
        <f t="shared" si="3"/>
        <v/>
      </c>
      <c r="P38" t="str">
        <f t="shared" si="4"/>
        <v/>
      </c>
      <c r="Q38" t="str">
        <f t="shared" si="5"/>
        <v/>
      </c>
    </row>
    <row r="39" spans="13:17">
      <c r="M39" t="str">
        <f t="shared" si="1"/>
        <v/>
      </c>
      <c r="N39" t="str">
        <f t="shared" si="2"/>
        <v/>
      </c>
      <c r="O39" t="str">
        <f t="shared" si="3"/>
        <v/>
      </c>
      <c r="P39" t="str">
        <f t="shared" si="4"/>
        <v/>
      </c>
      <c r="Q39" t="str">
        <f t="shared" si="5"/>
        <v/>
      </c>
    </row>
    <row r="40" spans="13:17">
      <c r="M40" t="str">
        <f t="shared" si="1"/>
        <v/>
      </c>
      <c r="N40" t="str">
        <f t="shared" si="2"/>
        <v/>
      </c>
      <c r="O40" t="str">
        <f t="shared" si="3"/>
        <v/>
      </c>
      <c r="P40" t="str">
        <f t="shared" si="4"/>
        <v/>
      </c>
      <c r="Q40" t="str">
        <f t="shared" si="5"/>
        <v/>
      </c>
    </row>
    <row r="41" spans="13:17">
      <c r="M41" t="str">
        <f t="shared" si="1"/>
        <v/>
      </c>
      <c r="N41" t="str">
        <f t="shared" si="2"/>
        <v/>
      </c>
      <c r="O41" t="str">
        <f t="shared" si="3"/>
        <v/>
      </c>
      <c r="P41" t="str">
        <f t="shared" si="4"/>
        <v/>
      </c>
      <c r="Q41" t="str">
        <f t="shared" si="5"/>
        <v/>
      </c>
    </row>
    <row r="42" spans="13:17">
      <c r="M42" t="str">
        <f t="shared" si="1"/>
        <v/>
      </c>
      <c r="N42" t="str">
        <f t="shared" si="2"/>
        <v/>
      </c>
      <c r="O42" t="str">
        <f t="shared" si="3"/>
        <v/>
      </c>
      <c r="P42" t="str">
        <f t="shared" si="4"/>
        <v/>
      </c>
      <c r="Q42" t="str">
        <f t="shared" si="5"/>
        <v/>
      </c>
    </row>
    <row r="43" spans="13:17">
      <c r="M43" t="str">
        <f t="shared" si="1"/>
        <v/>
      </c>
      <c r="N43" t="str">
        <f t="shared" si="2"/>
        <v/>
      </c>
      <c r="O43" t="str">
        <f t="shared" si="3"/>
        <v/>
      </c>
      <c r="P43" t="str">
        <f t="shared" si="4"/>
        <v/>
      </c>
      <c r="Q43" t="str">
        <f t="shared" si="5"/>
        <v/>
      </c>
    </row>
    <row r="44" spans="13:17">
      <c r="M44" t="str">
        <f t="shared" si="1"/>
        <v/>
      </c>
      <c r="N44" t="str">
        <f t="shared" si="2"/>
        <v/>
      </c>
      <c r="O44" t="str">
        <f t="shared" si="3"/>
        <v/>
      </c>
      <c r="P44" t="str">
        <f t="shared" si="4"/>
        <v/>
      </c>
      <c r="Q44" t="str">
        <f t="shared" si="5"/>
        <v/>
      </c>
    </row>
    <row r="45" spans="13:17">
      <c r="M45" t="str">
        <f t="shared" si="1"/>
        <v/>
      </c>
      <c r="N45" t="str">
        <f t="shared" si="2"/>
        <v/>
      </c>
      <c r="O45" t="str">
        <f t="shared" si="3"/>
        <v/>
      </c>
      <c r="P45" t="str">
        <f t="shared" si="4"/>
        <v/>
      </c>
      <c r="Q45" t="str">
        <f t="shared" si="5"/>
        <v/>
      </c>
    </row>
    <row r="46" spans="13:17">
      <c r="M46" t="str">
        <f t="shared" si="1"/>
        <v/>
      </c>
      <c r="N46" t="str">
        <f t="shared" si="2"/>
        <v/>
      </c>
      <c r="O46" t="str">
        <f t="shared" si="3"/>
        <v/>
      </c>
      <c r="P46" t="str">
        <f t="shared" si="4"/>
        <v/>
      </c>
      <c r="Q46" t="str">
        <f t="shared" si="5"/>
        <v/>
      </c>
    </row>
    <row r="47" spans="13:17">
      <c r="M47" t="str">
        <f t="shared" si="1"/>
        <v/>
      </c>
      <c r="N47" t="str">
        <f t="shared" si="2"/>
        <v/>
      </c>
      <c r="O47" t="str">
        <f t="shared" si="3"/>
        <v/>
      </c>
      <c r="P47" t="str">
        <f t="shared" si="4"/>
        <v/>
      </c>
      <c r="Q47" t="str">
        <f t="shared" si="5"/>
        <v/>
      </c>
    </row>
    <row r="48" spans="13:17">
      <c r="M48" t="str">
        <f t="shared" si="1"/>
        <v/>
      </c>
      <c r="N48" t="str">
        <f t="shared" si="2"/>
        <v/>
      </c>
      <c r="O48" t="str">
        <f t="shared" si="3"/>
        <v/>
      </c>
      <c r="P48" t="str">
        <f t="shared" si="4"/>
        <v/>
      </c>
      <c r="Q48" t="str">
        <f t="shared" si="5"/>
        <v/>
      </c>
    </row>
    <row r="49" spans="13:17">
      <c r="M49" t="str">
        <f t="shared" si="1"/>
        <v/>
      </c>
      <c r="N49" t="str">
        <f t="shared" si="2"/>
        <v/>
      </c>
      <c r="O49" t="str">
        <f t="shared" si="3"/>
        <v/>
      </c>
      <c r="P49" t="str">
        <f t="shared" si="4"/>
        <v/>
      </c>
      <c r="Q49" t="str">
        <f t="shared" si="5"/>
        <v/>
      </c>
    </row>
    <row r="50" spans="13:17">
      <c r="M50" t="str">
        <f t="shared" si="1"/>
        <v/>
      </c>
      <c r="N50" t="str">
        <f t="shared" si="2"/>
        <v/>
      </c>
      <c r="O50" t="str">
        <f t="shared" si="3"/>
        <v/>
      </c>
      <c r="P50" t="str">
        <f t="shared" si="4"/>
        <v/>
      </c>
      <c r="Q50" t="str">
        <f t="shared" si="5"/>
        <v/>
      </c>
    </row>
    <row r="51" spans="13:17">
      <c r="M51" t="str">
        <f t="shared" si="1"/>
        <v/>
      </c>
      <c r="N51" t="str">
        <f t="shared" si="2"/>
        <v/>
      </c>
      <c r="O51" t="str">
        <f t="shared" si="3"/>
        <v/>
      </c>
      <c r="P51" t="str">
        <f t="shared" si="4"/>
        <v/>
      </c>
      <c r="Q51" t="str">
        <f t="shared" si="5"/>
        <v/>
      </c>
    </row>
    <row r="52" spans="13:17">
      <c r="M52" t="str">
        <f t="shared" si="1"/>
        <v/>
      </c>
      <c r="N52" t="str">
        <f t="shared" si="2"/>
        <v/>
      </c>
      <c r="O52" t="str">
        <f t="shared" si="3"/>
        <v/>
      </c>
      <c r="P52" t="str">
        <f t="shared" si="4"/>
        <v/>
      </c>
      <c r="Q52" t="str">
        <f t="shared" si="5"/>
        <v/>
      </c>
    </row>
    <row r="53" spans="13:17">
      <c r="M53" t="str">
        <f t="shared" si="1"/>
        <v/>
      </c>
      <c r="N53" t="str">
        <f t="shared" si="2"/>
        <v/>
      </c>
      <c r="O53" t="str">
        <f t="shared" si="3"/>
        <v/>
      </c>
      <c r="P53" t="str">
        <f t="shared" si="4"/>
        <v/>
      </c>
      <c r="Q53" t="str">
        <f t="shared" si="5"/>
        <v/>
      </c>
    </row>
    <row r="54" spans="13:17">
      <c r="M54" t="str">
        <f t="shared" si="1"/>
        <v/>
      </c>
      <c r="N54" t="str">
        <f t="shared" si="2"/>
        <v/>
      </c>
      <c r="O54" t="str">
        <f t="shared" si="3"/>
        <v/>
      </c>
      <c r="P54" t="str">
        <f t="shared" si="4"/>
        <v/>
      </c>
      <c r="Q54" t="str">
        <f t="shared" si="5"/>
        <v/>
      </c>
    </row>
    <row r="55" spans="13:17">
      <c r="M55" t="str">
        <f t="shared" si="1"/>
        <v/>
      </c>
      <c r="N55" t="str">
        <f t="shared" si="2"/>
        <v/>
      </c>
      <c r="O55" t="str">
        <f t="shared" si="3"/>
        <v/>
      </c>
      <c r="P55" t="str">
        <f t="shared" si="4"/>
        <v/>
      </c>
      <c r="Q55" t="str">
        <f t="shared" si="5"/>
        <v/>
      </c>
    </row>
    <row r="56" spans="13:17">
      <c r="M56" t="str">
        <f t="shared" si="1"/>
        <v/>
      </c>
      <c r="N56" t="str">
        <f t="shared" si="2"/>
        <v/>
      </c>
      <c r="O56" t="str">
        <f t="shared" si="3"/>
        <v/>
      </c>
      <c r="P56" t="str">
        <f t="shared" si="4"/>
        <v/>
      </c>
      <c r="Q56" t="str">
        <f t="shared" si="5"/>
        <v/>
      </c>
    </row>
    <row r="57" spans="13:17">
      <c r="M57" t="str">
        <f t="shared" si="1"/>
        <v/>
      </c>
      <c r="N57" t="str">
        <f t="shared" si="2"/>
        <v/>
      </c>
      <c r="O57" t="str">
        <f t="shared" si="3"/>
        <v/>
      </c>
      <c r="P57" t="str">
        <f t="shared" si="4"/>
        <v/>
      </c>
      <c r="Q57" t="str">
        <f t="shared" si="5"/>
        <v/>
      </c>
    </row>
    <row r="58" spans="13:17">
      <c r="M58" t="str">
        <f t="shared" si="1"/>
        <v/>
      </c>
      <c r="N58" t="str">
        <f t="shared" si="2"/>
        <v/>
      </c>
      <c r="O58" t="str">
        <f t="shared" si="3"/>
        <v/>
      </c>
      <c r="P58" t="str">
        <f t="shared" si="4"/>
        <v/>
      </c>
      <c r="Q58" t="str">
        <f t="shared" si="5"/>
        <v/>
      </c>
    </row>
    <row r="59" spans="13:17">
      <c r="M59" t="str">
        <f t="shared" si="1"/>
        <v/>
      </c>
      <c r="N59" t="str">
        <f t="shared" si="2"/>
        <v/>
      </c>
      <c r="O59" t="str">
        <f t="shared" si="3"/>
        <v/>
      </c>
      <c r="P59" t="str">
        <f t="shared" si="4"/>
        <v/>
      </c>
      <c r="Q59" t="str">
        <f t="shared" si="5"/>
        <v/>
      </c>
    </row>
    <row r="60" spans="13:17">
      <c r="M60" t="str">
        <f t="shared" si="1"/>
        <v/>
      </c>
      <c r="N60" t="str">
        <f t="shared" si="2"/>
        <v/>
      </c>
      <c r="O60" t="str">
        <f t="shared" si="3"/>
        <v/>
      </c>
      <c r="P60" t="str">
        <f t="shared" si="4"/>
        <v/>
      </c>
      <c r="Q60" t="str">
        <f t="shared" si="5"/>
        <v/>
      </c>
    </row>
    <row r="61" spans="13:17">
      <c r="M61" t="str">
        <f t="shared" si="1"/>
        <v/>
      </c>
      <c r="N61" t="str">
        <f t="shared" si="2"/>
        <v/>
      </c>
      <c r="O61" t="str">
        <f t="shared" si="3"/>
        <v/>
      </c>
      <c r="P61" t="str">
        <f t="shared" si="4"/>
        <v/>
      </c>
      <c r="Q61" t="str">
        <f t="shared" si="5"/>
        <v/>
      </c>
    </row>
    <row r="62" spans="13:17">
      <c r="M62" t="str">
        <f t="shared" si="1"/>
        <v/>
      </c>
      <c r="N62" t="str">
        <f t="shared" si="2"/>
        <v/>
      </c>
      <c r="O62" t="str">
        <f t="shared" si="3"/>
        <v/>
      </c>
      <c r="P62" t="str">
        <f t="shared" si="4"/>
        <v/>
      </c>
      <c r="Q62" t="str">
        <f t="shared" si="5"/>
        <v/>
      </c>
    </row>
    <row r="63" spans="13:17">
      <c r="M63" t="str">
        <f t="shared" si="1"/>
        <v/>
      </c>
      <c r="N63" t="str">
        <f t="shared" si="2"/>
        <v/>
      </c>
      <c r="O63" t="str">
        <f t="shared" si="3"/>
        <v/>
      </c>
      <c r="P63" t="str">
        <f t="shared" si="4"/>
        <v/>
      </c>
      <c r="Q63" t="str">
        <f t="shared" si="5"/>
        <v/>
      </c>
    </row>
    <row r="64" spans="13:17">
      <c r="M64" t="str">
        <f t="shared" si="1"/>
        <v/>
      </c>
      <c r="N64" t="str">
        <f t="shared" si="2"/>
        <v/>
      </c>
      <c r="O64" t="str">
        <f t="shared" si="3"/>
        <v/>
      </c>
      <c r="P64" t="str">
        <f t="shared" si="4"/>
        <v/>
      </c>
      <c r="Q64" t="str">
        <f t="shared" si="5"/>
        <v/>
      </c>
    </row>
    <row r="65" spans="13:17">
      <c r="M65" t="str">
        <f t="shared" si="1"/>
        <v/>
      </c>
      <c r="N65" t="str">
        <f t="shared" si="2"/>
        <v/>
      </c>
      <c r="O65" t="str">
        <f t="shared" si="3"/>
        <v/>
      </c>
      <c r="P65" t="str">
        <f t="shared" si="4"/>
        <v/>
      </c>
      <c r="Q65" t="str">
        <f t="shared" si="5"/>
        <v/>
      </c>
    </row>
    <row r="66" spans="13:17">
      <c r="M66" t="str">
        <f t="shared" si="1"/>
        <v/>
      </c>
      <c r="N66" t="str">
        <f t="shared" si="2"/>
        <v/>
      </c>
      <c r="O66" t="str">
        <f t="shared" si="3"/>
        <v/>
      </c>
      <c r="P66" t="str">
        <f t="shared" si="4"/>
        <v/>
      </c>
      <c r="Q66" t="str">
        <f t="shared" si="5"/>
        <v/>
      </c>
    </row>
    <row r="67" spans="13:17">
      <c r="M67" t="str">
        <f t="shared" si="1"/>
        <v/>
      </c>
      <c r="N67" t="str">
        <f t="shared" si="2"/>
        <v/>
      </c>
      <c r="O67" t="str">
        <f t="shared" si="3"/>
        <v/>
      </c>
      <c r="P67" t="str">
        <f t="shared" si="4"/>
        <v/>
      </c>
      <c r="Q67" t="str">
        <f t="shared" si="5"/>
        <v/>
      </c>
    </row>
    <row r="68" spans="13:17">
      <c r="M68" t="str">
        <f t="shared" si="1"/>
        <v/>
      </c>
      <c r="N68" t="str">
        <f t="shared" si="2"/>
        <v/>
      </c>
      <c r="O68" t="str">
        <f t="shared" si="3"/>
        <v/>
      </c>
      <c r="P68" t="str">
        <f t="shared" si="4"/>
        <v/>
      </c>
      <c r="Q68" t="str">
        <f t="shared" si="5"/>
        <v/>
      </c>
    </row>
    <row r="69" spans="13:17">
      <c r="M69" t="str">
        <f t="shared" ref="M69:M100" si="6">IF(H69="","",H69)</f>
        <v/>
      </c>
      <c r="N69" t="str">
        <f t="shared" ref="N69:N100" si="7">IF(I69="","",I69)</f>
        <v/>
      </c>
      <c r="O69" t="str">
        <f t="shared" ref="O69:O100" si="8">IF(AND(J69="Buy",J70="Sell",I69=I70),MIN(K69,K70),"")</f>
        <v/>
      </c>
      <c r="P69" t="str">
        <f t="shared" ref="P69:P100" si="9">IF(M69="","",SUMIF(M:M,M69,O:O))</f>
        <v/>
      </c>
      <c r="Q69" t="str">
        <f t="shared" ref="Q69:Q100" si="10">IF(P68=P69,"",P69)</f>
        <v/>
      </c>
    </row>
    <row r="70" spans="13:17">
      <c r="M70" t="str">
        <f t="shared" si="6"/>
        <v/>
      </c>
      <c r="N70" t="str">
        <f t="shared" si="7"/>
        <v/>
      </c>
      <c r="O70" t="str">
        <f t="shared" si="8"/>
        <v/>
      </c>
      <c r="P70" t="str">
        <f t="shared" si="9"/>
        <v/>
      </c>
      <c r="Q70" t="str">
        <f t="shared" si="10"/>
        <v/>
      </c>
    </row>
    <row r="71" spans="13:17">
      <c r="M71" t="str">
        <f t="shared" si="6"/>
        <v/>
      </c>
      <c r="N71" t="str">
        <f t="shared" si="7"/>
        <v/>
      </c>
      <c r="O71" t="str">
        <f t="shared" si="8"/>
        <v/>
      </c>
      <c r="P71" t="str">
        <f t="shared" si="9"/>
        <v/>
      </c>
      <c r="Q71" t="str">
        <f t="shared" si="10"/>
        <v/>
      </c>
    </row>
    <row r="72" spans="13:17">
      <c r="M72" t="str">
        <f t="shared" si="6"/>
        <v/>
      </c>
      <c r="N72" t="str">
        <f t="shared" si="7"/>
        <v/>
      </c>
      <c r="O72" t="str">
        <f t="shared" si="8"/>
        <v/>
      </c>
      <c r="P72" t="str">
        <f t="shared" si="9"/>
        <v/>
      </c>
      <c r="Q72" t="str">
        <f t="shared" si="10"/>
        <v/>
      </c>
    </row>
    <row r="73" spans="13:17">
      <c r="M73" t="str">
        <f t="shared" si="6"/>
        <v/>
      </c>
      <c r="N73" t="str">
        <f t="shared" si="7"/>
        <v/>
      </c>
      <c r="O73" t="str">
        <f t="shared" si="8"/>
        <v/>
      </c>
      <c r="P73" t="str">
        <f t="shared" si="9"/>
        <v/>
      </c>
      <c r="Q73" t="str">
        <f t="shared" si="10"/>
        <v/>
      </c>
    </row>
    <row r="74" spans="13:17">
      <c r="M74" t="str">
        <f t="shared" si="6"/>
        <v/>
      </c>
      <c r="N74" t="str">
        <f t="shared" si="7"/>
        <v/>
      </c>
      <c r="O74" t="str">
        <f t="shared" si="8"/>
        <v/>
      </c>
      <c r="P74" t="str">
        <f t="shared" si="9"/>
        <v/>
      </c>
      <c r="Q74" t="str">
        <f t="shared" si="10"/>
        <v/>
      </c>
    </row>
    <row r="75" spans="13:17">
      <c r="M75" t="str">
        <f t="shared" si="6"/>
        <v/>
      </c>
      <c r="N75" t="str">
        <f t="shared" si="7"/>
        <v/>
      </c>
      <c r="O75" t="str">
        <f t="shared" si="8"/>
        <v/>
      </c>
      <c r="P75" t="str">
        <f t="shared" si="9"/>
        <v/>
      </c>
      <c r="Q75" t="str">
        <f t="shared" si="10"/>
        <v/>
      </c>
    </row>
    <row r="76" spans="13:17">
      <c r="M76" t="str">
        <f t="shared" si="6"/>
        <v/>
      </c>
      <c r="N76" t="str">
        <f t="shared" si="7"/>
        <v/>
      </c>
      <c r="O76" t="str">
        <f t="shared" si="8"/>
        <v/>
      </c>
      <c r="P76" t="str">
        <f t="shared" si="9"/>
        <v/>
      </c>
      <c r="Q76" t="str">
        <f t="shared" si="10"/>
        <v/>
      </c>
    </row>
    <row r="77" spans="13:17">
      <c r="M77" t="str">
        <f t="shared" si="6"/>
        <v/>
      </c>
      <c r="N77" t="str">
        <f t="shared" si="7"/>
        <v/>
      </c>
      <c r="O77" t="str">
        <f t="shared" si="8"/>
        <v/>
      </c>
      <c r="P77" t="str">
        <f t="shared" si="9"/>
        <v/>
      </c>
      <c r="Q77" t="str">
        <f t="shared" si="10"/>
        <v/>
      </c>
    </row>
    <row r="78" spans="13:17">
      <c r="M78" t="str">
        <f t="shared" si="6"/>
        <v/>
      </c>
      <c r="N78" t="str">
        <f t="shared" si="7"/>
        <v/>
      </c>
      <c r="O78" t="str">
        <f t="shared" si="8"/>
        <v/>
      </c>
      <c r="P78" t="str">
        <f t="shared" si="9"/>
        <v/>
      </c>
      <c r="Q78" t="str">
        <f t="shared" si="10"/>
        <v/>
      </c>
    </row>
    <row r="79" spans="13:17">
      <c r="M79" t="str">
        <f t="shared" si="6"/>
        <v/>
      </c>
      <c r="N79" t="str">
        <f t="shared" si="7"/>
        <v/>
      </c>
      <c r="O79" t="str">
        <f t="shared" si="8"/>
        <v/>
      </c>
      <c r="P79" t="str">
        <f t="shared" si="9"/>
        <v/>
      </c>
      <c r="Q79" t="str">
        <f t="shared" si="10"/>
        <v/>
      </c>
    </row>
    <row r="80" spans="13:17">
      <c r="M80" t="str">
        <f t="shared" si="6"/>
        <v/>
      </c>
      <c r="N80" t="str">
        <f t="shared" si="7"/>
        <v/>
      </c>
      <c r="O80" t="str">
        <f t="shared" si="8"/>
        <v/>
      </c>
      <c r="P80" t="str">
        <f t="shared" si="9"/>
        <v/>
      </c>
      <c r="Q80" t="str">
        <f t="shared" si="10"/>
        <v/>
      </c>
    </row>
    <row r="81" spans="13:17">
      <c r="M81" t="str">
        <f t="shared" si="6"/>
        <v/>
      </c>
      <c r="N81" t="str">
        <f t="shared" si="7"/>
        <v/>
      </c>
      <c r="O81" t="str">
        <f t="shared" si="8"/>
        <v/>
      </c>
      <c r="P81" t="str">
        <f t="shared" si="9"/>
        <v/>
      </c>
      <c r="Q81" t="str">
        <f t="shared" si="10"/>
        <v/>
      </c>
    </row>
    <row r="82" spans="13:17">
      <c r="M82" t="str">
        <f t="shared" si="6"/>
        <v/>
      </c>
      <c r="N82" t="str">
        <f t="shared" si="7"/>
        <v/>
      </c>
      <c r="O82" t="str">
        <f t="shared" si="8"/>
        <v/>
      </c>
      <c r="P82" t="str">
        <f t="shared" si="9"/>
        <v/>
      </c>
      <c r="Q82" t="str">
        <f t="shared" si="10"/>
        <v/>
      </c>
    </row>
    <row r="83" spans="13:17">
      <c r="M83" t="str">
        <f t="shared" si="6"/>
        <v/>
      </c>
      <c r="N83" t="str">
        <f t="shared" si="7"/>
        <v/>
      </c>
      <c r="O83" t="str">
        <f t="shared" si="8"/>
        <v/>
      </c>
      <c r="P83" t="str">
        <f t="shared" si="9"/>
        <v/>
      </c>
      <c r="Q83" t="str">
        <f t="shared" si="10"/>
        <v/>
      </c>
    </row>
    <row r="84" spans="13:17">
      <c r="M84" t="str">
        <f t="shared" si="6"/>
        <v/>
      </c>
      <c r="N84" t="str">
        <f t="shared" si="7"/>
        <v/>
      </c>
      <c r="O84" t="str">
        <f t="shared" si="8"/>
        <v/>
      </c>
      <c r="P84" t="str">
        <f t="shared" si="9"/>
        <v/>
      </c>
      <c r="Q84" t="str">
        <f t="shared" si="10"/>
        <v/>
      </c>
    </row>
    <row r="85" spans="13:17">
      <c r="M85" t="str">
        <f t="shared" si="6"/>
        <v/>
      </c>
      <c r="N85" t="str">
        <f t="shared" si="7"/>
        <v/>
      </c>
      <c r="O85" t="str">
        <f t="shared" si="8"/>
        <v/>
      </c>
      <c r="P85" t="str">
        <f t="shared" si="9"/>
        <v/>
      </c>
      <c r="Q85" t="str">
        <f t="shared" si="10"/>
        <v/>
      </c>
    </row>
    <row r="86" spans="13:17">
      <c r="M86" t="str">
        <f t="shared" si="6"/>
        <v/>
      </c>
      <c r="N86" t="str">
        <f t="shared" si="7"/>
        <v/>
      </c>
      <c r="O86" t="str">
        <f t="shared" si="8"/>
        <v/>
      </c>
      <c r="P86" t="str">
        <f t="shared" si="9"/>
        <v/>
      </c>
      <c r="Q86" t="str">
        <f t="shared" si="10"/>
        <v/>
      </c>
    </row>
    <row r="87" spans="13:17">
      <c r="M87" t="str">
        <f t="shared" si="6"/>
        <v/>
      </c>
      <c r="N87" t="str">
        <f t="shared" si="7"/>
        <v/>
      </c>
      <c r="O87" t="str">
        <f t="shared" si="8"/>
        <v/>
      </c>
      <c r="P87" t="str">
        <f t="shared" si="9"/>
        <v/>
      </c>
      <c r="Q87" t="str">
        <f t="shared" si="10"/>
        <v/>
      </c>
    </row>
    <row r="88" spans="13:17">
      <c r="M88" t="str">
        <f t="shared" si="6"/>
        <v/>
      </c>
      <c r="N88" t="str">
        <f t="shared" si="7"/>
        <v/>
      </c>
      <c r="O88" t="str">
        <f t="shared" si="8"/>
        <v/>
      </c>
      <c r="P88" t="str">
        <f t="shared" si="9"/>
        <v/>
      </c>
      <c r="Q88" t="str">
        <f t="shared" si="10"/>
        <v/>
      </c>
    </row>
    <row r="89" spans="13:17">
      <c r="M89" t="str">
        <f t="shared" si="6"/>
        <v/>
      </c>
      <c r="N89" t="str">
        <f t="shared" si="7"/>
        <v/>
      </c>
      <c r="O89" t="str">
        <f t="shared" si="8"/>
        <v/>
      </c>
      <c r="P89" t="str">
        <f t="shared" si="9"/>
        <v/>
      </c>
      <c r="Q89" t="str">
        <f t="shared" si="10"/>
        <v/>
      </c>
    </row>
    <row r="90" spans="13:17">
      <c r="M90" t="str">
        <f t="shared" si="6"/>
        <v/>
      </c>
      <c r="N90" t="str">
        <f t="shared" si="7"/>
        <v/>
      </c>
      <c r="O90" t="str">
        <f t="shared" si="8"/>
        <v/>
      </c>
      <c r="P90" t="str">
        <f t="shared" si="9"/>
        <v/>
      </c>
      <c r="Q90" t="str">
        <f t="shared" si="10"/>
        <v/>
      </c>
    </row>
    <row r="91" spans="13:17">
      <c r="M91" t="str">
        <f t="shared" si="6"/>
        <v/>
      </c>
      <c r="N91" t="str">
        <f t="shared" si="7"/>
        <v/>
      </c>
      <c r="O91" t="str">
        <f t="shared" si="8"/>
        <v/>
      </c>
      <c r="P91" t="str">
        <f t="shared" si="9"/>
        <v/>
      </c>
      <c r="Q91" t="str">
        <f t="shared" si="10"/>
        <v/>
      </c>
    </row>
    <row r="92" spans="13:17">
      <c r="M92" t="str">
        <f t="shared" si="6"/>
        <v/>
      </c>
      <c r="N92" t="str">
        <f t="shared" si="7"/>
        <v/>
      </c>
      <c r="O92" t="str">
        <f t="shared" si="8"/>
        <v/>
      </c>
      <c r="P92" t="str">
        <f t="shared" si="9"/>
        <v/>
      </c>
      <c r="Q92" t="str">
        <f t="shared" si="10"/>
        <v/>
      </c>
    </row>
    <row r="93" spans="13:17">
      <c r="M93" t="str">
        <f t="shared" si="6"/>
        <v/>
      </c>
      <c r="N93" t="str">
        <f t="shared" si="7"/>
        <v/>
      </c>
      <c r="O93" t="str">
        <f t="shared" si="8"/>
        <v/>
      </c>
      <c r="P93" t="str">
        <f t="shared" si="9"/>
        <v/>
      </c>
      <c r="Q93" t="str">
        <f t="shared" si="10"/>
        <v/>
      </c>
    </row>
    <row r="94" spans="13:17">
      <c r="M94" t="str">
        <f t="shared" si="6"/>
        <v/>
      </c>
      <c r="N94" t="str">
        <f t="shared" si="7"/>
        <v/>
      </c>
      <c r="O94" t="str">
        <f t="shared" si="8"/>
        <v/>
      </c>
      <c r="P94" t="str">
        <f t="shared" si="9"/>
        <v/>
      </c>
      <c r="Q94" t="str">
        <f t="shared" si="10"/>
        <v/>
      </c>
    </row>
    <row r="95" spans="13:17">
      <c r="M95" t="str">
        <f t="shared" si="6"/>
        <v/>
      </c>
      <c r="N95" t="str">
        <f t="shared" si="7"/>
        <v/>
      </c>
      <c r="O95" t="str">
        <f t="shared" si="8"/>
        <v/>
      </c>
      <c r="P95" t="str">
        <f t="shared" si="9"/>
        <v/>
      </c>
      <c r="Q95" t="str">
        <f t="shared" si="10"/>
        <v/>
      </c>
    </row>
    <row r="96" spans="13:17">
      <c r="M96" t="str">
        <f t="shared" si="6"/>
        <v/>
      </c>
      <c r="N96" t="str">
        <f t="shared" si="7"/>
        <v/>
      </c>
      <c r="O96" t="str">
        <f t="shared" si="8"/>
        <v/>
      </c>
      <c r="P96" t="str">
        <f t="shared" si="9"/>
        <v/>
      </c>
      <c r="Q96" t="str">
        <f t="shared" si="10"/>
        <v/>
      </c>
    </row>
    <row r="97" spans="13:17">
      <c r="M97" t="str">
        <f t="shared" si="6"/>
        <v/>
      </c>
      <c r="N97" t="str">
        <f t="shared" si="7"/>
        <v/>
      </c>
      <c r="O97" t="str">
        <f t="shared" si="8"/>
        <v/>
      </c>
      <c r="P97" t="str">
        <f t="shared" si="9"/>
        <v/>
      </c>
      <c r="Q97" t="str">
        <f t="shared" si="10"/>
        <v/>
      </c>
    </row>
    <row r="98" spans="13:17">
      <c r="M98" t="str">
        <f t="shared" si="6"/>
        <v/>
      </c>
      <c r="N98" t="str">
        <f t="shared" si="7"/>
        <v/>
      </c>
      <c r="O98" t="str">
        <f t="shared" si="8"/>
        <v/>
      </c>
      <c r="P98" t="str">
        <f t="shared" si="9"/>
        <v/>
      </c>
      <c r="Q98" t="str">
        <f t="shared" si="10"/>
        <v/>
      </c>
    </row>
    <row r="99" spans="13:17">
      <c r="M99" t="str">
        <f t="shared" si="6"/>
        <v/>
      </c>
      <c r="N99" t="str">
        <f t="shared" si="7"/>
        <v/>
      </c>
      <c r="O99" t="str">
        <f t="shared" si="8"/>
        <v/>
      </c>
      <c r="P99" t="str">
        <f t="shared" si="9"/>
        <v/>
      </c>
      <c r="Q99" t="str">
        <f t="shared" si="10"/>
        <v/>
      </c>
    </row>
    <row r="100" spans="13:17">
      <c r="M100" t="str">
        <f t="shared" si="6"/>
        <v/>
      </c>
      <c r="N100" t="str">
        <f t="shared" si="7"/>
        <v/>
      </c>
      <c r="O100" t="str">
        <f t="shared" si="8"/>
        <v/>
      </c>
      <c r="P100" t="str">
        <f t="shared" si="9"/>
        <v/>
      </c>
      <c r="Q100" t="str">
        <f t="shared" si="10"/>
        <v/>
      </c>
    </row>
    <row r="201" spans="1:4">
      <c r="A201" t="s">
        <v>1491</v>
      </c>
      <c r="B201" t="s">
        <v>1492</v>
      </c>
      <c r="C201" t="s">
        <v>1493</v>
      </c>
      <c r="D201" t="s">
        <v>1494</v>
      </c>
    </row>
  </sheetData>
  <phoneticPr fontId="7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CD495-2F35-4E5D-9D8B-774FE9EB6D17}">
  <sheetPr codeName="Sheet11"/>
  <dimension ref="A1:H200"/>
  <sheetViews>
    <sheetView workbookViewId="0">
      <selection activeCell="A2" sqref="A2:H200"/>
    </sheetView>
  </sheetViews>
  <sheetFormatPr defaultRowHeight="15.75"/>
  <cols>
    <col min="1" max="1" width="19.140625" bestFit="1" customWidth="1"/>
    <col min="4" max="4" width="10.140625" bestFit="1" customWidth="1"/>
  </cols>
  <sheetData>
    <row r="1" spans="1:8">
      <c r="B1" t="s">
        <v>1498</v>
      </c>
      <c r="C1" t="s">
        <v>1499</v>
      </c>
      <c r="D1" t="s">
        <v>1416</v>
      </c>
      <c r="E1" t="s">
        <v>1435</v>
      </c>
      <c r="F1" t="s">
        <v>1500</v>
      </c>
      <c r="G1" t="s">
        <v>1418</v>
      </c>
      <c r="H1" t="s">
        <v>1493</v>
      </c>
    </row>
    <row r="2" spans="1:8">
      <c r="A2" t="str">
        <f>IF('ATP Sort'!Q5="","",IF('ATP Sort'!Q5=0,"",'ATP Sort'!M5))</f>
        <v/>
      </c>
      <c r="B2" t="str">
        <f>IF(A2="","","HTA8003")</f>
        <v/>
      </c>
      <c r="C2" t="str">
        <f>IF(A2="","",IF(LEFT(A2,3)="lme","X","F"))</f>
        <v/>
      </c>
      <c r="D2" t="str">
        <f>IF(C2="","",IF(C2="X",MID(A2,5,LEN(A2)-7),IF(C2="F",RIGHT(A2,LEN(A2)-7))))</f>
        <v/>
      </c>
      <c r="E2" t="str">
        <f>IF(A2="","",VLOOKUP(D2,Helper3!$Z$4:$AA$29,2,0))</f>
        <v/>
      </c>
      <c r="F2" t="str">
        <f>IF(C2="","",IF(C2="X","",IF(C2="f",LEFT(A2,1)&amp;MID(A2,3,4))))</f>
        <v/>
      </c>
      <c r="G2" t="str">
        <f>IF(C2="","",IF(C2="X",RIGHT(A2,2),""))</f>
        <v/>
      </c>
      <c r="H2" t="str">
        <f>IF(A2="","",'ATP Sort'!Q5)</f>
        <v/>
      </c>
    </row>
    <row r="3" spans="1:8">
      <c r="A3" t="str">
        <f>IF('ATP Sort'!Q6="","",IF('ATP Sort'!Q6=0,"",'ATP Sort'!M6))</f>
        <v/>
      </c>
      <c r="B3" t="str">
        <f t="shared" ref="B3:B66" si="0">IF(A3="","","HTA8003")</f>
        <v/>
      </c>
      <c r="C3" t="str">
        <f t="shared" ref="C3:C66" si="1">IF(A3="","",IF(LEFT(A3,3)="lme","X","F"))</f>
        <v/>
      </c>
      <c r="D3" t="str">
        <f t="shared" ref="D3:D66" si="2">IF(C3="","",IF(C3="X",MID(A3,5,LEN(A3)-7),IF(C3="F",RIGHT(A3,LEN(A3)-7))))</f>
        <v/>
      </c>
      <c r="E3" t="str">
        <f>IF(A3="","",VLOOKUP(D3,Helper3!$Z$4:$AA$29,2,0))</f>
        <v/>
      </c>
      <c r="F3" t="str">
        <f t="shared" ref="F3:F66" si="3">IF(C3="","",IF(C3="X","",IF(C3="f",LEFT(A3,1)&amp;MID(A3,3,4))))</f>
        <v/>
      </c>
      <c r="G3" t="str">
        <f t="shared" ref="G3:G66" si="4">IF(C3="","",IF(C3="X",RIGHT(A3,2),""))</f>
        <v/>
      </c>
      <c r="H3" t="str">
        <f>IF(A3="","",'ATP Sort'!Q6)</f>
        <v/>
      </c>
    </row>
    <row r="4" spans="1:8">
      <c r="A4" t="str">
        <f>IF('ATP Sort'!Q7="","",IF('ATP Sort'!Q7=0,"",'ATP Sort'!M7))</f>
        <v/>
      </c>
      <c r="B4" t="str">
        <f t="shared" si="0"/>
        <v/>
      </c>
      <c r="C4" t="str">
        <f t="shared" si="1"/>
        <v/>
      </c>
      <c r="D4" t="str">
        <f t="shared" si="2"/>
        <v/>
      </c>
      <c r="E4" t="str">
        <f>IF(A4="","",VLOOKUP(D4,Helper3!$Z$4:$AA$29,2,0))</f>
        <v/>
      </c>
      <c r="F4" t="str">
        <f t="shared" si="3"/>
        <v/>
      </c>
      <c r="G4" t="str">
        <f t="shared" si="4"/>
        <v/>
      </c>
      <c r="H4" t="str">
        <f>IF(A4="","",'ATP Sort'!Q7)</f>
        <v/>
      </c>
    </row>
    <row r="5" spans="1:8">
      <c r="A5" t="str">
        <f>IF('ATP Sort'!Q8="","",IF('ATP Sort'!Q8=0,"",'ATP Sort'!M8))</f>
        <v/>
      </c>
      <c r="B5" t="str">
        <f t="shared" si="0"/>
        <v/>
      </c>
      <c r="C5" t="str">
        <f t="shared" si="1"/>
        <v/>
      </c>
      <c r="D5" t="str">
        <f t="shared" si="2"/>
        <v/>
      </c>
      <c r="E5" t="str">
        <f>IF(A5="","",VLOOKUP(D5,Helper3!$Z$4:$AA$29,2,0))</f>
        <v/>
      </c>
      <c r="F5" t="str">
        <f t="shared" si="3"/>
        <v/>
      </c>
      <c r="G5" t="str">
        <f t="shared" si="4"/>
        <v/>
      </c>
      <c r="H5" t="str">
        <f>IF(A5="","",'ATP Sort'!Q8)</f>
        <v/>
      </c>
    </row>
    <row r="6" spans="1:8">
      <c r="A6" t="str">
        <f>IF('ATP Sort'!Q9="","",IF('ATP Sort'!Q9=0,"",'ATP Sort'!M9))</f>
        <v/>
      </c>
      <c r="B6" t="str">
        <f t="shared" si="0"/>
        <v/>
      </c>
      <c r="C6" t="str">
        <f t="shared" si="1"/>
        <v/>
      </c>
      <c r="D6" t="str">
        <f t="shared" si="2"/>
        <v/>
      </c>
      <c r="E6" t="str">
        <f>IF(A6="","",VLOOKUP(D6,Helper3!$Z$4:$AA$29,2,0))</f>
        <v/>
      </c>
      <c r="F6" t="str">
        <f t="shared" si="3"/>
        <v/>
      </c>
      <c r="G6" t="str">
        <f t="shared" si="4"/>
        <v/>
      </c>
      <c r="H6" t="str">
        <f>IF(A6="","",'ATP Sort'!Q9)</f>
        <v/>
      </c>
    </row>
    <row r="7" spans="1:8">
      <c r="A7" t="str">
        <f>IF('ATP Sort'!Q10="","",IF('ATP Sort'!Q10=0,"",'ATP Sort'!M10))</f>
        <v/>
      </c>
      <c r="B7" t="str">
        <f t="shared" si="0"/>
        <v/>
      </c>
      <c r="C7" t="str">
        <f t="shared" si="1"/>
        <v/>
      </c>
      <c r="D7" t="str">
        <f t="shared" si="2"/>
        <v/>
      </c>
      <c r="E7" t="str">
        <f>IF(A7="","",VLOOKUP(D7,Helper3!$Z$4:$AA$29,2,0))</f>
        <v/>
      </c>
      <c r="F7" t="str">
        <f t="shared" si="3"/>
        <v/>
      </c>
      <c r="G7" t="str">
        <f t="shared" si="4"/>
        <v/>
      </c>
      <c r="H7" t="str">
        <f>IF(A7="","",'ATP Sort'!Q10)</f>
        <v/>
      </c>
    </row>
    <row r="8" spans="1:8">
      <c r="A8" t="str">
        <f>IF('ATP Sort'!Q11="","",IF('ATP Sort'!Q11=0,"",'ATP Sort'!M11))</f>
        <v/>
      </c>
      <c r="B8" t="str">
        <f t="shared" si="0"/>
        <v/>
      </c>
      <c r="C8" t="str">
        <f t="shared" si="1"/>
        <v/>
      </c>
      <c r="D8" t="str">
        <f t="shared" si="2"/>
        <v/>
      </c>
      <c r="E8" t="str">
        <f>IF(A8="","",VLOOKUP(D8,Helper3!$Z$4:$AA$29,2,0))</f>
        <v/>
      </c>
      <c r="F8" t="str">
        <f t="shared" si="3"/>
        <v/>
      </c>
      <c r="G8" t="str">
        <f t="shared" si="4"/>
        <v/>
      </c>
      <c r="H8" t="str">
        <f>IF(A8="","",'ATP Sort'!Q11)</f>
        <v/>
      </c>
    </row>
    <row r="9" spans="1:8">
      <c r="A9" t="str">
        <f>IF('ATP Sort'!Q12="","",IF('ATP Sort'!Q12=0,"",'ATP Sort'!M12))</f>
        <v/>
      </c>
      <c r="B9" t="str">
        <f t="shared" si="0"/>
        <v/>
      </c>
      <c r="C9" t="str">
        <f t="shared" si="1"/>
        <v/>
      </c>
      <c r="D9" t="str">
        <f t="shared" si="2"/>
        <v/>
      </c>
      <c r="E9" t="str">
        <f>IF(A9="","",VLOOKUP(D9,Helper3!$Z$4:$AA$29,2,0))</f>
        <v/>
      </c>
      <c r="F9" t="str">
        <f t="shared" si="3"/>
        <v/>
      </c>
      <c r="G9" t="str">
        <f t="shared" si="4"/>
        <v/>
      </c>
      <c r="H9" t="str">
        <f>IF(A9="","",'ATP Sort'!Q12)</f>
        <v/>
      </c>
    </row>
    <row r="10" spans="1:8">
      <c r="A10" t="str">
        <f>IF('ATP Sort'!Q13="","",IF('ATP Sort'!Q13=0,"",'ATP Sort'!M13))</f>
        <v/>
      </c>
      <c r="B10" t="str">
        <f t="shared" si="0"/>
        <v/>
      </c>
      <c r="C10" t="str">
        <f t="shared" si="1"/>
        <v/>
      </c>
      <c r="D10" t="str">
        <f t="shared" si="2"/>
        <v/>
      </c>
      <c r="E10" t="str">
        <f>IF(A10="","",VLOOKUP(D10,Helper3!$Z$4:$AA$29,2,0))</f>
        <v/>
      </c>
      <c r="F10" t="str">
        <f t="shared" si="3"/>
        <v/>
      </c>
      <c r="G10" t="str">
        <f t="shared" si="4"/>
        <v/>
      </c>
      <c r="H10" t="str">
        <f>IF(A10="","",'ATP Sort'!Q13)</f>
        <v/>
      </c>
    </row>
    <row r="11" spans="1:8">
      <c r="A11" t="str">
        <f>IF('ATP Sort'!Q14="","",IF('ATP Sort'!Q14=0,"",'ATP Sort'!M14))</f>
        <v/>
      </c>
      <c r="B11" t="str">
        <f t="shared" si="0"/>
        <v/>
      </c>
      <c r="C11" t="str">
        <f t="shared" si="1"/>
        <v/>
      </c>
      <c r="D11" t="str">
        <f t="shared" si="2"/>
        <v/>
      </c>
      <c r="E11" t="str">
        <f>IF(A11="","",VLOOKUP(D11,Helper3!$Z$4:$AA$29,2,0))</f>
        <v/>
      </c>
      <c r="F11" t="str">
        <f t="shared" si="3"/>
        <v/>
      </c>
      <c r="G11" t="str">
        <f t="shared" si="4"/>
        <v/>
      </c>
      <c r="H11" t="str">
        <f>IF(A11="","",'ATP Sort'!Q14)</f>
        <v/>
      </c>
    </row>
    <row r="12" spans="1:8">
      <c r="A12" t="str">
        <f>IF('ATP Sort'!Q15="","",IF('ATP Sort'!Q15=0,"",'ATP Sort'!M15))</f>
        <v/>
      </c>
      <c r="B12" t="str">
        <f t="shared" si="0"/>
        <v/>
      </c>
      <c r="C12" t="str">
        <f t="shared" si="1"/>
        <v/>
      </c>
      <c r="D12" t="str">
        <f t="shared" si="2"/>
        <v/>
      </c>
      <c r="E12" t="str">
        <f>IF(A12="","",VLOOKUP(D12,Helper3!$Z$4:$AA$29,2,0))</f>
        <v/>
      </c>
      <c r="F12" t="str">
        <f t="shared" si="3"/>
        <v/>
      </c>
      <c r="G12" t="str">
        <f t="shared" si="4"/>
        <v/>
      </c>
      <c r="H12" t="str">
        <f>IF(A12="","",'ATP Sort'!Q15)</f>
        <v/>
      </c>
    </row>
    <row r="13" spans="1:8">
      <c r="A13" t="str">
        <f>IF('ATP Sort'!Q16="","",IF('ATP Sort'!Q16=0,"",'ATP Sort'!M16))</f>
        <v/>
      </c>
      <c r="B13" t="str">
        <f t="shared" si="0"/>
        <v/>
      </c>
      <c r="C13" t="str">
        <f t="shared" si="1"/>
        <v/>
      </c>
      <c r="D13" t="str">
        <f t="shared" si="2"/>
        <v/>
      </c>
      <c r="E13" t="str">
        <f>IF(A13="","",VLOOKUP(D13,Helper3!$Z$4:$AA$29,2,0))</f>
        <v/>
      </c>
      <c r="F13" t="str">
        <f t="shared" si="3"/>
        <v/>
      </c>
      <c r="G13" t="str">
        <f t="shared" si="4"/>
        <v/>
      </c>
      <c r="H13" t="str">
        <f>IF(A13="","",'ATP Sort'!Q16)</f>
        <v/>
      </c>
    </row>
    <row r="14" spans="1:8">
      <c r="A14" t="str">
        <f>IF('ATP Sort'!Q17="","",IF('ATP Sort'!Q17=0,"",'ATP Sort'!M17))</f>
        <v/>
      </c>
      <c r="B14" t="str">
        <f t="shared" si="0"/>
        <v/>
      </c>
      <c r="C14" t="str">
        <f t="shared" si="1"/>
        <v/>
      </c>
      <c r="D14" t="str">
        <f t="shared" si="2"/>
        <v/>
      </c>
      <c r="E14" t="str">
        <f>IF(A14="","",VLOOKUP(D14,Helper3!$Z$4:$AA$29,2,0))</f>
        <v/>
      </c>
      <c r="F14" t="str">
        <f t="shared" si="3"/>
        <v/>
      </c>
      <c r="G14" t="str">
        <f t="shared" si="4"/>
        <v/>
      </c>
      <c r="H14" t="str">
        <f>IF(A14="","",'ATP Sort'!Q17)</f>
        <v/>
      </c>
    </row>
    <row r="15" spans="1:8">
      <c r="A15" t="str">
        <f>IF('ATP Sort'!Q18="","",IF('ATP Sort'!Q18=0,"",'ATP Sort'!M18))</f>
        <v/>
      </c>
      <c r="B15" t="str">
        <f t="shared" si="0"/>
        <v/>
      </c>
      <c r="C15" t="str">
        <f t="shared" si="1"/>
        <v/>
      </c>
      <c r="D15" t="str">
        <f t="shared" si="2"/>
        <v/>
      </c>
      <c r="E15" t="str">
        <f>IF(A15="","",VLOOKUP(D15,Helper3!$Z$4:$AA$29,2,0))</f>
        <v/>
      </c>
      <c r="F15" t="str">
        <f t="shared" si="3"/>
        <v/>
      </c>
      <c r="G15" t="str">
        <f t="shared" si="4"/>
        <v/>
      </c>
      <c r="H15" t="str">
        <f>IF(A15="","",'ATP Sort'!Q18)</f>
        <v/>
      </c>
    </row>
    <row r="16" spans="1:8">
      <c r="A16" t="str">
        <f>IF('ATP Sort'!Q19="","",IF('ATP Sort'!Q19=0,"",'ATP Sort'!M19))</f>
        <v/>
      </c>
      <c r="B16" t="str">
        <f t="shared" si="0"/>
        <v/>
      </c>
      <c r="C16" t="str">
        <f t="shared" si="1"/>
        <v/>
      </c>
      <c r="D16" t="str">
        <f t="shared" si="2"/>
        <v/>
      </c>
      <c r="E16" t="str">
        <f>IF(A16="","",VLOOKUP(D16,Helper3!$Z$4:$AA$29,2,0))</f>
        <v/>
      </c>
      <c r="F16" t="str">
        <f t="shared" si="3"/>
        <v/>
      </c>
      <c r="G16" t="str">
        <f t="shared" si="4"/>
        <v/>
      </c>
      <c r="H16" t="str">
        <f>IF(A16="","",'ATP Sort'!Q19)</f>
        <v/>
      </c>
    </row>
    <row r="17" spans="1:8">
      <c r="A17" t="str">
        <f>IF('ATP Sort'!Q20="","",IF('ATP Sort'!Q20=0,"",'ATP Sort'!M20))</f>
        <v/>
      </c>
      <c r="B17" t="str">
        <f t="shared" si="0"/>
        <v/>
      </c>
      <c r="C17" t="str">
        <f t="shared" si="1"/>
        <v/>
      </c>
      <c r="D17" t="str">
        <f t="shared" si="2"/>
        <v/>
      </c>
      <c r="E17" t="str">
        <f>IF(A17="","",VLOOKUP(D17,Helper3!$Z$4:$AA$29,2,0))</f>
        <v/>
      </c>
      <c r="F17" t="str">
        <f t="shared" si="3"/>
        <v/>
      </c>
      <c r="G17" t="str">
        <f t="shared" si="4"/>
        <v/>
      </c>
      <c r="H17" t="str">
        <f>IF(A17="","",'ATP Sort'!Q20)</f>
        <v/>
      </c>
    </row>
    <row r="18" spans="1:8">
      <c r="A18" t="str">
        <f>IF('ATP Sort'!Q21="","",IF('ATP Sort'!Q21=0,"",'ATP Sort'!M21))</f>
        <v/>
      </c>
      <c r="B18" t="str">
        <f t="shared" si="0"/>
        <v/>
      </c>
      <c r="C18" t="str">
        <f t="shared" si="1"/>
        <v/>
      </c>
      <c r="D18" t="str">
        <f t="shared" si="2"/>
        <v/>
      </c>
      <c r="E18" t="str">
        <f>IF(A18="","",VLOOKUP(D18,Helper3!$Z$4:$AA$29,2,0))</f>
        <v/>
      </c>
      <c r="F18" t="str">
        <f t="shared" si="3"/>
        <v/>
      </c>
      <c r="G18" t="str">
        <f t="shared" si="4"/>
        <v/>
      </c>
      <c r="H18" t="str">
        <f>IF(A18="","",'ATP Sort'!Q21)</f>
        <v/>
      </c>
    </row>
    <row r="19" spans="1:8">
      <c r="A19" t="str">
        <f>IF('ATP Sort'!Q22="","",IF('ATP Sort'!Q22=0,"",'ATP Sort'!M22))</f>
        <v/>
      </c>
      <c r="B19" t="str">
        <f t="shared" si="0"/>
        <v/>
      </c>
      <c r="C19" t="str">
        <f t="shared" si="1"/>
        <v/>
      </c>
      <c r="D19" t="str">
        <f t="shared" si="2"/>
        <v/>
      </c>
      <c r="E19" t="str">
        <f>IF(A19="","",VLOOKUP(D19,Helper3!$Z$4:$AA$29,2,0))</f>
        <v/>
      </c>
      <c r="F19" t="str">
        <f t="shared" si="3"/>
        <v/>
      </c>
      <c r="G19" t="str">
        <f t="shared" si="4"/>
        <v/>
      </c>
      <c r="H19" t="str">
        <f>IF(A19="","",'ATP Sort'!Q22)</f>
        <v/>
      </c>
    </row>
    <row r="20" spans="1:8">
      <c r="A20" t="str">
        <f>IF('ATP Sort'!Q23="","",IF('ATP Sort'!Q23=0,"",'ATP Sort'!M23))</f>
        <v/>
      </c>
      <c r="B20" t="str">
        <f t="shared" si="0"/>
        <v/>
      </c>
      <c r="C20" t="str">
        <f t="shared" si="1"/>
        <v/>
      </c>
      <c r="D20" t="str">
        <f t="shared" si="2"/>
        <v/>
      </c>
      <c r="E20" t="str">
        <f>IF(A20="","",VLOOKUP(D20,Helper3!$Z$4:$AA$29,2,0))</f>
        <v/>
      </c>
      <c r="F20" t="str">
        <f t="shared" si="3"/>
        <v/>
      </c>
      <c r="G20" t="str">
        <f t="shared" si="4"/>
        <v/>
      </c>
      <c r="H20" t="str">
        <f>IF(A20="","",'ATP Sort'!Q23)</f>
        <v/>
      </c>
    </row>
    <row r="21" spans="1:8">
      <c r="A21" t="str">
        <f>IF('ATP Sort'!Q24="","",IF('ATP Sort'!Q24=0,"",'ATP Sort'!M24))</f>
        <v/>
      </c>
      <c r="B21" t="str">
        <f t="shared" si="0"/>
        <v/>
      </c>
      <c r="C21" t="str">
        <f t="shared" si="1"/>
        <v/>
      </c>
      <c r="D21" t="str">
        <f t="shared" si="2"/>
        <v/>
      </c>
      <c r="E21" t="str">
        <f>IF(A21="","",VLOOKUP(D21,Helper3!$Z$4:$AA$29,2,0))</f>
        <v/>
      </c>
      <c r="F21" t="str">
        <f t="shared" si="3"/>
        <v/>
      </c>
      <c r="G21" t="str">
        <f t="shared" si="4"/>
        <v/>
      </c>
      <c r="H21" t="str">
        <f>IF(A21="","",'ATP Sort'!Q24)</f>
        <v/>
      </c>
    </row>
    <row r="22" spans="1:8">
      <c r="A22" t="str">
        <f>IF('ATP Sort'!Q25="","",IF('ATP Sort'!Q25=0,"",'ATP Sort'!M25))</f>
        <v/>
      </c>
      <c r="B22" t="str">
        <f t="shared" si="0"/>
        <v/>
      </c>
      <c r="C22" t="str">
        <f t="shared" si="1"/>
        <v/>
      </c>
      <c r="D22" t="str">
        <f t="shared" si="2"/>
        <v/>
      </c>
      <c r="E22" t="str">
        <f>IF(A22="","",VLOOKUP(D22,Helper3!$Z$4:$AA$29,2,0))</f>
        <v/>
      </c>
      <c r="F22" t="str">
        <f t="shared" si="3"/>
        <v/>
      </c>
      <c r="G22" t="str">
        <f t="shared" si="4"/>
        <v/>
      </c>
      <c r="H22" t="str">
        <f>IF(A22="","",'ATP Sort'!Q25)</f>
        <v/>
      </c>
    </row>
    <row r="23" spans="1:8">
      <c r="A23" t="str">
        <f>IF('ATP Sort'!Q26="","",IF('ATP Sort'!Q26=0,"",'ATP Sort'!M26))</f>
        <v/>
      </c>
      <c r="B23" t="str">
        <f t="shared" si="0"/>
        <v/>
      </c>
      <c r="C23" t="str">
        <f t="shared" si="1"/>
        <v/>
      </c>
      <c r="D23" t="str">
        <f t="shared" si="2"/>
        <v/>
      </c>
      <c r="E23" t="str">
        <f>IF(A23="","",VLOOKUP(D23,Helper3!$Z$4:$AA$29,2,0))</f>
        <v/>
      </c>
      <c r="F23" t="str">
        <f t="shared" si="3"/>
        <v/>
      </c>
      <c r="G23" t="str">
        <f t="shared" si="4"/>
        <v/>
      </c>
      <c r="H23" t="str">
        <f>IF(A23="","",'ATP Sort'!Q26)</f>
        <v/>
      </c>
    </row>
    <row r="24" spans="1:8">
      <c r="A24" t="str">
        <f>IF('ATP Sort'!Q27="","",IF('ATP Sort'!Q27=0,"",'ATP Sort'!M27))</f>
        <v/>
      </c>
      <c r="B24" t="str">
        <f t="shared" si="0"/>
        <v/>
      </c>
      <c r="C24" t="str">
        <f t="shared" si="1"/>
        <v/>
      </c>
      <c r="D24" t="str">
        <f t="shared" si="2"/>
        <v/>
      </c>
      <c r="E24" t="str">
        <f>IF(A24="","",VLOOKUP(D24,Helper3!$Z$4:$AA$29,2,0))</f>
        <v/>
      </c>
      <c r="F24" t="str">
        <f t="shared" si="3"/>
        <v/>
      </c>
      <c r="G24" t="str">
        <f t="shared" si="4"/>
        <v/>
      </c>
      <c r="H24" t="str">
        <f>IF(A24="","",'ATP Sort'!Q27)</f>
        <v/>
      </c>
    </row>
    <row r="25" spans="1:8">
      <c r="A25" t="str">
        <f>IF('ATP Sort'!Q28="","",IF('ATP Sort'!Q28=0,"",'ATP Sort'!M28))</f>
        <v/>
      </c>
      <c r="B25" t="str">
        <f t="shared" si="0"/>
        <v/>
      </c>
      <c r="C25" t="str">
        <f t="shared" si="1"/>
        <v/>
      </c>
      <c r="D25" t="str">
        <f t="shared" si="2"/>
        <v/>
      </c>
      <c r="E25" t="str">
        <f>IF(A25="","",VLOOKUP(D25,Helper3!$Z$4:$AA$29,2,0))</f>
        <v/>
      </c>
      <c r="F25" t="str">
        <f t="shared" si="3"/>
        <v/>
      </c>
      <c r="G25" t="str">
        <f t="shared" si="4"/>
        <v/>
      </c>
      <c r="H25" t="str">
        <f>IF(A25="","",'ATP Sort'!Q28)</f>
        <v/>
      </c>
    </row>
    <row r="26" spans="1:8">
      <c r="A26" t="str">
        <f>IF('ATP Sort'!Q29="","",IF('ATP Sort'!Q29=0,"",'ATP Sort'!M29))</f>
        <v/>
      </c>
      <c r="B26" t="str">
        <f t="shared" si="0"/>
        <v/>
      </c>
      <c r="C26" t="str">
        <f t="shared" si="1"/>
        <v/>
      </c>
      <c r="D26" t="str">
        <f t="shared" si="2"/>
        <v/>
      </c>
      <c r="E26" t="str">
        <f>IF(A26="","",VLOOKUP(D26,Helper3!$Z$4:$AA$29,2,0))</f>
        <v/>
      </c>
      <c r="F26" t="str">
        <f t="shared" si="3"/>
        <v/>
      </c>
      <c r="G26" t="str">
        <f t="shared" si="4"/>
        <v/>
      </c>
      <c r="H26" t="str">
        <f>IF(A26="","",'ATP Sort'!Q29)</f>
        <v/>
      </c>
    </row>
    <row r="27" spans="1:8">
      <c r="A27" t="str">
        <f>IF('ATP Sort'!Q30="","",IF('ATP Sort'!Q30=0,"",'ATP Sort'!M30))</f>
        <v/>
      </c>
      <c r="B27" t="str">
        <f t="shared" si="0"/>
        <v/>
      </c>
      <c r="C27" t="str">
        <f t="shared" si="1"/>
        <v/>
      </c>
      <c r="D27" t="str">
        <f t="shared" si="2"/>
        <v/>
      </c>
      <c r="E27" t="str">
        <f>IF(A27="","",VLOOKUP(D27,Helper3!$Z$4:$AA$29,2,0))</f>
        <v/>
      </c>
      <c r="F27" t="str">
        <f t="shared" si="3"/>
        <v/>
      </c>
      <c r="G27" t="str">
        <f t="shared" si="4"/>
        <v/>
      </c>
      <c r="H27" t="str">
        <f>IF(A27="","",'ATP Sort'!Q30)</f>
        <v/>
      </c>
    </row>
    <row r="28" spans="1:8">
      <c r="A28" t="str">
        <f>IF('ATP Sort'!Q31="","",IF('ATP Sort'!Q31=0,"",'ATP Sort'!M31))</f>
        <v/>
      </c>
      <c r="B28" t="str">
        <f t="shared" si="0"/>
        <v/>
      </c>
      <c r="C28" t="str">
        <f t="shared" si="1"/>
        <v/>
      </c>
      <c r="D28" t="str">
        <f t="shared" si="2"/>
        <v/>
      </c>
      <c r="E28" t="str">
        <f>IF(A28="","",VLOOKUP(D28,Helper3!$Z$4:$AA$29,2,0))</f>
        <v/>
      </c>
      <c r="F28" t="str">
        <f t="shared" si="3"/>
        <v/>
      </c>
      <c r="G28" t="str">
        <f t="shared" si="4"/>
        <v/>
      </c>
      <c r="H28" t="str">
        <f>IF(A28="","",'ATP Sort'!Q31)</f>
        <v/>
      </c>
    </row>
    <row r="29" spans="1:8">
      <c r="A29" t="str">
        <f>IF('ATP Sort'!Q32="","",IF('ATP Sort'!Q32=0,"",'ATP Sort'!M32))</f>
        <v/>
      </c>
      <c r="B29" t="str">
        <f t="shared" si="0"/>
        <v/>
      </c>
      <c r="C29" t="str">
        <f t="shared" si="1"/>
        <v/>
      </c>
      <c r="D29" t="str">
        <f t="shared" si="2"/>
        <v/>
      </c>
      <c r="E29" t="str">
        <f>IF(A29="","",VLOOKUP(D29,Helper3!$Z$4:$AA$29,2,0))</f>
        <v/>
      </c>
      <c r="F29" t="str">
        <f t="shared" si="3"/>
        <v/>
      </c>
      <c r="G29" t="str">
        <f t="shared" si="4"/>
        <v/>
      </c>
      <c r="H29" t="str">
        <f>IF(A29="","",'ATP Sort'!Q32)</f>
        <v/>
      </c>
    </row>
    <row r="30" spans="1:8">
      <c r="A30" t="str">
        <f>IF('ATP Sort'!Q33="","",IF('ATP Sort'!Q33=0,"",'ATP Sort'!M33))</f>
        <v/>
      </c>
      <c r="B30" t="str">
        <f t="shared" si="0"/>
        <v/>
      </c>
      <c r="C30" t="str">
        <f t="shared" si="1"/>
        <v/>
      </c>
      <c r="D30" t="str">
        <f t="shared" si="2"/>
        <v/>
      </c>
      <c r="E30" t="str">
        <f>IF(A30="","",VLOOKUP(D30,Helper3!$Z$4:$AA$29,2,0))</f>
        <v/>
      </c>
      <c r="F30" t="str">
        <f t="shared" si="3"/>
        <v/>
      </c>
      <c r="G30" t="str">
        <f t="shared" si="4"/>
        <v/>
      </c>
      <c r="H30" t="str">
        <f>IF(A30="","",'ATP Sort'!Q33)</f>
        <v/>
      </c>
    </row>
    <row r="31" spans="1:8">
      <c r="A31" t="str">
        <f>IF('ATP Sort'!Q34="","",IF('ATP Sort'!Q34=0,"",'ATP Sort'!M34))</f>
        <v/>
      </c>
      <c r="B31" t="str">
        <f t="shared" si="0"/>
        <v/>
      </c>
      <c r="C31" t="str">
        <f t="shared" si="1"/>
        <v/>
      </c>
      <c r="D31" t="str">
        <f t="shared" si="2"/>
        <v/>
      </c>
      <c r="E31" t="str">
        <f>IF(A31="","",VLOOKUP(D31,Helper3!$Z$4:$AA$29,2,0))</f>
        <v/>
      </c>
      <c r="F31" t="str">
        <f t="shared" si="3"/>
        <v/>
      </c>
      <c r="G31" t="str">
        <f t="shared" si="4"/>
        <v/>
      </c>
      <c r="H31" t="str">
        <f>IF(A31="","",'ATP Sort'!Q34)</f>
        <v/>
      </c>
    </row>
    <row r="32" spans="1:8">
      <c r="A32" t="str">
        <f>IF('ATP Sort'!Q35="","",IF('ATP Sort'!Q35=0,"",'ATP Sort'!M35))</f>
        <v/>
      </c>
      <c r="B32" t="str">
        <f t="shared" si="0"/>
        <v/>
      </c>
      <c r="C32" t="str">
        <f t="shared" si="1"/>
        <v/>
      </c>
      <c r="D32" t="str">
        <f t="shared" si="2"/>
        <v/>
      </c>
      <c r="E32" t="str">
        <f>IF(A32="","",VLOOKUP(D32,Helper3!$Z$4:$AA$29,2,0))</f>
        <v/>
      </c>
      <c r="F32" t="str">
        <f t="shared" si="3"/>
        <v/>
      </c>
      <c r="G32" t="str">
        <f t="shared" si="4"/>
        <v/>
      </c>
      <c r="H32" t="str">
        <f>IF(A32="","",'ATP Sort'!Q35)</f>
        <v/>
      </c>
    </row>
    <row r="33" spans="1:8">
      <c r="A33" t="str">
        <f>IF('ATP Sort'!Q36="","",IF('ATP Sort'!Q36=0,"",'ATP Sort'!M36))</f>
        <v/>
      </c>
      <c r="B33" t="str">
        <f t="shared" si="0"/>
        <v/>
      </c>
      <c r="C33" t="str">
        <f t="shared" si="1"/>
        <v/>
      </c>
      <c r="D33" t="str">
        <f t="shared" si="2"/>
        <v/>
      </c>
      <c r="E33" t="str">
        <f>IF(A33="","",VLOOKUP(D33,Helper3!$Z$4:$AA$29,2,0))</f>
        <v/>
      </c>
      <c r="F33" t="str">
        <f t="shared" si="3"/>
        <v/>
      </c>
      <c r="G33" t="str">
        <f t="shared" si="4"/>
        <v/>
      </c>
      <c r="H33" t="str">
        <f>IF(A33="","",'ATP Sort'!Q36)</f>
        <v/>
      </c>
    </row>
    <row r="34" spans="1:8">
      <c r="A34" t="str">
        <f>IF('ATP Sort'!Q37="","",IF('ATP Sort'!Q37=0,"",'ATP Sort'!M37))</f>
        <v/>
      </c>
      <c r="B34" t="str">
        <f t="shared" si="0"/>
        <v/>
      </c>
      <c r="C34" t="str">
        <f t="shared" si="1"/>
        <v/>
      </c>
      <c r="D34" t="str">
        <f t="shared" si="2"/>
        <v/>
      </c>
      <c r="E34" t="str">
        <f>IF(A34="","",VLOOKUP(D34,Helper3!$Z$4:$AA$29,2,0))</f>
        <v/>
      </c>
      <c r="F34" t="str">
        <f t="shared" si="3"/>
        <v/>
      </c>
      <c r="G34" t="str">
        <f t="shared" si="4"/>
        <v/>
      </c>
      <c r="H34" t="str">
        <f>IF(A34="","",'ATP Sort'!Q37)</f>
        <v/>
      </c>
    </row>
    <row r="35" spans="1:8">
      <c r="A35" t="str">
        <f>IF('ATP Sort'!Q38="","",IF('ATP Sort'!Q38=0,"",'ATP Sort'!M38))</f>
        <v/>
      </c>
      <c r="B35" t="str">
        <f t="shared" si="0"/>
        <v/>
      </c>
      <c r="C35" t="str">
        <f t="shared" si="1"/>
        <v/>
      </c>
      <c r="D35" t="str">
        <f t="shared" si="2"/>
        <v/>
      </c>
      <c r="E35" t="str">
        <f>IF(A35="","",VLOOKUP(D35,Helper3!$Z$4:$AA$29,2,0))</f>
        <v/>
      </c>
      <c r="F35" t="str">
        <f t="shared" si="3"/>
        <v/>
      </c>
      <c r="G35" t="str">
        <f t="shared" si="4"/>
        <v/>
      </c>
      <c r="H35" t="str">
        <f>IF(A35="","",'ATP Sort'!Q38)</f>
        <v/>
      </c>
    </row>
    <row r="36" spans="1:8">
      <c r="A36" t="str">
        <f>IF('ATP Sort'!Q39="","",IF('ATP Sort'!Q39=0,"",'ATP Sort'!M39))</f>
        <v/>
      </c>
      <c r="B36" t="str">
        <f t="shared" si="0"/>
        <v/>
      </c>
      <c r="C36" t="str">
        <f t="shared" si="1"/>
        <v/>
      </c>
      <c r="D36" t="str">
        <f t="shared" si="2"/>
        <v/>
      </c>
      <c r="E36" t="str">
        <f>IF(A36="","",VLOOKUP(D36,Helper3!$Z$4:$AA$29,2,0))</f>
        <v/>
      </c>
      <c r="F36" t="str">
        <f t="shared" si="3"/>
        <v/>
      </c>
      <c r="G36" t="str">
        <f t="shared" si="4"/>
        <v/>
      </c>
      <c r="H36" t="str">
        <f>IF(A36="","",'ATP Sort'!Q39)</f>
        <v/>
      </c>
    </row>
    <row r="37" spans="1:8">
      <c r="A37" t="str">
        <f>IF('ATP Sort'!Q40="","",IF('ATP Sort'!Q40=0,"",'ATP Sort'!M40))</f>
        <v/>
      </c>
      <c r="B37" t="str">
        <f t="shared" si="0"/>
        <v/>
      </c>
      <c r="C37" t="str">
        <f t="shared" si="1"/>
        <v/>
      </c>
      <c r="D37" t="str">
        <f t="shared" si="2"/>
        <v/>
      </c>
      <c r="E37" t="str">
        <f>IF(A37="","",VLOOKUP(D37,Helper3!$Z$4:$AA$29,2,0))</f>
        <v/>
      </c>
      <c r="F37" t="str">
        <f t="shared" si="3"/>
        <v/>
      </c>
      <c r="G37" t="str">
        <f t="shared" si="4"/>
        <v/>
      </c>
      <c r="H37" t="str">
        <f>IF(A37="","",'ATP Sort'!Q40)</f>
        <v/>
      </c>
    </row>
    <row r="38" spans="1:8">
      <c r="A38" t="str">
        <f>IF('ATP Sort'!Q41="","",IF('ATP Sort'!Q41=0,"",'ATP Sort'!M41))</f>
        <v/>
      </c>
      <c r="B38" t="str">
        <f t="shared" si="0"/>
        <v/>
      </c>
      <c r="C38" t="str">
        <f t="shared" si="1"/>
        <v/>
      </c>
      <c r="D38" t="str">
        <f t="shared" si="2"/>
        <v/>
      </c>
      <c r="E38" t="str">
        <f>IF(A38="","",VLOOKUP(D38,Helper3!$Z$4:$AA$29,2,0))</f>
        <v/>
      </c>
      <c r="F38" t="str">
        <f t="shared" si="3"/>
        <v/>
      </c>
      <c r="G38" t="str">
        <f t="shared" si="4"/>
        <v/>
      </c>
      <c r="H38" t="str">
        <f>IF(A38="","",'ATP Sort'!Q41)</f>
        <v/>
      </c>
    </row>
    <row r="39" spans="1:8">
      <c r="A39" t="str">
        <f>IF('ATP Sort'!Q42="","",IF('ATP Sort'!Q42=0,"",'ATP Sort'!M42))</f>
        <v/>
      </c>
      <c r="B39" t="str">
        <f t="shared" si="0"/>
        <v/>
      </c>
      <c r="C39" t="str">
        <f t="shared" si="1"/>
        <v/>
      </c>
      <c r="D39" t="str">
        <f t="shared" si="2"/>
        <v/>
      </c>
      <c r="E39" t="str">
        <f>IF(A39="","",VLOOKUP(D39,Helper3!$Z$4:$AA$29,2,0))</f>
        <v/>
      </c>
      <c r="F39" t="str">
        <f t="shared" si="3"/>
        <v/>
      </c>
      <c r="G39" t="str">
        <f t="shared" si="4"/>
        <v/>
      </c>
      <c r="H39" t="str">
        <f>IF(A39="","",'ATP Sort'!Q42)</f>
        <v/>
      </c>
    </row>
    <row r="40" spans="1:8">
      <c r="A40" t="str">
        <f>IF('ATP Sort'!Q43="","",IF('ATP Sort'!Q43=0,"",'ATP Sort'!M43))</f>
        <v/>
      </c>
      <c r="B40" t="str">
        <f t="shared" si="0"/>
        <v/>
      </c>
      <c r="C40" t="str">
        <f t="shared" si="1"/>
        <v/>
      </c>
      <c r="D40" t="str">
        <f t="shared" si="2"/>
        <v/>
      </c>
      <c r="E40" t="str">
        <f>IF(A40="","",VLOOKUP(D40,Helper3!$Z$4:$AA$29,2,0))</f>
        <v/>
      </c>
      <c r="F40" t="str">
        <f t="shared" si="3"/>
        <v/>
      </c>
      <c r="G40" t="str">
        <f t="shared" si="4"/>
        <v/>
      </c>
      <c r="H40" t="str">
        <f>IF(A40="","",'ATP Sort'!Q43)</f>
        <v/>
      </c>
    </row>
    <row r="41" spans="1:8">
      <c r="A41" t="str">
        <f>IF('ATP Sort'!Q44="","",IF('ATP Sort'!Q44=0,"",'ATP Sort'!M44))</f>
        <v/>
      </c>
      <c r="B41" t="str">
        <f t="shared" si="0"/>
        <v/>
      </c>
      <c r="C41" t="str">
        <f t="shared" si="1"/>
        <v/>
      </c>
      <c r="D41" t="str">
        <f t="shared" si="2"/>
        <v/>
      </c>
      <c r="E41" t="str">
        <f>IF(A41="","",VLOOKUP(D41,Helper3!$Z$4:$AA$29,2,0))</f>
        <v/>
      </c>
      <c r="F41" t="str">
        <f t="shared" si="3"/>
        <v/>
      </c>
      <c r="G41" t="str">
        <f t="shared" si="4"/>
        <v/>
      </c>
      <c r="H41" t="str">
        <f>IF(A41="","",'ATP Sort'!Q44)</f>
        <v/>
      </c>
    </row>
    <row r="42" spans="1:8">
      <c r="A42" t="str">
        <f>IF('ATP Sort'!Q45="","",IF('ATP Sort'!Q45=0,"",'ATP Sort'!M45))</f>
        <v/>
      </c>
      <c r="B42" t="str">
        <f t="shared" si="0"/>
        <v/>
      </c>
      <c r="C42" t="str">
        <f t="shared" si="1"/>
        <v/>
      </c>
      <c r="D42" t="str">
        <f t="shared" si="2"/>
        <v/>
      </c>
      <c r="E42" t="str">
        <f>IF(A42="","",VLOOKUP(D42,Helper3!$Z$4:$AA$29,2,0))</f>
        <v/>
      </c>
      <c r="F42" t="str">
        <f t="shared" si="3"/>
        <v/>
      </c>
      <c r="G42" t="str">
        <f t="shared" si="4"/>
        <v/>
      </c>
      <c r="H42" t="str">
        <f>IF(A42="","",'ATP Sort'!Q45)</f>
        <v/>
      </c>
    </row>
    <row r="43" spans="1:8">
      <c r="A43" t="str">
        <f>IF('ATP Sort'!Q46="","",IF('ATP Sort'!Q46=0,"",'ATP Sort'!M46))</f>
        <v/>
      </c>
      <c r="B43" t="str">
        <f t="shared" si="0"/>
        <v/>
      </c>
      <c r="C43" t="str">
        <f t="shared" si="1"/>
        <v/>
      </c>
      <c r="D43" t="str">
        <f t="shared" si="2"/>
        <v/>
      </c>
      <c r="E43" t="str">
        <f>IF(A43="","",VLOOKUP(D43,Helper3!$Z$4:$AA$29,2,0))</f>
        <v/>
      </c>
      <c r="F43" t="str">
        <f t="shared" si="3"/>
        <v/>
      </c>
      <c r="G43" t="str">
        <f t="shared" si="4"/>
        <v/>
      </c>
      <c r="H43" t="str">
        <f>IF(A43="","",'ATP Sort'!Q46)</f>
        <v/>
      </c>
    </row>
    <row r="44" spans="1:8">
      <c r="A44" t="str">
        <f>IF('ATP Sort'!Q47="","",IF('ATP Sort'!Q47=0,"",'ATP Sort'!M47))</f>
        <v/>
      </c>
      <c r="B44" t="str">
        <f t="shared" si="0"/>
        <v/>
      </c>
      <c r="C44" t="str">
        <f t="shared" si="1"/>
        <v/>
      </c>
      <c r="D44" t="str">
        <f t="shared" si="2"/>
        <v/>
      </c>
      <c r="E44" t="str">
        <f>IF(A44="","",VLOOKUP(D44,Helper3!$Z$4:$AA$29,2,0))</f>
        <v/>
      </c>
      <c r="F44" t="str">
        <f t="shared" si="3"/>
        <v/>
      </c>
      <c r="G44" t="str">
        <f t="shared" si="4"/>
        <v/>
      </c>
      <c r="H44" t="str">
        <f>IF(A44="","",'ATP Sort'!Q47)</f>
        <v/>
      </c>
    </row>
    <row r="45" spans="1:8">
      <c r="A45" t="str">
        <f>IF('ATP Sort'!Q48="","",IF('ATP Sort'!Q48=0,"",'ATP Sort'!M48))</f>
        <v/>
      </c>
      <c r="B45" t="str">
        <f t="shared" si="0"/>
        <v/>
      </c>
      <c r="C45" t="str">
        <f t="shared" si="1"/>
        <v/>
      </c>
      <c r="D45" t="str">
        <f t="shared" si="2"/>
        <v/>
      </c>
      <c r="E45" t="str">
        <f>IF(A45="","",VLOOKUP(D45,Helper3!$Z$4:$AA$29,2,0))</f>
        <v/>
      </c>
      <c r="F45" t="str">
        <f t="shared" si="3"/>
        <v/>
      </c>
      <c r="G45" t="str">
        <f t="shared" si="4"/>
        <v/>
      </c>
      <c r="H45" t="str">
        <f>IF(A45="","",'ATP Sort'!Q48)</f>
        <v/>
      </c>
    </row>
    <row r="46" spans="1:8">
      <c r="A46" t="str">
        <f>IF('ATP Sort'!Q49="","",IF('ATP Sort'!Q49=0,"",'ATP Sort'!M49))</f>
        <v/>
      </c>
      <c r="B46" t="str">
        <f t="shared" si="0"/>
        <v/>
      </c>
      <c r="C46" t="str">
        <f t="shared" si="1"/>
        <v/>
      </c>
      <c r="D46" t="str">
        <f t="shared" si="2"/>
        <v/>
      </c>
      <c r="E46" t="str">
        <f>IF(A46="","",VLOOKUP(D46,Helper3!$Z$4:$AA$29,2,0))</f>
        <v/>
      </c>
      <c r="F46" t="str">
        <f t="shared" si="3"/>
        <v/>
      </c>
      <c r="G46" t="str">
        <f t="shared" si="4"/>
        <v/>
      </c>
      <c r="H46" t="str">
        <f>IF(A46="","",'ATP Sort'!Q49)</f>
        <v/>
      </c>
    </row>
    <row r="47" spans="1:8">
      <c r="A47" t="str">
        <f>IF('ATP Sort'!Q50="","",IF('ATP Sort'!Q50=0,"",'ATP Sort'!M50))</f>
        <v/>
      </c>
      <c r="B47" t="str">
        <f t="shared" si="0"/>
        <v/>
      </c>
      <c r="C47" t="str">
        <f t="shared" si="1"/>
        <v/>
      </c>
      <c r="D47" t="str">
        <f t="shared" si="2"/>
        <v/>
      </c>
      <c r="E47" t="str">
        <f>IF(A47="","",VLOOKUP(D47,Helper3!$Z$4:$AA$29,2,0))</f>
        <v/>
      </c>
      <c r="F47" t="str">
        <f t="shared" si="3"/>
        <v/>
      </c>
      <c r="G47" t="str">
        <f t="shared" si="4"/>
        <v/>
      </c>
      <c r="H47" t="str">
        <f>IF(A47="","",'ATP Sort'!Q50)</f>
        <v/>
      </c>
    </row>
    <row r="48" spans="1:8">
      <c r="A48" t="str">
        <f>IF('ATP Sort'!Q51="","",IF('ATP Sort'!Q51=0,"",'ATP Sort'!M51))</f>
        <v/>
      </c>
      <c r="B48" t="str">
        <f t="shared" si="0"/>
        <v/>
      </c>
      <c r="C48" t="str">
        <f t="shared" si="1"/>
        <v/>
      </c>
      <c r="D48" t="str">
        <f t="shared" si="2"/>
        <v/>
      </c>
      <c r="E48" t="str">
        <f>IF(A48="","",VLOOKUP(D48,Helper3!$Z$4:$AA$29,2,0))</f>
        <v/>
      </c>
      <c r="F48" t="str">
        <f t="shared" si="3"/>
        <v/>
      </c>
      <c r="G48" t="str">
        <f t="shared" si="4"/>
        <v/>
      </c>
      <c r="H48" t="str">
        <f>IF(A48="","",'ATP Sort'!Q51)</f>
        <v/>
      </c>
    </row>
    <row r="49" spans="1:8">
      <c r="A49" t="str">
        <f>IF('ATP Sort'!Q52="","",IF('ATP Sort'!Q52=0,"",'ATP Sort'!M52))</f>
        <v/>
      </c>
      <c r="B49" t="str">
        <f t="shared" si="0"/>
        <v/>
      </c>
      <c r="C49" t="str">
        <f t="shared" si="1"/>
        <v/>
      </c>
      <c r="D49" t="str">
        <f t="shared" si="2"/>
        <v/>
      </c>
      <c r="E49" t="str">
        <f>IF(A49="","",VLOOKUP(D49,Helper3!$Z$4:$AA$29,2,0))</f>
        <v/>
      </c>
      <c r="F49" t="str">
        <f t="shared" si="3"/>
        <v/>
      </c>
      <c r="G49" t="str">
        <f t="shared" si="4"/>
        <v/>
      </c>
      <c r="H49" t="str">
        <f>IF(A49="","",'ATP Sort'!Q52)</f>
        <v/>
      </c>
    </row>
    <row r="50" spans="1:8">
      <c r="A50" t="str">
        <f>IF('ATP Sort'!Q53="","",IF('ATP Sort'!Q53=0,"",'ATP Sort'!M53))</f>
        <v/>
      </c>
      <c r="B50" t="str">
        <f t="shared" si="0"/>
        <v/>
      </c>
      <c r="C50" t="str">
        <f t="shared" si="1"/>
        <v/>
      </c>
      <c r="D50" t="str">
        <f t="shared" si="2"/>
        <v/>
      </c>
      <c r="E50" t="str">
        <f>IF(A50="","",VLOOKUP(D50,Helper3!$Z$4:$AA$29,2,0))</f>
        <v/>
      </c>
      <c r="F50" t="str">
        <f t="shared" si="3"/>
        <v/>
      </c>
      <c r="G50" t="str">
        <f t="shared" si="4"/>
        <v/>
      </c>
      <c r="H50" t="str">
        <f>IF(A50="","",'ATP Sort'!Q53)</f>
        <v/>
      </c>
    </row>
    <row r="51" spans="1:8">
      <c r="A51" t="str">
        <f>IF('ATP Sort'!Q54="","",IF('ATP Sort'!Q54=0,"",'ATP Sort'!M54))</f>
        <v/>
      </c>
      <c r="B51" t="str">
        <f t="shared" si="0"/>
        <v/>
      </c>
      <c r="C51" t="str">
        <f t="shared" si="1"/>
        <v/>
      </c>
      <c r="D51" t="str">
        <f t="shared" si="2"/>
        <v/>
      </c>
      <c r="E51" t="str">
        <f>IF(A51="","",VLOOKUP(D51,Helper3!$Z$4:$AA$29,2,0))</f>
        <v/>
      </c>
      <c r="F51" t="str">
        <f t="shared" si="3"/>
        <v/>
      </c>
      <c r="G51" t="str">
        <f t="shared" si="4"/>
        <v/>
      </c>
      <c r="H51" t="str">
        <f>IF(A51="","",'ATP Sort'!Q54)</f>
        <v/>
      </c>
    </row>
    <row r="52" spans="1:8">
      <c r="A52" t="str">
        <f>IF('ATP Sort'!Q55="","",IF('ATP Sort'!Q55=0,"",'ATP Sort'!M55))</f>
        <v/>
      </c>
      <c r="B52" t="str">
        <f t="shared" si="0"/>
        <v/>
      </c>
      <c r="C52" t="str">
        <f t="shared" si="1"/>
        <v/>
      </c>
      <c r="D52" t="str">
        <f t="shared" si="2"/>
        <v/>
      </c>
      <c r="E52" t="str">
        <f>IF(A52="","",VLOOKUP(D52,Helper3!$Z$4:$AA$29,2,0))</f>
        <v/>
      </c>
      <c r="F52" t="str">
        <f t="shared" si="3"/>
        <v/>
      </c>
      <c r="G52" t="str">
        <f t="shared" si="4"/>
        <v/>
      </c>
      <c r="H52" t="str">
        <f>IF(A52="","",'ATP Sort'!Q55)</f>
        <v/>
      </c>
    </row>
    <row r="53" spans="1:8">
      <c r="A53" t="str">
        <f>IF('ATP Sort'!Q56="","",IF('ATP Sort'!Q56=0,"",'ATP Sort'!M56))</f>
        <v/>
      </c>
      <c r="B53" t="str">
        <f t="shared" si="0"/>
        <v/>
      </c>
      <c r="C53" t="str">
        <f t="shared" si="1"/>
        <v/>
      </c>
      <c r="D53" t="str">
        <f t="shared" si="2"/>
        <v/>
      </c>
      <c r="E53" t="str">
        <f>IF(A53="","",VLOOKUP(D53,Helper3!$Z$4:$AA$29,2,0))</f>
        <v/>
      </c>
      <c r="F53" t="str">
        <f t="shared" si="3"/>
        <v/>
      </c>
      <c r="G53" t="str">
        <f t="shared" si="4"/>
        <v/>
      </c>
      <c r="H53" t="str">
        <f>IF(A53="","",'ATP Sort'!Q56)</f>
        <v/>
      </c>
    </row>
    <row r="54" spans="1:8">
      <c r="A54" t="str">
        <f>IF('ATP Sort'!Q57="","",IF('ATP Sort'!Q57=0,"",'ATP Sort'!M57))</f>
        <v/>
      </c>
      <c r="B54" t="str">
        <f t="shared" si="0"/>
        <v/>
      </c>
      <c r="C54" t="str">
        <f t="shared" si="1"/>
        <v/>
      </c>
      <c r="D54" t="str">
        <f t="shared" si="2"/>
        <v/>
      </c>
      <c r="E54" t="str">
        <f>IF(A54="","",VLOOKUP(D54,Helper3!$Z$4:$AA$29,2,0))</f>
        <v/>
      </c>
      <c r="F54" t="str">
        <f t="shared" si="3"/>
        <v/>
      </c>
      <c r="G54" t="str">
        <f t="shared" si="4"/>
        <v/>
      </c>
      <c r="H54" t="str">
        <f>IF(A54="","",'ATP Sort'!Q57)</f>
        <v/>
      </c>
    </row>
    <row r="55" spans="1:8">
      <c r="A55" t="str">
        <f>IF('ATP Sort'!Q58="","",IF('ATP Sort'!Q58=0,"",'ATP Sort'!M58))</f>
        <v/>
      </c>
      <c r="B55" t="str">
        <f t="shared" si="0"/>
        <v/>
      </c>
      <c r="C55" t="str">
        <f t="shared" si="1"/>
        <v/>
      </c>
      <c r="D55" t="str">
        <f t="shared" si="2"/>
        <v/>
      </c>
      <c r="E55" t="str">
        <f>IF(A55="","",VLOOKUP(D55,Helper3!$Z$4:$AA$29,2,0))</f>
        <v/>
      </c>
      <c r="F55" t="str">
        <f t="shared" si="3"/>
        <v/>
      </c>
      <c r="G55" t="str">
        <f t="shared" si="4"/>
        <v/>
      </c>
      <c r="H55" t="str">
        <f>IF(A55="","",'ATP Sort'!Q58)</f>
        <v/>
      </c>
    </row>
    <row r="56" spans="1:8">
      <c r="A56" t="str">
        <f>IF('ATP Sort'!Q59="","",IF('ATP Sort'!Q59=0,"",'ATP Sort'!M59))</f>
        <v/>
      </c>
      <c r="B56" t="str">
        <f t="shared" si="0"/>
        <v/>
      </c>
      <c r="C56" t="str">
        <f t="shared" si="1"/>
        <v/>
      </c>
      <c r="D56" t="str">
        <f t="shared" si="2"/>
        <v/>
      </c>
      <c r="E56" t="str">
        <f>IF(A56="","",VLOOKUP(D56,Helper3!$Z$4:$AA$29,2,0))</f>
        <v/>
      </c>
      <c r="F56" t="str">
        <f t="shared" si="3"/>
        <v/>
      </c>
      <c r="G56" t="str">
        <f t="shared" si="4"/>
        <v/>
      </c>
      <c r="H56" t="str">
        <f>IF(A56="","",'ATP Sort'!Q59)</f>
        <v/>
      </c>
    </row>
    <row r="57" spans="1:8">
      <c r="A57" t="str">
        <f>IF('ATP Sort'!Q60="","",IF('ATP Sort'!Q60=0,"",'ATP Sort'!M60))</f>
        <v/>
      </c>
      <c r="B57" t="str">
        <f t="shared" si="0"/>
        <v/>
      </c>
      <c r="C57" t="str">
        <f t="shared" si="1"/>
        <v/>
      </c>
      <c r="D57" t="str">
        <f t="shared" si="2"/>
        <v/>
      </c>
      <c r="E57" t="str">
        <f>IF(A57="","",VLOOKUP(D57,Helper3!$Z$4:$AA$29,2,0))</f>
        <v/>
      </c>
      <c r="F57" t="str">
        <f t="shared" si="3"/>
        <v/>
      </c>
      <c r="G57" t="str">
        <f t="shared" si="4"/>
        <v/>
      </c>
      <c r="H57" t="str">
        <f>IF(A57="","",'ATP Sort'!Q60)</f>
        <v/>
      </c>
    </row>
    <row r="58" spans="1:8">
      <c r="A58" t="str">
        <f>IF('ATP Sort'!Q61="","",IF('ATP Sort'!Q61=0,"",'ATP Sort'!M61))</f>
        <v/>
      </c>
      <c r="B58" t="str">
        <f t="shared" si="0"/>
        <v/>
      </c>
      <c r="C58" t="str">
        <f t="shared" si="1"/>
        <v/>
      </c>
      <c r="D58" t="str">
        <f t="shared" si="2"/>
        <v/>
      </c>
      <c r="E58" t="str">
        <f>IF(A58="","",VLOOKUP(D58,Helper3!$Z$4:$AA$29,2,0))</f>
        <v/>
      </c>
      <c r="F58" t="str">
        <f t="shared" si="3"/>
        <v/>
      </c>
      <c r="G58" t="str">
        <f t="shared" si="4"/>
        <v/>
      </c>
      <c r="H58" t="str">
        <f>IF(A58="","",'ATP Sort'!Q61)</f>
        <v/>
      </c>
    </row>
    <row r="59" spans="1:8">
      <c r="A59" t="str">
        <f>IF('ATP Sort'!Q62="","",IF('ATP Sort'!Q62=0,"",'ATP Sort'!M62))</f>
        <v/>
      </c>
      <c r="B59" t="str">
        <f t="shared" si="0"/>
        <v/>
      </c>
      <c r="C59" t="str">
        <f t="shared" si="1"/>
        <v/>
      </c>
      <c r="D59" t="str">
        <f t="shared" si="2"/>
        <v/>
      </c>
      <c r="E59" t="str">
        <f>IF(A59="","",VLOOKUP(D59,Helper3!$Z$4:$AA$29,2,0))</f>
        <v/>
      </c>
      <c r="F59" t="str">
        <f t="shared" si="3"/>
        <v/>
      </c>
      <c r="G59" t="str">
        <f t="shared" si="4"/>
        <v/>
      </c>
      <c r="H59" t="str">
        <f>IF(A59="","",'ATP Sort'!Q62)</f>
        <v/>
      </c>
    </row>
    <row r="60" spans="1:8">
      <c r="A60" t="str">
        <f>IF('ATP Sort'!Q63="","",IF('ATP Sort'!Q63=0,"",'ATP Sort'!M63))</f>
        <v/>
      </c>
      <c r="B60" t="str">
        <f t="shared" si="0"/>
        <v/>
      </c>
      <c r="C60" t="str">
        <f t="shared" si="1"/>
        <v/>
      </c>
      <c r="D60" t="str">
        <f t="shared" si="2"/>
        <v/>
      </c>
      <c r="E60" t="str">
        <f>IF(A60="","",VLOOKUP(D60,Helper3!$Z$4:$AA$29,2,0))</f>
        <v/>
      </c>
      <c r="F60" t="str">
        <f t="shared" si="3"/>
        <v/>
      </c>
      <c r="G60" t="str">
        <f t="shared" si="4"/>
        <v/>
      </c>
      <c r="H60" t="str">
        <f>IF(A60="","",'ATP Sort'!Q63)</f>
        <v/>
      </c>
    </row>
    <row r="61" spans="1:8">
      <c r="A61" t="str">
        <f>IF('ATP Sort'!Q64="","",IF('ATP Sort'!Q64=0,"",'ATP Sort'!M64))</f>
        <v/>
      </c>
      <c r="B61" t="str">
        <f t="shared" si="0"/>
        <v/>
      </c>
      <c r="C61" t="str">
        <f t="shared" si="1"/>
        <v/>
      </c>
      <c r="D61" t="str">
        <f t="shared" si="2"/>
        <v/>
      </c>
      <c r="E61" t="str">
        <f>IF(A61="","",VLOOKUP(D61,Helper3!$Z$4:$AA$29,2,0))</f>
        <v/>
      </c>
      <c r="F61" t="str">
        <f t="shared" si="3"/>
        <v/>
      </c>
      <c r="G61" t="str">
        <f t="shared" si="4"/>
        <v/>
      </c>
      <c r="H61" t="str">
        <f>IF(A61="","",'ATP Sort'!Q64)</f>
        <v/>
      </c>
    </row>
    <row r="62" spans="1:8">
      <c r="A62" t="str">
        <f>IF('ATP Sort'!Q65="","",IF('ATP Sort'!Q65=0,"",'ATP Sort'!M65))</f>
        <v/>
      </c>
      <c r="B62" t="str">
        <f t="shared" si="0"/>
        <v/>
      </c>
      <c r="C62" t="str">
        <f t="shared" si="1"/>
        <v/>
      </c>
      <c r="D62" t="str">
        <f t="shared" si="2"/>
        <v/>
      </c>
      <c r="E62" t="str">
        <f>IF(A62="","",VLOOKUP(D62,Helper3!$Z$4:$AA$29,2,0))</f>
        <v/>
      </c>
      <c r="F62" t="str">
        <f t="shared" si="3"/>
        <v/>
      </c>
      <c r="G62" t="str">
        <f t="shared" si="4"/>
        <v/>
      </c>
      <c r="H62" t="str">
        <f>IF(A62="","",'ATP Sort'!Q65)</f>
        <v/>
      </c>
    </row>
    <row r="63" spans="1:8">
      <c r="A63" t="str">
        <f>IF('ATP Sort'!Q66="","",IF('ATP Sort'!Q66=0,"",'ATP Sort'!M66))</f>
        <v/>
      </c>
      <c r="B63" t="str">
        <f t="shared" si="0"/>
        <v/>
      </c>
      <c r="C63" t="str">
        <f t="shared" si="1"/>
        <v/>
      </c>
      <c r="D63" t="str">
        <f t="shared" si="2"/>
        <v/>
      </c>
      <c r="E63" t="str">
        <f>IF(A63="","",VLOOKUP(D63,Helper3!$Z$4:$AA$29,2,0))</f>
        <v/>
      </c>
      <c r="F63" t="str">
        <f t="shared" si="3"/>
        <v/>
      </c>
      <c r="G63" t="str">
        <f t="shared" si="4"/>
        <v/>
      </c>
      <c r="H63" t="str">
        <f>IF(A63="","",'ATP Sort'!Q66)</f>
        <v/>
      </c>
    </row>
    <row r="64" spans="1:8">
      <c r="A64" t="str">
        <f>IF('ATP Sort'!Q67="","",IF('ATP Sort'!Q67=0,"",'ATP Sort'!M67))</f>
        <v/>
      </c>
      <c r="B64" t="str">
        <f t="shared" si="0"/>
        <v/>
      </c>
      <c r="C64" t="str">
        <f t="shared" si="1"/>
        <v/>
      </c>
      <c r="D64" t="str">
        <f t="shared" si="2"/>
        <v/>
      </c>
      <c r="E64" t="str">
        <f>IF(A64="","",VLOOKUP(D64,Helper3!$Z$4:$AA$29,2,0))</f>
        <v/>
      </c>
      <c r="F64" t="str">
        <f t="shared" si="3"/>
        <v/>
      </c>
      <c r="G64" t="str">
        <f t="shared" si="4"/>
        <v/>
      </c>
      <c r="H64" t="str">
        <f>IF(A64="","",'ATP Sort'!Q67)</f>
        <v/>
      </c>
    </row>
    <row r="65" spans="1:8">
      <c r="A65" t="str">
        <f>IF('ATP Sort'!Q68="","",IF('ATP Sort'!Q68=0,"",'ATP Sort'!M68))</f>
        <v/>
      </c>
      <c r="B65" t="str">
        <f t="shared" si="0"/>
        <v/>
      </c>
      <c r="C65" t="str">
        <f t="shared" si="1"/>
        <v/>
      </c>
      <c r="D65" t="str">
        <f t="shared" si="2"/>
        <v/>
      </c>
      <c r="E65" t="str">
        <f>IF(A65="","",VLOOKUP(D65,Helper3!$Z$4:$AA$29,2,0))</f>
        <v/>
      </c>
      <c r="F65" t="str">
        <f t="shared" si="3"/>
        <v/>
      </c>
      <c r="G65" t="str">
        <f t="shared" si="4"/>
        <v/>
      </c>
      <c r="H65" t="str">
        <f>IF(A65="","",'ATP Sort'!Q68)</f>
        <v/>
      </c>
    </row>
    <row r="66" spans="1:8">
      <c r="A66" t="str">
        <f>IF('ATP Sort'!Q69="","",IF('ATP Sort'!Q69=0,"",'ATP Sort'!M69))</f>
        <v/>
      </c>
      <c r="B66" t="str">
        <f t="shared" si="0"/>
        <v/>
      </c>
      <c r="C66" t="str">
        <f t="shared" si="1"/>
        <v/>
      </c>
      <c r="D66" t="str">
        <f t="shared" si="2"/>
        <v/>
      </c>
      <c r="E66" t="str">
        <f>IF(A66="","",VLOOKUP(D66,Helper3!$Z$4:$AA$29,2,0))</f>
        <v/>
      </c>
      <c r="F66" t="str">
        <f t="shared" si="3"/>
        <v/>
      </c>
      <c r="G66" t="str">
        <f t="shared" si="4"/>
        <v/>
      </c>
      <c r="H66" t="str">
        <f>IF(A66="","",'ATP Sort'!Q69)</f>
        <v/>
      </c>
    </row>
    <row r="67" spans="1:8">
      <c r="A67" t="str">
        <f>IF('ATP Sort'!Q70="","",IF('ATP Sort'!Q70=0,"",'ATP Sort'!M70))</f>
        <v/>
      </c>
      <c r="B67" t="str">
        <f t="shared" ref="B67:B130" si="5">IF(A67="","","HTA8003")</f>
        <v/>
      </c>
      <c r="C67" t="str">
        <f t="shared" ref="C67:C130" si="6">IF(A67="","",IF(LEFT(A67,3)="lme","X","F"))</f>
        <v/>
      </c>
      <c r="D67" t="str">
        <f t="shared" ref="D67:D130" si="7">IF(C67="","",IF(C67="X",MID(A67,5,LEN(A67)-7),IF(C67="F",RIGHT(A67,LEN(A67)-7))))</f>
        <v/>
      </c>
      <c r="E67" t="str">
        <f>IF(A67="","",VLOOKUP(D67,Helper3!$Z$4:$AA$29,2,0))</f>
        <v/>
      </c>
      <c r="F67" t="str">
        <f t="shared" ref="F67:F130" si="8">IF(C67="","",IF(C67="X","",IF(C67="f",LEFT(A67,1)&amp;MID(A67,3,4))))</f>
        <v/>
      </c>
      <c r="G67" t="str">
        <f t="shared" ref="G67:G130" si="9">IF(C67="","",IF(C67="X",RIGHT(A67,2),""))</f>
        <v/>
      </c>
      <c r="H67" t="str">
        <f>IF(A67="","",'ATP Sort'!Q70)</f>
        <v/>
      </c>
    </row>
    <row r="68" spans="1:8">
      <c r="A68" t="str">
        <f>IF('ATP Sort'!Q71="","",IF('ATP Sort'!Q71=0,"",'ATP Sort'!M71))</f>
        <v/>
      </c>
      <c r="B68" t="str">
        <f t="shared" si="5"/>
        <v/>
      </c>
      <c r="C68" t="str">
        <f t="shared" si="6"/>
        <v/>
      </c>
      <c r="D68" t="str">
        <f t="shared" si="7"/>
        <v/>
      </c>
      <c r="E68" t="str">
        <f>IF(A68="","",VLOOKUP(D68,Helper3!$Z$4:$AA$29,2,0))</f>
        <v/>
      </c>
      <c r="F68" t="str">
        <f t="shared" si="8"/>
        <v/>
      </c>
      <c r="G68" t="str">
        <f t="shared" si="9"/>
        <v/>
      </c>
      <c r="H68" t="str">
        <f>IF(A68="","",'ATP Sort'!Q71)</f>
        <v/>
      </c>
    </row>
    <row r="69" spans="1:8">
      <c r="A69" t="str">
        <f>IF('ATP Sort'!Q72="","",IF('ATP Sort'!Q72=0,"",'ATP Sort'!M72))</f>
        <v/>
      </c>
      <c r="B69" t="str">
        <f t="shared" si="5"/>
        <v/>
      </c>
      <c r="C69" t="str">
        <f t="shared" si="6"/>
        <v/>
      </c>
      <c r="D69" t="str">
        <f t="shared" si="7"/>
        <v/>
      </c>
      <c r="E69" t="str">
        <f>IF(A69="","",VLOOKUP(D69,Helper3!$Z$4:$AA$29,2,0))</f>
        <v/>
      </c>
      <c r="F69" t="str">
        <f t="shared" si="8"/>
        <v/>
      </c>
      <c r="G69" t="str">
        <f t="shared" si="9"/>
        <v/>
      </c>
      <c r="H69" t="str">
        <f>IF(A69="","",'ATP Sort'!Q72)</f>
        <v/>
      </c>
    </row>
    <row r="70" spans="1:8">
      <c r="A70" t="str">
        <f>IF('ATP Sort'!Q73="","",IF('ATP Sort'!Q73=0,"",'ATP Sort'!M73))</f>
        <v/>
      </c>
      <c r="B70" t="str">
        <f t="shared" si="5"/>
        <v/>
      </c>
      <c r="C70" t="str">
        <f t="shared" si="6"/>
        <v/>
      </c>
      <c r="D70" t="str">
        <f t="shared" si="7"/>
        <v/>
      </c>
      <c r="E70" t="str">
        <f>IF(A70="","",VLOOKUP(D70,Helper3!$Z$4:$AA$29,2,0))</f>
        <v/>
      </c>
      <c r="F70" t="str">
        <f t="shared" si="8"/>
        <v/>
      </c>
      <c r="G70" t="str">
        <f t="shared" si="9"/>
        <v/>
      </c>
      <c r="H70" t="str">
        <f>IF(A70="","",'ATP Sort'!Q73)</f>
        <v/>
      </c>
    </row>
    <row r="71" spans="1:8">
      <c r="A71" t="str">
        <f>IF('ATP Sort'!Q74="","",IF('ATP Sort'!Q74=0,"",'ATP Sort'!M74))</f>
        <v/>
      </c>
      <c r="B71" t="str">
        <f t="shared" si="5"/>
        <v/>
      </c>
      <c r="C71" t="str">
        <f t="shared" si="6"/>
        <v/>
      </c>
      <c r="D71" t="str">
        <f t="shared" si="7"/>
        <v/>
      </c>
      <c r="E71" t="str">
        <f>IF(A71="","",VLOOKUP(D71,Helper3!$Z$4:$AA$29,2,0))</f>
        <v/>
      </c>
      <c r="F71" t="str">
        <f t="shared" si="8"/>
        <v/>
      </c>
      <c r="G71" t="str">
        <f t="shared" si="9"/>
        <v/>
      </c>
      <c r="H71" t="str">
        <f>IF(A71="","",'ATP Sort'!Q74)</f>
        <v/>
      </c>
    </row>
    <row r="72" spans="1:8">
      <c r="A72" t="str">
        <f>IF('ATP Sort'!Q75="","",IF('ATP Sort'!Q75=0,"",'ATP Sort'!M75))</f>
        <v/>
      </c>
      <c r="B72" t="str">
        <f t="shared" si="5"/>
        <v/>
      </c>
      <c r="C72" t="str">
        <f t="shared" si="6"/>
        <v/>
      </c>
      <c r="D72" t="str">
        <f t="shared" si="7"/>
        <v/>
      </c>
      <c r="E72" t="str">
        <f>IF(A72="","",VLOOKUP(D72,Helper3!$Z$4:$AA$29,2,0))</f>
        <v/>
      </c>
      <c r="F72" t="str">
        <f t="shared" si="8"/>
        <v/>
      </c>
      <c r="G72" t="str">
        <f t="shared" si="9"/>
        <v/>
      </c>
      <c r="H72" t="str">
        <f>IF(A72="","",'ATP Sort'!Q75)</f>
        <v/>
      </c>
    </row>
    <row r="73" spans="1:8">
      <c r="A73" t="str">
        <f>IF('ATP Sort'!Q76="","",IF('ATP Sort'!Q76=0,"",'ATP Sort'!M76))</f>
        <v/>
      </c>
      <c r="B73" t="str">
        <f t="shared" si="5"/>
        <v/>
      </c>
      <c r="C73" t="str">
        <f t="shared" si="6"/>
        <v/>
      </c>
      <c r="D73" t="str">
        <f t="shared" si="7"/>
        <v/>
      </c>
      <c r="E73" t="str">
        <f>IF(A73="","",VLOOKUP(D73,Helper3!$Z$4:$AA$29,2,0))</f>
        <v/>
      </c>
      <c r="F73" t="str">
        <f t="shared" si="8"/>
        <v/>
      </c>
      <c r="G73" t="str">
        <f t="shared" si="9"/>
        <v/>
      </c>
      <c r="H73" t="str">
        <f>IF(A73="","",'ATP Sort'!Q76)</f>
        <v/>
      </c>
    </row>
    <row r="74" spans="1:8">
      <c r="A74" t="str">
        <f>IF('ATP Sort'!Q77="","",IF('ATP Sort'!Q77=0,"",'ATP Sort'!M77))</f>
        <v/>
      </c>
      <c r="B74" t="str">
        <f t="shared" si="5"/>
        <v/>
      </c>
      <c r="C74" t="str">
        <f t="shared" si="6"/>
        <v/>
      </c>
      <c r="D74" t="str">
        <f t="shared" si="7"/>
        <v/>
      </c>
      <c r="E74" t="str">
        <f>IF(A74="","",VLOOKUP(D74,Helper3!$Z$4:$AA$29,2,0))</f>
        <v/>
      </c>
      <c r="F74" t="str">
        <f t="shared" si="8"/>
        <v/>
      </c>
      <c r="G74" t="str">
        <f t="shared" si="9"/>
        <v/>
      </c>
      <c r="H74" t="str">
        <f>IF(A74="","",'ATP Sort'!Q77)</f>
        <v/>
      </c>
    </row>
    <row r="75" spans="1:8">
      <c r="A75" t="str">
        <f>IF('ATP Sort'!Q78="","",IF('ATP Sort'!Q78=0,"",'ATP Sort'!M78))</f>
        <v/>
      </c>
      <c r="B75" t="str">
        <f t="shared" si="5"/>
        <v/>
      </c>
      <c r="C75" t="str">
        <f t="shared" si="6"/>
        <v/>
      </c>
      <c r="D75" t="str">
        <f t="shared" si="7"/>
        <v/>
      </c>
      <c r="E75" t="str">
        <f>IF(A75="","",VLOOKUP(D75,Helper3!$Z$4:$AA$29,2,0))</f>
        <v/>
      </c>
      <c r="F75" t="str">
        <f t="shared" si="8"/>
        <v/>
      </c>
      <c r="G75" t="str">
        <f t="shared" si="9"/>
        <v/>
      </c>
      <c r="H75" t="str">
        <f>IF(A75="","",'ATP Sort'!Q78)</f>
        <v/>
      </c>
    </row>
    <row r="76" spans="1:8">
      <c r="A76" t="str">
        <f>IF('ATP Sort'!Q79="","",IF('ATP Sort'!Q79=0,"",'ATP Sort'!M79))</f>
        <v/>
      </c>
      <c r="B76" t="str">
        <f t="shared" si="5"/>
        <v/>
      </c>
      <c r="C76" t="str">
        <f t="shared" si="6"/>
        <v/>
      </c>
      <c r="D76" t="str">
        <f t="shared" si="7"/>
        <v/>
      </c>
      <c r="E76" t="str">
        <f>IF(A76="","",VLOOKUP(D76,Helper3!$Z$4:$AA$29,2,0))</f>
        <v/>
      </c>
      <c r="F76" t="str">
        <f t="shared" si="8"/>
        <v/>
      </c>
      <c r="G76" t="str">
        <f t="shared" si="9"/>
        <v/>
      </c>
      <c r="H76" t="str">
        <f>IF(A76="","",'ATP Sort'!Q79)</f>
        <v/>
      </c>
    </row>
    <row r="77" spans="1:8">
      <c r="A77" t="str">
        <f>IF('ATP Sort'!Q80="","",IF('ATP Sort'!Q80=0,"",'ATP Sort'!M80))</f>
        <v/>
      </c>
      <c r="B77" t="str">
        <f t="shared" si="5"/>
        <v/>
      </c>
      <c r="C77" t="str">
        <f t="shared" si="6"/>
        <v/>
      </c>
      <c r="D77" t="str">
        <f t="shared" si="7"/>
        <v/>
      </c>
      <c r="E77" t="str">
        <f>IF(A77="","",VLOOKUP(D77,Helper3!$Z$4:$AA$29,2,0))</f>
        <v/>
      </c>
      <c r="F77" t="str">
        <f t="shared" si="8"/>
        <v/>
      </c>
      <c r="G77" t="str">
        <f t="shared" si="9"/>
        <v/>
      </c>
      <c r="H77" t="str">
        <f>IF(A77="","",'ATP Sort'!Q80)</f>
        <v/>
      </c>
    </row>
    <row r="78" spans="1:8">
      <c r="A78" t="str">
        <f>IF('ATP Sort'!Q81="","",IF('ATP Sort'!Q81=0,"",'ATP Sort'!M81))</f>
        <v/>
      </c>
      <c r="B78" t="str">
        <f t="shared" si="5"/>
        <v/>
      </c>
      <c r="C78" t="str">
        <f t="shared" si="6"/>
        <v/>
      </c>
      <c r="D78" t="str">
        <f t="shared" si="7"/>
        <v/>
      </c>
      <c r="E78" t="str">
        <f>IF(A78="","",VLOOKUP(D78,Helper3!$Z$4:$AA$29,2,0))</f>
        <v/>
      </c>
      <c r="F78" t="str">
        <f t="shared" si="8"/>
        <v/>
      </c>
      <c r="G78" t="str">
        <f t="shared" si="9"/>
        <v/>
      </c>
      <c r="H78" t="str">
        <f>IF(A78="","",'ATP Sort'!Q81)</f>
        <v/>
      </c>
    </row>
    <row r="79" spans="1:8">
      <c r="A79" t="str">
        <f>IF('ATP Sort'!Q82="","",IF('ATP Sort'!Q82=0,"",'ATP Sort'!M82))</f>
        <v/>
      </c>
      <c r="B79" t="str">
        <f t="shared" si="5"/>
        <v/>
      </c>
      <c r="C79" t="str">
        <f t="shared" si="6"/>
        <v/>
      </c>
      <c r="D79" t="str">
        <f t="shared" si="7"/>
        <v/>
      </c>
      <c r="E79" t="str">
        <f>IF(A79="","",VLOOKUP(D79,Helper3!$Z$4:$AA$29,2,0))</f>
        <v/>
      </c>
      <c r="F79" t="str">
        <f t="shared" si="8"/>
        <v/>
      </c>
      <c r="G79" t="str">
        <f t="shared" si="9"/>
        <v/>
      </c>
      <c r="H79" t="str">
        <f>IF(A79="","",'ATP Sort'!Q82)</f>
        <v/>
      </c>
    </row>
    <row r="80" spans="1:8">
      <c r="A80" t="str">
        <f>IF('ATP Sort'!Q83="","",IF('ATP Sort'!Q83=0,"",'ATP Sort'!M83))</f>
        <v/>
      </c>
      <c r="B80" t="str">
        <f t="shared" si="5"/>
        <v/>
      </c>
      <c r="C80" t="str">
        <f t="shared" si="6"/>
        <v/>
      </c>
      <c r="D80" t="str">
        <f t="shared" si="7"/>
        <v/>
      </c>
      <c r="E80" t="str">
        <f>IF(A80="","",VLOOKUP(D80,Helper3!$Z$4:$AA$29,2,0))</f>
        <v/>
      </c>
      <c r="F80" t="str">
        <f t="shared" si="8"/>
        <v/>
      </c>
      <c r="G80" t="str">
        <f t="shared" si="9"/>
        <v/>
      </c>
      <c r="H80" t="str">
        <f>IF(A80="","",'ATP Sort'!Q83)</f>
        <v/>
      </c>
    </row>
    <row r="81" spans="1:8">
      <c r="A81" t="str">
        <f>IF('ATP Sort'!Q84="","",IF('ATP Sort'!Q84=0,"",'ATP Sort'!M84))</f>
        <v/>
      </c>
      <c r="B81" t="str">
        <f t="shared" si="5"/>
        <v/>
      </c>
      <c r="C81" t="str">
        <f t="shared" si="6"/>
        <v/>
      </c>
      <c r="D81" t="str">
        <f t="shared" si="7"/>
        <v/>
      </c>
      <c r="E81" t="str">
        <f>IF(A81="","",VLOOKUP(D81,Helper3!$Z$4:$AA$29,2,0))</f>
        <v/>
      </c>
      <c r="F81" t="str">
        <f t="shared" si="8"/>
        <v/>
      </c>
      <c r="G81" t="str">
        <f t="shared" si="9"/>
        <v/>
      </c>
      <c r="H81" t="str">
        <f>IF(A81="","",'ATP Sort'!Q84)</f>
        <v/>
      </c>
    </row>
    <row r="82" spans="1:8">
      <c r="A82" t="str">
        <f>IF('ATP Sort'!Q85="","",IF('ATP Sort'!Q85=0,"",'ATP Sort'!M85))</f>
        <v/>
      </c>
      <c r="B82" t="str">
        <f t="shared" si="5"/>
        <v/>
      </c>
      <c r="C82" t="str">
        <f t="shared" si="6"/>
        <v/>
      </c>
      <c r="D82" t="str">
        <f t="shared" si="7"/>
        <v/>
      </c>
      <c r="E82" t="str">
        <f>IF(A82="","",VLOOKUP(D82,Helper3!$Z$4:$AA$29,2,0))</f>
        <v/>
      </c>
      <c r="F82" t="str">
        <f t="shared" si="8"/>
        <v/>
      </c>
      <c r="G82" t="str">
        <f t="shared" si="9"/>
        <v/>
      </c>
      <c r="H82" t="str">
        <f>IF(A82="","",'ATP Sort'!Q85)</f>
        <v/>
      </c>
    </row>
    <row r="83" spans="1:8">
      <c r="A83" t="str">
        <f>IF('ATP Sort'!Q86="","",IF('ATP Sort'!Q86=0,"",'ATP Sort'!M86))</f>
        <v/>
      </c>
      <c r="B83" t="str">
        <f t="shared" si="5"/>
        <v/>
      </c>
      <c r="C83" t="str">
        <f t="shared" si="6"/>
        <v/>
      </c>
      <c r="D83" t="str">
        <f t="shared" si="7"/>
        <v/>
      </c>
      <c r="E83" t="str">
        <f>IF(A83="","",VLOOKUP(D83,Helper3!$Z$4:$AA$29,2,0))</f>
        <v/>
      </c>
      <c r="F83" t="str">
        <f t="shared" si="8"/>
        <v/>
      </c>
      <c r="G83" t="str">
        <f t="shared" si="9"/>
        <v/>
      </c>
      <c r="H83" t="str">
        <f>IF(A83="","",'ATP Sort'!Q86)</f>
        <v/>
      </c>
    </row>
    <row r="84" spans="1:8">
      <c r="A84" t="str">
        <f>IF('ATP Sort'!Q87="","",IF('ATP Sort'!Q87=0,"",'ATP Sort'!M87))</f>
        <v/>
      </c>
      <c r="B84" t="str">
        <f t="shared" si="5"/>
        <v/>
      </c>
      <c r="C84" t="str">
        <f t="shared" si="6"/>
        <v/>
      </c>
      <c r="D84" t="str">
        <f t="shared" si="7"/>
        <v/>
      </c>
      <c r="E84" t="str">
        <f>IF(A84="","",VLOOKUP(D84,Helper3!$Z$4:$AA$29,2,0))</f>
        <v/>
      </c>
      <c r="F84" t="str">
        <f t="shared" si="8"/>
        <v/>
      </c>
      <c r="G84" t="str">
        <f t="shared" si="9"/>
        <v/>
      </c>
      <c r="H84" t="str">
        <f>IF(A84="","",'ATP Sort'!Q87)</f>
        <v/>
      </c>
    </row>
    <row r="85" spans="1:8">
      <c r="A85" t="str">
        <f>IF('ATP Sort'!Q88="","",IF('ATP Sort'!Q88=0,"",'ATP Sort'!M88))</f>
        <v/>
      </c>
      <c r="B85" t="str">
        <f t="shared" si="5"/>
        <v/>
      </c>
      <c r="C85" t="str">
        <f t="shared" si="6"/>
        <v/>
      </c>
      <c r="D85" t="str">
        <f t="shared" si="7"/>
        <v/>
      </c>
      <c r="E85" t="str">
        <f>IF(A85="","",VLOOKUP(D85,Helper3!$Z$4:$AA$29,2,0))</f>
        <v/>
      </c>
      <c r="F85" t="str">
        <f t="shared" si="8"/>
        <v/>
      </c>
      <c r="G85" t="str">
        <f t="shared" si="9"/>
        <v/>
      </c>
      <c r="H85" t="str">
        <f>IF(A85="","",'ATP Sort'!Q88)</f>
        <v/>
      </c>
    </row>
    <row r="86" spans="1:8">
      <c r="A86" t="str">
        <f>IF('ATP Sort'!Q89="","",IF('ATP Sort'!Q89=0,"",'ATP Sort'!M89))</f>
        <v/>
      </c>
      <c r="B86" t="str">
        <f t="shared" si="5"/>
        <v/>
      </c>
      <c r="C86" t="str">
        <f t="shared" si="6"/>
        <v/>
      </c>
      <c r="D86" t="str">
        <f t="shared" si="7"/>
        <v/>
      </c>
      <c r="E86" t="str">
        <f>IF(A86="","",VLOOKUP(D86,Helper3!$Z$4:$AA$29,2,0))</f>
        <v/>
      </c>
      <c r="F86" t="str">
        <f t="shared" si="8"/>
        <v/>
      </c>
      <c r="G86" t="str">
        <f t="shared" si="9"/>
        <v/>
      </c>
      <c r="H86" t="str">
        <f>IF(A86="","",'ATP Sort'!Q89)</f>
        <v/>
      </c>
    </row>
    <row r="87" spans="1:8">
      <c r="A87" t="str">
        <f>IF('ATP Sort'!Q90="","",IF('ATP Sort'!Q90=0,"",'ATP Sort'!M90))</f>
        <v/>
      </c>
      <c r="B87" t="str">
        <f t="shared" si="5"/>
        <v/>
      </c>
      <c r="C87" t="str">
        <f t="shared" si="6"/>
        <v/>
      </c>
      <c r="D87" t="str">
        <f t="shared" si="7"/>
        <v/>
      </c>
      <c r="E87" t="str">
        <f>IF(A87="","",VLOOKUP(D87,Helper3!$Z$4:$AA$29,2,0))</f>
        <v/>
      </c>
      <c r="F87" t="str">
        <f t="shared" si="8"/>
        <v/>
      </c>
      <c r="G87" t="str">
        <f t="shared" si="9"/>
        <v/>
      </c>
      <c r="H87" t="str">
        <f>IF(A87="","",'ATP Sort'!Q90)</f>
        <v/>
      </c>
    </row>
    <row r="88" spans="1:8">
      <c r="A88" t="str">
        <f>IF('ATP Sort'!Q91="","",IF('ATP Sort'!Q91=0,"",'ATP Sort'!M91))</f>
        <v/>
      </c>
      <c r="B88" t="str">
        <f t="shared" si="5"/>
        <v/>
      </c>
      <c r="C88" t="str">
        <f t="shared" si="6"/>
        <v/>
      </c>
      <c r="D88" t="str">
        <f t="shared" si="7"/>
        <v/>
      </c>
      <c r="E88" t="str">
        <f>IF(A88="","",VLOOKUP(D88,Helper3!$Z$4:$AA$29,2,0))</f>
        <v/>
      </c>
      <c r="F88" t="str">
        <f t="shared" si="8"/>
        <v/>
      </c>
      <c r="G88" t="str">
        <f t="shared" si="9"/>
        <v/>
      </c>
      <c r="H88" t="str">
        <f>IF(A88="","",'ATP Sort'!Q91)</f>
        <v/>
      </c>
    </row>
    <row r="89" spans="1:8">
      <c r="A89" t="str">
        <f>IF('ATP Sort'!Q92="","",IF('ATP Sort'!Q92=0,"",'ATP Sort'!M92))</f>
        <v/>
      </c>
      <c r="B89" t="str">
        <f t="shared" si="5"/>
        <v/>
      </c>
      <c r="C89" t="str">
        <f t="shared" si="6"/>
        <v/>
      </c>
      <c r="D89" t="str">
        <f t="shared" si="7"/>
        <v/>
      </c>
      <c r="E89" t="str">
        <f>IF(A89="","",VLOOKUP(D89,Helper3!$Z$4:$AA$29,2,0))</f>
        <v/>
      </c>
      <c r="F89" t="str">
        <f t="shared" si="8"/>
        <v/>
      </c>
      <c r="G89" t="str">
        <f t="shared" si="9"/>
        <v/>
      </c>
      <c r="H89" t="str">
        <f>IF(A89="","",'ATP Sort'!Q92)</f>
        <v/>
      </c>
    </row>
    <row r="90" spans="1:8">
      <c r="A90" t="str">
        <f>IF('ATP Sort'!Q93="","",IF('ATP Sort'!Q93=0,"",'ATP Sort'!M93))</f>
        <v/>
      </c>
      <c r="B90" t="str">
        <f t="shared" si="5"/>
        <v/>
      </c>
      <c r="C90" t="str">
        <f t="shared" si="6"/>
        <v/>
      </c>
      <c r="D90" t="str">
        <f t="shared" si="7"/>
        <v/>
      </c>
      <c r="E90" t="str">
        <f>IF(A90="","",VLOOKUP(D90,Helper3!$Z$4:$AA$29,2,0))</f>
        <v/>
      </c>
      <c r="F90" t="str">
        <f t="shared" si="8"/>
        <v/>
      </c>
      <c r="G90" t="str">
        <f t="shared" si="9"/>
        <v/>
      </c>
      <c r="H90" t="str">
        <f>IF(A90="","",'ATP Sort'!Q93)</f>
        <v/>
      </c>
    </row>
    <row r="91" spans="1:8">
      <c r="A91" t="str">
        <f>IF('ATP Sort'!Q94="","",IF('ATP Sort'!Q94=0,"",'ATP Sort'!M94))</f>
        <v/>
      </c>
      <c r="B91" t="str">
        <f t="shared" si="5"/>
        <v/>
      </c>
      <c r="C91" t="str">
        <f t="shared" si="6"/>
        <v/>
      </c>
      <c r="D91" t="str">
        <f t="shared" si="7"/>
        <v/>
      </c>
      <c r="E91" t="str">
        <f>IF(A91="","",VLOOKUP(D91,Helper3!$Z$4:$AA$29,2,0))</f>
        <v/>
      </c>
      <c r="F91" t="str">
        <f t="shared" si="8"/>
        <v/>
      </c>
      <c r="G91" t="str">
        <f t="shared" si="9"/>
        <v/>
      </c>
      <c r="H91" t="str">
        <f>IF(A91="","",'ATP Sort'!Q94)</f>
        <v/>
      </c>
    </row>
    <row r="92" spans="1:8">
      <c r="A92" t="str">
        <f>IF('ATP Sort'!Q95="","",IF('ATP Sort'!Q95=0,"",'ATP Sort'!M95))</f>
        <v/>
      </c>
      <c r="B92" t="str">
        <f t="shared" si="5"/>
        <v/>
      </c>
      <c r="C92" t="str">
        <f t="shared" si="6"/>
        <v/>
      </c>
      <c r="D92" t="str">
        <f t="shared" si="7"/>
        <v/>
      </c>
      <c r="E92" t="str">
        <f>IF(A92="","",VLOOKUP(D92,Helper3!$Z$4:$AA$29,2,0))</f>
        <v/>
      </c>
      <c r="F92" t="str">
        <f t="shared" si="8"/>
        <v/>
      </c>
      <c r="G92" t="str">
        <f t="shared" si="9"/>
        <v/>
      </c>
      <c r="H92" t="str">
        <f>IF(A92="","",'ATP Sort'!Q95)</f>
        <v/>
      </c>
    </row>
    <row r="93" spans="1:8">
      <c r="A93" t="str">
        <f>IF('ATP Sort'!Q96="","",IF('ATP Sort'!Q96=0,"",'ATP Sort'!M96))</f>
        <v/>
      </c>
      <c r="B93" t="str">
        <f t="shared" si="5"/>
        <v/>
      </c>
      <c r="C93" t="str">
        <f t="shared" si="6"/>
        <v/>
      </c>
      <c r="D93" t="str">
        <f t="shared" si="7"/>
        <v/>
      </c>
      <c r="E93" t="str">
        <f>IF(A93="","",VLOOKUP(D93,Helper3!$Z$4:$AA$29,2,0))</f>
        <v/>
      </c>
      <c r="F93" t="str">
        <f t="shared" si="8"/>
        <v/>
      </c>
      <c r="G93" t="str">
        <f t="shared" si="9"/>
        <v/>
      </c>
      <c r="H93" t="str">
        <f>IF(A93="","",'ATP Sort'!Q96)</f>
        <v/>
      </c>
    </row>
    <row r="94" spans="1:8">
      <c r="A94" t="str">
        <f>IF('ATP Sort'!Q97="","",IF('ATP Sort'!Q97=0,"",'ATP Sort'!M97))</f>
        <v/>
      </c>
      <c r="B94" t="str">
        <f t="shared" si="5"/>
        <v/>
      </c>
      <c r="C94" t="str">
        <f t="shared" si="6"/>
        <v/>
      </c>
      <c r="D94" t="str">
        <f t="shared" si="7"/>
        <v/>
      </c>
      <c r="E94" t="str">
        <f>IF(A94="","",VLOOKUP(D94,Helper3!$Z$4:$AA$29,2,0))</f>
        <v/>
      </c>
      <c r="F94" t="str">
        <f t="shared" si="8"/>
        <v/>
      </c>
      <c r="G94" t="str">
        <f t="shared" si="9"/>
        <v/>
      </c>
      <c r="H94" t="str">
        <f>IF(A94="","",'ATP Sort'!Q97)</f>
        <v/>
      </c>
    </row>
    <row r="95" spans="1:8">
      <c r="A95" t="str">
        <f>IF('ATP Sort'!Q98="","",IF('ATP Sort'!Q98=0,"",'ATP Sort'!M98))</f>
        <v/>
      </c>
      <c r="B95" t="str">
        <f t="shared" si="5"/>
        <v/>
      </c>
      <c r="C95" t="str">
        <f t="shared" si="6"/>
        <v/>
      </c>
      <c r="D95" t="str">
        <f t="shared" si="7"/>
        <v/>
      </c>
      <c r="E95" t="str">
        <f>IF(A95="","",VLOOKUP(D95,Helper3!$Z$4:$AA$29,2,0))</f>
        <v/>
      </c>
      <c r="F95" t="str">
        <f t="shared" si="8"/>
        <v/>
      </c>
      <c r="G95" t="str">
        <f t="shared" si="9"/>
        <v/>
      </c>
      <c r="H95" t="str">
        <f>IF(A95="","",'ATP Sort'!Q98)</f>
        <v/>
      </c>
    </row>
    <row r="96" spans="1:8">
      <c r="A96" t="str">
        <f>IF('ATP Sort'!Q99="","",IF('ATP Sort'!Q99=0,"",'ATP Sort'!M99))</f>
        <v/>
      </c>
      <c r="B96" t="str">
        <f t="shared" si="5"/>
        <v/>
      </c>
      <c r="C96" t="str">
        <f t="shared" si="6"/>
        <v/>
      </c>
      <c r="D96" t="str">
        <f t="shared" si="7"/>
        <v/>
      </c>
      <c r="E96" t="str">
        <f>IF(A96="","",VLOOKUP(D96,Helper3!$Z$4:$AA$29,2,0))</f>
        <v/>
      </c>
      <c r="F96" t="str">
        <f t="shared" si="8"/>
        <v/>
      </c>
      <c r="G96" t="str">
        <f t="shared" si="9"/>
        <v/>
      </c>
      <c r="H96" t="str">
        <f>IF(A96="","",'ATP Sort'!Q99)</f>
        <v/>
      </c>
    </row>
    <row r="97" spans="1:8">
      <c r="A97" t="str">
        <f>IF('ATP Sort'!Q100="","",IF('ATP Sort'!Q100=0,"",'ATP Sort'!M100))</f>
        <v/>
      </c>
      <c r="B97" t="str">
        <f t="shared" si="5"/>
        <v/>
      </c>
      <c r="C97" t="str">
        <f t="shared" si="6"/>
        <v/>
      </c>
      <c r="D97" t="str">
        <f t="shared" si="7"/>
        <v/>
      </c>
      <c r="E97" t="str">
        <f>IF(A97="","",VLOOKUP(D97,Helper3!$Z$4:$AA$29,2,0))</f>
        <v/>
      </c>
      <c r="F97" t="str">
        <f t="shared" si="8"/>
        <v/>
      </c>
      <c r="G97" t="str">
        <f t="shared" si="9"/>
        <v/>
      </c>
      <c r="H97" t="str">
        <f>IF(A97="","",'ATP Sort'!Q100)</f>
        <v/>
      </c>
    </row>
    <row r="98" spans="1:8">
      <c r="A98" t="str">
        <f>IF('ATP Sort'!Q101="","",IF('ATP Sort'!Q101=0,"",'ATP Sort'!M101))</f>
        <v/>
      </c>
      <c r="B98" t="str">
        <f t="shared" si="5"/>
        <v/>
      </c>
      <c r="C98" t="str">
        <f t="shared" si="6"/>
        <v/>
      </c>
      <c r="D98" t="str">
        <f t="shared" si="7"/>
        <v/>
      </c>
      <c r="E98" t="str">
        <f>IF(A98="","",VLOOKUP(D98,Helper3!$Z$4:$AA$29,2,0))</f>
        <v/>
      </c>
      <c r="F98" t="str">
        <f t="shared" si="8"/>
        <v/>
      </c>
      <c r="G98" t="str">
        <f t="shared" si="9"/>
        <v/>
      </c>
      <c r="H98" t="str">
        <f>IF(A98="","",'ATP Sort'!Q101)</f>
        <v/>
      </c>
    </row>
    <row r="99" spans="1:8">
      <c r="A99" t="str">
        <f>IF('ATP Sort'!Q102="","",IF('ATP Sort'!Q102=0,"",'ATP Sort'!M102))</f>
        <v/>
      </c>
      <c r="B99" t="str">
        <f t="shared" si="5"/>
        <v/>
      </c>
      <c r="C99" t="str">
        <f t="shared" si="6"/>
        <v/>
      </c>
      <c r="D99" t="str">
        <f t="shared" si="7"/>
        <v/>
      </c>
      <c r="E99" t="str">
        <f>IF(A99="","",VLOOKUP(D99,Helper3!$Z$4:$AA$29,2,0))</f>
        <v/>
      </c>
      <c r="F99" t="str">
        <f t="shared" si="8"/>
        <v/>
      </c>
      <c r="G99" t="str">
        <f t="shared" si="9"/>
        <v/>
      </c>
      <c r="H99" t="str">
        <f>IF(A99="","",'ATP Sort'!Q102)</f>
        <v/>
      </c>
    </row>
    <row r="100" spans="1:8">
      <c r="A100" t="str">
        <f>IF('ATP Sort'!Q103="","",IF('ATP Sort'!Q103=0,"",'ATP Sort'!M103))</f>
        <v/>
      </c>
      <c r="B100" t="str">
        <f t="shared" si="5"/>
        <v/>
      </c>
      <c r="C100" t="str">
        <f t="shared" si="6"/>
        <v/>
      </c>
      <c r="D100" t="str">
        <f t="shared" si="7"/>
        <v/>
      </c>
      <c r="E100" t="str">
        <f>IF(A100="","",VLOOKUP(D100,Helper3!$Z$4:$AA$29,2,0))</f>
        <v/>
      </c>
      <c r="F100" t="str">
        <f t="shared" si="8"/>
        <v/>
      </c>
      <c r="G100" t="str">
        <f t="shared" si="9"/>
        <v/>
      </c>
      <c r="H100" t="str">
        <f>IF(A100="","",'ATP Sort'!Q103)</f>
        <v/>
      </c>
    </row>
    <row r="101" spans="1:8">
      <c r="A101" t="str">
        <f>IF('ATP Sort'!Q104="","",IF('ATP Sort'!Q104=0,"",'ATP Sort'!M104))</f>
        <v/>
      </c>
      <c r="B101" t="str">
        <f t="shared" si="5"/>
        <v/>
      </c>
      <c r="C101" t="str">
        <f t="shared" si="6"/>
        <v/>
      </c>
      <c r="D101" t="str">
        <f t="shared" si="7"/>
        <v/>
      </c>
      <c r="E101" t="str">
        <f>IF(A101="","",VLOOKUP(D101,Helper3!$Z$4:$AA$29,2,0))</f>
        <v/>
      </c>
      <c r="F101" t="str">
        <f t="shared" si="8"/>
        <v/>
      </c>
      <c r="G101" t="str">
        <f t="shared" si="9"/>
        <v/>
      </c>
      <c r="H101" t="str">
        <f>IF(A101="","",'ATP Sort'!Q104)</f>
        <v/>
      </c>
    </row>
    <row r="102" spans="1:8">
      <c r="A102" t="str">
        <f>IF('ATP Sort'!Q105="","",IF('ATP Sort'!Q105=0,"",'ATP Sort'!M105))</f>
        <v/>
      </c>
      <c r="B102" t="str">
        <f t="shared" si="5"/>
        <v/>
      </c>
      <c r="C102" t="str">
        <f t="shared" si="6"/>
        <v/>
      </c>
      <c r="D102" t="str">
        <f t="shared" si="7"/>
        <v/>
      </c>
      <c r="E102" t="str">
        <f>IF(A102="","",VLOOKUP(D102,Helper3!$Z$4:$AA$29,2,0))</f>
        <v/>
      </c>
      <c r="F102" t="str">
        <f t="shared" si="8"/>
        <v/>
      </c>
      <c r="G102" t="str">
        <f t="shared" si="9"/>
        <v/>
      </c>
      <c r="H102" t="str">
        <f>IF(A102="","",'ATP Sort'!Q105)</f>
        <v/>
      </c>
    </row>
    <row r="103" spans="1:8">
      <c r="A103" t="str">
        <f>IF('ATP Sort'!Q106="","",IF('ATP Sort'!Q106=0,"",'ATP Sort'!M106))</f>
        <v/>
      </c>
      <c r="B103" t="str">
        <f t="shared" si="5"/>
        <v/>
      </c>
      <c r="C103" t="str">
        <f t="shared" si="6"/>
        <v/>
      </c>
      <c r="D103" t="str">
        <f t="shared" si="7"/>
        <v/>
      </c>
      <c r="E103" t="str">
        <f>IF(A103="","",VLOOKUP(D103,Helper3!$Z$4:$AA$29,2,0))</f>
        <v/>
      </c>
      <c r="F103" t="str">
        <f t="shared" si="8"/>
        <v/>
      </c>
      <c r="G103" t="str">
        <f t="shared" si="9"/>
        <v/>
      </c>
      <c r="H103" t="str">
        <f>IF(A103="","",'ATP Sort'!Q106)</f>
        <v/>
      </c>
    </row>
    <row r="104" spans="1:8">
      <c r="A104" t="str">
        <f>IF('ATP Sort'!Q107="","",IF('ATP Sort'!Q107=0,"",'ATP Sort'!M107))</f>
        <v/>
      </c>
      <c r="B104" t="str">
        <f t="shared" si="5"/>
        <v/>
      </c>
      <c r="C104" t="str">
        <f t="shared" si="6"/>
        <v/>
      </c>
      <c r="D104" t="str">
        <f t="shared" si="7"/>
        <v/>
      </c>
      <c r="E104" t="str">
        <f>IF(A104="","",VLOOKUP(D104,Helper3!$Z$4:$AA$29,2,0))</f>
        <v/>
      </c>
      <c r="F104" t="str">
        <f t="shared" si="8"/>
        <v/>
      </c>
      <c r="G104" t="str">
        <f t="shared" si="9"/>
        <v/>
      </c>
      <c r="H104" t="str">
        <f>IF(A104="","",'ATP Sort'!Q107)</f>
        <v/>
      </c>
    </row>
    <row r="105" spans="1:8">
      <c r="A105" t="str">
        <f>IF('ATP Sort'!Q108="","",IF('ATP Sort'!Q108=0,"",'ATP Sort'!M108))</f>
        <v/>
      </c>
      <c r="B105" t="str">
        <f t="shared" si="5"/>
        <v/>
      </c>
      <c r="C105" t="str">
        <f t="shared" si="6"/>
        <v/>
      </c>
      <c r="D105" t="str">
        <f t="shared" si="7"/>
        <v/>
      </c>
      <c r="E105" t="str">
        <f>IF(A105="","",VLOOKUP(D105,Helper3!$Z$4:$AA$29,2,0))</f>
        <v/>
      </c>
      <c r="F105" t="str">
        <f t="shared" si="8"/>
        <v/>
      </c>
      <c r="G105" t="str">
        <f t="shared" si="9"/>
        <v/>
      </c>
      <c r="H105" t="str">
        <f>IF(A105="","",'ATP Sort'!Q108)</f>
        <v/>
      </c>
    </row>
    <row r="106" spans="1:8">
      <c r="A106" t="str">
        <f>IF('ATP Sort'!Q109="","",IF('ATP Sort'!Q109=0,"",'ATP Sort'!M109))</f>
        <v/>
      </c>
      <c r="B106" t="str">
        <f t="shared" si="5"/>
        <v/>
      </c>
      <c r="C106" t="str">
        <f t="shared" si="6"/>
        <v/>
      </c>
      <c r="D106" t="str">
        <f t="shared" si="7"/>
        <v/>
      </c>
      <c r="E106" t="str">
        <f>IF(A106="","",VLOOKUP(D106,Helper3!$Z$4:$AA$29,2,0))</f>
        <v/>
      </c>
      <c r="F106" t="str">
        <f t="shared" si="8"/>
        <v/>
      </c>
      <c r="G106" t="str">
        <f t="shared" si="9"/>
        <v/>
      </c>
      <c r="H106" t="str">
        <f>IF(A106="","",'ATP Sort'!Q109)</f>
        <v/>
      </c>
    </row>
    <row r="107" spans="1:8">
      <c r="A107" t="str">
        <f>IF('ATP Sort'!Q110="","",IF('ATP Sort'!Q110=0,"",'ATP Sort'!M110))</f>
        <v/>
      </c>
      <c r="B107" t="str">
        <f t="shared" si="5"/>
        <v/>
      </c>
      <c r="C107" t="str">
        <f t="shared" si="6"/>
        <v/>
      </c>
      <c r="D107" t="str">
        <f t="shared" si="7"/>
        <v/>
      </c>
      <c r="E107" t="str">
        <f>IF(A107="","",VLOOKUP(D107,Helper3!$Z$4:$AA$29,2,0))</f>
        <v/>
      </c>
      <c r="F107" t="str">
        <f t="shared" si="8"/>
        <v/>
      </c>
      <c r="G107" t="str">
        <f t="shared" si="9"/>
        <v/>
      </c>
      <c r="H107" t="str">
        <f>IF(A107="","",'ATP Sort'!Q110)</f>
        <v/>
      </c>
    </row>
    <row r="108" spans="1:8">
      <c r="A108" t="str">
        <f>IF('ATP Sort'!Q111="","",IF('ATP Sort'!Q111=0,"",'ATP Sort'!M111))</f>
        <v/>
      </c>
      <c r="B108" t="str">
        <f t="shared" si="5"/>
        <v/>
      </c>
      <c r="C108" t="str">
        <f t="shared" si="6"/>
        <v/>
      </c>
      <c r="D108" t="str">
        <f t="shared" si="7"/>
        <v/>
      </c>
      <c r="E108" t="str">
        <f>IF(A108="","",VLOOKUP(D108,Helper3!$Z$4:$AA$29,2,0))</f>
        <v/>
      </c>
      <c r="F108" t="str">
        <f t="shared" si="8"/>
        <v/>
      </c>
      <c r="G108" t="str">
        <f t="shared" si="9"/>
        <v/>
      </c>
      <c r="H108" t="str">
        <f>IF(A108="","",'ATP Sort'!Q111)</f>
        <v/>
      </c>
    </row>
    <row r="109" spans="1:8">
      <c r="A109" t="str">
        <f>IF('ATP Sort'!Q112="","",IF('ATP Sort'!Q112=0,"",'ATP Sort'!M112))</f>
        <v/>
      </c>
      <c r="B109" t="str">
        <f t="shared" si="5"/>
        <v/>
      </c>
      <c r="C109" t="str">
        <f t="shared" si="6"/>
        <v/>
      </c>
      <c r="D109" t="str">
        <f t="shared" si="7"/>
        <v/>
      </c>
      <c r="E109" t="str">
        <f>IF(A109="","",VLOOKUP(D109,Helper3!$Z$4:$AA$29,2,0))</f>
        <v/>
      </c>
      <c r="F109" t="str">
        <f t="shared" si="8"/>
        <v/>
      </c>
      <c r="G109" t="str">
        <f t="shared" si="9"/>
        <v/>
      </c>
      <c r="H109" t="str">
        <f>IF(A109="","",'ATP Sort'!Q112)</f>
        <v/>
      </c>
    </row>
    <row r="110" spans="1:8">
      <c r="A110" t="str">
        <f>IF('ATP Sort'!Q113="","",IF('ATP Sort'!Q113=0,"",'ATP Sort'!M113))</f>
        <v/>
      </c>
      <c r="B110" t="str">
        <f t="shared" si="5"/>
        <v/>
      </c>
      <c r="C110" t="str">
        <f t="shared" si="6"/>
        <v/>
      </c>
      <c r="D110" t="str">
        <f t="shared" si="7"/>
        <v/>
      </c>
      <c r="E110" t="str">
        <f>IF(A110="","",VLOOKUP(D110,Helper3!$Z$4:$AA$29,2,0))</f>
        <v/>
      </c>
      <c r="F110" t="str">
        <f t="shared" si="8"/>
        <v/>
      </c>
      <c r="G110" t="str">
        <f t="shared" si="9"/>
        <v/>
      </c>
      <c r="H110" t="str">
        <f>IF(A110="","",'ATP Sort'!Q113)</f>
        <v/>
      </c>
    </row>
    <row r="111" spans="1:8">
      <c r="A111" t="str">
        <f>IF('ATP Sort'!Q114="","",IF('ATP Sort'!Q114=0,"",'ATP Sort'!M114))</f>
        <v/>
      </c>
      <c r="B111" t="str">
        <f t="shared" si="5"/>
        <v/>
      </c>
      <c r="C111" t="str">
        <f t="shared" si="6"/>
        <v/>
      </c>
      <c r="D111" t="str">
        <f t="shared" si="7"/>
        <v/>
      </c>
      <c r="E111" t="str">
        <f>IF(A111="","",VLOOKUP(D111,Helper3!$Z$4:$AA$29,2,0))</f>
        <v/>
      </c>
      <c r="F111" t="str">
        <f t="shared" si="8"/>
        <v/>
      </c>
      <c r="G111" t="str">
        <f t="shared" si="9"/>
        <v/>
      </c>
      <c r="H111" t="str">
        <f>IF(A111="","",'ATP Sort'!Q114)</f>
        <v/>
      </c>
    </row>
    <row r="112" spans="1:8">
      <c r="A112" t="str">
        <f>IF('ATP Sort'!Q115="","",IF('ATP Sort'!Q115=0,"",'ATP Sort'!M115))</f>
        <v/>
      </c>
      <c r="B112" t="str">
        <f t="shared" si="5"/>
        <v/>
      </c>
      <c r="C112" t="str">
        <f t="shared" si="6"/>
        <v/>
      </c>
      <c r="D112" t="str">
        <f t="shared" si="7"/>
        <v/>
      </c>
      <c r="E112" t="str">
        <f>IF(A112="","",VLOOKUP(D112,Helper3!$Z$4:$AA$29,2,0))</f>
        <v/>
      </c>
      <c r="F112" t="str">
        <f t="shared" si="8"/>
        <v/>
      </c>
      <c r="G112" t="str">
        <f t="shared" si="9"/>
        <v/>
      </c>
      <c r="H112" t="str">
        <f>IF(A112="","",'ATP Sort'!Q115)</f>
        <v/>
      </c>
    </row>
    <row r="113" spans="1:8">
      <c r="A113" t="str">
        <f>IF('ATP Sort'!Q116="","",IF('ATP Sort'!Q116=0,"",'ATP Sort'!M116))</f>
        <v/>
      </c>
      <c r="B113" t="str">
        <f t="shared" si="5"/>
        <v/>
      </c>
      <c r="C113" t="str">
        <f t="shared" si="6"/>
        <v/>
      </c>
      <c r="D113" t="str">
        <f t="shared" si="7"/>
        <v/>
      </c>
      <c r="E113" t="str">
        <f>IF(A113="","",VLOOKUP(D113,Helper3!$Z$4:$AA$29,2,0))</f>
        <v/>
      </c>
      <c r="F113" t="str">
        <f t="shared" si="8"/>
        <v/>
      </c>
      <c r="G113" t="str">
        <f t="shared" si="9"/>
        <v/>
      </c>
      <c r="H113" t="str">
        <f>IF(A113="","",'ATP Sort'!Q116)</f>
        <v/>
      </c>
    </row>
    <row r="114" spans="1:8">
      <c r="A114" t="str">
        <f>IF('ATP Sort'!Q117="","",IF('ATP Sort'!Q117=0,"",'ATP Sort'!M117))</f>
        <v/>
      </c>
      <c r="B114" t="str">
        <f t="shared" si="5"/>
        <v/>
      </c>
      <c r="C114" t="str">
        <f t="shared" si="6"/>
        <v/>
      </c>
      <c r="D114" t="str">
        <f t="shared" si="7"/>
        <v/>
      </c>
      <c r="E114" t="str">
        <f>IF(A114="","",VLOOKUP(D114,Helper3!$Z$4:$AA$29,2,0))</f>
        <v/>
      </c>
      <c r="F114" t="str">
        <f t="shared" si="8"/>
        <v/>
      </c>
      <c r="G114" t="str">
        <f t="shared" si="9"/>
        <v/>
      </c>
      <c r="H114" t="str">
        <f>IF(A114="","",'ATP Sort'!Q117)</f>
        <v/>
      </c>
    </row>
    <row r="115" spans="1:8">
      <c r="A115" t="str">
        <f>IF('ATP Sort'!Q118="","",IF('ATP Sort'!Q118=0,"",'ATP Sort'!M118))</f>
        <v/>
      </c>
      <c r="B115" t="str">
        <f t="shared" si="5"/>
        <v/>
      </c>
      <c r="C115" t="str">
        <f t="shared" si="6"/>
        <v/>
      </c>
      <c r="D115" t="str">
        <f t="shared" si="7"/>
        <v/>
      </c>
      <c r="E115" t="str">
        <f>IF(A115="","",VLOOKUP(D115,Helper3!$Z$4:$AA$29,2,0))</f>
        <v/>
      </c>
      <c r="F115" t="str">
        <f t="shared" si="8"/>
        <v/>
      </c>
      <c r="G115" t="str">
        <f t="shared" si="9"/>
        <v/>
      </c>
      <c r="H115" t="str">
        <f>IF(A115="","",'ATP Sort'!Q118)</f>
        <v/>
      </c>
    </row>
    <row r="116" spans="1:8">
      <c r="A116" t="str">
        <f>IF('ATP Sort'!Q119="","",IF('ATP Sort'!Q119=0,"",'ATP Sort'!M119))</f>
        <v/>
      </c>
      <c r="B116" t="str">
        <f t="shared" si="5"/>
        <v/>
      </c>
      <c r="C116" t="str">
        <f t="shared" si="6"/>
        <v/>
      </c>
      <c r="D116" t="str">
        <f t="shared" si="7"/>
        <v/>
      </c>
      <c r="E116" t="str">
        <f>IF(A116="","",VLOOKUP(D116,Helper3!$Z$4:$AA$29,2,0))</f>
        <v/>
      </c>
      <c r="F116" t="str">
        <f t="shared" si="8"/>
        <v/>
      </c>
      <c r="G116" t="str">
        <f t="shared" si="9"/>
        <v/>
      </c>
      <c r="H116" t="str">
        <f>IF(A116="","",'ATP Sort'!Q119)</f>
        <v/>
      </c>
    </row>
    <row r="117" spans="1:8">
      <c r="A117" t="str">
        <f>IF('ATP Sort'!Q120="","",IF('ATP Sort'!Q120=0,"",'ATP Sort'!M120))</f>
        <v/>
      </c>
      <c r="B117" t="str">
        <f t="shared" si="5"/>
        <v/>
      </c>
      <c r="C117" t="str">
        <f t="shared" si="6"/>
        <v/>
      </c>
      <c r="D117" t="str">
        <f t="shared" si="7"/>
        <v/>
      </c>
      <c r="E117" t="str">
        <f>IF(A117="","",VLOOKUP(D117,Helper3!$Z$4:$AA$29,2,0))</f>
        <v/>
      </c>
      <c r="F117" t="str">
        <f t="shared" si="8"/>
        <v/>
      </c>
      <c r="G117" t="str">
        <f t="shared" si="9"/>
        <v/>
      </c>
      <c r="H117" t="str">
        <f>IF(A117="","",'ATP Sort'!Q120)</f>
        <v/>
      </c>
    </row>
    <row r="118" spans="1:8">
      <c r="A118" t="str">
        <f>IF('ATP Sort'!Q121="","",IF('ATP Sort'!Q121=0,"",'ATP Sort'!M121))</f>
        <v/>
      </c>
      <c r="B118" t="str">
        <f t="shared" si="5"/>
        <v/>
      </c>
      <c r="C118" t="str">
        <f t="shared" si="6"/>
        <v/>
      </c>
      <c r="D118" t="str">
        <f t="shared" si="7"/>
        <v/>
      </c>
      <c r="E118" t="str">
        <f>IF(A118="","",VLOOKUP(D118,Helper3!$Z$4:$AA$29,2,0))</f>
        <v/>
      </c>
      <c r="F118" t="str">
        <f t="shared" si="8"/>
        <v/>
      </c>
      <c r="G118" t="str">
        <f t="shared" si="9"/>
        <v/>
      </c>
      <c r="H118" t="str">
        <f>IF(A118="","",'ATP Sort'!Q121)</f>
        <v/>
      </c>
    </row>
    <row r="119" spans="1:8">
      <c r="A119" t="str">
        <f>IF('ATP Sort'!Q122="","",IF('ATP Sort'!Q122=0,"",'ATP Sort'!M122))</f>
        <v/>
      </c>
      <c r="B119" t="str">
        <f t="shared" si="5"/>
        <v/>
      </c>
      <c r="C119" t="str">
        <f t="shared" si="6"/>
        <v/>
      </c>
      <c r="D119" t="str">
        <f t="shared" si="7"/>
        <v/>
      </c>
      <c r="E119" t="str">
        <f>IF(A119="","",VLOOKUP(D119,Helper3!$Z$4:$AA$29,2,0))</f>
        <v/>
      </c>
      <c r="F119" t="str">
        <f t="shared" si="8"/>
        <v/>
      </c>
      <c r="G119" t="str">
        <f t="shared" si="9"/>
        <v/>
      </c>
      <c r="H119" t="str">
        <f>IF(A119="","",'ATP Sort'!Q122)</f>
        <v/>
      </c>
    </row>
    <row r="120" spans="1:8">
      <c r="A120" t="str">
        <f>IF('ATP Sort'!Q123="","",IF('ATP Sort'!Q123=0,"",'ATP Sort'!M123))</f>
        <v/>
      </c>
      <c r="B120" t="str">
        <f t="shared" si="5"/>
        <v/>
      </c>
      <c r="C120" t="str">
        <f t="shared" si="6"/>
        <v/>
      </c>
      <c r="D120" t="str">
        <f t="shared" si="7"/>
        <v/>
      </c>
      <c r="E120" t="str">
        <f>IF(A120="","",VLOOKUP(D120,Helper3!$Z$4:$AA$29,2,0))</f>
        <v/>
      </c>
      <c r="F120" t="str">
        <f t="shared" si="8"/>
        <v/>
      </c>
      <c r="G120" t="str">
        <f t="shared" si="9"/>
        <v/>
      </c>
      <c r="H120" t="str">
        <f>IF(A120="","",'ATP Sort'!Q123)</f>
        <v/>
      </c>
    </row>
    <row r="121" spans="1:8">
      <c r="A121" t="str">
        <f>IF('ATP Sort'!Q124="","",IF('ATP Sort'!Q124=0,"",'ATP Sort'!M124))</f>
        <v/>
      </c>
      <c r="B121" t="str">
        <f t="shared" si="5"/>
        <v/>
      </c>
      <c r="C121" t="str">
        <f t="shared" si="6"/>
        <v/>
      </c>
      <c r="D121" t="str">
        <f t="shared" si="7"/>
        <v/>
      </c>
      <c r="E121" t="str">
        <f>IF(A121="","",VLOOKUP(D121,Helper3!$Z$4:$AA$29,2,0))</f>
        <v/>
      </c>
      <c r="F121" t="str">
        <f t="shared" si="8"/>
        <v/>
      </c>
      <c r="G121" t="str">
        <f t="shared" si="9"/>
        <v/>
      </c>
      <c r="H121" t="str">
        <f>IF(A121="","",'ATP Sort'!Q124)</f>
        <v/>
      </c>
    </row>
    <row r="122" spans="1:8">
      <c r="A122" t="str">
        <f>IF('ATP Sort'!Q125="","",IF('ATP Sort'!Q125=0,"",'ATP Sort'!M125))</f>
        <v/>
      </c>
      <c r="B122" t="str">
        <f t="shared" si="5"/>
        <v/>
      </c>
      <c r="C122" t="str">
        <f t="shared" si="6"/>
        <v/>
      </c>
      <c r="D122" t="str">
        <f t="shared" si="7"/>
        <v/>
      </c>
      <c r="E122" t="str">
        <f>IF(A122="","",VLOOKUP(D122,Helper3!$Z$4:$AA$29,2,0))</f>
        <v/>
      </c>
      <c r="F122" t="str">
        <f t="shared" si="8"/>
        <v/>
      </c>
      <c r="G122" t="str">
        <f t="shared" si="9"/>
        <v/>
      </c>
      <c r="H122" t="str">
        <f>IF(A122="","",'ATP Sort'!Q125)</f>
        <v/>
      </c>
    </row>
    <row r="123" spans="1:8">
      <c r="A123" t="str">
        <f>IF('ATP Sort'!Q126="","",IF('ATP Sort'!Q126=0,"",'ATP Sort'!M126))</f>
        <v/>
      </c>
      <c r="B123" t="str">
        <f t="shared" si="5"/>
        <v/>
      </c>
      <c r="C123" t="str">
        <f t="shared" si="6"/>
        <v/>
      </c>
      <c r="D123" t="str">
        <f t="shared" si="7"/>
        <v/>
      </c>
      <c r="E123" t="str">
        <f>IF(A123="","",VLOOKUP(D123,Helper3!$Z$4:$AA$29,2,0))</f>
        <v/>
      </c>
      <c r="F123" t="str">
        <f t="shared" si="8"/>
        <v/>
      </c>
      <c r="G123" t="str">
        <f t="shared" si="9"/>
        <v/>
      </c>
      <c r="H123" t="str">
        <f>IF(A123="","",'ATP Sort'!Q126)</f>
        <v/>
      </c>
    </row>
    <row r="124" spans="1:8">
      <c r="A124" t="str">
        <f>IF('ATP Sort'!Q127="","",IF('ATP Sort'!Q127=0,"",'ATP Sort'!M127))</f>
        <v/>
      </c>
      <c r="B124" t="str">
        <f t="shared" si="5"/>
        <v/>
      </c>
      <c r="C124" t="str">
        <f t="shared" si="6"/>
        <v/>
      </c>
      <c r="D124" t="str">
        <f t="shared" si="7"/>
        <v/>
      </c>
      <c r="E124" t="str">
        <f>IF(A124="","",VLOOKUP(D124,Helper3!$Z$4:$AA$29,2,0))</f>
        <v/>
      </c>
      <c r="F124" t="str">
        <f t="shared" si="8"/>
        <v/>
      </c>
      <c r="G124" t="str">
        <f t="shared" si="9"/>
        <v/>
      </c>
      <c r="H124" t="str">
        <f>IF(A124="","",'ATP Sort'!Q127)</f>
        <v/>
      </c>
    </row>
    <row r="125" spans="1:8">
      <c r="A125" t="str">
        <f>IF('ATP Sort'!Q128="","",IF('ATP Sort'!Q128=0,"",'ATP Sort'!M128))</f>
        <v/>
      </c>
      <c r="B125" t="str">
        <f t="shared" si="5"/>
        <v/>
      </c>
      <c r="C125" t="str">
        <f t="shared" si="6"/>
        <v/>
      </c>
      <c r="D125" t="str">
        <f t="shared" si="7"/>
        <v/>
      </c>
      <c r="E125" t="str">
        <f>IF(A125="","",VLOOKUP(D125,Helper3!$Z$4:$AA$29,2,0))</f>
        <v/>
      </c>
      <c r="F125" t="str">
        <f t="shared" si="8"/>
        <v/>
      </c>
      <c r="G125" t="str">
        <f t="shared" si="9"/>
        <v/>
      </c>
      <c r="H125" t="str">
        <f>IF(A125="","",'ATP Sort'!Q128)</f>
        <v/>
      </c>
    </row>
    <row r="126" spans="1:8">
      <c r="A126" t="str">
        <f>IF('ATP Sort'!Q129="","",IF('ATP Sort'!Q129=0,"",'ATP Sort'!M129))</f>
        <v/>
      </c>
      <c r="B126" t="str">
        <f t="shared" si="5"/>
        <v/>
      </c>
      <c r="C126" t="str">
        <f t="shared" si="6"/>
        <v/>
      </c>
      <c r="D126" t="str">
        <f t="shared" si="7"/>
        <v/>
      </c>
      <c r="E126" t="str">
        <f>IF(A126="","",VLOOKUP(D126,Helper3!$Z$4:$AA$29,2,0))</f>
        <v/>
      </c>
      <c r="F126" t="str">
        <f t="shared" si="8"/>
        <v/>
      </c>
      <c r="G126" t="str">
        <f t="shared" si="9"/>
        <v/>
      </c>
      <c r="H126" t="str">
        <f>IF(A126="","",'ATP Sort'!Q129)</f>
        <v/>
      </c>
    </row>
    <row r="127" spans="1:8">
      <c r="A127" t="str">
        <f>IF('ATP Sort'!Q130="","",IF('ATP Sort'!Q130=0,"",'ATP Sort'!M130))</f>
        <v/>
      </c>
      <c r="B127" t="str">
        <f t="shared" si="5"/>
        <v/>
      </c>
      <c r="C127" t="str">
        <f t="shared" si="6"/>
        <v/>
      </c>
      <c r="D127" t="str">
        <f t="shared" si="7"/>
        <v/>
      </c>
      <c r="E127" t="str">
        <f>IF(A127="","",VLOOKUP(D127,Helper3!$Z$4:$AA$29,2,0))</f>
        <v/>
      </c>
      <c r="F127" t="str">
        <f t="shared" si="8"/>
        <v/>
      </c>
      <c r="G127" t="str">
        <f t="shared" si="9"/>
        <v/>
      </c>
      <c r="H127" t="str">
        <f>IF(A127="","",'ATP Sort'!Q130)</f>
        <v/>
      </c>
    </row>
    <row r="128" spans="1:8">
      <c r="A128" t="str">
        <f>IF('ATP Sort'!Q131="","",IF('ATP Sort'!Q131=0,"",'ATP Sort'!M131))</f>
        <v/>
      </c>
      <c r="B128" t="str">
        <f t="shared" si="5"/>
        <v/>
      </c>
      <c r="C128" t="str">
        <f t="shared" si="6"/>
        <v/>
      </c>
      <c r="D128" t="str">
        <f t="shared" si="7"/>
        <v/>
      </c>
      <c r="E128" t="str">
        <f>IF(A128="","",VLOOKUP(D128,Helper3!$Z$4:$AA$29,2,0))</f>
        <v/>
      </c>
      <c r="F128" t="str">
        <f t="shared" si="8"/>
        <v/>
      </c>
      <c r="G128" t="str">
        <f t="shared" si="9"/>
        <v/>
      </c>
      <c r="H128" t="str">
        <f>IF(A128="","",'ATP Sort'!Q131)</f>
        <v/>
      </c>
    </row>
    <row r="129" spans="1:8">
      <c r="A129" t="str">
        <f>IF('ATP Sort'!Q132="","",IF('ATP Sort'!Q132=0,"",'ATP Sort'!M132))</f>
        <v/>
      </c>
      <c r="B129" t="str">
        <f t="shared" si="5"/>
        <v/>
      </c>
      <c r="C129" t="str">
        <f t="shared" si="6"/>
        <v/>
      </c>
      <c r="D129" t="str">
        <f t="shared" si="7"/>
        <v/>
      </c>
      <c r="E129" t="str">
        <f>IF(A129="","",VLOOKUP(D129,Helper3!$Z$4:$AA$29,2,0))</f>
        <v/>
      </c>
      <c r="F129" t="str">
        <f t="shared" si="8"/>
        <v/>
      </c>
      <c r="G129" t="str">
        <f t="shared" si="9"/>
        <v/>
      </c>
      <c r="H129" t="str">
        <f>IF(A129="","",'ATP Sort'!Q132)</f>
        <v/>
      </c>
    </row>
    <row r="130" spans="1:8">
      <c r="A130" t="str">
        <f>IF('ATP Sort'!Q133="","",IF('ATP Sort'!Q133=0,"",'ATP Sort'!M133))</f>
        <v/>
      </c>
      <c r="B130" t="str">
        <f t="shared" si="5"/>
        <v/>
      </c>
      <c r="C130" t="str">
        <f t="shared" si="6"/>
        <v/>
      </c>
      <c r="D130" t="str">
        <f t="shared" si="7"/>
        <v/>
      </c>
      <c r="E130" t="str">
        <f>IF(A130="","",VLOOKUP(D130,Helper3!$Z$4:$AA$29,2,0))</f>
        <v/>
      </c>
      <c r="F130" t="str">
        <f t="shared" si="8"/>
        <v/>
      </c>
      <c r="G130" t="str">
        <f t="shared" si="9"/>
        <v/>
      </c>
      <c r="H130" t="str">
        <f>IF(A130="","",'ATP Sort'!Q133)</f>
        <v/>
      </c>
    </row>
    <row r="131" spans="1:8">
      <c r="A131" t="str">
        <f>IF('ATP Sort'!Q134="","",IF('ATP Sort'!Q134=0,"",'ATP Sort'!M134))</f>
        <v/>
      </c>
      <c r="B131" t="str">
        <f t="shared" ref="B131:B194" si="10">IF(A131="","","HTA8003")</f>
        <v/>
      </c>
      <c r="C131" t="str">
        <f t="shared" ref="C131:C194" si="11">IF(A131="","",IF(LEFT(A131,3)="lme","X","F"))</f>
        <v/>
      </c>
      <c r="D131" t="str">
        <f t="shared" ref="D131:D194" si="12">IF(C131="","",IF(C131="X",MID(A131,5,LEN(A131)-7),IF(C131="F",RIGHT(A131,LEN(A131)-7))))</f>
        <v/>
      </c>
      <c r="E131" t="str">
        <f>IF(A131="","",VLOOKUP(D131,Helper3!$Z$4:$AA$29,2,0))</f>
        <v/>
      </c>
      <c r="F131" t="str">
        <f t="shared" ref="F131:F194" si="13">IF(C131="","",IF(C131="X","",IF(C131="f",LEFT(A131,1)&amp;MID(A131,3,4))))</f>
        <v/>
      </c>
      <c r="G131" t="str">
        <f t="shared" ref="G131:G194" si="14">IF(C131="","",IF(C131="X",RIGHT(A131,2),""))</f>
        <v/>
      </c>
      <c r="H131" t="str">
        <f>IF(A131="","",'ATP Sort'!Q134)</f>
        <v/>
      </c>
    </row>
    <row r="132" spans="1:8">
      <c r="A132" t="str">
        <f>IF('ATP Sort'!Q135="","",IF('ATP Sort'!Q135=0,"",'ATP Sort'!M135))</f>
        <v/>
      </c>
      <c r="B132" t="str">
        <f t="shared" si="10"/>
        <v/>
      </c>
      <c r="C132" t="str">
        <f t="shared" si="11"/>
        <v/>
      </c>
      <c r="D132" t="str">
        <f t="shared" si="12"/>
        <v/>
      </c>
      <c r="E132" t="str">
        <f>IF(A132="","",VLOOKUP(D132,Helper3!$Z$4:$AA$29,2,0))</f>
        <v/>
      </c>
      <c r="F132" t="str">
        <f t="shared" si="13"/>
        <v/>
      </c>
      <c r="G132" t="str">
        <f t="shared" si="14"/>
        <v/>
      </c>
      <c r="H132" t="str">
        <f>IF(A132="","",'ATP Sort'!Q135)</f>
        <v/>
      </c>
    </row>
    <row r="133" spans="1:8">
      <c r="A133" t="str">
        <f>IF('ATP Sort'!Q136="","",IF('ATP Sort'!Q136=0,"",'ATP Sort'!M136))</f>
        <v/>
      </c>
      <c r="B133" t="str">
        <f t="shared" si="10"/>
        <v/>
      </c>
      <c r="C133" t="str">
        <f t="shared" si="11"/>
        <v/>
      </c>
      <c r="D133" t="str">
        <f t="shared" si="12"/>
        <v/>
      </c>
      <c r="E133" t="str">
        <f>IF(A133="","",VLOOKUP(D133,Helper3!$Z$4:$AA$29,2,0))</f>
        <v/>
      </c>
      <c r="F133" t="str">
        <f t="shared" si="13"/>
        <v/>
      </c>
      <c r="G133" t="str">
        <f t="shared" si="14"/>
        <v/>
      </c>
      <c r="H133" t="str">
        <f>IF(A133="","",'ATP Sort'!Q136)</f>
        <v/>
      </c>
    </row>
    <row r="134" spans="1:8">
      <c r="A134" t="str">
        <f>IF('ATP Sort'!Q137="","",IF('ATP Sort'!Q137=0,"",'ATP Sort'!M137))</f>
        <v/>
      </c>
      <c r="B134" t="str">
        <f t="shared" si="10"/>
        <v/>
      </c>
      <c r="C134" t="str">
        <f t="shared" si="11"/>
        <v/>
      </c>
      <c r="D134" t="str">
        <f t="shared" si="12"/>
        <v/>
      </c>
      <c r="E134" t="str">
        <f>IF(A134="","",VLOOKUP(D134,Helper3!$Z$4:$AA$29,2,0))</f>
        <v/>
      </c>
      <c r="F134" t="str">
        <f t="shared" si="13"/>
        <v/>
      </c>
      <c r="G134" t="str">
        <f t="shared" si="14"/>
        <v/>
      </c>
      <c r="H134" t="str">
        <f>IF(A134="","",'ATP Sort'!Q137)</f>
        <v/>
      </c>
    </row>
    <row r="135" spans="1:8">
      <c r="A135" t="str">
        <f>IF('ATP Sort'!Q138="","",IF('ATP Sort'!Q138=0,"",'ATP Sort'!M138))</f>
        <v/>
      </c>
      <c r="B135" t="str">
        <f t="shared" si="10"/>
        <v/>
      </c>
      <c r="C135" t="str">
        <f t="shared" si="11"/>
        <v/>
      </c>
      <c r="D135" t="str">
        <f t="shared" si="12"/>
        <v/>
      </c>
      <c r="E135" t="str">
        <f>IF(A135="","",VLOOKUP(D135,Helper3!$Z$4:$AA$29,2,0))</f>
        <v/>
      </c>
      <c r="F135" t="str">
        <f t="shared" si="13"/>
        <v/>
      </c>
      <c r="G135" t="str">
        <f t="shared" si="14"/>
        <v/>
      </c>
      <c r="H135" t="str">
        <f>IF(A135="","",'ATP Sort'!Q138)</f>
        <v/>
      </c>
    </row>
    <row r="136" spans="1:8">
      <c r="A136" t="str">
        <f>IF('ATP Sort'!Q139="","",IF('ATP Sort'!Q139=0,"",'ATP Sort'!M139))</f>
        <v/>
      </c>
      <c r="B136" t="str">
        <f t="shared" si="10"/>
        <v/>
      </c>
      <c r="C136" t="str">
        <f t="shared" si="11"/>
        <v/>
      </c>
      <c r="D136" t="str">
        <f t="shared" si="12"/>
        <v/>
      </c>
      <c r="E136" t="str">
        <f>IF(A136="","",VLOOKUP(D136,Helper3!$Z$4:$AA$29,2,0))</f>
        <v/>
      </c>
      <c r="F136" t="str">
        <f t="shared" si="13"/>
        <v/>
      </c>
      <c r="G136" t="str">
        <f t="shared" si="14"/>
        <v/>
      </c>
      <c r="H136" t="str">
        <f>IF(A136="","",'ATP Sort'!Q139)</f>
        <v/>
      </c>
    </row>
    <row r="137" spans="1:8">
      <c r="A137" t="str">
        <f>IF('ATP Sort'!Q140="","",IF('ATP Sort'!Q140=0,"",'ATP Sort'!M140))</f>
        <v/>
      </c>
      <c r="B137" t="str">
        <f t="shared" si="10"/>
        <v/>
      </c>
      <c r="C137" t="str">
        <f t="shared" si="11"/>
        <v/>
      </c>
      <c r="D137" t="str">
        <f t="shared" si="12"/>
        <v/>
      </c>
      <c r="E137" t="str">
        <f>IF(A137="","",VLOOKUP(D137,Helper3!$Z$4:$AA$29,2,0))</f>
        <v/>
      </c>
      <c r="F137" t="str">
        <f t="shared" si="13"/>
        <v/>
      </c>
      <c r="G137" t="str">
        <f t="shared" si="14"/>
        <v/>
      </c>
      <c r="H137" t="str">
        <f>IF(A137="","",'ATP Sort'!Q140)</f>
        <v/>
      </c>
    </row>
    <row r="138" spans="1:8">
      <c r="A138" t="str">
        <f>IF('ATP Sort'!Q141="","",IF('ATP Sort'!Q141=0,"",'ATP Sort'!M141))</f>
        <v/>
      </c>
      <c r="B138" t="str">
        <f t="shared" si="10"/>
        <v/>
      </c>
      <c r="C138" t="str">
        <f t="shared" si="11"/>
        <v/>
      </c>
      <c r="D138" t="str">
        <f t="shared" si="12"/>
        <v/>
      </c>
      <c r="E138" t="str">
        <f>IF(A138="","",VLOOKUP(D138,Helper3!$Z$4:$AA$29,2,0))</f>
        <v/>
      </c>
      <c r="F138" t="str">
        <f t="shared" si="13"/>
        <v/>
      </c>
      <c r="G138" t="str">
        <f t="shared" si="14"/>
        <v/>
      </c>
      <c r="H138" t="str">
        <f>IF(A138="","",'ATP Sort'!Q141)</f>
        <v/>
      </c>
    </row>
    <row r="139" spans="1:8">
      <c r="A139" t="str">
        <f>IF('ATP Sort'!Q142="","",IF('ATP Sort'!Q142=0,"",'ATP Sort'!M142))</f>
        <v/>
      </c>
      <c r="B139" t="str">
        <f t="shared" si="10"/>
        <v/>
      </c>
      <c r="C139" t="str">
        <f t="shared" si="11"/>
        <v/>
      </c>
      <c r="D139" t="str">
        <f t="shared" si="12"/>
        <v/>
      </c>
      <c r="E139" t="str">
        <f>IF(A139="","",VLOOKUP(D139,Helper3!$Z$4:$AA$29,2,0))</f>
        <v/>
      </c>
      <c r="F139" t="str">
        <f t="shared" si="13"/>
        <v/>
      </c>
      <c r="G139" t="str">
        <f t="shared" si="14"/>
        <v/>
      </c>
      <c r="H139" t="str">
        <f>IF(A139="","",'ATP Sort'!Q142)</f>
        <v/>
      </c>
    </row>
    <row r="140" spans="1:8">
      <c r="A140" t="str">
        <f>IF('ATP Sort'!Q143="","",IF('ATP Sort'!Q143=0,"",'ATP Sort'!M143))</f>
        <v/>
      </c>
      <c r="B140" t="str">
        <f t="shared" si="10"/>
        <v/>
      </c>
      <c r="C140" t="str">
        <f t="shared" si="11"/>
        <v/>
      </c>
      <c r="D140" t="str">
        <f t="shared" si="12"/>
        <v/>
      </c>
      <c r="E140" t="str">
        <f>IF(A140="","",VLOOKUP(D140,Helper3!$Z$4:$AA$29,2,0))</f>
        <v/>
      </c>
      <c r="F140" t="str">
        <f t="shared" si="13"/>
        <v/>
      </c>
      <c r="G140" t="str">
        <f t="shared" si="14"/>
        <v/>
      </c>
      <c r="H140" t="str">
        <f>IF(A140="","",'ATP Sort'!Q143)</f>
        <v/>
      </c>
    </row>
    <row r="141" spans="1:8">
      <c r="A141" t="str">
        <f>IF('ATP Sort'!Q144="","",IF('ATP Sort'!Q144=0,"",'ATP Sort'!M144))</f>
        <v/>
      </c>
      <c r="B141" t="str">
        <f t="shared" si="10"/>
        <v/>
      </c>
      <c r="C141" t="str">
        <f t="shared" si="11"/>
        <v/>
      </c>
      <c r="D141" t="str">
        <f t="shared" si="12"/>
        <v/>
      </c>
      <c r="E141" t="str">
        <f>IF(A141="","",VLOOKUP(D141,Helper3!$Z$4:$AA$29,2,0))</f>
        <v/>
      </c>
      <c r="F141" t="str">
        <f t="shared" si="13"/>
        <v/>
      </c>
      <c r="G141" t="str">
        <f t="shared" si="14"/>
        <v/>
      </c>
      <c r="H141" t="str">
        <f>IF(A141="","",'ATP Sort'!Q144)</f>
        <v/>
      </c>
    </row>
    <row r="142" spans="1:8">
      <c r="A142" t="str">
        <f>IF('ATP Sort'!Q145="","",IF('ATP Sort'!Q145=0,"",'ATP Sort'!M145))</f>
        <v/>
      </c>
      <c r="B142" t="str">
        <f t="shared" si="10"/>
        <v/>
      </c>
      <c r="C142" t="str">
        <f t="shared" si="11"/>
        <v/>
      </c>
      <c r="D142" t="str">
        <f t="shared" si="12"/>
        <v/>
      </c>
      <c r="E142" t="str">
        <f>IF(A142="","",VLOOKUP(D142,Helper3!$Z$4:$AA$29,2,0))</f>
        <v/>
      </c>
      <c r="F142" t="str">
        <f t="shared" si="13"/>
        <v/>
      </c>
      <c r="G142" t="str">
        <f t="shared" si="14"/>
        <v/>
      </c>
      <c r="H142" t="str">
        <f>IF(A142="","",'ATP Sort'!Q145)</f>
        <v/>
      </c>
    </row>
    <row r="143" spans="1:8">
      <c r="A143" t="str">
        <f>IF('ATP Sort'!Q146="","",IF('ATP Sort'!Q146=0,"",'ATP Sort'!M146))</f>
        <v/>
      </c>
      <c r="B143" t="str">
        <f t="shared" si="10"/>
        <v/>
      </c>
      <c r="C143" t="str">
        <f t="shared" si="11"/>
        <v/>
      </c>
      <c r="D143" t="str">
        <f t="shared" si="12"/>
        <v/>
      </c>
      <c r="E143" t="str">
        <f>IF(A143="","",VLOOKUP(D143,Helper3!$Z$4:$AA$29,2,0))</f>
        <v/>
      </c>
      <c r="F143" t="str">
        <f t="shared" si="13"/>
        <v/>
      </c>
      <c r="G143" t="str">
        <f t="shared" si="14"/>
        <v/>
      </c>
      <c r="H143" t="str">
        <f>IF(A143="","",'ATP Sort'!Q146)</f>
        <v/>
      </c>
    </row>
    <row r="144" spans="1:8">
      <c r="A144" t="str">
        <f>IF('ATP Sort'!Q147="","",IF('ATP Sort'!Q147=0,"",'ATP Sort'!M147))</f>
        <v/>
      </c>
      <c r="B144" t="str">
        <f t="shared" si="10"/>
        <v/>
      </c>
      <c r="C144" t="str">
        <f t="shared" si="11"/>
        <v/>
      </c>
      <c r="D144" t="str">
        <f t="shared" si="12"/>
        <v/>
      </c>
      <c r="E144" t="str">
        <f>IF(A144="","",VLOOKUP(D144,Helper3!$Z$4:$AA$29,2,0))</f>
        <v/>
      </c>
      <c r="F144" t="str">
        <f t="shared" si="13"/>
        <v/>
      </c>
      <c r="G144" t="str">
        <f t="shared" si="14"/>
        <v/>
      </c>
      <c r="H144" t="str">
        <f>IF(A144="","",'ATP Sort'!Q147)</f>
        <v/>
      </c>
    </row>
    <row r="145" spans="1:8">
      <c r="A145" t="str">
        <f>IF('ATP Sort'!Q148="","",IF('ATP Sort'!Q148=0,"",'ATP Sort'!M148))</f>
        <v/>
      </c>
      <c r="B145" t="str">
        <f t="shared" si="10"/>
        <v/>
      </c>
      <c r="C145" t="str">
        <f t="shared" si="11"/>
        <v/>
      </c>
      <c r="D145" t="str">
        <f t="shared" si="12"/>
        <v/>
      </c>
      <c r="E145" t="str">
        <f>IF(A145="","",VLOOKUP(D145,Helper3!$Z$4:$AA$29,2,0))</f>
        <v/>
      </c>
      <c r="F145" t="str">
        <f t="shared" si="13"/>
        <v/>
      </c>
      <c r="G145" t="str">
        <f t="shared" si="14"/>
        <v/>
      </c>
      <c r="H145" t="str">
        <f>IF(A145="","",'ATP Sort'!Q148)</f>
        <v/>
      </c>
    </row>
    <row r="146" spans="1:8">
      <c r="A146" t="str">
        <f>IF('ATP Sort'!Q149="","",IF('ATP Sort'!Q149=0,"",'ATP Sort'!M149))</f>
        <v/>
      </c>
      <c r="B146" t="str">
        <f t="shared" si="10"/>
        <v/>
      </c>
      <c r="C146" t="str">
        <f t="shared" si="11"/>
        <v/>
      </c>
      <c r="D146" t="str">
        <f t="shared" si="12"/>
        <v/>
      </c>
      <c r="E146" t="str">
        <f>IF(A146="","",VLOOKUP(D146,Helper3!$Z$4:$AA$29,2,0))</f>
        <v/>
      </c>
      <c r="F146" t="str">
        <f t="shared" si="13"/>
        <v/>
      </c>
      <c r="G146" t="str">
        <f t="shared" si="14"/>
        <v/>
      </c>
      <c r="H146" t="str">
        <f>IF(A146="","",'ATP Sort'!Q149)</f>
        <v/>
      </c>
    </row>
    <row r="147" spans="1:8">
      <c r="A147" t="str">
        <f>IF('ATP Sort'!Q150="","",IF('ATP Sort'!Q150=0,"",'ATP Sort'!M150))</f>
        <v/>
      </c>
      <c r="B147" t="str">
        <f t="shared" si="10"/>
        <v/>
      </c>
      <c r="C147" t="str">
        <f t="shared" si="11"/>
        <v/>
      </c>
      <c r="D147" t="str">
        <f t="shared" si="12"/>
        <v/>
      </c>
      <c r="E147" t="str">
        <f>IF(A147="","",VLOOKUP(D147,Helper3!$Z$4:$AA$29,2,0))</f>
        <v/>
      </c>
      <c r="F147" t="str">
        <f t="shared" si="13"/>
        <v/>
      </c>
      <c r="G147" t="str">
        <f t="shared" si="14"/>
        <v/>
      </c>
      <c r="H147" t="str">
        <f>IF(A147="","",'ATP Sort'!Q150)</f>
        <v/>
      </c>
    </row>
    <row r="148" spans="1:8">
      <c r="A148" t="str">
        <f>IF('ATP Sort'!Q151="","",IF('ATP Sort'!Q151=0,"",'ATP Sort'!M151))</f>
        <v/>
      </c>
      <c r="B148" t="str">
        <f t="shared" si="10"/>
        <v/>
      </c>
      <c r="C148" t="str">
        <f t="shared" si="11"/>
        <v/>
      </c>
      <c r="D148" t="str">
        <f t="shared" si="12"/>
        <v/>
      </c>
      <c r="E148" t="str">
        <f>IF(A148="","",VLOOKUP(D148,Helper3!$Z$4:$AA$29,2,0))</f>
        <v/>
      </c>
      <c r="F148" t="str">
        <f t="shared" si="13"/>
        <v/>
      </c>
      <c r="G148" t="str">
        <f t="shared" si="14"/>
        <v/>
      </c>
      <c r="H148" t="str">
        <f>IF(A148="","",'ATP Sort'!Q151)</f>
        <v/>
      </c>
    </row>
    <row r="149" spans="1:8">
      <c r="A149" t="str">
        <f>IF('ATP Sort'!Q152="","",IF('ATP Sort'!Q152=0,"",'ATP Sort'!M152))</f>
        <v/>
      </c>
      <c r="B149" t="str">
        <f t="shared" si="10"/>
        <v/>
      </c>
      <c r="C149" t="str">
        <f t="shared" si="11"/>
        <v/>
      </c>
      <c r="D149" t="str">
        <f t="shared" si="12"/>
        <v/>
      </c>
      <c r="E149" t="str">
        <f>IF(A149="","",VLOOKUP(D149,Helper3!$Z$4:$AA$29,2,0))</f>
        <v/>
      </c>
      <c r="F149" t="str">
        <f t="shared" si="13"/>
        <v/>
      </c>
      <c r="G149" t="str">
        <f t="shared" si="14"/>
        <v/>
      </c>
      <c r="H149" t="str">
        <f>IF(A149="","",'ATP Sort'!Q152)</f>
        <v/>
      </c>
    </row>
    <row r="150" spans="1:8">
      <c r="A150" t="str">
        <f>IF('ATP Sort'!Q153="","",IF('ATP Sort'!Q153=0,"",'ATP Sort'!M153))</f>
        <v/>
      </c>
      <c r="B150" t="str">
        <f t="shared" si="10"/>
        <v/>
      </c>
      <c r="C150" t="str">
        <f t="shared" si="11"/>
        <v/>
      </c>
      <c r="D150" t="str">
        <f t="shared" si="12"/>
        <v/>
      </c>
      <c r="E150" t="str">
        <f>IF(A150="","",VLOOKUP(D150,Helper3!$Z$4:$AA$29,2,0))</f>
        <v/>
      </c>
      <c r="F150" t="str">
        <f t="shared" si="13"/>
        <v/>
      </c>
      <c r="G150" t="str">
        <f t="shared" si="14"/>
        <v/>
      </c>
      <c r="H150" t="str">
        <f>IF(A150="","",'ATP Sort'!Q153)</f>
        <v/>
      </c>
    </row>
    <row r="151" spans="1:8">
      <c r="A151" t="str">
        <f>IF('ATP Sort'!Q154="","",IF('ATP Sort'!Q154=0,"",'ATP Sort'!M154))</f>
        <v/>
      </c>
      <c r="B151" t="str">
        <f t="shared" si="10"/>
        <v/>
      </c>
      <c r="C151" t="str">
        <f t="shared" si="11"/>
        <v/>
      </c>
      <c r="D151" t="str">
        <f t="shared" si="12"/>
        <v/>
      </c>
      <c r="E151" t="str">
        <f>IF(A151="","",VLOOKUP(D151,Helper3!$Z$4:$AA$29,2,0))</f>
        <v/>
      </c>
      <c r="F151" t="str">
        <f t="shared" si="13"/>
        <v/>
      </c>
      <c r="G151" t="str">
        <f t="shared" si="14"/>
        <v/>
      </c>
      <c r="H151" t="str">
        <f>IF(A151="","",'ATP Sort'!Q154)</f>
        <v/>
      </c>
    </row>
    <row r="152" spans="1:8">
      <c r="A152" t="str">
        <f>IF('ATP Sort'!Q155="","",IF('ATP Sort'!Q155=0,"",'ATP Sort'!M155))</f>
        <v/>
      </c>
      <c r="B152" t="str">
        <f t="shared" si="10"/>
        <v/>
      </c>
      <c r="C152" t="str">
        <f t="shared" si="11"/>
        <v/>
      </c>
      <c r="D152" t="str">
        <f t="shared" si="12"/>
        <v/>
      </c>
      <c r="E152" t="str">
        <f>IF(A152="","",VLOOKUP(D152,Helper3!$Z$4:$AA$29,2,0))</f>
        <v/>
      </c>
      <c r="F152" t="str">
        <f t="shared" si="13"/>
        <v/>
      </c>
      <c r="G152" t="str">
        <f t="shared" si="14"/>
        <v/>
      </c>
      <c r="H152" t="str">
        <f>IF(A152="","",'ATP Sort'!Q155)</f>
        <v/>
      </c>
    </row>
    <row r="153" spans="1:8">
      <c r="A153" t="str">
        <f>IF('ATP Sort'!Q156="","",IF('ATP Sort'!Q156=0,"",'ATP Sort'!M156))</f>
        <v/>
      </c>
      <c r="B153" t="str">
        <f t="shared" si="10"/>
        <v/>
      </c>
      <c r="C153" t="str">
        <f t="shared" si="11"/>
        <v/>
      </c>
      <c r="D153" t="str">
        <f t="shared" si="12"/>
        <v/>
      </c>
      <c r="E153" t="str">
        <f>IF(A153="","",VLOOKUP(D153,Helper3!$Z$4:$AA$29,2,0))</f>
        <v/>
      </c>
      <c r="F153" t="str">
        <f t="shared" si="13"/>
        <v/>
      </c>
      <c r="G153" t="str">
        <f t="shared" si="14"/>
        <v/>
      </c>
      <c r="H153" t="str">
        <f>IF(A153="","",'ATP Sort'!Q156)</f>
        <v/>
      </c>
    </row>
    <row r="154" spans="1:8">
      <c r="A154" t="str">
        <f>IF('ATP Sort'!Q157="","",IF('ATP Sort'!Q157=0,"",'ATP Sort'!M157))</f>
        <v/>
      </c>
      <c r="B154" t="str">
        <f t="shared" si="10"/>
        <v/>
      </c>
      <c r="C154" t="str">
        <f t="shared" si="11"/>
        <v/>
      </c>
      <c r="D154" t="str">
        <f t="shared" si="12"/>
        <v/>
      </c>
      <c r="E154" t="str">
        <f>IF(A154="","",VLOOKUP(D154,Helper3!$Z$4:$AA$29,2,0))</f>
        <v/>
      </c>
      <c r="F154" t="str">
        <f t="shared" si="13"/>
        <v/>
      </c>
      <c r="G154" t="str">
        <f t="shared" si="14"/>
        <v/>
      </c>
      <c r="H154" t="str">
        <f>IF(A154="","",'ATP Sort'!Q157)</f>
        <v/>
      </c>
    </row>
    <row r="155" spans="1:8">
      <c r="A155" t="str">
        <f>IF('ATP Sort'!Q158="","",IF('ATP Sort'!Q158=0,"",'ATP Sort'!M158))</f>
        <v/>
      </c>
      <c r="B155" t="str">
        <f t="shared" si="10"/>
        <v/>
      </c>
      <c r="C155" t="str">
        <f t="shared" si="11"/>
        <v/>
      </c>
      <c r="D155" t="str">
        <f t="shared" si="12"/>
        <v/>
      </c>
      <c r="E155" t="str">
        <f>IF(A155="","",VLOOKUP(D155,Helper3!$Z$4:$AA$29,2,0))</f>
        <v/>
      </c>
      <c r="F155" t="str">
        <f t="shared" si="13"/>
        <v/>
      </c>
      <c r="G155" t="str">
        <f t="shared" si="14"/>
        <v/>
      </c>
      <c r="H155" t="str">
        <f>IF(A155="","",'ATP Sort'!Q158)</f>
        <v/>
      </c>
    </row>
    <row r="156" spans="1:8">
      <c r="A156" t="str">
        <f>IF('ATP Sort'!Q159="","",IF('ATP Sort'!Q159=0,"",'ATP Sort'!M159))</f>
        <v/>
      </c>
      <c r="B156" t="str">
        <f t="shared" si="10"/>
        <v/>
      </c>
      <c r="C156" t="str">
        <f t="shared" si="11"/>
        <v/>
      </c>
      <c r="D156" t="str">
        <f t="shared" si="12"/>
        <v/>
      </c>
      <c r="E156" t="str">
        <f>IF(A156="","",VLOOKUP(D156,Helper3!$Z$4:$AA$29,2,0))</f>
        <v/>
      </c>
      <c r="F156" t="str">
        <f t="shared" si="13"/>
        <v/>
      </c>
      <c r="G156" t="str">
        <f t="shared" si="14"/>
        <v/>
      </c>
      <c r="H156" t="str">
        <f>IF(A156="","",'ATP Sort'!Q159)</f>
        <v/>
      </c>
    </row>
    <row r="157" spans="1:8">
      <c r="A157" t="str">
        <f>IF('ATP Sort'!Q160="","",IF('ATP Sort'!Q160=0,"",'ATP Sort'!M160))</f>
        <v/>
      </c>
      <c r="B157" t="str">
        <f t="shared" si="10"/>
        <v/>
      </c>
      <c r="C157" t="str">
        <f t="shared" si="11"/>
        <v/>
      </c>
      <c r="D157" t="str">
        <f t="shared" si="12"/>
        <v/>
      </c>
      <c r="E157" t="str">
        <f>IF(A157="","",VLOOKUP(D157,Helper3!$Z$4:$AA$29,2,0))</f>
        <v/>
      </c>
      <c r="F157" t="str">
        <f t="shared" si="13"/>
        <v/>
      </c>
      <c r="G157" t="str">
        <f t="shared" si="14"/>
        <v/>
      </c>
      <c r="H157" t="str">
        <f>IF(A157="","",'ATP Sort'!Q160)</f>
        <v/>
      </c>
    </row>
    <row r="158" spans="1:8">
      <c r="A158" t="str">
        <f>IF('ATP Sort'!Q161="","",IF('ATP Sort'!Q161=0,"",'ATP Sort'!M161))</f>
        <v/>
      </c>
      <c r="B158" t="str">
        <f t="shared" si="10"/>
        <v/>
      </c>
      <c r="C158" t="str">
        <f t="shared" si="11"/>
        <v/>
      </c>
      <c r="D158" t="str">
        <f t="shared" si="12"/>
        <v/>
      </c>
      <c r="E158" t="str">
        <f>IF(A158="","",VLOOKUP(D158,Helper3!$Z$4:$AA$29,2,0))</f>
        <v/>
      </c>
      <c r="F158" t="str">
        <f t="shared" si="13"/>
        <v/>
      </c>
      <c r="G158" t="str">
        <f t="shared" si="14"/>
        <v/>
      </c>
      <c r="H158" t="str">
        <f>IF(A158="","",'ATP Sort'!Q161)</f>
        <v/>
      </c>
    </row>
    <row r="159" spans="1:8">
      <c r="A159" t="str">
        <f>IF('ATP Sort'!Q162="","",IF('ATP Sort'!Q162=0,"",'ATP Sort'!M162))</f>
        <v/>
      </c>
      <c r="B159" t="str">
        <f t="shared" si="10"/>
        <v/>
      </c>
      <c r="C159" t="str">
        <f t="shared" si="11"/>
        <v/>
      </c>
      <c r="D159" t="str">
        <f t="shared" si="12"/>
        <v/>
      </c>
      <c r="E159" t="str">
        <f>IF(A159="","",VLOOKUP(D159,Helper3!$Z$4:$AA$29,2,0))</f>
        <v/>
      </c>
      <c r="F159" t="str">
        <f t="shared" si="13"/>
        <v/>
      </c>
      <c r="G159" t="str">
        <f t="shared" si="14"/>
        <v/>
      </c>
      <c r="H159" t="str">
        <f>IF(A159="","",'ATP Sort'!Q162)</f>
        <v/>
      </c>
    </row>
    <row r="160" spans="1:8">
      <c r="A160" t="str">
        <f>IF('ATP Sort'!Q163="","",IF('ATP Sort'!Q163=0,"",'ATP Sort'!M163))</f>
        <v/>
      </c>
      <c r="B160" t="str">
        <f t="shared" si="10"/>
        <v/>
      </c>
      <c r="C160" t="str">
        <f t="shared" si="11"/>
        <v/>
      </c>
      <c r="D160" t="str">
        <f t="shared" si="12"/>
        <v/>
      </c>
      <c r="E160" t="str">
        <f>IF(A160="","",VLOOKUP(D160,Helper3!$Z$4:$AA$29,2,0))</f>
        <v/>
      </c>
      <c r="F160" t="str">
        <f t="shared" si="13"/>
        <v/>
      </c>
      <c r="G160" t="str">
        <f t="shared" si="14"/>
        <v/>
      </c>
      <c r="H160" t="str">
        <f>IF(A160="","",'ATP Sort'!Q163)</f>
        <v/>
      </c>
    </row>
    <row r="161" spans="1:8">
      <c r="A161" t="str">
        <f>IF('ATP Sort'!Q164="","",IF('ATP Sort'!Q164=0,"",'ATP Sort'!M164))</f>
        <v/>
      </c>
      <c r="B161" t="str">
        <f t="shared" si="10"/>
        <v/>
      </c>
      <c r="C161" t="str">
        <f t="shared" si="11"/>
        <v/>
      </c>
      <c r="D161" t="str">
        <f t="shared" si="12"/>
        <v/>
      </c>
      <c r="E161" t="str">
        <f>IF(A161="","",VLOOKUP(D161,Helper3!$Z$4:$AA$29,2,0))</f>
        <v/>
      </c>
      <c r="F161" t="str">
        <f t="shared" si="13"/>
        <v/>
      </c>
      <c r="G161" t="str">
        <f t="shared" si="14"/>
        <v/>
      </c>
      <c r="H161" t="str">
        <f>IF(A161="","",'ATP Sort'!Q164)</f>
        <v/>
      </c>
    </row>
    <row r="162" spans="1:8">
      <c r="A162" t="str">
        <f>IF('ATP Sort'!Q165="","",IF('ATP Sort'!Q165=0,"",'ATP Sort'!M165))</f>
        <v/>
      </c>
      <c r="B162" t="str">
        <f t="shared" si="10"/>
        <v/>
      </c>
      <c r="C162" t="str">
        <f t="shared" si="11"/>
        <v/>
      </c>
      <c r="D162" t="str">
        <f t="shared" si="12"/>
        <v/>
      </c>
      <c r="E162" t="str">
        <f>IF(A162="","",VLOOKUP(D162,Helper3!$Z$4:$AA$29,2,0))</f>
        <v/>
      </c>
      <c r="F162" t="str">
        <f t="shared" si="13"/>
        <v/>
      </c>
      <c r="G162" t="str">
        <f t="shared" si="14"/>
        <v/>
      </c>
      <c r="H162" t="str">
        <f>IF(A162="","",'ATP Sort'!Q165)</f>
        <v/>
      </c>
    </row>
    <row r="163" spans="1:8">
      <c r="A163" t="str">
        <f>IF('ATP Sort'!Q166="","",IF('ATP Sort'!Q166=0,"",'ATP Sort'!M166))</f>
        <v/>
      </c>
      <c r="B163" t="str">
        <f t="shared" si="10"/>
        <v/>
      </c>
      <c r="C163" t="str">
        <f t="shared" si="11"/>
        <v/>
      </c>
      <c r="D163" t="str">
        <f t="shared" si="12"/>
        <v/>
      </c>
      <c r="E163" t="str">
        <f>IF(A163="","",VLOOKUP(D163,Helper3!$Z$4:$AA$29,2,0))</f>
        <v/>
      </c>
      <c r="F163" t="str">
        <f t="shared" si="13"/>
        <v/>
      </c>
      <c r="G163" t="str">
        <f t="shared" si="14"/>
        <v/>
      </c>
      <c r="H163" t="str">
        <f>IF(A163="","",'ATP Sort'!Q166)</f>
        <v/>
      </c>
    </row>
    <row r="164" spans="1:8">
      <c r="A164" t="str">
        <f>IF('ATP Sort'!Q167="","",IF('ATP Sort'!Q167=0,"",'ATP Sort'!M167))</f>
        <v/>
      </c>
      <c r="B164" t="str">
        <f t="shared" si="10"/>
        <v/>
      </c>
      <c r="C164" t="str">
        <f t="shared" si="11"/>
        <v/>
      </c>
      <c r="D164" t="str">
        <f t="shared" si="12"/>
        <v/>
      </c>
      <c r="E164" t="str">
        <f>IF(A164="","",VLOOKUP(D164,Helper3!$Z$4:$AA$29,2,0))</f>
        <v/>
      </c>
      <c r="F164" t="str">
        <f t="shared" si="13"/>
        <v/>
      </c>
      <c r="G164" t="str">
        <f t="shared" si="14"/>
        <v/>
      </c>
      <c r="H164" t="str">
        <f>IF(A164="","",'ATP Sort'!Q167)</f>
        <v/>
      </c>
    </row>
    <row r="165" spans="1:8">
      <c r="A165" t="str">
        <f>IF('ATP Sort'!Q168="","",IF('ATP Sort'!Q168=0,"",'ATP Sort'!M168))</f>
        <v/>
      </c>
      <c r="B165" t="str">
        <f t="shared" si="10"/>
        <v/>
      </c>
      <c r="C165" t="str">
        <f t="shared" si="11"/>
        <v/>
      </c>
      <c r="D165" t="str">
        <f t="shared" si="12"/>
        <v/>
      </c>
      <c r="E165" t="str">
        <f>IF(A165="","",VLOOKUP(D165,Helper3!$Z$4:$AA$29,2,0))</f>
        <v/>
      </c>
      <c r="F165" t="str">
        <f t="shared" si="13"/>
        <v/>
      </c>
      <c r="G165" t="str">
        <f t="shared" si="14"/>
        <v/>
      </c>
      <c r="H165" t="str">
        <f>IF(A165="","",'ATP Sort'!Q168)</f>
        <v/>
      </c>
    </row>
    <row r="166" spans="1:8">
      <c r="A166" t="str">
        <f>IF('ATP Sort'!Q169="","",IF('ATP Sort'!Q169=0,"",'ATP Sort'!M169))</f>
        <v/>
      </c>
      <c r="B166" t="str">
        <f t="shared" si="10"/>
        <v/>
      </c>
      <c r="C166" t="str">
        <f t="shared" si="11"/>
        <v/>
      </c>
      <c r="D166" t="str">
        <f t="shared" si="12"/>
        <v/>
      </c>
      <c r="E166" t="str">
        <f>IF(A166="","",VLOOKUP(D166,Helper3!$Z$4:$AA$29,2,0))</f>
        <v/>
      </c>
      <c r="F166" t="str">
        <f t="shared" si="13"/>
        <v/>
      </c>
      <c r="G166" t="str">
        <f t="shared" si="14"/>
        <v/>
      </c>
      <c r="H166" t="str">
        <f>IF(A166="","",'ATP Sort'!Q169)</f>
        <v/>
      </c>
    </row>
    <row r="167" spans="1:8">
      <c r="A167" t="str">
        <f>IF('ATP Sort'!Q170="","",IF('ATP Sort'!Q170=0,"",'ATP Sort'!M170))</f>
        <v/>
      </c>
      <c r="B167" t="str">
        <f t="shared" si="10"/>
        <v/>
      </c>
      <c r="C167" t="str">
        <f t="shared" si="11"/>
        <v/>
      </c>
      <c r="D167" t="str">
        <f t="shared" si="12"/>
        <v/>
      </c>
      <c r="E167" t="str">
        <f>IF(A167="","",VLOOKUP(D167,Helper3!$Z$4:$AA$29,2,0))</f>
        <v/>
      </c>
      <c r="F167" t="str">
        <f t="shared" si="13"/>
        <v/>
      </c>
      <c r="G167" t="str">
        <f t="shared" si="14"/>
        <v/>
      </c>
      <c r="H167" t="str">
        <f>IF(A167="","",'ATP Sort'!Q170)</f>
        <v/>
      </c>
    </row>
    <row r="168" spans="1:8">
      <c r="A168" t="str">
        <f>IF('ATP Sort'!Q171="","",IF('ATP Sort'!Q171=0,"",'ATP Sort'!M171))</f>
        <v/>
      </c>
      <c r="B168" t="str">
        <f t="shared" si="10"/>
        <v/>
      </c>
      <c r="C168" t="str">
        <f t="shared" si="11"/>
        <v/>
      </c>
      <c r="D168" t="str">
        <f t="shared" si="12"/>
        <v/>
      </c>
      <c r="E168" t="str">
        <f>IF(A168="","",VLOOKUP(D168,Helper3!$Z$4:$AA$29,2,0))</f>
        <v/>
      </c>
      <c r="F168" t="str">
        <f t="shared" si="13"/>
        <v/>
      </c>
      <c r="G168" t="str">
        <f t="shared" si="14"/>
        <v/>
      </c>
      <c r="H168" t="str">
        <f>IF(A168="","",'ATP Sort'!Q171)</f>
        <v/>
      </c>
    </row>
    <row r="169" spans="1:8">
      <c r="A169" t="str">
        <f>IF('ATP Sort'!Q172="","",IF('ATP Sort'!Q172=0,"",'ATP Sort'!M172))</f>
        <v/>
      </c>
      <c r="B169" t="str">
        <f t="shared" si="10"/>
        <v/>
      </c>
      <c r="C169" t="str">
        <f t="shared" si="11"/>
        <v/>
      </c>
      <c r="D169" t="str">
        <f t="shared" si="12"/>
        <v/>
      </c>
      <c r="E169" t="str">
        <f>IF(A169="","",VLOOKUP(D169,Helper3!$Z$4:$AA$29,2,0))</f>
        <v/>
      </c>
      <c r="F169" t="str">
        <f t="shared" si="13"/>
        <v/>
      </c>
      <c r="G169" t="str">
        <f t="shared" si="14"/>
        <v/>
      </c>
      <c r="H169" t="str">
        <f>IF(A169="","",'ATP Sort'!Q172)</f>
        <v/>
      </c>
    </row>
    <row r="170" spans="1:8">
      <c r="A170" t="str">
        <f>IF('ATP Sort'!Q173="","",IF('ATP Sort'!Q173=0,"",'ATP Sort'!M173))</f>
        <v/>
      </c>
      <c r="B170" t="str">
        <f t="shared" si="10"/>
        <v/>
      </c>
      <c r="C170" t="str">
        <f t="shared" si="11"/>
        <v/>
      </c>
      <c r="D170" t="str">
        <f t="shared" si="12"/>
        <v/>
      </c>
      <c r="E170" t="str">
        <f>IF(A170="","",VLOOKUP(D170,Helper3!$Z$4:$AA$29,2,0))</f>
        <v/>
      </c>
      <c r="F170" t="str">
        <f t="shared" si="13"/>
        <v/>
      </c>
      <c r="G170" t="str">
        <f t="shared" si="14"/>
        <v/>
      </c>
      <c r="H170" t="str">
        <f>IF(A170="","",'ATP Sort'!Q173)</f>
        <v/>
      </c>
    </row>
    <row r="171" spans="1:8">
      <c r="A171" t="str">
        <f>IF('ATP Sort'!Q174="","",IF('ATP Sort'!Q174=0,"",'ATP Sort'!M174))</f>
        <v/>
      </c>
      <c r="B171" t="str">
        <f t="shared" si="10"/>
        <v/>
      </c>
      <c r="C171" t="str">
        <f t="shared" si="11"/>
        <v/>
      </c>
      <c r="D171" t="str">
        <f t="shared" si="12"/>
        <v/>
      </c>
      <c r="E171" t="str">
        <f>IF(A171="","",VLOOKUP(D171,Helper3!$Z$4:$AA$29,2,0))</f>
        <v/>
      </c>
      <c r="F171" t="str">
        <f t="shared" si="13"/>
        <v/>
      </c>
      <c r="G171" t="str">
        <f t="shared" si="14"/>
        <v/>
      </c>
      <c r="H171" t="str">
        <f>IF(A171="","",'ATP Sort'!Q174)</f>
        <v/>
      </c>
    </row>
    <row r="172" spans="1:8">
      <c r="A172" t="str">
        <f>IF('ATP Sort'!Q175="","",IF('ATP Sort'!Q175=0,"",'ATP Sort'!M175))</f>
        <v/>
      </c>
      <c r="B172" t="str">
        <f t="shared" si="10"/>
        <v/>
      </c>
      <c r="C172" t="str">
        <f t="shared" si="11"/>
        <v/>
      </c>
      <c r="D172" t="str">
        <f t="shared" si="12"/>
        <v/>
      </c>
      <c r="E172" t="str">
        <f>IF(A172="","",VLOOKUP(D172,Helper3!$Z$4:$AA$29,2,0))</f>
        <v/>
      </c>
      <c r="F172" t="str">
        <f t="shared" si="13"/>
        <v/>
      </c>
      <c r="G172" t="str">
        <f t="shared" si="14"/>
        <v/>
      </c>
      <c r="H172" t="str">
        <f>IF(A172="","",'ATP Sort'!Q175)</f>
        <v/>
      </c>
    </row>
    <row r="173" spans="1:8">
      <c r="A173" t="str">
        <f>IF('ATP Sort'!Q176="","",IF('ATP Sort'!Q176=0,"",'ATP Sort'!M176))</f>
        <v/>
      </c>
      <c r="B173" t="str">
        <f t="shared" si="10"/>
        <v/>
      </c>
      <c r="C173" t="str">
        <f t="shared" si="11"/>
        <v/>
      </c>
      <c r="D173" t="str">
        <f t="shared" si="12"/>
        <v/>
      </c>
      <c r="E173" t="str">
        <f>IF(A173="","",VLOOKUP(D173,Helper3!$Z$4:$AA$29,2,0))</f>
        <v/>
      </c>
      <c r="F173" t="str">
        <f t="shared" si="13"/>
        <v/>
      </c>
      <c r="G173" t="str">
        <f t="shared" si="14"/>
        <v/>
      </c>
      <c r="H173" t="str">
        <f>IF(A173="","",'ATP Sort'!Q176)</f>
        <v/>
      </c>
    </row>
    <row r="174" spans="1:8">
      <c r="A174" t="str">
        <f>IF('ATP Sort'!Q177="","",IF('ATP Sort'!Q177=0,"",'ATP Sort'!M177))</f>
        <v/>
      </c>
      <c r="B174" t="str">
        <f t="shared" si="10"/>
        <v/>
      </c>
      <c r="C174" t="str">
        <f t="shared" si="11"/>
        <v/>
      </c>
      <c r="D174" t="str">
        <f t="shared" si="12"/>
        <v/>
      </c>
      <c r="E174" t="str">
        <f>IF(A174="","",VLOOKUP(D174,Helper3!$Z$4:$AA$29,2,0))</f>
        <v/>
      </c>
      <c r="F174" t="str">
        <f t="shared" si="13"/>
        <v/>
      </c>
      <c r="G174" t="str">
        <f t="shared" si="14"/>
        <v/>
      </c>
      <c r="H174" t="str">
        <f>IF(A174="","",'ATP Sort'!Q177)</f>
        <v/>
      </c>
    </row>
    <row r="175" spans="1:8">
      <c r="A175" t="str">
        <f>IF('ATP Sort'!Q178="","",IF('ATP Sort'!Q178=0,"",'ATP Sort'!M178))</f>
        <v/>
      </c>
      <c r="B175" t="str">
        <f t="shared" si="10"/>
        <v/>
      </c>
      <c r="C175" t="str">
        <f t="shared" si="11"/>
        <v/>
      </c>
      <c r="D175" t="str">
        <f t="shared" si="12"/>
        <v/>
      </c>
      <c r="E175" t="str">
        <f>IF(A175="","",VLOOKUP(D175,Helper3!$Z$4:$AA$29,2,0))</f>
        <v/>
      </c>
      <c r="F175" t="str">
        <f t="shared" si="13"/>
        <v/>
      </c>
      <c r="G175" t="str">
        <f t="shared" si="14"/>
        <v/>
      </c>
      <c r="H175" t="str">
        <f>IF(A175="","",'ATP Sort'!Q178)</f>
        <v/>
      </c>
    </row>
    <row r="176" spans="1:8">
      <c r="A176" t="str">
        <f>IF('ATP Sort'!Q179="","",IF('ATP Sort'!Q179=0,"",'ATP Sort'!M179))</f>
        <v/>
      </c>
      <c r="B176" t="str">
        <f t="shared" si="10"/>
        <v/>
      </c>
      <c r="C176" t="str">
        <f t="shared" si="11"/>
        <v/>
      </c>
      <c r="D176" t="str">
        <f t="shared" si="12"/>
        <v/>
      </c>
      <c r="E176" t="str">
        <f>IF(A176="","",VLOOKUP(D176,Helper3!$Z$4:$AA$29,2,0))</f>
        <v/>
      </c>
      <c r="F176" t="str">
        <f t="shared" si="13"/>
        <v/>
      </c>
      <c r="G176" t="str">
        <f t="shared" si="14"/>
        <v/>
      </c>
      <c r="H176" t="str">
        <f>IF(A176="","",'ATP Sort'!Q179)</f>
        <v/>
      </c>
    </row>
    <row r="177" spans="1:8">
      <c r="A177" t="str">
        <f>IF('ATP Sort'!Q180="","",IF('ATP Sort'!Q180=0,"",'ATP Sort'!M180))</f>
        <v/>
      </c>
      <c r="B177" t="str">
        <f t="shared" si="10"/>
        <v/>
      </c>
      <c r="C177" t="str">
        <f t="shared" si="11"/>
        <v/>
      </c>
      <c r="D177" t="str">
        <f t="shared" si="12"/>
        <v/>
      </c>
      <c r="E177" t="str">
        <f>IF(A177="","",VLOOKUP(D177,Helper3!$Z$4:$AA$29,2,0))</f>
        <v/>
      </c>
      <c r="F177" t="str">
        <f t="shared" si="13"/>
        <v/>
      </c>
      <c r="G177" t="str">
        <f t="shared" si="14"/>
        <v/>
      </c>
      <c r="H177" t="str">
        <f>IF(A177="","",'ATP Sort'!Q180)</f>
        <v/>
      </c>
    </row>
    <row r="178" spans="1:8">
      <c r="A178" t="str">
        <f>IF('ATP Sort'!Q181="","",IF('ATP Sort'!Q181=0,"",'ATP Sort'!M181))</f>
        <v/>
      </c>
      <c r="B178" t="str">
        <f t="shared" si="10"/>
        <v/>
      </c>
      <c r="C178" t="str">
        <f t="shared" si="11"/>
        <v/>
      </c>
      <c r="D178" t="str">
        <f t="shared" si="12"/>
        <v/>
      </c>
      <c r="E178" t="str">
        <f>IF(A178="","",VLOOKUP(D178,Helper3!$Z$4:$AA$29,2,0))</f>
        <v/>
      </c>
      <c r="F178" t="str">
        <f t="shared" si="13"/>
        <v/>
      </c>
      <c r="G178" t="str">
        <f t="shared" si="14"/>
        <v/>
      </c>
      <c r="H178" t="str">
        <f>IF(A178="","",'ATP Sort'!Q181)</f>
        <v/>
      </c>
    </row>
    <row r="179" spans="1:8">
      <c r="A179" t="str">
        <f>IF('ATP Sort'!Q182="","",IF('ATP Sort'!Q182=0,"",'ATP Sort'!M182))</f>
        <v/>
      </c>
      <c r="B179" t="str">
        <f t="shared" si="10"/>
        <v/>
      </c>
      <c r="C179" t="str">
        <f t="shared" si="11"/>
        <v/>
      </c>
      <c r="D179" t="str">
        <f t="shared" si="12"/>
        <v/>
      </c>
      <c r="E179" t="str">
        <f>IF(A179="","",VLOOKUP(D179,Helper3!$Z$4:$AA$29,2,0))</f>
        <v/>
      </c>
      <c r="F179" t="str">
        <f t="shared" si="13"/>
        <v/>
      </c>
      <c r="G179" t="str">
        <f t="shared" si="14"/>
        <v/>
      </c>
      <c r="H179" t="str">
        <f>IF(A179="","",'ATP Sort'!Q182)</f>
        <v/>
      </c>
    </row>
    <row r="180" spans="1:8">
      <c r="A180" t="str">
        <f>IF('ATP Sort'!Q183="","",IF('ATP Sort'!Q183=0,"",'ATP Sort'!M183))</f>
        <v/>
      </c>
      <c r="B180" t="str">
        <f t="shared" si="10"/>
        <v/>
      </c>
      <c r="C180" t="str">
        <f t="shared" si="11"/>
        <v/>
      </c>
      <c r="D180" t="str">
        <f t="shared" si="12"/>
        <v/>
      </c>
      <c r="E180" t="str">
        <f>IF(A180="","",VLOOKUP(D180,Helper3!$Z$4:$AA$29,2,0))</f>
        <v/>
      </c>
      <c r="F180" t="str">
        <f t="shared" si="13"/>
        <v/>
      </c>
      <c r="G180" t="str">
        <f t="shared" si="14"/>
        <v/>
      </c>
      <c r="H180" t="str">
        <f>IF(A180="","",'ATP Sort'!Q183)</f>
        <v/>
      </c>
    </row>
    <row r="181" spans="1:8">
      <c r="A181" t="str">
        <f>IF('ATP Sort'!Q184="","",IF('ATP Sort'!Q184=0,"",'ATP Sort'!M184))</f>
        <v/>
      </c>
      <c r="B181" t="str">
        <f t="shared" si="10"/>
        <v/>
      </c>
      <c r="C181" t="str">
        <f t="shared" si="11"/>
        <v/>
      </c>
      <c r="D181" t="str">
        <f t="shared" si="12"/>
        <v/>
      </c>
      <c r="E181" t="str">
        <f>IF(A181="","",VLOOKUP(D181,Helper3!$Z$4:$AA$29,2,0))</f>
        <v/>
      </c>
      <c r="F181" t="str">
        <f t="shared" si="13"/>
        <v/>
      </c>
      <c r="G181" t="str">
        <f t="shared" si="14"/>
        <v/>
      </c>
      <c r="H181" t="str">
        <f>IF(A181="","",'ATP Sort'!Q184)</f>
        <v/>
      </c>
    </row>
    <row r="182" spans="1:8">
      <c r="A182" t="str">
        <f>IF('ATP Sort'!Q185="","",IF('ATP Sort'!Q185=0,"",'ATP Sort'!M185))</f>
        <v/>
      </c>
      <c r="B182" t="str">
        <f t="shared" si="10"/>
        <v/>
      </c>
      <c r="C182" t="str">
        <f t="shared" si="11"/>
        <v/>
      </c>
      <c r="D182" t="str">
        <f t="shared" si="12"/>
        <v/>
      </c>
      <c r="E182" t="str">
        <f>IF(A182="","",VLOOKUP(D182,Helper3!$Z$4:$AA$29,2,0))</f>
        <v/>
      </c>
      <c r="F182" t="str">
        <f t="shared" si="13"/>
        <v/>
      </c>
      <c r="G182" t="str">
        <f t="shared" si="14"/>
        <v/>
      </c>
      <c r="H182" t="str">
        <f>IF(A182="","",'ATP Sort'!Q185)</f>
        <v/>
      </c>
    </row>
    <row r="183" spans="1:8">
      <c r="A183" t="str">
        <f>IF('ATP Sort'!Q186="","",IF('ATP Sort'!Q186=0,"",'ATP Sort'!M186))</f>
        <v/>
      </c>
      <c r="B183" t="str">
        <f t="shared" si="10"/>
        <v/>
      </c>
      <c r="C183" t="str">
        <f t="shared" si="11"/>
        <v/>
      </c>
      <c r="D183" t="str">
        <f t="shared" si="12"/>
        <v/>
      </c>
      <c r="E183" t="str">
        <f>IF(A183="","",VLOOKUP(D183,Helper3!$Z$4:$AA$29,2,0))</f>
        <v/>
      </c>
      <c r="F183" t="str">
        <f t="shared" si="13"/>
        <v/>
      </c>
      <c r="G183" t="str">
        <f t="shared" si="14"/>
        <v/>
      </c>
      <c r="H183" t="str">
        <f>IF(A183="","",'ATP Sort'!Q186)</f>
        <v/>
      </c>
    </row>
    <row r="184" spans="1:8">
      <c r="A184" t="str">
        <f>IF('ATP Sort'!Q187="","",IF('ATP Sort'!Q187=0,"",'ATP Sort'!M187))</f>
        <v/>
      </c>
      <c r="B184" t="str">
        <f t="shared" si="10"/>
        <v/>
      </c>
      <c r="C184" t="str">
        <f t="shared" si="11"/>
        <v/>
      </c>
      <c r="D184" t="str">
        <f t="shared" si="12"/>
        <v/>
      </c>
      <c r="E184" t="str">
        <f>IF(A184="","",VLOOKUP(D184,Helper3!$Z$4:$AA$29,2,0))</f>
        <v/>
      </c>
      <c r="F184" t="str">
        <f t="shared" si="13"/>
        <v/>
      </c>
      <c r="G184" t="str">
        <f t="shared" si="14"/>
        <v/>
      </c>
      <c r="H184" t="str">
        <f>IF(A184="","",'ATP Sort'!Q187)</f>
        <v/>
      </c>
    </row>
    <row r="185" spans="1:8">
      <c r="A185" t="str">
        <f>IF('ATP Sort'!Q188="","",IF('ATP Sort'!Q188=0,"",'ATP Sort'!M188))</f>
        <v/>
      </c>
      <c r="B185" t="str">
        <f t="shared" si="10"/>
        <v/>
      </c>
      <c r="C185" t="str">
        <f t="shared" si="11"/>
        <v/>
      </c>
      <c r="D185" t="str">
        <f t="shared" si="12"/>
        <v/>
      </c>
      <c r="E185" t="str">
        <f>IF(A185="","",VLOOKUP(D185,Helper3!$Z$4:$AA$29,2,0))</f>
        <v/>
      </c>
      <c r="F185" t="str">
        <f t="shared" si="13"/>
        <v/>
      </c>
      <c r="G185" t="str">
        <f t="shared" si="14"/>
        <v/>
      </c>
      <c r="H185" t="str">
        <f>IF(A185="","",'ATP Sort'!Q188)</f>
        <v/>
      </c>
    </row>
    <row r="186" spans="1:8">
      <c r="A186" t="str">
        <f>IF('ATP Sort'!Q189="","",IF('ATP Sort'!Q189=0,"",'ATP Sort'!M189))</f>
        <v/>
      </c>
      <c r="B186" t="str">
        <f t="shared" si="10"/>
        <v/>
      </c>
      <c r="C186" t="str">
        <f t="shared" si="11"/>
        <v/>
      </c>
      <c r="D186" t="str">
        <f t="shared" si="12"/>
        <v/>
      </c>
      <c r="E186" t="str">
        <f>IF(A186="","",VLOOKUP(D186,Helper3!$Z$4:$AA$29,2,0))</f>
        <v/>
      </c>
      <c r="F186" t="str">
        <f t="shared" si="13"/>
        <v/>
      </c>
      <c r="G186" t="str">
        <f t="shared" si="14"/>
        <v/>
      </c>
      <c r="H186" t="str">
        <f>IF(A186="","",'ATP Sort'!Q189)</f>
        <v/>
      </c>
    </row>
    <row r="187" spans="1:8">
      <c r="A187" t="str">
        <f>IF('ATP Sort'!Q190="","",IF('ATP Sort'!Q190=0,"",'ATP Sort'!M190))</f>
        <v/>
      </c>
      <c r="B187" t="str">
        <f t="shared" si="10"/>
        <v/>
      </c>
      <c r="C187" t="str">
        <f t="shared" si="11"/>
        <v/>
      </c>
      <c r="D187" t="str">
        <f t="shared" si="12"/>
        <v/>
      </c>
      <c r="E187" t="str">
        <f>IF(A187="","",VLOOKUP(D187,Helper3!$Z$4:$AA$29,2,0))</f>
        <v/>
      </c>
      <c r="F187" t="str">
        <f t="shared" si="13"/>
        <v/>
      </c>
      <c r="G187" t="str">
        <f t="shared" si="14"/>
        <v/>
      </c>
      <c r="H187" t="str">
        <f>IF(A187="","",'ATP Sort'!Q190)</f>
        <v/>
      </c>
    </row>
    <row r="188" spans="1:8">
      <c r="A188" t="str">
        <f>IF('ATP Sort'!Q191="","",IF('ATP Sort'!Q191=0,"",'ATP Sort'!M191))</f>
        <v/>
      </c>
      <c r="B188" t="str">
        <f t="shared" si="10"/>
        <v/>
      </c>
      <c r="C188" t="str">
        <f t="shared" si="11"/>
        <v/>
      </c>
      <c r="D188" t="str">
        <f t="shared" si="12"/>
        <v/>
      </c>
      <c r="E188" t="str">
        <f>IF(A188="","",VLOOKUP(D188,Helper3!$Z$4:$AA$29,2,0))</f>
        <v/>
      </c>
      <c r="F188" t="str">
        <f t="shared" si="13"/>
        <v/>
      </c>
      <c r="G188" t="str">
        <f t="shared" si="14"/>
        <v/>
      </c>
      <c r="H188" t="str">
        <f>IF(A188="","",'ATP Sort'!Q191)</f>
        <v/>
      </c>
    </row>
    <row r="189" spans="1:8">
      <c r="A189" t="str">
        <f>IF('ATP Sort'!Q192="","",IF('ATP Sort'!Q192=0,"",'ATP Sort'!M192))</f>
        <v/>
      </c>
      <c r="B189" t="str">
        <f t="shared" si="10"/>
        <v/>
      </c>
      <c r="C189" t="str">
        <f t="shared" si="11"/>
        <v/>
      </c>
      <c r="D189" t="str">
        <f t="shared" si="12"/>
        <v/>
      </c>
      <c r="E189" t="str">
        <f>IF(A189="","",VLOOKUP(D189,Helper3!$Z$4:$AA$29,2,0))</f>
        <v/>
      </c>
      <c r="F189" t="str">
        <f t="shared" si="13"/>
        <v/>
      </c>
      <c r="G189" t="str">
        <f t="shared" si="14"/>
        <v/>
      </c>
      <c r="H189" t="str">
        <f>IF(A189="","",'ATP Sort'!Q192)</f>
        <v/>
      </c>
    </row>
    <row r="190" spans="1:8">
      <c r="A190" t="str">
        <f>IF('ATP Sort'!Q193="","",IF('ATP Sort'!Q193=0,"",'ATP Sort'!M193))</f>
        <v/>
      </c>
      <c r="B190" t="str">
        <f t="shared" si="10"/>
        <v/>
      </c>
      <c r="C190" t="str">
        <f t="shared" si="11"/>
        <v/>
      </c>
      <c r="D190" t="str">
        <f t="shared" si="12"/>
        <v/>
      </c>
      <c r="E190" t="str">
        <f>IF(A190="","",VLOOKUP(D190,Helper3!$Z$4:$AA$29,2,0))</f>
        <v/>
      </c>
      <c r="F190" t="str">
        <f t="shared" si="13"/>
        <v/>
      </c>
      <c r="G190" t="str">
        <f t="shared" si="14"/>
        <v/>
      </c>
      <c r="H190" t="str">
        <f>IF(A190="","",'ATP Sort'!Q193)</f>
        <v/>
      </c>
    </row>
    <row r="191" spans="1:8">
      <c r="A191" t="str">
        <f>IF('ATP Sort'!Q194="","",IF('ATP Sort'!Q194=0,"",'ATP Sort'!M194))</f>
        <v/>
      </c>
      <c r="B191" t="str">
        <f t="shared" si="10"/>
        <v/>
      </c>
      <c r="C191" t="str">
        <f t="shared" si="11"/>
        <v/>
      </c>
      <c r="D191" t="str">
        <f t="shared" si="12"/>
        <v/>
      </c>
      <c r="E191" t="str">
        <f>IF(A191="","",VLOOKUP(D191,Helper3!$Z$4:$AA$29,2,0))</f>
        <v/>
      </c>
      <c r="F191" t="str">
        <f t="shared" si="13"/>
        <v/>
      </c>
      <c r="G191" t="str">
        <f t="shared" si="14"/>
        <v/>
      </c>
      <c r="H191" t="str">
        <f>IF(A191="","",'ATP Sort'!Q194)</f>
        <v/>
      </c>
    </row>
    <row r="192" spans="1:8">
      <c r="A192" t="str">
        <f>IF('ATP Sort'!Q195="","",IF('ATP Sort'!Q195=0,"",'ATP Sort'!M195))</f>
        <v/>
      </c>
      <c r="B192" t="str">
        <f t="shared" si="10"/>
        <v/>
      </c>
      <c r="C192" t="str">
        <f t="shared" si="11"/>
        <v/>
      </c>
      <c r="D192" t="str">
        <f t="shared" si="12"/>
        <v/>
      </c>
      <c r="E192" t="str">
        <f>IF(A192="","",VLOOKUP(D192,Helper3!$Z$4:$AA$29,2,0))</f>
        <v/>
      </c>
      <c r="F192" t="str">
        <f t="shared" si="13"/>
        <v/>
      </c>
      <c r="G192" t="str">
        <f t="shared" si="14"/>
        <v/>
      </c>
      <c r="H192" t="str">
        <f>IF(A192="","",'ATP Sort'!Q195)</f>
        <v/>
      </c>
    </row>
    <row r="193" spans="1:8">
      <c r="A193" t="str">
        <f>IF('ATP Sort'!Q196="","",IF('ATP Sort'!Q196=0,"",'ATP Sort'!M196))</f>
        <v/>
      </c>
      <c r="B193" t="str">
        <f t="shared" si="10"/>
        <v/>
      </c>
      <c r="C193" t="str">
        <f t="shared" si="11"/>
        <v/>
      </c>
      <c r="D193" t="str">
        <f t="shared" si="12"/>
        <v/>
      </c>
      <c r="E193" t="str">
        <f>IF(A193="","",VLOOKUP(D193,Helper3!$Z$4:$AA$29,2,0))</f>
        <v/>
      </c>
      <c r="F193" t="str">
        <f t="shared" si="13"/>
        <v/>
      </c>
      <c r="G193" t="str">
        <f t="shared" si="14"/>
        <v/>
      </c>
      <c r="H193" t="str">
        <f>IF(A193="","",'ATP Sort'!Q196)</f>
        <v/>
      </c>
    </row>
    <row r="194" spans="1:8">
      <c r="A194" t="str">
        <f>IF('ATP Sort'!Q197="","",IF('ATP Sort'!Q197=0,"",'ATP Sort'!M197))</f>
        <v/>
      </c>
      <c r="B194" t="str">
        <f t="shared" si="10"/>
        <v/>
      </c>
      <c r="C194" t="str">
        <f t="shared" si="11"/>
        <v/>
      </c>
      <c r="D194" t="str">
        <f t="shared" si="12"/>
        <v/>
      </c>
      <c r="E194" t="str">
        <f>IF(A194="","",VLOOKUP(D194,Helper3!$Z$4:$AA$29,2,0))</f>
        <v/>
      </c>
      <c r="F194" t="str">
        <f t="shared" si="13"/>
        <v/>
      </c>
      <c r="G194" t="str">
        <f t="shared" si="14"/>
        <v/>
      </c>
      <c r="H194" t="str">
        <f>IF(A194="","",'ATP Sort'!Q197)</f>
        <v/>
      </c>
    </row>
    <row r="195" spans="1:8">
      <c r="A195" t="str">
        <f>IF('ATP Sort'!Q198="","",IF('ATP Sort'!Q198=0,"",'ATP Sort'!M198))</f>
        <v/>
      </c>
      <c r="B195" t="str">
        <f t="shared" ref="B195:B200" si="15">IF(A195="","","HTA8003")</f>
        <v/>
      </c>
      <c r="C195" t="str">
        <f t="shared" ref="C195:C200" si="16">IF(A195="","",IF(LEFT(A195,3)="lme","X","F"))</f>
        <v/>
      </c>
      <c r="D195" t="str">
        <f t="shared" ref="D195:D200" si="17">IF(C195="","",IF(C195="X",MID(A195,5,LEN(A195)-7),IF(C195="F",RIGHT(A195,LEN(A195)-7))))</f>
        <v/>
      </c>
      <c r="E195" t="str">
        <f>IF(A195="","",VLOOKUP(D195,Helper3!$Z$4:$AA$29,2,0))</f>
        <v/>
      </c>
      <c r="F195" t="str">
        <f t="shared" ref="F195:F200" si="18">IF(C195="","",IF(C195="X","",IF(C195="f",LEFT(A195,1)&amp;MID(A195,3,4))))</f>
        <v/>
      </c>
      <c r="G195" t="str">
        <f t="shared" ref="G195:G200" si="19">IF(C195="","",IF(C195="X",RIGHT(A195,2),""))</f>
        <v/>
      </c>
      <c r="H195" t="str">
        <f>IF(A195="","",'ATP Sort'!Q198)</f>
        <v/>
      </c>
    </row>
    <row r="196" spans="1:8">
      <c r="A196" t="str">
        <f>IF('ATP Sort'!Q199="","",IF('ATP Sort'!Q199=0,"",'ATP Sort'!M199))</f>
        <v/>
      </c>
      <c r="B196" t="str">
        <f t="shared" si="15"/>
        <v/>
      </c>
      <c r="C196" t="str">
        <f t="shared" si="16"/>
        <v/>
      </c>
      <c r="D196" t="str">
        <f t="shared" si="17"/>
        <v/>
      </c>
      <c r="E196" t="str">
        <f>IF(A196="","",VLOOKUP(D196,Helper3!$Z$4:$AA$29,2,0))</f>
        <v/>
      </c>
      <c r="F196" t="str">
        <f t="shared" si="18"/>
        <v/>
      </c>
      <c r="G196" t="str">
        <f t="shared" si="19"/>
        <v/>
      </c>
      <c r="H196" t="str">
        <f>IF(A196="","",'ATP Sort'!Q199)</f>
        <v/>
      </c>
    </row>
    <row r="197" spans="1:8">
      <c r="A197" t="str">
        <f>IF('ATP Sort'!Q200="","",IF('ATP Sort'!Q200=0,"",'ATP Sort'!M200))</f>
        <v/>
      </c>
      <c r="B197" t="str">
        <f t="shared" si="15"/>
        <v/>
      </c>
      <c r="C197" t="str">
        <f t="shared" si="16"/>
        <v/>
      </c>
      <c r="D197" t="str">
        <f t="shared" si="17"/>
        <v/>
      </c>
      <c r="E197" t="str">
        <f>IF(A197="","",VLOOKUP(D197,Helper3!$Z$4:$AA$29,2,0))</f>
        <v/>
      </c>
      <c r="F197" t="str">
        <f t="shared" si="18"/>
        <v/>
      </c>
      <c r="G197" t="str">
        <f t="shared" si="19"/>
        <v/>
      </c>
      <c r="H197" t="str">
        <f>IF(A197="","",'ATP Sort'!Q200)</f>
        <v/>
      </c>
    </row>
    <row r="198" spans="1:8">
      <c r="A198" t="str">
        <f>IF('ATP Sort'!Q201="","",IF('ATP Sort'!Q201=0,"",'ATP Sort'!M201))</f>
        <v/>
      </c>
      <c r="B198" t="str">
        <f t="shared" si="15"/>
        <v/>
      </c>
      <c r="C198" t="str">
        <f t="shared" si="16"/>
        <v/>
      </c>
      <c r="D198" t="str">
        <f t="shared" si="17"/>
        <v/>
      </c>
      <c r="E198" t="str">
        <f>IF(A198="","",VLOOKUP(D198,Helper3!$Z$4:$AA$29,2,0))</f>
        <v/>
      </c>
      <c r="F198" t="str">
        <f t="shared" si="18"/>
        <v/>
      </c>
      <c r="G198" t="str">
        <f t="shared" si="19"/>
        <v/>
      </c>
      <c r="H198" t="str">
        <f>IF(A198="","",'ATP Sort'!Q201)</f>
        <v/>
      </c>
    </row>
    <row r="199" spans="1:8">
      <c r="A199" t="str">
        <f>IF('ATP Sort'!Q202="","",IF('ATP Sort'!Q202=0,"",'ATP Sort'!M202))</f>
        <v/>
      </c>
      <c r="B199" t="str">
        <f t="shared" si="15"/>
        <v/>
      </c>
      <c r="C199" t="str">
        <f t="shared" si="16"/>
        <v/>
      </c>
      <c r="D199" t="str">
        <f t="shared" si="17"/>
        <v/>
      </c>
      <c r="E199" t="str">
        <f>IF(A199="","",VLOOKUP(D199,Helper3!$Z$4:$AA$29,2,0))</f>
        <v/>
      </c>
      <c r="F199" t="str">
        <f t="shared" si="18"/>
        <v/>
      </c>
      <c r="G199" t="str">
        <f t="shared" si="19"/>
        <v/>
      </c>
      <c r="H199" t="str">
        <f>IF(A199="","",'ATP Sort'!Q202)</f>
        <v/>
      </c>
    </row>
    <row r="200" spans="1:8">
      <c r="A200" t="str">
        <f>IF('ATP Sort'!Q203="","",IF('ATP Sort'!Q203=0,"",'ATP Sort'!M203))</f>
        <v/>
      </c>
      <c r="B200" t="str">
        <f t="shared" si="15"/>
        <v/>
      </c>
      <c r="C200" t="str">
        <f t="shared" si="16"/>
        <v/>
      </c>
      <c r="D200" t="str">
        <f t="shared" si="17"/>
        <v/>
      </c>
      <c r="E200" t="str">
        <f>IF(A200="","",VLOOKUP(D200,Helper3!$Z$4:$AA$29,2,0))</f>
        <v/>
      </c>
      <c r="F200" t="str">
        <f t="shared" si="18"/>
        <v/>
      </c>
      <c r="G200" t="str">
        <f t="shared" si="19"/>
        <v/>
      </c>
      <c r="H200" t="str">
        <f>IF(A200="","",'ATP Sort'!Q203)</f>
        <v/>
      </c>
    </row>
  </sheetData>
  <phoneticPr fontId="7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6F53-D255-4228-AE1D-9DA676E0D520}">
  <sheetPr codeName="Sheet5"/>
  <dimension ref="A1:E755"/>
  <sheetViews>
    <sheetView workbookViewId="0">
      <selection activeCell="E1" sqref="E1"/>
    </sheetView>
  </sheetViews>
  <sheetFormatPr defaultRowHeight="15.75"/>
  <cols>
    <col min="1" max="1" width="10.7109375" bestFit="1" customWidth="1"/>
    <col min="2" max="2" width="16.7109375" bestFit="1" customWidth="1"/>
    <col min="3" max="3" width="15.5703125" bestFit="1" customWidth="1"/>
    <col min="4" max="4" width="19.5703125" bestFit="1" customWidth="1"/>
    <col min="5" max="5" width="110.7109375" bestFit="1" customWidth="1"/>
  </cols>
  <sheetData>
    <row r="1" spans="1:5">
      <c r="A1" t="s">
        <v>0</v>
      </c>
      <c r="B1" t="s">
        <v>204</v>
      </c>
      <c r="C1" t="s">
        <v>205</v>
      </c>
      <c r="D1" t="s">
        <v>206</v>
      </c>
      <c r="E1" t="s">
        <v>38</v>
      </c>
    </row>
    <row r="2" spans="1:5">
      <c r="A2" t="s">
        <v>1</v>
      </c>
      <c r="B2" t="s">
        <v>207</v>
      </c>
      <c r="C2" t="s">
        <v>208</v>
      </c>
      <c r="D2" t="s">
        <v>209</v>
      </c>
      <c r="E2" t="s">
        <v>210</v>
      </c>
    </row>
    <row r="3" spans="1:5">
      <c r="A3" t="s">
        <v>1</v>
      </c>
      <c r="B3" t="s">
        <v>207</v>
      </c>
      <c r="C3" t="s">
        <v>211</v>
      </c>
      <c r="D3" t="s">
        <v>209</v>
      </c>
      <c r="E3" t="s">
        <v>212</v>
      </c>
    </row>
    <row r="4" spans="1:5">
      <c r="A4" t="s">
        <v>1</v>
      </c>
      <c r="B4" t="s">
        <v>207</v>
      </c>
      <c r="C4" t="s">
        <v>6</v>
      </c>
      <c r="D4" t="s">
        <v>213</v>
      </c>
      <c r="E4" t="s">
        <v>214</v>
      </c>
    </row>
    <row r="5" spans="1:5">
      <c r="A5" t="s">
        <v>1</v>
      </c>
      <c r="B5" t="s">
        <v>1307</v>
      </c>
      <c r="C5" t="s">
        <v>215</v>
      </c>
      <c r="D5" t="s">
        <v>216</v>
      </c>
      <c r="E5" t="s">
        <v>216</v>
      </c>
    </row>
    <row r="6" spans="1:5">
      <c r="A6" t="s">
        <v>1</v>
      </c>
      <c r="B6" t="s">
        <v>1307</v>
      </c>
      <c r="C6" t="s">
        <v>217</v>
      </c>
      <c r="D6" t="s">
        <v>218</v>
      </c>
      <c r="E6" t="s">
        <v>219</v>
      </c>
    </row>
    <row r="7" spans="1:5">
      <c r="A7" t="s">
        <v>1</v>
      </c>
      <c r="B7" t="s">
        <v>1307</v>
      </c>
      <c r="C7" t="s">
        <v>220</v>
      </c>
      <c r="D7" t="s">
        <v>221</v>
      </c>
      <c r="E7" t="s">
        <v>222</v>
      </c>
    </row>
    <row r="8" spans="1:5">
      <c r="A8" t="s">
        <v>1</v>
      </c>
      <c r="B8" t="s">
        <v>1307</v>
      </c>
      <c r="C8" t="s">
        <v>223</v>
      </c>
      <c r="D8" t="s">
        <v>218</v>
      </c>
      <c r="E8" t="s">
        <v>224</v>
      </c>
    </row>
    <row r="9" spans="1:5">
      <c r="A9" t="s">
        <v>1</v>
      </c>
      <c r="B9" t="s">
        <v>1307</v>
      </c>
      <c r="C9" t="s">
        <v>225</v>
      </c>
      <c r="D9" t="s">
        <v>209</v>
      </c>
      <c r="E9" t="s">
        <v>226</v>
      </c>
    </row>
    <row r="10" spans="1:5">
      <c r="A10" t="s">
        <v>1</v>
      </c>
      <c r="B10" t="s">
        <v>1307</v>
      </c>
      <c r="C10" t="s">
        <v>227</v>
      </c>
      <c r="D10" t="s">
        <v>209</v>
      </c>
      <c r="E10" t="s">
        <v>212</v>
      </c>
    </row>
    <row r="11" spans="1:5">
      <c r="A11" t="s">
        <v>1</v>
      </c>
      <c r="B11" t="s">
        <v>1307</v>
      </c>
      <c r="C11" t="s">
        <v>1306</v>
      </c>
      <c r="D11" t="s">
        <v>209</v>
      </c>
      <c r="E11" t="s">
        <v>228</v>
      </c>
    </row>
    <row r="12" spans="1:5">
      <c r="A12" t="s">
        <v>1</v>
      </c>
      <c r="B12" t="s">
        <v>229</v>
      </c>
      <c r="C12" t="s">
        <v>230</v>
      </c>
      <c r="D12" t="s">
        <v>221</v>
      </c>
      <c r="E12" t="s">
        <v>231</v>
      </c>
    </row>
    <row r="13" spans="1:5">
      <c r="A13" t="s">
        <v>1</v>
      </c>
      <c r="B13" t="s">
        <v>229</v>
      </c>
      <c r="C13" t="s">
        <v>232</v>
      </c>
      <c r="D13" t="s">
        <v>221</v>
      </c>
      <c r="E13" t="s">
        <v>233</v>
      </c>
    </row>
    <row r="14" spans="1:5">
      <c r="A14" t="s">
        <v>1</v>
      </c>
      <c r="B14" t="s">
        <v>23</v>
      </c>
      <c r="C14" t="s">
        <v>234</v>
      </c>
      <c r="D14" t="s">
        <v>209</v>
      </c>
      <c r="E14" t="s">
        <v>235</v>
      </c>
    </row>
    <row r="15" spans="1:5">
      <c r="A15" t="s">
        <v>236</v>
      </c>
      <c r="B15" t="s">
        <v>23</v>
      </c>
      <c r="C15" t="s">
        <v>234</v>
      </c>
      <c r="D15" t="s">
        <v>209</v>
      </c>
      <c r="E15" t="s">
        <v>235</v>
      </c>
    </row>
    <row r="16" spans="1:5">
      <c r="A16" t="s">
        <v>1</v>
      </c>
      <c r="B16" t="s">
        <v>23</v>
      </c>
      <c r="C16" t="s">
        <v>237</v>
      </c>
      <c r="D16" t="s">
        <v>209</v>
      </c>
      <c r="E16" t="s">
        <v>238</v>
      </c>
    </row>
    <row r="17" spans="1:5">
      <c r="A17" t="s">
        <v>236</v>
      </c>
      <c r="B17" t="s">
        <v>23</v>
      </c>
      <c r="C17" t="s">
        <v>237</v>
      </c>
      <c r="D17" t="s">
        <v>209</v>
      </c>
      <c r="E17" t="s">
        <v>238</v>
      </c>
    </row>
    <row r="18" spans="1:5">
      <c r="A18" t="s">
        <v>1</v>
      </c>
      <c r="B18" t="s">
        <v>23</v>
      </c>
      <c r="C18" t="s">
        <v>239</v>
      </c>
      <c r="D18" t="s">
        <v>209</v>
      </c>
      <c r="E18" t="s">
        <v>240</v>
      </c>
    </row>
    <row r="19" spans="1:5">
      <c r="A19" t="s">
        <v>1</v>
      </c>
      <c r="B19" t="s">
        <v>23</v>
      </c>
      <c r="C19" t="s">
        <v>241</v>
      </c>
      <c r="D19" t="s">
        <v>218</v>
      </c>
      <c r="E19" t="s">
        <v>242</v>
      </c>
    </row>
    <row r="20" spans="1:5">
      <c r="A20" t="s">
        <v>236</v>
      </c>
      <c r="B20" t="s">
        <v>23</v>
      </c>
      <c r="C20" t="s">
        <v>241</v>
      </c>
      <c r="D20" t="s">
        <v>218</v>
      </c>
      <c r="E20" t="s">
        <v>242</v>
      </c>
    </row>
    <row r="21" spans="1:5">
      <c r="A21" t="s">
        <v>1</v>
      </c>
      <c r="B21" t="s">
        <v>23</v>
      </c>
      <c r="C21" t="s">
        <v>243</v>
      </c>
      <c r="D21" t="s">
        <v>221</v>
      </c>
      <c r="E21" t="s">
        <v>244</v>
      </c>
    </row>
    <row r="22" spans="1:5">
      <c r="A22" t="s">
        <v>1</v>
      </c>
      <c r="B22" t="s">
        <v>23</v>
      </c>
      <c r="C22" t="s">
        <v>245</v>
      </c>
      <c r="D22" t="s">
        <v>246</v>
      </c>
      <c r="E22" t="s">
        <v>247</v>
      </c>
    </row>
    <row r="23" spans="1:5">
      <c r="A23" t="s">
        <v>1</v>
      </c>
      <c r="B23" t="s">
        <v>23</v>
      </c>
      <c r="C23" t="s">
        <v>236</v>
      </c>
      <c r="D23" t="s">
        <v>209</v>
      </c>
      <c r="E23" t="s">
        <v>248</v>
      </c>
    </row>
    <row r="24" spans="1:5">
      <c r="A24" t="s">
        <v>236</v>
      </c>
      <c r="B24" t="s">
        <v>23</v>
      </c>
      <c r="C24" t="s">
        <v>236</v>
      </c>
      <c r="D24" t="s">
        <v>209</v>
      </c>
      <c r="E24" t="s">
        <v>248</v>
      </c>
    </row>
    <row r="25" spans="1:5">
      <c r="A25" t="s">
        <v>1</v>
      </c>
      <c r="B25" t="s">
        <v>23</v>
      </c>
      <c r="C25" t="s">
        <v>249</v>
      </c>
      <c r="D25" t="s">
        <v>209</v>
      </c>
      <c r="E25" t="s">
        <v>250</v>
      </c>
    </row>
    <row r="26" spans="1:5">
      <c r="A26" t="s">
        <v>236</v>
      </c>
      <c r="B26" t="s">
        <v>23</v>
      </c>
      <c r="C26" t="s">
        <v>249</v>
      </c>
      <c r="D26" t="s">
        <v>209</v>
      </c>
      <c r="E26" t="s">
        <v>250</v>
      </c>
    </row>
    <row r="27" spans="1:5">
      <c r="A27" t="s">
        <v>1</v>
      </c>
      <c r="B27" t="s">
        <v>23</v>
      </c>
      <c r="C27" t="s">
        <v>24</v>
      </c>
      <c r="D27" t="s">
        <v>209</v>
      </c>
      <c r="E27" t="s">
        <v>251</v>
      </c>
    </row>
    <row r="28" spans="1:5">
      <c r="A28" t="s">
        <v>236</v>
      </c>
      <c r="B28" t="s">
        <v>23</v>
      </c>
      <c r="C28" t="s">
        <v>24</v>
      </c>
      <c r="D28" t="s">
        <v>209</v>
      </c>
      <c r="E28" t="s">
        <v>251</v>
      </c>
    </row>
    <row r="29" spans="1:5">
      <c r="A29" t="s">
        <v>1</v>
      </c>
      <c r="B29" t="s">
        <v>23</v>
      </c>
      <c r="C29" t="s">
        <v>252</v>
      </c>
      <c r="D29" t="s">
        <v>209</v>
      </c>
      <c r="E29" t="s">
        <v>253</v>
      </c>
    </row>
    <row r="30" spans="1:5">
      <c r="A30" t="s">
        <v>236</v>
      </c>
      <c r="B30" t="s">
        <v>23</v>
      </c>
      <c r="C30" t="s">
        <v>252</v>
      </c>
      <c r="D30" t="s">
        <v>209</v>
      </c>
      <c r="E30" t="s">
        <v>253</v>
      </c>
    </row>
    <row r="31" spans="1:5">
      <c r="A31" t="s">
        <v>1</v>
      </c>
      <c r="B31" t="s">
        <v>23</v>
      </c>
      <c r="C31" t="s">
        <v>254</v>
      </c>
      <c r="D31" t="s">
        <v>218</v>
      </c>
      <c r="E31" t="s">
        <v>255</v>
      </c>
    </row>
    <row r="32" spans="1:5">
      <c r="A32" t="s">
        <v>1</v>
      </c>
      <c r="B32" t="s">
        <v>23</v>
      </c>
      <c r="C32" t="s">
        <v>188</v>
      </c>
      <c r="D32" t="s">
        <v>218</v>
      </c>
      <c r="E32" t="s">
        <v>256</v>
      </c>
    </row>
    <row r="33" spans="1:5">
      <c r="A33" t="s">
        <v>236</v>
      </c>
      <c r="B33" t="s">
        <v>23</v>
      </c>
      <c r="C33" t="s">
        <v>188</v>
      </c>
      <c r="D33" t="s">
        <v>218</v>
      </c>
      <c r="E33" t="s">
        <v>256</v>
      </c>
    </row>
    <row r="34" spans="1:5">
      <c r="A34" t="s">
        <v>1</v>
      </c>
      <c r="B34" t="s">
        <v>23</v>
      </c>
      <c r="C34" t="s">
        <v>257</v>
      </c>
      <c r="D34" t="s">
        <v>218</v>
      </c>
      <c r="E34" t="s">
        <v>258</v>
      </c>
    </row>
    <row r="35" spans="1:5">
      <c r="A35" t="s">
        <v>236</v>
      </c>
      <c r="B35" t="s">
        <v>23</v>
      </c>
      <c r="C35" t="s">
        <v>257</v>
      </c>
      <c r="D35" t="s">
        <v>218</v>
      </c>
      <c r="E35" t="s">
        <v>258</v>
      </c>
    </row>
    <row r="36" spans="1:5">
      <c r="A36" t="s">
        <v>1</v>
      </c>
      <c r="B36" t="s">
        <v>23</v>
      </c>
      <c r="C36" t="s">
        <v>259</v>
      </c>
      <c r="D36" t="s">
        <v>218</v>
      </c>
      <c r="E36" t="s">
        <v>260</v>
      </c>
    </row>
    <row r="37" spans="1:5">
      <c r="A37" t="s">
        <v>1</v>
      </c>
      <c r="B37" t="s">
        <v>23</v>
      </c>
      <c r="C37" t="s">
        <v>261</v>
      </c>
      <c r="D37" t="s">
        <v>262</v>
      </c>
      <c r="E37" t="s">
        <v>263</v>
      </c>
    </row>
    <row r="38" spans="1:5">
      <c r="A38" t="s">
        <v>1</v>
      </c>
      <c r="B38" t="s">
        <v>23</v>
      </c>
      <c r="C38" t="s">
        <v>264</v>
      </c>
      <c r="D38" t="s">
        <v>262</v>
      </c>
      <c r="E38" t="s">
        <v>265</v>
      </c>
    </row>
    <row r="39" spans="1:5">
      <c r="A39" t="s">
        <v>1</v>
      </c>
      <c r="B39" t="s">
        <v>23</v>
      </c>
      <c r="C39" t="s">
        <v>194</v>
      </c>
      <c r="D39" t="s">
        <v>218</v>
      </c>
      <c r="E39" t="s">
        <v>266</v>
      </c>
    </row>
    <row r="40" spans="1:5">
      <c r="A40" t="s">
        <v>236</v>
      </c>
      <c r="B40" t="s">
        <v>23</v>
      </c>
      <c r="C40" t="s">
        <v>194</v>
      </c>
      <c r="D40" t="s">
        <v>218</v>
      </c>
      <c r="E40" t="s">
        <v>266</v>
      </c>
    </row>
    <row r="41" spans="1:5">
      <c r="A41" t="s">
        <v>1</v>
      </c>
      <c r="B41" t="s">
        <v>23</v>
      </c>
      <c r="C41" t="s">
        <v>267</v>
      </c>
      <c r="D41" t="s">
        <v>209</v>
      </c>
      <c r="E41" t="s">
        <v>268</v>
      </c>
    </row>
    <row r="42" spans="1:5">
      <c r="A42" t="s">
        <v>236</v>
      </c>
      <c r="B42" t="s">
        <v>23</v>
      </c>
      <c r="C42" t="s">
        <v>267</v>
      </c>
      <c r="D42" t="s">
        <v>209</v>
      </c>
      <c r="E42" t="s">
        <v>268</v>
      </c>
    </row>
    <row r="43" spans="1:5">
      <c r="A43" t="s">
        <v>1</v>
      </c>
      <c r="B43" t="s">
        <v>23</v>
      </c>
      <c r="C43" t="s">
        <v>269</v>
      </c>
      <c r="D43" t="s">
        <v>209</v>
      </c>
      <c r="E43" t="s">
        <v>270</v>
      </c>
    </row>
    <row r="44" spans="1:5">
      <c r="A44" t="s">
        <v>1</v>
      </c>
      <c r="B44" t="s">
        <v>23</v>
      </c>
      <c r="C44" t="s">
        <v>271</v>
      </c>
      <c r="D44" t="s">
        <v>209</v>
      </c>
      <c r="E44" t="s">
        <v>272</v>
      </c>
    </row>
    <row r="45" spans="1:5">
      <c r="A45" t="s">
        <v>1</v>
      </c>
      <c r="B45" t="s">
        <v>23</v>
      </c>
      <c r="C45" t="s">
        <v>273</v>
      </c>
      <c r="D45" t="s">
        <v>221</v>
      </c>
      <c r="E45" t="s">
        <v>274</v>
      </c>
    </row>
    <row r="46" spans="1:5">
      <c r="A46" t="s">
        <v>236</v>
      </c>
      <c r="B46" t="s">
        <v>23</v>
      </c>
      <c r="C46" t="s">
        <v>273</v>
      </c>
      <c r="D46" t="s">
        <v>221</v>
      </c>
      <c r="E46" t="s">
        <v>274</v>
      </c>
    </row>
    <row r="47" spans="1:5">
      <c r="A47" t="s">
        <v>236</v>
      </c>
      <c r="B47" t="s">
        <v>23</v>
      </c>
      <c r="C47" t="s">
        <v>275</v>
      </c>
      <c r="D47" t="s">
        <v>221</v>
      </c>
      <c r="E47" t="s">
        <v>276</v>
      </c>
    </row>
    <row r="48" spans="1:5">
      <c r="A48" t="s">
        <v>236</v>
      </c>
      <c r="B48" t="s">
        <v>23</v>
      </c>
      <c r="C48" t="s">
        <v>277</v>
      </c>
      <c r="D48" t="s">
        <v>221</v>
      </c>
      <c r="E48" t="s">
        <v>278</v>
      </c>
    </row>
    <row r="49" spans="1:5">
      <c r="A49" t="s">
        <v>236</v>
      </c>
      <c r="B49" t="s">
        <v>23</v>
      </c>
      <c r="C49" t="s">
        <v>279</v>
      </c>
      <c r="D49" t="s">
        <v>221</v>
      </c>
      <c r="E49" t="s">
        <v>280</v>
      </c>
    </row>
    <row r="50" spans="1:5">
      <c r="A50" t="s">
        <v>236</v>
      </c>
      <c r="B50" t="s">
        <v>23</v>
      </c>
      <c r="C50" t="s">
        <v>281</v>
      </c>
      <c r="D50" t="s">
        <v>221</v>
      </c>
      <c r="E50" t="s">
        <v>282</v>
      </c>
    </row>
    <row r="51" spans="1:5">
      <c r="A51" t="s">
        <v>1</v>
      </c>
      <c r="B51" t="s">
        <v>23</v>
      </c>
      <c r="C51" t="s">
        <v>283</v>
      </c>
      <c r="D51" t="s">
        <v>209</v>
      </c>
      <c r="E51" t="s">
        <v>284</v>
      </c>
    </row>
    <row r="52" spans="1:5">
      <c r="A52" t="s">
        <v>1</v>
      </c>
      <c r="B52" t="s">
        <v>23</v>
      </c>
      <c r="C52" t="s">
        <v>285</v>
      </c>
      <c r="D52" t="s">
        <v>218</v>
      </c>
      <c r="E52" t="s">
        <v>286</v>
      </c>
    </row>
    <row r="53" spans="1:5">
      <c r="A53" t="s">
        <v>236</v>
      </c>
      <c r="B53" t="s">
        <v>25</v>
      </c>
      <c r="C53" t="s">
        <v>287</v>
      </c>
      <c r="D53" t="s">
        <v>213</v>
      </c>
      <c r="E53" t="s">
        <v>288</v>
      </c>
    </row>
    <row r="54" spans="1:5">
      <c r="A54" t="s">
        <v>236</v>
      </c>
      <c r="B54" t="s">
        <v>25</v>
      </c>
      <c r="C54" t="s">
        <v>289</v>
      </c>
      <c r="D54" t="s">
        <v>213</v>
      </c>
      <c r="E54" t="s">
        <v>290</v>
      </c>
    </row>
    <row r="55" spans="1:5">
      <c r="A55" t="s">
        <v>236</v>
      </c>
      <c r="B55" t="s">
        <v>25</v>
      </c>
      <c r="C55" t="s">
        <v>291</v>
      </c>
      <c r="D55" t="s">
        <v>213</v>
      </c>
      <c r="E55" t="s">
        <v>292</v>
      </c>
    </row>
    <row r="56" spans="1:5">
      <c r="A56" t="s">
        <v>236</v>
      </c>
      <c r="B56" t="s">
        <v>25</v>
      </c>
      <c r="C56" t="s">
        <v>293</v>
      </c>
      <c r="D56" t="s">
        <v>213</v>
      </c>
      <c r="E56" t="s">
        <v>294</v>
      </c>
    </row>
    <row r="57" spans="1:5">
      <c r="A57" t="s">
        <v>236</v>
      </c>
      <c r="B57" t="s">
        <v>25</v>
      </c>
      <c r="C57" t="s">
        <v>295</v>
      </c>
      <c r="D57" t="s">
        <v>213</v>
      </c>
      <c r="E57" t="s">
        <v>296</v>
      </c>
    </row>
    <row r="58" spans="1:5">
      <c r="A58" t="s">
        <v>236</v>
      </c>
      <c r="B58" t="s">
        <v>25</v>
      </c>
      <c r="C58" t="s">
        <v>297</v>
      </c>
      <c r="D58" t="s">
        <v>213</v>
      </c>
      <c r="E58" t="s">
        <v>298</v>
      </c>
    </row>
    <row r="59" spans="1:5">
      <c r="A59" t="s">
        <v>236</v>
      </c>
      <c r="B59" t="s">
        <v>25</v>
      </c>
      <c r="C59" t="s">
        <v>299</v>
      </c>
      <c r="D59" t="s">
        <v>213</v>
      </c>
      <c r="E59" t="s">
        <v>300</v>
      </c>
    </row>
    <row r="60" spans="1:5">
      <c r="A60" t="s">
        <v>236</v>
      </c>
      <c r="B60" t="s">
        <v>25</v>
      </c>
      <c r="C60" t="s">
        <v>301</v>
      </c>
      <c r="D60" t="s">
        <v>213</v>
      </c>
      <c r="E60" t="s">
        <v>302</v>
      </c>
    </row>
    <row r="61" spans="1:5">
      <c r="A61" t="s">
        <v>236</v>
      </c>
      <c r="B61" t="s">
        <v>25</v>
      </c>
      <c r="C61" t="s">
        <v>303</v>
      </c>
      <c r="D61" t="s">
        <v>213</v>
      </c>
      <c r="E61" t="s">
        <v>304</v>
      </c>
    </row>
    <row r="62" spans="1:5">
      <c r="A62" t="s">
        <v>236</v>
      </c>
      <c r="B62" t="s">
        <v>25</v>
      </c>
      <c r="C62" t="s">
        <v>305</v>
      </c>
      <c r="D62" t="s">
        <v>213</v>
      </c>
      <c r="E62" t="s">
        <v>306</v>
      </c>
    </row>
    <row r="63" spans="1:5">
      <c r="A63" t="s">
        <v>236</v>
      </c>
      <c r="B63" t="s">
        <v>25</v>
      </c>
      <c r="C63" t="s">
        <v>307</v>
      </c>
      <c r="D63" t="s">
        <v>213</v>
      </c>
      <c r="E63" t="s">
        <v>308</v>
      </c>
    </row>
    <row r="64" spans="1:5">
      <c r="A64" t="s">
        <v>236</v>
      </c>
      <c r="B64" t="s">
        <v>25</v>
      </c>
      <c r="C64" t="s">
        <v>309</v>
      </c>
      <c r="D64" t="s">
        <v>213</v>
      </c>
      <c r="E64" t="s">
        <v>310</v>
      </c>
    </row>
    <row r="65" spans="1:5">
      <c r="A65" t="s">
        <v>236</v>
      </c>
      <c r="B65" t="s">
        <v>25</v>
      </c>
      <c r="C65" t="s">
        <v>311</v>
      </c>
      <c r="D65" t="s">
        <v>213</v>
      </c>
      <c r="E65" t="s">
        <v>312</v>
      </c>
    </row>
    <row r="66" spans="1:5">
      <c r="A66" t="s">
        <v>236</v>
      </c>
      <c r="B66" t="s">
        <v>25</v>
      </c>
      <c r="C66" t="s">
        <v>313</v>
      </c>
      <c r="D66" t="s">
        <v>213</v>
      </c>
      <c r="E66" t="s">
        <v>314</v>
      </c>
    </row>
    <row r="67" spans="1:5">
      <c r="A67" t="s">
        <v>236</v>
      </c>
      <c r="B67" t="s">
        <v>25</v>
      </c>
      <c r="C67" t="s">
        <v>315</v>
      </c>
      <c r="D67" t="s">
        <v>213</v>
      </c>
      <c r="E67" t="s">
        <v>316</v>
      </c>
    </row>
    <row r="68" spans="1:5">
      <c r="A68" t="s">
        <v>236</v>
      </c>
      <c r="B68" t="s">
        <v>25</v>
      </c>
      <c r="C68" t="s">
        <v>317</v>
      </c>
      <c r="D68" t="s">
        <v>213</v>
      </c>
      <c r="E68" t="s">
        <v>318</v>
      </c>
    </row>
    <row r="69" spans="1:5">
      <c r="A69" t="s">
        <v>236</v>
      </c>
      <c r="B69" t="s">
        <v>25</v>
      </c>
      <c r="C69" t="s">
        <v>319</v>
      </c>
      <c r="D69" t="s">
        <v>213</v>
      </c>
      <c r="E69" t="s">
        <v>320</v>
      </c>
    </row>
    <row r="70" spans="1:5">
      <c r="A70" t="s">
        <v>236</v>
      </c>
      <c r="B70" t="s">
        <v>25</v>
      </c>
      <c r="C70" t="s">
        <v>321</v>
      </c>
      <c r="D70" t="s">
        <v>213</v>
      </c>
      <c r="E70" t="s">
        <v>322</v>
      </c>
    </row>
    <row r="71" spans="1:5">
      <c r="A71" t="s">
        <v>236</v>
      </c>
      <c r="B71" t="s">
        <v>25</v>
      </c>
      <c r="C71" t="s">
        <v>323</v>
      </c>
      <c r="D71" t="s">
        <v>213</v>
      </c>
      <c r="E71" t="s">
        <v>324</v>
      </c>
    </row>
    <row r="72" spans="1:5">
      <c r="A72" t="s">
        <v>236</v>
      </c>
      <c r="B72" t="s">
        <v>25</v>
      </c>
      <c r="C72" t="s">
        <v>325</v>
      </c>
      <c r="D72" t="s">
        <v>213</v>
      </c>
      <c r="E72" t="s">
        <v>326</v>
      </c>
    </row>
    <row r="73" spans="1:5">
      <c r="A73" t="s">
        <v>236</v>
      </c>
      <c r="B73" t="s">
        <v>25</v>
      </c>
      <c r="C73" t="s">
        <v>327</v>
      </c>
      <c r="D73" t="s">
        <v>213</v>
      </c>
      <c r="E73" t="s">
        <v>328</v>
      </c>
    </row>
    <row r="74" spans="1:5">
      <c r="A74" t="s">
        <v>236</v>
      </c>
      <c r="B74" t="s">
        <v>25</v>
      </c>
      <c r="C74" t="s">
        <v>329</v>
      </c>
      <c r="D74" t="s">
        <v>213</v>
      </c>
      <c r="E74" t="s">
        <v>330</v>
      </c>
    </row>
    <row r="75" spans="1:5">
      <c r="A75" t="s">
        <v>236</v>
      </c>
      <c r="B75" t="s">
        <v>25</v>
      </c>
      <c r="C75" t="s">
        <v>331</v>
      </c>
      <c r="D75" t="s">
        <v>213</v>
      </c>
      <c r="E75" t="s">
        <v>332</v>
      </c>
    </row>
    <row r="76" spans="1:5">
      <c r="A76" t="s">
        <v>236</v>
      </c>
      <c r="B76" t="s">
        <v>25</v>
      </c>
      <c r="C76" t="s">
        <v>333</v>
      </c>
      <c r="D76" t="s">
        <v>213</v>
      </c>
      <c r="E76" t="s">
        <v>334</v>
      </c>
    </row>
    <row r="77" spans="1:5">
      <c r="A77" t="s">
        <v>236</v>
      </c>
      <c r="B77" t="s">
        <v>25</v>
      </c>
      <c r="C77" t="s">
        <v>335</v>
      </c>
      <c r="D77" t="s">
        <v>213</v>
      </c>
      <c r="E77" t="s">
        <v>336</v>
      </c>
    </row>
    <row r="78" spans="1:5">
      <c r="A78" t="s">
        <v>236</v>
      </c>
      <c r="B78" t="s">
        <v>25</v>
      </c>
      <c r="C78" t="s">
        <v>337</v>
      </c>
      <c r="D78" t="s">
        <v>213</v>
      </c>
      <c r="E78" t="s">
        <v>338</v>
      </c>
    </row>
    <row r="79" spans="1:5">
      <c r="A79" t="s">
        <v>236</v>
      </c>
      <c r="B79" t="s">
        <v>25</v>
      </c>
      <c r="C79" t="s">
        <v>339</v>
      </c>
      <c r="D79" t="s">
        <v>213</v>
      </c>
      <c r="E79" t="s">
        <v>340</v>
      </c>
    </row>
    <row r="80" spans="1:5">
      <c r="A80" t="s">
        <v>236</v>
      </c>
      <c r="B80" t="s">
        <v>25</v>
      </c>
      <c r="C80" t="s">
        <v>341</v>
      </c>
      <c r="D80" t="s">
        <v>213</v>
      </c>
      <c r="E80" t="s">
        <v>342</v>
      </c>
    </row>
    <row r="81" spans="1:5">
      <c r="A81" t="s">
        <v>236</v>
      </c>
      <c r="B81" t="s">
        <v>25</v>
      </c>
      <c r="C81" t="s">
        <v>343</v>
      </c>
      <c r="D81" t="s">
        <v>213</v>
      </c>
      <c r="E81" t="s">
        <v>344</v>
      </c>
    </row>
    <row r="82" spans="1:5">
      <c r="A82" t="s">
        <v>236</v>
      </c>
      <c r="B82" t="s">
        <v>25</v>
      </c>
      <c r="C82" t="s">
        <v>345</v>
      </c>
      <c r="D82" t="s">
        <v>213</v>
      </c>
      <c r="E82" t="s">
        <v>346</v>
      </c>
    </row>
    <row r="83" spans="1:5">
      <c r="A83" t="s">
        <v>1</v>
      </c>
      <c r="B83" t="s">
        <v>25</v>
      </c>
      <c r="C83" t="s">
        <v>347</v>
      </c>
      <c r="D83" t="s">
        <v>213</v>
      </c>
      <c r="E83" t="s">
        <v>348</v>
      </c>
    </row>
    <row r="84" spans="1:5">
      <c r="A84" t="s">
        <v>236</v>
      </c>
      <c r="B84" t="s">
        <v>25</v>
      </c>
      <c r="C84" t="s">
        <v>347</v>
      </c>
      <c r="D84" t="s">
        <v>213</v>
      </c>
      <c r="E84" t="s">
        <v>348</v>
      </c>
    </row>
    <row r="85" spans="1:5">
      <c r="A85" t="s">
        <v>236</v>
      </c>
      <c r="B85" t="s">
        <v>25</v>
      </c>
      <c r="C85" t="s">
        <v>349</v>
      </c>
      <c r="D85" t="s">
        <v>213</v>
      </c>
      <c r="E85" t="s">
        <v>350</v>
      </c>
    </row>
    <row r="86" spans="1:5">
      <c r="A86" t="s">
        <v>1</v>
      </c>
      <c r="B86" t="s">
        <v>25</v>
      </c>
      <c r="C86" t="s">
        <v>351</v>
      </c>
      <c r="D86" t="s">
        <v>213</v>
      </c>
      <c r="E86" t="s">
        <v>352</v>
      </c>
    </row>
    <row r="87" spans="1:5">
      <c r="A87" t="s">
        <v>236</v>
      </c>
      <c r="B87" t="s">
        <v>25</v>
      </c>
      <c r="C87" t="s">
        <v>351</v>
      </c>
      <c r="D87" t="s">
        <v>213</v>
      </c>
      <c r="E87" t="s">
        <v>352</v>
      </c>
    </row>
    <row r="88" spans="1:5">
      <c r="A88" t="s">
        <v>1</v>
      </c>
      <c r="B88" t="s">
        <v>25</v>
      </c>
      <c r="C88" t="s">
        <v>353</v>
      </c>
      <c r="D88" t="s">
        <v>213</v>
      </c>
      <c r="E88" t="s">
        <v>354</v>
      </c>
    </row>
    <row r="89" spans="1:5">
      <c r="A89" t="s">
        <v>1</v>
      </c>
      <c r="B89" t="s">
        <v>25</v>
      </c>
      <c r="C89" t="s">
        <v>355</v>
      </c>
      <c r="D89" t="s">
        <v>221</v>
      </c>
      <c r="E89" t="s">
        <v>356</v>
      </c>
    </row>
    <row r="90" spans="1:5">
      <c r="A90" t="s">
        <v>1</v>
      </c>
      <c r="B90" t="s">
        <v>25</v>
      </c>
      <c r="C90" t="s">
        <v>357</v>
      </c>
      <c r="D90" t="s">
        <v>213</v>
      </c>
      <c r="E90" t="s">
        <v>358</v>
      </c>
    </row>
    <row r="91" spans="1:5">
      <c r="A91" t="s">
        <v>1</v>
      </c>
      <c r="B91" t="s">
        <v>25</v>
      </c>
      <c r="C91" t="s">
        <v>359</v>
      </c>
      <c r="D91" t="s">
        <v>213</v>
      </c>
      <c r="E91" t="s">
        <v>360</v>
      </c>
    </row>
    <row r="92" spans="1:5">
      <c r="A92" t="s">
        <v>236</v>
      </c>
      <c r="B92" t="s">
        <v>25</v>
      </c>
      <c r="C92" t="s">
        <v>361</v>
      </c>
      <c r="D92" t="s">
        <v>213</v>
      </c>
      <c r="E92" t="s">
        <v>362</v>
      </c>
    </row>
    <row r="93" spans="1:5">
      <c r="A93" t="s">
        <v>1</v>
      </c>
      <c r="B93" t="s">
        <v>25</v>
      </c>
      <c r="C93" t="s">
        <v>26</v>
      </c>
      <c r="D93" t="s">
        <v>213</v>
      </c>
      <c r="E93" t="s">
        <v>363</v>
      </c>
    </row>
    <row r="94" spans="1:5">
      <c r="A94" t="s">
        <v>236</v>
      </c>
      <c r="B94" t="s">
        <v>25</v>
      </c>
      <c r="C94" t="s">
        <v>26</v>
      </c>
      <c r="D94" t="s">
        <v>213</v>
      </c>
      <c r="E94" t="s">
        <v>363</v>
      </c>
    </row>
    <row r="95" spans="1:5">
      <c r="A95" t="s">
        <v>236</v>
      </c>
      <c r="B95" t="s">
        <v>25</v>
      </c>
      <c r="C95" t="s">
        <v>364</v>
      </c>
      <c r="D95" t="s">
        <v>213</v>
      </c>
      <c r="E95" t="s">
        <v>365</v>
      </c>
    </row>
    <row r="96" spans="1:5">
      <c r="A96" t="s">
        <v>1</v>
      </c>
      <c r="B96" t="s">
        <v>25</v>
      </c>
      <c r="C96" t="s">
        <v>366</v>
      </c>
      <c r="D96" t="s">
        <v>213</v>
      </c>
      <c r="E96" t="s">
        <v>367</v>
      </c>
    </row>
    <row r="97" spans="1:5">
      <c r="A97" t="s">
        <v>1</v>
      </c>
      <c r="B97" t="s">
        <v>25</v>
      </c>
      <c r="C97" t="s">
        <v>35</v>
      </c>
      <c r="D97" t="s">
        <v>209</v>
      </c>
      <c r="E97" t="s">
        <v>368</v>
      </c>
    </row>
    <row r="98" spans="1:5">
      <c r="A98" t="s">
        <v>1</v>
      </c>
      <c r="B98" t="s">
        <v>25</v>
      </c>
      <c r="C98" t="s">
        <v>369</v>
      </c>
      <c r="D98" t="s">
        <v>209</v>
      </c>
      <c r="E98" t="s">
        <v>370</v>
      </c>
    </row>
    <row r="99" spans="1:5">
      <c r="A99" t="s">
        <v>1</v>
      </c>
      <c r="B99" t="s">
        <v>25</v>
      </c>
      <c r="C99" t="s">
        <v>371</v>
      </c>
      <c r="D99" t="s">
        <v>209</v>
      </c>
      <c r="E99" t="s">
        <v>372</v>
      </c>
    </row>
    <row r="100" spans="1:5">
      <c r="A100" t="s">
        <v>1</v>
      </c>
      <c r="B100" t="s">
        <v>25</v>
      </c>
      <c r="C100" t="s">
        <v>373</v>
      </c>
      <c r="D100" t="s">
        <v>209</v>
      </c>
      <c r="E100" t="s">
        <v>374</v>
      </c>
    </row>
    <row r="101" spans="1:5">
      <c r="A101" t="s">
        <v>236</v>
      </c>
      <c r="B101" t="s">
        <v>25</v>
      </c>
      <c r="C101" t="s">
        <v>375</v>
      </c>
      <c r="D101" t="s">
        <v>221</v>
      </c>
      <c r="E101" t="s">
        <v>376</v>
      </c>
    </row>
    <row r="102" spans="1:5">
      <c r="A102" t="s">
        <v>236</v>
      </c>
      <c r="B102" t="s">
        <v>25</v>
      </c>
      <c r="C102" t="s">
        <v>377</v>
      </c>
      <c r="D102" t="s">
        <v>221</v>
      </c>
      <c r="E102" t="s">
        <v>378</v>
      </c>
    </row>
    <row r="103" spans="1:5">
      <c r="A103" t="s">
        <v>236</v>
      </c>
      <c r="B103" t="s">
        <v>25</v>
      </c>
      <c r="C103" t="s">
        <v>379</v>
      </c>
      <c r="D103" t="s">
        <v>221</v>
      </c>
      <c r="E103" t="s">
        <v>380</v>
      </c>
    </row>
    <row r="104" spans="1:5">
      <c r="A104" t="s">
        <v>236</v>
      </c>
      <c r="B104" t="s">
        <v>25</v>
      </c>
      <c r="C104" t="s">
        <v>381</v>
      </c>
      <c r="D104" t="s">
        <v>221</v>
      </c>
      <c r="E104" t="s">
        <v>382</v>
      </c>
    </row>
    <row r="105" spans="1:5">
      <c r="A105" t="s">
        <v>236</v>
      </c>
      <c r="B105" t="s">
        <v>25</v>
      </c>
      <c r="C105" t="s">
        <v>383</v>
      </c>
      <c r="D105" t="s">
        <v>221</v>
      </c>
      <c r="E105" t="s">
        <v>384</v>
      </c>
    </row>
    <row r="106" spans="1:5">
      <c r="A106" t="s">
        <v>236</v>
      </c>
      <c r="B106" t="s">
        <v>25</v>
      </c>
      <c r="C106" t="s">
        <v>385</v>
      </c>
      <c r="D106" t="s">
        <v>221</v>
      </c>
      <c r="E106" t="s">
        <v>386</v>
      </c>
    </row>
    <row r="107" spans="1:5">
      <c r="A107" t="s">
        <v>236</v>
      </c>
      <c r="B107" t="s">
        <v>25</v>
      </c>
      <c r="C107" t="s">
        <v>387</v>
      </c>
      <c r="D107" t="s">
        <v>221</v>
      </c>
      <c r="E107" t="s">
        <v>388</v>
      </c>
    </row>
    <row r="108" spans="1:5">
      <c r="A108" t="s">
        <v>236</v>
      </c>
      <c r="B108" t="s">
        <v>25</v>
      </c>
      <c r="C108" t="s">
        <v>389</v>
      </c>
      <c r="D108" t="s">
        <v>221</v>
      </c>
      <c r="E108" t="s">
        <v>390</v>
      </c>
    </row>
    <row r="109" spans="1:5">
      <c r="A109" t="s">
        <v>236</v>
      </c>
      <c r="B109" t="s">
        <v>25</v>
      </c>
      <c r="C109" t="s">
        <v>391</v>
      </c>
      <c r="D109" t="s">
        <v>221</v>
      </c>
      <c r="E109" t="s">
        <v>392</v>
      </c>
    </row>
    <row r="110" spans="1:5">
      <c r="A110" t="s">
        <v>236</v>
      </c>
      <c r="B110" t="s">
        <v>25</v>
      </c>
      <c r="C110" t="s">
        <v>393</v>
      </c>
      <c r="D110" t="s">
        <v>221</v>
      </c>
      <c r="E110" t="s">
        <v>394</v>
      </c>
    </row>
    <row r="111" spans="1:5">
      <c r="A111" t="s">
        <v>1</v>
      </c>
      <c r="B111" t="s">
        <v>25</v>
      </c>
      <c r="C111" t="s">
        <v>395</v>
      </c>
      <c r="D111" t="s">
        <v>213</v>
      </c>
      <c r="E111" t="s">
        <v>396</v>
      </c>
    </row>
    <row r="112" spans="1:5">
      <c r="A112" t="s">
        <v>1</v>
      </c>
      <c r="B112" t="s">
        <v>25</v>
      </c>
      <c r="C112" t="s">
        <v>104</v>
      </c>
      <c r="D112" t="s">
        <v>218</v>
      </c>
      <c r="E112" t="s">
        <v>105</v>
      </c>
    </row>
    <row r="113" spans="1:5">
      <c r="A113" t="s">
        <v>236</v>
      </c>
      <c r="B113" t="s">
        <v>25</v>
      </c>
      <c r="C113" t="s">
        <v>104</v>
      </c>
      <c r="D113" t="s">
        <v>218</v>
      </c>
      <c r="E113" t="s">
        <v>105</v>
      </c>
    </row>
    <row r="114" spans="1:5">
      <c r="A114" t="s">
        <v>1</v>
      </c>
      <c r="B114" t="s">
        <v>25</v>
      </c>
      <c r="C114" t="s">
        <v>397</v>
      </c>
      <c r="D114" t="s">
        <v>221</v>
      </c>
      <c r="E114" t="s">
        <v>398</v>
      </c>
    </row>
    <row r="115" spans="1:5">
      <c r="A115" t="s">
        <v>236</v>
      </c>
      <c r="B115" t="s">
        <v>25</v>
      </c>
      <c r="C115" t="s">
        <v>397</v>
      </c>
      <c r="D115" t="s">
        <v>221</v>
      </c>
      <c r="E115" t="s">
        <v>398</v>
      </c>
    </row>
    <row r="116" spans="1:5">
      <c r="A116" t="s">
        <v>1</v>
      </c>
      <c r="B116" t="s">
        <v>25</v>
      </c>
      <c r="C116" t="s">
        <v>399</v>
      </c>
      <c r="D116" t="s">
        <v>221</v>
      </c>
      <c r="E116" t="s">
        <v>400</v>
      </c>
    </row>
    <row r="117" spans="1:5">
      <c r="A117" t="s">
        <v>1</v>
      </c>
      <c r="B117" t="s">
        <v>25</v>
      </c>
      <c r="C117" t="s">
        <v>401</v>
      </c>
      <c r="D117" t="s">
        <v>221</v>
      </c>
      <c r="E117" t="s">
        <v>402</v>
      </c>
    </row>
    <row r="118" spans="1:5">
      <c r="A118" t="s">
        <v>1</v>
      </c>
      <c r="B118" t="s">
        <v>25</v>
      </c>
      <c r="C118" t="s">
        <v>403</v>
      </c>
      <c r="D118" t="s">
        <v>213</v>
      </c>
      <c r="E118" t="s">
        <v>404</v>
      </c>
    </row>
    <row r="119" spans="1:5">
      <c r="A119" t="s">
        <v>236</v>
      </c>
      <c r="B119" t="s">
        <v>25</v>
      </c>
      <c r="C119" t="s">
        <v>403</v>
      </c>
      <c r="D119" t="s">
        <v>213</v>
      </c>
      <c r="E119" t="s">
        <v>404</v>
      </c>
    </row>
    <row r="120" spans="1:5">
      <c r="A120" t="s">
        <v>1</v>
      </c>
      <c r="B120" t="s">
        <v>25</v>
      </c>
      <c r="C120" t="s">
        <v>405</v>
      </c>
      <c r="D120" t="s">
        <v>213</v>
      </c>
      <c r="E120" t="s">
        <v>406</v>
      </c>
    </row>
    <row r="121" spans="1:5">
      <c r="A121" t="s">
        <v>236</v>
      </c>
      <c r="B121" t="s">
        <v>25</v>
      </c>
      <c r="C121" t="s">
        <v>407</v>
      </c>
      <c r="D121" t="s">
        <v>213</v>
      </c>
      <c r="E121" t="s">
        <v>408</v>
      </c>
    </row>
    <row r="122" spans="1:5">
      <c r="A122" t="s">
        <v>236</v>
      </c>
      <c r="B122" t="s">
        <v>25</v>
      </c>
      <c r="C122" t="s">
        <v>409</v>
      </c>
      <c r="D122" t="s">
        <v>221</v>
      </c>
      <c r="E122" t="s">
        <v>410</v>
      </c>
    </row>
    <row r="123" spans="1:5">
      <c r="A123" t="s">
        <v>236</v>
      </c>
      <c r="B123" t="s">
        <v>25</v>
      </c>
      <c r="C123" t="s">
        <v>411</v>
      </c>
      <c r="D123" t="s">
        <v>221</v>
      </c>
      <c r="E123" t="s">
        <v>412</v>
      </c>
    </row>
    <row r="124" spans="1:5">
      <c r="A124" t="s">
        <v>236</v>
      </c>
      <c r="B124" t="s">
        <v>25</v>
      </c>
      <c r="C124" t="s">
        <v>413</v>
      </c>
      <c r="D124" t="s">
        <v>221</v>
      </c>
      <c r="E124" t="s">
        <v>414</v>
      </c>
    </row>
    <row r="125" spans="1:5">
      <c r="A125" t="s">
        <v>236</v>
      </c>
      <c r="B125" t="s">
        <v>25</v>
      </c>
      <c r="C125" t="s">
        <v>415</v>
      </c>
      <c r="D125" t="s">
        <v>221</v>
      </c>
      <c r="E125" t="s">
        <v>416</v>
      </c>
    </row>
    <row r="126" spans="1:5">
      <c r="A126" t="s">
        <v>236</v>
      </c>
      <c r="B126" t="s">
        <v>25</v>
      </c>
      <c r="C126" t="s">
        <v>417</v>
      </c>
      <c r="D126" t="s">
        <v>221</v>
      </c>
      <c r="E126" t="s">
        <v>418</v>
      </c>
    </row>
    <row r="127" spans="1:5">
      <c r="A127" t="s">
        <v>236</v>
      </c>
      <c r="B127" t="s">
        <v>25</v>
      </c>
      <c r="C127" t="s">
        <v>419</v>
      </c>
      <c r="D127" t="s">
        <v>246</v>
      </c>
      <c r="E127" t="s">
        <v>420</v>
      </c>
    </row>
    <row r="128" spans="1:5">
      <c r="A128" t="s">
        <v>1</v>
      </c>
      <c r="B128" t="s">
        <v>25</v>
      </c>
      <c r="C128" t="s">
        <v>421</v>
      </c>
      <c r="D128" t="s">
        <v>209</v>
      </c>
      <c r="E128" t="s">
        <v>422</v>
      </c>
    </row>
    <row r="129" spans="1:5">
      <c r="A129" t="s">
        <v>236</v>
      </c>
      <c r="B129" t="s">
        <v>25</v>
      </c>
      <c r="C129" t="s">
        <v>421</v>
      </c>
      <c r="D129" t="s">
        <v>209</v>
      </c>
      <c r="E129" t="s">
        <v>422</v>
      </c>
    </row>
    <row r="130" spans="1:5">
      <c r="A130" t="s">
        <v>1</v>
      </c>
      <c r="B130" t="s">
        <v>25</v>
      </c>
      <c r="C130" t="s">
        <v>423</v>
      </c>
      <c r="D130" t="s">
        <v>221</v>
      </c>
      <c r="E130" t="s">
        <v>424</v>
      </c>
    </row>
    <row r="131" spans="1:5">
      <c r="A131" t="s">
        <v>236</v>
      </c>
      <c r="B131" t="s">
        <v>25</v>
      </c>
      <c r="C131" t="s">
        <v>425</v>
      </c>
      <c r="D131" t="s">
        <v>213</v>
      </c>
      <c r="E131" t="s">
        <v>426</v>
      </c>
    </row>
    <row r="132" spans="1:5">
      <c r="A132" t="s">
        <v>1</v>
      </c>
      <c r="B132" t="s">
        <v>25</v>
      </c>
      <c r="C132" t="s">
        <v>427</v>
      </c>
      <c r="D132" t="s">
        <v>213</v>
      </c>
      <c r="E132" t="s">
        <v>428</v>
      </c>
    </row>
    <row r="133" spans="1:5">
      <c r="A133" t="s">
        <v>236</v>
      </c>
      <c r="B133" t="s">
        <v>25</v>
      </c>
      <c r="C133" t="s">
        <v>429</v>
      </c>
      <c r="D133" t="s">
        <v>213</v>
      </c>
      <c r="E133" t="s">
        <v>430</v>
      </c>
    </row>
    <row r="134" spans="1:5">
      <c r="A134" t="s">
        <v>1</v>
      </c>
      <c r="B134" t="s">
        <v>25</v>
      </c>
      <c r="C134" t="s">
        <v>431</v>
      </c>
      <c r="D134" t="s">
        <v>213</v>
      </c>
      <c r="E134" t="s">
        <v>432</v>
      </c>
    </row>
    <row r="135" spans="1:5">
      <c r="A135" t="s">
        <v>236</v>
      </c>
      <c r="B135" t="s">
        <v>25</v>
      </c>
      <c r="C135" t="s">
        <v>431</v>
      </c>
      <c r="D135" t="s">
        <v>213</v>
      </c>
      <c r="E135" t="s">
        <v>432</v>
      </c>
    </row>
    <row r="136" spans="1:5">
      <c r="A136" t="s">
        <v>1</v>
      </c>
      <c r="B136" t="s">
        <v>25</v>
      </c>
      <c r="C136" t="s">
        <v>433</v>
      </c>
      <c r="D136" t="s">
        <v>209</v>
      </c>
      <c r="E136" t="s">
        <v>434</v>
      </c>
    </row>
    <row r="137" spans="1:5">
      <c r="A137" t="s">
        <v>236</v>
      </c>
      <c r="B137" t="s">
        <v>25</v>
      </c>
      <c r="C137" t="s">
        <v>433</v>
      </c>
      <c r="D137" t="s">
        <v>209</v>
      </c>
      <c r="E137" t="s">
        <v>434</v>
      </c>
    </row>
    <row r="138" spans="1:5">
      <c r="A138" t="s">
        <v>1</v>
      </c>
      <c r="B138" t="s">
        <v>25</v>
      </c>
      <c r="C138" t="s">
        <v>435</v>
      </c>
      <c r="D138" t="s">
        <v>209</v>
      </c>
      <c r="E138" t="s">
        <v>436</v>
      </c>
    </row>
    <row r="139" spans="1:5">
      <c r="A139" t="s">
        <v>236</v>
      </c>
      <c r="B139" t="s">
        <v>25</v>
      </c>
      <c r="C139" t="s">
        <v>435</v>
      </c>
      <c r="D139" t="s">
        <v>209</v>
      </c>
      <c r="E139" t="s">
        <v>436</v>
      </c>
    </row>
    <row r="140" spans="1:5">
      <c r="A140" t="s">
        <v>1</v>
      </c>
      <c r="B140" t="s">
        <v>25</v>
      </c>
      <c r="C140" t="s">
        <v>437</v>
      </c>
      <c r="D140" t="s">
        <v>246</v>
      </c>
      <c r="E140" t="s">
        <v>438</v>
      </c>
    </row>
    <row r="141" spans="1:5">
      <c r="A141" t="s">
        <v>1</v>
      </c>
      <c r="B141" t="s">
        <v>25</v>
      </c>
      <c r="C141" t="s">
        <v>439</v>
      </c>
      <c r="D141" t="e">
        <v>#N/A</v>
      </c>
      <c r="E141" t="s">
        <v>440</v>
      </c>
    </row>
    <row r="142" spans="1:5">
      <c r="A142" t="s">
        <v>1</v>
      </c>
      <c r="B142" t="s">
        <v>25</v>
      </c>
      <c r="C142" t="s">
        <v>441</v>
      </c>
      <c r="D142" t="e">
        <v>#N/A</v>
      </c>
      <c r="E142" t="s">
        <v>442</v>
      </c>
    </row>
    <row r="143" spans="1:5">
      <c r="A143" t="s">
        <v>1</v>
      </c>
      <c r="B143" t="s">
        <v>25</v>
      </c>
      <c r="C143" t="s">
        <v>443</v>
      </c>
      <c r="D143" t="s">
        <v>221</v>
      </c>
      <c r="E143" t="s">
        <v>444</v>
      </c>
    </row>
    <row r="144" spans="1:5">
      <c r="A144" t="s">
        <v>1</v>
      </c>
      <c r="B144" t="s">
        <v>25</v>
      </c>
      <c r="C144" t="s">
        <v>445</v>
      </c>
      <c r="D144" t="s">
        <v>246</v>
      </c>
      <c r="E144" t="s">
        <v>446</v>
      </c>
    </row>
    <row r="145" spans="1:5">
      <c r="A145" t="s">
        <v>236</v>
      </c>
      <c r="B145" t="s">
        <v>25</v>
      </c>
      <c r="C145" t="s">
        <v>445</v>
      </c>
      <c r="D145" t="s">
        <v>246</v>
      </c>
      <c r="E145" t="s">
        <v>446</v>
      </c>
    </row>
    <row r="146" spans="1:5">
      <c r="A146" t="s">
        <v>1</v>
      </c>
      <c r="B146" t="s">
        <v>25</v>
      </c>
      <c r="C146" t="s">
        <v>447</v>
      </c>
      <c r="D146" t="e">
        <v>#N/A</v>
      </c>
      <c r="E146" t="s">
        <v>448</v>
      </c>
    </row>
    <row r="147" spans="1:5">
      <c r="A147" t="s">
        <v>1</v>
      </c>
      <c r="B147" t="s">
        <v>25</v>
      </c>
      <c r="C147" t="s">
        <v>449</v>
      </c>
      <c r="D147" t="e">
        <v>#N/A</v>
      </c>
      <c r="E147" t="s">
        <v>450</v>
      </c>
    </row>
    <row r="148" spans="1:5">
      <c r="A148" t="s">
        <v>1</v>
      </c>
      <c r="B148" t="s">
        <v>25</v>
      </c>
      <c r="C148" t="s">
        <v>451</v>
      </c>
      <c r="D148" t="e">
        <v>#N/A</v>
      </c>
      <c r="E148" t="s">
        <v>452</v>
      </c>
    </row>
    <row r="149" spans="1:5">
      <c r="A149" t="s">
        <v>1</v>
      </c>
      <c r="B149" t="s">
        <v>25</v>
      </c>
      <c r="C149" t="s">
        <v>453</v>
      </c>
      <c r="D149" t="e">
        <v>#N/A</v>
      </c>
      <c r="E149" t="s">
        <v>454</v>
      </c>
    </row>
    <row r="150" spans="1:5">
      <c r="A150" t="s">
        <v>1</v>
      </c>
      <c r="B150" t="s">
        <v>25</v>
      </c>
      <c r="C150" t="s">
        <v>455</v>
      </c>
      <c r="D150" t="e">
        <v>#N/A</v>
      </c>
      <c r="E150" t="s">
        <v>456</v>
      </c>
    </row>
    <row r="151" spans="1:5">
      <c r="A151" t="s">
        <v>1</v>
      </c>
      <c r="B151" t="s">
        <v>25</v>
      </c>
      <c r="C151" t="s">
        <v>457</v>
      </c>
      <c r="D151" t="s">
        <v>246</v>
      </c>
      <c r="E151" t="s">
        <v>458</v>
      </c>
    </row>
    <row r="152" spans="1:5">
      <c r="A152" t="s">
        <v>236</v>
      </c>
      <c r="B152" t="s">
        <v>25</v>
      </c>
      <c r="C152" t="s">
        <v>457</v>
      </c>
      <c r="D152" t="s">
        <v>246</v>
      </c>
      <c r="E152" t="s">
        <v>458</v>
      </c>
    </row>
    <row r="153" spans="1:5">
      <c r="A153" t="s">
        <v>236</v>
      </c>
      <c r="B153" t="s">
        <v>25</v>
      </c>
      <c r="C153" t="s">
        <v>459</v>
      </c>
      <c r="D153" t="s">
        <v>246</v>
      </c>
      <c r="E153" t="s">
        <v>460</v>
      </c>
    </row>
    <row r="154" spans="1:5">
      <c r="A154" t="s">
        <v>1</v>
      </c>
      <c r="B154" t="s">
        <v>25</v>
      </c>
      <c r="C154" t="s">
        <v>461</v>
      </c>
      <c r="D154" t="e">
        <v>#N/A</v>
      </c>
      <c r="E154" t="s">
        <v>462</v>
      </c>
    </row>
    <row r="155" spans="1:5">
      <c r="A155" t="s">
        <v>1</v>
      </c>
      <c r="B155" t="s">
        <v>25</v>
      </c>
      <c r="C155" t="s">
        <v>463</v>
      </c>
      <c r="D155" t="e">
        <v>#N/A</v>
      </c>
      <c r="E155" t="s">
        <v>464</v>
      </c>
    </row>
    <row r="156" spans="1:5">
      <c r="A156" t="s">
        <v>1</v>
      </c>
      <c r="B156" t="s">
        <v>25</v>
      </c>
      <c r="C156" t="s">
        <v>151</v>
      </c>
      <c r="D156" t="s">
        <v>221</v>
      </c>
      <c r="E156" t="s">
        <v>152</v>
      </c>
    </row>
    <row r="157" spans="1:5">
      <c r="A157" t="s">
        <v>1</v>
      </c>
      <c r="B157" t="s">
        <v>25</v>
      </c>
      <c r="C157" t="s">
        <v>465</v>
      </c>
      <c r="D157" t="s">
        <v>209</v>
      </c>
      <c r="E157" t="s">
        <v>466</v>
      </c>
    </row>
    <row r="158" spans="1:5">
      <c r="A158" t="s">
        <v>236</v>
      </c>
      <c r="B158" t="s">
        <v>25</v>
      </c>
      <c r="C158" t="s">
        <v>465</v>
      </c>
      <c r="D158" t="s">
        <v>209</v>
      </c>
      <c r="E158" t="s">
        <v>466</v>
      </c>
    </row>
    <row r="159" spans="1:5">
      <c r="A159" t="s">
        <v>1</v>
      </c>
      <c r="B159" t="s">
        <v>25</v>
      </c>
      <c r="C159" t="s">
        <v>467</v>
      </c>
      <c r="D159" t="s">
        <v>213</v>
      </c>
      <c r="E159" t="s">
        <v>468</v>
      </c>
    </row>
    <row r="160" spans="1:5">
      <c r="A160" t="s">
        <v>1</v>
      </c>
      <c r="B160" t="s">
        <v>25</v>
      </c>
      <c r="C160" t="s">
        <v>469</v>
      </c>
      <c r="D160" t="s">
        <v>221</v>
      </c>
      <c r="E160" t="s">
        <v>470</v>
      </c>
    </row>
    <row r="161" spans="1:5">
      <c r="A161" t="s">
        <v>236</v>
      </c>
      <c r="B161" t="s">
        <v>25</v>
      </c>
      <c r="C161" t="s">
        <v>469</v>
      </c>
      <c r="D161" t="s">
        <v>221</v>
      </c>
      <c r="E161" t="s">
        <v>470</v>
      </c>
    </row>
    <row r="162" spans="1:5">
      <c r="A162" t="s">
        <v>1</v>
      </c>
      <c r="B162" t="s">
        <v>25</v>
      </c>
      <c r="C162" t="s">
        <v>155</v>
      </c>
      <c r="D162" t="s">
        <v>221</v>
      </c>
      <c r="E162" t="s">
        <v>156</v>
      </c>
    </row>
    <row r="163" spans="1:5">
      <c r="A163" t="s">
        <v>1</v>
      </c>
      <c r="B163" t="s">
        <v>25</v>
      </c>
      <c r="C163" t="s">
        <v>471</v>
      </c>
      <c r="D163" t="s">
        <v>213</v>
      </c>
      <c r="E163" t="s">
        <v>472</v>
      </c>
    </row>
    <row r="164" spans="1:5">
      <c r="A164" t="s">
        <v>236</v>
      </c>
      <c r="B164" t="s">
        <v>25</v>
      </c>
      <c r="C164" t="s">
        <v>471</v>
      </c>
      <c r="D164" t="s">
        <v>213</v>
      </c>
      <c r="E164" t="s">
        <v>472</v>
      </c>
    </row>
    <row r="165" spans="1:5">
      <c r="A165" t="s">
        <v>236</v>
      </c>
      <c r="B165" t="s">
        <v>25</v>
      </c>
      <c r="C165" t="s">
        <v>473</v>
      </c>
      <c r="D165" t="s">
        <v>221</v>
      </c>
      <c r="E165" t="s">
        <v>474</v>
      </c>
    </row>
    <row r="166" spans="1:5">
      <c r="A166" t="s">
        <v>236</v>
      </c>
      <c r="B166" t="s">
        <v>25</v>
      </c>
      <c r="C166" t="s">
        <v>475</v>
      </c>
      <c r="D166" t="s">
        <v>221</v>
      </c>
      <c r="E166" t="s">
        <v>476</v>
      </c>
    </row>
    <row r="167" spans="1:5">
      <c r="A167" t="s">
        <v>236</v>
      </c>
      <c r="B167" t="s">
        <v>25</v>
      </c>
      <c r="C167" t="s">
        <v>477</v>
      </c>
      <c r="D167" t="s">
        <v>221</v>
      </c>
      <c r="E167" t="s">
        <v>478</v>
      </c>
    </row>
    <row r="168" spans="1:5">
      <c r="A168" t="s">
        <v>236</v>
      </c>
      <c r="B168" t="s">
        <v>25</v>
      </c>
      <c r="C168" t="s">
        <v>479</v>
      </c>
      <c r="D168" t="s">
        <v>221</v>
      </c>
      <c r="E168" t="s">
        <v>480</v>
      </c>
    </row>
    <row r="169" spans="1:5">
      <c r="A169" t="s">
        <v>236</v>
      </c>
      <c r="B169" t="s">
        <v>25</v>
      </c>
      <c r="C169" t="s">
        <v>481</v>
      </c>
      <c r="D169" t="s">
        <v>221</v>
      </c>
      <c r="E169" t="s">
        <v>482</v>
      </c>
    </row>
    <row r="170" spans="1:5">
      <c r="A170" t="s">
        <v>1</v>
      </c>
      <c r="B170" t="s">
        <v>25</v>
      </c>
      <c r="C170" t="s">
        <v>483</v>
      </c>
      <c r="D170" t="s">
        <v>213</v>
      </c>
      <c r="E170" t="s">
        <v>484</v>
      </c>
    </row>
    <row r="171" spans="1:5">
      <c r="A171" t="s">
        <v>1</v>
      </c>
      <c r="B171" t="s">
        <v>25</v>
      </c>
      <c r="C171" t="s">
        <v>485</v>
      </c>
      <c r="D171" t="s">
        <v>213</v>
      </c>
      <c r="E171" t="s">
        <v>486</v>
      </c>
    </row>
    <row r="172" spans="1:5">
      <c r="A172" t="s">
        <v>1</v>
      </c>
      <c r="B172" t="s">
        <v>25</v>
      </c>
      <c r="C172" t="s">
        <v>487</v>
      </c>
      <c r="D172" t="s">
        <v>213</v>
      </c>
      <c r="E172" t="s">
        <v>488</v>
      </c>
    </row>
    <row r="173" spans="1:5">
      <c r="A173" t="s">
        <v>1</v>
      </c>
      <c r="B173" t="s">
        <v>25</v>
      </c>
      <c r="C173" t="s">
        <v>489</v>
      </c>
      <c r="D173" t="s">
        <v>221</v>
      </c>
      <c r="E173" t="s">
        <v>490</v>
      </c>
    </row>
    <row r="174" spans="1:5">
      <c r="A174" t="s">
        <v>1</v>
      </c>
      <c r="B174" t="s">
        <v>25</v>
      </c>
      <c r="C174" t="s">
        <v>491</v>
      </c>
      <c r="D174" t="s">
        <v>213</v>
      </c>
      <c r="E174" t="s">
        <v>492</v>
      </c>
    </row>
    <row r="175" spans="1:5">
      <c r="A175" t="s">
        <v>1</v>
      </c>
      <c r="B175" t="s">
        <v>25</v>
      </c>
      <c r="C175" t="s">
        <v>493</v>
      </c>
      <c r="D175" t="s">
        <v>213</v>
      </c>
      <c r="E175" t="s">
        <v>494</v>
      </c>
    </row>
    <row r="176" spans="1:5">
      <c r="A176" t="s">
        <v>1</v>
      </c>
      <c r="B176" t="s">
        <v>25</v>
      </c>
      <c r="C176" t="s">
        <v>495</v>
      </c>
      <c r="D176" t="s">
        <v>213</v>
      </c>
      <c r="E176" t="s">
        <v>496</v>
      </c>
    </row>
    <row r="177" spans="1:5">
      <c r="A177" t="s">
        <v>1</v>
      </c>
      <c r="B177" t="s">
        <v>25</v>
      </c>
      <c r="C177" t="s">
        <v>497</v>
      </c>
      <c r="D177" t="s">
        <v>221</v>
      </c>
      <c r="E177" t="s">
        <v>1301</v>
      </c>
    </row>
    <row r="178" spans="1:5">
      <c r="A178" t="s">
        <v>236</v>
      </c>
      <c r="B178" t="s">
        <v>25</v>
      </c>
      <c r="C178" t="s">
        <v>497</v>
      </c>
      <c r="D178" t="s">
        <v>221</v>
      </c>
      <c r="E178" t="s">
        <v>1301</v>
      </c>
    </row>
    <row r="179" spans="1:5">
      <c r="A179" t="s">
        <v>1</v>
      </c>
      <c r="B179" t="s">
        <v>25</v>
      </c>
      <c r="C179" t="s">
        <v>498</v>
      </c>
      <c r="D179" t="s">
        <v>213</v>
      </c>
      <c r="E179" t="s">
        <v>499</v>
      </c>
    </row>
    <row r="180" spans="1:5">
      <c r="A180" t="s">
        <v>236</v>
      </c>
      <c r="B180" t="s">
        <v>25</v>
      </c>
      <c r="C180" t="s">
        <v>498</v>
      </c>
      <c r="D180" t="s">
        <v>213</v>
      </c>
      <c r="E180" t="s">
        <v>499</v>
      </c>
    </row>
    <row r="181" spans="1:5">
      <c r="A181" t="s">
        <v>1</v>
      </c>
      <c r="B181" t="s">
        <v>25</v>
      </c>
      <c r="C181" t="s">
        <v>500</v>
      </c>
      <c r="D181" t="s">
        <v>221</v>
      </c>
      <c r="E181" t="s">
        <v>501</v>
      </c>
    </row>
    <row r="182" spans="1:5">
      <c r="A182" t="s">
        <v>1</v>
      </c>
      <c r="B182" t="s">
        <v>25</v>
      </c>
      <c r="C182" t="s">
        <v>502</v>
      </c>
      <c r="D182" t="s">
        <v>221</v>
      </c>
      <c r="E182" t="s">
        <v>503</v>
      </c>
    </row>
    <row r="183" spans="1:5">
      <c r="A183" t="s">
        <v>1</v>
      </c>
      <c r="B183" t="s">
        <v>25</v>
      </c>
      <c r="C183" t="s">
        <v>504</v>
      </c>
      <c r="D183" t="s">
        <v>221</v>
      </c>
      <c r="E183" t="s">
        <v>505</v>
      </c>
    </row>
    <row r="184" spans="1:5">
      <c r="A184" t="s">
        <v>1</v>
      </c>
      <c r="B184" t="s">
        <v>27</v>
      </c>
      <c r="C184" t="s">
        <v>506</v>
      </c>
      <c r="D184" t="s">
        <v>507</v>
      </c>
      <c r="E184" t="s">
        <v>508</v>
      </c>
    </row>
    <row r="185" spans="1:5">
      <c r="A185" t="s">
        <v>1</v>
      </c>
      <c r="B185" t="s">
        <v>27</v>
      </c>
      <c r="C185" t="s">
        <v>509</v>
      </c>
      <c r="D185" t="s">
        <v>216</v>
      </c>
      <c r="E185" t="s">
        <v>510</v>
      </c>
    </row>
    <row r="186" spans="1:5">
      <c r="A186" t="s">
        <v>236</v>
      </c>
      <c r="B186" t="s">
        <v>27</v>
      </c>
      <c r="C186" t="s">
        <v>509</v>
      </c>
      <c r="D186" t="s">
        <v>216</v>
      </c>
      <c r="E186" t="s">
        <v>510</v>
      </c>
    </row>
    <row r="187" spans="1:5">
      <c r="A187" t="s">
        <v>1</v>
      </c>
      <c r="B187" t="s">
        <v>27</v>
      </c>
      <c r="C187" t="s">
        <v>511</v>
      </c>
      <c r="D187" t="s">
        <v>507</v>
      </c>
      <c r="E187" t="s">
        <v>512</v>
      </c>
    </row>
    <row r="188" spans="1:5">
      <c r="A188" t="s">
        <v>236</v>
      </c>
      <c r="B188" t="s">
        <v>27</v>
      </c>
      <c r="C188" t="s">
        <v>511</v>
      </c>
      <c r="D188" t="s">
        <v>507</v>
      </c>
      <c r="E188" t="s">
        <v>512</v>
      </c>
    </row>
    <row r="189" spans="1:5">
      <c r="A189" t="s">
        <v>1</v>
      </c>
      <c r="B189" t="s">
        <v>27</v>
      </c>
      <c r="C189" t="s">
        <v>513</v>
      </c>
      <c r="D189" t="s">
        <v>216</v>
      </c>
      <c r="E189" t="s">
        <v>514</v>
      </c>
    </row>
    <row r="190" spans="1:5">
      <c r="A190" t="s">
        <v>236</v>
      </c>
      <c r="B190" t="s">
        <v>27</v>
      </c>
      <c r="C190" t="s">
        <v>515</v>
      </c>
      <c r="D190" t="s">
        <v>216</v>
      </c>
      <c r="E190" t="s">
        <v>516</v>
      </c>
    </row>
    <row r="191" spans="1:5">
      <c r="A191" t="s">
        <v>236</v>
      </c>
      <c r="B191" t="s">
        <v>27</v>
      </c>
      <c r="C191" t="s">
        <v>517</v>
      </c>
      <c r="D191" t="s">
        <v>216</v>
      </c>
      <c r="E191" t="s">
        <v>518</v>
      </c>
    </row>
    <row r="192" spans="1:5">
      <c r="A192" t="s">
        <v>236</v>
      </c>
      <c r="B192" t="s">
        <v>27</v>
      </c>
      <c r="C192" t="s">
        <v>519</v>
      </c>
      <c r="D192" t="s">
        <v>216</v>
      </c>
      <c r="E192" t="s">
        <v>520</v>
      </c>
    </row>
    <row r="193" spans="1:5">
      <c r="A193" t="s">
        <v>236</v>
      </c>
      <c r="B193" t="s">
        <v>27</v>
      </c>
      <c r="C193" t="s">
        <v>521</v>
      </c>
      <c r="D193" t="s">
        <v>216</v>
      </c>
      <c r="E193" t="s">
        <v>522</v>
      </c>
    </row>
    <row r="194" spans="1:5">
      <c r="A194" t="s">
        <v>236</v>
      </c>
      <c r="B194" t="s">
        <v>27</v>
      </c>
      <c r="C194" t="s">
        <v>523</v>
      </c>
      <c r="D194" t="s">
        <v>216</v>
      </c>
      <c r="E194" t="s">
        <v>524</v>
      </c>
    </row>
    <row r="195" spans="1:5">
      <c r="A195" t="s">
        <v>1</v>
      </c>
      <c r="B195" t="s">
        <v>27</v>
      </c>
      <c r="C195" t="s">
        <v>525</v>
      </c>
      <c r="D195" t="s">
        <v>507</v>
      </c>
      <c r="E195" t="s">
        <v>526</v>
      </c>
    </row>
    <row r="196" spans="1:5">
      <c r="A196" t="s">
        <v>1</v>
      </c>
      <c r="B196" t="s">
        <v>27</v>
      </c>
      <c r="C196" t="s">
        <v>28</v>
      </c>
      <c r="D196" t="s">
        <v>507</v>
      </c>
      <c r="E196" t="s">
        <v>527</v>
      </c>
    </row>
    <row r="197" spans="1:5">
      <c r="A197" t="s">
        <v>1</v>
      </c>
      <c r="B197" t="s">
        <v>27</v>
      </c>
      <c r="C197" t="s">
        <v>528</v>
      </c>
      <c r="D197" t="s">
        <v>216</v>
      </c>
      <c r="E197" t="s">
        <v>529</v>
      </c>
    </row>
    <row r="198" spans="1:5">
      <c r="A198" t="s">
        <v>1</v>
      </c>
      <c r="B198" t="s">
        <v>27</v>
      </c>
      <c r="C198" t="s">
        <v>530</v>
      </c>
      <c r="D198" t="s">
        <v>216</v>
      </c>
      <c r="E198" t="s">
        <v>531</v>
      </c>
    </row>
    <row r="199" spans="1:5">
      <c r="A199" t="s">
        <v>1</v>
      </c>
      <c r="B199" t="s">
        <v>27</v>
      </c>
      <c r="C199" t="s">
        <v>532</v>
      </c>
      <c r="D199" t="s">
        <v>216</v>
      </c>
      <c r="E199" t="s">
        <v>533</v>
      </c>
    </row>
    <row r="200" spans="1:5">
      <c r="A200" t="s">
        <v>1</v>
      </c>
      <c r="B200" t="s">
        <v>27</v>
      </c>
      <c r="C200" t="s">
        <v>534</v>
      </c>
      <c r="D200" t="s">
        <v>507</v>
      </c>
      <c r="E200" t="s">
        <v>535</v>
      </c>
    </row>
    <row r="201" spans="1:5">
      <c r="A201" t="s">
        <v>1</v>
      </c>
      <c r="B201" t="s">
        <v>27</v>
      </c>
      <c r="C201" t="s">
        <v>176</v>
      </c>
      <c r="D201" t="s">
        <v>507</v>
      </c>
      <c r="E201" t="s">
        <v>536</v>
      </c>
    </row>
    <row r="202" spans="1:5">
      <c r="A202" t="s">
        <v>236</v>
      </c>
      <c r="B202" t="s">
        <v>27</v>
      </c>
      <c r="C202" t="s">
        <v>176</v>
      </c>
      <c r="D202" t="s">
        <v>507</v>
      </c>
      <c r="E202" t="s">
        <v>536</v>
      </c>
    </row>
    <row r="203" spans="1:5">
      <c r="A203" t="s">
        <v>1</v>
      </c>
      <c r="B203" t="s">
        <v>537</v>
      </c>
      <c r="C203" t="s">
        <v>538</v>
      </c>
      <c r="D203" t="s">
        <v>507</v>
      </c>
      <c r="E203" t="s">
        <v>539</v>
      </c>
    </row>
    <row r="204" spans="1:5">
      <c r="A204" t="s">
        <v>1</v>
      </c>
      <c r="B204" t="s">
        <v>537</v>
      </c>
      <c r="C204" t="s">
        <v>540</v>
      </c>
      <c r="D204" t="s">
        <v>209</v>
      </c>
      <c r="E204" t="s">
        <v>212</v>
      </c>
    </row>
    <row r="205" spans="1:5">
      <c r="A205" t="s">
        <v>1</v>
      </c>
      <c r="B205" t="s">
        <v>541</v>
      </c>
      <c r="C205" t="s">
        <v>542</v>
      </c>
      <c r="D205" t="s">
        <v>213</v>
      </c>
      <c r="E205" t="s">
        <v>543</v>
      </c>
    </row>
    <row r="206" spans="1:5">
      <c r="A206" t="s">
        <v>1</v>
      </c>
      <c r="B206" t="s">
        <v>541</v>
      </c>
      <c r="C206" t="s">
        <v>544</v>
      </c>
      <c r="D206" t="s">
        <v>213</v>
      </c>
      <c r="E206" t="s">
        <v>545</v>
      </c>
    </row>
    <row r="207" spans="1:5">
      <c r="A207" t="s">
        <v>1</v>
      </c>
      <c r="B207" t="s">
        <v>541</v>
      </c>
      <c r="C207" t="s">
        <v>546</v>
      </c>
      <c r="D207" t="s">
        <v>213</v>
      </c>
      <c r="E207" t="s">
        <v>547</v>
      </c>
    </row>
    <row r="208" spans="1:5">
      <c r="A208" t="s">
        <v>1</v>
      </c>
      <c r="B208" t="s">
        <v>541</v>
      </c>
      <c r="C208" t="s">
        <v>548</v>
      </c>
      <c r="D208" t="s">
        <v>213</v>
      </c>
      <c r="E208" t="s">
        <v>549</v>
      </c>
    </row>
    <row r="209" spans="1:5">
      <c r="A209" t="s">
        <v>1</v>
      </c>
      <c r="B209" t="s">
        <v>541</v>
      </c>
      <c r="C209" t="s">
        <v>550</v>
      </c>
      <c r="D209" t="s">
        <v>216</v>
      </c>
      <c r="E209" t="s">
        <v>551</v>
      </c>
    </row>
    <row r="210" spans="1:5">
      <c r="A210" t="s">
        <v>1</v>
      </c>
      <c r="B210" t="s">
        <v>541</v>
      </c>
      <c r="C210" t="s">
        <v>552</v>
      </c>
      <c r="D210" t="s">
        <v>213</v>
      </c>
      <c r="E210" t="s">
        <v>1302</v>
      </c>
    </row>
    <row r="211" spans="1:5">
      <c r="A211" t="s">
        <v>1</v>
      </c>
      <c r="B211" t="s">
        <v>541</v>
      </c>
      <c r="C211" t="s">
        <v>553</v>
      </c>
      <c r="D211" t="s">
        <v>216</v>
      </c>
      <c r="E211" t="s">
        <v>554</v>
      </c>
    </row>
    <row r="212" spans="1:5">
      <c r="A212" t="s">
        <v>1</v>
      </c>
      <c r="B212" t="s">
        <v>541</v>
      </c>
      <c r="C212" t="s">
        <v>555</v>
      </c>
      <c r="D212" t="s">
        <v>213</v>
      </c>
      <c r="E212" t="s">
        <v>556</v>
      </c>
    </row>
    <row r="213" spans="1:5">
      <c r="A213" t="s">
        <v>236</v>
      </c>
      <c r="B213" t="s">
        <v>541</v>
      </c>
      <c r="C213" t="s">
        <v>555</v>
      </c>
      <c r="D213" t="s">
        <v>213</v>
      </c>
      <c r="E213" t="s">
        <v>556</v>
      </c>
    </row>
    <row r="214" spans="1:5">
      <c r="A214" t="s">
        <v>1</v>
      </c>
      <c r="B214" t="s">
        <v>541</v>
      </c>
      <c r="C214" t="s">
        <v>557</v>
      </c>
      <c r="D214" t="s">
        <v>213</v>
      </c>
      <c r="E214" t="s">
        <v>558</v>
      </c>
    </row>
    <row r="215" spans="1:5">
      <c r="A215" t="s">
        <v>1</v>
      </c>
      <c r="B215" t="s">
        <v>541</v>
      </c>
      <c r="C215" t="s">
        <v>559</v>
      </c>
      <c r="D215" t="s">
        <v>213</v>
      </c>
      <c r="E215" t="s">
        <v>560</v>
      </c>
    </row>
    <row r="216" spans="1:5">
      <c r="A216" t="s">
        <v>1</v>
      </c>
      <c r="B216" t="s">
        <v>541</v>
      </c>
      <c r="C216" t="s">
        <v>561</v>
      </c>
      <c r="D216" t="s">
        <v>213</v>
      </c>
      <c r="E216" t="s">
        <v>562</v>
      </c>
    </row>
    <row r="217" spans="1:5">
      <c r="A217" t="s">
        <v>1</v>
      </c>
      <c r="B217" t="s">
        <v>541</v>
      </c>
      <c r="C217" t="s">
        <v>563</v>
      </c>
      <c r="D217" t="s">
        <v>507</v>
      </c>
      <c r="E217" t="s">
        <v>564</v>
      </c>
    </row>
    <row r="218" spans="1:5">
      <c r="A218" t="s">
        <v>1</v>
      </c>
      <c r="B218" t="s">
        <v>565</v>
      </c>
      <c r="C218" t="s">
        <v>566</v>
      </c>
      <c r="D218" t="s">
        <v>567</v>
      </c>
      <c r="E218" t="s">
        <v>568</v>
      </c>
    </row>
    <row r="219" spans="1:5">
      <c r="A219" t="s">
        <v>1</v>
      </c>
      <c r="B219" t="s">
        <v>565</v>
      </c>
      <c r="C219" t="s">
        <v>569</v>
      </c>
      <c r="D219" t="s">
        <v>567</v>
      </c>
      <c r="E219" t="s">
        <v>570</v>
      </c>
    </row>
    <row r="220" spans="1:5">
      <c r="A220" t="s">
        <v>1</v>
      </c>
      <c r="B220" t="s">
        <v>571</v>
      </c>
      <c r="C220" t="s">
        <v>572</v>
      </c>
      <c r="D220" t="s">
        <v>221</v>
      </c>
      <c r="E220" t="s">
        <v>572</v>
      </c>
    </row>
    <row r="221" spans="1:5">
      <c r="A221" t="s">
        <v>1</v>
      </c>
      <c r="B221" t="s">
        <v>571</v>
      </c>
      <c r="C221" t="s">
        <v>573</v>
      </c>
      <c r="D221" t="s">
        <v>209</v>
      </c>
      <c r="E221" t="s">
        <v>574</v>
      </c>
    </row>
    <row r="222" spans="1:5">
      <c r="A222" t="s">
        <v>1</v>
      </c>
      <c r="B222" t="s">
        <v>571</v>
      </c>
      <c r="C222" t="s">
        <v>575</v>
      </c>
      <c r="D222" t="s">
        <v>209</v>
      </c>
      <c r="E222" t="s">
        <v>576</v>
      </c>
    </row>
    <row r="223" spans="1:5">
      <c r="A223" t="s">
        <v>1</v>
      </c>
      <c r="B223" t="s">
        <v>577</v>
      </c>
      <c r="C223" t="s">
        <v>578</v>
      </c>
      <c r="D223" t="s">
        <v>218</v>
      </c>
      <c r="E223" t="s">
        <v>579</v>
      </c>
    </row>
    <row r="224" spans="1:5">
      <c r="A224" t="s">
        <v>236</v>
      </c>
      <c r="B224" t="s">
        <v>577</v>
      </c>
      <c r="C224" t="s">
        <v>578</v>
      </c>
      <c r="D224" t="s">
        <v>218</v>
      </c>
      <c r="E224" t="s">
        <v>579</v>
      </c>
    </row>
    <row r="225" spans="1:5">
      <c r="A225" t="s">
        <v>1</v>
      </c>
      <c r="B225" t="s">
        <v>577</v>
      </c>
      <c r="C225" t="s">
        <v>580</v>
      </c>
      <c r="D225" t="s">
        <v>221</v>
      </c>
      <c r="E225" t="s">
        <v>581</v>
      </c>
    </row>
    <row r="226" spans="1:5">
      <c r="A226" t="s">
        <v>1</v>
      </c>
      <c r="B226" t="s">
        <v>577</v>
      </c>
      <c r="C226" t="s">
        <v>582</v>
      </c>
      <c r="D226" t="s">
        <v>218</v>
      </c>
      <c r="E226" t="s">
        <v>583</v>
      </c>
    </row>
    <row r="227" spans="1:5">
      <c r="A227" t="s">
        <v>1</v>
      </c>
      <c r="B227" t="s">
        <v>577</v>
      </c>
      <c r="C227" t="s">
        <v>584</v>
      </c>
      <c r="D227" t="s">
        <v>218</v>
      </c>
      <c r="E227" t="s">
        <v>585</v>
      </c>
    </row>
    <row r="228" spans="1:5">
      <c r="A228" t="s">
        <v>1</v>
      </c>
      <c r="B228" t="s">
        <v>577</v>
      </c>
      <c r="C228" t="s">
        <v>586</v>
      </c>
      <c r="D228" t="s">
        <v>218</v>
      </c>
      <c r="E228" t="s">
        <v>587</v>
      </c>
    </row>
    <row r="229" spans="1:5">
      <c r="A229" t="s">
        <v>1</v>
      </c>
      <c r="B229" t="s">
        <v>577</v>
      </c>
      <c r="C229" t="s">
        <v>588</v>
      </c>
      <c r="D229" t="s">
        <v>221</v>
      </c>
      <c r="E229" t="s">
        <v>588</v>
      </c>
    </row>
    <row r="230" spans="1:5">
      <c r="A230" t="s">
        <v>236</v>
      </c>
      <c r="B230" t="s">
        <v>577</v>
      </c>
      <c r="C230" t="s">
        <v>588</v>
      </c>
      <c r="D230" t="s">
        <v>221</v>
      </c>
      <c r="E230" t="s">
        <v>588</v>
      </c>
    </row>
    <row r="231" spans="1:5">
      <c r="A231" t="s">
        <v>1</v>
      </c>
      <c r="B231" t="s">
        <v>577</v>
      </c>
      <c r="C231" t="s">
        <v>589</v>
      </c>
      <c r="D231" t="s">
        <v>221</v>
      </c>
      <c r="E231" t="s">
        <v>590</v>
      </c>
    </row>
    <row r="232" spans="1:5">
      <c r="A232" t="s">
        <v>1</v>
      </c>
      <c r="B232" t="s">
        <v>577</v>
      </c>
      <c r="C232" t="s">
        <v>591</v>
      </c>
      <c r="D232" t="s">
        <v>221</v>
      </c>
      <c r="E232" t="s">
        <v>592</v>
      </c>
    </row>
    <row r="233" spans="1:5">
      <c r="A233" t="s">
        <v>236</v>
      </c>
      <c r="B233" t="s">
        <v>577</v>
      </c>
      <c r="C233" t="s">
        <v>591</v>
      </c>
      <c r="D233" t="s">
        <v>221</v>
      </c>
      <c r="E233" t="s">
        <v>592</v>
      </c>
    </row>
    <row r="234" spans="1:5">
      <c r="A234" t="s">
        <v>1</v>
      </c>
      <c r="B234" t="s">
        <v>577</v>
      </c>
      <c r="C234" t="s">
        <v>593</v>
      </c>
      <c r="D234" t="s">
        <v>221</v>
      </c>
      <c r="E234" t="s">
        <v>594</v>
      </c>
    </row>
    <row r="235" spans="1:5">
      <c r="A235" t="s">
        <v>1</v>
      </c>
      <c r="B235" t="s">
        <v>577</v>
      </c>
      <c r="C235" t="s">
        <v>595</v>
      </c>
      <c r="D235" t="s">
        <v>221</v>
      </c>
      <c r="E235" t="s">
        <v>596</v>
      </c>
    </row>
    <row r="236" spans="1:5">
      <c r="A236" t="s">
        <v>1</v>
      </c>
      <c r="B236" t="s">
        <v>577</v>
      </c>
      <c r="C236" t="s">
        <v>597</v>
      </c>
      <c r="D236" t="s">
        <v>218</v>
      </c>
      <c r="E236" t="s">
        <v>598</v>
      </c>
    </row>
    <row r="237" spans="1:5">
      <c r="A237" t="s">
        <v>1</v>
      </c>
      <c r="B237" t="s">
        <v>577</v>
      </c>
      <c r="C237" t="s">
        <v>599</v>
      </c>
      <c r="D237" t="s">
        <v>218</v>
      </c>
      <c r="E237" t="s">
        <v>600</v>
      </c>
    </row>
    <row r="238" spans="1:5">
      <c r="A238" t="s">
        <v>1</v>
      </c>
      <c r="B238" t="s">
        <v>577</v>
      </c>
      <c r="C238" t="s">
        <v>601</v>
      </c>
      <c r="D238" t="s">
        <v>218</v>
      </c>
      <c r="E238" t="s">
        <v>602</v>
      </c>
    </row>
    <row r="239" spans="1:5">
      <c r="A239" t="s">
        <v>1</v>
      </c>
      <c r="B239" t="s">
        <v>577</v>
      </c>
      <c r="C239" t="s">
        <v>603</v>
      </c>
      <c r="D239" t="s">
        <v>221</v>
      </c>
      <c r="E239" t="s">
        <v>604</v>
      </c>
    </row>
    <row r="240" spans="1:5">
      <c r="A240" t="s">
        <v>1</v>
      </c>
      <c r="B240" t="s">
        <v>577</v>
      </c>
      <c r="C240" t="s">
        <v>605</v>
      </c>
      <c r="D240" t="s">
        <v>218</v>
      </c>
      <c r="E240" t="s">
        <v>606</v>
      </c>
    </row>
    <row r="241" spans="1:5">
      <c r="A241" t="s">
        <v>1</v>
      </c>
      <c r="B241" t="s">
        <v>577</v>
      </c>
      <c r="C241" t="s">
        <v>607</v>
      </c>
      <c r="D241" t="s">
        <v>221</v>
      </c>
      <c r="E241" t="s">
        <v>608</v>
      </c>
    </row>
    <row r="242" spans="1:5">
      <c r="A242" t="s">
        <v>1</v>
      </c>
      <c r="B242" t="s">
        <v>577</v>
      </c>
      <c r="C242" t="s">
        <v>609</v>
      </c>
      <c r="D242" t="s">
        <v>221</v>
      </c>
      <c r="E242" t="s">
        <v>610</v>
      </c>
    </row>
    <row r="243" spans="1:5">
      <c r="A243" t="s">
        <v>1</v>
      </c>
      <c r="B243" t="s">
        <v>577</v>
      </c>
      <c r="C243" t="s">
        <v>611</v>
      </c>
      <c r="D243" t="s">
        <v>221</v>
      </c>
      <c r="E243" t="s">
        <v>612</v>
      </c>
    </row>
    <row r="244" spans="1:5">
      <c r="A244" t="s">
        <v>1</v>
      </c>
      <c r="B244" t="s">
        <v>577</v>
      </c>
      <c r="C244" t="s">
        <v>613</v>
      </c>
      <c r="D244" t="s">
        <v>221</v>
      </c>
      <c r="E244" t="s">
        <v>614</v>
      </c>
    </row>
    <row r="245" spans="1:5">
      <c r="A245" t="s">
        <v>1</v>
      </c>
      <c r="B245" t="s">
        <v>577</v>
      </c>
      <c r="C245" t="s">
        <v>615</v>
      </c>
      <c r="D245" t="s">
        <v>221</v>
      </c>
      <c r="E245" t="s">
        <v>615</v>
      </c>
    </row>
    <row r="246" spans="1:5">
      <c r="A246" t="s">
        <v>236</v>
      </c>
      <c r="B246" t="s">
        <v>616</v>
      </c>
      <c r="C246" t="s">
        <v>617</v>
      </c>
      <c r="D246" t="s">
        <v>262</v>
      </c>
      <c r="E246" t="s">
        <v>618</v>
      </c>
    </row>
    <row r="247" spans="1:5">
      <c r="A247" t="s">
        <v>236</v>
      </c>
      <c r="B247" t="s">
        <v>616</v>
      </c>
      <c r="C247" t="s">
        <v>619</v>
      </c>
      <c r="D247" t="s">
        <v>262</v>
      </c>
      <c r="E247" t="s">
        <v>620</v>
      </c>
    </row>
    <row r="248" spans="1:5">
      <c r="A248" t="s">
        <v>236</v>
      </c>
      <c r="B248" t="s">
        <v>616</v>
      </c>
      <c r="C248" t="s">
        <v>621</v>
      </c>
      <c r="D248" t="s">
        <v>262</v>
      </c>
      <c r="E248" t="s">
        <v>622</v>
      </c>
    </row>
    <row r="249" spans="1:5">
      <c r="A249" t="s">
        <v>236</v>
      </c>
      <c r="B249" t="s">
        <v>616</v>
      </c>
      <c r="C249" t="s">
        <v>623</v>
      </c>
      <c r="D249" t="s">
        <v>262</v>
      </c>
      <c r="E249" t="s">
        <v>624</v>
      </c>
    </row>
    <row r="250" spans="1:5">
      <c r="A250" t="s">
        <v>236</v>
      </c>
      <c r="B250" t="s">
        <v>616</v>
      </c>
      <c r="C250" t="s">
        <v>625</v>
      </c>
      <c r="D250" t="s">
        <v>262</v>
      </c>
      <c r="E250" t="s">
        <v>626</v>
      </c>
    </row>
    <row r="251" spans="1:5">
      <c r="A251" t="s">
        <v>236</v>
      </c>
      <c r="B251" t="s">
        <v>616</v>
      </c>
      <c r="C251" t="s">
        <v>627</v>
      </c>
      <c r="D251" t="s">
        <v>262</v>
      </c>
      <c r="E251" t="s">
        <v>628</v>
      </c>
    </row>
    <row r="252" spans="1:5">
      <c r="A252" t="s">
        <v>236</v>
      </c>
      <c r="B252" t="s">
        <v>616</v>
      </c>
      <c r="C252" t="s">
        <v>629</v>
      </c>
      <c r="D252" t="s">
        <v>262</v>
      </c>
      <c r="E252" t="s">
        <v>630</v>
      </c>
    </row>
    <row r="253" spans="1:5">
      <c r="A253" t="s">
        <v>236</v>
      </c>
      <c r="B253" t="s">
        <v>616</v>
      </c>
      <c r="C253" t="s">
        <v>631</v>
      </c>
      <c r="D253" t="s">
        <v>262</v>
      </c>
      <c r="E253" t="s">
        <v>632</v>
      </c>
    </row>
    <row r="254" spans="1:5">
      <c r="A254" t="s">
        <v>236</v>
      </c>
      <c r="B254" t="s">
        <v>616</v>
      </c>
      <c r="C254" t="s">
        <v>633</v>
      </c>
      <c r="D254" t="s">
        <v>262</v>
      </c>
      <c r="E254" t="s">
        <v>634</v>
      </c>
    </row>
    <row r="255" spans="1:5">
      <c r="A255" t="s">
        <v>1</v>
      </c>
      <c r="B255" t="s">
        <v>635</v>
      </c>
      <c r="C255" t="s">
        <v>361</v>
      </c>
      <c r="D255" t="s">
        <v>213</v>
      </c>
      <c r="E255" t="s">
        <v>636</v>
      </c>
    </row>
    <row r="256" spans="1:5">
      <c r="A256" t="s">
        <v>1</v>
      </c>
      <c r="B256" t="s">
        <v>635</v>
      </c>
      <c r="C256" t="s">
        <v>637</v>
      </c>
      <c r="D256" t="s">
        <v>213</v>
      </c>
      <c r="E256" t="s">
        <v>638</v>
      </c>
    </row>
    <row r="257" spans="1:5">
      <c r="A257" t="s">
        <v>1</v>
      </c>
      <c r="B257" t="s">
        <v>635</v>
      </c>
      <c r="C257" t="s">
        <v>639</v>
      </c>
      <c r="D257" t="s">
        <v>221</v>
      </c>
      <c r="E257" t="s">
        <v>640</v>
      </c>
    </row>
    <row r="258" spans="1:5">
      <c r="A258" t="s">
        <v>1</v>
      </c>
      <c r="B258" t="s">
        <v>635</v>
      </c>
      <c r="C258" t="s">
        <v>641</v>
      </c>
      <c r="D258" t="s">
        <v>213</v>
      </c>
      <c r="E258" t="s">
        <v>642</v>
      </c>
    </row>
    <row r="259" spans="1:5">
      <c r="A259" t="s">
        <v>1</v>
      </c>
      <c r="B259" t="s">
        <v>635</v>
      </c>
      <c r="C259" t="s">
        <v>643</v>
      </c>
      <c r="D259" t="s">
        <v>213</v>
      </c>
      <c r="E259" t="s">
        <v>644</v>
      </c>
    </row>
    <row r="260" spans="1:5">
      <c r="A260" t="s">
        <v>1</v>
      </c>
      <c r="B260" t="s">
        <v>635</v>
      </c>
      <c r="C260" t="s">
        <v>33</v>
      </c>
      <c r="D260" t="s">
        <v>213</v>
      </c>
      <c r="E260" t="s">
        <v>367</v>
      </c>
    </row>
    <row r="261" spans="1:5">
      <c r="A261" t="s">
        <v>236</v>
      </c>
      <c r="B261" t="s">
        <v>635</v>
      </c>
      <c r="C261" t="s">
        <v>33</v>
      </c>
      <c r="D261" t="s">
        <v>213</v>
      </c>
      <c r="E261" t="s">
        <v>367</v>
      </c>
    </row>
    <row r="262" spans="1:5">
      <c r="A262" t="s">
        <v>1</v>
      </c>
      <c r="B262" t="s">
        <v>635</v>
      </c>
      <c r="C262" t="s">
        <v>645</v>
      </c>
      <c r="D262" t="s">
        <v>221</v>
      </c>
      <c r="E262" t="s">
        <v>646</v>
      </c>
    </row>
    <row r="263" spans="1:5">
      <c r="A263" t="s">
        <v>1</v>
      </c>
      <c r="B263" t="s">
        <v>635</v>
      </c>
      <c r="C263" t="s">
        <v>647</v>
      </c>
      <c r="D263" t="s">
        <v>221</v>
      </c>
      <c r="E263" t="s">
        <v>648</v>
      </c>
    </row>
    <row r="264" spans="1:5">
      <c r="A264" t="s">
        <v>1</v>
      </c>
      <c r="B264" t="s">
        <v>635</v>
      </c>
      <c r="C264" t="s">
        <v>649</v>
      </c>
      <c r="D264" t="s">
        <v>507</v>
      </c>
      <c r="E264" t="s">
        <v>650</v>
      </c>
    </row>
    <row r="265" spans="1:5">
      <c r="A265" t="s">
        <v>1</v>
      </c>
      <c r="B265" t="s">
        <v>635</v>
      </c>
      <c r="C265" t="s">
        <v>651</v>
      </c>
      <c r="D265" t="s">
        <v>262</v>
      </c>
      <c r="E265" t="s">
        <v>652</v>
      </c>
    </row>
    <row r="266" spans="1:5">
      <c r="A266" t="s">
        <v>1</v>
      </c>
      <c r="B266" t="s">
        <v>635</v>
      </c>
      <c r="C266" t="s">
        <v>653</v>
      </c>
      <c r="D266" t="s">
        <v>216</v>
      </c>
      <c r="E266" t="s">
        <v>654</v>
      </c>
    </row>
    <row r="267" spans="1:5">
      <c r="A267" t="s">
        <v>1</v>
      </c>
      <c r="B267" t="s">
        <v>635</v>
      </c>
      <c r="C267" t="s">
        <v>655</v>
      </c>
      <c r="D267" t="s">
        <v>216</v>
      </c>
      <c r="E267" t="s">
        <v>656</v>
      </c>
    </row>
    <row r="268" spans="1:5">
      <c r="A268" t="s">
        <v>1</v>
      </c>
      <c r="B268" t="s">
        <v>635</v>
      </c>
      <c r="C268" t="s">
        <v>657</v>
      </c>
      <c r="D268" t="s">
        <v>221</v>
      </c>
      <c r="E268" t="s">
        <v>658</v>
      </c>
    </row>
    <row r="269" spans="1:5">
      <c r="A269" t="s">
        <v>236</v>
      </c>
      <c r="B269" t="s">
        <v>635</v>
      </c>
      <c r="C269" t="s">
        <v>657</v>
      </c>
      <c r="D269" t="s">
        <v>221</v>
      </c>
      <c r="E269" t="s">
        <v>658</v>
      </c>
    </row>
    <row r="270" spans="1:5">
      <c r="A270" t="s">
        <v>1</v>
      </c>
      <c r="B270" t="s">
        <v>635</v>
      </c>
      <c r="C270" t="s">
        <v>659</v>
      </c>
      <c r="D270" t="s">
        <v>221</v>
      </c>
      <c r="E270" t="s">
        <v>660</v>
      </c>
    </row>
    <row r="271" spans="1:5">
      <c r="A271" t="s">
        <v>236</v>
      </c>
      <c r="B271" t="s">
        <v>635</v>
      </c>
      <c r="C271" t="s">
        <v>659</v>
      </c>
      <c r="D271" t="s">
        <v>221</v>
      </c>
      <c r="E271" t="s">
        <v>660</v>
      </c>
    </row>
    <row r="272" spans="1:5">
      <c r="A272" t="s">
        <v>1</v>
      </c>
      <c r="B272" t="s">
        <v>635</v>
      </c>
      <c r="C272" t="s">
        <v>661</v>
      </c>
      <c r="D272" t="s">
        <v>221</v>
      </c>
      <c r="E272" t="s">
        <v>662</v>
      </c>
    </row>
    <row r="273" spans="1:5">
      <c r="A273" t="s">
        <v>236</v>
      </c>
      <c r="B273" t="s">
        <v>635</v>
      </c>
      <c r="C273" t="s">
        <v>661</v>
      </c>
      <c r="D273" t="s">
        <v>221</v>
      </c>
      <c r="E273" t="s">
        <v>662</v>
      </c>
    </row>
    <row r="274" spans="1:5">
      <c r="A274" t="s">
        <v>1</v>
      </c>
      <c r="B274" t="s">
        <v>635</v>
      </c>
      <c r="C274" t="s">
        <v>663</v>
      </c>
      <c r="D274" t="s">
        <v>507</v>
      </c>
      <c r="E274" t="s">
        <v>664</v>
      </c>
    </row>
    <row r="275" spans="1:5">
      <c r="A275" t="s">
        <v>1</v>
      </c>
      <c r="B275" t="s">
        <v>635</v>
      </c>
      <c r="C275" t="s">
        <v>665</v>
      </c>
      <c r="D275" t="s">
        <v>507</v>
      </c>
      <c r="E275" t="s">
        <v>666</v>
      </c>
    </row>
    <row r="276" spans="1:5">
      <c r="A276" t="s">
        <v>1</v>
      </c>
      <c r="B276" t="s">
        <v>635</v>
      </c>
      <c r="C276" t="s">
        <v>667</v>
      </c>
      <c r="D276" t="s">
        <v>507</v>
      </c>
      <c r="E276" t="s">
        <v>668</v>
      </c>
    </row>
    <row r="277" spans="1:5">
      <c r="A277" t="s">
        <v>1</v>
      </c>
      <c r="B277" t="s">
        <v>635</v>
      </c>
      <c r="C277" t="s">
        <v>669</v>
      </c>
      <c r="D277" t="s">
        <v>507</v>
      </c>
      <c r="E277" t="s">
        <v>670</v>
      </c>
    </row>
    <row r="278" spans="1:5">
      <c r="A278" t="s">
        <v>1</v>
      </c>
      <c r="B278" t="s">
        <v>635</v>
      </c>
      <c r="C278" t="s">
        <v>671</v>
      </c>
      <c r="D278" t="s">
        <v>507</v>
      </c>
      <c r="E278" t="s">
        <v>672</v>
      </c>
    </row>
    <row r="279" spans="1:5">
      <c r="A279" t="s">
        <v>1</v>
      </c>
      <c r="B279" t="s">
        <v>635</v>
      </c>
      <c r="C279" t="s">
        <v>673</v>
      </c>
      <c r="D279" t="s">
        <v>507</v>
      </c>
      <c r="E279" t="s">
        <v>674</v>
      </c>
    </row>
    <row r="280" spans="1:5">
      <c r="A280" t="s">
        <v>1</v>
      </c>
      <c r="B280" t="s">
        <v>635</v>
      </c>
      <c r="C280" t="s">
        <v>675</v>
      </c>
      <c r="D280" t="s">
        <v>507</v>
      </c>
      <c r="E280" t="s">
        <v>676</v>
      </c>
    </row>
    <row r="281" spans="1:5">
      <c r="A281" t="s">
        <v>1</v>
      </c>
      <c r="B281" t="s">
        <v>635</v>
      </c>
      <c r="C281" t="s">
        <v>677</v>
      </c>
      <c r="D281" t="s">
        <v>507</v>
      </c>
      <c r="E281" t="s">
        <v>678</v>
      </c>
    </row>
    <row r="282" spans="1:5">
      <c r="A282" t="s">
        <v>1</v>
      </c>
      <c r="B282" t="s">
        <v>635</v>
      </c>
      <c r="C282" t="s">
        <v>679</v>
      </c>
      <c r="D282" t="s">
        <v>507</v>
      </c>
      <c r="E282" t="s">
        <v>680</v>
      </c>
    </row>
    <row r="283" spans="1:5">
      <c r="A283" t="s">
        <v>1</v>
      </c>
      <c r="B283" t="s">
        <v>635</v>
      </c>
      <c r="C283" t="s">
        <v>681</v>
      </c>
      <c r="D283" t="s">
        <v>507</v>
      </c>
      <c r="E283" t="s">
        <v>682</v>
      </c>
    </row>
    <row r="284" spans="1:5">
      <c r="A284" t="s">
        <v>1</v>
      </c>
      <c r="B284" t="s">
        <v>635</v>
      </c>
      <c r="C284" t="s">
        <v>683</v>
      </c>
      <c r="D284" t="s">
        <v>507</v>
      </c>
      <c r="E284" t="s">
        <v>684</v>
      </c>
    </row>
    <row r="285" spans="1:5">
      <c r="A285" t="s">
        <v>1</v>
      </c>
      <c r="B285" t="s">
        <v>635</v>
      </c>
      <c r="C285" t="s">
        <v>685</v>
      </c>
      <c r="D285" t="s">
        <v>507</v>
      </c>
      <c r="E285" t="s">
        <v>686</v>
      </c>
    </row>
    <row r="286" spans="1:5">
      <c r="A286" t="s">
        <v>1</v>
      </c>
      <c r="B286" t="s">
        <v>635</v>
      </c>
      <c r="C286" t="s">
        <v>687</v>
      </c>
      <c r="D286" t="s">
        <v>221</v>
      </c>
      <c r="E286" t="s">
        <v>688</v>
      </c>
    </row>
    <row r="287" spans="1:5">
      <c r="A287" t="s">
        <v>1</v>
      </c>
      <c r="B287" t="s">
        <v>635</v>
      </c>
      <c r="C287" t="s">
        <v>689</v>
      </c>
      <c r="D287" t="s">
        <v>221</v>
      </c>
      <c r="E287" t="s">
        <v>690</v>
      </c>
    </row>
    <row r="288" spans="1:5">
      <c r="A288" t="s">
        <v>236</v>
      </c>
      <c r="B288" t="s">
        <v>635</v>
      </c>
      <c r="C288" t="s">
        <v>689</v>
      </c>
      <c r="D288" t="s">
        <v>221</v>
      </c>
      <c r="E288" t="s">
        <v>690</v>
      </c>
    </row>
    <row r="289" spans="1:5">
      <c r="A289" t="s">
        <v>1</v>
      </c>
      <c r="B289" t="s">
        <v>635</v>
      </c>
      <c r="C289" t="s">
        <v>34</v>
      </c>
      <c r="D289" t="s">
        <v>221</v>
      </c>
      <c r="E289" t="s">
        <v>691</v>
      </c>
    </row>
    <row r="290" spans="1:5">
      <c r="A290" t="s">
        <v>236</v>
      </c>
      <c r="B290" t="s">
        <v>635</v>
      </c>
      <c r="C290" t="s">
        <v>34</v>
      </c>
      <c r="D290" t="s">
        <v>221</v>
      </c>
      <c r="E290" t="s">
        <v>691</v>
      </c>
    </row>
    <row r="291" spans="1:5">
      <c r="A291" t="s">
        <v>1</v>
      </c>
      <c r="B291" t="s">
        <v>635</v>
      </c>
      <c r="C291" t="s">
        <v>692</v>
      </c>
      <c r="D291" t="s">
        <v>221</v>
      </c>
      <c r="E291" t="s">
        <v>693</v>
      </c>
    </row>
    <row r="292" spans="1:5">
      <c r="A292" t="s">
        <v>1</v>
      </c>
      <c r="B292" t="s">
        <v>635</v>
      </c>
      <c r="C292" t="s">
        <v>694</v>
      </c>
      <c r="D292" t="s">
        <v>221</v>
      </c>
      <c r="E292" t="s">
        <v>695</v>
      </c>
    </row>
    <row r="293" spans="1:5">
      <c r="A293" t="s">
        <v>1</v>
      </c>
      <c r="B293" t="s">
        <v>635</v>
      </c>
      <c r="C293" t="s">
        <v>696</v>
      </c>
      <c r="D293" t="s">
        <v>221</v>
      </c>
      <c r="E293" t="s">
        <v>697</v>
      </c>
    </row>
    <row r="294" spans="1:5">
      <c r="A294" t="s">
        <v>1</v>
      </c>
      <c r="B294" t="s">
        <v>635</v>
      </c>
      <c r="C294" t="s">
        <v>698</v>
      </c>
      <c r="D294" t="s">
        <v>221</v>
      </c>
      <c r="E294" t="s">
        <v>697</v>
      </c>
    </row>
    <row r="295" spans="1:5">
      <c r="A295" t="s">
        <v>1</v>
      </c>
      <c r="B295" t="s">
        <v>635</v>
      </c>
      <c r="C295" t="s">
        <v>699</v>
      </c>
      <c r="D295" t="s">
        <v>213</v>
      </c>
      <c r="E295" t="s">
        <v>700</v>
      </c>
    </row>
    <row r="296" spans="1:5">
      <c r="A296" t="s">
        <v>1</v>
      </c>
      <c r="B296" t="s">
        <v>635</v>
      </c>
      <c r="C296" t="s">
        <v>701</v>
      </c>
      <c r="D296" t="s">
        <v>213</v>
      </c>
      <c r="E296" t="s">
        <v>702</v>
      </c>
    </row>
    <row r="297" spans="1:5">
      <c r="A297" t="s">
        <v>1</v>
      </c>
      <c r="B297" t="s">
        <v>635</v>
      </c>
      <c r="C297" t="s">
        <v>703</v>
      </c>
      <c r="D297" t="s">
        <v>221</v>
      </c>
      <c r="E297" t="s">
        <v>704</v>
      </c>
    </row>
    <row r="298" spans="1:5">
      <c r="A298" t="s">
        <v>1</v>
      </c>
      <c r="B298" t="s">
        <v>705</v>
      </c>
      <c r="C298" t="s">
        <v>706</v>
      </c>
      <c r="D298" t="s">
        <v>221</v>
      </c>
      <c r="E298" t="s">
        <v>707</v>
      </c>
    </row>
    <row r="299" spans="1:5">
      <c r="A299" t="s">
        <v>1</v>
      </c>
      <c r="B299" t="s">
        <v>708</v>
      </c>
      <c r="C299" t="s">
        <v>709</v>
      </c>
      <c r="D299" t="s">
        <v>221</v>
      </c>
      <c r="E299" t="s">
        <v>710</v>
      </c>
    </row>
    <row r="300" spans="1:5">
      <c r="A300" t="s">
        <v>1</v>
      </c>
      <c r="B300" t="s">
        <v>708</v>
      </c>
      <c r="C300" t="s">
        <v>711</v>
      </c>
      <c r="D300" t="s">
        <v>221</v>
      </c>
      <c r="E300" t="s">
        <v>712</v>
      </c>
    </row>
    <row r="301" spans="1:5">
      <c r="A301" t="s">
        <v>1</v>
      </c>
      <c r="B301" t="s">
        <v>708</v>
      </c>
      <c r="C301" t="s">
        <v>713</v>
      </c>
      <c r="D301" t="s">
        <v>216</v>
      </c>
      <c r="E301" t="s">
        <v>714</v>
      </c>
    </row>
    <row r="302" spans="1:5">
      <c r="A302" t="s">
        <v>236</v>
      </c>
      <c r="B302" t="s">
        <v>708</v>
      </c>
      <c r="C302" t="s">
        <v>713</v>
      </c>
      <c r="D302" t="s">
        <v>216</v>
      </c>
      <c r="E302" t="s">
        <v>714</v>
      </c>
    </row>
    <row r="303" spans="1:5">
      <c r="A303" t="s">
        <v>1</v>
      </c>
      <c r="B303" t="s">
        <v>708</v>
      </c>
      <c r="C303" t="s">
        <v>715</v>
      </c>
      <c r="D303" t="s">
        <v>507</v>
      </c>
      <c r="E303" t="s">
        <v>716</v>
      </c>
    </row>
    <row r="304" spans="1:5">
      <c r="A304" t="s">
        <v>1</v>
      </c>
      <c r="B304" t="s">
        <v>708</v>
      </c>
      <c r="C304" t="s">
        <v>717</v>
      </c>
      <c r="D304" t="s">
        <v>216</v>
      </c>
      <c r="E304" t="s">
        <v>718</v>
      </c>
    </row>
    <row r="305" spans="1:5">
      <c r="A305" t="s">
        <v>236</v>
      </c>
      <c r="B305" t="s">
        <v>708</v>
      </c>
      <c r="C305" t="s">
        <v>717</v>
      </c>
      <c r="D305" t="s">
        <v>216</v>
      </c>
      <c r="E305" t="s">
        <v>718</v>
      </c>
    </row>
    <row r="306" spans="1:5">
      <c r="A306" t="s">
        <v>1</v>
      </c>
      <c r="B306" t="s">
        <v>708</v>
      </c>
      <c r="C306" t="s">
        <v>719</v>
      </c>
      <c r="D306" t="s">
        <v>507</v>
      </c>
      <c r="E306" t="s">
        <v>720</v>
      </c>
    </row>
    <row r="307" spans="1:5">
      <c r="A307" t="s">
        <v>236</v>
      </c>
      <c r="B307" t="s">
        <v>708</v>
      </c>
      <c r="C307" t="s">
        <v>719</v>
      </c>
      <c r="D307" t="s">
        <v>507</v>
      </c>
      <c r="E307" t="s">
        <v>720</v>
      </c>
    </row>
    <row r="308" spans="1:5">
      <c r="A308" t="s">
        <v>1</v>
      </c>
      <c r="B308" t="s">
        <v>39</v>
      </c>
      <c r="C308" t="s">
        <v>41</v>
      </c>
      <c r="D308" t="s">
        <v>567</v>
      </c>
      <c r="E308" t="s">
        <v>42</v>
      </c>
    </row>
    <row r="309" spans="1:5">
      <c r="A309" t="s">
        <v>1</v>
      </c>
      <c r="B309" t="s">
        <v>39</v>
      </c>
      <c r="C309" t="s">
        <v>721</v>
      </c>
      <c r="D309" t="s">
        <v>221</v>
      </c>
      <c r="E309" t="s">
        <v>722</v>
      </c>
    </row>
    <row r="310" spans="1:5">
      <c r="A310" t="s">
        <v>1</v>
      </c>
      <c r="B310" t="s">
        <v>39</v>
      </c>
      <c r="C310" t="s">
        <v>43</v>
      </c>
      <c r="D310" t="s">
        <v>213</v>
      </c>
      <c r="E310" t="s">
        <v>44</v>
      </c>
    </row>
    <row r="311" spans="1:5">
      <c r="A311" t="s">
        <v>1</v>
      </c>
      <c r="B311" t="s">
        <v>39</v>
      </c>
      <c r="C311" t="s">
        <v>45</v>
      </c>
      <c r="D311" t="s">
        <v>213</v>
      </c>
      <c r="E311" t="s">
        <v>46</v>
      </c>
    </row>
    <row r="312" spans="1:5">
      <c r="A312" t="s">
        <v>1</v>
      </c>
      <c r="B312" t="s">
        <v>39</v>
      </c>
      <c r="C312" t="s">
        <v>47</v>
      </c>
      <c r="D312" t="s">
        <v>567</v>
      </c>
      <c r="E312" t="s">
        <v>48</v>
      </c>
    </row>
    <row r="313" spans="1:5">
      <c r="A313" t="s">
        <v>1</v>
      </c>
      <c r="B313" t="s">
        <v>39</v>
      </c>
      <c r="C313" t="s">
        <v>49</v>
      </c>
      <c r="D313" t="s">
        <v>213</v>
      </c>
      <c r="E313" t="s">
        <v>50</v>
      </c>
    </row>
    <row r="314" spans="1:5">
      <c r="A314" t="s">
        <v>1</v>
      </c>
      <c r="B314" t="s">
        <v>39</v>
      </c>
      <c r="C314" t="s">
        <v>51</v>
      </c>
      <c r="D314" t="s">
        <v>213</v>
      </c>
      <c r="E314" t="s">
        <v>52</v>
      </c>
    </row>
    <row r="315" spans="1:5">
      <c r="A315" t="s">
        <v>1</v>
      </c>
      <c r="B315" t="s">
        <v>39</v>
      </c>
      <c r="C315" t="s">
        <v>723</v>
      </c>
      <c r="D315" t="s">
        <v>213</v>
      </c>
      <c r="E315" t="s">
        <v>724</v>
      </c>
    </row>
    <row r="316" spans="1:5">
      <c r="A316" t="s">
        <v>1</v>
      </c>
      <c r="B316" t="s">
        <v>39</v>
      </c>
      <c r="C316" t="s">
        <v>53</v>
      </c>
      <c r="D316" t="s">
        <v>213</v>
      </c>
      <c r="E316" t="s">
        <v>54</v>
      </c>
    </row>
    <row r="317" spans="1:5">
      <c r="A317" t="s">
        <v>1</v>
      </c>
      <c r="B317" t="s">
        <v>39</v>
      </c>
      <c r="C317" t="s">
        <v>55</v>
      </c>
      <c r="D317" t="s">
        <v>213</v>
      </c>
      <c r="E317" t="s">
        <v>56</v>
      </c>
    </row>
    <row r="318" spans="1:5">
      <c r="A318" t="s">
        <v>1</v>
      </c>
      <c r="B318" t="s">
        <v>39</v>
      </c>
      <c r="C318" t="s">
        <v>57</v>
      </c>
      <c r="D318" t="s">
        <v>567</v>
      </c>
      <c r="E318" t="s">
        <v>58</v>
      </c>
    </row>
    <row r="319" spans="1:5">
      <c r="A319" t="s">
        <v>1</v>
      </c>
      <c r="B319" t="s">
        <v>725</v>
      </c>
      <c r="C319" t="s">
        <v>726</v>
      </c>
      <c r="D319" t="s">
        <v>209</v>
      </c>
      <c r="E319" t="s">
        <v>727</v>
      </c>
    </row>
    <row r="320" spans="1:5">
      <c r="A320" t="s">
        <v>1</v>
      </c>
      <c r="B320" t="s">
        <v>725</v>
      </c>
      <c r="C320" t="s">
        <v>728</v>
      </c>
      <c r="D320" t="s">
        <v>567</v>
      </c>
      <c r="E320" t="s">
        <v>729</v>
      </c>
    </row>
    <row r="321" spans="1:5">
      <c r="A321" t="s">
        <v>1</v>
      </c>
      <c r="B321" t="s">
        <v>725</v>
      </c>
      <c r="C321" t="s">
        <v>730</v>
      </c>
      <c r="D321" t="s">
        <v>209</v>
      </c>
      <c r="E321" t="s">
        <v>731</v>
      </c>
    </row>
    <row r="322" spans="1:5">
      <c r="A322" t="s">
        <v>1</v>
      </c>
      <c r="B322" t="s">
        <v>725</v>
      </c>
      <c r="C322" t="s">
        <v>732</v>
      </c>
      <c r="D322" t="s">
        <v>567</v>
      </c>
      <c r="E322" t="s">
        <v>733</v>
      </c>
    </row>
    <row r="323" spans="1:5">
      <c r="A323" t="s">
        <v>1</v>
      </c>
      <c r="B323" t="s">
        <v>734</v>
      </c>
      <c r="C323" t="s">
        <v>735</v>
      </c>
      <c r="D323" t="s">
        <v>262</v>
      </c>
      <c r="E323" t="s">
        <v>736</v>
      </c>
    </row>
    <row r="324" spans="1:5">
      <c r="A324" t="s">
        <v>1</v>
      </c>
      <c r="B324" t="s">
        <v>734</v>
      </c>
      <c r="C324" t="s">
        <v>737</v>
      </c>
      <c r="D324" t="s">
        <v>262</v>
      </c>
      <c r="E324" t="s">
        <v>738</v>
      </c>
    </row>
    <row r="325" spans="1:5">
      <c r="A325" t="s">
        <v>1</v>
      </c>
      <c r="B325" t="s">
        <v>734</v>
      </c>
      <c r="C325" t="s">
        <v>739</v>
      </c>
      <c r="D325" t="s">
        <v>262</v>
      </c>
      <c r="E325" t="s">
        <v>740</v>
      </c>
    </row>
    <row r="326" spans="1:5">
      <c r="A326" t="s">
        <v>1</v>
      </c>
      <c r="B326" t="s">
        <v>734</v>
      </c>
      <c r="C326" t="s">
        <v>741</v>
      </c>
      <c r="D326" t="s">
        <v>262</v>
      </c>
      <c r="E326" t="s">
        <v>742</v>
      </c>
    </row>
    <row r="327" spans="1:5">
      <c r="A327" t="s">
        <v>1</v>
      </c>
      <c r="B327" t="s">
        <v>734</v>
      </c>
      <c r="C327" t="s">
        <v>726</v>
      </c>
      <c r="D327" t="s">
        <v>567</v>
      </c>
      <c r="E327" t="s">
        <v>743</v>
      </c>
    </row>
    <row r="328" spans="1:5">
      <c r="A328" t="s">
        <v>236</v>
      </c>
      <c r="B328" t="s">
        <v>734</v>
      </c>
      <c r="C328" t="s">
        <v>726</v>
      </c>
      <c r="D328" t="s">
        <v>567</v>
      </c>
      <c r="E328" t="s">
        <v>743</v>
      </c>
    </row>
    <row r="329" spans="1:5">
      <c r="A329" t="s">
        <v>1</v>
      </c>
      <c r="B329" t="s">
        <v>734</v>
      </c>
      <c r="C329" t="s">
        <v>744</v>
      </c>
      <c r="D329" t="s">
        <v>262</v>
      </c>
      <c r="E329" t="s">
        <v>745</v>
      </c>
    </row>
    <row r="330" spans="1:5">
      <c r="A330" t="s">
        <v>1</v>
      </c>
      <c r="B330" t="s">
        <v>734</v>
      </c>
      <c r="C330" t="s">
        <v>746</v>
      </c>
      <c r="D330" t="s">
        <v>567</v>
      </c>
      <c r="E330" t="s">
        <v>747</v>
      </c>
    </row>
    <row r="331" spans="1:5">
      <c r="A331" t="s">
        <v>1</v>
      </c>
      <c r="B331" t="s">
        <v>734</v>
      </c>
      <c r="C331" t="s">
        <v>748</v>
      </c>
      <c r="D331" t="s">
        <v>567</v>
      </c>
      <c r="E331" t="s">
        <v>749</v>
      </c>
    </row>
    <row r="332" spans="1:5">
      <c r="A332" t="s">
        <v>1</v>
      </c>
      <c r="B332" t="s">
        <v>734</v>
      </c>
      <c r="C332" t="s">
        <v>118</v>
      </c>
      <c r="D332" t="s">
        <v>567</v>
      </c>
      <c r="E332" t="s">
        <v>750</v>
      </c>
    </row>
    <row r="333" spans="1:5">
      <c r="A333" t="s">
        <v>236</v>
      </c>
      <c r="B333" t="s">
        <v>734</v>
      </c>
      <c r="C333" t="s">
        <v>118</v>
      </c>
      <c r="D333" t="s">
        <v>567</v>
      </c>
      <c r="E333" t="s">
        <v>750</v>
      </c>
    </row>
    <row r="334" spans="1:5">
      <c r="A334" t="s">
        <v>1</v>
      </c>
      <c r="B334" t="s">
        <v>734</v>
      </c>
      <c r="C334" t="s">
        <v>751</v>
      </c>
      <c r="D334" t="s">
        <v>262</v>
      </c>
      <c r="E334" t="s">
        <v>752</v>
      </c>
    </row>
    <row r="335" spans="1:5">
      <c r="A335" t="s">
        <v>1</v>
      </c>
      <c r="B335" t="s">
        <v>734</v>
      </c>
      <c r="C335" t="s">
        <v>753</v>
      </c>
      <c r="D335" t="s">
        <v>754</v>
      </c>
      <c r="E335" t="s">
        <v>755</v>
      </c>
    </row>
    <row r="336" spans="1:5">
      <c r="A336" t="s">
        <v>1</v>
      </c>
      <c r="B336" t="s">
        <v>734</v>
      </c>
      <c r="C336" t="s">
        <v>538</v>
      </c>
      <c r="D336" t="s">
        <v>262</v>
      </c>
      <c r="E336" t="s">
        <v>756</v>
      </c>
    </row>
    <row r="337" spans="1:5">
      <c r="A337" t="s">
        <v>1</v>
      </c>
      <c r="B337" t="s">
        <v>734</v>
      </c>
      <c r="C337" t="s">
        <v>757</v>
      </c>
      <c r="D337" t="s">
        <v>262</v>
      </c>
      <c r="E337" t="s">
        <v>758</v>
      </c>
    </row>
    <row r="338" spans="1:5">
      <c r="A338" t="s">
        <v>1</v>
      </c>
      <c r="B338" t="s">
        <v>734</v>
      </c>
      <c r="C338" t="s">
        <v>759</v>
      </c>
      <c r="D338" t="s">
        <v>567</v>
      </c>
      <c r="E338" t="s">
        <v>760</v>
      </c>
    </row>
    <row r="339" spans="1:5">
      <c r="A339" t="s">
        <v>1</v>
      </c>
      <c r="B339" t="s">
        <v>734</v>
      </c>
      <c r="C339" t="s">
        <v>761</v>
      </c>
      <c r="D339" t="s">
        <v>262</v>
      </c>
      <c r="E339" t="s">
        <v>762</v>
      </c>
    </row>
    <row r="340" spans="1:5">
      <c r="A340" t="s">
        <v>1</v>
      </c>
      <c r="B340" t="s">
        <v>734</v>
      </c>
      <c r="C340" t="s">
        <v>763</v>
      </c>
      <c r="D340" t="s">
        <v>262</v>
      </c>
      <c r="E340" t="s">
        <v>764</v>
      </c>
    </row>
    <row r="341" spans="1:5">
      <c r="A341" t="s">
        <v>1</v>
      </c>
      <c r="B341" t="s">
        <v>734</v>
      </c>
      <c r="C341" t="s">
        <v>765</v>
      </c>
      <c r="D341" t="s">
        <v>262</v>
      </c>
      <c r="E341" t="s">
        <v>766</v>
      </c>
    </row>
    <row r="342" spans="1:5">
      <c r="A342" t="s">
        <v>1</v>
      </c>
      <c r="B342" t="s">
        <v>734</v>
      </c>
      <c r="C342" t="s">
        <v>767</v>
      </c>
      <c r="D342" t="s">
        <v>262</v>
      </c>
      <c r="E342" t="s">
        <v>768</v>
      </c>
    </row>
    <row r="343" spans="1:5">
      <c r="A343" t="s">
        <v>1</v>
      </c>
      <c r="B343" t="s">
        <v>734</v>
      </c>
      <c r="C343" t="s">
        <v>236</v>
      </c>
      <c r="D343" t="s">
        <v>567</v>
      </c>
      <c r="E343" t="s">
        <v>769</v>
      </c>
    </row>
    <row r="344" spans="1:5">
      <c r="A344" t="s">
        <v>1</v>
      </c>
      <c r="B344" t="s">
        <v>734</v>
      </c>
      <c r="C344" t="s">
        <v>770</v>
      </c>
      <c r="D344" t="s">
        <v>262</v>
      </c>
      <c r="E344" t="s">
        <v>771</v>
      </c>
    </row>
    <row r="345" spans="1:5">
      <c r="A345" t="s">
        <v>1</v>
      </c>
      <c r="B345" t="s">
        <v>734</v>
      </c>
      <c r="C345" t="s">
        <v>772</v>
      </c>
      <c r="D345" t="s">
        <v>262</v>
      </c>
      <c r="E345" t="s">
        <v>773</v>
      </c>
    </row>
    <row r="346" spans="1:5">
      <c r="A346" t="s">
        <v>1</v>
      </c>
      <c r="B346" t="s">
        <v>734</v>
      </c>
      <c r="C346" t="s">
        <v>774</v>
      </c>
      <c r="D346" t="s">
        <v>262</v>
      </c>
      <c r="E346" t="s">
        <v>775</v>
      </c>
    </row>
    <row r="347" spans="1:5">
      <c r="A347" t="s">
        <v>1</v>
      </c>
      <c r="B347" t="s">
        <v>734</v>
      </c>
      <c r="C347" t="s">
        <v>776</v>
      </c>
      <c r="D347" t="s">
        <v>567</v>
      </c>
      <c r="E347" t="s">
        <v>777</v>
      </c>
    </row>
    <row r="348" spans="1:5">
      <c r="A348" t="s">
        <v>1</v>
      </c>
      <c r="B348" t="s">
        <v>734</v>
      </c>
      <c r="C348" t="s">
        <v>778</v>
      </c>
      <c r="D348" t="s">
        <v>262</v>
      </c>
      <c r="E348" t="s">
        <v>779</v>
      </c>
    </row>
    <row r="349" spans="1:5">
      <c r="A349" t="s">
        <v>1</v>
      </c>
      <c r="B349" t="s">
        <v>734</v>
      </c>
      <c r="C349" t="s">
        <v>780</v>
      </c>
      <c r="D349" t="s">
        <v>262</v>
      </c>
      <c r="E349" t="s">
        <v>781</v>
      </c>
    </row>
    <row r="350" spans="1:5">
      <c r="A350" t="s">
        <v>1</v>
      </c>
      <c r="B350" t="s">
        <v>734</v>
      </c>
      <c r="C350" t="s">
        <v>782</v>
      </c>
      <c r="D350" t="s">
        <v>262</v>
      </c>
      <c r="E350" t="s">
        <v>783</v>
      </c>
    </row>
    <row r="351" spans="1:5">
      <c r="A351" t="s">
        <v>1</v>
      </c>
      <c r="B351" t="s">
        <v>734</v>
      </c>
      <c r="C351" t="s">
        <v>784</v>
      </c>
      <c r="D351" t="s">
        <v>262</v>
      </c>
      <c r="E351" t="s">
        <v>785</v>
      </c>
    </row>
    <row r="352" spans="1:5">
      <c r="A352" t="s">
        <v>1</v>
      </c>
      <c r="B352" t="s">
        <v>734</v>
      </c>
      <c r="C352" t="s">
        <v>786</v>
      </c>
      <c r="D352" t="s">
        <v>262</v>
      </c>
      <c r="E352" t="s">
        <v>787</v>
      </c>
    </row>
    <row r="353" spans="1:5">
      <c r="A353" t="s">
        <v>1</v>
      </c>
      <c r="B353" t="s">
        <v>734</v>
      </c>
      <c r="C353" t="s">
        <v>788</v>
      </c>
      <c r="D353" t="s">
        <v>262</v>
      </c>
      <c r="E353" t="s">
        <v>789</v>
      </c>
    </row>
    <row r="354" spans="1:5">
      <c r="A354" t="s">
        <v>1</v>
      </c>
      <c r="B354" t="s">
        <v>734</v>
      </c>
      <c r="C354" t="s">
        <v>790</v>
      </c>
      <c r="D354" t="s">
        <v>262</v>
      </c>
      <c r="E354" t="s">
        <v>791</v>
      </c>
    </row>
    <row r="355" spans="1:5">
      <c r="A355" t="s">
        <v>1</v>
      </c>
      <c r="B355" t="s">
        <v>734</v>
      </c>
      <c r="C355" t="s">
        <v>792</v>
      </c>
      <c r="D355" t="s">
        <v>262</v>
      </c>
      <c r="E355" t="s">
        <v>793</v>
      </c>
    </row>
    <row r="356" spans="1:5">
      <c r="A356" t="s">
        <v>1</v>
      </c>
      <c r="B356" t="s">
        <v>734</v>
      </c>
      <c r="C356" t="s">
        <v>794</v>
      </c>
      <c r="D356" t="s">
        <v>262</v>
      </c>
      <c r="E356" t="s">
        <v>795</v>
      </c>
    </row>
    <row r="357" spans="1:5">
      <c r="A357" t="s">
        <v>1</v>
      </c>
      <c r="B357" t="s">
        <v>734</v>
      </c>
      <c r="C357" t="s">
        <v>796</v>
      </c>
      <c r="D357" t="s">
        <v>262</v>
      </c>
      <c r="E357" t="s">
        <v>797</v>
      </c>
    </row>
    <row r="358" spans="1:5">
      <c r="A358" t="s">
        <v>1</v>
      </c>
      <c r="B358" t="s">
        <v>734</v>
      </c>
      <c r="C358" t="s">
        <v>798</v>
      </c>
      <c r="D358" t="s">
        <v>262</v>
      </c>
      <c r="E358" t="s">
        <v>799</v>
      </c>
    </row>
    <row r="359" spans="1:5">
      <c r="A359" t="s">
        <v>1</v>
      </c>
      <c r="B359" t="s">
        <v>734</v>
      </c>
      <c r="C359" t="s">
        <v>800</v>
      </c>
      <c r="D359" t="s">
        <v>567</v>
      </c>
      <c r="E359" t="s">
        <v>801</v>
      </c>
    </row>
    <row r="360" spans="1:5">
      <c r="A360" t="s">
        <v>1</v>
      </c>
      <c r="B360" t="s">
        <v>802</v>
      </c>
      <c r="C360" t="s">
        <v>803</v>
      </c>
      <c r="D360" t="s">
        <v>209</v>
      </c>
      <c r="E360" t="s">
        <v>804</v>
      </c>
    </row>
    <row r="361" spans="1:5">
      <c r="A361" t="s">
        <v>236</v>
      </c>
      <c r="B361" t="s">
        <v>802</v>
      </c>
      <c r="C361" t="s">
        <v>803</v>
      </c>
      <c r="D361" t="s">
        <v>209</v>
      </c>
      <c r="E361" t="s">
        <v>804</v>
      </c>
    </row>
    <row r="362" spans="1:5">
      <c r="A362" t="s">
        <v>1</v>
      </c>
      <c r="B362" t="s">
        <v>2</v>
      </c>
      <c r="C362" t="s">
        <v>3</v>
      </c>
      <c r="D362" t="s">
        <v>209</v>
      </c>
      <c r="E362" t="s">
        <v>805</v>
      </c>
    </row>
    <row r="363" spans="1:5">
      <c r="A363" t="s">
        <v>236</v>
      </c>
      <c r="B363" t="s">
        <v>2</v>
      </c>
      <c r="C363" t="s">
        <v>3</v>
      </c>
      <c r="D363" t="s">
        <v>209</v>
      </c>
      <c r="E363" t="s">
        <v>805</v>
      </c>
    </row>
    <row r="364" spans="1:5">
      <c r="A364" t="s">
        <v>1</v>
      </c>
      <c r="B364" t="s">
        <v>806</v>
      </c>
      <c r="C364" t="s">
        <v>807</v>
      </c>
      <c r="D364" t="s">
        <v>221</v>
      </c>
      <c r="E364" t="s">
        <v>808</v>
      </c>
    </row>
    <row r="365" spans="1:5">
      <c r="A365" t="s">
        <v>236</v>
      </c>
      <c r="B365" t="s">
        <v>806</v>
      </c>
      <c r="C365" t="s">
        <v>807</v>
      </c>
      <c r="D365" t="s">
        <v>221</v>
      </c>
      <c r="E365" t="s">
        <v>808</v>
      </c>
    </row>
    <row r="366" spans="1:5">
      <c r="A366" t="s">
        <v>1</v>
      </c>
      <c r="B366" t="s">
        <v>809</v>
      </c>
      <c r="C366" t="s">
        <v>810</v>
      </c>
      <c r="D366" t="s">
        <v>221</v>
      </c>
      <c r="E366" t="s">
        <v>811</v>
      </c>
    </row>
    <row r="367" spans="1:5">
      <c r="A367" t="s">
        <v>1</v>
      </c>
      <c r="B367" t="s">
        <v>809</v>
      </c>
      <c r="C367" t="s">
        <v>812</v>
      </c>
      <c r="D367" t="s">
        <v>213</v>
      </c>
      <c r="E367" t="s">
        <v>813</v>
      </c>
    </row>
    <row r="368" spans="1:5">
      <c r="A368" t="s">
        <v>1</v>
      </c>
      <c r="B368" t="s">
        <v>809</v>
      </c>
      <c r="C368" t="s">
        <v>814</v>
      </c>
      <c r="D368" t="s">
        <v>221</v>
      </c>
      <c r="E368" t="s">
        <v>815</v>
      </c>
    </row>
    <row r="369" spans="1:5">
      <c r="A369" t="s">
        <v>236</v>
      </c>
      <c r="B369" t="s">
        <v>809</v>
      </c>
      <c r="C369" t="s">
        <v>814</v>
      </c>
      <c r="D369" t="s">
        <v>221</v>
      </c>
      <c r="E369" t="s">
        <v>815</v>
      </c>
    </row>
    <row r="370" spans="1:5">
      <c r="A370" t="s">
        <v>1</v>
      </c>
      <c r="B370" t="s">
        <v>809</v>
      </c>
      <c r="C370" t="s">
        <v>816</v>
      </c>
      <c r="D370" t="s">
        <v>218</v>
      </c>
      <c r="E370" t="s">
        <v>817</v>
      </c>
    </row>
    <row r="371" spans="1:5">
      <c r="A371" t="s">
        <v>1</v>
      </c>
      <c r="B371" t="s">
        <v>809</v>
      </c>
      <c r="C371" t="s">
        <v>818</v>
      </c>
      <c r="D371" t="s">
        <v>218</v>
      </c>
      <c r="E371" t="s">
        <v>819</v>
      </c>
    </row>
    <row r="372" spans="1:5">
      <c r="A372" t="s">
        <v>1</v>
      </c>
      <c r="B372" t="s">
        <v>809</v>
      </c>
      <c r="C372" t="s">
        <v>820</v>
      </c>
      <c r="D372" t="s">
        <v>221</v>
      </c>
      <c r="E372" t="s">
        <v>821</v>
      </c>
    </row>
    <row r="373" spans="1:5">
      <c r="A373" t="s">
        <v>1</v>
      </c>
      <c r="B373" t="s">
        <v>822</v>
      </c>
      <c r="C373" t="s">
        <v>823</v>
      </c>
      <c r="D373" t="s">
        <v>209</v>
      </c>
      <c r="E373" t="s">
        <v>824</v>
      </c>
    </row>
    <row r="374" spans="1:5">
      <c r="A374" t="s">
        <v>236</v>
      </c>
      <c r="B374" t="s">
        <v>822</v>
      </c>
      <c r="C374" t="s">
        <v>823</v>
      </c>
      <c r="D374" t="s">
        <v>209</v>
      </c>
      <c r="E374" t="s">
        <v>824</v>
      </c>
    </row>
    <row r="375" spans="1:5">
      <c r="A375" t="s">
        <v>1</v>
      </c>
      <c r="B375" t="s">
        <v>822</v>
      </c>
      <c r="C375" t="s">
        <v>825</v>
      </c>
      <c r="D375" t="s">
        <v>218</v>
      </c>
      <c r="E375" t="s">
        <v>826</v>
      </c>
    </row>
    <row r="376" spans="1:5">
      <c r="A376" t="s">
        <v>1</v>
      </c>
      <c r="B376" t="s">
        <v>822</v>
      </c>
      <c r="C376" t="s">
        <v>827</v>
      </c>
      <c r="D376" t="s">
        <v>218</v>
      </c>
      <c r="E376" t="s">
        <v>828</v>
      </c>
    </row>
    <row r="377" spans="1:5">
      <c r="A377" t="s">
        <v>1</v>
      </c>
      <c r="B377" t="s">
        <v>822</v>
      </c>
      <c r="C377" t="s">
        <v>829</v>
      </c>
      <c r="D377" t="s">
        <v>221</v>
      </c>
      <c r="E377" t="s">
        <v>830</v>
      </c>
    </row>
    <row r="378" spans="1:5">
      <c r="A378" t="s">
        <v>236</v>
      </c>
      <c r="B378" t="s">
        <v>822</v>
      </c>
      <c r="C378" t="s">
        <v>829</v>
      </c>
      <c r="D378" t="s">
        <v>221</v>
      </c>
      <c r="E378" t="s">
        <v>830</v>
      </c>
    </row>
    <row r="379" spans="1:5">
      <c r="A379" t="s">
        <v>1</v>
      </c>
      <c r="B379" t="s">
        <v>822</v>
      </c>
      <c r="C379" t="s">
        <v>831</v>
      </c>
      <c r="D379" t="s">
        <v>218</v>
      </c>
      <c r="E379" t="s">
        <v>832</v>
      </c>
    </row>
    <row r="380" spans="1:5">
      <c r="A380" t="s">
        <v>236</v>
      </c>
      <c r="B380" t="s">
        <v>822</v>
      </c>
      <c r="C380" t="s">
        <v>831</v>
      </c>
      <c r="D380" t="s">
        <v>218</v>
      </c>
      <c r="E380" t="s">
        <v>832</v>
      </c>
    </row>
    <row r="381" spans="1:5">
      <c r="A381" t="s">
        <v>1</v>
      </c>
      <c r="B381" t="s">
        <v>822</v>
      </c>
      <c r="C381" t="s">
        <v>833</v>
      </c>
      <c r="D381" t="s">
        <v>209</v>
      </c>
      <c r="E381" t="s">
        <v>834</v>
      </c>
    </row>
    <row r="382" spans="1:5">
      <c r="A382" t="s">
        <v>1</v>
      </c>
      <c r="B382" t="s">
        <v>822</v>
      </c>
      <c r="C382" t="s">
        <v>835</v>
      </c>
      <c r="D382" t="s">
        <v>209</v>
      </c>
      <c r="E382" t="s">
        <v>836</v>
      </c>
    </row>
    <row r="383" spans="1:5">
      <c r="A383" t="s">
        <v>236</v>
      </c>
      <c r="B383" t="s">
        <v>822</v>
      </c>
      <c r="C383" t="s">
        <v>835</v>
      </c>
      <c r="D383" t="s">
        <v>209</v>
      </c>
      <c r="E383" t="s">
        <v>836</v>
      </c>
    </row>
    <row r="384" spans="1:5">
      <c r="A384" t="s">
        <v>1</v>
      </c>
      <c r="B384" t="s">
        <v>822</v>
      </c>
      <c r="C384" t="s">
        <v>837</v>
      </c>
      <c r="D384" t="s">
        <v>218</v>
      </c>
      <c r="E384" t="s">
        <v>838</v>
      </c>
    </row>
    <row r="385" spans="1:5">
      <c r="A385" t="s">
        <v>236</v>
      </c>
      <c r="B385" t="s">
        <v>822</v>
      </c>
      <c r="C385" t="s">
        <v>837</v>
      </c>
      <c r="D385" t="s">
        <v>218</v>
      </c>
      <c r="E385" t="s">
        <v>838</v>
      </c>
    </row>
    <row r="386" spans="1:5">
      <c r="A386" t="s">
        <v>1</v>
      </c>
      <c r="B386" t="s">
        <v>822</v>
      </c>
      <c r="C386" t="s">
        <v>839</v>
      </c>
      <c r="D386" t="s">
        <v>209</v>
      </c>
      <c r="E386" t="s">
        <v>840</v>
      </c>
    </row>
    <row r="387" spans="1:5">
      <c r="A387" t="s">
        <v>236</v>
      </c>
      <c r="B387" t="s">
        <v>822</v>
      </c>
      <c r="C387" t="s">
        <v>839</v>
      </c>
      <c r="D387" t="s">
        <v>209</v>
      </c>
      <c r="E387" t="s">
        <v>840</v>
      </c>
    </row>
    <row r="388" spans="1:5">
      <c r="A388" t="s">
        <v>1</v>
      </c>
      <c r="B388" t="s">
        <v>822</v>
      </c>
      <c r="C388" t="s">
        <v>841</v>
      </c>
      <c r="D388" t="s">
        <v>221</v>
      </c>
      <c r="E388" t="s">
        <v>842</v>
      </c>
    </row>
    <row r="389" spans="1:5">
      <c r="A389" t="s">
        <v>1</v>
      </c>
      <c r="B389" t="s">
        <v>36</v>
      </c>
      <c r="C389" t="s">
        <v>843</v>
      </c>
      <c r="D389" t="s">
        <v>507</v>
      </c>
      <c r="E389" t="s">
        <v>844</v>
      </c>
    </row>
    <row r="390" spans="1:5">
      <c r="A390" t="s">
        <v>1</v>
      </c>
      <c r="B390" t="s">
        <v>36</v>
      </c>
      <c r="C390" t="s">
        <v>732</v>
      </c>
      <c r="D390" t="s">
        <v>507</v>
      </c>
      <c r="E390" t="s">
        <v>845</v>
      </c>
    </row>
    <row r="391" spans="1:5">
      <c r="A391" t="s">
        <v>1</v>
      </c>
      <c r="B391" t="s">
        <v>36</v>
      </c>
      <c r="C391" t="s">
        <v>846</v>
      </c>
      <c r="D391" t="s">
        <v>507</v>
      </c>
      <c r="E391" t="s">
        <v>847</v>
      </c>
    </row>
    <row r="392" spans="1:5">
      <c r="A392" t="s">
        <v>236</v>
      </c>
      <c r="B392" t="s">
        <v>848</v>
      </c>
      <c r="C392" t="s">
        <v>849</v>
      </c>
      <c r="D392" t="s">
        <v>36</v>
      </c>
      <c r="E392" t="s">
        <v>850</v>
      </c>
    </row>
    <row r="393" spans="1:5">
      <c r="A393" t="s">
        <v>236</v>
      </c>
      <c r="B393" t="s">
        <v>848</v>
      </c>
      <c r="C393" t="s">
        <v>199</v>
      </c>
      <c r="D393" t="s">
        <v>36</v>
      </c>
      <c r="E393" t="s">
        <v>199</v>
      </c>
    </row>
    <row r="394" spans="1:5">
      <c r="A394" t="s">
        <v>236</v>
      </c>
      <c r="B394" t="s">
        <v>848</v>
      </c>
      <c r="C394" t="s">
        <v>200</v>
      </c>
      <c r="D394" t="s">
        <v>36</v>
      </c>
      <c r="E394" t="s">
        <v>200</v>
      </c>
    </row>
    <row r="395" spans="1:5">
      <c r="A395" t="s">
        <v>236</v>
      </c>
      <c r="B395" t="s">
        <v>848</v>
      </c>
      <c r="C395" t="s">
        <v>7</v>
      </c>
      <c r="D395" t="s">
        <v>36</v>
      </c>
      <c r="E395" t="s">
        <v>7</v>
      </c>
    </row>
    <row r="396" spans="1:5">
      <c r="A396" t="s">
        <v>236</v>
      </c>
      <c r="B396" t="s">
        <v>848</v>
      </c>
      <c r="C396" t="s">
        <v>201</v>
      </c>
      <c r="D396" t="s">
        <v>36</v>
      </c>
      <c r="E396" t="s">
        <v>201</v>
      </c>
    </row>
    <row r="397" spans="1:5">
      <c r="A397" t="s">
        <v>236</v>
      </c>
      <c r="B397" t="s">
        <v>848</v>
      </c>
      <c r="C397" t="s">
        <v>202</v>
      </c>
      <c r="D397" t="s">
        <v>36</v>
      </c>
      <c r="E397" t="s">
        <v>202</v>
      </c>
    </row>
    <row r="398" spans="1:5">
      <c r="A398" t="s">
        <v>236</v>
      </c>
      <c r="B398" t="s">
        <v>848</v>
      </c>
      <c r="C398" t="s">
        <v>203</v>
      </c>
      <c r="D398" t="s">
        <v>36</v>
      </c>
      <c r="E398" t="s">
        <v>203</v>
      </c>
    </row>
    <row r="399" spans="1:5">
      <c r="A399" t="s">
        <v>1</v>
      </c>
      <c r="B399" t="s">
        <v>851</v>
      </c>
      <c r="C399" t="s">
        <v>852</v>
      </c>
      <c r="D399" t="s">
        <v>209</v>
      </c>
      <c r="E399" t="s">
        <v>853</v>
      </c>
    </row>
    <row r="400" spans="1:5">
      <c r="A400" t="s">
        <v>1</v>
      </c>
      <c r="B400" t="s">
        <v>854</v>
      </c>
      <c r="C400" t="s">
        <v>855</v>
      </c>
      <c r="D400" t="s">
        <v>221</v>
      </c>
      <c r="E400" t="s">
        <v>856</v>
      </c>
    </row>
    <row r="401" spans="1:5">
      <c r="A401" t="s">
        <v>1</v>
      </c>
      <c r="B401" t="s">
        <v>854</v>
      </c>
      <c r="C401" t="s">
        <v>91</v>
      </c>
      <c r="D401" t="s">
        <v>209</v>
      </c>
      <c r="E401" t="s">
        <v>857</v>
      </c>
    </row>
    <row r="402" spans="1:5">
      <c r="A402" t="s">
        <v>236</v>
      </c>
      <c r="B402" t="s">
        <v>854</v>
      </c>
      <c r="C402" t="s">
        <v>91</v>
      </c>
      <c r="D402" t="s">
        <v>209</v>
      </c>
      <c r="E402" t="s">
        <v>857</v>
      </c>
    </row>
    <row r="403" spans="1:5">
      <c r="A403" t="s">
        <v>1</v>
      </c>
      <c r="B403" t="s">
        <v>854</v>
      </c>
      <c r="C403" t="s">
        <v>858</v>
      </c>
      <c r="D403" t="s">
        <v>209</v>
      </c>
      <c r="E403" t="s">
        <v>859</v>
      </c>
    </row>
    <row r="404" spans="1:5">
      <c r="A404" t="s">
        <v>236</v>
      </c>
      <c r="B404" t="s">
        <v>854</v>
      </c>
      <c r="C404" t="s">
        <v>858</v>
      </c>
      <c r="D404" t="s">
        <v>209</v>
      </c>
      <c r="E404" t="s">
        <v>859</v>
      </c>
    </row>
    <row r="405" spans="1:5">
      <c r="A405" t="s">
        <v>1</v>
      </c>
      <c r="B405" t="s">
        <v>854</v>
      </c>
      <c r="C405" t="s">
        <v>860</v>
      </c>
      <c r="D405" t="s">
        <v>213</v>
      </c>
      <c r="E405" t="s">
        <v>861</v>
      </c>
    </row>
    <row r="406" spans="1:5">
      <c r="A406" t="s">
        <v>236</v>
      </c>
      <c r="B406" t="s">
        <v>854</v>
      </c>
      <c r="C406" t="s">
        <v>860</v>
      </c>
      <c r="D406" t="s">
        <v>213</v>
      </c>
      <c r="E406" t="s">
        <v>861</v>
      </c>
    </row>
    <row r="407" spans="1:5">
      <c r="A407" t="s">
        <v>1</v>
      </c>
      <c r="B407" t="s">
        <v>854</v>
      </c>
      <c r="C407" t="s">
        <v>862</v>
      </c>
      <c r="D407" t="s">
        <v>221</v>
      </c>
      <c r="E407" t="s">
        <v>863</v>
      </c>
    </row>
    <row r="408" spans="1:5">
      <c r="A408" t="s">
        <v>1</v>
      </c>
      <c r="B408" t="s">
        <v>854</v>
      </c>
      <c r="C408" t="s">
        <v>32</v>
      </c>
      <c r="D408" t="s">
        <v>209</v>
      </c>
      <c r="E408" t="s">
        <v>864</v>
      </c>
    </row>
    <row r="409" spans="1:5">
      <c r="A409" t="s">
        <v>236</v>
      </c>
      <c r="B409" t="s">
        <v>854</v>
      </c>
      <c r="C409" t="s">
        <v>32</v>
      </c>
      <c r="D409" t="s">
        <v>209</v>
      </c>
      <c r="E409" t="s">
        <v>864</v>
      </c>
    </row>
    <row r="410" spans="1:5">
      <c r="A410" t="s">
        <v>1</v>
      </c>
      <c r="B410" t="s">
        <v>854</v>
      </c>
      <c r="C410" t="s">
        <v>865</v>
      </c>
      <c r="D410" t="s">
        <v>209</v>
      </c>
      <c r="E410" t="s">
        <v>866</v>
      </c>
    </row>
    <row r="411" spans="1:5">
      <c r="A411" t="s">
        <v>236</v>
      </c>
      <c r="B411" t="s">
        <v>854</v>
      </c>
      <c r="C411" t="s">
        <v>865</v>
      </c>
      <c r="D411" t="s">
        <v>209</v>
      </c>
      <c r="E411" t="s">
        <v>866</v>
      </c>
    </row>
    <row r="412" spans="1:5">
      <c r="A412" t="s">
        <v>1</v>
      </c>
      <c r="B412" t="s">
        <v>854</v>
      </c>
      <c r="C412" t="s">
        <v>867</v>
      </c>
      <c r="D412" t="s">
        <v>209</v>
      </c>
      <c r="E412" t="s">
        <v>868</v>
      </c>
    </row>
    <row r="413" spans="1:5">
      <c r="A413" t="s">
        <v>1</v>
      </c>
      <c r="B413" t="s">
        <v>854</v>
      </c>
      <c r="C413" t="s">
        <v>869</v>
      </c>
      <c r="D413" t="s">
        <v>209</v>
      </c>
      <c r="E413" t="s">
        <v>870</v>
      </c>
    </row>
    <row r="414" spans="1:5">
      <c r="A414" t="s">
        <v>236</v>
      </c>
      <c r="B414" t="s">
        <v>854</v>
      </c>
      <c r="C414" t="s">
        <v>869</v>
      </c>
      <c r="D414" t="s">
        <v>209</v>
      </c>
      <c r="E414" t="s">
        <v>870</v>
      </c>
    </row>
    <row r="415" spans="1:5">
      <c r="A415" t="s">
        <v>1</v>
      </c>
      <c r="B415" t="s">
        <v>29</v>
      </c>
      <c r="C415" t="s">
        <v>871</v>
      </c>
      <c r="D415" t="s">
        <v>262</v>
      </c>
      <c r="E415" t="s">
        <v>872</v>
      </c>
    </row>
    <row r="416" spans="1:5">
      <c r="A416" t="s">
        <v>1</v>
      </c>
      <c r="B416" t="s">
        <v>29</v>
      </c>
      <c r="C416" t="s">
        <v>873</v>
      </c>
      <c r="D416" t="s">
        <v>262</v>
      </c>
      <c r="E416" t="s">
        <v>874</v>
      </c>
    </row>
    <row r="417" spans="1:5">
      <c r="A417" t="s">
        <v>1</v>
      </c>
      <c r="B417" t="s">
        <v>29</v>
      </c>
      <c r="C417" t="s">
        <v>875</v>
      </c>
      <c r="D417" t="s">
        <v>262</v>
      </c>
      <c r="E417" t="s">
        <v>876</v>
      </c>
    </row>
    <row r="418" spans="1:5">
      <c r="A418" t="s">
        <v>1</v>
      </c>
      <c r="B418" t="s">
        <v>29</v>
      </c>
      <c r="C418" t="s">
        <v>877</v>
      </c>
      <c r="D418" t="s">
        <v>262</v>
      </c>
      <c r="E418" t="s">
        <v>878</v>
      </c>
    </row>
    <row r="419" spans="1:5">
      <c r="A419" t="s">
        <v>1</v>
      </c>
      <c r="B419" t="s">
        <v>29</v>
      </c>
      <c r="C419" t="s">
        <v>879</v>
      </c>
      <c r="D419" t="s">
        <v>262</v>
      </c>
      <c r="E419" t="s">
        <v>880</v>
      </c>
    </row>
    <row r="420" spans="1:5">
      <c r="A420" t="s">
        <v>1</v>
      </c>
      <c r="B420" t="s">
        <v>29</v>
      </c>
      <c r="C420" t="s">
        <v>84</v>
      </c>
      <c r="D420" t="s">
        <v>567</v>
      </c>
      <c r="E420" t="s">
        <v>881</v>
      </c>
    </row>
    <row r="421" spans="1:5">
      <c r="A421" t="s">
        <v>1</v>
      </c>
      <c r="B421" t="s">
        <v>29</v>
      </c>
      <c r="C421" t="s">
        <v>30</v>
      </c>
      <c r="D421" t="s">
        <v>567</v>
      </c>
      <c r="E421" t="s">
        <v>882</v>
      </c>
    </row>
    <row r="422" spans="1:5">
      <c r="A422" t="s">
        <v>236</v>
      </c>
      <c r="B422" t="s">
        <v>29</v>
      </c>
      <c r="C422" t="s">
        <v>30</v>
      </c>
      <c r="D422" t="s">
        <v>567</v>
      </c>
      <c r="E422" t="s">
        <v>882</v>
      </c>
    </row>
    <row r="423" spans="1:5">
      <c r="A423" t="s">
        <v>1</v>
      </c>
      <c r="B423" t="s">
        <v>29</v>
      </c>
      <c r="C423" t="s">
        <v>883</v>
      </c>
      <c r="D423" t="s">
        <v>262</v>
      </c>
      <c r="E423" t="s">
        <v>884</v>
      </c>
    </row>
    <row r="424" spans="1:5">
      <c r="A424" t="s">
        <v>1</v>
      </c>
      <c r="B424" t="s">
        <v>29</v>
      </c>
      <c r="C424" t="s">
        <v>885</v>
      </c>
      <c r="D424" t="s">
        <v>262</v>
      </c>
      <c r="E424" t="s">
        <v>886</v>
      </c>
    </row>
    <row r="425" spans="1:5">
      <c r="A425" t="s">
        <v>1</v>
      </c>
      <c r="B425" t="s">
        <v>29</v>
      </c>
      <c r="C425" t="s">
        <v>887</v>
      </c>
      <c r="D425" t="s">
        <v>567</v>
      </c>
      <c r="E425" t="s">
        <v>888</v>
      </c>
    </row>
    <row r="426" spans="1:5">
      <c r="A426" t="s">
        <v>236</v>
      </c>
      <c r="B426" t="s">
        <v>29</v>
      </c>
      <c r="C426" t="s">
        <v>887</v>
      </c>
      <c r="D426" t="s">
        <v>567</v>
      </c>
      <c r="E426" t="s">
        <v>888</v>
      </c>
    </row>
    <row r="427" spans="1:5">
      <c r="A427" t="s">
        <v>1</v>
      </c>
      <c r="B427" t="s">
        <v>29</v>
      </c>
      <c r="C427" t="s">
        <v>889</v>
      </c>
      <c r="D427" t="s">
        <v>262</v>
      </c>
      <c r="E427" t="s">
        <v>890</v>
      </c>
    </row>
    <row r="428" spans="1:5">
      <c r="A428" t="s">
        <v>236</v>
      </c>
      <c r="B428" t="s">
        <v>29</v>
      </c>
      <c r="C428" t="s">
        <v>891</v>
      </c>
      <c r="D428" t="s">
        <v>567</v>
      </c>
      <c r="E428" t="s">
        <v>892</v>
      </c>
    </row>
    <row r="429" spans="1:5">
      <c r="A429" t="s">
        <v>1</v>
      </c>
      <c r="B429" t="s">
        <v>29</v>
      </c>
      <c r="C429" t="s">
        <v>893</v>
      </c>
      <c r="D429" t="s">
        <v>262</v>
      </c>
      <c r="E429" t="s">
        <v>894</v>
      </c>
    </row>
    <row r="430" spans="1:5">
      <c r="A430" t="s">
        <v>1</v>
      </c>
      <c r="B430" t="s">
        <v>29</v>
      </c>
      <c r="C430" t="s">
        <v>895</v>
      </c>
      <c r="D430" t="s">
        <v>567</v>
      </c>
      <c r="E430" t="s">
        <v>896</v>
      </c>
    </row>
    <row r="431" spans="1:5">
      <c r="A431" t="s">
        <v>1</v>
      </c>
      <c r="B431" t="s">
        <v>29</v>
      </c>
      <c r="C431" t="s">
        <v>897</v>
      </c>
      <c r="D431" t="s">
        <v>567</v>
      </c>
      <c r="E431" t="s">
        <v>898</v>
      </c>
    </row>
    <row r="432" spans="1:5">
      <c r="A432" t="s">
        <v>1</v>
      </c>
      <c r="B432" t="s">
        <v>29</v>
      </c>
      <c r="C432" t="s">
        <v>899</v>
      </c>
      <c r="D432" t="s">
        <v>567</v>
      </c>
      <c r="E432" t="s">
        <v>900</v>
      </c>
    </row>
    <row r="433" spans="1:5">
      <c r="A433" t="s">
        <v>1</v>
      </c>
      <c r="B433" t="s">
        <v>29</v>
      </c>
      <c r="C433" t="s">
        <v>901</v>
      </c>
      <c r="D433" t="s">
        <v>262</v>
      </c>
      <c r="E433" t="s">
        <v>902</v>
      </c>
    </row>
    <row r="434" spans="1:5">
      <c r="A434" t="s">
        <v>1</v>
      </c>
      <c r="B434" t="s">
        <v>29</v>
      </c>
      <c r="C434" t="s">
        <v>903</v>
      </c>
      <c r="D434" t="s">
        <v>262</v>
      </c>
      <c r="E434" t="s">
        <v>904</v>
      </c>
    </row>
    <row r="435" spans="1:5">
      <c r="A435" t="s">
        <v>1</v>
      </c>
      <c r="B435" t="s">
        <v>29</v>
      </c>
      <c r="C435" t="s">
        <v>905</v>
      </c>
      <c r="D435" t="s">
        <v>262</v>
      </c>
      <c r="E435" t="s">
        <v>906</v>
      </c>
    </row>
    <row r="436" spans="1:5">
      <c r="A436" t="s">
        <v>1</v>
      </c>
      <c r="B436" t="s">
        <v>29</v>
      </c>
      <c r="C436" t="s">
        <v>31</v>
      </c>
      <c r="D436" t="s">
        <v>567</v>
      </c>
      <c r="E436" t="s">
        <v>907</v>
      </c>
    </row>
    <row r="437" spans="1:5">
      <c r="A437" t="s">
        <v>236</v>
      </c>
      <c r="B437" t="s">
        <v>29</v>
      </c>
      <c r="C437" t="s">
        <v>31</v>
      </c>
      <c r="D437" t="s">
        <v>567</v>
      </c>
      <c r="E437" t="s">
        <v>907</v>
      </c>
    </row>
    <row r="438" spans="1:5">
      <c r="A438" t="s">
        <v>1</v>
      </c>
      <c r="B438" t="s">
        <v>29</v>
      </c>
      <c r="C438" t="s">
        <v>908</v>
      </c>
      <c r="D438" t="s">
        <v>262</v>
      </c>
      <c r="E438" t="s">
        <v>909</v>
      </c>
    </row>
    <row r="439" spans="1:5">
      <c r="A439" t="s">
        <v>1</v>
      </c>
      <c r="B439" t="s">
        <v>29</v>
      </c>
      <c r="C439" t="s">
        <v>910</v>
      </c>
      <c r="D439" t="s">
        <v>507</v>
      </c>
      <c r="E439" t="s">
        <v>911</v>
      </c>
    </row>
    <row r="440" spans="1:5">
      <c r="A440" t="s">
        <v>236</v>
      </c>
      <c r="B440" t="s">
        <v>29</v>
      </c>
      <c r="C440" t="s">
        <v>910</v>
      </c>
      <c r="D440" t="s">
        <v>507</v>
      </c>
      <c r="E440" t="s">
        <v>911</v>
      </c>
    </row>
    <row r="441" spans="1:5">
      <c r="A441" t="s">
        <v>1</v>
      </c>
      <c r="B441" t="s">
        <v>29</v>
      </c>
      <c r="C441" t="s">
        <v>912</v>
      </c>
      <c r="D441" t="s">
        <v>507</v>
      </c>
      <c r="E441" t="s">
        <v>913</v>
      </c>
    </row>
    <row r="442" spans="1:5">
      <c r="A442" t="s">
        <v>236</v>
      </c>
      <c r="B442" t="s">
        <v>29</v>
      </c>
      <c r="C442" t="s">
        <v>912</v>
      </c>
      <c r="D442" t="s">
        <v>507</v>
      </c>
      <c r="E442" t="s">
        <v>913</v>
      </c>
    </row>
    <row r="443" spans="1:5">
      <c r="A443" t="s">
        <v>1</v>
      </c>
      <c r="B443" t="s">
        <v>29</v>
      </c>
      <c r="C443" t="s">
        <v>914</v>
      </c>
      <c r="D443" t="s">
        <v>567</v>
      </c>
      <c r="E443" t="s">
        <v>915</v>
      </c>
    </row>
    <row r="444" spans="1:5">
      <c r="A444" t="s">
        <v>1</v>
      </c>
      <c r="B444" t="s">
        <v>29</v>
      </c>
      <c r="C444" t="s">
        <v>916</v>
      </c>
      <c r="D444" t="s">
        <v>262</v>
      </c>
      <c r="E444" t="s">
        <v>917</v>
      </c>
    </row>
    <row r="445" spans="1:5">
      <c r="A445" t="s">
        <v>1</v>
      </c>
      <c r="B445" t="s">
        <v>29</v>
      </c>
      <c r="C445" t="s">
        <v>493</v>
      </c>
      <c r="D445" t="s">
        <v>262</v>
      </c>
      <c r="E445" t="s">
        <v>918</v>
      </c>
    </row>
    <row r="446" spans="1:5">
      <c r="A446" t="s">
        <v>1</v>
      </c>
      <c r="B446" t="s">
        <v>29</v>
      </c>
      <c r="C446" t="s">
        <v>919</v>
      </c>
      <c r="D446" t="s">
        <v>262</v>
      </c>
      <c r="E446" t="s">
        <v>920</v>
      </c>
    </row>
    <row r="447" spans="1:5">
      <c r="A447" t="s">
        <v>1</v>
      </c>
      <c r="B447" t="s">
        <v>29</v>
      </c>
      <c r="C447" t="s">
        <v>497</v>
      </c>
      <c r="D447" t="s">
        <v>262</v>
      </c>
      <c r="E447" t="s">
        <v>921</v>
      </c>
    </row>
    <row r="448" spans="1:5">
      <c r="A448" t="s">
        <v>1</v>
      </c>
      <c r="B448" t="s">
        <v>29</v>
      </c>
      <c r="C448" t="s">
        <v>922</v>
      </c>
      <c r="D448" t="s">
        <v>262</v>
      </c>
      <c r="E448" t="s">
        <v>923</v>
      </c>
    </row>
    <row r="449" spans="1:5">
      <c r="A449" t="s">
        <v>1</v>
      </c>
      <c r="B449" t="s">
        <v>29</v>
      </c>
      <c r="C449" t="s">
        <v>924</v>
      </c>
      <c r="D449" t="s">
        <v>262</v>
      </c>
      <c r="E449" t="s">
        <v>925</v>
      </c>
    </row>
    <row r="450" spans="1:5">
      <c r="A450" t="s">
        <v>1</v>
      </c>
      <c r="B450" t="s">
        <v>29</v>
      </c>
      <c r="C450" t="s">
        <v>926</v>
      </c>
      <c r="D450" t="s">
        <v>262</v>
      </c>
      <c r="E450" t="s">
        <v>927</v>
      </c>
    </row>
    <row r="451" spans="1:5">
      <c r="A451" t="s">
        <v>1</v>
      </c>
      <c r="B451" t="s">
        <v>29</v>
      </c>
      <c r="C451" t="s">
        <v>928</v>
      </c>
      <c r="D451" t="s">
        <v>262</v>
      </c>
      <c r="E451" t="s">
        <v>929</v>
      </c>
    </row>
    <row r="452" spans="1:5">
      <c r="A452" t="s">
        <v>1</v>
      </c>
      <c r="B452" t="s">
        <v>29</v>
      </c>
      <c r="C452" t="s">
        <v>930</v>
      </c>
      <c r="D452" t="s">
        <v>262</v>
      </c>
      <c r="E452" t="s">
        <v>931</v>
      </c>
    </row>
    <row r="453" spans="1:5">
      <c r="A453" t="s">
        <v>1</v>
      </c>
      <c r="B453" t="s">
        <v>932</v>
      </c>
      <c r="C453" t="s">
        <v>933</v>
      </c>
      <c r="D453" t="s">
        <v>209</v>
      </c>
      <c r="E453" t="s">
        <v>934</v>
      </c>
    </row>
    <row r="454" spans="1:5">
      <c r="A454" t="s">
        <v>1</v>
      </c>
      <c r="B454" t="s">
        <v>932</v>
      </c>
      <c r="C454" t="s">
        <v>935</v>
      </c>
      <c r="D454" t="s">
        <v>216</v>
      </c>
      <c r="E454" t="s">
        <v>936</v>
      </c>
    </row>
    <row r="455" spans="1:5">
      <c r="A455" t="s">
        <v>1</v>
      </c>
      <c r="B455" t="s">
        <v>932</v>
      </c>
      <c r="C455" t="s">
        <v>937</v>
      </c>
      <c r="D455" t="s">
        <v>216</v>
      </c>
      <c r="E455" t="s">
        <v>938</v>
      </c>
    </row>
    <row r="456" spans="1:5">
      <c r="A456" t="s">
        <v>1</v>
      </c>
      <c r="B456" t="s">
        <v>932</v>
      </c>
      <c r="C456" t="s">
        <v>939</v>
      </c>
      <c r="D456" t="s">
        <v>209</v>
      </c>
      <c r="E456" t="s">
        <v>940</v>
      </c>
    </row>
    <row r="457" spans="1:5">
      <c r="A457" t="s">
        <v>1</v>
      </c>
      <c r="B457" t="s">
        <v>932</v>
      </c>
      <c r="C457" t="s">
        <v>941</v>
      </c>
      <c r="D457" t="s">
        <v>221</v>
      </c>
      <c r="E457" t="s">
        <v>942</v>
      </c>
    </row>
    <row r="458" spans="1:5">
      <c r="A458" t="s">
        <v>1</v>
      </c>
      <c r="B458" t="s">
        <v>932</v>
      </c>
      <c r="C458" t="s">
        <v>943</v>
      </c>
      <c r="D458" t="s">
        <v>507</v>
      </c>
      <c r="E458" t="s">
        <v>944</v>
      </c>
    </row>
    <row r="459" spans="1:5">
      <c r="A459" t="s">
        <v>1</v>
      </c>
      <c r="B459" t="s">
        <v>932</v>
      </c>
      <c r="C459" t="s">
        <v>945</v>
      </c>
      <c r="D459" t="s">
        <v>507</v>
      </c>
      <c r="E459" t="s">
        <v>946</v>
      </c>
    </row>
    <row r="460" spans="1:5">
      <c r="A460" t="s">
        <v>1</v>
      </c>
      <c r="B460" t="s">
        <v>932</v>
      </c>
      <c r="C460" t="s">
        <v>947</v>
      </c>
      <c r="D460" t="s">
        <v>507</v>
      </c>
      <c r="E460" t="s">
        <v>938</v>
      </c>
    </row>
    <row r="461" spans="1:5">
      <c r="A461" t="s">
        <v>1</v>
      </c>
      <c r="B461" t="s">
        <v>932</v>
      </c>
      <c r="C461" t="s">
        <v>948</v>
      </c>
      <c r="D461" t="s">
        <v>209</v>
      </c>
      <c r="E461" t="s">
        <v>949</v>
      </c>
    </row>
    <row r="462" spans="1:5">
      <c r="A462" t="s">
        <v>1</v>
      </c>
      <c r="B462" t="s">
        <v>932</v>
      </c>
      <c r="C462" t="s">
        <v>950</v>
      </c>
      <c r="D462" t="s">
        <v>209</v>
      </c>
      <c r="E462" t="s">
        <v>951</v>
      </c>
    </row>
    <row r="463" spans="1:5">
      <c r="A463" t="s">
        <v>1</v>
      </c>
      <c r="B463" t="s">
        <v>932</v>
      </c>
      <c r="C463" t="s">
        <v>952</v>
      </c>
      <c r="D463" t="s">
        <v>209</v>
      </c>
      <c r="E463" t="s">
        <v>953</v>
      </c>
    </row>
    <row r="464" spans="1:5">
      <c r="A464" t="s">
        <v>1</v>
      </c>
      <c r="B464" t="s">
        <v>932</v>
      </c>
      <c r="C464" t="s">
        <v>954</v>
      </c>
      <c r="D464" t="s">
        <v>507</v>
      </c>
      <c r="E464" t="s">
        <v>955</v>
      </c>
    </row>
    <row r="465" spans="1:5">
      <c r="A465" t="s">
        <v>1</v>
      </c>
      <c r="B465" t="s">
        <v>932</v>
      </c>
      <c r="C465" t="s">
        <v>956</v>
      </c>
      <c r="D465" t="s">
        <v>216</v>
      </c>
      <c r="E465" t="s">
        <v>957</v>
      </c>
    </row>
    <row r="466" spans="1:5">
      <c r="A466" t="s">
        <v>1</v>
      </c>
      <c r="B466" t="s">
        <v>932</v>
      </c>
      <c r="C466" t="s">
        <v>958</v>
      </c>
      <c r="D466" t="s">
        <v>507</v>
      </c>
      <c r="E466" t="s">
        <v>959</v>
      </c>
    </row>
    <row r="467" spans="1:5">
      <c r="A467" t="s">
        <v>1</v>
      </c>
      <c r="B467" t="s">
        <v>932</v>
      </c>
      <c r="C467" t="s">
        <v>960</v>
      </c>
      <c r="D467" t="s">
        <v>221</v>
      </c>
      <c r="E467" t="s">
        <v>961</v>
      </c>
    </row>
    <row r="468" spans="1:5">
      <c r="A468" t="s">
        <v>1</v>
      </c>
      <c r="B468" t="s">
        <v>932</v>
      </c>
      <c r="C468" t="s">
        <v>151</v>
      </c>
      <c r="D468" t="s">
        <v>221</v>
      </c>
      <c r="E468" t="s">
        <v>152</v>
      </c>
    </row>
    <row r="469" spans="1:5">
      <c r="A469" t="s">
        <v>236</v>
      </c>
      <c r="B469" t="s">
        <v>932</v>
      </c>
      <c r="C469" t="s">
        <v>151</v>
      </c>
      <c r="D469" t="s">
        <v>221</v>
      </c>
      <c r="E469" t="s">
        <v>152</v>
      </c>
    </row>
    <row r="470" spans="1:5">
      <c r="A470" t="s">
        <v>1</v>
      </c>
      <c r="B470" t="s">
        <v>932</v>
      </c>
      <c r="C470" t="s">
        <v>962</v>
      </c>
      <c r="D470" t="s">
        <v>221</v>
      </c>
      <c r="E470" t="s">
        <v>963</v>
      </c>
    </row>
    <row r="471" spans="1:5">
      <c r="A471" t="s">
        <v>236</v>
      </c>
      <c r="B471" t="s">
        <v>932</v>
      </c>
      <c r="C471" t="s">
        <v>964</v>
      </c>
      <c r="D471" t="s">
        <v>221</v>
      </c>
      <c r="E471" t="s">
        <v>965</v>
      </c>
    </row>
    <row r="472" spans="1:5">
      <c r="A472" t="s">
        <v>236</v>
      </c>
      <c r="B472" t="s">
        <v>932</v>
      </c>
      <c r="C472" t="s">
        <v>966</v>
      </c>
      <c r="D472" t="s">
        <v>221</v>
      </c>
      <c r="E472" t="s">
        <v>967</v>
      </c>
    </row>
    <row r="473" spans="1:5">
      <c r="A473" t="s">
        <v>236</v>
      </c>
      <c r="B473" t="s">
        <v>932</v>
      </c>
      <c r="C473" t="s">
        <v>968</v>
      </c>
      <c r="D473" t="s">
        <v>221</v>
      </c>
      <c r="E473" t="s">
        <v>969</v>
      </c>
    </row>
    <row r="474" spans="1:5">
      <c r="A474" t="s">
        <v>236</v>
      </c>
      <c r="B474" t="s">
        <v>932</v>
      </c>
      <c r="C474" t="s">
        <v>970</v>
      </c>
      <c r="D474" t="s">
        <v>221</v>
      </c>
      <c r="E474" t="s">
        <v>971</v>
      </c>
    </row>
    <row r="475" spans="1:5">
      <c r="A475" t="s">
        <v>1</v>
      </c>
      <c r="B475" t="s">
        <v>972</v>
      </c>
      <c r="C475" t="s">
        <v>973</v>
      </c>
      <c r="D475" t="s">
        <v>221</v>
      </c>
      <c r="E475" t="s">
        <v>974</v>
      </c>
    </row>
    <row r="476" spans="1:5">
      <c r="A476" t="s">
        <v>1</v>
      </c>
      <c r="B476" t="s">
        <v>972</v>
      </c>
      <c r="C476" t="s">
        <v>975</v>
      </c>
      <c r="D476" t="s">
        <v>221</v>
      </c>
      <c r="E476" t="s">
        <v>976</v>
      </c>
    </row>
    <row r="477" spans="1:5">
      <c r="A477" t="s">
        <v>236</v>
      </c>
      <c r="B477" t="s">
        <v>972</v>
      </c>
      <c r="C477" t="s">
        <v>975</v>
      </c>
      <c r="D477" t="s">
        <v>221</v>
      </c>
      <c r="E477" t="s">
        <v>976</v>
      </c>
    </row>
    <row r="478" spans="1:5">
      <c r="A478" t="s">
        <v>1</v>
      </c>
      <c r="B478" t="s">
        <v>972</v>
      </c>
      <c r="C478" t="s">
        <v>977</v>
      </c>
      <c r="D478" t="s">
        <v>218</v>
      </c>
      <c r="E478" t="s">
        <v>978</v>
      </c>
    </row>
    <row r="479" spans="1:5">
      <c r="A479" t="s">
        <v>1</v>
      </c>
      <c r="B479" t="s">
        <v>972</v>
      </c>
      <c r="C479" t="s">
        <v>132</v>
      </c>
      <c r="D479" t="s">
        <v>218</v>
      </c>
      <c r="E479" t="s">
        <v>979</v>
      </c>
    </row>
    <row r="480" spans="1:5">
      <c r="A480" t="s">
        <v>1</v>
      </c>
      <c r="B480" t="s">
        <v>972</v>
      </c>
      <c r="C480" t="s">
        <v>980</v>
      </c>
      <c r="D480" t="s">
        <v>218</v>
      </c>
      <c r="E480" t="s">
        <v>981</v>
      </c>
    </row>
    <row r="481" spans="1:5">
      <c r="A481" t="s">
        <v>1</v>
      </c>
      <c r="B481" t="s">
        <v>972</v>
      </c>
      <c r="C481" t="s">
        <v>982</v>
      </c>
      <c r="D481" t="s">
        <v>218</v>
      </c>
      <c r="E481" t="s">
        <v>983</v>
      </c>
    </row>
    <row r="482" spans="1:5">
      <c r="A482" t="s">
        <v>1</v>
      </c>
      <c r="B482" t="s">
        <v>4</v>
      </c>
      <c r="C482" t="s">
        <v>59</v>
      </c>
      <c r="D482" t="s">
        <v>262</v>
      </c>
      <c r="E482" t="s">
        <v>60</v>
      </c>
    </row>
    <row r="483" spans="1:5">
      <c r="A483" t="s">
        <v>1</v>
      </c>
      <c r="B483" t="s">
        <v>4</v>
      </c>
      <c r="C483" t="s">
        <v>61</v>
      </c>
      <c r="D483" t="s">
        <v>262</v>
      </c>
      <c r="E483" t="s">
        <v>62</v>
      </c>
    </row>
    <row r="484" spans="1:5">
      <c r="A484" t="s">
        <v>1</v>
      </c>
      <c r="B484" t="s">
        <v>4</v>
      </c>
      <c r="C484" t="s">
        <v>63</v>
      </c>
      <c r="D484" t="s">
        <v>262</v>
      </c>
      <c r="E484" t="s">
        <v>64</v>
      </c>
    </row>
    <row r="485" spans="1:5">
      <c r="A485" t="s">
        <v>1</v>
      </c>
      <c r="B485" t="s">
        <v>4</v>
      </c>
      <c r="C485" t="s">
        <v>65</v>
      </c>
      <c r="D485" t="s">
        <v>262</v>
      </c>
      <c r="E485" t="s">
        <v>66</v>
      </c>
    </row>
    <row r="486" spans="1:5">
      <c r="A486" t="s">
        <v>1</v>
      </c>
      <c r="B486" t="s">
        <v>4</v>
      </c>
      <c r="C486" t="s">
        <v>67</v>
      </c>
      <c r="D486" t="s">
        <v>262</v>
      </c>
      <c r="E486" t="s">
        <v>68</v>
      </c>
    </row>
    <row r="487" spans="1:5">
      <c r="A487" t="s">
        <v>1</v>
      </c>
      <c r="B487" t="s">
        <v>4</v>
      </c>
      <c r="C487" t="s">
        <v>69</v>
      </c>
      <c r="D487" t="s">
        <v>262</v>
      </c>
      <c r="E487" t="s">
        <v>70</v>
      </c>
    </row>
    <row r="488" spans="1:5">
      <c r="A488" t="s">
        <v>1</v>
      </c>
      <c r="B488" t="s">
        <v>4</v>
      </c>
      <c r="C488" t="s">
        <v>71</v>
      </c>
      <c r="D488" t="s">
        <v>262</v>
      </c>
      <c r="E488" t="s">
        <v>72</v>
      </c>
    </row>
    <row r="489" spans="1:5">
      <c r="A489" t="s">
        <v>1</v>
      </c>
      <c r="B489" t="s">
        <v>4</v>
      </c>
      <c r="C489" t="s">
        <v>73</v>
      </c>
      <c r="D489" t="s">
        <v>262</v>
      </c>
      <c r="E489" t="s">
        <v>74</v>
      </c>
    </row>
    <row r="490" spans="1:5">
      <c r="A490" t="s">
        <v>1</v>
      </c>
      <c r="B490" t="s">
        <v>4</v>
      </c>
      <c r="C490" t="s">
        <v>75</v>
      </c>
      <c r="D490" t="s">
        <v>262</v>
      </c>
      <c r="E490" t="s">
        <v>76</v>
      </c>
    </row>
    <row r="491" spans="1:5">
      <c r="A491" t="s">
        <v>1</v>
      </c>
      <c r="B491" t="s">
        <v>4</v>
      </c>
      <c r="C491" t="s">
        <v>77</v>
      </c>
      <c r="D491" t="s">
        <v>262</v>
      </c>
      <c r="E491" t="s">
        <v>78</v>
      </c>
    </row>
    <row r="492" spans="1:5">
      <c r="A492" t="s">
        <v>1</v>
      </c>
      <c r="B492" t="s">
        <v>4</v>
      </c>
      <c r="C492" t="s">
        <v>79</v>
      </c>
      <c r="D492" t="s">
        <v>262</v>
      </c>
      <c r="E492" t="s">
        <v>984</v>
      </c>
    </row>
    <row r="493" spans="1:5">
      <c r="A493" t="s">
        <v>236</v>
      </c>
      <c r="B493" t="s">
        <v>4</v>
      </c>
      <c r="C493" t="s">
        <v>79</v>
      </c>
      <c r="D493" t="s">
        <v>262</v>
      </c>
      <c r="E493" t="s">
        <v>984</v>
      </c>
    </row>
    <row r="494" spans="1:5">
      <c r="A494" t="s">
        <v>1</v>
      </c>
      <c r="B494" t="s">
        <v>4</v>
      </c>
      <c r="C494" t="s">
        <v>80</v>
      </c>
      <c r="D494" t="s">
        <v>262</v>
      </c>
      <c r="E494" t="s">
        <v>81</v>
      </c>
    </row>
    <row r="495" spans="1:5">
      <c r="A495" t="s">
        <v>236</v>
      </c>
      <c r="B495" t="s">
        <v>4</v>
      </c>
      <c r="C495" t="s">
        <v>80</v>
      </c>
      <c r="D495" t="s">
        <v>262</v>
      </c>
      <c r="E495" t="s">
        <v>81</v>
      </c>
    </row>
    <row r="496" spans="1:5">
      <c r="A496" t="s">
        <v>1</v>
      </c>
      <c r="B496" t="s">
        <v>4</v>
      </c>
      <c r="C496" t="s">
        <v>82</v>
      </c>
      <c r="D496" t="s">
        <v>213</v>
      </c>
      <c r="E496" t="s">
        <v>83</v>
      </c>
    </row>
    <row r="497" spans="1:5">
      <c r="A497" t="s">
        <v>1</v>
      </c>
      <c r="B497" t="s">
        <v>4</v>
      </c>
      <c r="C497" t="s">
        <v>985</v>
      </c>
      <c r="D497" t="s">
        <v>221</v>
      </c>
      <c r="E497" t="s">
        <v>986</v>
      </c>
    </row>
    <row r="498" spans="1:5">
      <c r="A498" t="s">
        <v>1</v>
      </c>
      <c r="B498" t="s">
        <v>4</v>
      </c>
      <c r="C498" t="s">
        <v>40</v>
      </c>
      <c r="D498" t="s">
        <v>213</v>
      </c>
      <c r="E498" t="s">
        <v>987</v>
      </c>
    </row>
    <row r="499" spans="1:5">
      <c r="A499" t="s">
        <v>1</v>
      </c>
      <c r="B499" t="s">
        <v>4</v>
      </c>
      <c r="C499" t="s">
        <v>84</v>
      </c>
      <c r="D499" t="s">
        <v>262</v>
      </c>
      <c r="E499" t="s">
        <v>988</v>
      </c>
    </row>
    <row r="500" spans="1:5">
      <c r="A500" t="s">
        <v>1</v>
      </c>
      <c r="B500" t="s">
        <v>4</v>
      </c>
      <c r="C500" t="s">
        <v>85</v>
      </c>
      <c r="D500" t="s">
        <v>262</v>
      </c>
      <c r="E500" t="s">
        <v>86</v>
      </c>
    </row>
    <row r="501" spans="1:5">
      <c r="A501" t="s">
        <v>1</v>
      </c>
      <c r="B501" t="s">
        <v>4</v>
      </c>
      <c r="C501" t="s">
        <v>989</v>
      </c>
      <c r="D501" t="s">
        <v>262</v>
      </c>
      <c r="E501" t="s">
        <v>990</v>
      </c>
    </row>
    <row r="502" spans="1:5">
      <c r="A502" t="s">
        <v>1</v>
      </c>
      <c r="B502" t="s">
        <v>4</v>
      </c>
      <c r="C502" t="s">
        <v>991</v>
      </c>
      <c r="D502" t="s">
        <v>262</v>
      </c>
      <c r="E502" t="s">
        <v>992</v>
      </c>
    </row>
    <row r="503" spans="1:5">
      <c r="A503" t="s">
        <v>1</v>
      </c>
      <c r="B503" t="s">
        <v>4</v>
      </c>
      <c r="C503" t="s">
        <v>87</v>
      </c>
      <c r="D503" t="s">
        <v>262</v>
      </c>
      <c r="E503" t="s">
        <v>88</v>
      </c>
    </row>
    <row r="504" spans="1:5">
      <c r="A504" t="s">
        <v>1</v>
      </c>
      <c r="B504" t="s">
        <v>4</v>
      </c>
      <c r="C504" t="s">
        <v>89</v>
      </c>
      <c r="D504" t="s">
        <v>262</v>
      </c>
      <c r="E504" t="s">
        <v>90</v>
      </c>
    </row>
    <row r="505" spans="1:5">
      <c r="A505" t="s">
        <v>1</v>
      </c>
      <c r="B505" t="s">
        <v>4</v>
      </c>
      <c r="C505" t="s">
        <v>993</v>
      </c>
      <c r="D505" t="s">
        <v>262</v>
      </c>
      <c r="E505" t="s">
        <v>994</v>
      </c>
    </row>
    <row r="506" spans="1:5">
      <c r="A506" t="s">
        <v>1</v>
      </c>
      <c r="B506" t="s">
        <v>4</v>
      </c>
      <c r="C506" t="s">
        <v>995</v>
      </c>
      <c r="D506" t="s">
        <v>262</v>
      </c>
      <c r="E506" t="s">
        <v>996</v>
      </c>
    </row>
    <row r="507" spans="1:5">
      <c r="A507" t="s">
        <v>1</v>
      </c>
      <c r="B507" t="s">
        <v>4</v>
      </c>
      <c r="C507" t="s">
        <v>91</v>
      </c>
      <c r="D507" t="s">
        <v>262</v>
      </c>
      <c r="E507" t="s">
        <v>997</v>
      </c>
    </row>
    <row r="508" spans="1:5">
      <c r="A508" t="s">
        <v>1</v>
      </c>
      <c r="B508" t="s">
        <v>4</v>
      </c>
      <c r="C508" t="s">
        <v>92</v>
      </c>
      <c r="D508" t="s">
        <v>262</v>
      </c>
      <c r="E508" t="s">
        <v>93</v>
      </c>
    </row>
    <row r="509" spans="1:5">
      <c r="A509" t="s">
        <v>1</v>
      </c>
      <c r="B509" t="s">
        <v>4</v>
      </c>
      <c r="C509" t="s">
        <v>94</v>
      </c>
      <c r="D509" t="s">
        <v>221</v>
      </c>
      <c r="E509" t="s">
        <v>95</v>
      </c>
    </row>
    <row r="510" spans="1:5">
      <c r="A510" t="s">
        <v>236</v>
      </c>
      <c r="B510" t="s">
        <v>4</v>
      </c>
      <c r="C510" t="s">
        <v>94</v>
      </c>
      <c r="D510" t="s">
        <v>221</v>
      </c>
      <c r="E510" t="s">
        <v>95</v>
      </c>
    </row>
    <row r="511" spans="1:5">
      <c r="A511" t="s">
        <v>1</v>
      </c>
      <c r="B511" t="s">
        <v>4</v>
      </c>
      <c r="C511" t="s">
        <v>5</v>
      </c>
      <c r="D511" t="s">
        <v>221</v>
      </c>
      <c r="E511" t="s">
        <v>998</v>
      </c>
    </row>
    <row r="512" spans="1:5">
      <c r="A512" t="s">
        <v>236</v>
      </c>
      <c r="B512" t="s">
        <v>1325</v>
      </c>
      <c r="C512" t="s">
        <v>5</v>
      </c>
      <c r="D512" t="s">
        <v>221</v>
      </c>
      <c r="E512" t="s">
        <v>998</v>
      </c>
    </row>
    <row r="513" spans="1:5">
      <c r="A513" t="s">
        <v>1</v>
      </c>
      <c r="B513" t="s">
        <v>4</v>
      </c>
      <c r="C513" t="s">
        <v>96</v>
      </c>
      <c r="D513" t="s">
        <v>262</v>
      </c>
      <c r="E513" t="s">
        <v>97</v>
      </c>
    </row>
    <row r="514" spans="1:5">
      <c r="A514" t="s">
        <v>1</v>
      </c>
      <c r="B514" t="s">
        <v>4</v>
      </c>
      <c r="C514" t="s">
        <v>98</v>
      </c>
      <c r="D514" t="s">
        <v>262</v>
      </c>
      <c r="E514" t="s">
        <v>99</v>
      </c>
    </row>
    <row r="515" spans="1:5">
      <c r="A515" t="s">
        <v>1</v>
      </c>
      <c r="B515" t="s">
        <v>4</v>
      </c>
      <c r="C515" t="s">
        <v>999</v>
      </c>
      <c r="D515" t="s">
        <v>262</v>
      </c>
      <c r="E515" t="s">
        <v>1000</v>
      </c>
    </row>
    <row r="516" spans="1:5">
      <c r="A516" t="s">
        <v>236</v>
      </c>
      <c r="B516" t="s">
        <v>4</v>
      </c>
      <c r="C516" t="s">
        <v>999</v>
      </c>
      <c r="D516" t="s">
        <v>262</v>
      </c>
      <c r="E516" t="s">
        <v>1000</v>
      </c>
    </row>
    <row r="517" spans="1:5">
      <c r="A517" t="s">
        <v>1</v>
      </c>
      <c r="B517" t="s">
        <v>4</v>
      </c>
      <c r="C517" t="s">
        <v>1001</v>
      </c>
      <c r="D517" t="s">
        <v>262</v>
      </c>
      <c r="E517" t="s">
        <v>1002</v>
      </c>
    </row>
    <row r="518" spans="1:5">
      <c r="A518" t="s">
        <v>236</v>
      </c>
      <c r="B518" t="s">
        <v>4</v>
      </c>
      <c r="C518" t="s">
        <v>1001</v>
      </c>
      <c r="D518" t="s">
        <v>262</v>
      </c>
      <c r="E518" t="s">
        <v>1002</v>
      </c>
    </row>
    <row r="519" spans="1:5">
      <c r="A519" t="s">
        <v>1</v>
      </c>
      <c r="B519" t="s">
        <v>4</v>
      </c>
      <c r="C519" t="s">
        <v>100</v>
      </c>
      <c r="D519" t="s">
        <v>213</v>
      </c>
      <c r="E519" t="s">
        <v>101</v>
      </c>
    </row>
    <row r="520" spans="1:5">
      <c r="A520" t="s">
        <v>1</v>
      </c>
      <c r="B520" t="s">
        <v>4</v>
      </c>
      <c r="C520" t="s">
        <v>102</v>
      </c>
      <c r="D520" t="s">
        <v>213</v>
      </c>
      <c r="E520" t="s">
        <v>103</v>
      </c>
    </row>
    <row r="521" spans="1:5">
      <c r="A521" t="s">
        <v>236</v>
      </c>
      <c r="B521" t="s">
        <v>4</v>
      </c>
      <c r="C521" t="s">
        <v>104</v>
      </c>
      <c r="D521" t="s">
        <v>218</v>
      </c>
      <c r="E521" t="s">
        <v>105</v>
      </c>
    </row>
    <row r="522" spans="1:5">
      <c r="A522" t="s">
        <v>1</v>
      </c>
      <c r="B522" t="s">
        <v>4</v>
      </c>
      <c r="C522" t="s">
        <v>1003</v>
      </c>
      <c r="D522" t="s">
        <v>754</v>
      </c>
      <c r="E522" t="s">
        <v>1004</v>
      </c>
    </row>
    <row r="523" spans="1:5">
      <c r="A523" t="s">
        <v>1</v>
      </c>
      <c r="B523" t="s">
        <v>4</v>
      </c>
      <c r="C523" t="s">
        <v>106</v>
      </c>
      <c r="D523" t="s">
        <v>754</v>
      </c>
      <c r="E523" t="s">
        <v>107</v>
      </c>
    </row>
    <row r="524" spans="1:5">
      <c r="A524" t="s">
        <v>1</v>
      </c>
      <c r="B524" t="s">
        <v>4</v>
      </c>
      <c r="C524" t="s">
        <v>1005</v>
      </c>
      <c r="D524" t="s">
        <v>221</v>
      </c>
      <c r="E524" t="s">
        <v>1006</v>
      </c>
    </row>
    <row r="525" spans="1:5">
      <c r="A525" t="s">
        <v>1</v>
      </c>
      <c r="B525" t="s">
        <v>4</v>
      </c>
      <c r="C525" t="s">
        <v>1007</v>
      </c>
      <c r="D525" t="s">
        <v>221</v>
      </c>
      <c r="E525" t="s">
        <v>1008</v>
      </c>
    </row>
    <row r="526" spans="1:5">
      <c r="A526" t="s">
        <v>1</v>
      </c>
      <c r="B526" t="s">
        <v>4</v>
      </c>
      <c r="C526" t="s">
        <v>108</v>
      </c>
      <c r="D526" t="s">
        <v>218</v>
      </c>
      <c r="E526" t="s">
        <v>109</v>
      </c>
    </row>
    <row r="527" spans="1:5">
      <c r="A527" t="s">
        <v>236</v>
      </c>
      <c r="B527" t="s">
        <v>4</v>
      </c>
      <c r="C527" t="s">
        <v>108</v>
      </c>
      <c r="D527" t="s">
        <v>218</v>
      </c>
      <c r="E527" t="s">
        <v>109</v>
      </c>
    </row>
    <row r="528" spans="1:5">
      <c r="A528" t="s">
        <v>1</v>
      </c>
      <c r="B528" t="s">
        <v>4</v>
      </c>
      <c r="C528" t="s">
        <v>110</v>
      </c>
      <c r="D528" t="s">
        <v>262</v>
      </c>
      <c r="E528" t="s">
        <v>111</v>
      </c>
    </row>
    <row r="529" spans="1:5">
      <c r="A529" t="s">
        <v>1</v>
      </c>
      <c r="B529" t="s">
        <v>4</v>
      </c>
      <c r="C529" t="s">
        <v>112</v>
      </c>
      <c r="D529" t="s">
        <v>262</v>
      </c>
      <c r="E529" t="s">
        <v>113</v>
      </c>
    </row>
    <row r="530" spans="1:5">
      <c r="A530" t="s">
        <v>1</v>
      </c>
      <c r="B530" t="s">
        <v>4</v>
      </c>
      <c r="C530" t="s">
        <v>1009</v>
      </c>
      <c r="D530" t="s">
        <v>221</v>
      </c>
      <c r="E530" t="s">
        <v>1010</v>
      </c>
    </row>
    <row r="531" spans="1:5">
      <c r="A531" t="s">
        <v>236</v>
      </c>
      <c r="B531" t="s">
        <v>4</v>
      </c>
      <c r="C531" t="s">
        <v>1009</v>
      </c>
      <c r="D531" t="s">
        <v>221</v>
      </c>
      <c r="E531" t="s">
        <v>1010</v>
      </c>
    </row>
    <row r="532" spans="1:5">
      <c r="A532" t="s">
        <v>1</v>
      </c>
      <c r="B532" t="s">
        <v>4</v>
      </c>
      <c r="C532" t="s">
        <v>114</v>
      </c>
      <c r="D532" t="s">
        <v>262</v>
      </c>
      <c r="E532" t="s">
        <v>115</v>
      </c>
    </row>
    <row r="533" spans="1:5">
      <c r="A533" t="s">
        <v>236</v>
      </c>
      <c r="B533" t="s">
        <v>4</v>
      </c>
      <c r="C533" t="s">
        <v>114</v>
      </c>
      <c r="D533" t="s">
        <v>262</v>
      </c>
      <c r="E533" t="s">
        <v>115</v>
      </c>
    </row>
    <row r="534" spans="1:5">
      <c r="A534" t="s">
        <v>1</v>
      </c>
      <c r="B534" t="s">
        <v>4</v>
      </c>
      <c r="C534" t="s">
        <v>116</v>
      </c>
      <c r="D534" t="s">
        <v>507</v>
      </c>
      <c r="E534" t="s">
        <v>117</v>
      </c>
    </row>
    <row r="535" spans="1:5">
      <c r="A535" t="s">
        <v>236</v>
      </c>
      <c r="B535" t="s">
        <v>4</v>
      </c>
      <c r="C535" t="s">
        <v>116</v>
      </c>
      <c r="D535" t="s">
        <v>507</v>
      </c>
      <c r="E535" t="s">
        <v>117</v>
      </c>
    </row>
    <row r="536" spans="1:5">
      <c r="A536" t="s">
        <v>1</v>
      </c>
      <c r="B536" t="s">
        <v>4</v>
      </c>
      <c r="C536" t="s">
        <v>1011</v>
      </c>
      <c r="D536" t="s">
        <v>221</v>
      </c>
      <c r="E536" t="s">
        <v>1012</v>
      </c>
    </row>
    <row r="537" spans="1:5">
      <c r="A537" t="s">
        <v>1</v>
      </c>
      <c r="B537" t="s">
        <v>4</v>
      </c>
      <c r="C537" t="s">
        <v>1013</v>
      </c>
      <c r="D537" t="s">
        <v>221</v>
      </c>
      <c r="E537" t="s">
        <v>1014</v>
      </c>
    </row>
    <row r="538" spans="1:5">
      <c r="A538" t="s">
        <v>1</v>
      </c>
      <c r="B538" t="s">
        <v>4</v>
      </c>
      <c r="C538" t="s">
        <v>118</v>
      </c>
      <c r="D538" t="s">
        <v>262</v>
      </c>
      <c r="E538" t="s">
        <v>1015</v>
      </c>
    </row>
    <row r="539" spans="1:5">
      <c r="A539" t="s">
        <v>1</v>
      </c>
      <c r="B539" t="s">
        <v>4</v>
      </c>
      <c r="C539" t="s">
        <v>119</v>
      </c>
      <c r="D539" t="s">
        <v>262</v>
      </c>
      <c r="E539" t="s">
        <v>120</v>
      </c>
    </row>
    <row r="540" spans="1:5">
      <c r="A540" t="s">
        <v>1</v>
      </c>
      <c r="B540" t="s">
        <v>4</v>
      </c>
      <c r="C540" t="s">
        <v>121</v>
      </c>
      <c r="D540" t="s">
        <v>262</v>
      </c>
      <c r="E540" t="s">
        <v>122</v>
      </c>
    </row>
    <row r="541" spans="1:5">
      <c r="A541" t="s">
        <v>1</v>
      </c>
      <c r="B541" t="s">
        <v>4</v>
      </c>
      <c r="C541" t="s">
        <v>123</v>
      </c>
      <c r="D541" t="s">
        <v>262</v>
      </c>
      <c r="E541" t="s">
        <v>124</v>
      </c>
    </row>
    <row r="542" spans="1:5">
      <c r="A542" t="s">
        <v>1</v>
      </c>
      <c r="B542" t="s">
        <v>4</v>
      </c>
      <c r="C542" t="s">
        <v>125</v>
      </c>
      <c r="D542" t="s">
        <v>262</v>
      </c>
      <c r="E542" t="s">
        <v>126</v>
      </c>
    </row>
    <row r="543" spans="1:5">
      <c r="A543" t="s">
        <v>1</v>
      </c>
      <c r="B543" t="s">
        <v>4</v>
      </c>
      <c r="C543" t="s">
        <v>127</v>
      </c>
      <c r="D543" t="s">
        <v>221</v>
      </c>
      <c r="E543" t="s">
        <v>128</v>
      </c>
    </row>
    <row r="544" spans="1:5">
      <c r="A544" t="s">
        <v>1</v>
      </c>
      <c r="B544" t="s">
        <v>4</v>
      </c>
      <c r="C544" t="s">
        <v>1016</v>
      </c>
      <c r="D544" t="s">
        <v>213</v>
      </c>
      <c r="E544" t="s">
        <v>1017</v>
      </c>
    </row>
    <row r="545" spans="1:5">
      <c r="A545" t="s">
        <v>1</v>
      </c>
      <c r="B545" t="s">
        <v>4</v>
      </c>
      <c r="C545" t="s">
        <v>129</v>
      </c>
      <c r="D545" t="s">
        <v>221</v>
      </c>
      <c r="E545" t="s">
        <v>1018</v>
      </c>
    </row>
    <row r="546" spans="1:5">
      <c r="A546" t="s">
        <v>236</v>
      </c>
      <c r="B546" t="s">
        <v>4</v>
      </c>
      <c r="C546" t="s">
        <v>129</v>
      </c>
      <c r="D546" t="s">
        <v>221</v>
      </c>
      <c r="E546" t="s">
        <v>1018</v>
      </c>
    </row>
    <row r="547" spans="1:5">
      <c r="A547" t="s">
        <v>1</v>
      </c>
      <c r="B547" t="s">
        <v>4</v>
      </c>
      <c r="C547" t="s">
        <v>130</v>
      </c>
      <c r="D547" t="s">
        <v>221</v>
      </c>
      <c r="E547" t="s">
        <v>131</v>
      </c>
    </row>
    <row r="548" spans="1:5">
      <c r="A548" t="s">
        <v>1</v>
      </c>
      <c r="B548" t="s">
        <v>4</v>
      </c>
      <c r="C548" t="s">
        <v>1019</v>
      </c>
      <c r="D548" t="s">
        <v>213</v>
      </c>
      <c r="E548" t="s">
        <v>1020</v>
      </c>
    </row>
    <row r="549" spans="1:5">
      <c r="A549" t="s">
        <v>1</v>
      </c>
      <c r="B549" t="s">
        <v>4</v>
      </c>
      <c r="C549" t="s">
        <v>132</v>
      </c>
      <c r="D549" t="s">
        <v>209</v>
      </c>
      <c r="E549" t="s">
        <v>1021</v>
      </c>
    </row>
    <row r="550" spans="1:5">
      <c r="A550" t="s">
        <v>1</v>
      </c>
      <c r="B550" t="s">
        <v>4</v>
      </c>
      <c r="C550" t="s">
        <v>133</v>
      </c>
      <c r="D550" t="s">
        <v>213</v>
      </c>
      <c r="E550" t="s">
        <v>134</v>
      </c>
    </row>
    <row r="551" spans="1:5">
      <c r="A551" t="s">
        <v>236</v>
      </c>
      <c r="B551" t="s">
        <v>4</v>
      </c>
      <c r="C551" t="s">
        <v>133</v>
      </c>
      <c r="D551" t="s">
        <v>213</v>
      </c>
      <c r="E551" t="s">
        <v>134</v>
      </c>
    </row>
    <row r="552" spans="1:5">
      <c r="A552" t="s">
        <v>1</v>
      </c>
      <c r="B552" t="s">
        <v>4</v>
      </c>
      <c r="C552" t="s">
        <v>135</v>
      </c>
      <c r="D552" t="s">
        <v>218</v>
      </c>
      <c r="E552" t="s">
        <v>136</v>
      </c>
    </row>
    <row r="553" spans="1:5">
      <c r="A553" t="s">
        <v>236</v>
      </c>
      <c r="B553" t="s">
        <v>4</v>
      </c>
      <c r="C553" t="s">
        <v>135</v>
      </c>
      <c r="D553" t="s">
        <v>218</v>
      </c>
      <c r="E553" t="s">
        <v>136</v>
      </c>
    </row>
    <row r="554" spans="1:5">
      <c r="A554" t="s">
        <v>1</v>
      </c>
      <c r="B554" t="s">
        <v>4</v>
      </c>
      <c r="C554" t="s">
        <v>137</v>
      </c>
      <c r="D554" t="s">
        <v>218</v>
      </c>
      <c r="E554" t="s">
        <v>138</v>
      </c>
    </row>
    <row r="555" spans="1:5">
      <c r="A555" t="s">
        <v>236</v>
      </c>
      <c r="B555" t="s">
        <v>4</v>
      </c>
      <c r="C555" t="s">
        <v>137</v>
      </c>
      <c r="D555" t="s">
        <v>218</v>
      </c>
      <c r="E555" t="s">
        <v>138</v>
      </c>
    </row>
    <row r="556" spans="1:5">
      <c r="A556" t="s">
        <v>1</v>
      </c>
      <c r="B556" t="s">
        <v>4</v>
      </c>
      <c r="C556" t="s">
        <v>139</v>
      </c>
      <c r="D556" t="s">
        <v>213</v>
      </c>
      <c r="E556" t="s">
        <v>140</v>
      </c>
    </row>
    <row r="557" spans="1:5">
      <c r="A557" t="s">
        <v>1</v>
      </c>
      <c r="B557" t="s">
        <v>4</v>
      </c>
      <c r="C557" t="s">
        <v>1022</v>
      </c>
      <c r="D557" t="s">
        <v>213</v>
      </c>
      <c r="E557" t="s">
        <v>1023</v>
      </c>
    </row>
    <row r="558" spans="1:5">
      <c r="A558" t="s">
        <v>1</v>
      </c>
      <c r="B558" t="s">
        <v>4</v>
      </c>
      <c r="C558" t="s">
        <v>141</v>
      </c>
      <c r="D558" t="s">
        <v>213</v>
      </c>
      <c r="E558" t="s">
        <v>142</v>
      </c>
    </row>
    <row r="559" spans="1:5">
      <c r="A559" t="s">
        <v>1</v>
      </c>
      <c r="B559" t="s">
        <v>4</v>
      </c>
      <c r="C559" t="s">
        <v>1024</v>
      </c>
      <c r="D559" t="s">
        <v>262</v>
      </c>
      <c r="E559" t="s">
        <v>1025</v>
      </c>
    </row>
    <row r="560" spans="1:5">
      <c r="A560" t="s">
        <v>1</v>
      </c>
      <c r="B560" t="s">
        <v>4</v>
      </c>
      <c r="C560" t="s">
        <v>1026</v>
      </c>
      <c r="D560" t="s">
        <v>262</v>
      </c>
      <c r="E560" t="s">
        <v>1027</v>
      </c>
    </row>
    <row r="561" spans="1:5">
      <c r="A561" t="s">
        <v>1</v>
      </c>
      <c r="B561" t="s">
        <v>4</v>
      </c>
      <c r="C561" t="s">
        <v>1028</v>
      </c>
      <c r="D561" t="s">
        <v>262</v>
      </c>
      <c r="E561" t="s">
        <v>1029</v>
      </c>
    </row>
    <row r="562" spans="1:5">
      <c r="A562" t="s">
        <v>1</v>
      </c>
      <c r="B562" t="s">
        <v>4</v>
      </c>
      <c r="C562" t="s">
        <v>1030</v>
      </c>
      <c r="D562" t="s">
        <v>262</v>
      </c>
      <c r="E562" t="s">
        <v>1031</v>
      </c>
    </row>
    <row r="563" spans="1:5">
      <c r="A563" t="s">
        <v>1</v>
      </c>
      <c r="B563" t="s">
        <v>4</v>
      </c>
      <c r="C563" t="s">
        <v>1032</v>
      </c>
      <c r="D563" t="s">
        <v>262</v>
      </c>
      <c r="E563" t="s">
        <v>1033</v>
      </c>
    </row>
    <row r="564" spans="1:5">
      <c r="A564" t="s">
        <v>1</v>
      </c>
      <c r="B564" t="s">
        <v>4</v>
      </c>
      <c r="C564" t="s">
        <v>1034</v>
      </c>
      <c r="D564" t="s">
        <v>262</v>
      </c>
      <c r="E564" t="s">
        <v>1035</v>
      </c>
    </row>
    <row r="565" spans="1:5">
      <c r="A565" t="s">
        <v>1</v>
      </c>
      <c r="B565" t="s">
        <v>4</v>
      </c>
      <c r="C565" t="s">
        <v>1036</v>
      </c>
      <c r="D565" t="s">
        <v>262</v>
      </c>
      <c r="E565" t="s">
        <v>1037</v>
      </c>
    </row>
    <row r="566" spans="1:5">
      <c r="A566" t="s">
        <v>1</v>
      </c>
      <c r="B566" t="s">
        <v>4</v>
      </c>
      <c r="C566" t="s">
        <v>1038</v>
      </c>
      <c r="D566" t="s">
        <v>262</v>
      </c>
      <c r="E566" t="s">
        <v>1039</v>
      </c>
    </row>
    <row r="567" spans="1:5">
      <c r="A567" t="s">
        <v>1</v>
      </c>
      <c r="B567" t="s">
        <v>4</v>
      </c>
      <c r="C567" t="s">
        <v>1040</v>
      </c>
      <c r="D567" t="s">
        <v>262</v>
      </c>
      <c r="E567" t="s">
        <v>1041</v>
      </c>
    </row>
    <row r="568" spans="1:5">
      <c r="A568" t="s">
        <v>1</v>
      </c>
      <c r="B568" t="s">
        <v>4</v>
      </c>
      <c r="C568" t="s">
        <v>1042</v>
      </c>
      <c r="D568" t="s">
        <v>262</v>
      </c>
      <c r="E568" t="s">
        <v>1043</v>
      </c>
    </row>
    <row r="569" spans="1:5">
      <c r="A569" t="s">
        <v>1</v>
      </c>
      <c r="B569" t="s">
        <v>4</v>
      </c>
      <c r="C569" t="s">
        <v>143</v>
      </c>
      <c r="D569" t="s">
        <v>221</v>
      </c>
      <c r="E569" t="s">
        <v>1044</v>
      </c>
    </row>
    <row r="570" spans="1:5">
      <c r="A570" t="s">
        <v>1</v>
      </c>
      <c r="B570" t="s">
        <v>4</v>
      </c>
      <c r="C570" t="s">
        <v>1045</v>
      </c>
      <c r="D570" t="s">
        <v>262</v>
      </c>
      <c r="E570" t="s">
        <v>1046</v>
      </c>
    </row>
    <row r="571" spans="1:5">
      <c r="A571" t="s">
        <v>1</v>
      </c>
      <c r="B571" t="s">
        <v>4</v>
      </c>
      <c r="C571" t="s">
        <v>1047</v>
      </c>
      <c r="D571" t="s">
        <v>262</v>
      </c>
      <c r="E571" t="s">
        <v>1048</v>
      </c>
    </row>
    <row r="572" spans="1:5">
      <c r="A572" t="s">
        <v>1</v>
      </c>
      <c r="B572" t="s">
        <v>4</v>
      </c>
      <c r="C572" t="s">
        <v>1049</v>
      </c>
      <c r="D572" t="s">
        <v>262</v>
      </c>
      <c r="E572" t="s">
        <v>1050</v>
      </c>
    </row>
    <row r="573" spans="1:5">
      <c r="A573" t="s">
        <v>1</v>
      </c>
      <c r="B573" t="s">
        <v>4</v>
      </c>
      <c r="C573" t="s">
        <v>1051</v>
      </c>
      <c r="D573" t="s">
        <v>262</v>
      </c>
      <c r="E573" t="s">
        <v>1052</v>
      </c>
    </row>
    <row r="574" spans="1:5">
      <c r="A574" t="s">
        <v>1</v>
      </c>
      <c r="B574" t="s">
        <v>4</v>
      </c>
      <c r="C574" t="s">
        <v>144</v>
      </c>
      <c r="D574" t="s">
        <v>209</v>
      </c>
      <c r="E574" t="s">
        <v>145</v>
      </c>
    </row>
    <row r="575" spans="1:5">
      <c r="A575" t="s">
        <v>1</v>
      </c>
      <c r="B575" t="s">
        <v>4</v>
      </c>
      <c r="C575" t="s">
        <v>146</v>
      </c>
      <c r="D575" t="s">
        <v>221</v>
      </c>
      <c r="E575" t="s">
        <v>147</v>
      </c>
    </row>
    <row r="576" spans="1:5">
      <c r="A576" t="s">
        <v>1</v>
      </c>
      <c r="B576" t="s">
        <v>4</v>
      </c>
      <c r="C576" t="s">
        <v>1053</v>
      </c>
      <c r="D576" t="s">
        <v>213</v>
      </c>
      <c r="E576" t="s">
        <v>1054</v>
      </c>
    </row>
    <row r="577" spans="1:5">
      <c r="A577" t="s">
        <v>1</v>
      </c>
      <c r="B577" t="s">
        <v>4</v>
      </c>
      <c r="C577" t="s">
        <v>1055</v>
      </c>
      <c r="D577" t="s">
        <v>213</v>
      </c>
      <c r="E577" t="s">
        <v>1056</v>
      </c>
    </row>
    <row r="578" spans="1:5">
      <c r="A578" t="s">
        <v>1</v>
      </c>
      <c r="B578" t="s">
        <v>4</v>
      </c>
      <c r="C578" t="s">
        <v>1057</v>
      </c>
      <c r="D578" t="s">
        <v>221</v>
      </c>
      <c r="E578" t="s">
        <v>1058</v>
      </c>
    </row>
    <row r="579" spans="1:5">
      <c r="A579" t="s">
        <v>1</v>
      </c>
      <c r="B579" t="s">
        <v>4</v>
      </c>
      <c r="C579" t="s">
        <v>148</v>
      </c>
      <c r="D579" t="s">
        <v>221</v>
      </c>
      <c r="E579" t="s">
        <v>1059</v>
      </c>
    </row>
    <row r="580" spans="1:5">
      <c r="A580" t="s">
        <v>1</v>
      </c>
      <c r="B580" t="s">
        <v>4</v>
      </c>
      <c r="C580" t="s">
        <v>149</v>
      </c>
      <c r="D580" t="s">
        <v>262</v>
      </c>
      <c r="E580" t="s">
        <v>150</v>
      </c>
    </row>
    <row r="581" spans="1:5">
      <c r="A581" t="s">
        <v>1</v>
      </c>
      <c r="B581" t="s">
        <v>4</v>
      </c>
      <c r="C581" t="s">
        <v>1060</v>
      </c>
      <c r="D581" t="s">
        <v>262</v>
      </c>
      <c r="E581" t="s">
        <v>1061</v>
      </c>
    </row>
    <row r="582" spans="1:5">
      <c r="A582" t="s">
        <v>1</v>
      </c>
      <c r="B582" t="s">
        <v>4</v>
      </c>
      <c r="C582" t="s">
        <v>151</v>
      </c>
      <c r="D582" t="s">
        <v>221</v>
      </c>
      <c r="E582" t="s">
        <v>152</v>
      </c>
    </row>
    <row r="583" spans="1:5">
      <c r="A583" t="s">
        <v>236</v>
      </c>
      <c r="B583" t="s">
        <v>4</v>
      </c>
      <c r="C583" t="s">
        <v>151</v>
      </c>
      <c r="D583" t="s">
        <v>221</v>
      </c>
      <c r="E583" t="s">
        <v>152</v>
      </c>
    </row>
    <row r="584" spans="1:5">
      <c r="A584" t="s">
        <v>1</v>
      </c>
      <c r="B584" t="s">
        <v>4</v>
      </c>
      <c r="C584" t="s">
        <v>1062</v>
      </c>
      <c r="D584" t="s">
        <v>221</v>
      </c>
      <c r="E584" t="s">
        <v>1063</v>
      </c>
    </row>
    <row r="585" spans="1:5">
      <c r="A585" t="s">
        <v>1</v>
      </c>
      <c r="B585" t="s">
        <v>4</v>
      </c>
      <c r="C585" t="s">
        <v>153</v>
      </c>
      <c r="D585" t="s">
        <v>221</v>
      </c>
      <c r="E585" t="s">
        <v>154</v>
      </c>
    </row>
    <row r="586" spans="1:5">
      <c r="A586" t="s">
        <v>1</v>
      </c>
      <c r="B586" t="s">
        <v>4</v>
      </c>
      <c r="C586" t="s">
        <v>1064</v>
      </c>
      <c r="D586" t="s">
        <v>221</v>
      </c>
      <c r="E586" t="s">
        <v>1065</v>
      </c>
    </row>
    <row r="587" spans="1:5">
      <c r="A587" t="s">
        <v>1</v>
      </c>
      <c r="B587" t="s">
        <v>4</v>
      </c>
      <c r="C587" t="s">
        <v>1066</v>
      </c>
      <c r="D587" t="s">
        <v>221</v>
      </c>
      <c r="E587" t="s">
        <v>1067</v>
      </c>
    </row>
    <row r="588" spans="1:5">
      <c r="A588" t="s">
        <v>1</v>
      </c>
      <c r="B588" t="s">
        <v>4</v>
      </c>
      <c r="C588" t="s">
        <v>155</v>
      </c>
      <c r="D588" t="s">
        <v>221</v>
      </c>
      <c r="E588" t="s">
        <v>156</v>
      </c>
    </row>
    <row r="589" spans="1:5">
      <c r="A589" t="s">
        <v>1</v>
      </c>
      <c r="B589" t="s">
        <v>4</v>
      </c>
      <c r="C589" t="s">
        <v>1068</v>
      </c>
      <c r="D589" t="s">
        <v>221</v>
      </c>
      <c r="E589" t="s">
        <v>1069</v>
      </c>
    </row>
    <row r="590" spans="1:5">
      <c r="A590" t="s">
        <v>1</v>
      </c>
      <c r="B590" t="s">
        <v>4</v>
      </c>
      <c r="C590" t="s">
        <v>157</v>
      </c>
      <c r="D590" t="s">
        <v>221</v>
      </c>
      <c r="E590" t="s">
        <v>158</v>
      </c>
    </row>
    <row r="591" spans="1:5">
      <c r="A591" t="s">
        <v>1</v>
      </c>
      <c r="B591" t="s">
        <v>4</v>
      </c>
      <c r="C591" t="s">
        <v>1070</v>
      </c>
      <c r="D591" t="s">
        <v>213</v>
      </c>
      <c r="E591" t="s">
        <v>1071</v>
      </c>
    </row>
    <row r="592" spans="1:5">
      <c r="A592" t="s">
        <v>1</v>
      </c>
      <c r="B592" t="s">
        <v>4</v>
      </c>
      <c r="C592" t="s">
        <v>159</v>
      </c>
      <c r="D592" t="s">
        <v>262</v>
      </c>
      <c r="E592" t="s">
        <v>160</v>
      </c>
    </row>
    <row r="593" spans="1:5">
      <c r="A593" t="s">
        <v>1</v>
      </c>
      <c r="B593" t="s">
        <v>4</v>
      </c>
      <c r="C593" t="s">
        <v>161</v>
      </c>
      <c r="D593" t="s">
        <v>262</v>
      </c>
      <c r="E593" t="s">
        <v>162</v>
      </c>
    </row>
    <row r="594" spans="1:5">
      <c r="A594" t="s">
        <v>1</v>
      </c>
      <c r="B594" t="s">
        <v>4</v>
      </c>
      <c r="C594" t="s">
        <v>163</v>
      </c>
      <c r="D594" t="s">
        <v>262</v>
      </c>
      <c r="E594" t="s">
        <v>164</v>
      </c>
    </row>
    <row r="595" spans="1:5">
      <c r="A595" t="s">
        <v>236</v>
      </c>
      <c r="B595" t="s">
        <v>4</v>
      </c>
      <c r="C595" t="s">
        <v>163</v>
      </c>
      <c r="D595" t="s">
        <v>262</v>
      </c>
      <c r="E595" t="s">
        <v>164</v>
      </c>
    </row>
    <row r="596" spans="1:5">
      <c r="A596" t="s">
        <v>1</v>
      </c>
      <c r="B596" t="s">
        <v>4</v>
      </c>
      <c r="C596" t="s">
        <v>165</v>
      </c>
      <c r="D596" t="s">
        <v>262</v>
      </c>
      <c r="E596" t="s">
        <v>166</v>
      </c>
    </row>
    <row r="597" spans="1:5">
      <c r="A597" t="s">
        <v>236</v>
      </c>
      <c r="B597" t="s">
        <v>4</v>
      </c>
      <c r="C597" t="s">
        <v>165</v>
      </c>
      <c r="D597" t="s">
        <v>262</v>
      </c>
      <c r="E597" t="s">
        <v>166</v>
      </c>
    </row>
    <row r="598" spans="1:5">
      <c r="A598" t="s">
        <v>1</v>
      </c>
      <c r="B598" t="s">
        <v>4</v>
      </c>
      <c r="C598" t="s">
        <v>1072</v>
      </c>
      <c r="D598" t="s">
        <v>262</v>
      </c>
      <c r="E598" t="s">
        <v>1073</v>
      </c>
    </row>
    <row r="599" spans="1:5">
      <c r="A599" t="s">
        <v>236</v>
      </c>
      <c r="B599" t="s">
        <v>4</v>
      </c>
      <c r="C599" t="s">
        <v>1072</v>
      </c>
      <c r="D599" t="s">
        <v>262</v>
      </c>
      <c r="E599" t="s">
        <v>1073</v>
      </c>
    </row>
    <row r="600" spans="1:5">
      <c r="A600" t="s">
        <v>1</v>
      </c>
      <c r="B600" t="s">
        <v>4</v>
      </c>
      <c r="C600" t="s">
        <v>1074</v>
      </c>
      <c r="D600" t="s">
        <v>262</v>
      </c>
      <c r="E600" t="s">
        <v>1075</v>
      </c>
    </row>
    <row r="601" spans="1:5">
      <c r="A601" t="s">
        <v>236</v>
      </c>
      <c r="B601" t="s">
        <v>4</v>
      </c>
      <c r="C601" t="s">
        <v>1074</v>
      </c>
      <c r="D601" t="s">
        <v>262</v>
      </c>
      <c r="E601" t="s">
        <v>1075</v>
      </c>
    </row>
    <row r="602" spans="1:5">
      <c r="A602" t="s">
        <v>1</v>
      </c>
      <c r="B602" t="s">
        <v>4</v>
      </c>
      <c r="C602" t="s">
        <v>167</v>
      </c>
      <c r="D602" t="s">
        <v>262</v>
      </c>
      <c r="E602" t="s">
        <v>168</v>
      </c>
    </row>
    <row r="603" spans="1:5">
      <c r="A603" t="s">
        <v>1</v>
      </c>
      <c r="B603" t="s">
        <v>4</v>
      </c>
      <c r="C603" t="s">
        <v>169</v>
      </c>
      <c r="D603" t="s">
        <v>262</v>
      </c>
      <c r="E603" t="s">
        <v>170</v>
      </c>
    </row>
    <row r="604" spans="1:5">
      <c r="A604" t="s">
        <v>1</v>
      </c>
      <c r="B604" t="s">
        <v>4</v>
      </c>
      <c r="C604" t="s">
        <v>1076</v>
      </c>
      <c r="D604" t="s">
        <v>262</v>
      </c>
      <c r="E604" t="s">
        <v>1077</v>
      </c>
    </row>
    <row r="605" spans="1:5">
      <c r="A605" t="s">
        <v>1</v>
      </c>
      <c r="B605" t="s">
        <v>4</v>
      </c>
      <c r="C605" t="s">
        <v>1078</v>
      </c>
      <c r="D605" t="s">
        <v>262</v>
      </c>
      <c r="E605" t="s">
        <v>1079</v>
      </c>
    </row>
    <row r="606" spans="1:5">
      <c r="A606" t="s">
        <v>1</v>
      </c>
      <c r="B606" t="s">
        <v>4</v>
      </c>
      <c r="C606" t="s">
        <v>171</v>
      </c>
      <c r="D606" t="s">
        <v>209</v>
      </c>
      <c r="E606" t="s">
        <v>1080</v>
      </c>
    </row>
    <row r="607" spans="1:5">
      <c r="A607" t="s">
        <v>1</v>
      </c>
      <c r="B607" t="s">
        <v>4</v>
      </c>
      <c r="C607" t="s">
        <v>172</v>
      </c>
      <c r="D607" t="s">
        <v>221</v>
      </c>
      <c r="E607" t="s">
        <v>173</v>
      </c>
    </row>
    <row r="608" spans="1:5">
      <c r="A608" t="s">
        <v>236</v>
      </c>
      <c r="B608" t="s">
        <v>4</v>
      </c>
      <c r="C608" t="s">
        <v>172</v>
      </c>
      <c r="D608" t="s">
        <v>221</v>
      </c>
      <c r="E608" t="s">
        <v>173</v>
      </c>
    </row>
    <row r="609" spans="1:5">
      <c r="A609" t="s">
        <v>1</v>
      </c>
      <c r="B609" t="s">
        <v>4</v>
      </c>
      <c r="C609" t="s">
        <v>1081</v>
      </c>
      <c r="D609" t="s">
        <v>262</v>
      </c>
      <c r="E609" t="s">
        <v>1082</v>
      </c>
    </row>
    <row r="610" spans="1:5">
      <c r="A610" t="s">
        <v>1</v>
      </c>
      <c r="B610" t="s">
        <v>4</v>
      </c>
      <c r="C610" t="s">
        <v>1083</v>
      </c>
      <c r="D610" t="s">
        <v>262</v>
      </c>
      <c r="E610" t="s">
        <v>1084</v>
      </c>
    </row>
    <row r="611" spans="1:5">
      <c r="A611" t="s">
        <v>1</v>
      </c>
      <c r="B611" t="s">
        <v>4</v>
      </c>
      <c r="C611" t="s">
        <v>1085</v>
      </c>
      <c r="D611" t="s">
        <v>213</v>
      </c>
      <c r="E611" t="s">
        <v>1086</v>
      </c>
    </row>
    <row r="612" spans="1:5">
      <c r="A612" t="s">
        <v>1</v>
      </c>
      <c r="B612" t="s">
        <v>4</v>
      </c>
      <c r="C612" t="s">
        <v>1087</v>
      </c>
      <c r="D612" t="s">
        <v>221</v>
      </c>
      <c r="E612" t="s">
        <v>1088</v>
      </c>
    </row>
    <row r="613" spans="1:5">
      <c r="A613" t="s">
        <v>1</v>
      </c>
      <c r="B613" t="s">
        <v>4</v>
      </c>
      <c r="C613" t="s">
        <v>174</v>
      </c>
      <c r="D613" t="s">
        <v>221</v>
      </c>
      <c r="E613" t="s">
        <v>175</v>
      </c>
    </row>
    <row r="614" spans="1:5">
      <c r="A614" t="s">
        <v>236</v>
      </c>
      <c r="B614" t="s">
        <v>4</v>
      </c>
      <c r="C614" t="s">
        <v>174</v>
      </c>
      <c r="D614" t="s">
        <v>221</v>
      </c>
      <c r="E614" t="s">
        <v>175</v>
      </c>
    </row>
    <row r="615" spans="1:5">
      <c r="A615" t="s">
        <v>1</v>
      </c>
      <c r="B615" t="s">
        <v>4</v>
      </c>
      <c r="C615" t="s">
        <v>176</v>
      </c>
      <c r="D615" t="s">
        <v>262</v>
      </c>
      <c r="E615" t="s">
        <v>536</v>
      </c>
    </row>
    <row r="616" spans="1:5">
      <c r="A616" t="s">
        <v>1</v>
      </c>
      <c r="B616" t="s">
        <v>4</v>
      </c>
      <c r="C616" t="s">
        <v>177</v>
      </c>
      <c r="D616" t="s">
        <v>262</v>
      </c>
      <c r="E616" t="s">
        <v>178</v>
      </c>
    </row>
    <row r="617" spans="1:5">
      <c r="A617" t="s">
        <v>1</v>
      </c>
      <c r="B617" t="s">
        <v>4</v>
      </c>
      <c r="C617" t="s">
        <v>498</v>
      </c>
      <c r="D617" t="s">
        <v>262</v>
      </c>
      <c r="E617" t="s">
        <v>1089</v>
      </c>
    </row>
    <row r="618" spans="1:5">
      <c r="A618" t="s">
        <v>236</v>
      </c>
      <c r="B618" t="s">
        <v>4</v>
      </c>
      <c r="C618" t="s">
        <v>498</v>
      </c>
      <c r="D618" t="s">
        <v>262</v>
      </c>
      <c r="E618" t="s">
        <v>1089</v>
      </c>
    </row>
    <row r="619" spans="1:5">
      <c r="A619" t="s">
        <v>1</v>
      </c>
      <c r="B619" t="s">
        <v>4</v>
      </c>
      <c r="C619" t="s">
        <v>1090</v>
      </c>
      <c r="D619" t="s">
        <v>262</v>
      </c>
      <c r="E619" t="s">
        <v>1091</v>
      </c>
    </row>
    <row r="620" spans="1:5">
      <c r="A620" t="s">
        <v>236</v>
      </c>
      <c r="B620" t="s">
        <v>4</v>
      </c>
      <c r="C620" t="s">
        <v>1090</v>
      </c>
      <c r="D620" t="s">
        <v>262</v>
      </c>
      <c r="E620" t="s">
        <v>1091</v>
      </c>
    </row>
    <row r="621" spans="1:5">
      <c r="A621" t="s">
        <v>1</v>
      </c>
      <c r="B621" t="s">
        <v>4</v>
      </c>
      <c r="C621" t="s">
        <v>179</v>
      </c>
      <c r="D621" t="s">
        <v>213</v>
      </c>
      <c r="E621" t="s">
        <v>180</v>
      </c>
    </row>
    <row r="622" spans="1:5">
      <c r="A622" t="s">
        <v>1</v>
      </c>
      <c r="B622" t="s">
        <v>4</v>
      </c>
      <c r="C622" t="s">
        <v>1092</v>
      </c>
      <c r="D622" t="s">
        <v>262</v>
      </c>
      <c r="E622" t="s">
        <v>1093</v>
      </c>
    </row>
    <row r="623" spans="1:5">
      <c r="A623" t="s">
        <v>1</v>
      </c>
      <c r="B623" t="s">
        <v>4</v>
      </c>
      <c r="C623" t="s">
        <v>1094</v>
      </c>
      <c r="D623" t="s">
        <v>262</v>
      </c>
      <c r="E623" t="s">
        <v>1095</v>
      </c>
    </row>
    <row r="624" spans="1:5">
      <c r="A624" t="s">
        <v>1</v>
      </c>
      <c r="B624" t="s">
        <v>4</v>
      </c>
      <c r="C624" t="s">
        <v>181</v>
      </c>
      <c r="D624" t="s">
        <v>213</v>
      </c>
      <c r="E624" t="s">
        <v>182</v>
      </c>
    </row>
    <row r="625" spans="1:5">
      <c r="A625" t="s">
        <v>1</v>
      </c>
      <c r="B625" t="s">
        <v>4</v>
      </c>
      <c r="C625" t="s">
        <v>183</v>
      </c>
      <c r="D625" t="s">
        <v>209</v>
      </c>
      <c r="E625" t="s">
        <v>1096</v>
      </c>
    </row>
    <row r="626" spans="1:5">
      <c r="A626" t="s">
        <v>236</v>
      </c>
      <c r="B626" t="s">
        <v>4</v>
      </c>
      <c r="C626" t="s">
        <v>183</v>
      </c>
      <c r="D626" t="s">
        <v>209</v>
      </c>
      <c r="E626" t="s">
        <v>1096</v>
      </c>
    </row>
    <row r="627" spans="1:5">
      <c r="A627" t="s">
        <v>1</v>
      </c>
      <c r="B627" t="s">
        <v>4</v>
      </c>
      <c r="C627" t="s">
        <v>184</v>
      </c>
      <c r="D627" t="s">
        <v>221</v>
      </c>
      <c r="E627" t="s">
        <v>185</v>
      </c>
    </row>
    <row r="628" spans="1:5">
      <c r="A628" t="s">
        <v>1</v>
      </c>
      <c r="B628" t="s">
        <v>4</v>
      </c>
      <c r="C628" t="s">
        <v>186</v>
      </c>
      <c r="D628" t="s">
        <v>209</v>
      </c>
      <c r="E628" t="s">
        <v>187</v>
      </c>
    </row>
    <row r="629" spans="1:5">
      <c r="A629" t="s">
        <v>1</v>
      </c>
      <c r="B629" t="s">
        <v>4</v>
      </c>
      <c r="C629" t="s">
        <v>188</v>
      </c>
      <c r="D629" t="s">
        <v>213</v>
      </c>
      <c r="E629" t="s">
        <v>1097</v>
      </c>
    </row>
    <row r="630" spans="1:5">
      <c r="A630" t="s">
        <v>1</v>
      </c>
      <c r="B630" t="s">
        <v>4</v>
      </c>
      <c r="C630" t="s">
        <v>189</v>
      </c>
      <c r="D630" t="s">
        <v>221</v>
      </c>
      <c r="E630" t="s">
        <v>190</v>
      </c>
    </row>
    <row r="631" spans="1:5">
      <c r="A631" t="s">
        <v>236</v>
      </c>
      <c r="B631" t="s">
        <v>4</v>
      </c>
      <c r="C631" t="s">
        <v>189</v>
      </c>
      <c r="D631" t="s">
        <v>221</v>
      </c>
      <c r="E631" t="s">
        <v>190</v>
      </c>
    </row>
    <row r="632" spans="1:5">
      <c r="A632" t="s">
        <v>1</v>
      </c>
      <c r="B632" t="s">
        <v>4</v>
      </c>
      <c r="C632" t="s">
        <v>1098</v>
      </c>
      <c r="D632" t="s">
        <v>213</v>
      </c>
      <c r="E632" t="s">
        <v>1099</v>
      </c>
    </row>
    <row r="633" spans="1:5">
      <c r="A633" t="s">
        <v>1</v>
      </c>
      <c r="B633" t="s">
        <v>4</v>
      </c>
      <c r="C633" t="s">
        <v>1100</v>
      </c>
      <c r="D633" t="s">
        <v>221</v>
      </c>
      <c r="E633" t="s">
        <v>1101</v>
      </c>
    </row>
    <row r="634" spans="1:5">
      <c r="A634" t="s">
        <v>1</v>
      </c>
      <c r="B634" t="s">
        <v>4</v>
      </c>
      <c r="C634" t="s">
        <v>6</v>
      </c>
      <c r="D634" t="s">
        <v>213</v>
      </c>
      <c r="E634" t="s">
        <v>191</v>
      </c>
    </row>
    <row r="635" spans="1:5">
      <c r="A635" t="s">
        <v>236</v>
      </c>
      <c r="B635" t="s">
        <v>4</v>
      </c>
      <c r="C635" t="s">
        <v>6</v>
      </c>
      <c r="D635" t="s">
        <v>213</v>
      </c>
      <c r="E635" t="s">
        <v>191</v>
      </c>
    </row>
    <row r="636" spans="1:5">
      <c r="A636" t="s">
        <v>1</v>
      </c>
      <c r="B636" t="s">
        <v>4</v>
      </c>
      <c r="C636" t="s">
        <v>1102</v>
      </c>
      <c r="D636" t="s">
        <v>213</v>
      </c>
      <c r="E636" t="s">
        <v>1103</v>
      </c>
    </row>
    <row r="637" spans="1:5">
      <c r="A637" t="s">
        <v>1</v>
      </c>
      <c r="B637" t="s">
        <v>4</v>
      </c>
      <c r="C637" t="s">
        <v>192</v>
      </c>
      <c r="D637" t="s">
        <v>213</v>
      </c>
      <c r="E637" t="s">
        <v>193</v>
      </c>
    </row>
    <row r="638" spans="1:5">
      <c r="A638" t="s">
        <v>1</v>
      </c>
      <c r="B638" t="s">
        <v>4</v>
      </c>
      <c r="C638" t="s">
        <v>194</v>
      </c>
      <c r="D638" t="s">
        <v>213</v>
      </c>
      <c r="E638" t="s">
        <v>1104</v>
      </c>
    </row>
    <row r="639" spans="1:5">
      <c r="A639" t="s">
        <v>1</v>
      </c>
      <c r="B639" t="s">
        <v>4</v>
      </c>
      <c r="C639" t="s">
        <v>195</v>
      </c>
      <c r="D639" t="s">
        <v>213</v>
      </c>
      <c r="E639" t="s">
        <v>196</v>
      </c>
    </row>
    <row r="640" spans="1:5">
      <c r="A640" t="s">
        <v>1</v>
      </c>
      <c r="B640" t="s">
        <v>4</v>
      </c>
      <c r="C640" t="s">
        <v>1105</v>
      </c>
      <c r="D640" t="s">
        <v>221</v>
      </c>
      <c r="E640" t="s">
        <v>1106</v>
      </c>
    </row>
    <row r="641" spans="1:5">
      <c r="A641" t="s">
        <v>1</v>
      </c>
      <c r="B641" t="s">
        <v>4</v>
      </c>
      <c r="C641" t="s">
        <v>1107</v>
      </c>
      <c r="D641" t="s">
        <v>1108</v>
      </c>
      <c r="E641" t="s">
        <v>1109</v>
      </c>
    </row>
    <row r="642" spans="1:5">
      <c r="A642" t="s">
        <v>1</v>
      </c>
      <c r="B642" t="s">
        <v>4</v>
      </c>
      <c r="C642" t="s">
        <v>1110</v>
      </c>
      <c r="D642" t="s">
        <v>1108</v>
      </c>
      <c r="E642" t="s">
        <v>1111</v>
      </c>
    </row>
    <row r="643" spans="1:5">
      <c r="A643" t="s">
        <v>1</v>
      </c>
      <c r="B643" t="s">
        <v>4</v>
      </c>
      <c r="C643" t="s">
        <v>1112</v>
      </c>
      <c r="D643" t="s">
        <v>1108</v>
      </c>
      <c r="E643" t="s">
        <v>1113</v>
      </c>
    </row>
    <row r="644" spans="1:5">
      <c r="A644" t="s">
        <v>1</v>
      </c>
      <c r="B644" t="s">
        <v>4</v>
      </c>
      <c r="C644" t="s">
        <v>1114</v>
      </c>
      <c r="D644" t="s">
        <v>1108</v>
      </c>
      <c r="E644" t="s">
        <v>1115</v>
      </c>
    </row>
    <row r="645" spans="1:5">
      <c r="A645" t="s">
        <v>1</v>
      </c>
      <c r="B645" t="s">
        <v>4</v>
      </c>
      <c r="C645" t="s">
        <v>1116</v>
      </c>
      <c r="D645" t="s">
        <v>1108</v>
      </c>
      <c r="E645" t="s">
        <v>1117</v>
      </c>
    </row>
    <row r="646" spans="1:5">
      <c r="A646" t="s">
        <v>1</v>
      </c>
      <c r="B646" t="s">
        <v>4</v>
      </c>
      <c r="C646" t="s">
        <v>1118</v>
      </c>
      <c r="D646" t="s">
        <v>1108</v>
      </c>
      <c r="E646" t="s">
        <v>1119</v>
      </c>
    </row>
    <row r="647" spans="1:5">
      <c r="A647" t="s">
        <v>1</v>
      </c>
      <c r="B647" t="s">
        <v>4</v>
      </c>
      <c r="C647" t="s">
        <v>1120</v>
      </c>
      <c r="D647" t="s">
        <v>1108</v>
      </c>
      <c r="E647" t="s">
        <v>1121</v>
      </c>
    </row>
    <row r="648" spans="1:5">
      <c r="A648" t="s">
        <v>1</v>
      </c>
      <c r="B648" t="s">
        <v>4</v>
      </c>
      <c r="C648" t="s">
        <v>197</v>
      </c>
      <c r="D648" t="s">
        <v>213</v>
      </c>
      <c r="E648" t="s">
        <v>198</v>
      </c>
    </row>
    <row r="649" spans="1:5">
      <c r="A649" t="s">
        <v>1</v>
      </c>
      <c r="B649" t="s">
        <v>4</v>
      </c>
      <c r="C649" t="s">
        <v>1122</v>
      </c>
      <c r="D649" t="s">
        <v>1108</v>
      </c>
      <c r="E649" t="s">
        <v>1123</v>
      </c>
    </row>
    <row r="650" spans="1:5">
      <c r="A650" t="s">
        <v>1</v>
      </c>
      <c r="B650" t="s">
        <v>4</v>
      </c>
      <c r="C650" t="s">
        <v>1124</v>
      </c>
      <c r="D650" t="s">
        <v>1108</v>
      </c>
      <c r="E650" t="s">
        <v>1125</v>
      </c>
    </row>
    <row r="651" spans="1:5">
      <c r="A651" t="s">
        <v>1</v>
      </c>
      <c r="B651" t="s">
        <v>4</v>
      </c>
      <c r="C651" t="s">
        <v>1126</v>
      </c>
      <c r="D651" t="s">
        <v>1108</v>
      </c>
      <c r="E651" t="s">
        <v>1127</v>
      </c>
    </row>
    <row r="652" spans="1:5">
      <c r="A652" t="s">
        <v>1</v>
      </c>
      <c r="B652" t="s">
        <v>4</v>
      </c>
      <c r="C652" t="s">
        <v>1128</v>
      </c>
      <c r="D652" t="s">
        <v>1108</v>
      </c>
      <c r="E652" t="s">
        <v>1129</v>
      </c>
    </row>
    <row r="653" spans="1:5">
      <c r="A653" t="s">
        <v>1</v>
      </c>
      <c r="B653" t="s">
        <v>4</v>
      </c>
      <c r="C653" t="s">
        <v>1130</v>
      </c>
      <c r="D653" t="s">
        <v>1108</v>
      </c>
      <c r="E653" t="s">
        <v>1131</v>
      </c>
    </row>
    <row r="654" spans="1:5">
      <c r="A654" t="s">
        <v>1</v>
      </c>
      <c r="B654" t="s">
        <v>4</v>
      </c>
      <c r="C654" t="s">
        <v>1132</v>
      </c>
      <c r="D654" t="s">
        <v>1108</v>
      </c>
      <c r="E654" t="s">
        <v>1133</v>
      </c>
    </row>
    <row r="655" spans="1:5">
      <c r="A655" t="s">
        <v>1</v>
      </c>
      <c r="B655" t="s">
        <v>4</v>
      </c>
      <c r="C655" t="s">
        <v>1134</v>
      </c>
      <c r="D655" t="s">
        <v>1108</v>
      </c>
      <c r="E655" t="s">
        <v>1135</v>
      </c>
    </row>
    <row r="656" spans="1:5">
      <c r="A656" t="s">
        <v>1</v>
      </c>
      <c r="B656" t="s">
        <v>4</v>
      </c>
      <c r="C656" t="s">
        <v>1136</v>
      </c>
      <c r="D656" t="s">
        <v>1108</v>
      </c>
      <c r="E656" t="s">
        <v>1137</v>
      </c>
    </row>
    <row r="657" spans="1:5">
      <c r="A657" t="s">
        <v>1</v>
      </c>
      <c r="B657" t="s">
        <v>4</v>
      </c>
      <c r="C657" t="s">
        <v>1138</v>
      </c>
      <c r="D657" t="s">
        <v>1108</v>
      </c>
      <c r="E657" t="s">
        <v>1139</v>
      </c>
    </row>
    <row r="658" spans="1:5">
      <c r="A658" t="s">
        <v>1</v>
      </c>
      <c r="B658" t="s">
        <v>4</v>
      </c>
      <c r="C658" t="s">
        <v>1140</v>
      </c>
      <c r="D658" t="s">
        <v>1108</v>
      </c>
      <c r="E658" t="s">
        <v>1141</v>
      </c>
    </row>
    <row r="659" spans="1:5">
      <c r="A659" t="s">
        <v>1</v>
      </c>
      <c r="B659" t="s">
        <v>4</v>
      </c>
      <c r="C659" t="s">
        <v>1142</v>
      </c>
      <c r="D659" t="s">
        <v>1108</v>
      </c>
      <c r="E659" t="s">
        <v>1143</v>
      </c>
    </row>
    <row r="660" spans="1:5">
      <c r="A660" t="s">
        <v>1</v>
      </c>
      <c r="B660" t="s">
        <v>4</v>
      </c>
      <c r="C660" t="s">
        <v>1144</v>
      </c>
      <c r="D660" t="s">
        <v>1108</v>
      </c>
      <c r="E660" t="s">
        <v>1145</v>
      </c>
    </row>
    <row r="661" spans="1:5">
      <c r="A661" t="s">
        <v>1</v>
      </c>
      <c r="B661" t="s">
        <v>4</v>
      </c>
      <c r="C661" t="s">
        <v>1146</v>
      </c>
      <c r="D661" t="s">
        <v>1108</v>
      </c>
      <c r="E661" t="s">
        <v>1147</v>
      </c>
    </row>
    <row r="662" spans="1:5">
      <c r="A662" t="s">
        <v>1</v>
      </c>
      <c r="B662" t="s">
        <v>4</v>
      </c>
      <c r="C662" t="s">
        <v>1148</v>
      </c>
      <c r="D662" t="s">
        <v>1108</v>
      </c>
      <c r="E662" t="s">
        <v>1149</v>
      </c>
    </row>
    <row r="663" spans="1:5">
      <c r="A663" t="s">
        <v>1</v>
      </c>
      <c r="B663" t="s">
        <v>4</v>
      </c>
      <c r="C663" t="s">
        <v>1150</v>
      </c>
      <c r="D663" t="s">
        <v>1108</v>
      </c>
      <c r="E663" t="s">
        <v>1151</v>
      </c>
    </row>
    <row r="664" spans="1:5">
      <c r="A664" t="s">
        <v>1</v>
      </c>
      <c r="B664" t="s">
        <v>4</v>
      </c>
      <c r="C664" t="s">
        <v>1152</v>
      </c>
      <c r="D664" t="s">
        <v>1108</v>
      </c>
      <c r="E664" t="s">
        <v>1153</v>
      </c>
    </row>
    <row r="665" spans="1:5">
      <c r="A665" t="s">
        <v>1</v>
      </c>
      <c r="B665" t="s">
        <v>4</v>
      </c>
      <c r="C665" t="s">
        <v>1154</v>
      </c>
      <c r="D665" t="s">
        <v>1108</v>
      </c>
      <c r="E665" t="s">
        <v>1155</v>
      </c>
    </row>
    <row r="666" spans="1:5">
      <c r="A666" t="s">
        <v>1</v>
      </c>
      <c r="B666" t="s">
        <v>4</v>
      </c>
      <c r="C666" t="s">
        <v>1156</v>
      </c>
      <c r="D666" t="s">
        <v>1108</v>
      </c>
      <c r="E666" t="s">
        <v>1157</v>
      </c>
    </row>
    <row r="667" spans="1:5">
      <c r="A667" t="s">
        <v>1</v>
      </c>
      <c r="B667" t="s">
        <v>4</v>
      </c>
      <c r="C667" t="s">
        <v>1158</v>
      </c>
      <c r="D667" t="s">
        <v>1108</v>
      </c>
      <c r="E667" t="s">
        <v>1159</v>
      </c>
    </row>
    <row r="668" spans="1:5">
      <c r="A668" t="s">
        <v>1</v>
      </c>
      <c r="B668" t="s">
        <v>4</v>
      </c>
      <c r="C668" t="s">
        <v>1160</v>
      </c>
      <c r="D668" t="s">
        <v>1108</v>
      </c>
      <c r="E668" t="s">
        <v>1161</v>
      </c>
    </row>
    <row r="669" spans="1:5">
      <c r="A669" t="s">
        <v>1</v>
      </c>
      <c r="B669" t="s">
        <v>4</v>
      </c>
      <c r="C669" t="s">
        <v>1162</v>
      </c>
      <c r="D669" t="s">
        <v>1108</v>
      </c>
      <c r="E669" t="s">
        <v>1163</v>
      </c>
    </row>
    <row r="670" spans="1:5">
      <c r="A670" t="s">
        <v>1</v>
      </c>
      <c r="B670" t="s">
        <v>4</v>
      </c>
      <c r="C670" t="s">
        <v>1164</v>
      </c>
      <c r="D670" t="s">
        <v>1108</v>
      </c>
      <c r="E670" t="s">
        <v>1165</v>
      </c>
    </row>
    <row r="671" spans="1:5">
      <c r="A671" t="s">
        <v>1</v>
      </c>
      <c r="B671" t="s">
        <v>4</v>
      </c>
      <c r="C671" t="s">
        <v>1166</v>
      </c>
      <c r="D671" t="s">
        <v>1108</v>
      </c>
      <c r="E671" t="s">
        <v>1167</v>
      </c>
    </row>
    <row r="672" spans="1:5">
      <c r="A672" t="s">
        <v>1</v>
      </c>
      <c r="B672" t="s">
        <v>4</v>
      </c>
      <c r="C672" t="s">
        <v>1168</v>
      </c>
      <c r="D672" t="s">
        <v>1108</v>
      </c>
      <c r="E672" t="s">
        <v>1169</v>
      </c>
    </row>
    <row r="673" spans="1:5">
      <c r="A673" t="s">
        <v>1</v>
      </c>
      <c r="B673" t="s">
        <v>4</v>
      </c>
      <c r="C673" t="s">
        <v>1170</v>
      </c>
      <c r="D673" t="s">
        <v>1108</v>
      </c>
      <c r="E673" t="s">
        <v>1171</v>
      </c>
    </row>
    <row r="674" spans="1:5">
      <c r="A674" t="s">
        <v>1</v>
      </c>
      <c r="B674" t="s">
        <v>4</v>
      </c>
      <c r="C674" t="s">
        <v>1172</v>
      </c>
      <c r="D674" t="s">
        <v>1108</v>
      </c>
      <c r="E674" t="s">
        <v>1173</v>
      </c>
    </row>
    <row r="675" spans="1:5">
      <c r="A675" t="s">
        <v>1</v>
      </c>
      <c r="B675" t="s">
        <v>4</v>
      </c>
      <c r="C675" t="s">
        <v>1174</v>
      </c>
      <c r="D675" t="s">
        <v>1108</v>
      </c>
      <c r="E675" t="s">
        <v>1175</v>
      </c>
    </row>
    <row r="676" spans="1:5">
      <c r="A676" t="s">
        <v>1</v>
      </c>
      <c r="B676" t="s">
        <v>4</v>
      </c>
      <c r="C676" t="s">
        <v>1176</v>
      </c>
      <c r="D676" t="s">
        <v>1108</v>
      </c>
      <c r="E676" t="s">
        <v>1177</v>
      </c>
    </row>
    <row r="677" spans="1:5">
      <c r="A677" t="s">
        <v>1</v>
      </c>
      <c r="B677" t="s">
        <v>4</v>
      </c>
      <c r="C677" t="s">
        <v>1178</v>
      </c>
      <c r="D677" t="s">
        <v>1108</v>
      </c>
      <c r="E677" t="s">
        <v>1179</v>
      </c>
    </row>
    <row r="678" spans="1:5">
      <c r="A678" t="s">
        <v>1</v>
      </c>
      <c r="B678" t="s">
        <v>4</v>
      </c>
      <c r="C678" t="s">
        <v>1180</v>
      </c>
      <c r="D678" t="s">
        <v>1108</v>
      </c>
      <c r="E678" t="s">
        <v>1181</v>
      </c>
    </row>
    <row r="679" spans="1:5">
      <c r="A679" t="s">
        <v>1</v>
      </c>
      <c r="B679" t="s">
        <v>4</v>
      </c>
      <c r="C679" t="s">
        <v>1182</v>
      </c>
      <c r="D679" t="s">
        <v>1108</v>
      </c>
      <c r="E679" t="s">
        <v>1183</v>
      </c>
    </row>
    <row r="680" spans="1:5">
      <c r="A680" t="s">
        <v>1</v>
      </c>
      <c r="B680" t="s">
        <v>4</v>
      </c>
      <c r="C680" t="s">
        <v>1184</v>
      </c>
      <c r="D680" t="s">
        <v>1108</v>
      </c>
      <c r="E680" t="s">
        <v>1185</v>
      </c>
    </row>
    <row r="681" spans="1:5">
      <c r="A681" t="s">
        <v>1</v>
      </c>
      <c r="B681" t="s">
        <v>4</v>
      </c>
      <c r="C681" t="s">
        <v>1186</v>
      </c>
      <c r="D681" t="s">
        <v>1108</v>
      </c>
      <c r="E681" t="s">
        <v>1187</v>
      </c>
    </row>
    <row r="682" spans="1:5">
      <c r="A682" t="s">
        <v>1</v>
      </c>
      <c r="B682" t="s">
        <v>4</v>
      </c>
      <c r="C682" t="s">
        <v>1188</v>
      </c>
      <c r="D682" t="s">
        <v>1108</v>
      </c>
      <c r="E682" t="s">
        <v>1189</v>
      </c>
    </row>
    <row r="683" spans="1:5">
      <c r="A683" t="s">
        <v>1</v>
      </c>
      <c r="B683" t="s">
        <v>4</v>
      </c>
      <c r="C683" t="s">
        <v>1190</v>
      </c>
      <c r="D683" t="s">
        <v>1108</v>
      </c>
      <c r="E683" t="s">
        <v>1191</v>
      </c>
    </row>
    <row r="684" spans="1:5">
      <c r="A684" t="s">
        <v>1</v>
      </c>
      <c r="B684" t="s">
        <v>4</v>
      </c>
      <c r="C684" t="s">
        <v>1192</v>
      </c>
      <c r="D684" t="s">
        <v>1108</v>
      </c>
      <c r="E684" t="s">
        <v>1193</v>
      </c>
    </row>
    <row r="685" spans="1:5">
      <c r="A685" t="s">
        <v>1</v>
      </c>
      <c r="B685" t="s">
        <v>4</v>
      </c>
      <c r="C685" t="s">
        <v>1194</v>
      </c>
      <c r="D685" t="s">
        <v>1108</v>
      </c>
      <c r="E685" t="s">
        <v>1195</v>
      </c>
    </row>
    <row r="686" spans="1:5">
      <c r="A686" t="s">
        <v>1</v>
      </c>
      <c r="B686" t="s">
        <v>4</v>
      </c>
      <c r="C686" t="s">
        <v>1196</v>
      </c>
      <c r="D686" t="s">
        <v>1108</v>
      </c>
      <c r="E686" t="s">
        <v>1197</v>
      </c>
    </row>
    <row r="687" spans="1:5">
      <c r="A687" t="s">
        <v>1</v>
      </c>
      <c r="B687" t="s">
        <v>4</v>
      </c>
      <c r="C687" t="s">
        <v>1198</v>
      </c>
      <c r="D687" t="s">
        <v>1108</v>
      </c>
      <c r="E687" t="s">
        <v>1199</v>
      </c>
    </row>
    <row r="688" spans="1:5">
      <c r="A688" t="s">
        <v>1</v>
      </c>
      <c r="B688" t="s">
        <v>4</v>
      </c>
      <c r="C688" t="s">
        <v>1200</v>
      </c>
      <c r="D688" t="s">
        <v>1108</v>
      </c>
      <c r="E688" t="s">
        <v>1201</v>
      </c>
    </row>
    <row r="689" spans="1:5">
      <c r="A689" t="s">
        <v>1</v>
      </c>
      <c r="B689" t="s">
        <v>4</v>
      </c>
      <c r="C689" t="s">
        <v>1202</v>
      </c>
      <c r="D689" t="s">
        <v>1108</v>
      </c>
      <c r="E689" t="s">
        <v>1203</v>
      </c>
    </row>
    <row r="690" spans="1:5">
      <c r="A690" t="s">
        <v>1</v>
      </c>
      <c r="B690" t="s">
        <v>4</v>
      </c>
      <c r="C690" t="s">
        <v>1204</v>
      </c>
      <c r="D690" t="s">
        <v>1108</v>
      </c>
      <c r="E690" t="s">
        <v>1205</v>
      </c>
    </row>
    <row r="691" spans="1:5">
      <c r="A691" t="s">
        <v>1</v>
      </c>
      <c r="B691" t="s">
        <v>4</v>
      </c>
      <c r="C691" t="s">
        <v>1206</v>
      </c>
      <c r="D691" t="s">
        <v>1108</v>
      </c>
      <c r="E691" t="s">
        <v>1207</v>
      </c>
    </row>
    <row r="692" spans="1:5">
      <c r="A692" t="s">
        <v>1</v>
      </c>
      <c r="B692" t="s">
        <v>4</v>
      </c>
      <c r="C692" t="s">
        <v>1208</v>
      </c>
      <c r="D692" t="s">
        <v>1108</v>
      </c>
      <c r="E692" t="s">
        <v>1209</v>
      </c>
    </row>
    <row r="693" spans="1:5">
      <c r="A693" t="s">
        <v>1</v>
      </c>
      <c r="B693" t="s">
        <v>4</v>
      </c>
      <c r="C693" t="s">
        <v>1210</v>
      </c>
      <c r="D693" t="s">
        <v>1108</v>
      </c>
      <c r="E693" t="s">
        <v>1211</v>
      </c>
    </row>
    <row r="694" spans="1:5">
      <c r="A694" t="s">
        <v>1</v>
      </c>
      <c r="B694" t="s">
        <v>4</v>
      </c>
      <c r="C694" t="s">
        <v>1212</v>
      </c>
      <c r="D694" t="s">
        <v>1108</v>
      </c>
      <c r="E694" t="s">
        <v>1213</v>
      </c>
    </row>
    <row r="695" spans="1:5">
      <c r="A695" t="s">
        <v>1</v>
      </c>
      <c r="B695" t="s">
        <v>4</v>
      </c>
      <c r="C695" t="s">
        <v>1214</v>
      </c>
      <c r="D695" t="s">
        <v>1108</v>
      </c>
      <c r="E695" t="s">
        <v>1215</v>
      </c>
    </row>
    <row r="696" spans="1:5">
      <c r="A696" t="s">
        <v>1</v>
      </c>
      <c r="B696" t="s">
        <v>4</v>
      </c>
      <c r="C696" t="s">
        <v>1216</v>
      </c>
      <c r="D696" t="s">
        <v>1108</v>
      </c>
      <c r="E696" t="s">
        <v>1217</v>
      </c>
    </row>
    <row r="697" spans="1:5">
      <c r="A697" t="s">
        <v>1</v>
      </c>
      <c r="B697" t="s">
        <v>4</v>
      </c>
      <c r="C697" t="s">
        <v>1218</v>
      </c>
      <c r="D697" t="s">
        <v>1108</v>
      </c>
      <c r="E697" t="s">
        <v>1219</v>
      </c>
    </row>
    <row r="698" spans="1:5">
      <c r="A698" t="s">
        <v>1</v>
      </c>
      <c r="B698" t="s">
        <v>4</v>
      </c>
      <c r="C698" t="s">
        <v>1220</v>
      </c>
      <c r="D698" t="s">
        <v>1108</v>
      </c>
      <c r="E698" t="s">
        <v>1221</v>
      </c>
    </row>
    <row r="699" spans="1:5">
      <c r="A699" t="s">
        <v>1</v>
      </c>
      <c r="B699" t="s">
        <v>4</v>
      </c>
      <c r="C699" t="s">
        <v>1222</v>
      </c>
      <c r="D699" t="s">
        <v>1108</v>
      </c>
      <c r="E699" t="s">
        <v>1223</v>
      </c>
    </row>
    <row r="700" spans="1:5">
      <c r="A700" t="s">
        <v>1</v>
      </c>
      <c r="B700" t="s">
        <v>4</v>
      </c>
      <c r="C700" t="s">
        <v>1224</v>
      </c>
      <c r="D700" t="s">
        <v>1108</v>
      </c>
      <c r="E700" t="s">
        <v>1225</v>
      </c>
    </row>
    <row r="701" spans="1:5">
      <c r="A701" t="s">
        <v>1</v>
      </c>
      <c r="B701" t="s">
        <v>4</v>
      </c>
      <c r="C701" t="s">
        <v>1226</v>
      </c>
      <c r="D701" t="s">
        <v>1108</v>
      </c>
      <c r="E701" t="s">
        <v>1227</v>
      </c>
    </row>
    <row r="702" spans="1:5">
      <c r="A702" t="s">
        <v>1</v>
      </c>
      <c r="B702" t="s">
        <v>4</v>
      </c>
      <c r="C702" t="s">
        <v>1228</v>
      </c>
      <c r="D702" t="s">
        <v>1108</v>
      </c>
      <c r="E702" t="s">
        <v>1229</v>
      </c>
    </row>
    <row r="703" spans="1:5">
      <c r="A703" t="s">
        <v>1</v>
      </c>
      <c r="B703" t="s">
        <v>4</v>
      </c>
      <c r="C703" t="s">
        <v>1230</v>
      </c>
      <c r="D703" t="s">
        <v>1108</v>
      </c>
      <c r="E703" t="s">
        <v>1231</v>
      </c>
    </row>
    <row r="704" spans="1:5">
      <c r="A704" t="s">
        <v>1</v>
      </c>
      <c r="B704" t="s">
        <v>4</v>
      </c>
      <c r="C704" t="s">
        <v>1232</v>
      </c>
      <c r="D704" t="s">
        <v>1108</v>
      </c>
      <c r="E704" t="s">
        <v>1233</v>
      </c>
    </row>
    <row r="705" spans="1:5">
      <c r="A705" t="s">
        <v>1</v>
      </c>
      <c r="B705" t="s">
        <v>1234</v>
      </c>
      <c r="C705" t="s">
        <v>1235</v>
      </c>
      <c r="D705" t="s">
        <v>216</v>
      </c>
      <c r="E705" t="s">
        <v>1236</v>
      </c>
    </row>
    <row r="706" spans="1:5">
      <c r="A706" t="s">
        <v>1</v>
      </c>
      <c r="B706" t="s">
        <v>1234</v>
      </c>
      <c r="C706" t="s">
        <v>1237</v>
      </c>
      <c r="D706" t="s">
        <v>221</v>
      </c>
      <c r="E706" t="s">
        <v>1238</v>
      </c>
    </row>
    <row r="707" spans="1:5">
      <c r="A707" t="s">
        <v>1</v>
      </c>
      <c r="B707" t="s">
        <v>1234</v>
      </c>
      <c r="C707" t="s">
        <v>1239</v>
      </c>
      <c r="D707" t="s">
        <v>213</v>
      </c>
      <c r="E707" t="s">
        <v>1240</v>
      </c>
    </row>
    <row r="708" spans="1:5">
      <c r="A708" t="s">
        <v>1</v>
      </c>
      <c r="B708" t="s">
        <v>1234</v>
      </c>
      <c r="C708" t="s">
        <v>1241</v>
      </c>
      <c r="D708" t="s">
        <v>213</v>
      </c>
      <c r="E708" t="s">
        <v>1242</v>
      </c>
    </row>
    <row r="709" spans="1:5">
      <c r="A709" t="s">
        <v>1</v>
      </c>
      <c r="B709" t="s">
        <v>1234</v>
      </c>
      <c r="C709" t="s">
        <v>1243</v>
      </c>
      <c r="D709" t="s">
        <v>221</v>
      </c>
      <c r="E709" t="s">
        <v>1244</v>
      </c>
    </row>
    <row r="710" spans="1:5">
      <c r="A710" t="s">
        <v>236</v>
      </c>
      <c r="B710" t="s">
        <v>1234</v>
      </c>
      <c r="C710" t="s">
        <v>1243</v>
      </c>
      <c r="D710" t="s">
        <v>221</v>
      </c>
      <c r="E710" t="s">
        <v>1244</v>
      </c>
    </row>
    <row r="711" spans="1:5">
      <c r="A711" t="s">
        <v>1</v>
      </c>
      <c r="B711" t="s">
        <v>1234</v>
      </c>
      <c r="C711" t="s">
        <v>183</v>
      </c>
      <c r="D711" t="s">
        <v>221</v>
      </c>
      <c r="E711" t="s">
        <v>1245</v>
      </c>
    </row>
    <row r="712" spans="1:5">
      <c r="A712" t="s">
        <v>236</v>
      </c>
      <c r="B712" t="s">
        <v>1234</v>
      </c>
      <c r="C712" t="s">
        <v>183</v>
      </c>
      <c r="D712" t="s">
        <v>221</v>
      </c>
      <c r="E712" t="s">
        <v>1245</v>
      </c>
    </row>
    <row r="713" spans="1:5">
      <c r="A713" t="s">
        <v>1</v>
      </c>
      <c r="B713" t="s">
        <v>1234</v>
      </c>
      <c r="C713" t="s">
        <v>1246</v>
      </c>
      <c r="D713" t="s">
        <v>216</v>
      </c>
      <c r="E713" t="s">
        <v>1247</v>
      </c>
    </row>
    <row r="714" spans="1:5">
      <c r="A714" t="s">
        <v>1</v>
      </c>
      <c r="B714" t="s">
        <v>1234</v>
      </c>
      <c r="C714" t="s">
        <v>1248</v>
      </c>
      <c r="D714" t="s">
        <v>221</v>
      </c>
      <c r="E714" t="s">
        <v>1249</v>
      </c>
    </row>
    <row r="715" spans="1:5">
      <c r="A715" t="s">
        <v>1</v>
      </c>
      <c r="B715" t="s">
        <v>1234</v>
      </c>
      <c r="C715" t="s">
        <v>1250</v>
      </c>
      <c r="D715" t="s">
        <v>221</v>
      </c>
      <c r="E715" t="s">
        <v>1251</v>
      </c>
    </row>
    <row r="716" spans="1:5">
      <c r="A716" t="s">
        <v>236</v>
      </c>
      <c r="B716" t="s">
        <v>1234</v>
      </c>
      <c r="C716" t="s">
        <v>1250</v>
      </c>
      <c r="D716" t="s">
        <v>221</v>
      </c>
      <c r="E716" t="s">
        <v>1251</v>
      </c>
    </row>
    <row r="717" spans="1:5">
      <c r="A717" t="s">
        <v>1</v>
      </c>
      <c r="B717" t="s">
        <v>1252</v>
      </c>
      <c r="C717" t="s">
        <v>1253</v>
      </c>
      <c r="D717" t="s">
        <v>216</v>
      </c>
      <c r="E717" t="s">
        <v>1254</v>
      </c>
    </row>
    <row r="718" spans="1:5">
      <c r="A718" t="s">
        <v>1</v>
      </c>
      <c r="B718" t="s">
        <v>1252</v>
      </c>
      <c r="C718" t="s">
        <v>1255</v>
      </c>
      <c r="D718" t="s">
        <v>216</v>
      </c>
      <c r="E718" t="s">
        <v>1256</v>
      </c>
    </row>
    <row r="719" spans="1:5">
      <c r="A719" t="s">
        <v>1</v>
      </c>
      <c r="B719" t="s">
        <v>1252</v>
      </c>
      <c r="C719" t="s">
        <v>118</v>
      </c>
      <c r="D719" t="s">
        <v>216</v>
      </c>
      <c r="E719" t="s">
        <v>1257</v>
      </c>
    </row>
    <row r="720" spans="1:5">
      <c r="A720" t="s">
        <v>1</v>
      </c>
      <c r="B720" t="s">
        <v>1252</v>
      </c>
      <c r="C720" t="s">
        <v>1258</v>
      </c>
      <c r="D720" t="s">
        <v>209</v>
      </c>
      <c r="E720" t="s">
        <v>1259</v>
      </c>
    </row>
    <row r="721" spans="1:5">
      <c r="A721" t="s">
        <v>1</v>
      </c>
      <c r="B721" t="s">
        <v>1252</v>
      </c>
      <c r="C721" t="s">
        <v>1260</v>
      </c>
      <c r="D721" t="s">
        <v>221</v>
      </c>
      <c r="E721" t="s">
        <v>1261</v>
      </c>
    </row>
    <row r="722" spans="1:5">
      <c r="A722" t="s">
        <v>236</v>
      </c>
      <c r="B722" t="s">
        <v>1252</v>
      </c>
      <c r="C722" t="s">
        <v>1260</v>
      </c>
      <c r="D722" t="s">
        <v>221</v>
      </c>
      <c r="E722" t="s">
        <v>1261</v>
      </c>
    </row>
    <row r="723" spans="1:5">
      <c r="A723" t="s">
        <v>1</v>
      </c>
      <c r="B723" t="s">
        <v>1252</v>
      </c>
      <c r="C723" t="s">
        <v>177</v>
      </c>
      <c r="D723" t="s">
        <v>507</v>
      </c>
      <c r="E723" t="s">
        <v>1262</v>
      </c>
    </row>
    <row r="724" spans="1:5">
      <c r="A724" t="s">
        <v>1</v>
      </c>
      <c r="B724" t="s">
        <v>1263</v>
      </c>
      <c r="C724" t="s">
        <v>108</v>
      </c>
      <c r="D724" t="s">
        <v>218</v>
      </c>
      <c r="E724" t="s">
        <v>109</v>
      </c>
    </row>
    <row r="725" spans="1:5">
      <c r="A725" t="s">
        <v>236</v>
      </c>
      <c r="B725" t="s">
        <v>1263</v>
      </c>
      <c r="C725" t="s">
        <v>108</v>
      </c>
      <c r="D725" t="s">
        <v>218</v>
      </c>
      <c r="E725" t="s">
        <v>109</v>
      </c>
    </row>
    <row r="726" spans="1:5">
      <c r="A726" t="s">
        <v>1</v>
      </c>
      <c r="B726" t="s">
        <v>1264</v>
      </c>
      <c r="C726" t="s">
        <v>935</v>
      </c>
      <c r="D726" t="s">
        <v>216</v>
      </c>
      <c r="E726" t="s">
        <v>936</v>
      </c>
    </row>
    <row r="727" spans="1:5">
      <c r="A727" t="s">
        <v>1</v>
      </c>
      <c r="B727" t="s">
        <v>1264</v>
      </c>
      <c r="C727" t="s">
        <v>937</v>
      </c>
      <c r="D727" t="s">
        <v>216</v>
      </c>
      <c r="E727" t="s">
        <v>938</v>
      </c>
    </row>
    <row r="728" spans="1:5">
      <c r="A728" t="s">
        <v>1</v>
      </c>
      <c r="B728" t="s">
        <v>1264</v>
      </c>
      <c r="C728" t="s">
        <v>1265</v>
      </c>
      <c r="D728" t="s">
        <v>567</v>
      </c>
      <c r="E728" t="s">
        <v>1266</v>
      </c>
    </row>
    <row r="729" spans="1:5">
      <c r="A729" t="s">
        <v>1</v>
      </c>
      <c r="B729" t="s">
        <v>1264</v>
      </c>
      <c r="C729" t="s">
        <v>1267</v>
      </c>
      <c r="D729" t="s">
        <v>567</v>
      </c>
      <c r="E729" t="s">
        <v>1268</v>
      </c>
    </row>
    <row r="730" spans="1:5">
      <c r="A730" t="s">
        <v>1</v>
      </c>
      <c r="B730" t="s">
        <v>1264</v>
      </c>
      <c r="C730" t="s">
        <v>1269</v>
      </c>
      <c r="D730" t="s">
        <v>567</v>
      </c>
      <c r="E730" t="s">
        <v>1270</v>
      </c>
    </row>
    <row r="731" spans="1:5">
      <c r="A731" t="s">
        <v>1</v>
      </c>
      <c r="B731" t="s">
        <v>1264</v>
      </c>
      <c r="C731" t="s">
        <v>1271</v>
      </c>
      <c r="D731" t="s">
        <v>567</v>
      </c>
      <c r="E731" t="s">
        <v>1272</v>
      </c>
    </row>
    <row r="732" spans="1:5">
      <c r="A732" t="s">
        <v>1</v>
      </c>
      <c r="B732" t="s">
        <v>1264</v>
      </c>
      <c r="C732" t="s">
        <v>943</v>
      </c>
      <c r="D732" t="s">
        <v>507</v>
      </c>
      <c r="E732" t="s">
        <v>944</v>
      </c>
    </row>
    <row r="733" spans="1:5">
      <c r="A733" t="s">
        <v>1</v>
      </c>
      <c r="B733" t="s">
        <v>1264</v>
      </c>
      <c r="C733" t="s">
        <v>945</v>
      </c>
      <c r="D733" t="s">
        <v>507</v>
      </c>
      <c r="E733" t="s">
        <v>946</v>
      </c>
    </row>
    <row r="734" spans="1:5">
      <c r="A734" t="s">
        <v>1</v>
      </c>
      <c r="B734" t="s">
        <v>1264</v>
      </c>
      <c r="C734" t="s">
        <v>947</v>
      </c>
      <c r="D734" t="s">
        <v>507</v>
      </c>
      <c r="E734" t="s">
        <v>938</v>
      </c>
    </row>
    <row r="735" spans="1:5">
      <c r="A735" t="s">
        <v>1</v>
      </c>
      <c r="B735" t="s">
        <v>1264</v>
      </c>
      <c r="C735" t="s">
        <v>950</v>
      </c>
      <c r="D735" t="s">
        <v>209</v>
      </c>
      <c r="E735" t="s">
        <v>951</v>
      </c>
    </row>
    <row r="736" spans="1:5">
      <c r="A736" t="s">
        <v>1</v>
      </c>
      <c r="B736" t="s">
        <v>1264</v>
      </c>
      <c r="C736" t="s">
        <v>952</v>
      </c>
      <c r="D736" t="s">
        <v>209</v>
      </c>
      <c r="E736" t="s">
        <v>953</v>
      </c>
    </row>
    <row r="737" spans="1:5">
      <c r="A737" t="s">
        <v>1</v>
      </c>
      <c r="B737" t="s">
        <v>1264</v>
      </c>
      <c r="C737" t="s">
        <v>954</v>
      </c>
      <c r="D737" t="s">
        <v>507</v>
      </c>
      <c r="E737" t="s">
        <v>955</v>
      </c>
    </row>
    <row r="738" spans="1:5">
      <c r="A738" t="s">
        <v>1</v>
      </c>
      <c r="B738" t="s">
        <v>1264</v>
      </c>
      <c r="C738" t="s">
        <v>956</v>
      </c>
      <c r="D738" t="s">
        <v>216</v>
      </c>
      <c r="E738" t="s">
        <v>957</v>
      </c>
    </row>
    <row r="739" spans="1:5">
      <c r="A739" t="s">
        <v>1</v>
      </c>
      <c r="B739" t="s">
        <v>1264</v>
      </c>
      <c r="C739" t="s">
        <v>958</v>
      </c>
      <c r="D739" t="s">
        <v>507</v>
      </c>
      <c r="E739" t="s">
        <v>959</v>
      </c>
    </row>
    <row r="740" spans="1:5">
      <c r="A740" t="s">
        <v>1</v>
      </c>
      <c r="B740" t="s">
        <v>1264</v>
      </c>
      <c r="C740" t="s">
        <v>1273</v>
      </c>
      <c r="D740" t="s">
        <v>754</v>
      </c>
      <c r="E740" t="s">
        <v>1274</v>
      </c>
    </row>
    <row r="741" spans="1:5">
      <c r="A741" t="s">
        <v>1</v>
      </c>
      <c r="B741" t="s">
        <v>1264</v>
      </c>
      <c r="C741" t="s">
        <v>1275</v>
      </c>
      <c r="D741" t="s">
        <v>754</v>
      </c>
      <c r="E741" t="s">
        <v>1303</v>
      </c>
    </row>
    <row r="742" spans="1:5">
      <c r="A742" t="s">
        <v>1</v>
      </c>
      <c r="B742" t="s">
        <v>1264</v>
      </c>
      <c r="C742" t="s">
        <v>1276</v>
      </c>
      <c r="D742" t="s">
        <v>754</v>
      </c>
      <c r="E742" t="s">
        <v>1304</v>
      </c>
    </row>
    <row r="743" spans="1:5">
      <c r="A743" t="s">
        <v>1</v>
      </c>
      <c r="B743" t="s">
        <v>1264</v>
      </c>
      <c r="C743" t="s">
        <v>1277</v>
      </c>
      <c r="D743" t="s">
        <v>754</v>
      </c>
      <c r="E743" t="s">
        <v>1305</v>
      </c>
    </row>
    <row r="744" spans="1:5">
      <c r="A744" t="s">
        <v>1</v>
      </c>
      <c r="B744" t="s">
        <v>1278</v>
      </c>
      <c r="C744" t="s">
        <v>1279</v>
      </c>
      <c r="D744" t="s">
        <v>218</v>
      </c>
      <c r="E744" t="s">
        <v>1280</v>
      </c>
    </row>
    <row r="745" spans="1:5">
      <c r="A745" t="s">
        <v>236</v>
      </c>
      <c r="B745" t="s">
        <v>1278</v>
      </c>
      <c r="C745" t="s">
        <v>1279</v>
      </c>
      <c r="D745" t="s">
        <v>218</v>
      </c>
      <c r="E745" t="s">
        <v>1280</v>
      </c>
    </row>
    <row r="746" spans="1:5">
      <c r="A746" t="s">
        <v>1</v>
      </c>
      <c r="B746" t="s">
        <v>1278</v>
      </c>
      <c r="C746" t="s">
        <v>1281</v>
      </c>
      <c r="D746" t="s">
        <v>218</v>
      </c>
      <c r="E746" t="s">
        <v>1282</v>
      </c>
    </row>
    <row r="747" spans="1:5">
      <c r="A747" t="s">
        <v>1</v>
      </c>
      <c r="B747" t="s">
        <v>1278</v>
      </c>
      <c r="C747" t="s">
        <v>1283</v>
      </c>
      <c r="D747" t="s">
        <v>221</v>
      </c>
      <c r="E747" t="s">
        <v>1284</v>
      </c>
    </row>
    <row r="748" spans="1:5">
      <c r="A748" t="s">
        <v>236</v>
      </c>
      <c r="B748" t="s">
        <v>1278</v>
      </c>
      <c r="C748" t="s">
        <v>1283</v>
      </c>
      <c r="D748" t="s">
        <v>221</v>
      </c>
      <c r="E748" t="s">
        <v>1284</v>
      </c>
    </row>
    <row r="749" spans="1:5">
      <c r="A749" t="s">
        <v>1</v>
      </c>
      <c r="B749" t="s">
        <v>1278</v>
      </c>
      <c r="C749" t="s">
        <v>1285</v>
      </c>
      <c r="D749" t="s">
        <v>221</v>
      </c>
      <c r="E749" t="s">
        <v>1286</v>
      </c>
    </row>
    <row r="750" spans="1:5">
      <c r="A750" t="s">
        <v>1</v>
      </c>
      <c r="B750" t="s">
        <v>1287</v>
      </c>
      <c r="C750" t="s">
        <v>1288</v>
      </c>
      <c r="D750" t="s">
        <v>221</v>
      </c>
      <c r="E750" t="s">
        <v>1289</v>
      </c>
    </row>
    <row r="751" spans="1:5">
      <c r="A751" t="s">
        <v>1</v>
      </c>
      <c r="B751" t="s">
        <v>1287</v>
      </c>
      <c r="C751" t="s">
        <v>1290</v>
      </c>
      <c r="D751" t="s">
        <v>216</v>
      </c>
      <c r="E751" t="s">
        <v>1291</v>
      </c>
    </row>
    <row r="752" spans="1:5">
      <c r="A752" t="s">
        <v>1</v>
      </c>
      <c r="B752" t="s">
        <v>1287</v>
      </c>
      <c r="C752" t="s">
        <v>1292</v>
      </c>
      <c r="D752" t="s">
        <v>216</v>
      </c>
      <c r="E752" t="s">
        <v>1293</v>
      </c>
    </row>
    <row r="753" spans="1:5">
      <c r="A753" t="s">
        <v>1</v>
      </c>
      <c r="B753" t="s">
        <v>1287</v>
      </c>
      <c r="C753" t="s">
        <v>1294</v>
      </c>
      <c r="D753" t="s">
        <v>213</v>
      </c>
      <c r="E753" t="s">
        <v>1295</v>
      </c>
    </row>
    <row r="754" spans="1:5">
      <c r="A754" t="s">
        <v>1</v>
      </c>
      <c r="B754" t="s">
        <v>1287</v>
      </c>
      <c r="C754" t="s">
        <v>1296</v>
      </c>
      <c r="D754" t="s">
        <v>213</v>
      </c>
      <c r="E754" t="s">
        <v>1297</v>
      </c>
    </row>
    <row r="755" spans="1:5">
      <c r="A755" t="s">
        <v>1</v>
      </c>
      <c r="B755" t="s">
        <v>1298</v>
      </c>
      <c r="C755" t="s">
        <v>1299</v>
      </c>
      <c r="D755" t="s">
        <v>209</v>
      </c>
      <c r="E755" t="s">
        <v>1300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具名範圍</vt:lpstr>
      </vt:variant>
      <vt:variant>
        <vt:i4>2</vt:i4>
      </vt:variant>
    </vt:vector>
  </HeadingPairs>
  <TitlesOfParts>
    <vt:vector size="13" baseType="lpstr">
      <vt:lpstr>T Day</vt:lpstr>
      <vt:lpstr>Data</vt:lpstr>
      <vt:lpstr>Helper1</vt:lpstr>
      <vt:lpstr>Helper2</vt:lpstr>
      <vt:lpstr>ATP Pos</vt:lpstr>
      <vt:lpstr>Helper3</vt:lpstr>
      <vt:lpstr>ATP Fills</vt:lpstr>
      <vt:lpstr>Helper4</vt:lpstr>
      <vt:lpstr>ATP Sort</vt:lpstr>
      <vt:lpstr>Helper5</vt:lpstr>
      <vt:lpstr>PHL code</vt:lpstr>
      <vt:lpstr>Data!CloseCheckSummaryReport_20210902</vt:lpstr>
      <vt:lpstr>'ATP Fills'!transaction_ATP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htfc</dc:creator>
  <cp:lastModifiedBy>user</cp:lastModifiedBy>
  <cp:lastPrinted>2021-09-06T22:44:01Z</cp:lastPrinted>
  <dcterms:created xsi:type="dcterms:W3CDTF">2015-06-05T18:19:34Z</dcterms:created>
  <dcterms:modified xsi:type="dcterms:W3CDTF">2022-09-27T22:02:47Z</dcterms:modified>
</cp:coreProperties>
</file>